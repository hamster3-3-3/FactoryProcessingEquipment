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食研所J槽\02.製管組\29.鮮食廠調理設備清單\調理設備\"/>
    </mc:Choice>
  </mc:AlternateContent>
  <bookViews>
    <workbookView xWindow="-110" yWindow="-110" windowWidth="23260" windowHeight="12460" tabRatio="500" activeTab="4"/>
  </bookViews>
  <sheets>
    <sheet name="總覽" sheetId="1" r:id="rId1"/>
    <sheet name="填寫說明" sheetId="2" r:id="rId2"/>
    <sheet name="18℃" sheetId="3" r:id="rId3"/>
    <sheet name="4℃飯" sheetId="4" r:id="rId4"/>
    <sheet name="4℃麵" sheetId="5" r:id="rId5"/>
    <sheet name="4℃其他" sheetId="6" r:id="rId6"/>
    <sheet name="冷凍品" sheetId="7" r:id="rId7"/>
    <sheet name="設備應用統計" sheetId="8" r:id="rId8"/>
  </sheets>
  <definedNames>
    <definedName name="_xlnm._FilterDatabase" localSheetId="2" hidden="1">'18℃'!$A$4:$X$304</definedName>
    <definedName name="_xlnm._FilterDatabase" localSheetId="5" hidden="1">'4℃其他'!$A$4:$AA$4</definedName>
    <definedName name="_xlnm._FilterDatabase" localSheetId="3" hidden="1">'4℃飯'!$A$4:$X$304</definedName>
    <definedName name="_xlnm._FilterDatabase" localSheetId="4" hidden="1">'4℃麵'!$A$4:$AA$4</definedName>
    <definedName name="_xlnm._FilterDatabase" localSheetId="6" hidden="1">冷凍品!$A$4:$AA$4</definedName>
  </definedNames>
  <calcPr calcId="162913"/>
</workbook>
</file>

<file path=xl/calcChain.xml><?xml version="1.0" encoding="utf-8"?>
<calcChain xmlns="http://schemas.openxmlformats.org/spreadsheetml/2006/main">
  <c r="G28" i="8" l="1"/>
  <c r="G23" i="8"/>
  <c r="G19" i="8"/>
  <c r="G18" i="8"/>
  <c r="F28" i="8"/>
  <c r="F23" i="8"/>
  <c r="F18" i="8"/>
  <c r="E28" i="8"/>
  <c r="E25" i="8"/>
  <c r="E24" i="8"/>
  <c r="E23" i="8"/>
  <c r="E21" i="8"/>
  <c r="E19" i="8"/>
  <c r="E18" i="8"/>
  <c r="G13" i="8"/>
  <c r="G12" i="8"/>
  <c r="G9" i="8"/>
  <c r="F9" i="8"/>
  <c r="E9" i="8"/>
  <c r="F5" i="1"/>
  <c r="E16" i="1"/>
  <c r="E15" i="1"/>
  <c r="E14" i="1"/>
  <c r="E13" i="1"/>
  <c r="E12" i="1"/>
  <c r="C16" i="1"/>
  <c r="C13" i="1"/>
  <c r="C12" i="1"/>
  <c r="U5" i="6" l="1"/>
  <c r="V5" i="6" s="1"/>
  <c r="U6" i="6"/>
  <c r="V6" i="6" s="1"/>
  <c r="U7" i="6"/>
  <c r="V7" i="6" s="1"/>
  <c r="U8" i="6"/>
  <c r="V8" i="6" s="1"/>
  <c r="U9" i="6"/>
  <c r="V9" i="6" s="1"/>
  <c r="U10" i="6"/>
  <c r="V10" i="6" s="1"/>
  <c r="U11" i="6"/>
  <c r="V11" i="6" s="1"/>
  <c r="U12" i="6"/>
  <c r="V12" i="6" s="1"/>
  <c r="U13" i="6"/>
  <c r="V13" i="6" s="1"/>
  <c r="U14" i="6"/>
  <c r="V14" i="6" s="1"/>
  <c r="U15" i="6"/>
  <c r="V15" i="6" s="1"/>
  <c r="U16" i="6"/>
  <c r="V16" i="6" s="1"/>
  <c r="U17" i="6"/>
  <c r="V17" i="6" s="1"/>
  <c r="U18" i="6"/>
  <c r="V18" i="6" s="1"/>
  <c r="U19" i="6"/>
  <c r="V19" i="6" s="1"/>
  <c r="D28" i="8" l="1"/>
  <c r="C28" i="8"/>
  <c r="G27" i="8"/>
  <c r="F27" i="8"/>
  <c r="E27" i="8"/>
  <c r="D27" i="8"/>
  <c r="C27" i="8"/>
  <c r="G26" i="8"/>
  <c r="F26" i="8"/>
  <c r="E26" i="8"/>
  <c r="D26" i="8"/>
  <c r="C26" i="8"/>
  <c r="G25" i="8"/>
  <c r="F25" i="8"/>
  <c r="D25" i="8"/>
  <c r="C25" i="8"/>
  <c r="G24" i="8"/>
  <c r="F24" i="8"/>
  <c r="D24" i="8"/>
  <c r="C24" i="8"/>
  <c r="D23" i="8"/>
  <c r="C23" i="8"/>
  <c r="G22" i="8"/>
  <c r="F22" i="8"/>
  <c r="E22" i="8"/>
  <c r="D22" i="8"/>
  <c r="C22" i="8"/>
  <c r="G21" i="8"/>
  <c r="F21" i="8"/>
  <c r="D21" i="8"/>
  <c r="C21" i="8"/>
  <c r="G20" i="8"/>
  <c r="F20" i="8"/>
  <c r="E20" i="8"/>
  <c r="D20" i="8"/>
  <c r="C20" i="8"/>
  <c r="F19" i="8"/>
  <c r="D19" i="8"/>
  <c r="C19" i="8"/>
  <c r="D18" i="8"/>
  <c r="C18" i="8"/>
  <c r="G17" i="8"/>
  <c r="F17" i="8"/>
  <c r="E17" i="8"/>
  <c r="D17" i="8"/>
  <c r="C17" i="8"/>
  <c r="D9" i="8"/>
  <c r="C9" i="8"/>
  <c r="Z304" i="7"/>
  <c r="AA304" i="7" s="1"/>
  <c r="W304" i="7"/>
  <c r="V304" i="7"/>
  <c r="U304" i="7"/>
  <c r="Z303" i="7"/>
  <c r="AA303" i="7" s="1"/>
  <c r="W303" i="7"/>
  <c r="V303" i="7"/>
  <c r="U303" i="7"/>
  <c r="Z302" i="7"/>
  <c r="AA302" i="7" s="1"/>
  <c r="W302" i="7"/>
  <c r="V302" i="7"/>
  <c r="U302" i="7"/>
  <c r="Z301" i="7"/>
  <c r="AA301" i="7" s="1"/>
  <c r="W301" i="7"/>
  <c r="V301" i="7"/>
  <c r="U301" i="7"/>
  <c r="Z300" i="7"/>
  <c r="AA300" i="7" s="1"/>
  <c r="W300" i="7"/>
  <c r="V300" i="7"/>
  <c r="U300" i="7"/>
  <c r="Z299" i="7"/>
  <c r="AA299" i="7" s="1"/>
  <c r="W299" i="7"/>
  <c r="V299" i="7"/>
  <c r="U299" i="7"/>
  <c r="Z298" i="7"/>
  <c r="AA298" i="7" s="1"/>
  <c r="W298" i="7"/>
  <c r="V298" i="7"/>
  <c r="U298" i="7"/>
  <c r="Z297" i="7"/>
  <c r="AA297" i="7" s="1"/>
  <c r="W297" i="7"/>
  <c r="V297" i="7"/>
  <c r="U297" i="7"/>
  <c r="Z296" i="7"/>
  <c r="AA296" i="7" s="1"/>
  <c r="W296" i="7"/>
  <c r="V296" i="7"/>
  <c r="U296" i="7"/>
  <c r="Z295" i="7"/>
  <c r="AA295" i="7" s="1"/>
  <c r="W295" i="7"/>
  <c r="V295" i="7"/>
  <c r="U295" i="7"/>
  <c r="Z294" i="7"/>
  <c r="AA294" i="7" s="1"/>
  <c r="W294" i="7"/>
  <c r="V294" i="7"/>
  <c r="U294" i="7"/>
  <c r="Z293" i="7"/>
  <c r="AA293" i="7" s="1"/>
  <c r="W293" i="7"/>
  <c r="V293" i="7"/>
  <c r="U293" i="7"/>
  <c r="Z292" i="7"/>
  <c r="AA292" i="7" s="1"/>
  <c r="W292" i="7"/>
  <c r="V292" i="7"/>
  <c r="U292" i="7"/>
  <c r="Z291" i="7"/>
  <c r="AA291" i="7" s="1"/>
  <c r="W291" i="7"/>
  <c r="V291" i="7"/>
  <c r="U291" i="7"/>
  <c r="Z290" i="7"/>
  <c r="AA290" i="7" s="1"/>
  <c r="W290" i="7"/>
  <c r="V290" i="7"/>
  <c r="U290" i="7"/>
  <c r="Z289" i="7"/>
  <c r="AA289" i="7" s="1"/>
  <c r="W289" i="7"/>
  <c r="V289" i="7"/>
  <c r="U289" i="7"/>
  <c r="Z288" i="7"/>
  <c r="AA288" i="7" s="1"/>
  <c r="W288" i="7"/>
  <c r="V288" i="7"/>
  <c r="U288" i="7"/>
  <c r="Z287" i="7"/>
  <c r="AA287" i="7" s="1"/>
  <c r="W287" i="7"/>
  <c r="V287" i="7"/>
  <c r="U287" i="7"/>
  <c r="Z286" i="7"/>
  <c r="AA286" i="7" s="1"/>
  <c r="W286" i="7"/>
  <c r="V286" i="7"/>
  <c r="U286" i="7"/>
  <c r="Z285" i="7"/>
  <c r="AA285" i="7" s="1"/>
  <c r="W285" i="7"/>
  <c r="V285" i="7"/>
  <c r="U285" i="7"/>
  <c r="Z284" i="7"/>
  <c r="AA284" i="7" s="1"/>
  <c r="W284" i="7"/>
  <c r="V284" i="7"/>
  <c r="U284" i="7"/>
  <c r="Z283" i="7"/>
  <c r="AA283" i="7" s="1"/>
  <c r="W283" i="7"/>
  <c r="V283" i="7"/>
  <c r="U283" i="7"/>
  <c r="Z282" i="7"/>
  <c r="AA282" i="7" s="1"/>
  <c r="W282" i="7"/>
  <c r="V282" i="7"/>
  <c r="U282" i="7"/>
  <c r="Z281" i="7"/>
  <c r="AA281" i="7" s="1"/>
  <c r="W281" i="7"/>
  <c r="V281" i="7"/>
  <c r="U281" i="7"/>
  <c r="Z280" i="7"/>
  <c r="AA280" i="7" s="1"/>
  <c r="W280" i="7"/>
  <c r="V280" i="7"/>
  <c r="U280" i="7"/>
  <c r="Z279" i="7"/>
  <c r="AA279" i="7" s="1"/>
  <c r="W279" i="7"/>
  <c r="V279" i="7"/>
  <c r="U279" i="7"/>
  <c r="Z278" i="7"/>
  <c r="AA278" i="7" s="1"/>
  <c r="W278" i="7"/>
  <c r="V278" i="7"/>
  <c r="U278" i="7"/>
  <c r="Z277" i="7"/>
  <c r="AA277" i="7" s="1"/>
  <c r="W277" i="7"/>
  <c r="V277" i="7"/>
  <c r="U277" i="7"/>
  <c r="Z276" i="7"/>
  <c r="AA276" i="7" s="1"/>
  <c r="W276" i="7"/>
  <c r="V276" i="7"/>
  <c r="U276" i="7"/>
  <c r="Z275" i="7"/>
  <c r="AA275" i="7" s="1"/>
  <c r="W275" i="7"/>
  <c r="V275" i="7"/>
  <c r="U275" i="7"/>
  <c r="Z274" i="7"/>
  <c r="AA274" i="7" s="1"/>
  <c r="W274" i="7"/>
  <c r="V274" i="7"/>
  <c r="U274" i="7"/>
  <c r="Z273" i="7"/>
  <c r="AA273" i="7" s="1"/>
  <c r="W273" i="7"/>
  <c r="V273" i="7"/>
  <c r="U273" i="7"/>
  <c r="Z272" i="7"/>
  <c r="AA272" i="7" s="1"/>
  <c r="W272" i="7"/>
  <c r="V272" i="7"/>
  <c r="U272" i="7"/>
  <c r="Z271" i="7"/>
  <c r="AA271" i="7" s="1"/>
  <c r="W271" i="7"/>
  <c r="V271" i="7"/>
  <c r="U271" i="7"/>
  <c r="Z270" i="7"/>
  <c r="AA270" i="7" s="1"/>
  <c r="W270" i="7"/>
  <c r="V270" i="7"/>
  <c r="U270" i="7"/>
  <c r="Z269" i="7"/>
  <c r="AA269" i="7" s="1"/>
  <c r="W269" i="7"/>
  <c r="V269" i="7"/>
  <c r="U269" i="7"/>
  <c r="Z268" i="7"/>
  <c r="AA268" i="7" s="1"/>
  <c r="W268" i="7"/>
  <c r="V268" i="7"/>
  <c r="U268" i="7"/>
  <c r="Z267" i="7"/>
  <c r="AA267" i="7" s="1"/>
  <c r="W267" i="7"/>
  <c r="V267" i="7"/>
  <c r="U267" i="7"/>
  <c r="Z266" i="7"/>
  <c r="AA266" i="7" s="1"/>
  <c r="W266" i="7"/>
  <c r="V266" i="7"/>
  <c r="U266" i="7"/>
  <c r="Z265" i="7"/>
  <c r="AA265" i="7" s="1"/>
  <c r="W265" i="7"/>
  <c r="V265" i="7"/>
  <c r="U265" i="7"/>
  <c r="Z264" i="7"/>
  <c r="AA264" i="7" s="1"/>
  <c r="W264" i="7"/>
  <c r="V264" i="7"/>
  <c r="U264" i="7"/>
  <c r="Z263" i="7"/>
  <c r="AA263" i="7" s="1"/>
  <c r="W263" i="7"/>
  <c r="V263" i="7"/>
  <c r="U263" i="7"/>
  <c r="Z262" i="7"/>
  <c r="AA262" i="7" s="1"/>
  <c r="W262" i="7"/>
  <c r="V262" i="7"/>
  <c r="U262" i="7"/>
  <c r="Z261" i="7"/>
  <c r="AA261" i="7" s="1"/>
  <c r="W261" i="7"/>
  <c r="V261" i="7"/>
  <c r="U261" i="7"/>
  <c r="Z260" i="7"/>
  <c r="AA260" i="7" s="1"/>
  <c r="W260" i="7"/>
  <c r="V260" i="7"/>
  <c r="U260" i="7"/>
  <c r="Z259" i="7"/>
  <c r="AA259" i="7" s="1"/>
  <c r="W259" i="7"/>
  <c r="V259" i="7"/>
  <c r="U259" i="7"/>
  <c r="Z258" i="7"/>
  <c r="AA258" i="7" s="1"/>
  <c r="W258" i="7"/>
  <c r="V258" i="7"/>
  <c r="U258" i="7"/>
  <c r="Z257" i="7"/>
  <c r="AA257" i="7" s="1"/>
  <c r="W257" i="7"/>
  <c r="V257" i="7"/>
  <c r="U257" i="7"/>
  <c r="Z256" i="7"/>
  <c r="AA256" i="7" s="1"/>
  <c r="W256" i="7"/>
  <c r="V256" i="7"/>
  <c r="U256" i="7"/>
  <c r="Z255" i="7"/>
  <c r="AA255" i="7" s="1"/>
  <c r="W255" i="7"/>
  <c r="V255" i="7"/>
  <c r="U255" i="7"/>
  <c r="Z254" i="7"/>
  <c r="AA254" i="7" s="1"/>
  <c r="W254" i="7"/>
  <c r="V254" i="7"/>
  <c r="U254" i="7"/>
  <c r="Z253" i="7"/>
  <c r="AA253" i="7" s="1"/>
  <c r="W253" i="7"/>
  <c r="V253" i="7"/>
  <c r="U253" i="7"/>
  <c r="Z252" i="7"/>
  <c r="AA252" i="7" s="1"/>
  <c r="W252" i="7"/>
  <c r="V252" i="7"/>
  <c r="U252" i="7"/>
  <c r="Z251" i="7"/>
  <c r="AA251" i="7" s="1"/>
  <c r="W251" i="7"/>
  <c r="V251" i="7"/>
  <c r="U251" i="7"/>
  <c r="Z250" i="7"/>
  <c r="AA250" i="7" s="1"/>
  <c r="W250" i="7"/>
  <c r="V250" i="7"/>
  <c r="U250" i="7"/>
  <c r="Z249" i="7"/>
  <c r="AA249" i="7" s="1"/>
  <c r="W249" i="7"/>
  <c r="V249" i="7"/>
  <c r="U249" i="7"/>
  <c r="Z248" i="7"/>
  <c r="AA248" i="7" s="1"/>
  <c r="W248" i="7"/>
  <c r="V248" i="7"/>
  <c r="U248" i="7"/>
  <c r="Z247" i="7"/>
  <c r="AA247" i="7" s="1"/>
  <c r="W247" i="7"/>
  <c r="V247" i="7"/>
  <c r="U247" i="7"/>
  <c r="Z246" i="7"/>
  <c r="AA246" i="7" s="1"/>
  <c r="W246" i="7"/>
  <c r="V246" i="7"/>
  <c r="U246" i="7"/>
  <c r="Z245" i="7"/>
  <c r="AA245" i="7" s="1"/>
  <c r="W245" i="7"/>
  <c r="V245" i="7"/>
  <c r="U245" i="7"/>
  <c r="Z244" i="7"/>
  <c r="AA244" i="7" s="1"/>
  <c r="W244" i="7"/>
  <c r="V244" i="7"/>
  <c r="U244" i="7"/>
  <c r="Z243" i="7"/>
  <c r="AA243" i="7" s="1"/>
  <c r="W243" i="7"/>
  <c r="V243" i="7"/>
  <c r="U243" i="7"/>
  <c r="Z242" i="7"/>
  <c r="AA242" i="7" s="1"/>
  <c r="W242" i="7"/>
  <c r="V242" i="7"/>
  <c r="U242" i="7"/>
  <c r="Z241" i="7"/>
  <c r="AA241" i="7" s="1"/>
  <c r="W241" i="7"/>
  <c r="V241" i="7"/>
  <c r="U241" i="7"/>
  <c r="Z240" i="7"/>
  <c r="AA240" i="7" s="1"/>
  <c r="W240" i="7"/>
  <c r="V240" i="7"/>
  <c r="U240" i="7"/>
  <c r="Z239" i="7"/>
  <c r="AA239" i="7" s="1"/>
  <c r="W239" i="7"/>
  <c r="V239" i="7"/>
  <c r="U239" i="7"/>
  <c r="Z238" i="7"/>
  <c r="AA238" i="7" s="1"/>
  <c r="W238" i="7"/>
  <c r="V238" i="7"/>
  <c r="U238" i="7"/>
  <c r="Z237" i="7"/>
  <c r="AA237" i="7" s="1"/>
  <c r="W237" i="7"/>
  <c r="V237" i="7"/>
  <c r="U237" i="7"/>
  <c r="Z236" i="7"/>
  <c r="AA236" i="7" s="1"/>
  <c r="W236" i="7"/>
  <c r="V236" i="7"/>
  <c r="U236" i="7"/>
  <c r="Z235" i="7"/>
  <c r="AA235" i="7" s="1"/>
  <c r="W235" i="7"/>
  <c r="V235" i="7"/>
  <c r="U235" i="7"/>
  <c r="Z234" i="7"/>
  <c r="AA234" i="7" s="1"/>
  <c r="W234" i="7"/>
  <c r="V234" i="7"/>
  <c r="U234" i="7"/>
  <c r="Z233" i="7"/>
  <c r="AA233" i="7" s="1"/>
  <c r="W233" i="7"/>
  <c r="V233" i="7"/>
  <c r="U233" i="7"/>
  <c r="Z232" i="7"/>
  <c r="AA232" i="7" s="1"/>
  <c r="W232" i="7"/>
  <c r="V232" i="7"/>
  <c r="U232" i="7"/>
  <c r="Z231" i="7"/>
  <c r="AA231" i="7" s="1"/>
  <c r="W231" i="7"/>
  <c r="V231" i="7"/>
  <c r="U231" i="7"/>
  <c r="Z230" i="7"/>
  <c r="AA230" i="7" s="1"/>
  <c r="W230" i="7"/>
  <c r="V230" i="7"/>
  <c r="U230" i="7"/>
  <c r="Z229" i="7"/>
  <c r="AA229" i="7" s="1"/>
  <c r="W229" i="7"/>
  <c r="V229" i="7"/>
  <c r="U229" i="7"/>
  <c r="Z228" i="7"/>
  <c r="AA228" i="7" s="1"/>
  <c r="W228" i="7"/>
  <c r="V228" i="7"/>
  <c r="U228" i="7"/>
  <c r="Z227" i="7"/>
  <c r="AA227" i="7" s="1"/>
  <c r="W227" i="7"/>
  <c r="V227" i="7"/>
  <c r="U227" i="7"/>
  <c r="Z226" i="7"/>
  <c r="AA226" i="7" s="1"/>
  <c r="W226" i="7"/>
  <c r="V226" i="7"/>
  <c r="U226" i="7"/>
  <c r="Z225" i="7"/>
  <c r="AA225" i="7" s="1"/>
  <c r="W225" i="7"/>
  <c r="V225" i="7"/>
  <c r="U225" i="7"/>
  <c r="Z224" i="7"/>
  <c r="AA224" i="7" s="1"/>
  <c r="W224" i="7"/>
  <c r="V224" i="7"/>
  <c r="U224" i="7"/>
  <c r="Z223" i="7"/>
  <c r="AA223" i="7" s="1"/>
  <c r="W223" i="7"/>
  <c r="V223" i="7"/>
  <c r="U223" i="7"/>
  <c r="Z222" i="7"/>
  <c r="AA222" i="7" s="1"/>
  <c r="W222" i="7"/>
  <c r="V222" i="7"/>
  <c r="U222" i="7"/>
  <c r="Z221" i="7"/>
  <c r="AA221" i="7" s="1"/>
  <c r="W221" i="7"/>
  <c r="V221" i="7"/>
  <c r="U221" i="7"/>
  <c r="Z220" i="7"/>
  <c r="AA220" i="7" s="1"/>
  <c r="W220" i="7"/>
  <c r="V220" i="7"/>
  <c r="U220" i="7"/>
  <c r="Z219" i="7"/>
  <c r="AA219" i="7" s="1"/>
  <c r="W219" i="7"/>
  <c r="V219" i="7"/>
  <c r="U219" i="7"/>
  <c r="Z218" i="7"/>
  <c r="AA218" i="7" s="1"/>
  <c r="W218" i="7"/>
  <c r="V218" i="7"/>
  <c r="U218" i="7"/>
  <c r="Z217" i="7"/>
  <c r="AA217" i="7" s="1"/>
  <c r="W217" i="7"/>
  <c r="V217" i="7"/>
  <c r="U217" i="7"/>
  <c r="Z216" i="7"/>
  <c r="AA216" i="7" s="1"/>
  <c r="W216" i="7"/>
  <c r="V216" i="7"/>
  <c r="U216" i="7"/>
  <c r="Z215" i="7"/>
  <c r="AA215" i="7" s="1"/>
  <c r="W215" i="7"/>
  <c r="V215" i="7"/>
  <c r="U215" i="7"/>
  <c r="Z214" i="7"/>
  <c r="AA214" i="7" s="1"/>
  <c r="W214" i="7"/>
  <c r="V214" i="7"/>
  <c r="U214" i="7"/>
  <c r="Z213" i="7"/>
  <c r="AA213" i="7" s="1"/>
  <c r="W213" i="7"/>
  <c r="V213" i="7"/>
  <c r="U213" i="7"/>
  <c r="Z212" i="7"/>
  <c r="AA212" i="7" s="1"/>
  <c r="W212" i="7"/>
  <c r="V212" i="7"/>
  <c r="U212" i="7"/>
  <c r="Z211" i="7"/>
  <c r="AA211" i="7" s="1"/>
  <c r="W211" i="7"/>
  <c r="V211" i="7"/>
  <c r="U211" i="7"/>
  <c r="Z210" i="7"/>
  <c r="AA210" i="7" s="1"/>
  <c r="W210" i="7"/>
  <c r="V210" i="7"/>
  <c r="U210" i="7"/>
  <c r="Z209" i="7"/>
  <c r="AA209" i="7" s="1"/>
  <c r="W209" i="7"/>
  <c r="V209" i="7"/>
  <c r="U209" i="7"/>
  <c r="Z208" i="7"/>
  <c r="AA208" i="7" s="1"/>
  <c r="W208" i="7"/>
  <c r="V208" i="7"/>
  <c r="U208" i="7"/>
  <c r="Z207" i="7"/>
  <c r="AA207" i="7" s="1"/>
  <c r="W207" i="7"/>
  <c r="V207" i="7"/>
  <c r="U207" i="7"/>
  <c r="Z206" i="7"/>
  <c r="AA206" i="7" s="1"/>
  <c r="W206" i="7"/>
  <c r="V206" i="7"/>
  <c r="U206" i="7"/>
  <c r="Z205" i="7"/>
  <c r="AA205" i="7" s="1"/>
  <c r="W205" i="7"/>
  <c r="V205" i="7"/>
  <c r="U205" i="7"/>
  <c r="Z204" i="7"/>
  <c r="AA204" i="7" s="1"/>
  <c r="W204" i="7"/>
  <c r="V204" i="7"/>
  <c r="U204" i="7"/>
  <c r="Z203" i="7"/>
  <c r="AA203" i="7" s="1"/>
  <c r="W203" i="7"/>
  <c r="V203" i="7"/>
  <c r="U203" i="7"/>
  <c r="Z202" i="7"/>
  <c r="AA202" i="7" s="1"/>
  <c r="W202" i="7"/>
  <c r="V202" i="7"/>
  <c r="U202" i="7"/>
  <c r="Z201" i="7"/>
  <c r="AA201" i="7" s="1"/>
  <c r="W201" i="7"/>
  <c r="V201" i="7"/>
  <c r="U201" i="7"/>
  <c r="Z200" i="7"/>
  <c r="AA200" i="7" s="1"/>
  <c r="W200" i="7"/>
  <c r="V200" i="7"/>
  <c r="U200" i="7"/>
  <c r="Z199" i="7"/>
  <c r="AA199" i="7" s="1"/>
  <c r="W199" i="7"/>
  <c r="V199" i="7"/>
  <c r="U199" i="7"/>
  <c r="Z198" i="7"/>
  <c r="AA198" i="7" s="1"/>
  <c r="W198" i="7"/>
  <c r="V198" i="7"/>
  <c r="U198" i="7"/>
  <c r="Z197" i="7"/>
  <c r="AA197" i="7" s="1"/>
  <c r="W197" i="7"/>
  <c r="V197" i="7"/>
  <c r="U197" i="7"/>
  <c r="Z196" i="7"/>
  <c r="AA196" i="7" s="1"/>
  <c r="W196" i="7"/>
  <c r="V196" i="7"/>
  <c r="U196" i="7"/>
  <c r="Z195" i="7"/>
  <c r="AA195" i="7" s="1"/>
  <c r="W195" i="7"/>
  <c r="V195" i="7"/>
  <c r="U195" i="7"/>
  <c r="Z194" i="7"/>
  <c r="AA194" i="7" s="1"/>
  <c r="W194" i="7"/>
  <c r="V194" i="7"/>
  <c r="U194" i="7"/>
  <c r="Z193" i="7"/>
  <c r="AA193" i="7" s="1"/>
  <c r="W193" i="7"/>
  <c r="V193" i="7"/>
  <c r="U193" i="7"/>
  <c r="Z192" i="7"/>
  <c r="AA192" i="7" s="1"/>
  <c r="W192" i="7"/>
  <c r="V192" i="7"/>
  <c r="U192" i="7"/>
  <c r="Z191" i="7"/>
  <c r="AA191" i="7" s="1"/>
  <c r="W191" i="7"/>
  <c r="V191" i="7"/>
  <c r="U191" i="7"/>
  <c r="Z190" i="7"/>
  <c r="AA190" i="7" s="1"/>
  <c r="W190" i="7"/>
  <c r="V190" i="7"/>
  <c r="U190" i="7"/>
  <c r="Z189" i="7"/>
  <c r="AA189" i="7" s="1"/>
  <c r="W189" i="7"/>
  <c r="V189" i="7"/>
  <c r="U189" i="7"/>
  <c r="Z188" i="7"/>
  <c r="AA188" i="7" s="1"/>
  <c r="W188" i="7"/>
  <c r="V188" i="7"/>
  <c r="U188" i="7"/>
  <c r="Z187" i="7"/>
  <c r="AA187" i="7" s="1"/>
  <c r="W187" i="7"/>
  <c r="V187" i="7"/>
  <c r="U187" i="7"/>
  <c r="Z186" i="7"/>
  <c r="AA186" i="7" s="1"/>
  <c r="W186" i="7"/>
  <c r="V186" i="7"/>
  <c r="U186" i="7"/>
  <c r="Z185" i="7"/>
  <c r="AA185" i="7" s="1"/>
  <c r="W185" i="7"/>
  <c r="V185" i="7"/>
  <c r="U185" i="7"/>
  <c r="Z184" i="7"/>
  <c r="AA184" i="7" s="1"/>
  <c r="W184" i="7"/>
  <c r="V184" i="7"/>
  <c r="U184" i="7"/>
  <c r="Z183" i="7"/>
  <c r="AA183" i="7" s="1"/>
  <c r="W183" i="7"/>
  <c r="V183" i="7"/>
  <c r="U183" i="7"/>
  <c r="Z182" i="7"/>
  <c r="AA182" i="7" s="1"/>
  <c r="W182" i="7"/>
  <c r="V182" i="7"/>
  <c r="U182" i="7"/>
  <c r="Z181" i="7"/>
  <c r="AA181" i="7" s="1"/>
  <c r="W181" i="7"/>
  <c r="V181" i="7"/>
  <c r="U181" i="7"/>
  <c r="Z180" i="7"/>
  <c r="AA180" i="7" s="1"/>
  <c r="W180" i="7"/>
  <c r="V180" i="7"/>
  <c r="U180" i="7"/>
  <c r="Z179" i="7"/>
  <c r="AA179" i="7" s="1"/>
  <c r="W179" i="7"/>
  <c r="V179" i="7"/>
  <c r="U179" i="7"/>
  <c r="Z178" i="7"/>
  <c r="AA178" i="7" s="1"/>
  <c r="W178" i="7"/>
  <c r="V178" i="7"/>
  <c r="U178" i="7"/>
  <c r="Z177" i="7"/>
  <c r="AA177" i="7" s="1"/>
  <c r="W177" i="7"/>
  <c r="V177" i="7"/>
  <c r="U177" i="7"/>
  <c r="Z176" i="7"/>
  <c r="AA176" i="7" s="1"/>
  <c r="W176" i="7"/>
  <c r="V176" i="7"/>
  <c r="U176" i="7"/>
  <c r="Z175" i="7"/>
  <c r="AA175" i="7" s="1"/>
  <c r="W175" i="7"/>
  <c r="V175" i="7"/>
  <c r="U175" i="7"/>
  <c r="Z174" i="7"/>
  <c r="AA174" i="7" s="1"/>
  <c r="W174" i="7"/>
  <c r="V174" i="7"/>
  <c r="U174" i="7"/>
  <c r="Z173" i="7"/>
  <c r="AA173" i="7" s="1"/>
  <c r="W173" i="7"/>
  <c r="V173" i="7"/>
  <c r="U173" i="7"/>
  <c r="Z172" i="7"/>
  <c r="AA172" i="7" s="1"/>
  <c r="W172" i="7"/>
  <c r="V172" i="7"/>
  <c r="U172" i="7"/>
  <c r="Z171" i="7"/>
  <c r="AA171" i="7" s="1"/>
  <c r="W171" i="7"/>
  <c r="V171" i="7"/>
  <c r="U171" i="7"/>
  <c r="Z170" i="7"/>
  <c r="AA170" i="7" s="1"/>
  <c r="W170" i="7"/>
  <c r="V170" i="7"/>
  <c r="U170" i="7"/>
  <c r="Z169" i="7"/>
  <c r="AA169" i="7" s="1"/>
  <c r="W169" i="7"/>
  <c r="V169" i="7"/>
  <c r="U169" i="7"/>
  <c r="Z168" i="7"/>
  <c r="AA168" i="7" s="1"/>
  <c r="W168" i="7"/>
  <c r="V168" i="7"/>
  <c r="U168" i="7"/>
  <c r="Z167" i="7"/>
  <c r="AA167" i="7" s="1"/>
  <c r="W167" i="7"/>
  <c r="V167" i="7"/>
  <c r="U167" i="7"/>
  <c r="Z166" i="7"/>
  <c r="AA166" i="7" s="1"/>
  <c r="W166" i="7"/>
  <c r="V166" i="7"/>
  <c r="U166" i="7"/>
  <c r="Z165" i="7"/>
  <c r="AA165" i="7" s="1"/>
  <c r="W165" i="7"/>
  <c r="V165" i="7"/>
  <c r="U165" i="7"/>
  <c r="Z164" i="7"/>
  <c r="AA164" i="7" s="1"/>
  <c r="W164" i="7"/>
  <c r="V164" i="7"/>
  <c r="U164" i="7"/>
  <c r="Z163" i="7"/>
  <c r="AA163" i="7" s="1"/>
  <c r="W163" i="7"/>
  <c r="V163" i="7"/>
  <c r="U163" i="7"/>
  <c r="Z162" i="7"/>
  <c r="AA162" i="7" s="1"/>
  <c r="W162" i="7"/>
  <c r="V162" i="7"/>
  <c r="U162" i="7"/>
  <c r="Z161" i="7"/>
  <c r="AA161" i="7" s="1"/>
  <c r="W161" i="7"/>
  <c r="V161" i="7"/>
  <c r="U161" i="7"/>
  <c r="Z160" i="7"/>
  <c r="AA160" i="7" s="1"/>
  <c r="W160" i="7"/>
  <c r="V160" i="7"/>
  <c r="U160" i="7"/>
  <c r="Z159" i="7"/>
  <c r="AA159" i="7" s="1"/>
  <c r="W159" i="7"/>
  <c r="V159" i="7"/>
  <c r="U159" i="7"/>
  <c r="Z158" i="7"/>
  <c r="AA158" i="7" s="1"/>
  <c r="W158" i="7"/>
  <c r="V158" i="7"/>
  <c r="U158" i="7"/>
  <c r="Z157" i="7"/>
  <c r="AA157" i="7" s="1"/>
  <c r="W157" i="7"/>
  <c r="V157" i="7"/>
  <c r="U157" i="7"/>
  <c r="Z156" i="7"/>
  <c r="AA156" i="7" s="1"/>
  <c r="W156" i="7"/>
  <c r="V156" i="7"/>
  <c r="U156" i="7"/>
  <c r="Z155" i="7"/>
  <c r="AA155" i="7" s="1"/>
  <c r="W155" i="7"/>
  <c r="V155" i="7"/>
  <c r="U155" i="7"/>
  <c r="Z154" i="7"/>
  <c r="AA154" i="7" s="1"/>
  <c r="W154" i="7"/>
  <c r="V154" i="7"/>
  <c r="U154" i="7"/>
  <c r="Z153" i="7"/>
  <c r="AA153" i="7" s="1"/>
  <c r="W153" i="7"/>
  <c r="V153" i="7"/>
  <c r="U153" i="7"/>
  <c r="Z152" i="7"/>
  <c r="AA152" i="7" s="1"/>
  <c r="W152" i="7"/>
  <c r="V152" i="7"/>
  <c r="U152" i="7"/>
  <c r="Z151" i="7"/>
  <c r="AA151" i="7" s="1"/>
  <c r="W151" i="7"/>
  <c r="V151" i="7"/>
  <c r="U151" i="7"/>
  <c r="Z150" i="7"/>
  <c r="AA150" i="7" s="1"/>
  <c r="W150" i="7"/>
  <c r="V150" i="7"/>
  <c r="U150" i="7"/>
  <c r="Z149" i="7"/>
  <c r="AA149" i="7" s="1"/>
  <c r="W149" i="7"/>
  <c r="V149" i="7"/>
  <c r="U149" i="7"/>
  <c r="Z148" i="7"/>
  <c r="AA148" i="7" s="1"/>
  <c r="W148" i="7"/>
  <c r="V148" i="7"/>
  <c r="U148" i="7"/>
  <c r="Z147" i="7"/>
  <c r="AA147" i="7" s="1"/>
  <c r="W147" i="7"/>
  <c r="V147" i="7"/>
  <c r="U147" i="7"/>
  <c r="Z146" i="7"/>
  <c r="AA146" i="7" s="1"/>
  <c r="W146" i="7"/>
  <c r="V146" i="7"/>
  <c r="U146" i="7"/>
  <c r="Z145" i="7"/>
  <c r="AA145" i="7" s="1"/>
  <c r="W145" i="7"/>
  <c r="V145" i="7"/>
  <c r="U145" i="7"/>
  <c r="Z144" i="7"/>
  <c r="AA144" i="7" s="1"/>
  <c r="W144" i="7"/>
  <c r="V144" i="7"/>
  <c r="U144" i="7"/>
  <c r="Z143" i="7"/>
  <c r="AA143" i="7" s="1"/>
  <c r="W143" i="7"/>
  <c r="V143" i="7"/>
  <c r="U143" i="7"/>
  <c r="Z142" i="7"/>
  <c r="AA142" i="7" s="1"/>
  <c r="W142" i="7"/>
  <c r="V142" i="7"/>
  <c r="U142" i="7"/>
  <c r="Z141" i="7"/>
  <c r="AA141" i="7" s="1"/>
  <c r="W141" i="7"/>
  <c r="V141" i="7"/>
  <c r="U141" i="7"/>
  <c r="Z140" i="7"/>
  <c r="AA140" i="7" s="1"/>
  <c r="W140" i="7"/>
  <c r="V140" i="7"/>
  <c r="U140" i="7"/>
  <c r="Z139" i="7"/>
  <c r="AA139" i="7" s="1"/>
  <c r="W139" i="7"/>
  <c r="V139" i="7"/>
  <c r="U139" i="7"/>
  <c r="Z138" i="7"/>
  <c r="AA138" i="7" s="1"/>
  <c r="W138" i="7"/>
  <c r="V138" i="7"/>
  <c r="U138" i="7"/>
  <c r="Z137" i="7"/>
  <c r="AA137" i="7" s="1"/>
  <c r="W137" i="7"/>
  <c r="V137" i="7"/>
  <c r="U137" i="7"/>
  <c r="Z136" i="7"/>
  <c r="AA136" i="7" s="1"/>
  <c r="W136" i="7"/>
  <c r="V136" i="7"/>
  <c r="U136" i="7"/>
  <c r="Z135" i="7"/>
  <c r="AA135" i="7" s="1"/>
  <c r="W135" i="7"/>
  <c r="V135" i="7"/>
  <c r="U135" i="7"/>
  <c r="Z134" i="7"/>
  <c r="AA134" i="7" s="1"/>
  <c r="W134" i="7"/>
  <c r="V134" i="7"/>
  <c r="U134" i="7"/>
  <c r="Z133" i="7"/>
  <c r="AA133" i="7" s="1"/>
  <c r="W133" i="7"/>
  <c r="V133" i="7"/>
  <c r="U133" i="7"/>
  <c r="Z132" i="7"/>
  <c r="AA132" i="7" s="1"/>
  <c r="W132" i="7"/>
  <c r="V132" i="7"/>
  <c r="U132" i="7"/>
  <c r="Z131" i="7"/>
  <c r="AA131" i="7" s="1"/>
  <c r="W131" i="7"/>
  <c r="V131" i="7"/>
  <c r="U131" i="7"/>
  <c r="Z130" i="7"/>
  <c r="AA130" i="7" s="1"/>
  <c r="W130" i="7"/>
  <c r="V130" i="7"/>
  <c r="U130" i="7"/>
  <c r="Z129" i="7"/>
  <c r="AA129" i="7" s="1"/>
  <c r="W129" i="7"/>
  <c r="V129" i="7"/>
  <c r="U129" i="7"/>
  <c r="Z128" i="7"/>
  <c r="AA128" i="7" s="1"/>
  <c r="W128" i="7"/>
  <c r="V128" i="7"/>
  <c r="U128" i="7"/>
  <c r="Z127" i="7"/>
  <c r="AA127" i="7" s="1"/>
  <c r="W127" i="7"/>
  <c r="V127" i="7"/>
  <c r="U127" i="7"/>
  <c r="Z126" i="7"/>
  <c r="AA126" i="7" s="1"/>
  <c r="W126" i="7"/>
  <c r="V126" i="7"/>
  <c r="U126" i="7"/>
  <c r="Z125" i="7"/>
  <c r="AA125" i="7" s="1"/>
  <c r="W125" i="7"/>
  <c r="V125" i="7"/>
  <c r="U125" i="7"/>
  <c r="Z124" i="7"/>
  <c r="AA124" i="7" s="1"/>
  <c r="W124" i="7"/>
  <c r="V124" i="7"/>
  <c r="U124" i="7"/>
  <c r="Z123" i="7"/>
  <c r="AA123" i="7" s="1"/>
  <c r="W123" i="7"/>
  <c r="V123" i="7"/>
  <c r="U123" i="7"/>
  <c r="Z122" i="7"/>
  <c r="AA122" i="7" s="1"/>
  <c r="W122" i="7"/>
  <c r="V122" i="7"/>
  <c r="U122" i="7"/>
  <c r="Z121" i="7"/>
  <c r="AA121" i="7" s="1"/>
  <c r="W121" i="7"/>
  <c r="V121" i="7"/>
  <c r="U121" i="7"/>
  <c r="Z120" i="7"/>
  <c r="AA120" i="7" s="1"/>
  <c r="W120" i="7"/>
  <c r="V120" i="7"/>
  <c r="U120" i="7"/>
  <c r="Z119" i="7"/>
  <c r="AA119" i="7" s="1"/>
  <c r="W119" i="7"/>
  <c r="V119" i="7"/>
  <c r="U119" i="7"/>
  <c r="Z118" i="7"/>
  <c r="AA118" i="7" s="1"/>
  <c r="W118" i="7"/>
  <c r="V118" i="7"/>
  <c r="U118" i="7"/>
  <c r="Z117" i="7"/>
  <c r="AA117" i="7" s="1"/>
  <c r="W117" i="7"/>
  <c r="V117" i="7"/>
  <c r="U117" i="7"/>
  <c r="Z116" i="7"/>
  <c r="AA116" i="7" s="1"/>
  <c r="W116" i="7"/>
  <c r="V116" i="7"/>
  <c r="U116" i="7"/>
  <c r="Z115" i="7"/>
  <c r="AA115" i="7" s="1"/>
  <c r="W115" i="7"/>
  <c r="V115" i="7"/>
  <c r="U115" i="7"/>
  <c r="Z114" i="7"/>
  <c r="AA114" i="7" s="1"/>
  <c r="W114" i="7"/>
  <c r="V114" i="7"/>
  <c r="U114" i="7"/>
  <c r="Z113" i="7"/>
  <c r="AA113" i="7" s="1"/>
  <c r="W113" i="7"/>
  <c r="V113" i="7"/>
  <c r="U113" i="7"/>
  <c r="Z112" i="7"/>
  <c r="AA112" i="7" s="1"/>
  <c r="W112" i="7"/>
  <c r="V112" i="7"/>
  <c r="U112" i="7"/>
  <c r="Z111" i="7"/>
  <c r="AA111" i="7" s="1"/>
  <c r="W111" i="7"/>
  <c r="V111" i="7"/>
  <c r="U111" i="7"/>
  <c r="Z110" i="7"/>
  <c r="AA110" i="7" s="1"/>
  <c r="W110" i="7"/>
  <c r="V110" i="7"/>
  <c r="U110" i="7"/>
  <c r="Z109" i="7"/>
  <c r="AA109" i="7" s="1"/>
  <c r="W109" i="7"/>
  <c r="V109" i="7"/>
  <c r="U109" i="7"/>
  <c r="Z108" i="7"/>
  <c r="AA108" i="7" s="1"/>
  <c r="W108" i="7"/>
  <c r="V108" i="7"/>
  <c r="U108" i="7"/>
  <c r="Z107" i="7"/>
  <c r="AA107" i="7" s="1"/>
  <c r="W107" i="7"/>
  <c r="V107" i="7"/>
  <c r="U107" i="7"/>
  <c r="Z106" i="7"/>
  <c r="AA106" i="7" s="1"/>
  <c r="W106" i="7"/>
  <c r="V106" i="7"/>
  <c r="U106" i="7"/>
  <c r="Z105" i="7"/>
  <c r="AA105" i="7" s="1"/>
  <c r="W105" i="7"/>
  <c r="V105" i="7"/>
  <c r="U105" i="7"/>
  <c r="Z104" i="7"/>
  <c r="AA104" i="7" s="1"/>
  <c r="W104" i="7"/>
  <c r="V104" i="7"/>
  <c r="U104" i="7"/>
  <c r="Z103" i="7"/>
  <c r="AA103" i="7" s="1"/>
  <c r="W103" i="7"/>
  <c r="V103" i="7"/>
  <c r="U103" i="7"/>
  <c r="Z102" i="7"/>
  <c r="AA102" i="7" s="1"/>
  <c r="W102" i="7"/>
  <c r="V102" i="7"/>
  <c r="U102" i="7"/>
  <c r="Z101" i="7"/>
  <c r="AA101" i="7" s="1"/>
  <c r="W101" i="7"/>
  <c r="V101" i="7"/>
  <c r="U101" i="7"/>
  <c r="Z100" i="7"/>
  <c r="AA100" i="7" s="1"/>
  <c r="W100" i="7"/>
  <c r="V100" i="7"/>
  <c r="U100" i="7"/>
  <c r="Z99" i="7"/>
  <c r="AA99" i="7" s="1"/>
  <c r="W99" i="7"/>
  <c r="V99" i="7"/>
  <c r="U99" i="7"/>
  <c r="Z98" i="7"/>
  <c r="AA98" i="7" s="1"/>
  <c r="W98" i="7"/>
  <c r="V98" i="7"/>
  <c r="U98" i="7"/>
  <c r="Z97" i="7"/>
  <c r="AA97" i="7" s="1"/>
  <c r="W97" i="7"/>
  <c r="V97" i="7"/>
  <c r="U97" i="7"/>
  <c r="Z96" i="7"/>
  <c r="AA96" i="7" s="1"/>
  <c r="W96" i="7"/>
  <c r="V96" i="7"/>
  <c r="U96" i="7"/>
  <c r="Z95" i="7"/>
  <c r="AA95" i="7" s="1"/>
  <c r="W95" i="7"/>
  <c r="V95" i="7"/>
  <c r="U95" i="7"/>
  <c r="Z94" i="7"/>
  <c r="AA94" i="7" s="1"/>
  <c r="W94" i="7"/>
  <c r="V94" i="7"/>
  <c r="U94" i="7"/>
  <c r="Z93" i="7"/>
  <c r="AA93" i="7" s="1"/>
  <c r="W93" i="7"/>
  <c r="V93" i="7"/>
  <c r="U93" i="7"/>
  <c r="Z92" i="7"/>
  <c r="AA92" i="7" s="1"/>
  <c r="W92" i="7"/>
  <c r="V92" i="7"/>
  <c r="U92" i="7"/>
  <c r="Z91" i="7"/>
  <c r="AA91" i="7" s="1"/>
  <c r="W91" i="7"/>
  <c r="V91" i="7"/>
  <c r="U91" i="7"/>
  <c r="Z90" i="7"/>
  <c r="AA90" i="7" s="1"/>
  <c r="W90" i="7"/>
  <c r="V90" i="7"/>
  <c r="U90" i="7"/>
  <c r="Z89" i="7"/>
  <c r="AA89" i="7" s="1"/>
  <c r="W89" i="7"/>
  <c r="V89" i="7"/>
  <c r="U89" i="7"/>
  <c r="Z88" i="7"/>
  <c r="AA88" i="7" s="1"/>
  <c r="W88" i="7"/>
  <c r="V88" i="7"/>
  <c r="U88" i="7"/>
  <c r="Z87" i="7"/>
  <c r="AA87" i="7" s="1"/>
  <c r="W87" i="7"/>
  <c r="V87" i="7"/>
  <c r="U87" i="7"/>
  <c r="Z86" i="7"/>
  <c r="AA86" i="7" s="1"/>
  <c r="W86" i="7"/>
  <c r="V86" i="7"/>
  <c r="U86" i="7"/>
  <c r="Z85" i="7"/>
  <c r="AA85" i="7" s="1"/>
  <c r="W85" i="7"/>
  <c r="V85" i="7"/>
  <c r="U85" i="7"/>
  <c r="Z84" i="7"/>
  <c r="AA84" i="7" s="1"/>
  <c r="W84" i="7"/>
  <c r="V84" i="7"/>
  <c r="U84" i="7"/>
  <c r="Z83" i="7"/>
  <c r="AA83" i="7" s="1"/>
  <c r="W83" i="7"/>
  <c r="V83" i="7"/>
  <c r="U83" i="7"/>
  <c r="Z82" i="7"/>
  <c r="AA82" i="7" s="1"/>
  <c r="W82" i="7"/>
  <c r="V82" i="7"/>
  <c r="U82" i="7"/>
  <c r="Z81" i="7"/>
  <c r="AA81" i="7" s="1"/>
  <c r="W81" i="7"/>
  <c r="V81" i="7"/>
  <c r="U81" i="7"/>
  <c r="Z80" i="7"/>
  <c r="AA80" i="7" s="1"/>
  <c r="W80" i="7"/>
  <c r="V80" i="7"/>
  <c r="U80" i="7"/>
  <c r="Z79" i="7"/>
  <c r="AA79" i="7" s="1"/>
  <c r="W79" i="7"/>
  <c r="V79" i="7"/>
  <c r="U79" i="7"/>
  <c r="Z78" i="7"/>
  <c r="AA78" i="7" s="1"/>
  <c r="W78" i="7"/>
  <c r="V78" i="7"/>
  <c r="U78" i="7"/>
  <c r="Z77" i="7"/>
  <c r="AA77" i="7" s="1"/>
  <c r="W77" i="7"/>
  <c r="V77" i="7"/>
  <c r="U77" i="7"/>
  <c r="Z76" i="7"/>
  <c r="AA76" i="7" s="1"/>
  <c r="W76" i="7"/>
  <c r="V76" i="7"/>
  <c r="U76" i="7"/>
  <c r="Z75" i="7"/>
  <c r="AA75" i="7" s="1"/>
  <c r="W75" i="7"/>
  <c r="V75" i="7"/>
  <c r="U75" i="7"/>
  <c r="Z74" i="7"/>
  <c r="AA74" i="7" s="1"/>
  <c r="W74" i="7"/>
  <c r="V74" i="7"/>
  <c r="U74" i="7"/>
  <c r="Z73" i="7"/>
  <c r="AA73" i="7" s="1"/>
  <c r="W73" i="7"/>
  <c r="V73" i="7"/>
  <c r="U73" i="7"/>
  <c r="Z72" i="7"/>
  <c r="AA72" i="7" s="1"/>
  <c r="W72" i="7"/>
  <c r="V72" i="7"/>
  <c r="U72" i="7"/>
  <c r="Z71" i="7"/>
  <c r="AA71" i="7" s="1"/>
  <c r="W71" i="7"/>
  <c r="V71" i="7"/>
  <c r="U71" i="7"/>
  <c r="Z70" i="7"/>
  <c r="AA70" i="7" s="1"/>
  <c r="W70" i="7"/>
  <c r="V70" i="7"/>
  <c r="U70" i="7"/>
  <c r="Z69" i="7"/>
  <c r="AA69" i="7" s="1"/>
  <c r="W69" i="7"/>
  <c r="V69" i="7"/>
  <c r="U69" i="7"/>
  <c r="Z68" i="7"/>
  <c r="AA68" i="7" s="1"/>
  <c r="W68" i="7"/>
  <c r="V68" i="7"/>
  <c r="U68" i="7"/>
  <c r="Z67" i="7"/>
  <c r="AA67" i="7" s="1"/>
  <c r="W67" i="7"/>
  <c r="V67" i="7"/>
  <c r="U67" i="7"/>
  <c r="Z66" i="7"/>
  <c r="AA66" i="7" s="1"/>
  <c r="W66" i="7"/>
  <c r="V66" i="7"/>
  <c r="U66" i="7"/>
  <c r="Z65" i="7"/>
  <c r="AA65" i="7" s="1"/>
  <c r="W65" i="7"/>
  <c r="V65" i="7"/>
  <c r="U65" i="7"/>
  <c r="Z64" i="7"/>
  <c r="AA64" i="7" s="1"/>
  <c r="W64" i="7"/>
  <c r="V64" i="7"/>
  <c r="U64" i="7"/>
  <c r="Z63" i="7"/>
  <c r="AA63" i="7" s="1"/>
  <c r="W63" i="7"/>
  <c r="V63" i="7"/>
  <c r="U63" i="7"/>
  <c r="Z62" i="7"/>
  <c r="AA62" i="7" s="1"/>
  <c r="W62" i="7"/>
  <c r="V62" i="7"/>
  <c r="U62" i="7"/>
  <c r="Z61" i="7"/>
  <c r="AA61" i="7" s="1"/>
  <c r="W61" i="7"/>
  <c r="V61" i="7"/>
  <c r="U61" i="7"/>
  <c r="Z60" i="7"/>
  <c r="AA60" i="7" s="1"/>
  <c r="W60" i="7"/>
  <c r="V60" i="7"/>
  <c r="U60" i="7"/>
  <c r="Z59" i="7"/>
  <c r="AA59" i="7" s="1"/>
  <c r="W59" i="7"/>
  <c r="V59" i="7"/>
  <c r="U59" i="7"/>
  <c r="Z58" i="7"/>
  <c r="AA58" i="7" s="1"/>
  <c r="W58" i="7"/>
  <c r="V58" i="7"/>
  <c r="U58" i="7"/>
  <c r="Z57" i="7"/>
  <c r="AA57" i="7" s="1"/>
  <c r="W57" i="7"/>
  <c r="V57" i="7"/>
  <c r="U57" i="7"/>
  <c r="Z56" i="7"/>
  <c r="AA56" i="7" s="1"/>
  <c r="W56" i="7"/>
  <c r="V56" i="7"/>
  <c r="U56" i="7"/>
  <c r="Z55" i="7"/>
  <c r="AA55" i="7" s="1"/>
  <c r="W55" i="7"/>
  <c r="V55" i="7"/>
  <c r="U55" i="7"/>
  <c r="Z54" i="7"/>
  <c r="AA54" i="7" s="1"/>
  <c r="W54" i="7"/>
  <c r="V54" i="7"/>
  <c r="U54" i="7"/>
  <c r="Z53" i="7"/>
  <c r="AA53" i="7" s="1"/>
  <c r="W53" i="7"/>
  <c r="V53" i="7"/>
  <c r="U53" i="7"/>
  <c r="Z52" i="7"/>
  <c r="AA52" i="7" s="1"/>
  <c r="W52" i="7"/>
  <c r="V52" i="7"/>
  <c r="U52" i="7"/>
  <c r="Z51" i="7"/>
  <c r="AA51" i="7" s="1"/>
  <c r="W51" i="7"/>
  <c r="V51" i="7"/>
  <c r="U51" i="7"/>
  <c r="Z50" i="7"/>
  <c r="AA50" i="7" s="1"/>
  <c r="W50" i="7"/>
  <c r="V50" i="7"/>
  <c r="U50" i="7"/>
  <c r="Z49" i="7"/>
  <c r="AA49" i="7" s="1"/>
  <c r="W49" i="7"/>
  <c r="V49" i="7"/>
  <c r="U49" i="7"/>
  <c r="Z48" i="7"/>
  <c r="AA48" i="7" s="1"/>
  <c r="W48" i="7"/>
  <c r="V48" i="7"/>
  <c r="U48" i="7"/>
  <c r="Z47" i="7"/>
  <c r="AA47" i="7" s="1"/>
  <c r="W47" i="7"/>
  <c r="V47" i="7"/>
  <c r="U47" i="7"/>
  <c r="Z46" i="7"/>
  <c r="AA46" i="7" s="1"/>
  <c r="W46" i="7"/>
  <c r="V46" i="7"/>
  <c r="U46" i="7"/>
  <c r="Z45" i="7"/>
  <c r="AA45" i="7" s="1"/>
  <c r="W45" i="7"/>
  <c r="V45" i="7"/>
  <c r="U45" i="7"/>
  <c r="Z44" i="7"/>
  <c r="AA44" i="7" s="1"/>
  <c r="W44" i="7"/>
  <c r="V44" i="7"/>
  <c r="U44" i="7"/>
  <c r="Z43" i="7"/>
  <c r="AA43" i="7" s="1"/>
  <c r="W43" i="7"/>
  <c r="V43" i="7"/>
  <c r="U43" i="7"/>
  <c r="Z42" i="7"/>
  <c r="AA42" i="7" s="1"/>
  <c r="W42" i="7"/>
  <c r="V42" i="7"/>
  <c r="U42" i="7"/>
  <c r="Z41" i="7"/>
  <c r="AA41" i="7" s="1"/>
  <c r="W41" i="7"/>
  <c r="V41" i="7"/>
  <c r="U41" i="7"/>
  <c r="Z40" i="7"/>
  <c r="AA40" i="7" s="1"/>
  <c r="W40" i="7"/>
  <c r="V40" i="7"/>
  <c r="U40" i="7"/>
  <c r="Z39" i="7"/>
  <c r="AA39" i="7" s="1"/>
  <c r="W39" i="7"/>
  <c r="V39" i="7"/>
  <c r="U39" i="7"/>
  <c r="Z38" i="7"/>
  <c r="AA38" i="7" s="1"/>
  <c r="W38" i="7"/>
  <c r="V38" i="7"/>
  <c r="U38" i="7"/>
  <c r="Z37" i="7"/>
  <c r="AA37" i="7" s="1"/>
  <c r="W37" i="7"/>
  <c r="V37" i="7"/>
  <c r="U37" i="7"/>
  <c r="Z36" i="7"/>
  <c r="AA36" i="7" s="1"/>
  <c r="W36" i="7"/>
  <c r="V36" i="7"/>
  <c r="U36" i="7"/>
  <c r="Z35" i="7"/>
  <c r="AA35" i="7" s="1"/>
  <c r="W35" i="7"/>
  <c r="V35" i="7"/>
  <c r="U35" i="7"/>
  <c r="Z34" i="7"/>
  <c r="AA34" i="7" s="1"/>
  <c r="W34" i="7"/>
  <c r="V34" i="7"/>
  <c r="U34" i="7"/>
  <c r="Z33" i="7"/>
  <c r="AA33" i="7" s="1"/>
  <c r="U33" i="7"/>
  <c r="W33" i="7" s="1"/>
  <c r="Z32" i="7"/>
  <c r="AA32" i="7" s="1"/>
  <c r="U32" i="7"/>
  <c r="W32" i="7" s="1"/>
  <c r="Z31" i="7"/>
  <c r="AA31" i="7" s="1"/>
  <c r="U31" i="7"/>
  <c r="W31" i="7" s="1"/>
  <c r="Z30" i="7"/>
  <c r="U30" i="7"/>
  <c r="W30" i="7" s="1"/>
  <c r="Z29" i="7"/>
  <c r="U29" i="7"/>
  <c r="W29" i="7" s="1"/>
  <c r="Z28" i="7"/>
  <c r="AA28" i="7" s="1"/>
  <c r="U28" i="7"/>
  <c r="V28" i="7" s="1"/>
  <c r="Z27" i="7"/>
  <c r="AA27" i="7" s="1"/>
  <c r="U27" i="7"/>
  <c r="W27" i="7" s="1"/>
  <c r="Z26" i="7"/>
  <c r="U26" i="7"/>
  <c r="V26" i="7" s="1"/>
  <c r="Z25" i="7"/>
  <c r="AA25" i="7" s="1"/>
  <c r="U25" i="7"/>
  <c r="V25" i="7" s="1"/>
  <c r="Z24" i="7"/>
  <c r="U24" i="7"/>
  <c r="W24" i="7" s="1"/>
  <c r="Z23" i="7"/>
  <c r="AA23" i="7" s="1"/>
  <c r="U23" i="7"/>
  <c r="W23" i="7" s="1"/>
  <c r="Z22" i="7"/>
  <c r="AA22" i="7" s="1"/>
  <c r="U22" i="7"/>
  <c r="W22" i="7" s="1"/>
  <c r="Z21" i="7"/>
  <c r="AA21" i="7" s="1"/>
  <c r="U21" i="7"/>
  <c r="W21" i="7" s="1"/>
  <c r="Z20" i="7"/>
  <c r="U20" i="7"/>
  <c r="W20" i="7" s="1"/>
  <c r="Z19" i="7"/>
  <c r="AA19" i="7" s="1"/>
  <c r="U19" i="7"/>
  <c r="V19" i="7" s="1"/>
  <c r="Z18" i="7"/>
  <c r="U18" i="7"/>
  <c r="W18" i="7" s="1"/>
  <c r="Z17" i="7"/>
  <c r="AA17" i="7" s="1"/>
  <c r="U17" i="7"/>
  <c r="W17" i="7" s="1"/>
  <c r="Z16" i="7"/>
  <c r="AA16" i="7" s="1"/>
  <c r="U16" i="7"/>
  <c r="V16" i="7" s="1"/>
  <c r="Z15" i="7"/>
  <c r="U15" i="7"/>
  <c r="V15" i="7" s="1"/>
  <c r="Z14" i="7"/>
  <c r="AA14" i="7" s="1"/>
  <c r="U14" i="7"/>
  <c r="W14" i="7" s="1"/>
  <c r="Z13" i="7"/>
  <c r="AA13" i="7" s="1"/>
  <c r="U13" i="7"/>
  <c r="W13" i="7" s="1"/>
  <c r="Z12" i="7"/>
  <c r="U12" i="7"/>
  <c r="V12" i="7" s="1"/>
  <c r="Z11" i="7"/>
  <c r="AA11" i="7" s="1"/>
  <c r="U11" i="7"/>
  <c r="W11" i="7" s="1"/>
  <c r="Z10" i="7"/>
  <c r="AA10" i="7" s="1"/>
  <c r="U10" i="7"/>
  <c r="W10" i="7" s="1"/>
  <c r="Z9" i="7"/>
  <c r="U9" i="7"/>
  <c r="W9" i="7" s="1"/>
  <c r="Z8" i="7"/>
  <c r="AA8" i="7" s="1"/>
  <c r="U8" i="7"/>
  <c r="V8" i="7" s="1"/>
  <c r="Z7" i="7"/>
  <c r="AA7" i="7" s="1"/>
  <c r="U7" i="7"/>
  <c r="W7" i="7" s="1"/>
  <c r="Z6" i="7"/>
  <c r="AA6" i="7" s="1"/>
  <c r="U6" i="7"/>
  <c r="W6" i="7" s="1"/>
  <c r="Z5" i="7"/>
  <c r="AA5" i="7" s="1"/>
  <c r="U5" i="7"/>
  <c r="W5" i="7" s="1"/>
  <c r="Z304" i="6"/>
  <c r="AA304" i="6" s="1"/>
  <c r="W304" i="6"/>
  <c r="V304" i="6"/>
  <c r="U304" i="6"/>
  <c r="Z303" i="6"/>
  <c r="AA303" i="6" s="1"/>
  <c r="W303" i="6"/>
  <c r="V303" i="6"/>
  <c r="U303" i="6"/>
  <c r="Z302" i="6"/>
  <c r="AA302" i="6" s="1"/>
  <c r="W302" i="6"/>
  <c r="V302" i="6"/>
  <c r="U302" i="6"/>
  <c r="Z301" i="6"/>
  <c r="AA301" i="6" s="1"/>
  <c r="W301" i="6"/>
  <c r="V301" i="6"/>
  <c r="U301" i="6"/>
  <c r="Z300" i="6"/>
  <c r="AA300" i="6" s="1"/>
  <c r="W300" i="6"/>
  <c r="V300" i="6"/>
  <c r="U300" i="6"/>
  <c r="Z299" i="6"/>
  <c r="AA299" i="6" s="1"/>
  <c r="W299" i="6"/>
  <c r="V299" i="6"/>
  <c r="U299" i="6"/>
  <c r="Z298" i="6"/>
  <c r="AA298" i="6" s="1"/>
  <c r="W298" i="6"/>
  <c r="V298" i="6"/>
  <c r="U298" i="6"/>
  <c r="Z297" i="6"/>
  <c r="AA297" i="6" s="1"/>
  <c r="W297" i="6"/>
  <c r="V297" i="6"/>
  <c r="U297" i="6"/>
  <c r="Z296" i="6"/>
  <c r="AA296" i="6" s="1"/>
  <c r="W296" i="6"/>
  <c r="V296" i="6"/>
  <c r="U296" i="6"/>
  <c r="Z295" i="6"/>
  <c r="AA295" i="6" s="1"/>
  <c r="W295" i="6"/>
  <c r="V295" i="6"/>
  <c r="U295" i="6"/>
  <c r="Z294" i="6"/>
  <c r="AA294" i="6" s="1"/>
  <c r="W294" i="6"/>
  <c r="V294" i="6"/>
  <c r="U294" i="6"/>
  <c r="Z293" i="6"/>
  <c r="AA293" i="6" s="1"/>
  <c r="W293" i="6"/>
  <c r="V293" i="6"/>
  <c r="U293" i="6"/>
  <c r="Z292" i="6"/>
  <c r="AA292" i="6" s="1"/>
  <c r="W292" i="6"/>
  <c r="V292" i="6"/>
  <c r="U292" i="6"/>
  <c r="Z291" i="6"/>
  <c r="AA291" i="6" s="1"/>
  <c r="W291" i="6"/>
  <c r="V291" i="6"/>
  <c r="U291" i="6"/>
  <c r="Z290" i="6"/>
  <c r="AA290" i="6" s="1"/>
  <c r="W290" i="6"/>
  <c r="V290" i="6"/>
  <c r="U290" i="6"/>
  <c r="Z289" i="6"/>
  <c r="AA289" i="6" s="1"/>
  <c r="W289" i="6"/>
  <c r="V289" i="6"/>
  <c r="U289" i="6"/>
  <c r="Z288" i="6"/>
  <c r="AA288" i="6" s="1"/>
  <c r="W288" i="6"/>
  <c r="V288" i="6"/>
  <c r="U288" i="6"/>
  <c r="Z287" i="6"/>
  <c r="AA287" i="6" s="1"/>
  <c r="W287" i="6"/>
  <c r="V287" i="6"/>
  <c r="U287" i="6"/>
  <c r="Z286" i="6"/>
  <c r="AA286" i="6" s="1"/>
  <c r="W286" i="6"/>
  <c r="V286" i="6"/>
  <c r="U286" i="6"/>
  <c r="Z285" i="6"/>
  <c r="AA285" i="6" s="1"/>
  <c r="W285" i="6"/>
  <c r="V285" i="6"/>
  <c r="U285" i="6"/>
  <c r="Z284" i="6"/>
  <c r="AA284" i="6" s="1"/>
  <c r="W284" i="6"/>
  <c r="V284" i="6"/>
  <c r="U284" i="6"/>
  <c r="Z283" i="6"/>
  <c r="AA283" i="6" s="1"/>
  <c r="W283" i="6"/>
  <c r="V283" i="6"/>
  <c r="U283" i="6"/>
  <c r="Z282" i="6"/>
  <c r="AA282" i="6" s="1"/>
  <c r="W282" i="6"/>
  <c r="V282" i="6"/>
  <c r="U282" i="6"/>
  <c r="Z281" i="6"/>
  <c r="AA281" i="6" s="1"/>
  <c r="W281" i="6"/>
  <c r="V281" i="6"/>
  <c r="U281" i="6"/>
  <c r="Z280" i="6"/>
  <c r="AA280" i="6" s="1"/>
  <c r="W280" i="6"/>
  <c r="V280" i="6"/>
  <c r="U280" i="6"/>
  <c r="Z279" i="6"/>
  <c r="AA279" i="6" s="1"/>
  <c r="W279" i="6"/>
  <c r="V279" i="6"/>
  <c r="U279" i="6"/>
  <c r="Z278" i="6"/>
  <c r="AA278" i="6" s="1"/>
  <c r="W278" i="6"/>
  <c r="V278" i="6"/>
  <c r="U278" i="6"/>
  <c r="Z277" i="6"/>
  <c r="AA277" i="6" s="1"/>
  <c r="W277" i="6"/>
  <c r="V277" i="6"/>
  <c r="U277" i="6"/>
  <c r="Z276" i="6"/>
  <c r="AA276" i="6" s="1"/>
  <c r="W276" i="6"/>
  <c r="V276" i="6"/>
  <c r="U276" i="6"/>
  <c r="Z275" i="6"/>
  <c r="AA275" i="6" s="1"/>
  <c r="W275" i="6"/>
  <c r="V275" i="6"/>
  <c r="U275" i="6"/>
  <c r="Z274" i="6"/>
  <c r="AA274" i="6" s="1"/>
  <c r="W274" i="6"/>
  <c r="V274" i="6"/>
  <c r="U274" i="6"/>
  <c r="Z273" i="6"/>
  <c r="AA273" i="6" s="1"/>
  <c r="W273" i="6"/>
  <c r="V273" i="6"/>
  <c r="U273" i="6"/>
  <c r="Z272" i="6"/>
  <c r="AA272" i="6" s="1"/>
  <c r="W272" i="6"/>
  <c r="V272" i="6"/>
  <c r="U272" i="6"/>
  <c r="Z271" i="6"/>
  <c r="AA271" i="6" s="1"/>
  <c r="W271" i="6"/>
  <c r="V271" i="6"/>
  <c r="U271" i="6"/>
  <c r="Z270" i="6"/>
  <c r="AA270" i="6" s="1"/>
  <c r="W270" i="6"/>
  <c r="V270" i="6"/>
  <c r="U270" i="6"/>
  <c r="Z269" i="6"/>
  <c r="AA269" i="6" s="1"/>
  <c r="W269" i="6"/>
  <c r="V269" i="6"/>
  <c r="U269" i="6"/>
  <c r="Z268" i="6"/>
  <c r="AA268" i="6" s="1"/>
  <c r="W268" i="6"/>
  <c r="V268" i="6"/>
  <c r="U268" i="6"/>
  <c r="Z267" i="6"/>
  <c r="AA267" i="6" s="1"/>
  <c r="W267" i="6"/>
  <c r="V267" i="6"/>
  <c r="U267" i="6"/>
  <c r="Z266" i="6"/>
  <c r="AA266" i="6" s="1"/>
  <c r="W266" i="6"/>
  <c r="V266" i="6"/>
  <c r="U266" i="6"/>
  <c r="Z265" i="6"/>
  <c r="AA265" i="6" s="1"/>
  <c r="W265" i="6"/>
  <c r="V265" i="6"/>
  <c r="U265" i="6"/>
  <c r="Z264" i="6"/>
  <c r="AA264" i="6" s="1"/>
  <c r="W264" i="6"/>
  <c r="V264" i="6"/>
  <c r="U264" i="6"/>
  <c r="Z263" i="6"/>
  <c r="AA263" i="6" s="1"/>
  <c r="W263" i="6"/>
  <c r="V263" i="6"/>
  <c r="U263" i="6"/>
  <c r="Z262" i="6"/>
  <c r="AA262" i="6" s="1"/>
  <c r="W262" i="6"/>
  <c r="V262" i="6"/>
  <c r="U262" i="6"/>
  <c r="Z261" i="6"/>
  <c r="AA261" i="6" s="1"/>
  <c r="W261" i="6"/>
  <c r="V261" i="6"/>
  <c r="U261" i="6"/>
  <c r="Z260" i="6"/>
  <c r="AA260" i="6" s="1"/>
  <c r="W260" i="6"/>
  <c r="V260" i="6"/>
  <c r="U260" i="6"/>
  <c r="Z259" i="6"/>
  <c r="AA259" i="6" s="1"/>
  <c r="W259" i="6"/>
  <c r="V259" i="6"/>
  <c r="U259" i="6"/>
  <c r="Z258" i="6"/>
  <c r="AA258" i="6" s="1"/>
  <c r="W258" i="6"/>
  <c r="V258" i="6"/>
  <c r="U258" i="6"/>
  <c r="Z257" i="6"/>
  <c r="AA257" i="6" s="1"/>
  <c r="W257" i="6"/>
  <c r="V257" i="6"/>
  <c r="U257" i="6"/>
  <c r="Z256" i="6"/>
  <c r="AA256" i="6" s="1"/>
  <c r="W256" i="6"/>
  <c r="V256" i="6"/>
  <c r="U256" i="6"/>
  <c r="Z255" i="6"/>
  <c r="AA255" i="6" s="1"/>
  <c r="W255" i="6"/>
  <c r="V255" i="6"/>
  <c r="U255" i="6"/>
  <c r="Z254" i="6"/>
  <c r="AA254" i="6" s="1"/>
  <c r="W254" i="6"/>
  <c r="V254" i="6"/>
  <c r="U254" i="6"/>
  <c r="Z253" i="6"/>
  <c r="AA253" i="6" s="1"/>
  <c r="W253" i="6"/>
  <c r="V253" i="6"/>
  <c r="U253" i="6"/>
  <c r="Z252" i="6"/>
  <c r="AA252" i="6" s="1"/>
  <c r="W252" i="6"/>
  <c r="V252" i="6"/>
  <c r="U252" i="6"/>
  <c r="Z251" i="6"/>
  <c r="AA251" i="6" s="1"/>
  <c r="W251" i="6"/>
  <c r="V251" i="6"/>
  <c r="U251" i="6"/>
  <c r="Z250" i="6"/>
  <c r="AA250" i="6" s="1"/>
  <c r="W250" i="6"/>
  <c r="V250" i="6"/>
  <c r="U250" i="6"/>
  <c r="Z249" i="6"/>
  <c r="AA249" i="6" s="1"/>
  <c r="W249" i="6"/>
  <c r="V249" i="6"/>
  <c r="U249" i="6"/>
  <c r="Z248" i="6"/>
  <c r="AA248" i="6" s="1"/>
  <c r="W248" i="6"/>
  <c r="V248" i="6"/>
  <c r="U248" i="6"/>
  <c r="Z247" i="6"/>
  <c r="AA247" i="6" s="1"/>
  <c r="W247" i="6"/>
  <c r="V247" i="6"/>
  <c r="U247" i="6"/>
  <c r="Z246" i="6"/>
  <c r="AA246" i="6" s="1"/>
  <c r="W246" i="6"/>
  <c r="V246" i="6"/>
  <c r="U246" i="6"/>
  <c r="Z245" i="6"/>
  <c r="AA245" i="6" s="1"/>
  <c r="W245" i="6"/>
  <c r="V245" i="6"/>
  <c r="U245" i="6"/>
  <c r="Z244" i="6"/>
  <c r="AA244" i="6" s="1"/>
  <c r="W244" i="6"/>
  <c r="V244" i="6"/>
  <c r="U244" i="6"/>
  <c r="Z243" i="6"/>
  <c r="AA243" i="6" s="1"/>
  <c r="W243" i="6"/>
  <c r="V243" i="6"/>
  <c r="U243" i="6"/>
  <c r="Z242" i="6"/>
  <c r="AA242" i="6" s="1"/>
  <c r="W242" i="6"/>
  <c r="V242" i="6"/>
  <c r="U242" i="6"/>
  <c r="Z241" i="6"/>
  <c r="AA241" i="6" s="1"/>
  <c r="W241" i="6"/>
  <c r="V241" i="6"/>
  <c r="U241" i="6"/>
  <c r="Z240" i="6"/>
  <c r="AA240" i="6" s="1"/>
  <c r="W240" i="6"/>
  <c r="V240" i="6"/>
  <c r="U240" i="6"/>
  <c r="Z239" i="6"/>
  <c r="AA239" i="6" s="1"/>
  <c r="W239" i="6"/>
  <c r="V239" i="6"/>
  <c r="U239" i="6"/>
  <c r="Z238" i="6"/>
  <c r="AA238" i="6" s="1"/>
  <c r="W238" i="6"/>
  <c r="V238" i="6"/>
  <c r="U238" i="6"/>
  <c r="Z237" i="6"/>
  <c r="AA237" i="6" s="1"/>
  <c r="W237" i="6"/>
  <c r="V237" i="6"/>
  <c r="U237" i="6"/>
  <c r="Z236" i="6"/>
  <c r="AA236" i="6" s="1"/>
  <c r="W236" i="6"/>
  <c r="V236" i="6"/>
  <c r="U236" i="6"/>
  <c r="Z235" i="6"/>
  <c r="AA235" i="6" s="1"/>
  <c r="W235" i="6"/>
  <c r="V235" i="6"/>
  <c r="U235" i="6"/>
  <c r="Z234" i="6"/>
  <c r="AA234" i="6" s="1"/>
  <c r="W234" i="6"/>
  <c r="V234" i="6"/>
  <c r="U234" i="6"/>
  <c r="Z233" i="6"/>
  <c r="AA233" i="6" s="1"/>
  <c r="W233" i="6"/>
  <c r="V233" i="6"/>
  <c r="U233" i="6"/>
  <c r="Z232" i="6"/>
  <c r="AA232" i="6" s="1"/>
  <c r="W232" i="6"/>
  <c r="V232" i="6"/>
  <c r="U232" i="6"/>
  <c r="Z231" i="6"/>
  <c r="AA231" i="6" s="1"/>
  <c r="W231" i="6"/>
  <c r="V231" i="6"/>
  <c r="U231" i="6"/>
  <c r="Z230" i="6"/>
  <c r="AA230" i="6" s="1"/>
  <c r="W230" i="6"/>
  <c r="V230" i="6"/>
  <c r="U230" i="6"/>
  <c r="Z229" i="6"/>
  <c r="AA229" i="6" s="1"/>
  <c r="W229" i="6"/>
  <c r="V229" i="6"/>
  <c r="U229" i="6"/>
  <c r="Z228" i="6"/>
  <c r="AA228" i="6" s="1"/>
  <c r="W228" i="6"/>
  <c r="V228" i="6"/>
  <c r="U228" i="6"/>
  <c r="Z227" i="6"/>
  <c r="AA227" i="6" s="1"/>
  <c r="W227" i="6"/>
  <c r="V227" i="6"/>
  <c r="U227" i="6"/>
  <c r="Z226" i="6"/>
  <c r="AA226" i="6" s="1"/>
  <c r="W226" i="6"/>
  <c r="V226" i="6"/>
  <c r="U226" i="6"/>
  <c r="Z225" i="6"/>
  <c r="AA225" i="6" s="1"/>
  <c r="W225" i="6"/>
  <c r="V225" i="6"/>
  <c r="U225" i="6"/>
  <c r="Z224" i="6"/>
  <c r="AA224" i="6" s="1"/>
  <c r="W224" i="6"/>
  <c r="V224" i="6"/>
  <c r="U224" i="6"/>
  <c r="Z223" i="6"/>
  <c r="AA223" i="6" s="1"/>
  <c r="W223" i="6"/>
  <c r="V223" i="6"/>
  <c r="U223" i="6"/>
  <c r="Z222" i="6"/>
  <c r="AA222" i="6" s="1"/>
  <c r="W222" i="6"/>
  <c r="V222" i="6"/>
  <c r="U222" i="6"/>
  <c r="Z221" i="6"/>
  <c r="AA221" i="6" s="1"/>
  <c r="W221" i="6"/>
  <c r="V221" i="6"/>
  <c r="U221" i="6"/>
  <c r="Z220" i="6"/>
  <c r="AA220" i="6" s="1"/>
  <c r="W220" i="6"/>
  <c r="V220" i="6"/>
  <c r="U220" i="6"/>
  <c r="Z219" i="6"/>
  <c r="AA219" i="6" s="1"/>
  <c r="W219" i="6"/>
  <c r="V219" i="6"/>
  <c r="U219" i="6"/>
  <c r="Z218" i="6"/>
  <c r="AA218" i="6" s="1"/>
  <c r="W218" i="6"/>
  <c r="V218" i="6"/>
  <c r="U218" i="6"/>
  <c r="Z217" i="6"/>
  <c r="AA217" i="6" s="1"/>
  <c r="W217" i="6"/>
  <c r="V217" i="6"/>
  <c r="U217" i="6"/>
  <c r="Z216" i="6"/>
  <c r="AA216" i="6" s="1"/>
  <c r="W216" i="6"/>
  <c r="V216" i="6"/>
  <c r="U216" i="6"/>
  <c r="Z215" i="6"/>
  <c r="AA215" i="6" s="1"/>
  <c r="W215" i="6"/>
  <c r="V215" i="6"/>
  <c r="U215" i="6"/>
  <c r="Z214" i="6"/>
  <c r="AA214" i="6" s="1"/>
  <c r="W214" i="6"/>
  <c r="V214" i="6"/>
  <c r="U214" i="6"/>
  <c r="Z213" i="6"/>
  <c r="AA213" i="6" s="1"/>
  <c r="W213" i="6"/>
  <c r="V213" i="6"/>
  <c r="U213" i="6"/>
  <c r="Z212" i="6"/>
  <c r="AA212" i="6" s="1"/>
  <c r="W212" i="6"/>
  <c r="V212" i="6"/>
  <c r="U212" i="6"/>
  <c r="Z211" i="6"/>
  <c r="AA211" i="6" s="1"/>
  <c r="W211" i="6"/>
  <c r="V211" i="6"/>
  <c r="U211" i="6"/>
  <c r="Z210" i="6"/>
  <c r="AA210" i="6" s="1"/>
  <c r="W210" i="6"/>
  <c r="V210" i="6"/>
  <c r="U210" i="6"/>
  <c r="Z209" i="6"/>
  <c r="AA209" i="6" s="1"/>
  <c r="W209" i="6"/>
  <c r="V209" i="6"/>
  <c r="U209" i="6"/>
  <c r="Z208" i="6"/>
  <c r="AA208" i="6" s="1"/>
  <c r="W208" i="6"/>
  <c r="V208" i="6"/>
  <c r="U208" i="6"/>
  <c r="Z207" i="6"/>
  <c r="AA207" i="6" s="1"/>
  <c r="W207" i="6"/>
  <c r="V207" i="6"/>
  <c r="U207" i="6"/>
  <c r="Z206" i="6"/>
  <c r="AA206" i="6" s="1"/>
  <c r="W206" i="6"/>
  <c r="V206" i="6"/>
  <c r="U206" i="6"/>
  <c r="Z205" i="6"/>
  <c r="AA205" i="6" s="1"/>
  <c r="W205" i="6"/>
  <c r="V205" i="6"/>
  <c r="U205" i="6"/>
  <c r="Z204" i="6"/>
  <c r="AA204" i="6" s="1"/>
  <c r="W204" i="6"/>
  <c r="V204" i="6"/>
  <c r="U204" i="6"/>
  <c r="Z203" i="6"/>
  <c r="AA203" i="6" s="1"/>
  <c r="W203" i="6"/>
  <c r="V203" i="6"/>
  <c r="U203" i="6"/>
  <c r="Z202" i="6"/>
  <c r="AA202" i="6" s="1"/>
  <c r="W202" i="6"/>
  <c r="V202" i="6"/>
  <c r="U202" i="6"/>
  <c r="Z201" i="6"/>
  <c r="AA201" i="6" s="1"/>
  <c r="W201" i="6"/>
  <c r="V201" i="6"/>
  <c r="U201" i="6"/>
  <c r="Z200" i="6"/>
  <c r="AA200" i="6" s="1"/>
  <c r="W200" i="6"/>
  <c r="V200" i="6"/>
  <c r="U200" i="6"/>
  <c r="Z199" i="6"/>
  <c r="AA199" i="6" s="1"/>
  <c r="W199" i="6"/>
  <c r="V199" i="6"/>
  <c r="U199" i="6"/>
  <c r="Z198" i="6"/>
  <c r="AA198" i="6" s="1"/>
  <c r="W198" i="6"/>
  <c r="V198" i="6"/>
  <c r="U198" i="6"/>
  <c r="Z197" i="6"/>
  <c r="AA197" i="6" s="1"/>
  <c r="W197" i="6"/>
  <c r="V197" i="6"/>
  <c r="U197" i="6"/>
  <c r="Z196" i="6"/>
  <c r="AA196" i="6" s="1"/>
  <c r="W196" i="6"/>
  <c r="V196" i="6"/>
  <c r="U196" i="6"/>
  <c r="Z195" i="6"/>
  <c r="AA195" i="6" s="1"/>
  <c r="W195" i="6"/>
  <c r="V195" i="6"/>
  <c r="U195" i="6"/>
  <c r="Z194" i="6"/>
  <c r="AA194" i="6" s="1"/>
  <c r="W194" i="6"/>
  <c r="V194" i="6"/>
  <c r="U194" i="6"/>
  <c r="Z193" i="6"/>
  <c r="AA193" i="6" s="1"/>
  <c r="W193" i="6"/>
  <c r="V193" i="6"/>
  <c r="U193" i="6"/>
  <c r="Z192" i="6"/>
  <c r="AA192" i="6" s="1"/>
  <c r="W192" i="6"/>
  <c r="V192" i="6"/>
  <c r="U192" i="6"/>
  <c r="Z191" i="6"/>
  <c r="AA191" i="6" s="1"/>
  <c r="W191" i="6"/>
  <c r="V191" i="6"/>
  <c r="U191" i="6"/>
  <c r="Z190" i="6"/>
  <c r="AA190" i="6" s="1"/>
  <c r="W190" i="6"/>
  <c r="V190" i="6"/>
  <c r="U190" i="6"/>
  <c r="Z189" i="6"/>
  <c r="AA189" i="6" s="1"/>
  <c r="W189" i="6"/>
  <c r="V189" i="6"/>
  <c r="U189" i="6"/>
  <c r="Z188" i="6"/>
  <c r="AA188" i="6" s="1"/>
  <c r="W188" i="6"/>
  <c r="V188" i="6"/>
  <c r="U188" i="6"/>
  <c r="Z187" i="6"/>
  <c r="AA187" i="6" s="1"/>
  <c r="W187" i="6"/>
  <c r="V187" i="6"/>
  <c r="U187" i="6"/>
  <c r="Z186" i="6"/>
  <c r="AA186" i="6" s="1"/>
  <c r="W186" i="6"/>
  <c r="V186" i="6"/>
  <c r="U186" i="6"/>
  <c r="Z185" i="6"/>
  <c r="AA185" i="6" s="1"/>
  <c r="W185" i="6"/>
  <c r="V185" i="6"/>
  <c r="U185" i="6"/>
  <c r="Z184" i="6"/>
  <c r="AA184" i="6" s="1"/>
  <c r="W184" i="6"/>
  <c r="V184" i="6"/>
  <c r="U184" i="6"/>
  <c r="Z183" i="6"/>
  <c r="AA183" i="6" s="1"/>
  <c r="W183" i="6"/>
  <c r="V183" i="6"/>
  <c r="U183" i="6"/>
  <c r="Z182" i="6"/>
  <c r="AA182" i="6" s="1"/>
  <c r="W182" i="6"/>
  <c r="V182" i="6"/>
  <c r="U182" i="6"/>
  <c r="Z181" i="6"/>
  <c r="AA181" i="6" s="1"/>
  <c r="W181" i="6"/>
  <c r="V181" i="6"/>
  <c r="U181" i="6"/>
  <c r="Z180" i="6"/>
  <c r="AA180" i="6" s="1"/>
  <c r="W180" i="6"/>
  <c r="V180" i="6"/>
  <c r="U180" i="6"/>
  <c r="Z179" i="6"/>
  <c r="AA179" i="6" s="1"/>
  <c r="W179" i="6"/>
  <c r="V179" i="6"/>
  <c r="U179" i="6"/>
  <c r="Z178" i="6"/>
  <c r="AA178" i="6" s="1"/>
  <c r="W178" i="6"/>
  <c r="V178" i="6"/>
  <c r="U178" i="6"/>
  <c r="Z177" i="6"/>
  <c r="AA177" i="6" s="1"/>
  <c r="W177" i="6"/>
  <c r="V177" i="6"/>
  <c r="U177" i="6"/>
  <c r="Z176" i="6"/>
  <c r="AA176" i="6" s="1"/>
  <c r="W176" i="6"/>
  <c r="V176" i="6"/>
  <c r="U176" i="6"/>
  <c r="Z175" i="6"/>
  <c r="AA175" i="6" s="1"/>
  <c r="W175" i="6"/>
  <c r="V175" i="6"/>
  <c r="U175" i="6"/>
  <c r="Z174" i="6"/>
  <c r="AA174" i="6" s="1"/>
  <c r="W174" i="6"/>
  <c r="V174" i="6"/>
  <c r="U174" i="6"/>
  <c r="Z173" i="6"/>
  <c r="AA173" i="6" s="1"/>
  <c r="W173" i="6"/>
  <c r="V173" i="6"/>
  <c r="U173" i="6"/>
  <c r="Z172" i="6"/>
  <c r="AA172" i="6" s="1"/>
  <c r="W172" i="6"/>
  <c r="V172" i="6"/>
  <c r="U172" i="6"/>
  <c r="Z171" i="6"/>
  <c r="AA171" i="6" s="1"/>
  <c r="W171" i="6"/>
  <c r="V171" i="6"/>
  <c r="U171" i="6"/>
  <c r="Z170" i="6"/>
  <c r="AA170" i="6" s="1"/>
  <c r="W170" i="6"/>
  <c r="V170" i="6"/>
  <c r="U170" i="6"/>
  <c r="Z169" i="6"/>
  <c r="AA169" i="6" s="1"/>
  <c r="W169" i="6"/>
  <c r="V169" i="6"/>
  <c r="U169" i="6"/>
  <c r="Z168" i="6"/>
  <c r="AA168" i="6" s="1"/>
  <c r="W168" i="6"/>
  <c r="V168" i="6"/>
  <c r="U168" i="6"/>
  <c r="Z167" i="6"/>
  <c r="AA167" i="6" s="1"/>
  <c r="W167" i="6"/>
  <c r="V167" i="6"/>
  <c r="U167" i="6"/>
  <c r="Z166" i="6"/>
  <c r="AA166" i="6" s="1"/>
  <c r="W166" i="6"/>
  <c r="V166" i="6"/>
  <c r="U166" i="6"/>
  <c r="Z165" i="6"/>
  <c r="AA165" i="6" s="1"/>
  <c r="W165" i="6"/>
  <c r="V165" i="6"/>
  <c r="U165" i="6"/>
  <c r="Z164" i="6"/>
  <c r="AA164" i="6" s="1"/>
  <c r="W164" i="6"/>
  <c r="V164" i="6"/>
  <c r="U164" i="6"/>
  <c r="Z163" i="6"/>
  <c r="AA163" i="6" s="1"/>
  <c r="W163" i="6"/>
  <c r="V163" i="6"/>
  <c r="U163" i="6"/>
  <c r="Z162" i="6"/>
  <c r="AA162" i="6" s="1"/>
  <c r="W162" i="6"/>
  <c r="V162" i="6"/>
  <c r="U162" i="6"/>
  <c r="Z161" i="6"/>
  <c r="AA161" i="6" s="1"/>
  <c r="W161" i="6"/>
  <c r="V161" i="6"/>
  <c r="U161" i="6"/>
  <c r="Z160" i="6"/>
  <c r="AA160" i="6" s="1"/>
  <c r="W160" i="6"/>
  <c r="V160" i="6"/>
  <c r="U160" i="6"/>
  <c r="Z159" i="6"/>
  <c r="AA159" i="6" s="1"/>
  <c r="W159" i="6"/>
  <c r="V159" i="6"/>
  <c r="U159" i="6"/>
  <c r="Z158" i="6"/>
  <c r="AA158" i="6" s="1"/>
  <c r="W158" i="6"/>
  <c r="V158" i="6"/>
  <c r="U158" i="6"/>
  <c r="Z157" i="6"/>
  <c r="AA157" i="6" s="1"/>
  <c r="W157" i="6"/>
  <c r="V157" i="6"/>
  <c r="U157" i="6"/>
  <c r="Z156" i="6"/>
  <c r="AA156" i="6" s="1"/>
  <c r="W156" i="6"/>
  <c r="V156" i="6"/>
  <c r="U156" i="6"/>
  <c r="Z155" i="6"/>
  <c r="AA155" i="6" s="1"/>
  <c r="W155" i="6"/>
  <c r="V155" i="6"/>
  <c r="U155" i="6"/>
  <c r="Z154" i="6"/>
  <c r="AA154" i="6" s="1"/>
  <c r="W154" i="6"/>
  <c r="V154" i="6"/>
  <c r="U154" i="6"/>
  <c r="Z153" i="6"/>
  <c r="AA153" i="6" s="1"/>
  <c r="W153" i="6"/>
  <c r="V153" i="6"/>
  <c r="U153" i="6"/>
  <c r="Z152" i="6"/>
  <c r="AA152" i="6" s="1"/>
  <c r="W152" i="6"/>
  <c r="V152" i="6"/>
  <c r="U152" i="6"/>
  <c r="Z151" i="6"/>
  <c r="AA151" i="6" s="1"/>
  <c r="W151" i="6"/>
  <c r="V151" i="6"/>
  <c r="U151" i="6"/>
  <c r="Z150" i="6"/>
  <c r="AA150" i="6" s="1"/>
  <c r="W150" i="6"/>
  <c r="V150" i="6"/>
  <c r="U150" i="6"/>
  <c r="Z149" i="6"/>
  <c r="AA149" i="6" s="1"/>
  <c r="W149" i="6"/>
  <c r="V149" i="6"/>
  <c r="U149" i="6"/>
  <c r="Z148" i="6"/>
  <c r="AA148" i="6" s="1"/>
  <c r="W148" i="6"/>
  <c r="V148" i="6"/>
  <c r="U148" i="6"/>
  <c r="Z147" i="6"/>
  <c r="AA147" i="6" s="1"/>
  <c r="W147" i="6"/>
  <c r="V147" i="6"/>
  <c r="U147" i="6"/>
  <c r="Z146" i="6"/>
  <c r="AA146" i="6" s="1"/>
  <c r="W146" i="6"/>
  <c r="V146" i="6"/>
  <c r="U146" i="6"/>
  <c r="Z145" i="6"/>
  <c r="AA145" i="6" s="1"/>
  <c r="W145" i="6"/>
  <c r="V145" i="6"/>
  <c r="U145" i="6"/>
  <c r="Z144" i="6"/>
  <c r="AA144" i="6" s="1"/>
  <c r="W144" i="6"/>
  <c r="V144" i="6"/>
  <c r="U144" i="6"/>
  <c r="Z143" i="6"/>
  <c r="AA143" i="6" s="1"/>
  <c r="W143" i="6"/>
  <c r="V143" i="6"/>
  <c r="U143" i="6"/>
  <c r="Z142" i="6"/>
  <c r="AA142" i="6" s="1"/>
  <c r="W142" i="6"/>
  <c r="V142" i="6"/>
  <c r="U142" i="6"/>
  <c r="Z141" i="6"/>
  <c r="AA141" i="6" s="1"/>
  <c r="W141" i="6"/>
  <c r="V141" i="6"/>
  <c r="U141" i="6"/>
  <c r="Z140" i="6"/>
  <c r="AA140" i="6" s="1"/>
  <c r="W140" i="6"/>
  <c r="V140" i="6"/>
  <c r="U140" i="6"/>
  <c r="Z139" i="6"/>
  <c r="AA139" i="6" s="1"/>
  <c r="W139" i="6"/>
  <c r="V139" i="6"/>
  <c r="U139" i="6"/>
  <c r="Z138" i="6"/>
  <c r="AA138" i="6" s="1"/>
  <c r="W138" i="6"/>
  <c r="V138" i="6"/>
  <c r="U138" i="6"/>
  <c r="Z137" i="6"/>
  <c r="AA137" i="6" s="1"/>
  <c r="W137" i="6"/>
  <c r="V137" i="6"/>
  <c r="U137" i="6"/>
  <c r="Z136" i="6"/>
  <c r="AA136" i="6" s="1"/>
  <c r="W136" i="6"/>
  <c r="V136" i="6"/>
  <c r="U136" i="6"/>
  <c r="Z135" i="6"/>
  <c r="AA135" i="6" s="1"/>
  <c r="W135" i="6"/>
  <c r="V135" i="6"/>
  <c r="U135" i="6"/>
  <c r="Z134" i="6"/>
  <c r="AA134" i="6" s="1"/>
  <c r="W134" i="6"/>
  <c r="V134" i="6"/>
  <c r="U134" i="6"/>
  <c r="Z133" i="6"/>
  <c r="AA133" i="6" s="1"/>
  <c r="W133" i="6"/>
  <c r="V133" i="6"/>
  <c r="U133" i="6"/>
  <c r="Z132" i="6"/>
  <c r="AA132" i="6" s="1"/>
  <c r="W132" i="6"/>
  <c r="V132" i="6"/>
  <c r="U132" i="6"/>
  <c r="Z131" i="6"/>
  <c r="AA131" i="6" s="1"/>
  <c r="W131" i="6"/>
  <c r="V131" i="6"/>
  <c r="U131" i="6"/>
  <c r="Z130" i="6"/>
  <c r="AA130" i="6" s="1"/>
  <c r="W130" i="6"/>
  <c r="V130" i="6"/>
  <c r="U130" i="6"/>
  <c r="Z129" i="6"/>
  <c r="AA129" i="6" s="1"/>
  <c r="W129" i="6"/>
  <c r="V129" i="6"/>
  <c r="U129" i="6"/>
  <c r="Z128" i="6"/>
  <c r="AA128" i="6" s="1"/>
  <c r="W128" i="6"/>
  <c r="V128" i="6"/>
  <c r="U128" i="6"/>
  <c r="Z127" i="6"/>
  <c r="AA127" i="6" s="1"/>
  <c r="W127" i="6"/>
  <c r="V127" i="6"/>
  <c r="U127" i="6"/>
  <c r="Z126" i="6"/>
  <c r="AA126" i="6" s="1"/>
  <c r="W126" i="6"/>
  <c r="V126" i="6"/>
  <c r="U126" i="6"/>
  <c r="Z125" i="6"/>
  <c r="AA125" i="6" s="1"/>
  <c r="W125" i="6"/>
  <c r="V125" i="6"/>
  <c r="U125" i="6"/>
  <c r="Z124" i="6"/>
  <c r="AA124" i="6" s="1"/>
  <c r="W124" i="6"/>
  <c r="V124" i="6"/>
  <c r="U124" i="6"/>
  <c r="Z123" i="6"/>
  <c r="AA123" i="6" s="1"/>
  <c r="W123" i="6"/>
  <c r="V123" i="6"/>
  <c r="U123" i="6"/>
  <c r="Z122" i="6"/>
  <c r="AA122" i="6" s="1"/>
  <c r="W122" i="6"/>
  <c r="V122" i="6"/>
  <c r="U122" i="6"/>
  <c r="Z121" i="6"/>
  <c r="AA121" i="6" s="1"/>
  <c r="W121" i="6"/>
  <c r="V121" i="6"/>
  <c r="U121" i="6"/>
  <c r="Z120" i="6"/>
  <c r="AA120" i="6" s="1"/>
  <c r="W120" i="6"/>
  <c r="V120" i="6"/>
  <c r="U120" i="6"/>
  <c r="Z119" i="6"/>
  <c r="AA119" i="6" s="1"/>
  <c r="W119" i="6"/>
  <c r="V119" i="6"/>
  <c r="U119" i="6"/>
  <c r="Z118" i="6"/>
  <c r="AA118" i="6" s="1"/>
  <c r="W118" i="6"/>
  <c r="V118" i="6"/>
  <c r="U118" i="6"/>
  <c r="Z117" i="6"/>
  <c r="AA117" i="6" s="1"/>
  <c r="W117" i="6"/>
  <c r="V117" i="6"/>
  <c r="U117" i="6"/>
  <c r="Z116" i="6"/>
  <c r="AA116" i="6" s="1"/>
  <c r="W116" i="6"/>
  <c r="V116" i="6"/>
  <c r="U116" i="6"/>
  <c r="Z115" i="6"/>
  <c r="AA115" i="6" s="1"/>
  <c r="W115" i="6"/>
  <c r="V115" i="6"/>
  <c r="U115" i="6"/>
  <c r="Z114" i="6"/>
  <c r="AA114" i="6" s="1"/>
  <c r="W114" i="6"/>
  <c r="V114" i="6"/>
  <c r="U114" i="6"/>
  <c r="Z113" i="6"/>
  <c r="AA113" i="6" s="1"/>
  <c r="W113" i="6"/>
  <c r="V113" i="6"/>
  <c r="U113" i="6"/>
  <c r="Z112" i="6"/>
  <c r="AA112" i="6" s="1"/>
  <c r="W112" i="6"/>
  <c r="V112" i="6"/>
  <c r="U112" i="6"/>
  <c r="Z111" i="6"/>
  <c r="AA111" i="6" s="1"/>
  <c r="W111" i="6"/>
  <c r="V111" i="6"/>
  <c r="U111" i="6"/>
  <c r="Z110" i="6"/>
  <c r="AA110" i="6" s="1"/>
  <c r="W110" i="6"/>
  <c r="V110" i="6"/>
  <c r="U110" i="6"/>
  <c r="Z109" i="6"/>
  <c r="AA109" i="6" s="1"/>
  <c r="W109" i="6"/>
  <c r="V109" i="6"/>
  <c r="U109" i="6"/>
  <c r="Z108" i="6"/>
  <c r="AA108" i="6" s="1"/>
  <c r="W108" i="6"/>
  <c r="V108" i="6"/>
  <c r="U108" i="6"/>
  <c r="Z107" i="6"/>
  <c r="AA107" i="6" s="1"/>
  <c r="W107" i="6"/>
  <c r="V107" i="6"/>
  <c r="U107" i="6"/>
  <c r="Z106" i="6"/>
  <c r="AA106" i="6" s="1"/>
  <c r="W106" i="6"/>
  <c r="V106" i="6"/>
  <c r="U106" i="6"/>
  <c r="Z105" i="6"/>
  <c r="AA105" i="6" s="1"/>
  <c r="W105" i="6"/>
  <c r="V105" i="6"/>
  <c r="U105" i="6"/>
  <c r="Z104" i="6"/>
  <c r="AA104" i="6" s="1"/>
  <c r="W104" i="6"/>
  <c r="V104" i="6"/>
  <c r="U104" i="6"/>
  <c r="Z103" i="6"/>
  <c r="AA103" i="6" s="1"/>
  <c r="W103" i="6"/>
  <c r="V103" i="6"/>
  <c r="U103" i="6"/>
  <c r="Z102" i="6"/>
  <c r="AA102" i="6" s="1"/>
  <c r="W102" i="6"/>
  <c r="V102" i="6"/>
  <c r="U102" i="6"/>
  <c r="Z101" i="6"/>
  <c r="AA101" i="6" s="1"/>
  <c r="W101" i="6"/>
  <c r="V101" i="6"/>
  <c r="U101" i="6"/>
  <c r="Z100" i="6"/>
  <c r="AA100" i="6" s="1"/>
  <c r="W100" i="6"/>
  <c r="V100" i="6"/>
  <c r="U100" i="6"/>
  <c r="Z99" i="6"/>
  <c r="AA99" i="6" s="1"/>
  <c r="W99" i="6"/>
  <c r="V99" i="6"/>
  <c r="U99" i="6"/>
  <c r="Z98" i="6"/>
  <c r="AA98" i="6" s="1"/>
  <c r="W98" i="6"/>
  <c r="V98" i="6"/>
  <c r="U98" i="6"/>
  <c r="Z97" i="6"/>
  <c r="AA97" i="6" s="1"/>
  <c r="W97" i="6"/>
  <c r="V97" i="6"/>
  <c r="U97" i="6"/>
  <c r="Z96" i="6"/>
  <c r="AA96" i="6" s="1"/>
  <c r="W96" i="6"/>
  <c r="V96" i="6"/>
  <c r="U96" i="6"/>
  <c r="Z95" i="6"/>
  <c r="AA95" i="6" s="1"/>
  <c r="W95" i="6"/>
  <c r="V95" i="6"/>
  <c r="U95" i="6"/>
  <c r="Z94" i="6"/>
  <c r="AA94" i="6" s="1"/>
  <c r="W94" i="6"/>
  <c r="V94" i="6"/>
  <c r="U94" i="6"/>
  <c r="Z93" i="6"/>
  <c r="AA93" i="6" s="1"/>
  <c r="W93" i="6"/>
  <c r="V93" i="6"/>
  <c r="U93" i="6"/>
  <c r="Z92" i="6"/>
  <c r="AA92" i="6" s="1"/>
  <c r="W92" i="6"/>
  <c r="V92" i="6"/>
  <c r="U92" i="6"/>
  <c r="Z91" i="6"/>
  <c r="AA91" i="6" s="1"/>
  <c r="W91" i="6"/>
  <c r="V91" i="6"/>
  <c r="U91" i="6"/>
  <c r="Z90" i="6"/>
  <c r="AA90" i="6" s="1"/>
  <c r="W90" i="6"/>
  <c r="V90" i="6"/>
  <c r="U90" i="6"/>
  <c r="Z89" i="6"/>
  <c r="AA89" i="6" s="1"/>
  <c r="W89" i="6"/>
  <c r="V89" i="6"/>
  <c r="U89" i="6"/>
  <c r="Z88" i="6"/>
  <c r="AA88" i="6" s="1"/>
  <c r="W88" i="6"/>
  <c r="V88" i="6"/>
  <c r="U88" i="6"/>
  <c r="Z87" i="6"/>
  <c r="AA87" i="6" s="1"/>
  <c r="W87" i="6"/>
  <c r="V87" i="6"/>
  <c r="U87" i="6"/>
  <c r="Z86" i="6"/>
  <c r="AA86" i="6" s="1"/>
  <c r="W86" i="6"/>
  <c r="V86" i="6"/>
  <c r="U86" i="6"/>
  <c r="Z85" i="6"/>
  <c r="AA85" i="6" s="1"/>
  <c r="W85" i="6"/>
  <c r="V85" i="6"/>
  <c r="U85" i="6"/>
  <c r="Z84" i="6"/>
  <c r="AA84" i="6" s="1"/>
  <c r="W84" i="6"/>
  <c r="V84" i="6"/>
  <c r="U84" i="6"/>
  <c r="Z83" i="6"/>
  <c r="AA83" i="6" s="1"/>
  <c r="W83" i="6"/>
  <c r="V83" i="6"/>
  <c r="U83" i="6"/>
  <c r="Z82" i="6"/>
  <c r="AA82" i="6" s="1"/>
  <c r="W82" i="6"/>
  <c r="V82" i="6"/>
  <c r="U82" i="6"/>
  <c r="Z81" i="6"/>
  <c r="AA81" i="6" s="1"/>
  <c r="W81" i="6"/>
  <c r="V81" i="6"/>
  <c r="U81" i="6"/>
  <c r="Z80" i="6"/>
  <c r="AA80" i="6" s="1"/>
  <c r="W80" i="6"/>
  <c r="V80" i="6"/>
  <c r="U80" i="6"/>
  <c r="Z79" i="6"/>
  <c r="AA79" i="6" s="1"/>
  <c r="W79" i="6"/>
  <c r="V79" i="6"/>
  <c r="U79" i="6"/>
  <c r="Z78" i="6"/>
  <c r="AA78" i="6" s="1"/>
  <c r="W78" i="6"/>
  <c r="V78" i="6"/>
  <c r="U78" i="6"/>
  <c r="Z77" i="6"/>
  <c r="AA77" i="6" s="1"/>
  <c r="W77" i="6"/>
  <c r="V77" i="6"/>
  <c r="U77" i="6"/>
  <c r="Z76" i="6"/>
  <c r="AA76" i="6" s="1"/>
  <c r="W76" i="6"/>
  <c r="V76" i="6"/>
  <c r="U76" i="6"/>
  <c r="Z75" i="6"/>
  <c r="AA75" i="6" s="1"/>
  <c r="W75" i="6"/>
  <c r="V75" i="6"/>
  <c r="U75" i="6"/>
  <c r="Z74" i="6"/>
  <c r="AA74" i="6" s="1"/>
  <c r="W74" i="6"/>
  <c r="V74" i="6"/>
  <c r="U74" i="6"/>
  <c r="Z73" i="6"/>
  <c r="AA73" i="6" s="1"/>
  <c r="W73" i="6"/>
  <c r="V73" i="6"/>
  <c r="U73" i="6"/>
  <c r="Z72" i="6"/>
  <c r="AA72" i="6" s="1"/>
  <c r="W72" i="6"/>
  <c r="V72" i="6"/>
  <c r="U72" i="6"/>
  <c r="Z71" i="6"/>
  <c r="AA71" i="6" s="1"/>
  <c r="W71" i="6"/>
  <c r="V71" i="6"/>
  <c r="U71" i="6"/>
  <c r="Z70" i="6"/>
  <c r="AA70" i="6" s="1"/>
  <c r="W70" i="6"/>
  <c r="V70" i="6"/>
  <c r="U70" i="6"/>
  <c r="Z69" i="6"/>
  <c r="AA69" i="6" s="1"/>
  <c r="W69" i="6"/>
  <c r="V69" i="6"/>
  <c r="U69" i="6"/>
  <c r="Z68" i="6"/>
  <c r="AA68" i="6" s="1"/>
  <c r="W68" i="6"/>
  <c r="V68" i="6"/>
  <c r="U68" i="6"/>
  <c r="Z67" i="6"/>
  <c r="AA67" i="6" s="1"/>
  <c r="W67" i="6"/>
  <c r="V67" i="6"/>
  <c r="U67" i="6"/>
  <c r="Z66" i="6"/>
  <c r="AA66" i="6" s="1"/>
  <c r="W66" i="6"/>
  <c r="V66" i="6"/>
  <c r="U66" i="6"/>
  <c r="Z65" i="6"/>
  <c r="AA65" i="6" s="1"/>
  <c r="W65" i="6"/>
  <c r="V65" i="6"/>
  <c r="U65" i="6"/>
  <c r="Z64" i="6"/>
  <c r="AA64" i="6" s="1"/>
  <c r="W64" i="6"/>
  <c r="V64" i="6"/>
  <c r="U64" i="6"/>
  <c r="Z63" i="6"/>
  <c r="AA63" i="6" s="1"/>
  <c r="W63" i="6"/>
  <c r="V63" i="6"/>
  <c r="U63" i="6"/>
  <c r="Z62" i="6"/>
  <c r="AA62" i="6" s="1"/>
  <c r="W62" i="6"/>
  <c r="V62" i="6"/>
  <c r="U62" i="6"/>
  <c r="Z61" i="6"/>
  <c r="AA61" i="6" s="1"/>
  <c r="W61" i="6"/>
  <c r="V61" i="6"/>
  <c r="U61" i="6"/>
  <c r="Z60" i="6"/>
  <c r="AA60" i="6" s="1"/>
  <c r="W60" i="6"/>
  <c r="V60" i="6"/>
  <c r="U60" i="6"/>
  <c r="Z59" i="6"/>
  <c r="AA59" i="6" s="1"/>
  <c r="W59" i="6"/>
  <c r="V59" i="6"/>
  <c r="U59" i="6"/>
  <c r="Z58" i="6"/>
  <c r="AA58" i="6" s="1"/>
  <c r="W58" i="6"/>
  <c r="V58" i="6"/>
  <c r="U58" i="6"/>
  <c r="Z57" i="6"/>
  <c r="AA57" i="6" s="1"/>
  <c r="W57" i="6"/>
  <c r="V57" i="6"/>
  <c r="U57" i="6"/>
  <c r="Z56" i="6"/>
  <c r="AA56" i="6" s="1"/>
  <c r="W56" i="6"/>
  <c r="V56" i="6"/>
  <c r="U56" i="6"/>
  <c r="Z55" i="6"/>
  <c r="AA55" i="6" s="1"/>
  <c r="W55" i="6"/>
  <c r="V55" i="6"/>
  <c r="U55" i="6"/>
  <c r="Z54" i="6"/>
  <c r="AA54" i="6" s="1"/>
  <c r="W54" i="6"/>
  <c r="V54" i="6"/>
  <c r="U54" i="6"/>
  <c r="Z53" i="6"/>
  <c r="AA53" i="6" s="1"/>
  <c r="W53" i="6"/>
  <c r="V53" i="6"/>
  <c r="U53" i="6"/>
  <c r="Z52" i="6"/>
  <c r="AA52" i="6" s="1"/>
  <c r="W52" i="6"/>
  <c r="V52" i="6"/>
  <c r="U52" i="6"/>
  <c r="Z51" i="6"/>
  <c r="AA51" i="6" s="1"/>
  <c r="W51" i="6"/>
  <c r="V51" i="6"/>
  <c r="U51" i="6"/>
  <c r="Z50" i="6"/>
  <c r="AA50" i="6" s="1"/>
  <c r="W50" i="6"/>
  <c r="V50" i="6"/>
  <c r="U50" i="6"/>
  <c r="Z49" i="6"/>
  <c r="AA49" i="6" s="1"/>
  <c r="W49" i="6"/>
  <c r="V49" i="6"/>
  <c r="U49" i="6"/>
  <c r="Z48" i="6"/>
  <c r="AA48" i="6" s="1"/>
  <c r="W48" i="6"/>
  <c r="V48" i="6"/>
  <c r="U48" i="6"/>
  <c r="Z47" i="6"/>
  <c r="AA47" i="6" s="1"/>
  <c r="W47" i="6"/>
  <c r="V47" i="6"/>
  <c r="U47" i="6"/>
  <c r="Z46" i="6"/>
  <c r="AA46" i="6" s="1"/>
  <c r="W46" i="6"/>
  <c r="V46" i="6"/>
  <c r="U46" i="6"/>
  <c r="Z45" i="6"/>
  <c r="AA45" i="6" s="1"/>
  <c r="W45" i="6"/>
  <c r="V45" i="6"/>
  <c r="U45" i="6"/>
  <c r="Z44" i="6"/>
  <c r="AA44" i="6" s="1"/>
  <c r="W44" i="6"/>
  <c r="V44" i="6"/>
  <c r="U44" i="6"/>
  <c r="Z43" i="6"/>
  <c r="AA43" i="6" s="1"/>
  <c r="W43" i="6"/>
  <c r="V43" i="6"/>
  <c r="U43" i="6"/>
  <c r="Z42" i="6"/>
  <c r="AA42" i="6" s="1"/>
  <c r="W42" i="6"/>
  <c r="V42" i="6"/>
  <c r="U42" i="6"/>
  <c r="Z41" i="6"/>
  <c r="AA41" i="6" s="1"/>
  <c r="W41" i="6"/>
  <c r="V41" i="6"/>
  <c r="U41" i="6"/>
  <c r="Z40" i="6"/>
  <c r="AA40" i="6" s="1"/>
  <c r="W40" i="6"/>
  <c r="V40" i="6"/>
  <c r="U40" i="6"/>
  <c r="Z39" i="6"/>
  <c r="AA39" i="6" s="1"/>
  <c r="W39" i="6"/>
  <c r="V39" i="6"/>
  <c r="U39" i="6"/>
  <c r="Z38" i="6"/>
  <c r="AA38" i="6" s="1"/>
  <c r="W38" i="6"/>
  <c r="V38" i="6"/>
  <c r="U38" i="6"/>
  <c r="Z37" i="6"/>
  <c r="AA37" i="6" s="1"/>
  <c r="W37" i="6"/>
  <c r="V37" i="6"/>
  <c r="U37" i="6"/>
  <c r="Z36" i="6"/>
  <c r="AA36" i="6" s="1"/>
  <c r="W36" i="6"/>
  <c r="V36" i="6"/>
  <c r="U36" i="6"/>
  <c r="Z35" i="6"/>
  <c r="AA35" i="6" s="1"/>
  <c r="W35" i="6"/>
  <c r="U35" i="6"/>
  <c r="V35" i="6" s="1"/>
  <c r="Z34" i="6"/>
  <c r="AA34" i="6" s="1"/>
  <c r="U34" i="6"/>
  <c r="W34" i="6" s="1"/>
  <c r="Z33" i="6"/>
  <c r="AA33" i="6" s="1"/>
  <c r="U33" i="6"/>
  <c r="W33" i="6" s="1"/>
  <c r="Z32" i="6"/>
  <c r="AA32" i="6" s="1"/>
  <c r="W32" i="6"/>
  <c r="U32" i="6"/>
  <c r="V32" i="6" s="1"/>
  <c r="Z31" i="6"/>
  <c r="AA31" i="6" s="1"/>
  <c r="U31" i="6"/>
  <c r="W31" i="6" s="1"/>
  <c r="Z30" i="6"/>
  <c r="AA30" i="6" s="1"/>
  <c r="U30" i="6"/>
  <c r="W30" i="6" s="1"/>
  <c r="Z29" i="6"/>
  <c r="AA29" i="6" s="1"/>
  <c r="W29" i="6"/>
  <c r="U29" i="6"/>
  <c r="V29" i="6" s="1"/>
  <c r="Z28" i="6"/>
  <c r="AA28" i="6" s="1"/>
  <c r="U28" i="6"/>
  <c r="W28" i="6" s="1"/>
  <c r="Z27" i="6"/>
  <c r="AA27" i="6" s="1"/>
  <c r="W27" i="6"/>
  <c r="V27" i="6"/>
  <c r="U27" i="6"/>
  <c r="Z26" i="6"/>
  <c r="AA26" i="6" s="1"/>
  <c r="W26" i="6"/>
  <c r="V26" i="6"/>
  <c r="U26" i="6"/>
  <c r="Z25" i="6"/>
  <c r="W25" i="6"/>
  <c r="U25" i="6"/>
  <c r="V25" i="6" s="1"/>
  <c r="Z24" i="6"/>
  <c r="AA24" i="6" s="1"/>
  <c r="U24" i="6"/>
  <c r="V24" i="6" s="1"/>
  <c r="Z23" i="6"/>
  <c r="AA23" i="6" s="1"/>
  <c r="U23" i="6"/>
  <c r="W23" i="6" s="1"/>
  <c r="Z22" i="6"/>
  <c r="AA22" i="6" s="1"/>
  <c r="U22" i="6"/>
  <c r="W22" i="6" s="1"/>
  <c r="Z21" i="6"/>
  <c r="AA21" i="6" s="1"/>
  <c r="U21" i="6"/>
  <c r="W21" i="6" s="1"/>
  <c r="Z20" i="6"/>
  <c r="U20" i="6"/>
  <c r="W20" i="6" s="1"/>
  <c r="Z19" i="6"/>
  <c r="AA19" i="6" s="1"/>
  <c r="W19" i="6"/>
  <c r="Z18" i="6"/>
  <c r="AA18" i="6" s="1"/>
  <c r="W18" i="6"/>
  <c r="Z17" i="6"/>
  <c r="AA17" i="6" s="1"/>
  <c r="W17" i="6"/>
  <c r="Z16" i="6"/>
  <c r="AA16" i="6" s="1"/>
  <c r="W16" i="6"/>
  <c r="Z15" i="6"/>
  <c r="W15" i="6"/>
  <c r="Z14" i="6"/>
  <c r="AA14" i="6" s="1"/>
  <c r="W14" i="6"/>
  <c r="Z13" i="6"/>
  <c r="AA13" i="6" s="1"/>
  <c r="W13" i="6"/>
  <c r="Z12" i="6"/>
  <c r="AA12" i="6" s="1"/>
  <c r="W12" i="6"/>
  <c r="Z11" i="6"/>
  <c r="AA11" i="6" s="1"/>
  <c r="W11" i="6"/>
  <c r="Z10" i="6"/>
  <c r="AA10" i="6" s="1"/>
  <c r="W10" i="6"/>
  <c r="Z9" i="6"/>
  <c r="AA9" i="6" s="1"/>
  <c r="W9" i="6"/>
  <c r="Z8" i="6"/>
  <c r="W8" i="6"/>
  <c r="Z7" i="6"/>
  <c r="AA7" i="6" s="1"/>
  <c r="W7" i="6"/>
  <c r="Z6" i="6"/>
  <c r="AA6" i="6" s="1"/>
  <c r="W6" i="6"/>
  <c r="Z5" i="6"/>
  <c r="AA5" i="6" s="1"/>
  <c r="W5" i="6"/>
  <c r="Z292" i="5"/>
  <c r="AA292" i="5" s="1"/>
  <c r="W292" i="5"/>
  <c r="V292" i="5"/>
  <c r="U292" i="5"/>
  <c r="Z291" i="5"/>
  <c r="AA291" i="5" s="1"/>
  <c r="W291" i="5"/>
  <c r="V291" i="5"/>
  <c r="U291" i="5"/>
  <c r="Z290" i="5"/>
  <c r="AA290" i="5" s="1"/>
  <c r="W290" i="5"/>
  <c r="V290" i="5"/>
  <c r="U290" i="5"/>
  <c r="Z289" i="5"/>
  <c r="AA289" i="5" s="1"/>
  <c r="W289" i="5"/>
  <c r="V289" i="5"/>
  <c r="U289" i="5"/>
  <c r="Z288" i="5"/>
  <c r="AA288" i="5" s="1"/>
  <c r="W288" i="5"/>
  <c r="V288" i="5"/>
  <c r="U288" i="5"/>
  <c r="Z287" i="5"/>
  <c r="AA287" i="5" s="1"/>
  <c r="W287" i="5"/>
  <c r="V287" i="5"/>
  <c r="U287" i="5"/>
  <c r="Z286" i="5"/>
  <c r="AA286" i="5" s="1"/>
  <c r="W286" i="5"/>
  <c r="V286" i="5"/>
  <c r="U286" i="5"/>
  <c r="Z285" i="5"/>
  <c r="AA285" i="5" s="1"/>
  <c r="W285" i="5"/>
  <c r="V285" i="5"/>
  <c r="U285" i="5"/>
  <c r="Z284" i="5"/>
  <c r="AA284" i="5" s="1"/>
  <c r="W284" i="5"/>
  <c r="V284" i="5"/>
  <c r="U284" i="5"/>
  <c r="Z283" i="5"/>
  <c r="AA283" i="5" s="1"/>
  <c r="W283" i="5"/>
  <c r="V283" i="5"/>
  <c r="U283" i="5"/>
  <c r="Z282" i="5"/>
  <c r="AA282" i="5" s="1"/>
  <c r="W282" i="5"/>
  <c r="V282" i="5"/>
  <c r="U282" i="5"/>
  <c r="Z281" i="5"/>
  <c r="AA281" i="5" s="1"/>
  <c r="W281" i="5"/>
  <c r="V281" i="5"/>
  <c r="U281" i="5"/>
  <c r="Z280" i="5"/>
  <c r="AA280" i="5" s="1"/>
  <c r="W280" i="5"/>
  <c r="V280" i="5"/>
  <c r="U280" i="5"/>
  <c r="Z279" i="5"/>
  <c r="AA279" i="5" s="1"/>
  <c r="W279" i="5"/>
  <c r="V279" i="5"/>
  <c r="U279" i="5"/>
  <c r="Z278" i="5"/>
  <c r="AA278" i="5" s="1"/>
  <c r="W278" i="5"/>
  <c r="V278" i="5"/>
  <c r="U278" i="5"/>
  <c r="Z277" i="5"/>
  <c r="AA277" i="5" s="1"/>
  <c r="W277" i="5"/>
  <c r="V277" i="5"/>
  <c r="U277" i="5"/>
  <c r="Z276" i="5"/>
  <c r="AA276" i="5" s="1"/>
  <c r="W276" i="5"/>
  <c r="V276" i="5"/>
  <c r="U276" i="5"/>
  <c r="Z275" i="5"/>
  <c r="AA275" i="5" s="1"/>
  <c r="W275" i="5"/>
  <c r="V275" i="5"/>
  <c r="U275" i="5"/>
  <c r="Z274" i="5"/>
  <c r="AA274" i="5" s="1"/>
  <c r="W274" i="5"/>
  <c r="V274" i="5"/>
  <c r="U274" i="5"/>
  <c r="Z273" i="5"/>
  <c r="AA273" i="5" s="1"/>
  <c r="W273" i="5"/>
  <c r="V273" i="5"/>
  <c r="U273" i="5"/>
  <c r="Z272" i="5"/>
  <c r="AA272" i="5" s="1"/>
  <c r="W272" i="5"/>
  <c r="V272" i="5"/>
  <c r="U272" i="5"/>
  <c r="Z271" i="5"/>
  <c r="AA271" i="5" s="1"/>
  <c r="W271" i="5"/>
  <c r="V271" i="5"/>
  <c r="U271" i="5"/>
  <c r="Z270" i="5"/>
  <c r="AA270" i="5" s="1"/>
  <c r="W270" i="5"/>
  <c r="V270" i="5"/>
  <c r="U270" i="5"/>
  <c r="Z269" i="5"/>
  <c r="AA269" i="5" s="1"/>
  <c r="W269" i="5"/>
  <c r="V269" i="5"/>
  <c r="U269" i="5"/>
  <c r="Z268" i="5"/>
  <c r="AA268" i="5" s="1"/>
  <c r="W268" i="5"/>
  <c r="V268" i="5"/>
  <c r="U268" i="5"/>
  <c r="Z267" i="5"/>
  <c r="AA267" i="5" s="1"/>
  <c r="W267" i="5"/>
  <c r="V267" i="5"/>
  <c r="U267" i="5"/>
  <c r="Z266" i="5"/>
  <c r="AA266" i="5" s="1"/>
  <c r="W266" i="5"/>
  <c r="V266" i="5"/>
  <c r="U266" i="5"/>
  <c r="Z265" i="5"/>
  <c r="AA265" i="5" s="1"/>
  <c r="W265" i="5"/>
  <c r="V265" i="5"/>
  <c r="U265" i="5"/>
  <c r="Z264" i="5"/>
  <c r="AA264" i="5" s="1"/>
  <c r="W264" i="5"/>
  <c r="V264" i="5"/>
  <c r="U264" i="5"/>
  <c r="Z263" i="5"/>
  <c r="AA263" i="5" s="1"/>
  <c r="W263" i="5"/>
  <c r="V263" i="5"/>
  <c r="U263" i="5"/>
  <c r="Z262" i="5"/>
  <c r="AA262" i="5" s="1"/>
  <c r="W262" i="5"/>
  <c r="V262" i="5"/>
  <c r="U262" i="5"/>
  <c r="Z261" i="5"/>
  <c r="AA261" i="5" s="1"/>
  <c r="W261" i="5"/>
  <c r="V261" i="5"/>
  <c r="U261" i="5"/>
  <c r="Z260" i="5"/>
  <c r="AA260" i="5" s="1"/>
  <c r="W260" i="5"/>
  <c r="V260" i="5"/>
  <c r="U260" i="5"/>
  <c r="Z259" i="5"/>
  <c r="AA259" i="5" s="1"/>
  <c r="W259" i="5"/>
  <c r="V259" i="5"/>
  <c r="U259" i="5"/>
  <c r="Z258" i="5"/>
  <c r="AA258" i="5" s="1"/>
  <c r="W258" i="5"/>
  <c r="V258" i="5"/>
  <c r="U258" i="5"/>
  <c r="Z257" i="5"/>
  <c r="AA257" i="5" s="1"/>
  <c r="W257" i="5"/>
  <c r="V257" i="5"/>
  <c r="U257" i="5"/>
  <c r="Z256" i="5"/>
  <c r="AA256" i="5" s="1"/>
  <c r="W256" i="5"/>
  <c r="V256" i="5"/>
  <c r="U256" i="5"/>
  <c r="Z255" i="5"/>
  <c r="AA255" i="5" s="1"/>
  <c r="W255" i="5"/>
  <c r="V255" i="5"/>
  <c r="U255" i="5"/>
  <c r="Z254" i="5"/>
  <c r="AA254" i="5" s="1"/>
  <c r="W254" i="5"/>
  <c r="V254" i="5"/>
  <c r="U254" i="5"/>
  <c r="Z253" i="5"/>
  <c r="AA253" i="5" s="1"/>
  <c r="W253" i="5"/>
  <c r="V253" i="5"/>
  <c r="U253" i="5"/>
  <c r="Z252" i="5"/>
  <c r="AA252" i="5" s="1"/>
  <c r="W252" i="5"/>
  <c r="V252" i="5"/>
  <c r="U252" i="5"/>
  <c r="Z251" i="5"/>
  <c r="AA251" i="5" s="1"/>
  <c r="W251" i="5"/>
  <c r="V251" i="5"/>
  <c r="U251" i="5"/>
  <c r="Z250" i="5"/>
  <c r="AA250" i="5" s="1"/>
  <c r="W250" i="5"/>
  <c r="V250" i="5"/>
  <c r="U250" i="5"/>
  <c r="Z249" i="5"/>
  <c r="AA249" i="5" s="1"/>
  <c r="W249" i="5"/>
  <c r="V249" i="5"/>
  <c r="U249" i="5"/>
  <c r="Z248" i="5"/>
  <c r="AA248" i="5" s="1"/>
  <c r="W248" i="5"/>
  <c r="V248" i="5"/>
  <c r="U248" i="5"/>
  <c r="Z247" i="5"/>
  <c r="AA247" i="5" s="1"/>
  <c r="W247" i="5"/>
  <c r="V247" i="5"/>
  <c r="U247" i="5"/>
  <c r="Z246" i="5"/>
  <c r="AA246" i="5" s="1"/>
  <c r="W246" i="5"/>
  <c r="V246" i="5"/>
  <c r="U246" i="5"/>
  <c r="Z245" i="5"/>
  <c r="AA245" i="5" s="1"/>
  <c r="W245" i="5"/>
  <c r="V245" i="5"/>
  <c r="U245" i="5"/>
  <c r="Z244" i="5"/>
  <c r="AA244" i="5" s="1"/>
  <c r="W244" i="5"/>
  <c r="V244" i="5"/>
  <c r="U244" i="5"/>
  <c r="Z243" i="5"/>
  <c r="AA243" i="5" s="1"/>
  <c r="W243" i="5"/>
  <c r="V243" i="5"/>
  <c r="U243" i="5"/>
  <c r="Z242" i="5"/>
  <c r="AA242" i="5" s="1"/>
  <c r="W242" i="5"/>
  <c r="V242" i="5"/>
  <c r="U242" i="5"/>
  <c r="Z241" i="5"/>
  <c r="AA241" i="5" s="1"/>
  <c r="W241" i="5"/>
  <c r="V241" i="5"/>
  <c r="U241" i="5"/>
  <c r="Z240" i="5"/>
  <c r="AA240" i="5" s="1"/>
  <c r="W240" i="5"/>
  <c r="V240" i="5"/>
  <c r="U240" i="5"/>
  <c r="Z239" i="5"/>
  <c r="AA239" i="5" s="1"/>
  <c r="W239" i="5"/>
  <c r="V239" i="5"/>
  <c r="U239" i="5"/>
  <c r="Z238" i="5"/>
  <c r="AA238" i="5" s="1"/>
  <c r="W238" i="5"/>
  <c r="V238" i="5"/>
  <c r="U238" i="5"/>
  <c r="Z237" i="5"/>
  <c r="AA237" i="5" s="1"/>
  <c r="W237" i="5"/>
  <c r="V237" i="5"/>
  <c r="U237" i="5"/>
  <c r="Z236" i="5"/>
  <c r="AA236" i="5" s="1"/>
  <c r="W236" i="5"/>
  <c r="V236" i="5"/>
  <c r="U236" i="5"/>
  <c r="Z235" i="5"/>
  <c r="AA235" i="5" s="1"/>
  <c r="W235" i="5"/>
  <c r="V235" i="5"/>
  <c r="U235" i="5"/>
  <c r="Z234" i="5"/>
  <c r="AA234" i="5" s="1"/>
  <c r="W234" i="5"/>
  <c r="V234" i="5"/>
  <c r="U234" i="5"/>
  <c r="Z233" i="5"/>
  <c r="AA233" i="5" s="1"/>
  <c r="W233" i="5"/>
  <c r="V233" i="5"/>
  <c r="U233" i="5"/>
  <c r="Z232" i="5"/>
  <c r="AA232" i="5" s="1"/>
  <c r="W232" i="5"/>
  <c r="V232" i="5"/>
  <c r="U232" i="5"/>
  <c r="Z231" i="5"/>
  <c r="AA231" i="5" s="1"/>
  <c r="W231" i="5"/>
  <c r="V231" i="5"/>
  <c r="U231" i="5"/>
  <c r="Z230" i="5"/>
  <c r="AA230" i="5" s="1"/>
  <c r="W230" i="5"/>
  <c r="V230" i="5"/>
  <c r="U230" i="5"/>
  <c r="Z229" i="5"/>
  <c r="AA229" i="5" s="1"/>
  <c r="W229" i="5"/>
  <c r="V229" i="5"/>
  <c r="U229" i="5"/>
  <c r="Z228" i="5"/>
  <c r="AA228" i="5" s="1"/>
  <c r="W228" i="5"/>
  <c r="V228" i="5"/>
  <c r="U228" i="5"/>
  <c r="Z227" i="5"/>
  <c r="AA227" i="5" s="1"/>
  <c r="W227" i="5"/>
  <c r="V227" i="5"/>
  <c r="U227" i="5"/>
  <c r="Z226" i="5"/>
  <c r="AA226" i="5" s="1"/>
  <c r="W226" i="5"/>
  <c r="V226" i="5"/>
  <c r="U226" i="5"/>
  <c r="Z225" i="5"/>
  <c r="AA225" i="5" s="1"/>
  <c r="W225" i="5"/>
  <c r="V225" i="5"/>
  <c r="U225" i="5"/>
  <c r="Z224" i="5"/>
  <c r="AA224" i="5" s="1"/>
  <c r="W224" i="5"/>
  <c r="V224" i="5"/>
  <c r="U224" i="5"/>
  <c r="Z223" i="5"/>
  <c r="AA223" i="5" s="1"/>
  <c r="W223" i="5"/>
  <c r="V223" i="5"/>
  <c r="U223" i="5"/>
  <c r="Z222" i="5"/>
  <c r="AA222" i="5" s="1"/>
  <c r="W222" i="5"/>
  <c r="V222" i="5"/>
  <c r="U222" i="5"/>
  <c r="Z221" i="5"/>
  <c r="AA221" i="5" s="1"/>
  <c r="W221" i="5"/>
  <c r="V221" i="5"/>
  <c r="U221" i="5"/>
  <c r="Z220" i="5"/>
  <c r="AA220" i="5" s="1"/>
  <c r="W220" i="5"/>
  <c r="V220" i="5"/>
  <c r="U220" i="5"/>
  <c r="Z219" i="5"/>
  <c r="AA219" i="5" s="1"/>
  <c r="W219" i="5"/>
  <c r="V219" i="5"/>
  <c r="U219" i="5"/>
  <c r="Z218" i="5"/>
  <c r="AA218" i="5" s="1"/>
  <c r="W218" i="5"/>
  <c r="V218" i="5"/>
  <c r="U218" i="5"/>
  <c r="Z217" i="5"/>
  <c r="AA217" i="5" s="1"/>
  <c r="W217" i="5"/>
  <c r="V217" i="5"/>
  <c r="U217" i="5"/>
  <c r="Z216" i="5"/>
  <c r="AA216" i="5" s="1"/>
  <c r="W216" i="5"/>
  <c r="V216" i="5"/>
  <c r="U216" i="5"/>
  <c r="Z215" i="5"/>
  <c r="AA215" i="5" s="1"/>
  <c r="W215" i="5"/>
  <c r="V215" i="5"/>
  <c r="U215" i="5"/>
  <c r="Z214" i="5"/>
  <c r="AA214" i="5" s="1"/>
  <c r="W214" i="5"/>
  <c r="V214" i="5"/>
  <c r="U214" i="5"/>
  <c r="Z213" i="5"/>
  <c r="AA213" i="5" s="1"/>
  <c r="W213" i="5"/>
  <c r="V213" i="5"/>
  <c r="U213" i="5"/>
  <c r="Z212" i="5"/>
  <c r="AA212" i="5" s="1"/>
  <c r="W212" i="5"/>
  <c r="V212" i="5"/>
  <c r="U212" i="5"/>
  <c r="Z211" i="5"/>
  <c r="AA211" i="5" s="1"/>
  <c r="W211" i="5"/>
  <c r="V211" i="5"/>
  <c r="U211" i="5"/>
  <c r="Z210" i="5"/>
  <c r="AA210" i="5" s="1"/>
  <c r="W210" i="5"/>
  <c r="V210" i="5"/>
  <c r="U210" i="5"/>
  <c r="Z209" i="5"/>
  <c r="AA209" i="5" s="1"/>
  <c r="W209" i="5"/>
  <c r="V209" i="5"/>
  <c r="U209" i="5"/>
  <c r="Z208" i="5"/>
  <c r="AA208" i="5" s="1"/>
  <c r="W208" i="5"/>
  <c r="V208" i="5"/>
  <c r="U208" i="5"/>
  <c r="Z207" i="5"/>
  <c r="AA207" i="5" s="1"/>
  <c r="W207" i="5"/>
  <c r="V207" i="5"/>
  <c r="U207" i="5"/>
  <c r="Z206" i="5"/>
  <c r="AA206" i="5" s="1"/>
  <c r="W206" i="5"/>
  <c r="V206" i="5"/>
  <c r="U206" i="5"/>
  <c r="Z205" i="5"/>
  <c r="AA205" i="5" s="1"/>
  <c r="W205" i="5"/>
  <c r="V205" i="5"/>
  <c r="U205" i="5"/>
  <c r="Z204" i="5"/>
  <c r="AA204" i="5" s="1"/>
  <c r="W204" i="5"/>
  <c r="V204" i="5"/>
  <c r="U204" i="5"/>
  <c r="Z203" i="5"/>
  <c r="AA203" i="5" s="1"/>
  <c r="W203" i="5"/>
  <c r="V203" i="5"/>
  <c r="U203" i="5"/>
  <c r="Z202" i="5"/>
  <c r="AA202" i="5" s="1"/>
  <c r="W202" i="5"/>
  <c r="V202" i="5"/>
  <c r="U202" i="5"/>
  <c r="Z201" i="5"/>
  <c r="AA201" i="5" s="1"/>
  <c r="W201" i="5"/>
  <c r="V201" i="5"/>
  <c r="U201" i="5"/>
  <c r="Z200" i="5"/>
  <c r="AA200" i="5" s="1"/>
  <c r="W200" i="5"/>
  <c r="V200" i="5"/>
  <c r="U200" i="5"/>
  <c r="Z199" i="5"/>
  <c r="AA199" i="5" s="1"/>
  <c r="W199" i="5"/>
  <c r="V199" i="5"/>
  <c r="U199" i="5"/>
  <c r="Z198" i="5"/>
  <c r="AA198" i="5" s="1"/>
  <c r="W198" i="5"/>
  <c r="V198" i="5"/>
  <c r="U198" i="5"/>
  <c r="Z197" i="5"/>
  <c r="AA197" i="5" s="1"/>
  <c r="W197" i="5"/>
  <c r="V197" i="5"/>
  <c r="U197" i="5"/>
  <c r="Z196" i="5"/>
  <c r="AA196" i="5" s="1"/>
  <c r="W196" i="5"/>
  <c r="V196" i="5"/>
  <c r="U196" i="5"/>
  <c r="Z195" i="5"/>
  <c r="AA195" i="5" s="1"/>
  <c r="W195" i="5"/>
  <c r="V195" i="5"/>
  <c r="U195" i="5"/>
  <c r="Z194" i="5"/>
  <c r="AA194" i="5" s="1"/>
  <c r="W194" i="5"/>
  <c r="V194" i="5"/>
  <c r="U194" i="5"/>
  <c r="Z193" i="5"/>
  <c r="AA193" i="5" s="1"/>
  <c r="W193" i="5"/>
  <c r="V193" i="5"/>
  <c r="U193" i="5"/>
  <c r="Z192" i="5"/>
  <c r="AA192" i="5" s="1"/>
  <c r="W192" i="5"/>
  <c r="V192" i="5"/>
  <c r="U192" i="5"/>
  <c r="Z191" i="5"/>
  <c r="AA191" i="5" s="1"/>
  <c r="W191" i="5"/>
  <c r="V191" i="5"/>
  <c r="U191" i="5"/>
  <c r="Z190" i="5"/>
  <c r="AA190" i="5" s="1"/>
  <c r="W190" i="5"/>
  <c r="V190" i="5"/>
  <c r="U190" i="5"/>
  <c r="Z189" i="5"/>
  <c r="AA189" i="5" s="1"/>
  <c r="W189" i="5"/>
  <c r="V189" i="5"/>
  <c r="U189" i="5"/>
  <c r="Z188" i="5"/>
  <c r="AA188" i="5" s="1"/>
  <c r="W188" i="5"/>
  <c r="V188" i="5"/>
  <c r="U188" i="5"/>
  <c r="Z187" i="5"/>
  <c r="AA187" i="5" s="1"/>
  <c r="W187" i="5"/>
  <c r="V187" i="5"/>
  <c r="U187" i="5"/>
  <c r="Z186" i="5"/>
  <c r="AA186" i="5" s="1"/>
  <c r="W186" i="5"/>
  <c r="V186" i="5"/>
  <c r="U186" i="5"/>
  <c r="Z185" i="5"/>
  <c r="AA185" i="5" s="1"/>
  <c r="W185" i="5"/>
  <c r="V185" i="5"/>
  <c r="U185" i="5"/>
  <c r="Z184" i="5"/>
  <c r="AA184" i="5" s="1"/>
  <c r="W184" i="5"/>
  <c r="V184" i="5"/>
  <c r="U184" i="5"/>
  <c r="Z183" i="5"/>
  <c r="AA183" i="5" s="1"/>
  <c r="W183" i="5"/>
  <c r="V183" i="5"/>
  <c r="U183" i="5"/>
  <c r="Z182" i="5"/>
  <c r="AA182" i="5" s="1"/>
  <c r="W182" i="5"/>
  <c r="V182" i="5"/>
  <c r="U182" i="5"/>
  <c r="Z181" i="5"/>
  <c r="AA181" i="5" s="1"/>
  <c r="W181" i="5"/>
  <c r="V181" i="5"/>
  <c r="U181" i="5"/>
  <c r="Z180" i="5"/>
  <c r="AA180" i="5" s="1"/>
  <c r="W180" i="5"/>
  <c r="V180" i="5"/>
  <c r="U180" i="5"/>
  <c r="Z179" i="5"/>
  <c r="AA179" i="5" s="1"/>
  <c r="W179" i="5"/>
  <c r="V179" i="5"/>
  <c r="U179" i="5"/>
  <c r="Z178" i="5"/>
  <c r="AA178" i="5" s="1"/>
  <c r="W178" i="5"/>
  <c r="V178" i="5"/>
  <c r="U178" i="5"/>
  <c r="Z177" i="5"/>
  <c r="AA177" i="5" s="1"/>
  <c r="W177" i="5"/>
  <c r="V177" i="5"/>
  <c r="U177" i="5"/>
  <c r="Z176" i="5"/>
  <c r="AA176" i="5" s="1"/>
  <c r="W176" i="5"/>
  <c r="V176" i="5"/>
  <c r="U176" i="5"/>
  <c r="Z175" i="5"/>
  <c r="AA175" i="5" s="1"/>
  <c r="W175" i="5"/>
  <c r="V175" i="5"/>
  <c r="U175" i="5"/>
  <c r="Z174" i="5"/>
  <c r="AA174" i="5" s="1"/>
  <c r="W174" i="5"/>
  <c r="V174" i="5"/>
  <c r="U174" i="5"/>
  <c r="Z173" i="5"/>
  <c r="AA173" i="5" s="1"/>
  <c r="W173" i="5"/>
  <c r="V173" i="5"/>
  <c r="U173" i="5"/>
  <c r="Z172" i="5"/>
  <c r="AA172" i="5" s="1"/>
  <c r="W172" i="5"/>
  <c r="V172" i="5"/>
  <c r="U172" i="5"/>
  <c r="Z171" i="5"/>
  <c r="AA171" i="5" s="1"/>
  <c r="W171" i="5"/>
  <c r="V171" i="5"/>
  <c r="U171" i="5"/>
  <c r="Z170" i="5"/>
  <c r="AA170" i="5" s="1"/>
  <c r="W170" i="5"/>
  <c r="V170" i="5"/>
  <c r="U170" i="5"/>
  <c r="Z169" i="5"/>
  <c r="AA169" i="5" s="1"/>
  <c r="W169" i="5"/>
  <c r="V169" i="5"/>
  <c r="U169" i="5"/>
  <c r="Z168" i="5"/>
  <c r="AA168" i="5" s="1"/>
  <c r="W168" i="5"/>
  <c r="V168" i="5"/>
  <c r="U168" i="5"/>
  <c r="Z167" i="5"/>
  <c r="AA167" i="5" s="1"/>
  <c r="W167" i="5"/>
  <c r="V167" i="5"/>
  <c r="U167" i="5"/>
  <c r="Z166" i="5"/>
  <c r="AA166" i="5" s="1"/>
  <c r="W166" i="5"/>
  <c r="V166" i="5"/>
  <c r="U166" i="5"/>
  <c r="Z165" i="5"/>
  <c r="AA165" i="5" s="1"/>
  <c r="W165" i="5"/>
  <c r="V165" i="5"/>
  <c r="U165" i="5"/>
  <c r="Z164" i="5"/>
  <c r="AA164" i="5" s="1"/>
  <c r="W164" i="5"/>
  <c r="V164" i="5"/>
  <c r="U164" i="5"/>
  <c r="Z163" i="5"/>
  <c r="AA163" i="5" s="1"/>
  <c r="W163" i="5"/>
  <c r="V163" i="5"/>
  <c r="U163" i="5"/>
  <c r="Z162" i="5"/>
  <c r="AA162" i="5" s="1"/>
  <c r="W162" i="5"/>
  <c r="V162" i="5"/>
  <c r="U162" i="5"/>
  <c r="Z161" i="5"/>
  <c r="AA161" i="5" s="1"/>
  <c r="W161" i="5"/>
  <c r="V161" i="5"/>
  <c r="U161" i="5"/>
  <c r="Z160" i="5"/>
  <c r="AA160" i="5" s="1"/>
  <c r="W160" i="5"/>
  <c r="V160" i="5"/>
  <c r="U160" i="5"/>
  <c r="Z159" i="5"/>
  <c r="AA159" i="5" s="1"/>
  <c r="W159" i="5"/>
  <c r="V159" i="5"/>
  <c r="U159" i="5"/>
  <c r="Z158" i="5"/>
  <c r="AA158" i="5" s="1"/>
  <c r="W158" i="5"/>
  <c r="V158" i="5"/>
  <c r="U158" i="5"/>
  <c r="Z157" i="5"/>
  <c r="AA157" i="5" s="1"/>
  <c r="W157" i="5"/>
  <c r="V157" i="5"/>
  <c r="U157" i="5"/>
  <c r="Z156" i="5"/>
  <c r="AA156" i="5" s="1"/>
  <c r="W156" i="5"/>
  <c r="V156" i="5"/>
  <c r="U156" i="5"/>
  <c r="Z155" i="5"/>
  <c r="AA155" i="5" s="1"/>
  <c r="W155" i="5"/>
  <c r="V155" i="5"/>
  <c r="U155" i="5"/>
  <c r="Z154" i="5"/>
  <c r="AA154" i="5" s="1"/>
  <c r="W154" i="5"/>
  <c r="V154" i="5"/>
  <c r="U154" i="5"/>
  <c r="Z153" i="5"/>
  <c r="AA153" i="5" s="1"/>
  <c r="W153" i="5"/>
  <c r="V153" i="5"/>
  <c r="U153" i="5"/>
  <c r="Z152" i="5"/>
  <c r="AA152" i="5" s="1"/>
  <c r="U152" i="5"/>
  <c r="W152" i="5" s="1"/>
  <c r="Z151" i="5"/>
  <c r="AA151" i="5" s="1"/>
  <c r="U151" i="5"/>
  <c r="W151" i="5" s="1"/>
  <c r="Z150" i="5"/>
  <c r="AA150" i="5" s="1"/>
  <c r="U150" i="5"/>
  <c r="W150" i="5" s="1"/>
  <c r="Z149" i="5"/>
  <c r="AA149" i="5" s="1"/>
  <c r="U149" i="5"/>
  <c r="W149" i="5" s="1"/>
  <c r="Z148" i="5"/>
  <c r="AA148" i="5" s="1"/>
  <c r="U148" i="5"/>
  <c r="W148" i="5" s="1"/>
  <c r="Z147" i="5"/>
  <c r="AA147" i="5" s="1"/>
  <c r="U147" i="5"/>
  <c r="V147" i="5" s="1"/>
  <c r="Z146" i="5"/>
  <c r="AA146" i="5" s="1"/>
  <c r="U146" i="5"/>
  <c r="W146" i="5" s="1"/>
  <c r="Z145" i="5"/>
  <c r="AA145" i="5" s="1"/>
  <c r="U145" i="5"/>
  <c r="W145" i="5" s="1"/>
  <c r="Z144" i="5"/>
  <c r="AA144" i="5" s="1"/>
  <c r="U144" i="5"/>
  <c r="V144" i="5" s="1"/>
  <c r="Z143" i="5"/>
  <c r="U143" i="5"/>
  <c r="W143" i="5" s="1"/>
  <c r="Z142" i="5"/>
  <c r="AA142" i="5" s="1"/>
  <c r="U142" i="5"/>
  <c r="W142" i="5" s="1"/>
  <c r="Z141" i="5"/>
  <c r="AA141" i="5" s="1"/>
  <c r="U141" i="5"/>
  <c r="W141" i="5" s="1"/>
  <c r="Z140" i="5"/>
  <c r="AA140" i="5" s="1"/>
  <c r="U140" i="5"/>
  <c r="W140" i="5" s="1"/>
  <c r="Z139" i="5"/>
  <c r="AA139" i="5" s="1"/>
  <c r="U139" i="5"/>
  <c r="W139" i="5" s="1"/>
  <c r="Z138" i="5"/>
  <c r="U138" i="5"/>
  <c r="W138" i="5" s="1"/>
  <c r="Z137" i="5"/>
  <c r="AA137" i="5" s="1"/>
  <c r="U137" i="5"/>
  <c r="V137" i="5" s="1"/>
  <c r="Z136" i="5"/>
  <c r="AA136" i="5" s="1"/>
  <c r="U136" i="5"/>
  <c r="W136" i="5" s="1"/>
  <c r="Z135" i="5"/>
  <c r="AA135" i="5" s="1"/>
  <c r="U135" i="5"/>
  <c r="W135" i="5" s="1"/>
  <c r="Z134" i="5"/>
  <c r="AA134" i="5" s="1"/>
  <c r="U134" i="5"/>
  <c r="V134" i="5" s="1"/>
  <c r="Z133" i="5"/>
  <c r="AA133" i="5" s="1"/>
  <c r="U133" i="5"/>
  <c r="W133" i="5" s="1"/>
  <c r="Z132" i="5"/>
  <c r="U132" i="5"/>
  <c r="W132" i="5" s="1"/>
  <c r="Z131" i="5"/>
  <c r="AA131" i="5" s="1"/>
  <c r="U131" i="5"/>
  <c r="W131" i="5" s="1"/>
  <c r="Z130" i="5"/>
  <c r="AA130" i="5" s="1"/>
  <c r="U130" i="5"/>
  <c r="W130" i="5" s="1"/>
  <c r="Z129" i="5"/>
  <c r="U129" i="5"/>
  <c r="W129" i="5" s="1"/>
  <c r="Z128" i="5"/>
  <c r="AA128" i="5" s="1"/>
  <c r="U128" i="5"/>
  <c r="V128" i="5" s="1"/>
  <c r="Z127" i="5"/>
  <c r="AA127" i="5" s="1"/>
  <c r="U127" i="5"/>
  <c r="W127" i="5" s="1"/>
  <c r="Z126" i="5"/>
  <c r="AA126" i="5" s="1"/>
  <c r="U126" i="5"/>
  <c r="W126" i="5" s="1"/>
  <c r="Z125" i="5"/>
  <c r="AA125" i="5" s="1"/>
  <c r="U125" i="5"/>
  <c r="V125" i="5" s="1"/>
  <c r="Z124" i="5"/>
  <c r="U124" i="5"/>
  <c r="W124" i="5" s="1"/>
  <c r="Z123" i="5"/>
  <c r="AA123" i="5" s="1"/>
  <c r="U123" i="5"/>
  <c r="V123" i="5" s="1"/>
  <c r="Z122" i="5"/>
  <c r="AA122" i="5" s="1"/>
  <c r="U122" i="5"/>
  <c r="V122" i="5" s="1"/>
  <c r="Z121" i="5"/>
  <c r="AA121" i="5" s="1"/>
  <c r="U121" i="5"/>
  <c r="W121" i="5" s="1"/>
  <c r="Z120" i="5"/>
  <c r="AA120" i="5" s="1"/>
  <c r="U120" i="5"/>
  <c r="W120" i="5" s="1"/>
  <c r="Z119" i="5"/>
  <c r="AA119" i="5" s="1"/>
  <c r="U119" i="5"/>
  <c r="W119" i="5" s="1"/>
  <c r="Z118" i="5"/>
  <c r="AA118" i="5" s="1"/>
  <c r="U118" i="5"/>
  <c r="W118" i="5" s="1"/>
  <c r="Z117" i="5"/>
  <c r="U117" i="5"/>
  <c r="V117" i="5" s="1"/>
  <c r="Z116" i="5"/>
  <c r="U116" i="5"/>
  <c r="W116" i="5" s="1"/>
  <c r="Z115" i="5"/>
  <c r="AA115" i="5" s="1"/>
  <c r="U115" i="5"/>
  <c r="W115" i="5" s="1"/>
  <c r="Z114" i="5"/>
  <c r="AA114" i="5" s="1"/>
  <c r="U114" i="5"/>
  <c r="W114" i="5" s="1"/>
  <c r="Z113" i="5"/>
  <c r="AA113" i="5" s="1"/>
  <c r="U113" i="5"/>
  <c r="W113" i="5" s="1"/>
  <c r="Z112" i="5"/>
  <c r="U112" i="5"/>
  <c r="W112" i="5" s="1"/>
  <c r="Z111" i="5"/>
  <c r="U111" i="5"/>
  <c r="W111" i="5" s="1"/>
  <c r="Z110" i="5"/>
  <c r="U110" i="5"/>
  <c r="W110" i="5" s="1"/>
  <c r="Z109" i="5"/>
  <c r="U109" i="5"/>
  <c r="V109" i="5" s="1"/>
  <c r="Z108" i="5"/>
  <c r="U108" i="5"/>
  <c r="W108" i="5" s="1"/>
  <c r="Z107" i="5"/>
  <c r="U107" i="5"/>
  <c r="W107" i="5" s="1"/>
  <c r="Z106" i="5"/>
  <c r="U106" i="5"/>
  <c r="W106" i="5" s="1"/>
  <c r="Z105" i="5"/>
  <c r="AA105" i="5" s="1"/>
  <c r="U105" i="5"/>
  <c r="W105" i="5" s="1"/>
  <c r="Z104" i="5"/>
  <c r="AA104" i="5" s="1"/>
  <c r="U104" i="5"/>
  <c r="W104" i="5" s="1"/>
  <c r="Z103" i="5"/>
  <c r="AA103" i="5" s="1"/>
  <c r="U103" i="5"/>
  <c r="W103" i="5" s="1"/>
  <c r="Z102" i="5"/>
  <c r="U102" i="5"/>
  <c r="W102" i="5" s="1"/>
  <c r="Z101" i="5"/>
  <c r="AA101" i="5" s="1"/>
  <c r="U101" i="5"/>
  <c r="W101" i="5" s="1"/>
  <c r="Z100" i="5"/>
  <c r="AA100" i="5" s="1"/>
  <c r="U100" i="5"/>
  <c r="W100" i="5" s="1"/>
  <c r="Z99" i="5"/>
  <c r="AA99" i="5" s="1"/>
  <c r="U99" i="5"/>
  <c r="W99" i="5" s="1"/>
  <c r="Z98" i="5"/>
  <c r="AA98" i="5" s="1"/>
  <c r="U98" i="5"/>
  <c r="W98" i="5" s="1"/>
  <c r="Z97" i="5"/>
  <c r="AA97" i="5" s="1"/>
  <c r="U97" i="5"/>
  <c r="W97" i="5" s="1"/>
  <c r="Z96" i="5"/>
  <c r="U96" i="5"/>
  <c r="W96" i="5" s="1"/>
  <c r="Z95" i="5"/>
  <c r="AA95" i="5" s="1"/>
  <c r="U95" i="5"/>
  <c r="W95" i="5" s="1"/>
  <c r="Z94" i="5"/>
  <c r="AA94" i="5" s="1"/>
  <c r="U94" i="5"/>
  <c r="W94" i="5" s="1"/>
  <c r="Z93" i="5"/>
  <c r="AA93" i="5" s="1"/>
  <c r="U93" i="5"/>
  <c r="W93" i="5" s="1"/>
  <c r="Z92" i="5"/>
  <c r="AA92" i="5" s="1"/>
  <c r="U92" i="5"/>
  <c r="W92" i="5" s="1"/>
  <c r="Z91" i="5"/>
  <c r="AA91" i="5" s="1"/>
  <c r="U91" i="5"/>
  <c r="W91" i="5" s="1"/>
  <c r="Z90" i="5"/>
  <c r="AA90" i="5" s="1"/>
  <c r="U90" i="5"/>
  <c r="W90" i="5" s="1"/>
  <c r="Z89" i="5"/>
  <c r="AA89" i="5" s="1"/>
  <c r="U89" i="5"/>
  <c r="W89" i="5" s="1"/>
  <c r="Z88" i="5"/>
  <c r="U88" i="5"/>
  <c r="W88" i="5" s="1"/>
  <c r="Z87" i="5"/>
  <c r="AA87" i="5" s="1"/>
  <c r="U87" i="5"/>
  <c r="W87" i="5" s="1"/>
  <c r="Z86" i="5"/>
  <c r="AA86" i="5" s="1"/>
  <c r="U86" i="5"/>
  <c r="V86" i="5" s="1"/>
  <c r="Z85" i="5"/>
  <c r="AA85" i="5" s="1"/>
  <c r="U85" i="5"/>
  <c r="W85" i="5" s="1"/>
  <c r="Z84" i="5"/>
  <c r="AA84" i="5" s="1"/>
  <c r="U84" i="5"/>
  <c r="W84" i="5" s="1"/>
  <c r="Z83" i="5"/>
  <c r="U83" i="5"/>
  <c r="V83" i="5" s="1"/>
  <c r="Z82" i="5"/>
  <c r="AA82" i="5" s="1"/>
  <c r="U82" i="5"/>
  <c r="W82" i="5" s="1"/>
  <c r="Z81" i="5"/>
  <c r="AA81" i="5" s="1"/>
  <c r="U81" i="5"/>
  <c r="W81" i="5" s="1"/>
  <c r="Z80" i="5"/>
  <c r="AA80" i="5" s="1"/>
  <c r="U80" i="5"/>
  <c r="W80" i="5" s="1"/>
  <c r="Z79" i="5"/>
  <c r="AA79" i="5" s="1"/>
  <c r="U79" i="5"/>
  <c r="W79" i="5" s="1"/>
  <c r="Z78" i="5"/>
  <c r="U78" i="5"/>
  <c r="W78" i="5" s="1"/>
  <c r="Z77" i="5"/>
  <c r="AA77" i="5" s="1"/>
  <c r="U77" i="5"/>
  <c r="V77" i="5" s="1"/>
  <c r="Z76" i="5"/>
  <c r="AA76" i="5" s="1"/>
  <c r="U76" i="5"/>
  <c r="W76" i="5" s="1"/>
  <c r="Z75" i="5"/>
  <c r="AA75" i="5" s="1"/>
  <c r="U75" i="5"/>
  <c r="V75" i="5" s="1"/>
  <c r="Z74" i="5"/>
  <c r="AA74" i="5" s="1"/>
  <c r="U74" i="5"/>
  <c r="W74" i="5" s="1"/>
  <c r="Z73" i="5"/>
  <c r="AA73" i="5" s="1"/>
  <c r="U73" i="5"/>
  <c r="W73" i="5" s="1"/>
  <c r="Z72" i="5"/>
  <c r="AA72" i="5" s="1"/>
  <c r="U72" i="5"/>
  <c r="V72" i="5" s="1"/>
  <c r="Z71" i="5"/>
  <c r="U71" i="5"/>
  <c r="W71" i="5" s="1"/>
  <c r="Z70" i="5"/>
  <c r="AA70" i="5" s="1"/>
  <c r="U70" i="5"/>
  <c r="W70" i="5" s="1"/>
  <c r="Z69" i="5"/>
  <c r="AA69" i="5" s="1"/>
  <c r="U69" i="5"/>
  <c r="W69" i="5" s="1"/>
  <c r="Z68" i="5"/>
  <c r="AA68" i="5" s="1"/>
  <c r="U68" i="5"/>
  <c r="W68" i="5" s="1"/>
  <c r="Z67" i="5"/>
  <c r="AA67" i="5" s="1"/>
  <c r="U67" i="5"/>
  <c r="V67" i="5" s="1"/>
  <c r="Z66" i="5"/>
  <c r="AA66" i="5" s="1"/>
  <c r="U66" i="5"/>
  <c r="W66" i="5" s="1"/>
  <c r="Z65" i="5"/>
  <c r="AA65" i="5" s="1"/>
  <c r="U65" i="5"/>
  <c r="W65" i="5" s="1"/>
  <c r="Z64" i="5"/>
  <c r="U64" i="5"/>
  <c r="W64" i="5" s="1"/>
  <c r="Z63" i="5"/>
  <c r="U63" i="5"/>
  <c r="W63" i="5" s="1"/>
  <c r="Z62" i="5"/>
  <c r="AA62" i="5" s="1"/>
  <c r="U62" i="5"/>
  <c r="W62" i="5" s="1"/>
  <c r="Z61" i="5"/>
  <c r="AA61" i="5" s="1"/>
  <c r="U61" i="5"/>
  <c r="V61" i="5" s="1"/>
  <c r="Z60" i="5"/>
  <c r="AA60" i="5" s="1"/>
  <c r="U60" i="5"/>
  <c r="W60" i="5" s="1"/>
  <c r="Z59" i="5"/>
  <c r="AA59" i="5" s="1"/>
  <c r="U59" i="5"/>
  <c r="W59" i="5" s="1"/>
  <c r="Z58" i="5"/>
  <c r="AA58" i="5" s="1"/>
  <c r="U58" i="5"/>
  <c r="W58" i="5" s="1"/>
  <c r="Z57" i="5"/>
  <c r="AA57" i="5" s="1"/>
  <c r="U57" i="5"/>
  <c r="W57" i="5" s="1"/>
  <c r="Z56" i="5"/>
  <c r="U56" i="5"/>
  <c r="W56" i="5" s="1"/>
  <c r="Z55" i="5"/>
  <c r="AA55" i="5" s="1"/>
  <c r="U55" i="5"/>
  <c r="W55" i="5" s="1"/>
  <c r="Z54" i="5"/>
  <c r="AA54" i="5" s="1"/>
  <c r="U54" i="5"/>
  <c r="W54" i="5" s="1"/>
  <c r="Z53" i="5"/>
  <c r="AA53" i="5" s="1"/>
  <c r="U53" i="5"/>
  <c r="W53" i="5" s="1"/>
  <c r="Z52" i="5"/>
  <c r="AA52" i="5" s="1"/>
  <c r="U52" i="5"/>
  <c r="W52" i="5" s="1"/>
  <c r="Z51" i="5"/>
  <c r="AA51" i="5" s="1"/>
  <c r="U51" i="5"/>
  <c r="W51" i="5" s="1"/>
  <c r="Z50" i="5"/>
  <c r="U50" i="5"/>
  <c r="V50" i="5" s="1"/>
  <c r="Z49" i="5"/>
  <c r="AA49" i="5" s="1"/>
  <c r="U49" i="5"/>
  <c r="V49" i="5" s="1"/>
  <c r="Z48" i="5"/>
  <c r="AA48" i="5" s="1"/>
  <c r="U48" i="5"/>
  <c r="W48" i="5" s="1"/>
  <c r="Z47" i="5"/>
  <c r="AA47" i="5" s="1"/>
  <c r="U47" i="5"/>
  <c r="V47" i="5" s="1"/>
  <c r="Z46" i="5"/>
  <c r="U46" i="5"/>
  <c r="W46" i="5" s="1"/>
  <c r="Z45" i="5"/>
  <c r="AA45" i="5" s="1"/>
  <c r="U45" i="5"/>
  <c r="W45" i="5" s="1"/>
  <c r="Z44" i="5"/>
  <c r="AA44" i="5" s="1"/>
  <c r="U44" i="5"/>
  <c r="W44" i="5" s="1"/>
  <c r="Z43" i="5"/>
  <c r="AA43" i="5" s="1"/>
  <c r="U43" i="5"/>
  <c r="W43" i="5" s="1"/>
  <c r="Z42" i="5"/>
  <c r="AA42" i="5" s="1"/>
  <c r="U42" i="5"/>
  <c r="W42" i="5" s="1"/>
  <c r="Z41" i="5"/>
  <c r="U41" i="5"/>
  <c r="W41" i="5" s="1"/>
  <c r="Z40" i="5"/>
  <c r="AA40" i="5" s="1"/>
  <c r="U40" i="5"/>
  <c r="W40" i="5" s="1"/>
  <c r="Z39" i="5"/>
  <c r="AA39" i="5" s="1"/>
  <c r="U39" i="5"/>
  <c r="W39" i="5" s="1"/>
  <c r="Z38" i="5"/>
  <c r="AA38" i="5" s="1"/>
  <c r="U38" i="5"/>
  <c r="W38" i="5" s="1"/>
  <c r="Z37" i="5"/>
  <c r="AA37" i="5" s="1"/>
  <c r="U37" i="5"/>
  <c r="V37" i="5" s="1"/>
  <c r="Z36" i="5"/>
  <c r="AA36" i="5" s="1"/>
  <c r="U36" i="5"/>
  <c r="W36" i="5" s="1"/>
  <c r="Z35" i="5"/>
  <c r="U35" i="5"/>
  <c r="W35" i="5" s="1"/>
  <c r="Z34" i="5"/>
  <c r="AA34" i="5" s="1"/>
  <c r="U34" i="5"/>
  <c r="W34" i="5" s="1"/>
  <c r="Z33" i="5"/>
  <c r="AA33" i="5" s="1"/>
  <c r="U33" i="5"/>
  <c r="W33" i="5" s="1"/>
  <c r="Z32" i="5"/>
  <c r="AA32" i="5" s="1"/>
  <c r="U32" i="5"/>
  <c r="W32" i="5" s="1"/>
  <c r="Z31" i="5"/>
  <c r="AA31" i="5" s="1"/>
  <c r="U31" i="5"/>
  <c r="W31" i="5" s="1"/>
  <c r="Z30" i="5"/>
  <c r="AA30" i="5" s="1"/>
  <c r="U30" i="5"/>
  <c r="W30" i="5" s="1"/>
  <c r="Z29" i="5"/>
  <c r="AA29" i="5" s="1"/>
  <c r="U29" i="5"/>
  <c r="W29" i="5" s="1"/>
  <c r="Z28" i="5"/>
  <c r="U28" i="5"/>
  <c r="W28" i="5" s="1"/>
  <c r="Z27" i="5"/>
  <c r="AA27" i="5" s="1"/>
  <c r="U27" i="5"/>
  <c r="V27" i="5" s="1"/>
  <c r="Z26" i="5"/>
  <c r="AA26" i="5" s="1"/>
  <c r="U26" i="5"/>
  <c r="W26" i="5" s="1"/>
  <c r="Z25" i="5"/>
  <c r="AA25" i="5" s="1"/>
  <c r="U25" i="5"/>
  <c r="W25" i="5" s="1"/>
  <c r="Z24" i="5"/>
  <c r="AA24" i="5" s="1"/>
  <c r="U24" i="5"/>
  <c r="W24" i="5" s="1"/>
  <c r="Z23" i="5"/>
  <c r="U23" i="5"/>
  <c r="W23" i="5" s="1"/>
  <c r="Z22" i="5"/>
  <c r="AA22" i="5" s="1"/>
  <c r="U22" i="5"/>
  <c r="W22" i="5" s="1"/>
  <c r="Z21" i="5"/>
  <c r="AA21" i="5" s="1"/>
  <c r="U21" i="5"/>
  <c r="W21" i="5" s="1"/>
  <c r="Z20" i="5"/>
  <c r="AA20" i="5" s="1"/>
  <c r="U20" i="5"/>
  <c r="W20" i="5" s="1"/>
  <c r="Z19" i="5"/>
  <c r="AA19" i="5" s="1"/>
  <c r="U19" i="5"/>
  <c r="W19" i="5" s="1"/>
  <c r="Z18" i="5"/>
  <c r="AA18" i="5" s="1"/>
  <c r="U18" i="5"/>
  <c r="W18" i="5" s="1"/>
  <c r="Z17" i="5"/>
  <c r="U17" i="5"/>
  <c r="W17" i="5" s="1"/>
  <c r="Z16" i="5"/>
  <c r="AA16" i="5" s="1"/>
  <c r="U16" i="5"/>
  <c r="W16" i="5" s="1"/>
  <c r="Z15" i="5"/>
  <c r="AA15" i="5" s="1"/>
  <c r="U15" i="5"/>
  <c r="W15" i="5" s="1"/>
  <c r="Z14" i="5"/>
  <c r="AA14" i="5" s="1"/>
  <c r="U14" i="5"/>
  <c r="W14" i="5" s="1"/>
  <c r="Z13" i="5"/>
  <c r="AA13" i="5" s="1"/>
  <c r="U13" i="5"/>
  <c r="W13" i="5" s="1"/>
  <c r="Z12" i="5"/>
  <c r="AA12" i="5" s="1"/>
  <c r="U12" i="5"/>
  <c r="W12" i="5" s="1"/>
  <c r="Z11" i="5"/>
  <c r="U11" i="5"/>
  <c r="W11" i="5" s="1"/>
  <c r="Z10" i="5"/>
  <c r="AA10" i="5" s="1"/>
  <c r="U10" i="5"/>
  <c r="W10" i="5" s="1"/>
  <c r="Z9" i="5"/>
  <c r="AA9" i="5" s="1"/>
  <c r="U9" i="5"/>
  <c r="W9" i="5" s="1"/>
  <c r="Z8" i="5"/>
  <c r="AA8" i="5" s="1"/>
  <c r="U8" i="5"/>
  <c r="W8" i="5" s="1"/>
  <c r="Z7" i="5"/>
  <c r="AA7" i="5" s="1"/>
  <c r="U7" i="5"/>
  <c r="W7" i="5" s="1"/>
  <c r="Z6" i="5"/>
  <c r="AA6" i="5" s="1"/>
  <c r="U6" i="5"/>
  <c r="W6" i="5" s="1"/>
  <c r="Z5" i="5"/>
  <c r="U5" i="5"/>
  <c r="W5" i="5" s="1"/>
  <c r="Y304" i="4"/>
  <c r="Z304" i="4" s="1"/>
  <c r="V304" i="4"/>
  <c r="U304" i="4"/>
  <c r="T304" i="4"/>
  <c r="Y303" i="4"/>
  <c r="Z303" i="4" s="1"/>
  <c r="V303" i="4"/>
  <c r="U303" i="4"/>
  <c r="T303" i="4"/>
  <c r="Y302" i="4"/>
  <c r="Z302" i="4" s="1"/>
  <c r="V302" i="4"/>
  <c r="U302" i="4"/>
  <c r="T302" i="4"/>
  <c r="Y301" i="4"/>
  <c r="Z301" i="4" s="1"/>
  <c r="V301" i="4"/>
  <c r="U301" i="4"/>
  <c r="T301" i="4"/>
  <c r="Y300" i="4"/>
  <c r="Z300" i="4" s="1"/>
  <c r="V300" i="4"/>
  <c r="U300" i="4"/>
  <c r="T300" i="4"/>
  <c r="Y299" i="4"/>
  <c r="Z299" i="4" s="1"/>
  <c r="V299" i="4"/>
  <c r="U299" i="4"/>
  <c r="T299" i="4"/>
  <c r="Y298" i="4"/>
  <c r="Z298" i="4" s="1"/>
  <c r="V298" i="4"/>
  <c r="U298" i="4"/>
  <c r="T298" i="4"/>
  <c r="Y297" i="4"/>
  <c r="Z297" i="4" s="1"/>
  <c r="V297" i="4"/>
  <c r="U297" i="4"/>
  <c r="T297" i="4"/>
  <c r="Y296" i="4"/>
  <c r="Z296" i="4" s="1"/>
  <c r="V296" i="4"/>
  <c r="U296" i="4"/>
  <c r="T296" i="4"/>
  <c r="Y295" i="4"/>
  <c r="Z295" i="4" s="1"/>
  <c r="V295" i="4"/>
  <c r="U295" i="4"/>
  <c r="T295" i="4"/>
  <c r="Y294" i="4"/>
  <c r="Z294" i="4" s="1"/>
  <c r="V294" i="4"/>
  <c r="U294" i="4"/>
  <c r="T294" i="4"/>
  <c r="Y293" i="4"/>
  <c r="Z293" i="4" s="1"/>
  <c r="V293" i="4"/>
  <c r="U293" i="4"/>
  <c r="T293" i="4"/>
  <c r="Y292" i="4"/>
  <c r="Z292" i="4" s="1"/>
  <c r="V292" i="4"/>
  <c r="U292" i="4"/>
  <c r="T292" i="4"/>
  <c r="Y291" i="4"/>
  <c r="Z291" i="4" s="1"/>
  <c r="V291" i="4"/>
  <c r="U291" i="4"/>
  <c r="T291" i="4"/>
  <c r="Y290" i="4"/>
  <c r="Z290" i="4" s="1"/>
  <c r="V290" i="4"/>
  <c r="U290" i="4"/>
  <c r="T290" i="4"/>
  <c r="Y289" i="4"/>
  <c r="Z289" i="4" s="1"/>
  <c r="V289" i="4"/>
  <c r="U289" i="4"/>
  <c r="T289" i="4"/>
  <c r="Y288" i="4"/>
  <c r="Z288" i="4" s="1"/>
  <c r="V288" i="4"/>
  <c r="U288" i="4"/>
  <c r="T288" i="4"/>
  <c r="Y287" i="4"/>
  <c r="Z287" i="4" s="1"/>
  <c r="V287" i="4"/>
  <c r="U287" i="4"/>
  <c r="T287" i="4"/>
  <c r="Y286" i="4"/>
  <c r="Z286" i="4" s="1"/>
  <c r="V286" i="4"/>
  <c r="U286" i="4"/>
  <c r="T286" i="4"/>
  <c r="Y285" i="4"/>
  <c r="Z285" i="4" s="1"/>
  <c r="V285" i="4"/>
  <c r="U285" i="4"/>
  <c r="T285" i="4"/>
  <c r="Y284" i="4"/>
  <c r="Z284" i="4" s="1"/>
  <c r="V284" i="4"/>
  <c r="U284" i="4"/>
  <c r="T284" i="4"/>
  <c r="Y283" i="4"/>
  <c r="Z283" i="4" s="1"/>
  <c r="V283" i="4"/>
  <c r="U283" i="4"/>
  <c r="T283" i="4"/>
  <c r="Y282" i="4"/>
  <c r="Z282" i="4" s="1"/>
  <c r="V282" i="4"/>
  <c r="U282" i="4"/>
  <c r="T282" i="4"/>
  <c r="Y281" i="4"/>
  <c r="Z281" i="4" s="1"/>
  <c r="V281" i="4"/>
  <c r="U281" i="4"/>
  <c r="T281" i="4"/>
  <c r="Y280" i="4"/>
  <c r="Z280" i="4" s="1"/>
  <c r="V280" i="4"/>
  <c r="U280" i="4"/>
  <c r="T280" i="4"/>
  <c r="Y279" i="4"/>
  <c r="Z279" i="4" s="1"/>
  <c r="V279" i="4"/>
  <c r="U279" i="4"/>
  <c r="T279" i="4"/>
  <c r="Y278" i="4"/>
  <c r="Z278" i="4" s="1"/>
  <c r="V278" i="4"/>
  <c r="U278" i="4"/>
  <c r="T278" i="4"/>
  <c r="Y277" i="4"/>
  <c r="Z277" i="4" s="1"/>
  <c r="V277" i="4"/>
  <c r="U277" i="4"/>
  <c r="T277" i="4"/>
  <c r="Y276" i="4"/>
  <c r="Z276" i="4" s="1"/>
  <c r="V276" i="4"/>
  <c r="U276" i="4"/>
  <c r="T276" i="4"/>
  <c r="Y275" i="4"/>
  <c r="Z275" i="4" s="1"/>
  <c r="V275" i="4"/>
  <c r="U275" i="4"/>
  <c r="T275" i="4"/>
  <c r="Y274" i="4"/>
  <c r="Z274" i="4" s="1"/>
  <c r="V274" i="4"/>
  <c r="U274" i="4"/>
  <c r="T274" i="4"/>
  <c r="Y273" i="4"/>
  <c r="Z273" i="4" s="1"/>
  <c r="V273" i="4"/>
  <c r="U273" i="4"/>
  <c r="T273" i="4"/>
  <c r="Y272" i="4"/>
  <c r="Z272" i="4" s="1"/>
  <c r="V272" i="4"/>
  <c r="U272" i="4"/>
  <c r="T272" i="4"/>
  <c r="Y271" i="4"/>
  <c r="Z271" i="4" s="1"/>
  <c r="V271" i="4"/>
  <c r="U271" i="4"/>
  <c r="T271" i="4"/>
  <c r="Y270" i="4"/>
  <c r="Z270" i="4" s="1"/>
  <c r="V270" i="4"/>
  <c r="U270" i="4"/>
  <c r="T270" i="4"/>
  <c r="Y269" i="4"/>
  <c r="Z269" i="4" s="1"/>
  <c r="V269" i="4"/>
  <c r="U269" i="4"/>
  <c r="T269" i="4"/>
  <c r="Y268" i="4"/>
  <c r="Z268" i="4" s="1"/>
  <c r="V268" i="4"/>
  <c r="U268" i="4"/>
  <c r="T268" i="4"/>
  <c r="Y267" i="4"/>
  <c r="Z267" i="4" s="1"/>
  <c r="V267" i="4"/>
  <c r="U267" i="4"/>
  <c r="T267" i="4"/>
  <c r="Y266" i="4"/>
  <c r="Z266" i="4" s="1"/>
  <c r="V266" i="4"/>
  <c r="U266" i="4"/>
  <c r="T266" i="4"/>
  <c r="Y265" i="4"/>
  <c r="Z265" i="4" s="1"/>
  <c r="V265" i="4"/>
  <c r="U265" i="4"/>
  <c r="T265" i="4"/>
  <c r="Y264" i="4"/>
  <c r="Z264" i="4" s="1"/>
  <c r="V264" i="4"/>
  <c r="U264" i="4"/>
  <c r="T264" i="4"/>
  <c r="Y263" i="4"/>
  <c r="Z263" i="4" s="1"/>
  <c r="V263" i="4"/>
  <c r="U263" i="4"/>
  <c r="T263" i="4"/>
  <c r="Y262" i="4"/>
  <c r="Z262" i="4" s="1"/>
  <c r="V262" i="4"/>
  <c r="U262" i="4"/>
  <c r="T262" i="4"/>
  <c r="Y261" i="4"/>
  <c r="Z261" i="4" s="1"/>
  <c r="V261" i="4"/>
  <c r="U261" i="4"/>
  <c r="T261" i="4"/>
  <c r="Y260" i="4"/>
  <c r="Z260" i="4" s="1"/>
  <c r="V260" i="4"/>
  <c r="U260" i="4"/>
  <c r="T260" i="4"/>
  <c r="Y259" i="4"/>
  <c r="Z259" i="4" s="1"/>
  <c r="V259" i="4"/>
  <c r="U259" i="4"/>
  <c r="T259" i="4"/>
  <c r="Y258" i="4"/>
  <c r="Z258" i="4" s="1"/>
  <c r="V258" i="4"/>
  <c r="U258" i="4"/>
  <c r="T258" i="4"/>
  <c r="Y257" i="4"/>
  <c r="Z257" i="4" s="1"/>
  <c r="V257" i="4"/>
  <c r="U257" i="4"/>
  <c r="T257" i="4"/>
  <c r="Y256" i="4"/>
  <c r="Z256" i="4" s="1"/>
  <c r="V256" i="4"/>
  <c r="U256" i="4"/>
  <c r="T256" i="4"/>
  <c r="Y255" i="4"/>
  <c r="Z255" i="4" s="1"/>
  <c r="V255" i="4"/>
  <c r="U255" i="4"/>
  <c r="T255" i="4"/>
  <c r="Y254" i="4"/>
  <c r="Z254" i="4" s="1"/>
  <c r="V254" i="4"/>
  <c r="U254" i="4"/>
  <c r="T254" i="4"/>
  <c r="Y253" i="4"/>
  <c r="Z253" i="4" s="1"/>
  <c r="V253" i="4"/>
  <c r="U253" i="4"/>
  <c r="T253" i="4"/>
  <c r="Y252" i="4"/>
  <c r="Z252" i="4" s="1"/>
  <c r="V252" i="4"/>
  <c r="U252" i="4"/>
  <c r="T252" i="4"/>
  <c r="Y251" i="4"/>
  <c r="Z251" i="4" s="1"/>
  <c r="V251" i="4"/>
  <c r="U251" i="4"/>
  <c r="T251" i="4"/>
  <c r="Y250" i="4"/>
  <c r="Z250" i="4" s="1"/>
  <c r="V250" i="4"/>
  <c r="U250" i="4"/>
  <c r="T250" i="4"/>
  <c r="Y249" i="4"/>
  <c r="Z249" i="4" s="1"/>
  <c r="V249" i="4"/>
  <c r="U249" i="4"/>
  <c r="T249" i="4"/>
  <c r="Y248" i="4"/>
  <c r="Z248" i="4" s="1"/>
  <c r="V248" i="4"/>
  <c r="U248" i="4"/>
  <c r="T248" i="4"/>
  <c r="Y247" i="4"/>
  <c r="Z247" i="4" s="1"/>
  <c r="V247" i="4"/>
  <c r="U247" i="4"/>
  <c r="T247" i="4"/>
  <c r="Y246" i="4"/>
  <c r="Z246" i="4" s="1"/>
  <c r="V246" i="4"/>
  <c r="U246" i="4"/>
  <c r="T246" i="4"/>
  <c r="Y245" i="4"/>
  <c r="Z245" i="4" s="1"/>
  <c r="V245" i="4"/>
  <c r="U245" i="4"/>
  <c r="T245" i="4"/>
  <c r="Y244" i="4"/>
  <c r="Z244" i="4" s="1"/>
  <c r="V244" i="4"/>
  <c r="U244" i="4"/>
  <c r="T244" i="4"/>
  <c r="Y243" i="4"/>
  <c r="Z243" i="4" s="1"/>
  <c r="V243" i="4"/>
  <c r="U243" i="4"/>
  <c r="T243" i="4"/>
  <c r="Y242" i="4"/>
  <c r="Z242" i="4" s="1"/>
  <c r="V242" i="4"/>
  <c r="U242" i="4"/>
  <c r="T242" i="4"/>
  <c r="Y241" i="4"/>
  <c r="Z241" i="4" s="1"/>
  <c r="V241" i="4"/>
  <c r="U241" i="4"/>
  <c r="T241" i="4"/>
  <c r="Y240" i="4"/>
  <c r="Z240" i="4" s="1"/>
  <c r="V240" i="4"/>
  <c r="U240" i="4"/>
  <c r="T240" i="4"/>
  <c r="Y239" i="4"/>
  <c r="Z239" i="4" s="1"/>
  <c r="V239" i="4"/>
  <c r="U239" i="4"/>
  <c r="T239" i="4"/>
  <c r="Y238" i="4"/>
  <c r="Z238" i="4" s="1"/>
  <c r="V238" i="4"/>
  <c r="U238" i="4"/>
  <c r="T238" i="4"/>
  <c r="Y237" i="4"/>
  <c r="Z237" i="4" s="1"/>
  <c r="V237" i="4"/>
  <c r="U237" i="4"/>
  <c r="T237" i="4"/>
  <c r="Y236" i="4"/>
  <c r="Z236" i="4" s="1"/>
  <c r="V236" i="4"/>
  <c r="U236" i="4"/>
  <c r="T236" i="4"/>
  <c r="Y235" i="4"/>
  <c r="Z235" i="4" s="1"/>
  <c r="V235" i="4"/>
  <c r="U235" i="4"/>
  <c r="T235" i="4"/>
  <c r="Y234" i="4"/>
  <c r="Z234" i="4" s="1"/>
  <c r="V234" i="4"/>
  <c r="U234" i="4"/>
  <c r="T234" i="4"/>
  <c r="Y233" i="4"/>
  <c r="Z233" i="4" s="1"/>
  <c r="V233" i="4"/>
  <c r="U233" i="4"/>
  <c r="T233" i="4"/>
  <c r="Y232" i="4"/>
  <c r="Z232" i="4" s="1"/>
  <c r="V232" i="4"/>
  <c r="U232" i="4"/>
  <c r="T232" i="4"/>
  <c r="Y231" i="4"/>
  <c r="Z231" i="4" s="1"/>
  <c r="V231" i="4"/>
  <c r="U231" i="4"/>
  <c r="T231" i="4"/>
  <c r="Y230" i="4"/>
  <c r="Z230" i="4" s="1"/>
  <c r="V230" i="4"/>
  <c r="U230" i="4"/>
  <c r="T230" i="4"/>
  <c r="Y229" i="4"/>
  <c r="Z229" i="4" s="1"/>
  <c r="V229" i="4"/>
  <c r="U229" i="4"/>
  <c r="T229" i="4"/>
  <c r="Y228" i="4"/>
  <c r="Z228" i="4" s="1"/>
  <c r="V228" i="4"/>
  <c r="U228" i="4"/>
  <c r="T228" i="4"/>
  <c r="Y227" i="4"/>
  <c r="Z227" i="4" s="1"/>
  <c r="V227" i="4"/>
  <c r="U227" i="4"/>
  <c r="T227" i="4"/>
  <c r="Y226" i="4"/>
  <c r="Z226" i="4" s="1"/>
  <c r="V226" i="4"/>
  <c r="U226" i="4"/>
  <c r="T226" i="4"/>
  <c r="Y225" i="4"/>
  <c r="Z225" i="4" s="1"/>
  <c r="V225" i="4"/>
  <c r="U225" i="4"/>
  <c r="T225" i="4"/>
  <c r="Y224" i="4"/>
  <c r="Z224" i="4" s="1"/>
  <c r="V224" i="4"/>
  <c r="U224" i="4"/>
  <c r="T224" i="4"/>
  <c r="Y223" i="4"/>
  <c r="Z223" i="4" s="1"/>
  <c r="V223" i="4"/>
  <c r="U223" i="4"/>
  <c r="T223" i="4"/>
  <c r="Y222" i="4"/>
  <c r="Z222" i="4" s="1"/>
  <c r="V222" i="4"/>
  <c r="U222" i="4"/>
  <c r="T222" i="4"/>
  <c r="Y221" i="4"/>
  <c r="Z221" i="4" s="1"/>
  <c r="V221" i="4"/>
  <c r="U221" i="4"/>
  <c r="T221" i="4"/>
  <c r="Y220" i="4"/>
  <c r="Z220" i="4" s="1"/>
  <c r="V220" i="4"/>
  <c r="U220" i="4"/>
  <c r="T220" i="4"/>
  <c r="Y219" i="4"/>
  <c r="Z219" i="4" s="1"/>
  <c r="V219" i="4"/>
  <c r="U219" i="4"/>
  <c r="T219" i="4"/>
  <c r="Y218" i="4"/>
  <c r="Z218" i="4" s="1"/>
  <c r="V218" i="4"/>
  <c r="U218" i="4"/>
  <c r="T218" i="4"/>
  <c r="Y217" i="4"/>
  <c r="Z217" i="4" s="1"/>
  <c r="V217" i="4"/>
  <c r="U217" i="4"/>
  <c r="T217" i="4"/>
  <c r="Y216" i="4"/>
  <c r="Z216" i="4" s="1"/>
  <c r="V216" i="4"/>
  <c r="U216" i="4"/>
  <c r="T216" i="4"/>
  <c r="Y215" i="4"/>
  <c r="Z215" i="4" s="1"/>
  <c r="V215" i="4"/>
  <c r="U215" i="4"/>
  <c r="T215" i="4"/>
  <c r="Y214" i="4"/>
  <c r="Z214" i="4" s="1"/>
  <c r="V214" i="4"/>
  <c r="U214" i="4"/>
  <c r="T214" i="4"/>
  <c r="Y213" i="4"/>
  <c r="Z213" i="4" s="1"/>
  <c r="V213" i="4"/>
  <c r="U213" i="4"/>
  <c r="T213" i="4"/>
  <c r="Y212" i="4"/>
  <c r="Z212" i="4" s="1"/>
  <c r="V212" i="4"/>
  <c r="U212" i="4"/>
  <c r="T212" i="4"/>
  <c r="Y211" i="4"/>
  <c r="Z211" i="4" s="1"/>
  <c r="V211" i="4"/>
  <c r="U211" i="4"/>
  <c r="T211" i="4"/>
  <c r="Y210" i="4"/>
  <c r="Z210" i="4" s="1"/>
  <c r="V210" i="4"/>
  <c r="U210" i="4"/>
  <c r="T210" i="4"/>
  <c r="Y209" i="4"/>
  <c r="Z209" i="4" s="1"/>
  <c r="V209" i="4"/>
  <c r="U209" i="4"/>
  <c r="T209" i="4"/>
  <c r="Y208" i="4"/>
  <c r="Z208" i="4" s="1"/>
  <c r="V208" i="4"/>
  <c r="U208" i="4"/>
  <c r="T208" i="4"/>
  <c r="Y207" i="4"/>
  <c r="Z207" i="4" s="1"/>
  <c r="V207" i="4"/>
  <c r="U207" i="4"/>
  <c r="T207" i="4"/>
  <c r="Y206" i="4"/>
  <c r="Z206" i="4" s="1"/>
  <c r="V206" i="4"/>
  <c r="U206" i="4"/>
  <c r="T206" i="4"/>
  <c r="Y205" i="4"/>
  <c r="Z205" i="4" s="1"/>
  <c r="V205" i="4"/>
  <c r="U205" i="4"/>
  <c r="T205" i="4"/>
  <c r="Y204" i="4"/>
  <c r="Z204" i="4" s="1"/>
  <c r="V204" i="4"/>
  <c r="U204" i="4"/>
  <c r="T204" i="4"/>
  <c r="Y203" i="4"/>
  <c r="Z203" i="4" s="1"/>
  <c r="V203" i="4"/>
  <c r="U203" i="4"/>
  <c r="T203" i="4"/>
  <c r="Y202" i="4"/>
  <c r="Z202" i="4" s="1"/>
  <c r="V202" i="4"/>
  <c r="U202" i="4"/>
  <c r="T202" i="4"/>
  <c r="Y201" i="4"/>
  <c r="Z201" i="4" s="1"/>
  <c r="V201" i="4"/>
  <c r="U201" i="4"/>
  <c r="T201" i="4"/>
  <c r="Y200" i="4"/>
  <c r="Z200" i="4" s="1"/>
  <c r="V200" i="4"/>
  <c r="U200" i="4"/>
  <c r="T200" i="4"/>
  <c r="Y199" i="4"/>
  <c r="Z199" i="4" s="1"/>
  <c r="V199" i="4"/>
  <c r="U199" i="4"/>
  <c r="T199" i="4"/>
  <c r="Y198" i="4"/>
  <c r="Z198" i="4" s="1"/>
  <c r="V198" i="4"/>
  <c r="U198" i="4"/>
  <c r="T198" i="4"/>
  <c r="Y197" i="4"/>
  <c r="Z197" i="4" s="1"/>
  <c r="V197" i="4"/>
  <c r="U197" i="4"/>
  <c r="T197" i="4"/>
  <c r="Y196" i="4"/>
  <c r="Z196" i="4" s="1"/>
  <c r="V196" i="4"/>
  <c r="U196" i="4"/>
  <c r="T196" i="4"/>
  <c r="Y195" i="4"/>
  <c r="Z195" i="4" s="1"/>
  <c r="V195" i="4"/>
  <c r="U195" i="4"/>
  <c r="T195" i="4"/>
  <c r="Y194" i="4"/>
  <c r="Z194" i="4" s="1"/>
  <c r="V194" i="4"/>
  <c r="U194" i="4"/>
  <c r="T194" i="4"/>
  <c r="Y193" i="4"/>
  <c r="Z193" i="4" s="1"/>
  <c r="V193" i="4"/>
  <c r="U193" i="4"/>
  <c r="T193" i="4"/>
  <c r="Y192" i="4"/>
  <c r="Z192" i="4" s="1"/>
  <c r="V192" i="4"/>
  <c r="U192" i="4"/>
  <c r="T192" i="4"/>
  <c r="Y191" i="4"/>
  <c r="Z191" i="4" s="1"/>
  <c r="V191" i="4"/>
  <c r="U191" i="4"/>
  <c r="T191" i="4"/>
  <c r="Y190" i="4"/>
  <c r="Z190" i="4" s="1"/>
  <c r="V190" i="4"/>
  <c r="U190" i="4"/>
  <c r="T190" i="4"/>
  <c r="Y189" i="4"/>
  <c r="Z189" i="4" s="1"/>
  <c r="V189" i="4"/>
  <c r="U189" i="4"/>
  <c r="T189" i="4"/>
  <c r="Y188" i="4"/>
  <c r="Z188" i="4" s="1"/>
  <c r="V188" i="4"/>
  <c r="U188" i="4"/>
  <c r="T188" i="4"/>
  <c r="Y187" i="4"/>
  <c r="Z187" i="4" s="1"/>
  <c r="V187" i="4"/>
  <c r="U187" i="4"/>
  <c r="T187" i="4"/>
  <c r="Y186" i="4"/>
  <c r="Z186" i="4" s="1"/>
  <c r="V186" i="4"/>
  <c r="U186" i="4"/>
  <c r="T186" i="4"/>
  <c r="Y185" i="4"/>
  <c r="Z185" i="4" s="1"/>
  <c r="V185" i="4"/>
  <c r="U185" i="4"/>
  <c r="T185" i="4"/>
  <c r="Y184" i="4"/>
  <c r="Z184" i="4" s="1"/>
  <c r="V184" i="4"/>
  <c r="U184" i="4"/>
  <c r="T184" i="4"/>
  <c r="Y183" i="4"/>
  <c r="Z183" i="4" s="1"/>
  <c r="V183" i="4"/>
  <c r="U183" i="4"/>
  <c r="T183" i="4"/>
  <c r="Y182" i="4"/>
  <c r="Z182" i="4" s="1"/>
  <c r="V182" i="4"/>
  <c r="U182" i="4"/>
  <c r="T182" i="4"/>
  <c r="Y181" i="4"/>
  <c r="Z181" i="4" s="1"/>
  <c r="V181" i="4"/>
  <c r="U181" i="4"/>
  <c r="T181" i="4"/>
  <c r="Y180" i="4"/>
  <c r="Z180" i="4" s="1"/>
  <c r="V180" i="4"/>
  <c r="U180" i="4"/>
  <c r="T180" i="4"/>
  <c r="Y179" i="4"/>
  <c r="Z179" i="4" s="1"/>
  <c r="V179" i="4"/>
  <c r="U179" i="4"/>
  <c r="T179" i="4"/>
  <c r="Y178" i="4"/>
  <c r="Z178" i="4" s="1"/>
  <c r="V178" i="4"/>
  <c r="U178" i="4"/>
  <c r="T178" i="4"/>
  <c r="Y177" i="4"/>
  <c r="Z177" i="4" s="1"/>
  <c r="V177" i="4"/>
  <c r="U177" i="4"/>
  <c r="T177" i="4"/>
  <c r="Y176" i="4"/>
  <c r="Z176" i="4" s="1"/>
  <c r="V176" i="4"/>
  <c r="U176" i="4"/>
  <c r="T176" i="4"/>
  <c r="Y175" i="4"/>
  <c r="Z175" i="4" s="1"/>
  <c r="V175" i="4"/>
  <c r="U175" i="4"/>
  <c r="T175" i="4"/>
  <c r="Y174" i="4"/>
  <c r="Z174" i="4" s="1"/>
  <c r="V174" i="4"/>
  <c r="U174" i="4"/>
  <c r="T174" i="4"/>
  <c r="Y173" i="4"/>
  <c r="Z173" i="4" s="1"/>
  <c r="V173" i="4"/>
  <c r="U173" i="4"/>
  <c r="T173" i="4"/>
  <c r="Y172" i="4"/>
  <c r="Z172" i="4" s="1"/>
  <c r="V172" i="4"/>
  <c r="U172" i="4"/>
  <c r="T172" i="4"/>
  <c r="Y171" i="4"/>
  <c r="Z171" i="4" s="1"/>
  <c r="V171" i="4"/>
  <c r="U171" i="4"/>
  <c r="T171" i="4"/>
  <c r="Y170" i="4"/>
  <c r="Z170" i="4" s="1"/>
  <c r="V170" i="4"/>
  <c r="U170" i="4"/>
  <c r="T170" i="4"/>
  <c r="Y169" i="4"/>
  <c r="Z169" i="4" s="1"/>
  <c r="V169" i="4"/>
  <c r="U169" i="4"/>
  <c r="T169" i="4"/>
  <c r="Y168" i="4"/>
  <c r="Z168" i="4" s="1"/>
  <c r="V168" i="4"/>
  <c r="U168" i="4"/>
  <c r="T168" i="4"/>
  <c r="Y167" i="4"/>
  <c r="Z167" i="4" s="1"/>
  <c r="V167" i="4"/>
  <c r="U167" i="4"/>
  <c r="T167" i="4"/>
  <c r="Y166" i="4"/>
  <c r="Z166" i="4" s="1"/>
  <c r="V166" i="4"/>
  <c r="U166" i="4"/>
  <c r="T166" i="4"/>
  <c r="Y165" i="4"/>
  <c r="Z165" i="4" s="1"/>
  <c r="V165" i="4"/>
  <c r="U165" i="4"/>
  <c r="T165" i="4"/>
  <c r="Y164" i="4"/>
  <c r="Z164" i="4" s="1"/>
  <c r="V164" i="4"/>
  <c r="U164" i="4"/>
  <c r="T164" i="4"/>
  <c r="Y163" i="4"/>
  <c r="Z163" i="4" s="1"/>
  <c r="V163" i="4"/>
  <c r="U163" i="4"/>
  <c r="T163" i="4"/>
  <c r="Y162" i="4"/>
  <c r="Z162" i="4" s="1"/>
  <c r="V162" i="4"/>
  <c r="U162" i="4"/>
  <c r="T162" i="4"/>
  <c r="Y161" i="4"/>
  <c r="Z161" i="4" s="1"/>
  <c r="V161" i="4"/>
  <c r="U161" i="4"/>
  <c r="T161" i="4"/>
  <c r="Y160" i="4"/>
  <c r="Z160" i="4" s="1"/>
  <c r="V160" i="4"/>
  <c r="U160" i="4"/>
  <c r="T160" i="4"/>
  <c r="Y159" i="4"/>
  <c r="Z159" i="4" s="1"/>
  <c r="V159" i="4"/>
  <c r="U159" i="4"/>
  <c r="T159" i="4"/>
  <c r="Y158" i="4"/>
  <c r="Z158" i="4" s="1"/>
  <c r="V158" i="4"/>
  <c r="U158" i="4"/>
  <c r="T158" i="4"/>
  <c r="Y157" i="4"/>
  <c r="Z157" i="4" s="1"/>
  <c r="V157" i="4"/>
  <c r="U157" i="4"/>
  <c r="T157" i="4"/>
  <c r="Y156" i="4"/>
  <c r="Z156" i="4" s="1"/>
  <c r="V156" i="4"/>
  <c r="U156" i="4"/>
  <c r="T156" i="4"/>
  <c r="Y155" i="4"/>
  <c r="Z155" i="4" s="1"/>
  <c r="V155" i="4"/>
  <c r="U155" i="4"/>
  <c r="T155" i="4"/>
  <c r="Y154" i="4"/>
  <c r="Z154" i="4" s="1"/>
  <c r="V154" i="4"/>
  <c r="U154" i="4"/>
  <c r="T154" i="4"/>
  <c r="Y153" i="4"/>
  <c r="Z153" i="4" s="1"/>
  <c r="V153" i="4"/>
  <c r="U153" i="4"/>
  <c r="T153" i="4"/>
  <c r="Y152" i="4"/>
  <c r="Z152" i="4" s="1"/>
  <c r="V152" i="4"/>
  <c r="U152" i="4"/>
  <c r="T152" i="4"/>
  <c r="Y151" i="4"/>
  <c r="Z151" i="4" s="1"/>
  <c r="V151" i="4"/>
  <c r="U151" i="4"/>
  <c r="T151" i="4"/>
  <c r="Y150" i="4"/>
  <c r="Z150" i="4" s="1"/>
  <c r="V150" i="4"/>
  <c r="U150" i="4"/>
  <c r="T150" i="4"/>
  <c r="Y149" i="4"/>
  <c r="Z149" i="4" s="1"/>
  <c r="V149" i="4"/>
  <c r="U149" i="4"/>
  <c r="T149" i="4"/>
  <c r="Y148" i="4"/>
  <c r="Z148" i="4" s="1"/>
  <c r="V148" i="4"/>
  <c r="U148" i="4"/>
  <c r="T148" i="4"/>
  <c r="Y147" i="4"/>
  <c r="Z147" i="4" s="1"/>
  <c r="V147" i="4"/>
  <c r="U147" i="4"/>
  <c r="T147" i="4"/>
  <c r="Y146" i="4"/>
  <c r="Z146" i="4" s="1"/>
  <c r="V146" i="4"/>
  <c r="U146" i="4"/>
  <c r="T146" i="4"/>
  <c r="Y145" i="4"/>
  <c r="Z145" i="4" s="1"/>
  <c r="V145" i="4"/>
  <c r="U145" i="4"/>
  <c r="T145" i="4"/>
  <c r="Y144" i="4"/>
  <c r="Z144" i="4" s="1"/>
  <c r="V144" i="4"/>
  <c r="U144" i="4"/>
  <c r="T144" i="4"/>
  <c r="Y143" i="4"/>
  <c r="Z143" i="4" s="1"/>
  <c r="V143" i="4"/>
  <c r="U143" i="4"/>
  <c r="T143" i="4"/>
  <c r="Y142" i="4"/>
  <c r="Z142" i="4" s="1"/>
  <c r="V142" i="4"/>
  <c r="U142" i="4"/>
  <c r="T142" i="4"/>
  <c r="Y141" i="4"/>
  <c r="Z141" i="4" s="1"/>
  <c r="V141" i="4"/>
  <c r="U141" i="4"/>
  <c r="T141" i="4"/>
  <c r="Y140" i="4"/>
  <c r="Z140" i="4" s="1"/>
  <c r="V140" i="4"/>
  <c r="U140" i="4"/>
  <c r="T140" i="4"/>
  <c r="Y139" i="4"/>
  <c r="Z139" i="4" s="1"/>
  <c r="V139" i="4"/>
  <c r="U139" i="4"/>
  <c r="T139" i="4"/>
  <c r="Y138" i="4"/>
  <c r="Z138" i="4" s="1"/>
  <c r="V138" i="4"/>
  <c r="U138" i="4"/>
  <c r="T138" i="4"/>
  <c r="Y137" i="4"/>
  <c r="Z137" i="4" s="1"/>
  <c r="V137" i="4"/>
  <c r="U137" i="4"/>
  <c r="T137" i="4"/>
  <c r="Y136" i="4"/>
  <c r="Z136" i="4" s="1"/>
  <c r="V136" i="4"/>
  <c r="U136" i="4"/>
  <c r="T136" i="4"/>
  <c r="Y135" i="4"/>
  <c r="Z135" i="4" s="1"/>
  <c r="V135" i="4"/>
  <c r="U135" i="4"/>
  <c r="T135" i="4"/>
  <c r="Y134" i="4"/>
  <c r="Z134" i="4" s="1"/>
  <c r="V134" i="4"/>
  <c r="U134" i="4"/>
  <c r="T134" i="4"/>
  <c r="Y133" i="4"/>
  <c r="Z133" i="4" s="1"/>
  <c r="V133" i="4"/>
  <c r="U133" i="4"/>
  <c r="T133" i="4"/>
  <c r="Y132" i="4"/>
  <c r="Z132" i="4" s="1"/>
  <c r="V132" i="4"/>
  <c r="U132" i="4"/>
  <c r="T132" i="4"/>
  <c r="Y131" i="4"/>
  <c r="Z131" i="4" s="1"/>
  <c r="V131" i="4"/>
  <c r="U131" i="4"/>
  <c r="T131" i="4"/>
  <c r="Y130" i="4"/>
  <c r="Z130" i="4" s="1"/>
  <c r="V130" i="4"/>
  <c r="U130" i="4"/>
  <c r="T130" i="4"/>
  <c r="Y129" i="4"/>
  <c r="Z129" i="4" s="1"/>
  <c r="V129" i="4"/>
  <c r="U129" i="4"/>
  <c r="T129" i="4"/>
  <c r="Y128" i="4"/>
  <c r="Z128" i="4" s="1"/>
  <c r="V128" i="4"/>
  <c r="U128" i="4"/>
  <c r="T128" i="4"/>
  <c r="Y127" i="4"/>
  <c r="Z127" i="4" s="1"/>
  <c r="V127" i="4"/>
  <c r="U127" i="4"/>
  <c r="T127" i="4"/>
  <c r="Y126" i="4"/>
  <c r="Z126" i="4" s="1"/>
  <c r="V126" i="4"/>
  <c r="U126" i="4"/>
  <c r="T126" i="4"/>
  <c r="Y125" i="4"/>
  <c r="Z125" i="4" s="1"/>
  <c r="V125" i="4"/>
  <c r="U125" i="4"/>
  <c r="T125" i="4"/>
  <c r="Y124" i="4"/>
  <c r="Z124" i="4" s="1"/>
  <c r="V124" i="4"/>
  <c r="U124" i="4"/>
  <c r="T124" i="4"/>
  <c r="Y123" i="4"/>
  <c r="Z123" i="4" s="1"/>
  <c r="V123" i="4"/>
  <c r="U123" i="4"/>
  <c r="T123" i="4"/>
  <c r="Y122" i="4"/>
  <c r="Z122" i="4" s="1"/>
  <c r="V122" i="4"/>
  <c r="U122" i="4"/>
  <c r="T122" i="4"/>
  <c r="Y121" i="4"/>
  <c r="Z121" i="4" s="1"/>
  <c r="V121" i="4"/>
  <c r="U121" i="4"/>
  <c r="T121" i="4"/>
  <c r="Y120" i="4"/>
  <c r="Z120" i="4" s="1"/>
  <c r="V120" i="4"/>
  <c r="U120" i="4"/>
  <c r="T120" i="4"/>
  <c r="Y119" i="4"/>
  <c r="Z119" i="4" s="1"/>
  <c r="V119" i="4"/>
  <c r="U119" i="4"/>
  <c r="T119" i="4"/>
  <c r="Y118" i="4"/>
  <c r="Z118" i="4" s="1"/>
  <c r="V118" i="4"/>
  <c r="U118" i="4"/>
  <c r="T118" i="4"/>
  <c r="Y117" i="4"/>
  <c r="Z117" i="4" s="1"/>
  <c r="V117" i="4"/>
  <c r="U117" i="4"/>
  <c r="T117" i="4"/>
  <c r="Y116" i="4"/>
  <c r="Z116" i="4" s="1"/>
  <c r="V116" i="4"/>
  <c r="U116" i="4"/>
  <c r="T116" i="4"/>
  <c r="Y115" i="4"/>
  <c r="Z115" i="4" s="1"/>
  <c r="V115" i="4"/>
  <c r="U115" i="4"/>
  <c r="T115" i="4"/>
  <c r="Y114" i="4"/>
  <c r="Z114" i="4" s="1"/>
  <c r="V114" i="4"/>
  <c r="U114" i="4"/>
  <c r="T114" i="4"/>
  <c r="Y113" i="4"/>
  <c r="Z113" i="4" s="1"/>
  <c r="V113" i="4"/>
  <c r="U113" i="4"/>
  <c r="T113" i="4"/>
  <c r="Y112" i="4"/>
  <c r="Z112" i="4" s="1"/>
  <c r="V112" i="4"/>
  <c r="U112" i="4"/>
  <c r="T112" i="4"/>
  <c r="Y111" i="4"/>
  <c r="Z111" i="4" s="1"/>
  <c r="V111" i="4"/>
  <c r="U111" i="4"/>
  <c r="T111" i="4"/>
  <c r="Y110" i="4"/>
  <c r="Z110" i="4" s="1"/>
  <c r="V110" i="4"/>
  <c r="U110" i="4"/>
  <c r="T110" i="4"/>
  <c r="Y109" i="4"/>
  <c r="Z109" i="4" s="1"/>
  <c r="V109" i="4"/>
  <c r="U109" i="4"/>
  <c r="T109" i="4"/>
  <c r="Y108" i="4"/>
  <c r="Z108" i="4" s="1"/>
  <c r="V108" i="4"/>
  <c r="U108" i="4"/>
  <c r="T108" i="4"/>
  <c r="Y107" i="4"/>
  <c r="Z107" i="4" s="1"/>
  <c r="V107" i="4"/>
  <c r="U107" i="4"/>
  <c r="T107" i="4"/>
  <c r="Y106" i="4"/>
  <c r="Z106" i="4" s="1"/>
  <c r="V106" i="4"/>
  <c r="U106" i="4"/>
  <c r="T106" i="4"/>
  <c r="Y105" i="4"/>
  <c r="Z105" i="4" s="1"/>
  <c r="V105" i="4"/>
  <c r="U105" i="4"/>
  <c r="T105" i="4"/>
  <c r="Y104" i="4"/>
  <c r="Z104" i="4" s="1"/>
  <c r="V104" i="4"/>
  <c r="U104" i="4"/>
  <c r="T104" i="4"/>
  <c r="Y103" i="4"/>
  <c r="Z103" i="4" s="1"/>
  <c r="V103" i="4"/>
  <c r="U103" i="4"/>
  <c r="T103" i="4"/>
  <c r="Y102" i="4"/>
  <c r="Z102" i="4" s="1"/>
  <c r="V102" i="4"/>
  <c r="U102" i="4"/>
  <c r="T102" i="4"/>
  <c r="Y101" i="4"/>
  <c r="Z101" i="4" s="1"/>
  <c r="V101" i="4"/>
  <c r="U101" i="4"/>
  <c r="T101" i="4"/>
  <c r="Y100" i="4"/>
  <c r="Z100" i="4" s="1"/>
  <c r="V100" i="4"/>
  <c r="U100" i="4"/>
  <c r="T100" i="4"/>
  <c r="Y99" i="4"/>
  <c r="Z99" i="4" s="1"/>
  <c r="V99" i="4"/>
  <c r="U99" i="4"/>
  <c r="T99" i="4"/>
  <c r="Y98" i="4"/>
  <c r="Z98" i="4" s="1"/>
  <c r="V98" i="4"/>
  <c r="U98" i="4"/>
  <c r="T98" i="4"/>
  <c r="Y97" i="4"/>
  <c r="Z97" i="4" s="1"/>
  <c r="V97" i="4"/>
  <c r="U97" i="4"/>
  <c r="T97" i="4"/>
  <c r="Y96" i="4"/>
  <c r="Z96" i="4" s="1"/>
  <c r="V96" i="4"/>
  <c r="U96" i="4"/>
  <c r="T96" i="4"/>
  <c r="Y95" i="4"/>
  <c r="Z95" i="4" s="1"/>
  <c r="V95" i="4"/>
  <c r="U95" i="4"/>
  <c r="T95" i="4"/>
  <c r="Y94" i="4"/>
  <c r="Z94" i="4" s="1"/>
  <c r="V94" i="4"/>
  <c r="U94" i="4"/>
  <c r="T94" i="4"/>
  <c r="Y93" i="4"/>
  <c r="Z93" i="4" s="1"/>
  <c r="V93" i="4"/>
  <c r="U93" i="4"/>
  <c r="T93" i="4"/>
  <c r="Y92" i="4"/>
  <c r="Z92" i="4" s="1"/>
  <c r="V92" i="4"/>
  <c r="U92" i="4"/>
  <c r="T92" i="4"/>
  <c r="Y91" i="4"/>
  <c r="Z91" i="4" s="1"/>
  <c r="V91" i="4"/>
  <c r="U91" i="4"/>
  <c r="T91" i="4"/>
  <c r="Y90" i="4"/>
  <c r="Z90" i="4" s="1"/>
  <c r="V90" i="4"/>
  <c r="U90" i="4"/>
  <c r="T90" i="4"/>
  <c r="Y89" i="4"/>
  <c r="Z89" i="4" s="1"/>
  <c r="V89" i="4"/>
  <c r="U89" i="4"/>
  <c r="T89" i="4"/>
  <c r="Y88" i="4"/>
  <c r="Z88" i="4" s="1"/>
  <c r="V88" i="4"/>
  <c r="U88" i="4"/>
  <c r="T88" i="4"/>
  <c r="Y87" i="4"/>
  <c r="Z87" i="4" s="1"/>
  <c r="V87" i="4"/>
  <c r="U87" i="4"/>
  <c r="T87" i="4"/>
  <c r="Y86" i="4"/>
  <c r="Z86" i="4" s="1"/>
  <c r="V86" i="4"/>
  <c r="U86" i="4"/>
  <c r="T86" i="4"/>
  <c r="Y85" i="4"/>
  <c r="Z85" i="4" s="1"/>
  <c r="V85" i="4"/>
  <c r="U85" i="4"/>
  <c r="T85" i="4"/>
  <c r="Y84" i="4"/>
  <c r="Z84" i="4" s="1"/>
  <c r="V84" i="4"/>
  <c r="U84" i="4"/>
  <c r="T84" i="4"/>
  <c r="Y83" i="4"/>
  <c r="Z83" i="4" s="1"/>
  <c r="V83" i="4"/>
  <c r="U83" i="4"/>
  <c r="T83" i="4"/>
  <c r="Y82" i="4"/>
  <c r="Z82" i="4" s="1"/>
  <c r="V82" i="4"/>
  <c r="U82" i="4"/>
  <c r="T82" i="4"/>
  <c r="Y81" i="4"/>
  <c r="Z81" i="4" s="1"/>
  <c r="V81" i="4"/>
  <c r="U81" i="4"/>
  <c r="T81" i="4"/>
  <c r="Y80" i="4"/>
  <c r="Z80" i="4" s="1"/>
  <c r="V80" i="4"/>
  <c r="U80" i="4"/>
  <c r="T80" i="4"/>
  <c r="Y79" i="4"/>
  <c r="Z79" i="4" s="1"/>
  <c r="V79" i="4"/>
  <c r="U79" i="4"/>
  <c r="T79" i="4"/>
  <c r="Y78" i="4"/>
  <c r="Z78" i="4" s="1"/>
  <c r="V78" i="4"/>
  <c r="U78" i="4"/>
  <c r="T78" i="4"/>
  <c r="Y77" i="4"/>
  <c r="Z77" i="4" s="1"/>
  <c r="V77" i="4"/>
  <c r="U77" i="4"/>
  <c r="T77" i="4"/>
  <c r="Y76" i="4"/>
  <c r="Z76" i="4" s="1"/>
  <c r="V76" i="4"/>
  <c r="U76" i="4"/>
  <c r="T76" i="4"/>
  <c r="Y75" i="4"/>
  <c r="Z75" i="4" s="1"/>
  <c r="V75" i="4"/>
  <c r="U75" i="4"/>
  <c r="T75" i="4"/>
  <c r="Y74" i="4"/>
  <c r="Z74" i="4" s="1"/>
  <c r="V74" i="4"/>
  <c r="U74" i="4"/>
  <c r="T74" i="4"/>
  <c r="Y73" i="4"/>
  <c r="Z73" i="4" s="1"/>
  <c r="V73" i="4"/>
  <c r="U73" i="4"/>
  <c r="T73" i="4"/>
  <c r="Y72" i="4"/>
  <c r="Z72" i="4" s="1"/>
  <c r="V72" i="4"/>
  <c r="U72" i="4"/>
  <c r="T72" i="4"/>
  <c r="Y71" i="4"/>
  <c r="Z71" i="4" s="1"/>
  <c r="V71" i="4"/>
  <c r="U71" i="4"/>
  <c r="T71" i="4"/>
  <c r="Y70" i="4"/>
  <c r="Z70" i="4" s="1"/>
  <c r="V70" i="4"/>
  <c r="U70" i="4"/>
  <c r="T70" i="4"/>
  <c r="Y69" i="4"/>
  <c r="Z69" i="4" s="1"/>
  <c r="V69" i="4"/>
  <c r="U69" i="4"/>
  <c r="T69" i="4"/>
  <c r="Y68" i="4"/>
  <c r="Z68" i="4" s="1"/>
  <c r="V68" i="4"/>
  <c r="U68" i="4"/>
  <c r="T68" i="4"/>
  <c r="Y67" i="4"/>
  <c r="Z67" i="4" s="1"/>
  <c r="V67" i="4"/>
  <c r="U67" i="4"/>
  <c r="T67" i="4"/>
  <c r="Y66" i="4"/>
  <c r="Z66" i="4" s="1"/>
  <c r="V66" i="4"/>
  <c r="U66" i="4"/>
  <c r="T66" i="4"/>
  <c r="Y65" i="4"/>
  <c r="Z65" i="4" s="1"/>
  <c r="V65" i="4"/>
  <c r="U65" i="4"/>
  <c r="T65" i="4"/>
  <c r="Y64" i="4"/>
  <c r="Z64" i="4" s="1"/>
  <c r="V64" i="4"/>
  <c r="U64" i="4"/>
  <c r="T64" i="4"/>
  <c r="Y63" i="4"/>
  <c r="Z63" i="4" s="1"/>
  <c r="V63" i="4"/>
  <c r="U63" i="4"/>
  <c r="T63" i="4"/>
  <c r="Y62" i="4"/>
  <c r="Z62" i="4" s="1"/>
  <c r="V62" i="4"/>
  <c r="U62" i="4"/>
  <c r="T62" i="4"/>
  <c r="Y61" i="4"/>
  <c r="Z61" i="4" s="1"/>
  <c r="V61" i="4"/>
  <c r="U61" i="4"/>
  <c r="T61" i="4"/>
  <c r="Y60" i="4"/>
  <c r="Z60" i="4" s="1"/>
  <c r="V60" i="4"/>
  <c r="U60" i="4"/>
  <c r="T60" i="4"/>
  <c r="Y59" i="4"/>
  <c r="Z59" i="4" s="1"/>
  <c r="V59" i="4"/>
  <c r="U59" i="4"/>
  <c r="T59" i="4"/>
  <c r="Y58" i="4"/>
  <c r="Z58" i="4" s="1"/>
  <c r="V58" i="4"/>
  <c r="U58" i="4"/>
  <c r="T58" i="4"/>
  <c r="Y57" i="4"/>
  <c r="Z57" i="4" s="1"/>
  <c r="V57" i="4"/>
  <c r="U57" i="4"/>
  <c r="T57" i="4"/>
  <c r="Y56" i="4"/>
  <c r="Z56" i="4" s="1"/>
  <c r="V56" i="4"/>
  <c r="U56" i="4"/>
  <c r="T56" i="4"/>
  <c r="Y55" i="4"/>
  <c r="Z55" i="4" s="1"/>
  <c r="V55" i="4"/>
  <c r="U55" i="4"/>
  <c r="T55" i="4"/>
  <c r="Y54" i="4"/>
  <c r="Z54" i="4" s="1"/>
  <c r="V54" i="4"/>
  <c r="U54" i="4"/>
  <c r="T54" i="4"/>
  <c r="Y53" i="4"/>
  <c r="Z53" i="4" s="1"/>
  <c r="V53" i="4"/>
  <c r="U53" i="4"/>
  <c r="T53" i="4"/>
  <c r="Y52" i="4"/>
  <c r="Z52" i="4" s="1"/>
  <c r="V52" i="4"/>
  <c r="U52" i="4"/>
  <c r="T52" i="4"/>
  <c r="Y51" i="4"/>
  <c r="Z51" i="4" s="1"/>
  <c r="V51" i="4"/>
  <c r="U51" i="4"/>
  <c r="T51" i="4"/>
  <c r="Y50" i="4"/>
  <c r="Z50" i="4" s="1"/>
  <c r="V50" i="4"/>
  <c r="U50" i="4"/>
  <c r="T50" i="4"/>
  <c r="Y49" i="4"/>
  <c r="Z49" i="4" s="1"/>
  <c r="V49" i="4"/>
  <c r="U49" i="4"/>
  <c r="T49" i="4"/>
  <c r="Y48" i="4"/>
  <c r="Z48" i="4" s="1"/>
  <c r="V48" i="4"/>
  <c r="U48" i="4"/>
  <c r="T48" i="4"/>
  <c r="Y47" i="4"/>
  <c r="Z47" i="4" s="1"/>
  <c r="V47" i="4"/>
  <c r="U47" i="4"/>
  <c r="T47" i="4"/>
  <c r="Y46" i="4"/>
  <c r="Z46" i="4" s="1"/>
  <c r="V46" i="4"/>
  <c r="U46" i="4"/>
  <c r="T46" i="4"/>
  <c r="Y45" i="4"/>
  <c r="Z45" i="4" s="1"/>
  <c r="V45" i="4"/>
  <c r="U45" i="4"/>
  <c r="T45" i="4"/>
  <c r="Y44" i="4"/>
  <c r="Z44" i="4" s="1"/>
  <c r="V44" i="4"/>
  <c r="U44" i="4"/>
  <c r="T44" i="4"/>
  <c r="Y43" i="4"/>
  <c r="Z43" i="4" s="1"/>
  <c r="V43" i="4"/>
  <c r="U43" i="4"/>
  <c r="T43" i="4"/>
  <c r="Y42" i="4"/>
  <c r="Z42" i="4" s="1"/>
  <c r="V42" i="4"/>
  <c r="U42" i="4"/>
  <c r="T42" i="4"/>
  <c r="Y41" i="4"/>
  <c r="Z41" i="4" s="1"/>
  <c r="V41" i="4"/>
  <c r="U41" i="4"/>
  <c r="T41" i="4"/>
  <c r="Y40" i="4"/>
  <c r="Z40" i="4" s="1"/>
  <c r="V40" i="4"/>
  <c r="U40" i="4"/>
  <c r="T40" i="4"/>
  <c r="Y39" i="4"/>
  <c r="Z39" i="4" s="1"/>
  <c r="V39" i="4"/>
  <c r="U39" i="4"/>
  <c r="T39" i="4"/>
  <c r="Y38" i="4"/>
  <c r="Z38" i="4" s="1"/>
  <c r="V38" i="4"/>
  <c r="U38" i="4"/>
  <c r="T38" i="4"/>
  <c r="Y37" i="4"/>
  <c r="Z37" i="4" s="1"/>
  <c r="V37" i="4"/>
  <c r="U37" i="4"/>
  <c r="T37" i="4"/>
  <c r="Y36" i="4"/>
  <c r="Z36" i="4" s="1"/>
  <c r="V36" i="4"/>
  <c r="U36" i="4"/>
  <c r="T36" i="4"/>
  <c r="Y35" i="4"/>
  <c r="Z35" i="4" s="1"/>
  <c r="V35" i="4"/>
  <c r="U35" i="4"/>
  <c r="T35" i="4"/>
  <c r="Y34" i="4"/>
  <c r="Z34" i="4" s="1"/>
  <c r="V34" i="4"/>
  <c r="U34" i="4"/>
  <c r="T34" i="4"/>
  <c r="Y33" i="4"/>
  <c r="Z33" i="4" s="1"/>
  <c r="V33" i="4"/>
  <c r="U33" i="4"/>
  <c r="T33" i="4"/>
  <c r="Y32" i="4"/>
  <c r="Z32" i="4" s="1"/>
  <c r="V32" i="4"/>
  <c r="U32" i="4"/>
  <c r="T32" i="4"/>
  <c r="Y31" i="4"/>
  <c r="Z31" i="4" s="1"/>
  <c r="V31" i="4"/>
  <c r="U31" i="4"/>
  <c r="T31" i="4"/>
  <c r="Y30" i="4"/>
  <c r="Z30" i="4" s="1"/>
  <c r="V30" i="4"/>
  <c r="U30" i="4"/>
  <c r="T30" i="4"/>
  <c r="Y29" i="4"/>
  <c r="Z29" i="4" s="1"/>
  <c r="V29" i="4"/>
  <c r="U29" i="4"/>
  <c r="T29" i="4"/>
  <c r="Y28" i="4"/>
  <c r="Z28" i="4" s="1"/>
  <c r="V28" i="4"/>
  <c r="U28" i="4"/>
  <c r="T28" i="4"/>
  <c r="Y27" i="4"/>
  <c r="Z27" i="4" s="1"/>
  <c r="V27" i="4"/>
  <c r="U27" i="4"/>
  <c r="T27" i="4"/>
  <c r="Y26" i="4"/>
  <c r="Z26" i="4" s="1"/>
  <c r="V26" i="4"/>
  <c r="U26" i="4"/>
  <c r="T26" i="4"/>
  <c r="Y25" i="4"/>
  <c r="Z25" i="4" s="1"/>
  <c r="V25" i="4"/>
  <c r="U25" i="4"/>
  <c r="T25" i="4"/>
  <c r="Y24" i="4"/>
  <c r="Z24" i="4" s="1"/>
  <c r="V24" i="4"/>
  <c r="U24" i="4"/>
  <c r="T24" i="4"/>
  <c r="Y23" i="4"/>
  <c r="Z23" i="4" s="1"/>
  <c r="V23" i="4"/>
  <c r="U23" i="4"/>
  <c r="T23" i="4"/>
  <c r="Y22" i="4"/>
  <c r="Z22" i="4" s="1"/>
  <c r="V22" i="4"/>
  <c r="U22" i="4"/>
  <c r="T22" i="4"/>
  <c r="Y21" i="4"/>
  <c r="Z21" i="4" s="1"/>
  <c r="V21" i="4"/>
  <c r="U21" i="4"/>
  <c r="T21" i="4"/>
  <c r="Y20" i="4"/>
  <c r="Z20" i="4" s="1"/>
  <c r="V20" i="4"/>
  <c r="U20" i="4"/>
  <c r="T20" i="4"/>
  <c r="Y19" i="4"/>
  <c r="Z19" i="4" s="1"/>
  <c r="T19" i="4"/>
  <c r="V19" i="4" s="1"/>
  <c r="Y18" i="4"/>
  <c r="Z18" i="4" s="1"/>
  <c r="T18" i="4"/>
  <c r="V18" i="4" s="1"/>
  <c r="Y17" i="4"/>
  <c r="Z17" i="4" s="1"/>
  <c r="T17" i="4"/>
  <c r="V17" i="4" s="1"/>
  <c r="Y16" i="4"/>
  <c r="Z16" i="4" s="1"/>
  <c r="T16" i="4"/>
  <c r="V16" i="4" s="1"/>
  <c r="Y15" i="4"/>
  <c r="Z15" i="4" s="1"/>
  <c r="T15" i="4"/>
  <c r="U15" i="4" s="1"/>
  <c r="Y14" i="4"/>
  <c r="Z14" i="4" s="1"/>
  <c r="T14" i="4"/>
  <c r="V14" i="4" s="1"/>
  <c r="Y13" i="4"/>
  <c r="Z13" i="4" s="1"/>
  <c r="T13" i="4"/>
  <c r="U13" i="4" s="1"/>
  <c r="Y12" i="4"/>
  <c r="Z12" i="4" s="1"/>
  <c r="T12" i="4"/>
  <c r="V12" i="4" s="1"/>
  <c r="Y11" i="4"/>
  <c r="Z11" i="4" s="1"/>
  <c r="T11" i="4"/>
  <c r="U11" i="4" s="1"/>
  <c r="Y10" i="4"/>
  <c r="Z10" i="4" s="1"/>
  <c r="T10" i="4"/>
  <c r="V10" i="4" s="1"/>
  <c r="Y9" i="4"/>
  <c r="Z9" i="4" s="1"/>
  <c r="T9" i="4"/>
  <c r="V9" i="4" s="1"/>
  <c r="Y8" i="4"/>
  <c r="Z8" i="4" s="1"/>
  <c r="T8" i="4"/>
  <c r="V8" i="4" s="1"/>
  <c r="Y7" i="4"/>
  <c r="Z7" i="4" s="1"/>
  <c r="T7" i="4"/>
  <c r="V7" i="4" s="1"/>
  <c r="Y6" i="4"/>
  <c r="Z6" i="4" s="1"/>
  <c r="T6" i="4"/>
  <c r="Y5" i="4"/>
  <c r="Z5" i="4" s="1"/>
  <c r="T5" i="4"/>
  <c r="V5" i="4" s="1"/>
  <c r="Y304" i="3"/>
  <c r="Z304" i="3" s="1"/>
  <c r="V304" i="3"/>
  <c r="U304" i="3"/>
  <c r="T304" i="3"/>
  <c r="Y303" i="3"/>
  <c r="Z303" i="3" s="1"/>
  <c r="V303" i="3"/>
  <c r="U303" i="3"/>
  <c r="T303" i="3"/>
  <c r="Y302" i="3"/>
  <c r="Z302" i="3" s="1"/>
  <c r="V302" i="3"/>
  <c r="U302" i="3"/>
  <c r="T302" i="3"/>
  <c r="Y301" i="3"/>
  <c r="Z301" i="3" s="1"/>
  <c r="V301" i="3"/>
  <c r="U301" i="3"/>
  <c r="T301" i="3"/>
  <c r="Y300" i="3"/>
  <c r="Z300" i="3" s="1"/>
  <c r="V300" i="3"/>
  <c r="U300" i="3"/>
  <c r="T300" i="3"/>
  <c r="Y299" i="3"/>
  <c r="Z299" i="3" s="1"/>
  <c r="V299" i="3"/>
  <c r="U299" i="3"/>
  <c r="T299" i="3"/>
  <c r="Y298" i="3"/>
  <c r="Z298" i="3" s="1"/>
  <c r="V298" i="3"/>
  <c r="U298" i="3"/>
  <c r="T298" i="3"/>
  <c r="Y297" i="3"/>
  <c r="Z297" i="3" s="1"/>
  <c r="V297" i="3"/>
  <c r="U297" i="3"/>
  <c r="T297" i="3"/>
  <c r="Y296" i="3"/>
  <c r="Z296" i="3" s="1"/>
  <c r="V296" i="3"/>
  <c r="U296" i="3"/>
  <c r="T296" i="3"/>
  <c r="Y295" i="3"/>
  <c r="Z295" i="3" s="1"/>
  <c r="V295" i="3"/>
  <c r="U295" i="3"/>
  <c r="T295" i="3"/>
  <c r="Y294" i="3"/>
  <c r="Z294" i="3" s="1"/>
  <c r="V294" i="3"/>
  <c r="U294" i="3"/>
  <c r="T294" i="3"/>
  <c r="Y293" i="3"/>
  <c r="Z293" i="3" s="1"/>
  <c r="V293" i="3"/>
  <c r="U293" i="3"/>
  <c r="T293" i="3"/>
  <c r="Y292" i="3"/>
  <c r="Z292" i="3" s="1"/>
  <c r="V292" i="3"/>
  <c r="U292" i="3"/>
  <c r="T292" i="3"/>
  <c r="Y291" i="3"/>
  <c r="Z291" i="3" s="1"/>
  <c r="V291" i="3"/>
  <c r="U291" i="3"/>
  <c r="T291" i="3"/>
  <c r="Y290" i="3"/>
  <c r="Z290" i="3" s="1"/>
  <c r="V290" i="3"/>
  <c r="U290" i="3"/>
  <c r="T290" i="3"/>
  <c r="Y289" i="3"/>
  <c r="Z289" i="3" s="1"/>
  <c r="V289" i="3"/>
  <c r="U289" i="3"/>
  <c r="T289" i="3"/>
  <c r="Y288" i="3"/>
  <c r="Z288" i="3" s="1"/>
  <c r="V288" i="3"/>
  <c r="U288" i="3"/>
  <c r="T288" i="3"/>
  <c r="Y287" i="3"/>
  <c r="Z287" i="3" s="1"/>
  <c r="V287" i="3"/>
  <c r="U287" i="3"/>
  <c r="T287" i="3"/>
  <c r="Y286" i="3"/>
  <c r="Z286" i="3" s="1"/>
  <c r="V286" i="3"/>
  <c r="U286" i="3"/>
  <c r="T286" i="3"/>
  <c r="Y285" i="3"/>
  <c r="Z285" i="3" s="1"/>
  <c r="V285" i="3"/>
  <c r="U285" i="3"/>
  <c r="T285" i="3"/>
  <c r="Y284" i="3"/>
  <c r="Z284" i="3" s="1"/>
  <c r="V284" i="3"/>
  <c r="U284" i="3"/>
  <c r="T284" i="3"/>
  <c r="Y283" i="3"/>
  <c r="Z283" i="3" s="1"/>
  <c r="V283" i="3"/>
  <c r="U283" i="3"/>
  <c r="T283" i="3"/>
  <c r="Y282" i="3"/>
  <c r="Z282" i="3" s="1"/>
  <c r="V282" i="3"/>
  <c r="U282" i="3"/>
  <c r="T282" i="3"/>
  <c r="Y281" i="3"/>
  <c r="Z281" i="3" s="1"/>
  <c r="V281" i="3"/>
  <c r="U281" i="3"/>
  <c r="T281" i="3"/>
  <c r="Y280" i="3"/>
  <c r="Z280" i="3" s="1"/>
  <c r="V280" i="3"/>
  <c r="U280" i="3"/>
  <c r="T280" i="3"/>
  <c r="Y279" i="3"/>
  <c r="Z279" i="3" s="1"/>
  <c r="V279" i="3"/>
  <c r="U279" i="3"/>
  <c r="T279" i="3"/>
  <c r="Y278" i="3"/>
  <c r="Z278" i="3" s="1"/>
  <c r="V278" i="3"/>
  <c r="U278" i="3"/>
  <c r="T278" i="3"/>
  <c r="Y277" i="3"/>
  <c r="Z277" i="3" s="1"/>
  <c r="V277" i="3"/>
  <c r="U277" i="3"/>
  <c r="T277" i="3"/>
  <c r="Y276" i="3"/>
  <c r="Z276" i="3" s="1"/>
  <c r="V276" i="3"/>
  <c r="U276" i="3"/>
  <c r="T276" i="3"/>
  <c r="Y275" i="3"/>
  <c r="Z275" i="3" s="1"/>
  <c r="V275" i="3"/>
  <c r="U275" i="3"/>
  <c r="T275" i="3"/>
  <c r="Y274" i="3"/>
  <c r="Z274" i="3" s="1"/>
  <c r="V274" i="3"/>
  <c r="U274" i="3"/>
  <c r="T274" i="3"/>
  <c r="Y273" i="3"/>
  <c r="Z273" i="3" s="1"/>
  <c r="V273" i="3"/>
  <c r="U273" i="3"/>
  <c r="T273" i="3"/>
  <c r="Y272" i="3"/>
  <c r="Z272" i="3" s="1"/>
  <c r="V272" i="3"/>
  <c r="U272" i="3"/>
  <c r="T272" i="3"/>
  <c r="Y271" i="3"/>
  <c r="Z271" i="3" s="1"/>
  <c r="V271" i="3"/>
  <c r="U271" i="3"/>
  <c r="T271" i="3"/>
  <c r="Y270" i="3"/>
  <c r="Z270" i="3" s="1"/>
  <c r="V270" i="3"/>
  <c r="U270" i="3"/>
  <c r="T270" i="3"/>
  <c r="Y269" i="3"/>
  <c r="Z269" i="3" s="1"/>
  <c r="V269" i="3"/>
  <c r="U269" i="3"/>
  <c r="T269" i="3"/>
  <c r="Y268" i="3"/>
  <c r="Z268" i="3" s="1"/>
  <c r="V268" i="3"/>
  <c r="U268" i="3"/>
  <c r="T268" i="3"/>
  <c r="Y267" i="3"/>
  <c r="Z267" i="3" s="1"/>
  <c r="V267" i="3"/>
  <c r="U267" i="3"/>
  <c r="T267" i="3"/>
  <c r="Y266" i="3"/>
  <c r="Z266" i="3" s="1"/>
  <c r="V266" i="3"/>
  <c r="U266" i="3"/>
  <c r="T266" i="3"/>
  <c r="Y265" i="3"/>
  <c r="Z265" i="3" s="1"/>
  <c r="V265" i="3"/>
  <c r="U265" i="3"/>
  <c r="T265" i="3"/>
  <c r="Y264" i="3"/>
  <c r="Z264" i="3" s="1"/>
  <c r="V264" i="3"/>
  <c r="U264" i="3"/>
  <c r="T264" i="3"/>
  <c r="Y263" i="3"/>
  <c r="Z263" i="3" s="1"/>
  <c r="V263" i="3"/>
  <c r="U263" i="3"/>
  <c r="T263" i="3"/>
  <c r="Y262" i="3"/>
  <c r="Z262" i="3" s="1"/>
  <c r="V262" i="3"/>
  <c r="U262" i="3"/>
  <c r="T262" i="3"/>
  <c r="Y261" i="3"/>
  <c r="Z261" i="3" s="1"/>
  <c r="V261" i="3"/>
  <c r="U261" i="3"/>
  <c r="T261" i="3"/>
  <c r="Y260" i="3"/>
  <c r="Z260" i="3" s="1"/>
  <c r="V260" i="3"/>
  <c r="U260" i="3"/>
  <c r="T260" i="3"/>
  <c r="Y259" i="3"/>
  <c r="Z259" i="3" s="1"/>
  <c r="V259" i="3"/>
  <c r="U259" i="3"/>
  <c r="T259" i="3"/>
  <c r="Y258" i="3"/>
  <c r="Z258" i="3" s="1"/>
  <c r="V258" i="3"/>
  <c r="U258" i="3"/>
  <c r="T258" i="3"/>
  <c r="Y257" i="3"/>
  <c r="Z257" i="3" s="1"/>
  <c r="V257" i="3"/>
  <c r="U257" i="3"/>
  <c r="T257" i="3"/>
  <c r="Y256" i="3"/>
  <c r="Z256" i="3" s="1"/>
  <c r="V256" i="3"/>
  <c r="U256" i="3"/>
  <c r="T256" i="3"/>
  <c r="Y255" i="3"/>
  <c r="Z255" i="3" s="1"/>
  <c r="V255" i="3"/>
  <c r="U255" i="3"/>
  <c r="T255" i="3"/>
  <c r="Y254" i="3"/>
  <c r="Z254" i="3" s="1"/>
  <c r="V254" i="3"/>
  <c r="U254" i="3"/>
  <c r="T254" i="3"/>
  <c r="Y253" i="3"/>
  <c r="Z253" i="3" s="1"/>
  <c r="V253" i="3"/>
  <c r="U253" i="3"/>
  <c r="T253" i="3"/>
  <c r="Y252" i="3"/>
  <c r="Z252" i="3" s="1"/>
  <c r="V252" i="3"/>
  <c r="U252" i="3"/>
  <c r="T252" i="3"/>
  <c r="Y251" i="3"/>
  <c r="Z251" i="3" s="1"/>
  <c r="V251" i="3"/>
  <c r="U251" i="3"/>
  <c r="T251" i="3"/>
  <c r="Y250" i="3"/>
  <c r="Z250" i="3" s="1"/>
  <c r="V250" i="3"/>
  <c r="U250" i="3"/>
  <c r="T250" i="3"/>
  <c r="Y249" i="3"/>
  <c r="Z249" i="3" s="1"/>
  <c r="V249" i="3"/>
  <c r="U249" i="3"/>
  <c r="T249" i="3"/>
  <c r="Y248" i="3"/>
  <c r="Z248" i="3" s="1"/>
  <c r="V248" i="3"/>
  <c r="U248" i="3"/>
  <c r="T248" i="3"/>
  <c r="Y247" i="3"/>
  <c r="Z247" i="3" s="1"/>
  <c r="V247" i="3"/>
  <c r="U247" i="3"/>
  <c r="T247" i="3"/>
  <c r="Y246" i="3"/>
  <c r="Z246" i="3" s="1"/>
  <c r="V246" i="3"/>
  <c r="U246" i="3"/>
  <c r="T246" i="3"/>
  <c r="Y245" i="3"/>
  <c r="Z245" i="3" s="1"/>
  <c r="V245" i="3"/>
  <c r="U245" i="3"/>
  <c r="T245" i="3"/>
  <c r="Y244" i="3"/>
  <c r="Z244" i="3" s="1"/>
  <c r="V244" i="3"/>
  <c r="U244" i="3"/>
  <c r="T244" i="3"/>
  <c r="Y243" i="3"/>
  <c r="Z243" i="3" s="1"/>
  <c r="V243" i="3"/>
  <c r="U243" i="3"/>
  <c r="T243" i="3"/>
  <c r="Y242" i="3"/>
  <c r="Z242" i="3" s="1"/>
  <c r="V242" i="3"/>
  <c r="U242" i="3"/>
  <c r="T242" i="3"/>
  <c r="Y241" i="3"/>
  <c r="Z241" i="3" s="1"/>
  <c r="V241" i="3"/>
  <c r="U241" i="3"/>
  <c r="T241" i="3"/>
  <c r="Y240" i="3"/>
  <c r="Z240" i="3" s="1"/>
  <c r="V240" i="3"/>
  <c r="U240" i="3"/>
  <c r="T240" i="3"/>
  <c r="Y239" i="3"/>
  <c r="Z239" i="3" s="1"/>
  <c r="V239" i="3"/>
  <c r="U239" i="3"/>
  <c r="T239" i="3"/>
  <c r="Y238" i="3"/>
  <c r="Z238" i="3" s="1"/>
  <c r="V238" i="3"/>
  <c r="U238" i="3"/>
  <c r="T238" i="3"/>
  <c r="Y237" i="3"/>
  <c r="Z237" i="3" s="1"/>
  <c r="V237" i="3"/>
  <c r="U237" i="3"/>
  <c r="T237" i="3"/>
  <c r="Y236" i="3"/>
  <c r="Z236" i="3" s="1"/>
  <c r="V236" i="3"/>
  <c r="U236" i="3"/>
  <c r="T236" i="3"/>
  <c r="Y235" i="3"/>
  <c r="Z235" i="3" s="1"/>
  <c r="V235" i="3"/>
  <c r="U235" i="3"/>
  <c r="T235" i="3"/>
  <c r="Y234" i="3"/>
  <c r="Z234" i="3" s="1"/>
  <c r="V234" i="3"/>
  <c r="U234" i="3"/>
  <c r="T234" i="3"/>
  <c r="Y233" i="3"/>
  <c r="Z233" i="3" s="1"/>
  <c r="V233" i="3"/>
  <c r="U233" i="3"/>
  <c r="T233" i="3"/>
  <c r="Y232" i="3"/>
  <c r="Z232" i="3" s="1"/>
  <c r="V232" i="3"/>
  <c r="U232" i="3"/>
  <c r="T232" i="3"/>
  <c r="Y231" i="3"/>
  <c r="Z231" i="3" s="1"/>
  <c r="V231" i="3"/>
  <c r="U231" i="3"/>
  <c r="T231" i="3"/>
  <c r="Y230" i="3"/>
  <c r="Z230" i="3" s="1"/>
  <c r="V230" i="3"/>
  <c r="U230" i="3"/>
  <c r="T230" i="3"/>
  <c r="Y229" i="3"/>
  <c r="Z229" i="3" s="1"/>
  <c r="V229" i="3"/>
  <c r="U229" i="3"/>
  <c r="T229" i="3"/>
  <c r="Y228" i="3"/>
  <c r="Z228" i="3" s="1"/>
  <c r="V228" i="3"/>
  <c r="U228" i="3"/>
  <c r="T228" i="3"/>
  <c r="Y227" i="3"/>
  <c r="Z227" i="3" s="1"/>
  <c r="V227" i="3"/>
  <c r="U227" i="3"/>
  <c r="T227" i="3"/>
  <c r="Y226" i="3"/>
  <c r="Z226" i="3" s="1"/>
  <c r="V226" i="3"/>
  <c r="U226" i="3"/>
  <c r="T226" i="3"/>
  <c r="Y225" i="3"/>
  <c r="Z225" i="3" s="1"/>
  <c r="V225" i="3"/>
  <c r="U225" i="3"/>
  <c r="T225" i="3"/>
  <c r="Y224" i="3"/>
  <c r="Z224" i="3" s="1"/>
  <c r="V224" i="3"/>
  <c r="U224" i="3"/>
  <c r="T224" i="3"/>
  <c r="Y223" i="3"/>
  <c r="Z223" i="3" s="1"/>
  <c r="V223" i="3"/>
  <c r="U223" i="3"/>
  <c r="T223" i="3"/>
  <c r="Y222" i="3"/>
  <c r="Z222" i="3" s="1"/>
  <c r="V222" i="3"/>
  <c r="U222" i="3"/>
  <c r="T222" i="3"/>
  <c r="Y221" i="3"/>
  <c r="Z221" i="3" s="1"/>
  <c r="V221" i="3"/>
  <c r="U221" i="3"/>
  <c r="T221" i="3"/>
  <c r="Y220" i="3"/>
  <c r="Z220" i="3" s="1"/>
  <c r="V220" i="3"/>
  <c r="U220" i="3"/>
  <c r="T220" i="3"/>
  <c r="Y219" i="3"/>
  <c r="Z219" i="3" s="1"/>
  <c r="V219" i="3"/>
  <c r="U219" i="3"/>
  <c r="T219" i="3"/>
  <c r="Y218" i="3"/>
  <c r="Z218" i="3" s="1"/>
  <c r="V218" i="3"/>
  <c r="U218" i="3"/>
  <c r="T218" i="3"/>
  <c r="Y217" i="3"/>
  <c r="Z217" i="3" s="1"/>
  <c r="V217" i="3"/>
  <c r="U217" i="3"/>
  <c r="T217" i="3"/>
  <c r="Y216" i="3"/>
  <c r="Z216" i="3" s="1"/>
  <c r="V216" i="3"/>
  <c r="U216" i="3"/>
  <c r="T216" i="3"/>
  <c r="Y215" i="3"/>
  <c r="Z215" i="3" s="1"/>
  <c r="V215" i="3"/>
  <c r="U215" i="3"/>
  <c r="T215" i="3"/>
  <c r="Y214" i="3"/>
  <c r="Z214" i="3" s="1"/>
  <c r="V214" i="3"/>
  <c r="U214" i="3"/>
  <c r="T214" i="3"/>
  <c r="Y213" i="3"/>
  <c r="Z213" i="3" s="1"/>
  <c r="V213" i="3"/>
  <c r="U213" i="3"/>
  <c r="T213" i="3"/>
  <c r="Y212" i="3"/>
  <c r="Z212" i="3" s="1"/>
  <c r="V212" i="3"/>
  <c r="U212" i="3"/>
  <c r="T212" i="3"/>
  <c r="Y211" i="3"/>
  <c r="Z211" i="3" s="1"/>
  <c r="V211" i="3"/>
  <c r="U211" i="3"/>
  <c r="T211" i="3"/>
  <c r="Y210" i="3"/>
  <c r="Z210" i="3" s="1"/>
  <c r="V210" i="3"/>
  <c r="U210" i="3"/>
  <c r="T210" i="3"/>
  <c r="Y209" i="3"/>
  <c r="Z209" i="3" s="1"/>
  <c r="V209" i="3"/>
  <c r="U209" i="3"/>
  <c r="T209" i="3"/>
  <c r="Y208" i="3"/>
  <c r="Z208" i="3" s="1"/>
  <c r="V208" i="3"/>
  <c r="U208" i="3"/>
  <c r="T208" i="3"/>
  <c r="Y207" i="3"/>
  <c r="Z207" i="3" s="1"/>
  <c r="V207" i="3"/>
  <c r="U207" i="3"/>
  <c r="T207" i="3"/>
  <c r="Y206" i="3"/>
  <c r="Z206" i="3" s="1"/>
  <c r="V206" i="3"/>
  <c r="U206" i="3"/>
  <c r="T206" i="3"/>
  <c r="Y205" i="3"/>
  <c r="Z205" i="3" s="1"/>
  <c r="V205" i="3"/>
  <c r="U205" i="3"/>
  <c r="T205" i="3"/>
  <c r="Y204" i="3"/>
  <c r="Z204" i="3" s="1"/>
  <c r="V204" i="3"/>
  <c r="U204" i="3"/>
  <c r="T204" i="3"/>
  <c r="Y203" i="3"/>
  <c r="Z203" i="3" s="1"/>
  <c r="V203" i="3"/>
  <c r="U203" i="3"/>
  <c r="T203" i="3"/>
  <c r="Y202" i="3"/>
  <c r="Z202" i="3" s="1"/>
  <c r="V202" i="3"/>
  <c r="U202" i="3"/>
  <c r="T202" i="3"/>
  <c r="Y201" i="3"/>
  <c r="Z201" i="3" s="1"/>
  <c r="V201" i="3"/>
  <c r="U201" i="3"/>
  <c r="T201" i="3"/>
  <c r="Y200" i="3"/>
  <c r="Z200" i="3" s="1"/>
  <c r="V200" i="3"/>
  <c r="U200" i="3"/>
  <c r="T200" i="3"/>
  <c r="Y199" i="3"/>
  <c r="Z199" i="3" s="1"/>
  <c r="V199" i="3"/>
  <c r="U199" i="3"/>
  <c r="T199" i="3"/>
  <c r="Y198" i="3"/>
  <c r="Z198" i="3" s="1"/>
  <c r="V198" i="3"/>
  <c r="U198" i="3"/>
  <c r="T198" i="3"/>
  <c r="Y197" i="3"/>
  <c r="Z197" i="3" s="1"/>
  <c r="V197" i="3"/>
  <c r="U197" i="3"/>
  <c r="T197" i="3"/>
  <c r="Y196" i="3"/>
  <c r="Z196" i="3" s="1"/>
  <c r="V196" i="3"/>
  <c r="U196" i="3"/>
  <c r="T196" i="3"/>
  <c r="Y195" i="3"/>
  <c r="Z195" i="3" s="1"/>
  <c r="V195" i="3"/>
  <c r="U195" i="3"/>
  <c r="T195" i="3"/>
  <c r="Y194" i="3"/>
  <c r="Z194" i="3" s="1"/>
  <c r="V194" i="3"/>
  <c r="U194" i="3"/>
  <c r="T194" i="3"/>
  <c r="Y193" i="3"/>
  <c r="Z193" i="3" s="1"/>
  <c r="V193" i="3"/>
  <c r="U193" i="3"/>
  <c r="T193" i="3"/>
  <c r="Y192" i="3"/>
  <c r="Z192" i="3" s="1"/>
  <c r="V192" i="3"/>
  <c r="U192" i="3"/>
  <c r="T192" i="3"/>
  <c r="Y191" i="3"/>
  <c r="Z191" i="3" s="1"/>
  <c r="V191" i="3"/>
  <c r="U191" i="3"/>
  <c r="T191" i="3"/>
  <c r="Y190" i="3"/>
  <c r="Z190" i="3" s="1"/>
  <c r="V190" i="3"/>
  <c r="U190" i="3"/>
  <c r="T190" i="3"/>
  <c r="Y189" i="3"/>
  <c r="Z189" i="3" s="1"/>
  <c r="V189" i="3"/>
  <c r="U189" i="3"/>
  <c r="T189" i="3"/>
  <c r="Y188" i="3"/>
  <c r="Z188" i="3" s="1"/>
  <c r="V188" i="3"/>
  <c r="U188" i="3"/>
  <c r="T188" i="3"/>
  <c r="Y187" i="3"/>
  <c r="Z187" i="3" s="1"/>
  <c r="V187" i="3"/>
  <c r="U187" i="3"/>
  <c r="T187" i="3"/>
  <c r="Y186" i="3"/>
  <c r="Z186" i="3" s="1"/>
  <c r="V186" i="3"/>
  <c r="U186" i="3"/>
  <c r="T186" i="3"/>
  <c r="Y185" i="3"/>
  <c r="Z185" i="3" s="1"/>
  <c r="V185" i="3"/>
  <c r="U185" i="3"/>
  <c r="T185" i="3"/>
  <c r="Y184" i="3"/>
  <c r="Z184" i="3" s="1"/>
  <c r="V184" i="3"/>
  <c r="U184" i="3"/>
  <c r="T184" i="3"/>
  <c r="Y183" i="3"/>
  <c r="Z183" i="3" s="1"/>
  <c r="V183" i="3"/>
  <c r="U183" i="3"/>
  <c r="T183" i="3"/>
  <c r="Y182" i="3"/>
  <c r="Z182" i="3" s="1"/>
  <c r="V182" i="3"/>
  <c r="U182" i="3"/>
  <c r="T182" i="3"/>
  <c r="Y181" i="3"/>
  <c r="Z181" i="3" s="1"/>
  <c r="V181" i="3"/>
  <c r="U181" i="3"/>
  <c r="T181" i="3"/>
  <c r="Y180" i="3"/>
  <c r="Z180" i="3" s="1"/>
  <c r="V180" i="3"/>
  <c r="U180" i="3"/>
  <c r="T180" i="3"/>
  <c r="Y179" i="3"/>
  <c r="Z179" i="3" s="1"/>
  <c r="V179" i="3"/>
  <c r="U179" i="3"/>
  <c r="T179" i="3"/>
  <c r="Y178" i="3"/>
  <c r="Z178" i="3" s="1"/>
  <c r="V178" i="3"/>
  <c r="U178" i="3"/>
  <c r="T178" i="3"/>
  <c r="Y177" i="3"/>
  <c r="Z177" i="3" s="1"/>
  <c r="V177" i="3"/>
  <c r="U177" i="3"/>
  <c r="T177" i="3"/>
  <c r="Y176" i="3"/>
  <c r="Z176" i="3" s="1"/>
  <c r="V176" i="3"/>
  <c r="U176" i="3"/>
  <c r="T176" i="3"/>
  <c r="Y175" i="3"/>
  <c r="Z175" i="3" s="1"/>
  <c r="V175" i="3"/>
  <c r="U175" i="3"/>
  <c r="T175" i="3"/>
  <c r="Y174" i="3"/>
  <c r="Z174" i="3" s="1"/>
  <c r="V174" i="3"/>
  <c r="U174" i="3"/>
  <c r="T174" i="3"/>
  <c r="Y173" i="3"/>
  <c r="Z173" i="3" s="1"/>
  <c r="V173" i="3"/>
  <c r="U173" i="3"/>
  <c r="T173" i="3"/>
  <c r="Y172" i="3"/>
  <c r="Z172" i="3" s="1"/>
  <c r="V172" i="3"/>
  <c r="U172" i="3"/>
  <c r="T172" i="3"/>
  <c r="Y171" i="3"/>
  <c r="Z171" i="3" s="1"/>
  <c r="V171" i="3"/>
  <c r="U171" i="3"/>
  <c r="T171" i="3"/>
  <c r="Y170" i="3"/>
  <c r="Z170" i="3" s="1"/>
  <c r="V170" i="3"/>
  <c r="U170" i="3"/>
  <c r="T170" i="3"/>
  <c r="Y169" i="3"/>
  <c r="Z169" i="3" s="1"/>
  <c r="V169" i="3"/>
  <c r="U169" i="3"/>
  <c r="T169" i="3"/>
  <c r="Y168" i="3"/>
  <c r="Z168" i="3" s="1"/>
  <c r="V168" i="3"/>
  <c r="U168" i="3"/>
  <c r="T168" i="3"/>
  <c r="Y167" i="3"/>
  <c r="Z167" i="3" s="1"/>
  <c r="V167" i="3"/>
  <c r="U167" i="3"/>
  <c r="T167" i="3"/>
  <c r="Y166" i="3"/>
  <c r="Z166" i="3" s="1"/>
  <c r="V166" i="3"/>
  <c r="U166" i="3"/>
  <c r="T166" i="3"/>
  <c r="Y165" i="3"/>
  <c r="Z165" i="3" s="1"/>
  <c r="V165" i="3"/>
  <c r="U165" i="3"/>
  <c r="T165" i="3"/>
  <c r="Y164" i="3"/>
  <c r="Z164" i="3" s="1"/>
  <c r="V164" i="3"/>
  <c r="U164" i="3"/>
  <c r="T164" i="3"/>
  <c r="Y163" i="3"/>
  <c r="Z163" i="3" s="1"/>
  <c r="V163" i="3"/>
  <c r="U163" i="3"/>
  <c r="T163" i="3"/>
  <c r="Y162" i="3"/>
  <c r="Z162" i="3" s="1"/>
  <c r="V162" i="3"/>
  <c r="U162" i="3"/>
  <c r="T162" i="3"/>
  <c r="Y161" i="3"/>
  <c r="Z161" i="3" s="1"/>
  <c r="V161" i="3"/>
  <c r="U161" i="3"/>
  <c r="T161" i="3"/>
  <c r="Y160" i="3"/>
  <c r="Z160" i="3" s="1"/>
  <c r="V160" i="3"/>
  <c r="U160" i="3"/>
  <c r="T160" i="3"/>
  <c r="Y159" i="3"/>
  <c r="Z159" i="3" s="1"/>
  <c r="V159" i="3"/>
  <c r="U159" i="3"/>
  <c r="T159" i="3"/>
  <c r="Y158" i="3"/>
  <c r="Z158" i="3" s="1"/>
  <c r="V158" i="3"/>
  <c r="U158" i="3"/>
  <c r="T158" i="3"/>
  <c r="Y157" i="3"/>
  <c r="Z157" i="3" s="1"/>
  <c r="V157" i="3"/>
  <c r="U157" i="3"/>
  <c r="T157" i="3"/>
  <c r="Y156" i="3"/>
  <c r="Z156" i="3" s="1"/>
  <c r="V156" i="3"/>
  <c r="U156" i="3"/>
  <c r="T156" i="3"/>
  <c r="Y155" i="3"/>
  <c r="Z155" i="3" s="1"/>
  <c r="V155" i="3"/>
  <c r="U155" i="3"/>
  <c r="T155" i="3"/>
  <c r="Y154" i="3"/>
  <c r="Z154" i="3" s="1"/>
  <c r="V154" i="3"/>
  <c r="U154" i="3"/>
  <c r="T154" i="3"/>
  <c r="Y153" i="3"/>
  <c r="Z153" i="3" s="1"/>
  <c r="V153" i="3"/>
  <c r="U153" i="3"/>
  <c r="T153" i="3"/>
  <c r="Y152" i="3"/>
  <c r="Z152" i="3" s="1"/>
  <c r="V152" i="3"/>
  <c r="U152" i="3"/>
  <c r="T152" i="3"/>
  <c r="Y151" i="3"/>
  <c r="Z151" i="3" s="1"/>
  <c r="V151" i="3"/>
  <c r="U151" i="3"/>
  <c r="T151" i="3"/>
  <c r="Y150" i="3"/>
  <c r="Z150" i="3" s="1"/>
  <c r="V150" i="3"/>
  <c r="U150" i="3"/>
  <c r="T150" i="3"/>
  <c r="Y149" i="3"/>
  <c r="Z149" i="3" s="1"/>
  <c r="V149" i="3"/>
  <c r="U149" i="3"/>
  <c r="T149" i="3"/>
  <c r="Y148" i="3"/>
  <c r="Z148" i="3" s="1"/>
  <c r="V148" i="3"/>
  <c r="U148" i="3"/>
  <c r="T148" i="3"/>
  <c r="Y147" i="3"/>
  <c r="Z147" i="3" s="1"/>
  <c r="V147" i="3"/>
  <c r="U147" i="3"/>
  <c r="T147" i="3"/>
  <c r="Y146" i="3"/>
  <c r="Z146" i="3" s="1"/>
  <c r="V146" i="3"/>
  <c r="U146" i="3"/>
  <c r="T146" i="3"/>
  <c r="Y145" i="3"/>
  <c r="Z145" i="3" s="1"/>
  <c r="V145" i="3"/>
  <c r="U145" i="3"/>
  <c r="T145" i="3"/>
  <c r="Y144" i="3"/>
  <c r="Z144" i="3" s="1"/>
  <c r="V144" i="3"/>
  <c r="U144" i="3"/>
  <c r="T144" i="3"/>
  <c r="Y143" i="3"/>
  <c r="Z143" i="3" s="1"/>
  <c r="V143" i="3"/>
  <c r="U143" i="3"/>
  <c r="T143" i="3"/>
  <c r="Y142" i="3"/>
  <c r="Z142" i="3" s="1"/>
  <c r="V142" i="3"/>
  <c r="U142" i="3"/>
  <c r="T142" i="3"/>
  <c r="Y141" i="3"/>
  <c r="Z141" i="3" s="1"/>
  <c r="V141" i="3"/>
  <c r="U141" i="3"/>
  <c r="T141" i="3"/>
  <c r="Y140" i="3"/>
  <c r="Z140" i="3" s="1"/>
  <c r="V140" i="3"/>
  <c r="U140" i="3"/>
  <c r="T140" i="3"/>
  <c r="Y139" i="3"/>
  <c r="Z139" i="3" s="1"/>
  <c r="V139" i="3"/>
  <c r="U139" i="3"/>
  <c r="T139" i="3"/>
  <c r="Y138" i="3"/>
  <c r="Z138" i="3" s="1"/>
  <c r="V138" i="3"/>
  <c r="U138" i="3"/>
  <c r="T138" i="3"/>
  <c r="Y137" i="3"/>
  <c r="Z137" i="3" s="1"/>
  <c r="V137" i="3"/>
  <c r="U137" i="3"/>
  <c r="T137" i="3"/>
  <c r="Y136" i="3"/>
  <c r="Z136" i="3" s="1"/>
  <c r="V136" i="3"/>
  <c r="U136" i="3"/>
  <c r="T136" i="3"/>
  <c r="Y135" i="3"/>
  <c r="Z135" i="3" s="1"/>
  <c r="V135" i="3"/>
  <c r="U135" i="3"/>
  <c r="T135" i="3"/>
  <c r="Y134" i="3"/>
  <c r="Z134" i="3" s="1"/>
  <c r="V134" i="3"/>
  <c r="U134" i="3"/>
  <c r="T134" i="3"/>
  <c r="Y133" i="3"/>
  <c r="Z133" i="3" s="1"/>
  <c r="V133" i="3"/>
  <c r="U133" i="3"/>
  <c r="T133" i="3"/>
  <c r="Y132" i="3"/>
  <c r="Z132" i="3" s="1"/>
  <c r="V132" i="3"/>
  <c r="U132" i="3"/>
  <c r="T132" i="3"/>
  <c r="Y131" i="3"/>
  <c r="Z131" i="3" s="1"/>
  <c r="V131" i="3"/>
  <c r="U131" i="3"/>
  <c r="T131" i="3"/>
  <c r="Y130" i="3"/>
  <c r="Z130" i="3" s="1"/>
  <c r="V130" i="3"/>
  <c r="U130" i="3"/>
  <c r="T130" i="3"/>
  <c r="Y129" i="3"/>
  <c r="Z129" i="3" s="1"/>
  <c r="V129" i="3"/>
  <c r="U129" i="3"/>
  <c r="T129" i="3"/>
  <c r="Y128" i="3"/>
  <c r="Z128" i="3" s="1"/>
  <c r="V128" i="3"/>
  <c r="U128" i="3"/>
  <c r="T128" i="3"/>
  <c r="Y127" i="3"/>
  <c r="Z127" i="3" s="1"/>
  <c r="V127" i="3"/>
  <c r="U127" i="3"/>
  <c r="T127" i="3"/>
  <c r="Y126" i="3"/>
  <c r="Z126" i="3" s="1"/>
  <c r="V126" i="3"/>
  <c r="U126" i="3"/>
  <c r="T126" i="3"/>
  <c r="Y125" i="3"/>
  <c r="Z125" i="3" s="1"/>
  <c r="V125" i="3"/>
  <c r="U125" i="3"/>
  <c r="T125" i="3"/>
  <c r="Y124" i="3"/>
  <c r="Z124" i="3" s="1"/>
  <c r="V124" i="3"/>
  <c r="U124" i="3"/>
  <c r="T124" i="3"/>
  <c r="Y123" i="3"/>
  <c r="Z123" i="3" s="1"/>
  <c r="V123" i="3"/>
  <c r="U123" i="3"/>
  <c r="T123" i="3"/>
  <c r="Y122" i="3"/>
  <c r="Z122" i="3" s="1"/>
  <c r="V122" i="3"/>
  <c r="U122" i="3"/>
  <c r="T122" i="3"/>
  <c r="Y121" i="3"/>
  <c r="Z121" i="3" s="1"/>
  <c r="V121" i="3"/>
  <c r="U121" i="3"/>
  <c r="T121" i="3"/>
  <c r="Y120" i="3"/>
  <c r="Z120" i="3" s="1"/>
  <c r="V120" i="3"/>
  <c r="U120" i="3"/>
  <c r="T120" i="3"/>
  <c r="Y119" i="3"/>
  <c r="Z119" i="3" s="1"/>
  <c r="V119" i="3"/>
  <c r="U119" i="3"/>
  <c r="T119" i="3"/>
  <c r="Y118" i="3"/>
  <c r="Z118" i="3" s="1"/>
  <c r="V118" i="3"/>
  <c r="U118" i="3"/>
  <c r="T118" i="3"/>
  <c r="Y117" i="3"/>
  <c r="Z117" i="3" s="1"/>
  <c r="V117" i="3"/>
  <c r="U117" i="3"/>
  <c r="T117" i="3"/>
  <c r="Y116" i="3"/>
  <c r="Z116" i="3" s="1"/>
  <c r="V116" i="3"/>
  <c r="U116" i="3"/>
  <c r="T116" i="3"/>
  <c r="Y115" i="3"/>
  <c r="Z115" i="3" s="1"/>
  <c r="V115" i="3"/>
  <c r="U115" i="3"/>
  <c r="T115" i="3"/>
  <c r="Y114" i="3"/>
  <c r="Z114" i="3" s="1"/>
  <c r="V114" i="3"/>
  <c r="U114" i="3"/>
  <c r="T114" i="3"/>
  <c r="Y113" i="3"/>
  <c r="Z113" i="3" s="1"/>
  <c r="V113" i="3"/>
  <c r="U113" i="3"/>
  <c r="T113" i="3"/>
  <c r="Y112" i="3"/>
  <c r="Z112" i="3" s="1"/>
  <c r="V112" i="3"/>
  <c r="U112" i="3"/>
  <c r="T112" i="3"/>
  <c r="Y111" i="3"/>
  <c r="Z111" i="3" s="1"/>
  <c r="V111" i="3"/>
  <c r="U111" i="3"/>
  <c r="T111" i="3"/>
  <c r="Y110" i="3"/>
  <c r="Z110" i="3" s="1"/>
  <c r="V110" i="3"/>
  <c r="U110" i="3"/>
  <c r="T110" i="3"/>
  <c r="Y109" i="3"/>
  <c r="Z109" i="3" s="1"/>
  <c r="V109" i="3"/>
  <c r="U109" i="3"/>
  <c r="T109" i="3"/>
  <c r="Y108" i="3"/>
  <c r="Z108" i="3" s="1"/>
  <c r="V108" i="3"/>
  <c r="U108" i="3"/>
  <c r="T108" i="3"/>
  <c r="Y107" i="3"/>
  <c r="Z107" i="3" s="1"/>
  <c r="V107" i="3"/>
  <c r="U107" i="3"/>
  <c r="T107" i="3"/>
  <c r="Y106" i="3"/>
  <c r="Z106" i="3" s="1"/>
  <c r="V106" i="3"/>
  <c r="U106" i="3"/>
  <c r="T106" i="3"/>
  <c r="Y105" i="3"/>
  <c r="Z105" i="3" s="1"/>
  <c r="V105" i="3"/>
  <c r="U105" i="3"/>
  <c r="T105" i="3"/>
  <c r="Y104" i="3"/>
  <c r="Z104" i="3" s="1"/>
  <c r="V104" i="3"/>
  <c r="U104" i="3"/>
  <c r="T104" i="3"/>
  <c r="Y103" i="3"/>
  <c r="Z103" i="3" s="1"/>
  <c r="V103" i="3"/>
  <c r="U103" i="3"/>
  <c r="T103" i="3"/>
  <c r="Y102" i="3"/>
  <c r="Z102" i="3" s="1"/>
  <c r="V102" i="3"/>
  <c r="U102" i="3"/>
  <c r="T102" i="3"/>
  <c r="Y101" i="3"/>
  <c r="Z101" i="3" s="1"/>
  <c r="V101" i="3"/>
  <c r="U101" i="3"/>
  <c r="T101" i="3"/>
  <c r="Y100" i="3"/>
  <c r="Z100" i="3" s="1"/>
  <c r="V100" i="3"/>
  <c r="U100" i="3"/>
  <c r="T100" i="3"/>
  <c r="Y99" i="3"/>
  <c r="Z99" i="3" s="1"/>
  <c r="V99" i="3"/>
  <c r="U99" i="3"/>
  <c r="T99" i="3"/>
  <c r="Y98" i="3"/>
  <c r="Z98" i="3" s="1"/>
  <c r="V98" i="3"/>
  <c r="U98" i="3"/>
  <c r="T98" i="3"/>
  <c r="Y97" i="3"/>
  <c r="Z97" i="3" s="1"/>
  <c r="V97" i="3"/>
  <c r="U97" i="3"/>
  <c r="T97" i="3"/>
  <c r="Y96" i="3"/>
  <c r="Z96" i="3" s="1"/>
  <c r="V96" i="3"/>
  <c r="U96" i="3"/>
  <c r="T96" i="3"/>
  <c r="Y95" i="3"/>
  <c r="Z95" i="3" s="1"/>
  <c r="V95" i="3"/>
  <c r="U95" i="3"/>
  <c r="T95" i="3"/>
  <c r="Y94" i="3"/>
  <c r="Z94" i="3" s="1"/>
  <c r="V94" i="3"/>
  <c r="U94" i="3"/>
  <c r="T94" i="3"/>
  <c r="Y93" i="3"/>
  <c r="Z93" i="3" s="1"/>
  <c r="V93" i="3"/>
  <c r="U93" i="3"/>
  <c r="T93" i="3"/>
  <c r="Y92" i="3"/>
  <c r="Z92" i="3" s="1"/>
  <c r="V92" i="3"/>
  <c r="U92" i="3"/>
  <c r="T92" i="3"/>
  <c r="Y91" i="3"/>
  <c r="Z91" i="3" s="1"/>
  <c r="V91" i="3"/>
  <c r="U91" i="3"/>
  <c r="T91" i="3"/>
  <c r="Y90" i="3"/>
  <c r="Z90" i="3" s="1"/>
  <c r="V90" i="3"/>
  <c r="U90" i="3"/>
  <c r="T90" i="3"/>
  <c r="Y89" i="3"/>
  <c r="Z89" i="3" s="1"/>
  <c r="V89" i="3"/>
  <c r="U89" i="3"/>
  <c r="T89" i="3"/>
  <c r="Y88" i="3"/>
  <c r="Z88" i="3" s="1"/>
  <c r="V88" i="3"/>
  <c r="U88" i="3"/>
  <c r="T88" i="3"/>
  <c r="Y87" i="3"/>
  <c r="Z87" i="3" s="1"/>
  <c r="V87" i="3"/>
  <c r="U87" i="3"/>
  <c r="T87" i="3"/>
  <c r="Y86" i="3"/>
  <c r="Z86" i="3" s="1"/>
  <c r="V86" i="3"/>
  <c r="U86" i="3"/>
  <c r="T86" i="3"/>
  <c r="Y85" i="3"/>
  <c r="Z85" i="3" s="1"/>
  <c r="V85" i="3"/>
  <c r="U85" i="3"/>
  <c r="T85" i="3"/>
  <c r="Y84" i="3"/>
  <c r="Z84" i="3" s="1"/>
  <c r="V84" i="3"/>
  <c r="U84" i="3"/>
  <c r="T84" i="3"/>
  <c r="Y83" i="3"/>
  <c r="Z83" i="3" s="1"/>
  <c r="V83" i="3"/>
  <c r="U83" i="3"/>
  <c r="T83" i="3"/>
  <c r="Y82" i="3"/>
  <c r="Z82" i="3" s="1"/>
  <c r="V82" i="3"/>
  <c r="U82" i="3"/>
  <c r="T82" i="3"/>
  <c r="Y81" i="3"/>
  <c r="Z81" i="3" s="1"/>
  <c r="V81" i="3"/>
  <c r="U81" i="3"/>
  <c r="T81" i="3"/>
  <c r="Y80" i="3"/>
  <c r="Z80" i="3" s="1"/>
  <c r="V80" i="3"/>
  <c r="U80" i="3"/>
  <c r="T80" i="3"/>
  <c r="Y79" i="3"/>
  <c r="Z79" i="3" s="1"/>
  <c r="V79" i="3"/>
  <c r="U79" i="3"/>
  <c r="T79" i="3"/>
  <c r="Y78" i="3"/>
  <c r="Z78" i="3" s="1"/>
  <c r="V78" i="3"/>
  <c r="U78" i="3"/>
  <c r="T78" i="3"/>
  <c r="Y77" i="3"/>
  <c r="Z77" i="3" s="1"/>
  <c r="V77" i="3"/>
  <c r="U77" i="3"/>
  <c r="T77" i="3"/>
  <c r="Y76" i="3"/>
  <c r="Z76" i="3" s="1"/>
  <c r="V76" i="3"/>
  <c r="U76" i="3"/>
  <c r="T76" i="3"/>
  <c r="Y75" i="3"/>
  <c r="Z75" i="3" s="1"/>
  <c r="V75" i="3"/>
  <c r="U75" i="3"/>
  <c r="T75" i="3"/>
  <c r="Y74" i="3"/>
  <c r="Z74" i="3" s="1"/>
  <c r="V74" i="3"/>
  <c r="U74" i="3"/>
  <c r="T74" i="3"/>
  <c r="Y73" i="3"/>
  <c r="Z73" i="3" s="1"/>
  <c r="V73" i="3"/>
  <c r="U73" i="3"/>
  <c r="T73" i="3"/>
  <c r="Y72" i="3"/>
  <c r="Z72" i="3" s="1"/>
  <c r="V72" i="3"/>
  <c r="U72" i="3"/>
  <c r="T72" i="3"/>
  <c r="Y71" i="3"/>
  <c r="Z71" i="3" s="1"/>
  <c r="V71" i="3"/>
  <c r="U71" i="3"/>
  <c r="T71" i="3"/>
  <c r="Y70" i="3"/>
  <c r="Z70" i="3" s="1"/>
  <c r="V70" i="3"/>
  <c r="U70" i="3"/>
  <c r="T70" i="3"/>
  <c r="Y69" i="3"/>
  <c r="Z69" i="3" s="1"/>
  <c r="V69" i="3"/>
  <c r="U69" i="3"/>
  <c r="T69" i="3"/>
  <c r="Y68" i="3"/>
  <c r="Z68" i="3" s="1"/>
  <c r="V68" i="3"/>
  <c r="U68" i="3"/>
  <c r="T68" i="3"/>
  <c r="Y67" i="3"/>
  <c r="Z67" i="3" s="1"/>
  <c r="V67" i="3"/>
  <c r="U67" i="3"/>
  <c r="T67" i="3"/>
  <c r="Y66" i="3"/>
  <c r="Z66" i="3" s="1"/>
  <c r="V66" i="3"/>
  <c r="U66" i="3"/>
  <c r="T66" i="3"/>
  <c r="Y65" i="3"/>
  <c r="Z65" i="3" s="1"/>
  <c r="V65" i="3"/>
  <c r="U65" i="3"/>
  <c r="T65" i="3"/>
  <c r="Y64" i="3"/>
  <c r="Z64" i="3" s="1"/>
  <c r="V64" i="3"/>
  <c r="U64" i="3"/>
  <c r="T64" i="3"/>
  <c r="Y63" i="3"/>
  <c r="Z63" i="3" s="1"/>
  <c r="V63" i="3"/>
  <c r="U63" i="3"/>
  <c r="T63" i="3"/>
  <c r="Y62" i="3"/>
  <c r="Z62" i="3" s="1"/>
  <c r="V62" i="3"/>
  <c r="U62" i="3"/>
  <c r="T62" i="3"/>
  <c r="Y61" i="3"/>
  <c r="Z61" i="3" s="1"/>
  <c r="V61" i="3"/>
  <c r="U61" i="3"/>
  <c r="T61" i="3"/>
  <c r="Y60" i="3"/>
  <c r="Z60" i="3" s="1"/>
  <c r="V60" i="3"/>
  <c r="U60" i="3"/>
  <c r="T60" i="3"/>
  <c r="Y59" i="3"/>
  <c r="Z59" i="3" s="1"/>
  <c r="V59" i="3"/>
  <c r="U59" i="3"/>
  <c r="T59" i="3"/>
  <c r="Y58" i="3"/>
  <c r="Z58" i="3" s="1"/>
  <c r="V58" i="3"/>
  <c r="U58" i="3"/>
  <c r="T58" i="3"/>
  <c r="Y57" i="3"/>
  <c r="Z57" i="3" s="1"/>
  <c r="V57" i="3"/>
  <c r="U57" i="3"/>
  <c r="T57" i="3"/>
  <c r="Y56" i="3"/>
  <c r="Z56" i="3" s="1"/>
  <c r="V56" i="3"/>
  <c r="U56" i="3"/>
  <c r="T56" i="3"/>
  <c r="Y55" i="3"/>
  <c r="Z55" i="3" s="1"/>
  <c r="V55" i="3"/>
  <c r="U55" i="3"/>
  <c r="T55" i="3"/>
  <c r="Y54" i="3"/>
  <c r="Z54" i="3" s="1"/>
  <c r="V54" i="3"/>
  <c r="U54" i="3"/>
  <c r="T54" i="3"/>
  <c r="Y53" i="3"/>
  <c r="Z53" i="3" s="1"/>
  <c r="V53" i="3"/>
  <c r="U53" i="3"/>
  <c r="T53" i="3"/>
  <c r="Y52" i="3"/>
  <c r="Z52" i="3" s="1"/>
  <c r="V52" i="3"/>
  <c r="U52" i="3"/>
  <c r="T52" i="3"/>
  <c r="Y51" i="3"/>
  <c r="Z51" i="3" s="1"/>
  <c r="V51" i="3"/>
  <c r="U51" i="3"/>
  <c r="T51" i="3"/>
  <c r="Y50" i="3"/>
  <c r="Z50" i="3" s="1"/>
  <c r="V50" i="3"/>
  <c r="U50" i="3"/>
  <c r="T50" i="3"/>
  <c r="Y49" i="3"/>
  <c r="Z49" i="3" s="1"/>
  <c r="V49" i="3"/>
  <c r="U49" i="3"/>
  <c r="T49" i="3"/>
  <c r="Y48" i="3"/>
  <c r="Z48" i="3" s="1"/>
  <c r="V48" i="3"/>
  <c r="U48" i="3"/>
  <c r="T48" i="3"/>
  <c r="Y47" i="3"/>
  <c r="Z47" i="3" s="1"/>
  <c r="V47" i="3"/>
  <c r="U47" i="3"/>
  <c r="T47" i="3"/>
  <c r="Y46" i="3"/>
  <c r="Z46" i="3" s="1"/>
  <c r="V46" i="3"/>
  <c r="U46" i="3"/>
  <c r="T46" i="3"/>
  <c r="Y45" i="3"/>
  <c r="Z45" i="3" s="1"/>
  <c r="V45" i="3"/>
  <c r="U45" i="3"/>
  <c r="T45" i="3"/>
  <c r="Y44" i="3"/>
  <c r="Z44" i="3" s="1"/>
  <c r="V44" i="3"/>
  <c r="U44" i="3"/>
  <c r="T44" i="3"/>
  <c r="Y43" i="3"/>
  <c r="Z43" i="3" s="1"/>
  <c r="V43" i="3"/>
  <c r="U43" i="3"/>
  <c r="T43" i="3"/>
  <c r="Y42" i="3"/>
  <c r="Z42" i="3" s="1"/>
  <c r="V42" i="3"/>
  <c r="U42" i="3"/>
  <c r="T42" i="3"/>
  <c r="Y41" i="3"/>
  <c r="Z41" i="3" s="1"/>
  <c r="V41" i="3"/>
  <c r="U41" i="3"/>
  <c r="T41" i="3"/>
  <c r="Y40" i="3"/>
  <c r="Z40" i="3" s="1"/>
  <c r="V40" i="3"/>
  <c r="U40" i="3"/>
  <c r="T40" i="3"/>
  <c r="Y39" i="3"/>
  <c r="Z39" i="3" s="1"/>
  <c r="V39" i="3"/>
  <c r="U39" i="3"/>
  <c r="T39" i="3"/>
  <c r="Y38" i="3"/>
  <c r="Z38" i="3" s="1"/>
  <c r="V38" i="3"/>
  <c r="U38" i="3"/>
  <c r="T38" i="3"/>
  <c r="Y37" i="3"/>
  <c r="Z37" i="3" s="1"/>
  <c r="V37" i="3"/>
  <c r="U37" i="3"/>
  <c r="T37" i="3"/>
  <c r="Y36" i="3"/>
  <c r="Z36" i="3" s="1"/>
  <c r="V36" i="3"/>
  <c r="U36" i="3"/>
  <c r="T36" i="3"/>
  <c r="Y35" i="3"/>
  <c r="Z35" i="3" s="1"/>
  <c r="V35" i="3"/>
  <c r="U35" i="3"/>
  <c r="T35" i="3"/>
  <c r="Y34" i="3"/>
  <c r="Z34" i="3" s="1"/>
  <c r="V34" i="3"/>
  <c r="U34" i="3"/>
  <c r="T34" i="3"/>
  <c r="Y33" i="3"/>
  <c r="Z33" i="3" s="1"/>
  <c r="V33" i="3"/>
  <c r="U33" i="3"/>
  <c r="T33" i="3"/>
  <c r="Y32" i="3"/>
  <c r="Z32" i="3" s="1"/>
  <c r="V32" i="3"/>
  <c r="U32" i="3"/>
  <c r="T32" i="3"/>
  <c r="Y31" i="3"/>
  <c r="Z31" i="3" s="1"/>
  <c r="V31" i="3"/>
  <c r="U31" i="3"/>
  <c r="T31" i="3"/>
  <c r="Y30" i="3"/>
  <c r="Z30" i="3" s="1"/>
  <c r="V30" i="3"/>
  <c r="U30" i="3"/>
  <c r="T30" i="3"/>
  <c r="Y29" i="3"/>
  <c r="Z29" i="3" s="1"/>
  <c r="V29" i="3"/>
  <c r="U29" i="3"/>
  <c r="T29" i="3"/>
  <c r="Y28" i="3"/>
  <c r="Z28" i="3" s="1"/>
  <c r="V28" i="3"/>
  <c r="U28" i="3"/>
  <c r="T28" i="3"/>
  <c r="Y27" i="3"/>
  <c r="Z27" i="3" s="1"/>
  <c r="V27" i="3"/>
  <c r="U27" i="3"/>
  <c r="T27" i="3"/>
  <c r="Y26" i="3"/>
  <c r="Z26" i="3" s="1"/>
  <c r="V26" i="3"/>
  <c r="U26" i="3"/>
  <c r="T26" i="3"/>
  <c r="Y25" i="3"/>
  <c r="Z25" i="3" s="1"/>
  <c r="V25" i="3"/>
  <c r="U25" i="3"/>
  <c r="T25" i="3"/>
  <c r="Y24" i="3"/>
  <c r="Z24" i="3" s="1"/>
  <c r="V24" i="3"/>
  <c r="U24" i="3"/>
  <c r="T24" i="3"/>
  <c r="Y23" i="3"/>
  <c r="Z23" i="3" s="1"/>
  <c r="V23" i="3"/>
  <c r="U23" i="3"/>
  <c r="T23" i="3"/>
  <c r="Y22" i="3"/>
  <c r="Z22" i="3" s="1"/>
  <c r="V22" i="3"/>
  <c r="U22" i="3"/>
  <c r="T22" i="3"/>
  <c r="Y21" i="3"/>
  <c r="Z21" i="3" s="1"/>
  <c r="V21" i="3"/>
  <c r="U21" i="3"/>
  <c r="T21" i="3"/>
  <c r="Y20" i="3"/>
  <c r="Z20" i="3" s="1"/>
  <c r="V20" i="3"/>
  <c r="U20" i="3"/>
  <c r="T20" i="3"/>
  <c r="Y19" i="3"/>
  <c r="Z19" i="3" s="1"/>
  <c r="V19" i="3"/>
  <c r="U19" i="3"/>
  <c r="T19" i="3"/>
  <c r="Y18" i="3"/>
  <c r="Z18" i="3" s="1"/>
  <c r="V18" i="3"/>
  <c r="U18" i="3"/>
  <c r="T18" i="3"/>
  <c r="Y17" i="3"/>
  <c r="Z17" i="3" s="1"/>
  <c r="V17" i="3"/>
  <c r="U17" i="3"/>
  <c r="T17" i="3"/>
  <c r="Y16" i="3"/>
  <c r="Z16" i="3" s="1"/>
  <c r="V16" i="3"/>
  <c r="U16" i="3"/>
  <c r="T16" i="3"/>
  <c r="Y15" i="3"/>
  <c r="Z15" i="3" s="1"/>
  <c r="V15" i="3"/>
  <c r="U15" i="3"/>
  <c r="T15" i="3"/>
  <c r="Y14" i="3"/>
  <c r="Z14" i="3" s="1"/>
  <c r="V14" i="3"/>
  <c r="U14" i="3"/>
  <c r="T14" i="3"/>
  <c r="Y13" i="3"/>
  <c r="Z13" i="3" s="1"/>
  <c r="V13" i="3"/>
  <c r="U13" i="3"/>
  <c r="T13" i="3"/>
  <c r="Y12" i="3"/>
  <c r="Z12" i="3" s="1"/>
  <c r="V12" i="3"/>
  <c r="U12" i="3"/>
  <c r="T12" i="3"/>
  <c r="Y11" i="3"/>
  <c r="Z11" i="3" s="1"/>
  <c r="V11" i="3"/>
  <c r="U11" i="3"/>
  <c r="T11" i="3"/>
  <c r="Y10" i="3"/>
  <c r="Z10" i="3" s="1"/>
  <c r="T10" i="3"/>
  <c r="V10" i="3" s="1"/>
  <c r="Y9" i="3"/>
  <c r="T9" i="3"/>
  <c r="V9" i="3" s="1"/>
  <c r="Y8" i="3"/>
  <c r="Z8" i="3" s="1"/>
  <c r="T8" i="3"/>
  <c r="V8" i="3" s="1"/>
  <c r="Y7" i="3"/>
  <c r="Z7" i="3" s="1"/>
  <c r="T7" i="3"/>
  <c r="V7" i="3" s="1"/>
  <c r="Y6" i="3"/>
  <c r="Z6" i="3" s="1"/>
  <c r="T6" i="3"/>
  <c r="V6" i="3" s="1"/>
  <c r="Y5" i="3"/>
  <c r="Z5" i="3" s="1"/>
  <c r="T5" i="3"/>
  <c r="V5" i="3" s="1"/>
  <c r="V148" i="5" l="1"/>
  <c r="V151" i="5"/>
  <c r="V149" i="5"/>
  <c r="V152" i="5"/>
  <c r="V150" i="5"/>
  <c r="V30" i="6"/>
  <c r="V33" i="6"/>
  <c r="V28" i="6"/>
  <c r="V31" i="6"/>
  <c r="V34" i="6"/>
  <c r="AA25" i="6"/>
  <c r="AA30" i="7"/>
  <c r="AA64" i="5"/>
  <c r="AA143" i="5"/>
  <c r="V145" i="5"/>
  <c r="W147" i="5"/>
  <c r="W144" i="5"/>
  <c r="V143" i="5"/>
  <c r="V146" i="5"/>
  <c r="V21" i="6"/>
  <c r="W28" i="7"/>
  <c r="V23" i="7"/>
  <c r="V22" i="7"/>
  <c r="AA138" i="5"/>
  <c r="W123" i="5"/>
  <c r="V30" i="7"/>
  <c r="AA20" i="6"/>
  <c r="W15" i="7"/>
  <c r="V27" i="7"/>
  <c r="V18" i="7"/>
  <c r="W24" i="6"/>
  <c r="V22" i="6"/>
  <c r="V20" i="6"/>
  <c r="V23" i="6"/>
  <c r="V140" i="5"/>
  <c r="V138" i="5"/>
  <c r="V141" i="5"/>
  <c r="V139" i="5"/>
  <c r="V142" i="5"/>
  <c r="AA29" i="7"/>
  <c r="AA124" i="5"/>
  <c r="AA129" i="5"/>
  <c r="AA132" i="5"/>
  <c r="AA112" i="5"/>
  <c r="AA117" i="5"/>
  <c r="W137" i="5"/>
  <c r="W134" i="5"/>
  <c r="V132" i="5"/>
  <c r="V135" i="5"/>
  <c r="V133" i="5"/>
  <c r="V136" i="5"/>
  <c r="V131" i="5"/>
  <c r="V129" i="5"/>
  <c r="V130" i="5"/>
  <c r="V126" i="5"/>
  <c r="W125" i="5"/>
  <c r="W128" i="5"/>
  <c r="V124" i="5"/>
  <c r="V127" i="5"/>
  <c r="W122" i="5"/>
  <c r="V121" i="5"/>
  <c r="AA110" i="5"/>
  <c r="AA111" i="5"/>
  <c r="AA107" i="5"/>
  <c r="AA108" i="5"/>
  <c r="V33" i="7"/>
  <c r="V31" i="7"/>
  <c r="V29" i="7"/>
  <c r="V32" i="7"/>
  <c r="W26" i="7"/>
  <c r="V24" i="7"/>
  <c r="V21" i="7"/>
  <c r="V20" i="7"/>
  <c r="W16" i="7"/>
  <c r="W12" i="7"/>
  <c r="AA12" i="7"/>
  <c r="AA24" i="7"/>
  <c r="AA9" i="7"/>
  <c r="F23" i="1" s="1"/>
  <c r="AA18" i="7"/>
  <c r="AA26" i="7"/>
  <c r="AA20" i="7"/>
  <c r="AA15" i="7"/>
  <c r="W25" i="7"/>
  <c r="W19" i="7"/>
  <c r="V17" i="7"/>
  <c r="V13" i="7"/>
  <c r="V14" i="7"/>
  <c r="V10" i="7"/>
  <c r="V11" i="7"/>
  <c r="C22" i="1"/>
  <c r="AA8" i="6"/>
  <c r="AA15" i="6"/>
  <c r="AA88" i="5"/>
  <c r="V63" i="5"/>
  <c r="V69" i="5"/>
  <c r="W75" i="5"/>
  <c r="AA71" i="5"/>
  <c r="W72" i="5"/>
  <c r="AA106" i="5"/>
  <c r="AA50" i="5"/>
  <c r="V78" i="5"/>
  <c r="AA83" i="5"/>
  <c r="AA56" i="5"/>
  <c r="AA78" i="5"/>
  <c r="AA46" i="5"/>
  <c r="AA109" i="5"/>
  <c r="AA116" i="5"/>
  <c r="V81" i="5"/>
  <c r="V66" i="5"/>
  <c r="AA63" i="5"/>
  <c r="AA96" i="5"/>
  <c r="AA102" i="5"/>
  <c r="V118" i="5"/>
  <c r="V116" i="5"/>
  <c r="V119" i="5"/>
  <c r="V120" i="5"/>
  <c r="W117" i="5"/>
  <c r="V112" i="5"/>
  <c r="V110" i="5"/>
  <c r="V113" i="5"/>
  <c r="W109" i="5"/>
  <c r="V111" i="5"/>
  <c r="V114" i="5"/>
  <c r="V115" i="5"/>
  <c r="V106" i="5"/>
  <c r="V107" i="5"/>
  <c r="V108" i="5"/>
  <c r="V103" i="5"/>
  <c r="V105" i="5"/>
  <c r="V104" i="5"/>
  <c r="V102" i="5"/>
  <c r="V97" i="5"/>
  <c r="V100" i="5"/>
  <c r="V101" i="5"/>
  <c r="V98" i="5"/>
  <c r="V96" i="5"/>
  <c r="V99" i="5"/>
  <c r="V88" i="5"/>
  <c r="V91" i="5"/>
  <c r="V94" i="5"/>
  <c r="V89" i="5"/>
  <c r="V92" i="5"/>
  <c r="V95" i="5"/>
  <c r="V90" i="5"/>
  <c r="V93" i="5"/>
  <c r="W83" i="5"/>
  <c r="W86" i="5"/>
  <c r="V85" i="5"/>
  <c r="V84" i="5"/>
  <c r="V87" i="5"/>
  <c r="V79" i="5"/>
  <c r="V82" i="5"/>
  <c r="V80" i="5"/>
  <c r="V73" i="5"/>
  <c r="V76" i="5"/>
  <c r="W77" i="5"/>
  <c r="V74" i="5"/>
  <c r="V71" i="5"/>
  <c r="V64" i="5"/>
  <c r="V70" i="5"/>
  <c r="W67" i="5"/>
  <c r="V65" i="5"/>
  <c r="V68" i="5"/>
  <c r="V56" i="5"/>
  <c r="V59" i="5"/>
  <c r="V62" i="5"/>
  <c r="V58" i="5"/>
  <c r="W61" i="5"/>
  <c r="V57" i="5"/>
  <c r="V60" i="5"/>
  <c r="V53" i="5"/>
  <c r="W50" i="5"/>
  <c r="V52" i="5"/>
  <c r="V55" i="5"/>
  <c r="V51" i="5"/>
  <c r="V54" i="5"/>
  <c r="W49" i="5"/>
  <c r="V46" i="5"/>
  <c r="W47" i="5"/>
  <c r="V48" i="5"/>
  <c r="H24" i="8"/>
  <c r="AA35" i="5"/>
  <c r="AA41" i="5"/>
  <c r="V41" i="5"/>
  <c r="V44" i="5"/>
  <c r="V43" i="5"/>
  <c r="V42" i="5"/>
  <c r="V45" i="5"/>
  <c r="V40" i="5"/>
  <c r="W37" i="5"/>
  <c r="V36" i="5"/>
  <c r="V39" i="5"/>
  <c r="V38" i="5"/>
  <c r="AA28" i="5"/>
  <c r="AA5" i="5"/>
  <c r="AA17" i="5"/>
  <c r="AA23" i="5"/>
  <c r="V28" i="5"/>
  <c r="V31" i="5"/>
  <c r="V34" i="5"/>
  <c r="V32" i="5"/>
  <c r="V35" i="5"/>
  <c r="V33" i="5"/>
  <c r="AA11" i="5"/>
  <c r="V9" i="5"/>
  <c r="V5" i="5"/>
  <c r="V26" i="5"/>
  <c r="V29" i="5"/>
  <c r="V30" i="5"/>
  <c r="W27" i="5"/>
  <c r="V24" i="5"/>
  <c r="V25" i="5"/>
  <c r="V23" i="5"/>
  <c r="V21" i="5"/>
  <c r="V22" i="5"/>
  <c r="V20" i="5"/>
  <c r="V19" i="5"/>
  <c r="V17" i="5"/>
  <c r="V18" i="5"/>
  <c r="V14" i="5"/>
  <c r="V12" i="5"/>
  <c r="V15" i="5"/>
  <c r="V13" i="5"/>
  <c r="V16" i="5"/>
  <c r="V10" i="5"/>
  <c r="V8" i="5"/>
  <c r="V11" i="5"/>
  <c r="V6" i="5"/>
  <c r="V7" i="5"/>
  <c r="E22" i="1"/>
  <c r="U5" i="4"/>
  <c r="H20" i="8"/>
  <c r="H21" i="8"/>
  <c r="H25" i="8"/>
  <c r="V6" i="7"/>
  <c r="H18" i="8"/>
  <c r="V9" i="7"/>
  <c r="W8" i="7"/>
  <c r="V7" i="7"/>
  <c r="F16" i="1"/>
  <c r="F13" i="1"/>
  <c r="V5" i="7"/>
  <c r="F22" i="1"/>
  <c r="U9" i="4"/>
  <c r="V13" i="4"/>
  <c r="H28" i="8"/>
  <c r="H26" i="8"/>
  <c r="V11" i="4"/>
  <c r="H22" i="8"/>
  <c r="U14" i="4"/>
  <c r="U17" i="4"/>
  <c r="H19" i="8"/>
  <c r="V15" i="4"/>
  <c r="H17" i="8"/>
  <c r="C88" i="1"/>
  <c r="C45" i="1"/>
  <c r="U19" i="4"/>
  <c r="C54" i="1"/>
  <c r="U10" i="4"/>
  <c r="C56" i="1"/>
  <c r="U12" i="4"/>
  <c r="C48" i="1"/>
  <c r="C72" i="1"/>
  <c r="U16" i="4"/>
  <c r="U18" i="4"/>
  <c r="C40" i="1"/>
  <c r="C32" i="1"/>
  <c r="H9" i="8"/>
  <c r="C24" i="1"/>
  <c r="C64" i="1"/>
  <c r="H23" i="8"/>
  <c r="U7" i="3"/>
  <c r="U5" i="3"/>
  <c r="U9" i="3"/>
  <c r="Z9" i="3"/>
  <c r="B37" i="1" s="1"/>
  <c r="F15" i="1"/>
  <c r="U6" i="3"/>
  <c r="U8" i="3"/>
  <c r="U10" i="3"/>
  <c r="C67" i="1"/>
  <c r="E17" i="1"/>
  <c r="C27" i="1"/>
  <c r="C35" i="1"/>
  <c r="C43" i="1"/>
  <c r="C51" i="1"/>
  <c r="C75" i="1"/>
  <c r="C79" i="1"/>
  <c r="C112" i="1"/>
  <c r="C34" i="1"/>
  <c r="C42" i="1"/>
  <c r="C50" i="1"/>
  <c r="C73" i="1"/>
  <c r="C104" i="1"/>
  <c r="C26" i="1"/>
  <c r="C23" i="1"/>
  <c r="C31" i="1"/>
  <c r="C39" i="1"/>
  <c r="C47" i="1"/>
  <c r="C55" i="1"/>
  <c r="C65" i="1"/>
  <c r="C29" i="1"/>
  <c r="C53" i="1"/>
  <c r="C80" i="1"/>
  <c r="C28" i="1"/>
  <c r="C36" i="1"/>
  <c r="C44" i="1"/>
  <c r="C52" i="1"/>
  <c r="C57" i="1"/>
  <c r="C63" i="1"/>
  <c r="C68" i="1"/>
  <c r="C83" i="1"/>
  <c r="C120" i="1"/>
  <c r="C37" i="1"/>
  <c r="C60" i="1"/>
  <c r="F14" i="1"/>
  <c r="C25" i="1"/>
  <c r="C33" i="1"/>
  <c r="C41" i="1"/>
  <c r="C49" i="1"/>
  <c r="C59" i="1"/>
  <c r="C61" i="1"/>
  <c r="C71" i="1"/>
  <c r="C96" i="1"/>
  <c r="V6" i="4"/>
  <c r="U6" i="4"/>
  <c r="C21" i="1"/>
  <c r="F12" i="1"/>
  <c r="C30" i="1"/>
  <c r="C38" i="1"/>
  <c r="C46" i="1"/>
  <c r="C118" i="1"/>
  <c r="C110" i="1"/>
  <c r="C102" i="1"/>
  <c r="C94" i="1"/>
  <c r="C86" i="1"/>
  <c r="C78" i="1"/>
  <c r="C70" i="1"/>
  <c r="C62" i="1"/>
  <c r="C121" i="1"/>
  <c r="C113" i="1"/>
  <c r="C105" i="1"/>
  <c r="C97" i="1"/>
  <c r="C89" i="1"/>
  <c r="C81" i="1"/>
  <c r="C116" i="1"/>
  <c r="C108" i="1"/>
  <c r="C100" i="1"/>
  <c r="C92" i="1"/>
  <c r="C84" i="1"/>
  <c r="C76" i="1"/>
  <c r="C119" i="1"/>
  <c r="C111" i="1"/>
  <c r="C103" i="1"/>
  <c r="C95" i="1"/>
  <c r="C87" i="1"/>
  <c r="C114" i="1"/>
  <c r="C106" i="1"/>
  <c r="C98" i="1"/>
  <c r="C90" i="1"/>
  <c r="C82" i="1"/>
  <c r="C74" i="1"/>
  <c r="C66" i="1"/>
  <c r="C58" i="1"/>
  <c r="C117" i="1"/>
  <c r="C109" i="1"/>
  <c r="C101" i="1"/>
  <c r="C93" i="1"/>
  <c r="C85" i="1"/>
  <c r="C77" i="1"/>
  <c r="C69" i="1"/>
  <c r="C115" i="1"/>
  <c r="C107" i="1"/>
  <c r="C99" i="1"/>
  <c r="C91" i="1"/>
  <c r="U8" i="4"/>
  <c r="U7" i="4"/>
  <c r="H27" i="8"/>
  <c r="C14" i="1" l="1"/>
  <c r="F13" i="8"/>
  <c r="F12" i="8"/>
  <c r="C15" i="1"/>
  <c r="F4" i="1"/>
  <c r="D13" i="1" s="1"/>
  <c r="E12" i="8"/>
  <c r="F7" i="1"/>
  <c r="F8" i="1"/>
  <c r="F6" i="1"/>
  <c r="E13" i="8"/>
  <c r="E57" i="1"/>
  <c r="E93" i="1"/>
  <c r="F11" i="8"/>
  <c r="B30" i="1"/>
  <c r="B39" i="1"/>
  <c r="B95" i="1"/>
  <c r="B84" i="1"/>
  <c r="E107" i="1"/>
  <c r="B118" i="1"/>
  <c r="B113" i="1"/>
  <c r="B67" i="1"/>
  <c r="F10" i="8"/>
  <c r="D23" i="1"/>
  <c r="D33" i="1"/>
  <c r="F116" i="1"/>
  <c r="F51" i="1"/>
  <c r="F87" i="1"/>
  <c r="F38" i="1"/>
  <c r="F93" i="1"/>
  <c r="F97" i="1"/>
  <c r="F69" i="1"/>
  <c r="F91" i="1"/>
  <c r="F40" i="1"/>
  <c r="F113" i="1"/>
  <c r="F34" i="1"/>
  <c r="F44" i="1"/>
  <c r="F89" i="1"/>
  <c r="F68" i="1"/>
  <c r="F43" i="1"/>
  <c r="F103" i="1"/>
  <c r="F121" i="1"/>
  <c r="F115" i="1"/>
  <c r="F36" i="1"/>
  <c r="F26" i="1"/>
  <c r="F81" i="1"/>
  <c r="F24" i="1"/>
  <c r="F94" i="1"/>
  <c r="F80" i="1"/>
  <c r="F82" i="1"/>
  <c r="F119" i="1"/>
  <c r="F45" i="1"/>
  <c r="F35" i="1"/>
  <c r="F102" i="1"/>
  <c r="F88" i="1"/>
  <c r="F90" i="1"/>
  <c r="F28" i="1"/>
  <c r="F64" i="1"/>
  <c r="F39" i="1"/>
  <c r="F65" i="1"/>
  <c r="F62" i="1"/>
  <c r="F110" i="1"/>
  <c r="F96" i="1"/>
  <c r="F98" i="1"/>
  <c r="F49" i="1"/>
  <c r="F70" i="1"/>
  <c r="F78" i="1"/>
  <c r="F53" i="1"/>
  <c r="F111" i="1"/>
  <c r="F60" i="1"/>
  <c r="F104" i="1"/>
  <c r="F112" i="1"/>
  <c r="F50" i="1"/>
  <c r="F29" i="1"/>
  <c r="F76" i="1"/>
  <c r="F92" i="1"/>
  <c r="F67" i="1"/>
  <c r="F120" i="1"/>
  <c r="F63" i="1"/>
  <c r="F61" i="1"/>
  <c r="F74" i="1"/>
  <c r="F101" i="1"/>
  <c r="F95" i="1"/>
  <c r="F72" i="1"/>
  <c r="F32" i="1"/>
  <c r="F109" i="1"/>
  <c r="F54" i="1"/>
  <c r="F55" i="1"/>
  <c r="F86" i="1"/>
  <c r="F33" i="1"/>
  <c r="F118" i="1"/>
  <c r="F41" i="1"/>
  <c r="F31" i="1"/>
  <c r="F58" i="1"/>
  <c r="F84" i="1"/>
  <c r="F114" i="1"/>
  <c r="F30" i="1"/>
  <c r="F48" i="1"/>
  <c r="F100" i="1"/>
  <c r="F75" i="1"/>
  <c r="F77" i="1"/>
  <c r="F71" i="1"/>
  <c r="F57" i="1"/>
  <c r="F46" i="1"/>
  <c r="F66" i="1"/>
  <c r="F99" i="1"/>
  <c r="F107" i="1"/>
  <c r="F105" i="1"/>
  <c r="F117" i="1"/>
  <c r="F47" i="1"/>
  <c r="F37" i="1"/>
  <c r="F27" i="1"/>
  <c r="F106" i="1"/>
  <c r="F59" i="1"/>
  <c r="F42" i="1"/>
  <c r="F73" i="1"/>
  <c r="F21" i="1"/>
  <c r="F56" i="1"/>
  <c r="F108" i="1"/>
  <c r="F83" i="1"/>
  <c r="F85" i="1"/>
  <c r="F79" i="1"/>
  <c r="F52" i="1"/>
  <c r="F25" i="1"/>
  <c r="B119" i="1"/>
  <c r="B88" i="1"/>
  <c r="B92" i="1"/>
  <c r="B75" i="1"/>
  <c r="B52" i="1"/>
  <c r="B115" i="1"/>
  <c r="B111" i="1"/>
  <c r="B96" i="1"/>
  <c r="B100" i="1"/>
  <c r="B83" i="1"/>
  <c r="B76" i="1"/>
  <c r="B50" i="1"/>
  <c r="B58" i="1"/>
  <c r="B103" i="1"/>
  <c r="B120" i="1"/>
  <c r="B73" i="1"/>
  <c r="B27" i="1"/>
  <c r="B22" i="1"/>
  <c r="B114" i="1"/>
  <c r="B66" i="1"/>
  <c r="B81" i="1"/>
  <c r="B54" i="1"/>
  <c r="B49" i="1"/>
  <c r="B24" i="1"/>
  <c r="B74" i="1"/>
  <c r="B89" i="1"/>
  <c r="B65" i="1"/>
  <c r="B82" i="1"/>
  <c r="B97" i="1"/>
  <c r="B90" i="1"/>
  <c r="B105" i="1"/>
  <c r="B51" i="1"/>
  <c r="B34" i="1"/>
  <c r="B41" i="1"/>
  <c r="B68" i="1"/>
  <c r="B56" i="1"/>
  <c r="B98" i="1"/>
  <c r="B78" i="1"/>
  <c r="B28" i="1"/>
  <c r="B79" i="1"/>
  <c r="B102" i="1"/>
  <c r="B38" i="1"/>
  <c r="B107" i="1"/>
  <c r="B87" i="1"/>
  <c r="B110" i="1"/>
  <c r="B43" i="1"/>
  <c r="B109" i="1"/>
  <c r="E95" i="1"/>
  <c r="E50" i="1"/>
  <c r="E30" i="1"/>
  <c r="E28" i="1"/>
  <c r="E29" i="1"/>
  <c r="E115" i="1"/>
  <c r="E103" i="1"/>
  <c r="E41" i="1"/>
  <c r="E27" i="1"/>
  <c r="E31" i="1"/>
  <c r="E110" i="1"/>
  <c r="E58" i="1"/>
  <c r="E105" i="1"/>
  <c r="E74" i="1"/>
  <c r="E33" i="1"/>
  <c r="E70" i="1"/>
  <c r="E118" i="1"/>
  <c r="E113" i="1"/>
  <c r="E68" i="1"/>
  <c r="E34" i="1"/>
  <c r="E73" i="1"/>
  <c r="E48" i="1"/>
  <c r="E75" i="1"/>
  <c r="E106" i="1"/>
  <c r="E92" i="1"/>
  <c r="E35" i="1"/>
  <c r="E69" i="1"/>
  <c r="E94" i="1"/>
  <c r="E101" i="1"/>
  <c r="E52" i="1"/>
  <c r="E89" i="1"/>
  <c r="E56" i="1"/>
  <c r="E109" i="1"/>
  <c r="E111" i="1"/>
  <c r="E38" i="1"/>
  <c r="E55" i="1"/>
  <c r="E77" i="1"/>
  <c r="E53" i="1"/>
  <c r="E62" i="1"/>
  <c r="E32" i="1"/>
  <c r="E97" i="1"/>
  <c r="E64" i="1"/>
  <c r="E117" i="1"/>
  <c r="E119" i="1"/>
  <c r="E86" i="1"/>
  <c r="E42" i="1"/>
  <c r="E72" i="1"/>
  <c r="E60" i="1"/>
  <c r="E66" i="1"/>
  <c r="E102" i="1"/>
  <c r="E21" i="1"/>
  <c r="E80" i="1"/>
  <c r="E82" i="1"/>
  <c r="E59" i="1"/>
  <c r="E43" i="1"/>
  <c r="E78" i="1"/>
  <c r="E44" i="1"/>
  <c r="E23" i="1"/>
  <c r="E121" i="1"/>
  <c r="E88" i="1"/>
  <c r="E90" i="1"/>
  <c r="E76" i="1"/>
  <c r="E47" i="1"/>
  <c r="E65" i="1"/>
  <c r="E45" i="1"/>
  <c r="E24" i="1"/>
  <c r="E67" i="1"/>
  <c r="E96" i="1"/>
  <c r="E98" i="1"/>
  <c r="E84" i="1"/>
  <c r="E25" i="1"/>
  <c r="E54" i="1"/>
  <c r="E71" i="1"/>
  <c r="E104" i="1"/>
  <c r="E83" i="1"/>
  <c r="E112" i="1"/>
  <c r="E114" i="1"/>
  <c r="E100" i="1"/>
  <c r="E46" i="1"/>
  <c r="E63" i="1"/>
  <c r="E36" i="1"/>
  <c r="E39" i="1"/>
  <c r="E37" i="1"/>
  <c r="E91" i="1"/>
  <c r="E120" i="1"/>
  <c r="E79" i="1"/>
  <c r="E108" i="1"/>
  <c r="E49" i="1"/>
  <c r="E51" i="1"/>
  <c r="E61" i="1"/>
  <c r="E26" i="1"/>
  <c r="E81" i="1"/>
  <c r="E40" i="1"/>
  <c r="E99" i="1"/>
  <c r="E85" i="1"/>
  <c r="E87" i="1"/>
  <c r="E116" i="1"/>
  <c r="D22" i="1"/>
  <c r="D29" i="1"/>
  <c r="D44" i="1"/>
  <c r="D24" i="1"/>
  <c r="D68" i="1"/>
  <c r="D108" i="1"/>
  <c r="D105" i="1"/>
  <c r="D117" i="1"/>
  <c r="D98" i="1"/>
  <c r="D36" i="1"/>
  <c r="D114" i="1"/>
  <c r="D99" i="1"/>
  <c r="D61" i="1"/>
  <c r="D119" i="1"/>
  <c r="D92" i="1"/>
  <c r="D21" i="1"/>
  <c r="D51" i="1"/>
  <c r="D94" i="1"/>
  <c r="D112" i="1"/>
  <c r="D34" i="1"/>
  <c r="D58" i="1"/>
  <c r="D57" i="1"/>
  <c r="D88" i="1"/>
  <c r="D115" i="1"/>
  <c r="E11" i="8"/>
  <c r="D66" i="1"/>
  <c r="D96" i="1"/>
  <c r="D82" i="1"/>
  <c r="D76" i="1"/>
  <c r="D113" i="1"/>
  <c r="D48" i="1"/>
  <c r="D41" i="1"/>
  <c r="D63" i="1"/>
  <c r="D104" i="1"/>
  <c r="D90" i="1"/>
  <c r="D84" i="1"/>
  <c r="D121" i="1"/>
  <c r="D53" i="1"/>
  <c r="D46" i="1"/>
  <c r="D32" i="1"/>
  <c r="D56" i="1"/>
  <c r="D59" i="1"/>
  <c r="D39" i="1"/>
  <c r="D86" i="1"/>
  <c r="D120" i="1"/>
  <c r="D106" i="1"/>
  <c r="D100" i="1"/>
  <c r="D35" i="1"/>
  <c r="D55" i="1"/>
  <c r="D102" i="1"/>
  <c r="D69" i="1"/>
  <c r="D45" i="1"/>
  <c r="D38" i="1"/>
  <c r="D62" i="1"/>
  <c r="D50" i="1"/>
  <c r="D77" i="1"/>
  <c r="D79" i="1"/>
  <c r="D65" i="1"/>
  <c r="D40" i="1"/>
  <c r="D83" i="1"/>
  <c r="D52" i="1"/>
  <c r="D107" i="1"/>
  <c r="D31" i="1"/>
  <c r="D26" i="1"/>
  <c r="D118" i="1"/>
  <c r="D85" i="1"/>
  <c r="D87" i="1"/>
  <c r="D73" i="1"/>
  <c r="D67" i="1"/>
  <c r="D75" i="1"/>
  <c r="D43" i="1"/>
  <c r="D116" i="1"/>
  <c r="D110" i="1"/>
  <c r="D49" i="1"/>
  <c r="D78" i="1"/>
  <c r="D64" i="1"/>
  <c r="D93" i="1"/>
  <c r="D95" i="1"/>
  <c r="D81" i="1"/>
  <c r="D71" i="1"/>
  <c r="D28" i="1"/>
  <c r="D70" i="1"/>
  <c r="D101" i="1"/>
  <c r="D103" i="1"/>
  <c r="D89" i="1"/>
  <c r="D54" i="1"/>
  <c r="D30" i="1"/>
  <c r="D91" i="1"/>
  <c r="D74" i="1"/>
  <c r="D72" i="1"/>
  <c r="D25" i="1"/>
  <c r="D47" i="1"/>
  <c r="D42" i="1"/>
  <c r="D80" i="1"/>
  <c r="D109" i="1"/>
  <c r="D111" i="1"/>
  <c r="D97" i="1"/>
  <c r="D60" i="1"/>
  <c r="D37" i="1"/>
  <c r="D27" i="1"/>
  <c r="E10" i="8"/>
  <c r="G11" i="8"/>
  <c r="D11" i="8"/>
  <c r="B117" i="1"/>
  <c r="B72" i="1"/>
  <c r="B40" i="1"/>
  <c r="B93" i="1"/>
  <c r="B85" i="1"/>
  <c r="C13" i="8"/>
  <c r="B25" i="1"/>
  <c r="B36" i="1"/>
  <c r="B47" i="1"/>
  <c r="B69" i="1"/>
  <c r="B80" i="1"/>
  <c r="B61" i="1"/>
  <c r="B31" i="1"/>
  <c r="B26" i="1"/>
  <c r="B64" i="1"/>
  <c r="B48" i="1"/>
  <c r="B60" i="1"/>
  <c r="B106" i="1"/>
  <c r="B63" i="1"/>
  <c r="B108" i="1"/>
  <c r="B86" i="1"/>
  <c r="B91" i="1"/>
  <c r="B46" i="1"/>
  <c r="B59" i="1"/>
  <c r="B33" i="1"/>
  <c r="B77" i="1"/>
  <c r="B57" i="1"/>
  <c r="B44" i="1"/>
  <c r="B55" i="1"/>
  <c r="B21" i="1"/>
  <c r="B104" i="1"/>
  <c r="B121" i="1"/>
  <c r="B112" i="1"/>
  <c r="B71" i="1"/>
  <c r="B116" i="1"/>
  <c r="B94" i="1"/>
  <c r="B99" i="1"/>
  <c r="B35" i="1"/>
  <c r="B23" i="1"/>
  <c r="B70" i="1"/>
  <c r="B32" i="1"/>
  <c r="B42" i="1"/>
  <c r="B45" i="1"/>
  <c r="B53" i="1"/>
  <c r="B62" i="1"/>
  <c r="I18" i="8"/>
  <c r="J18" i="8" s="1"/>
  <c r="I24" i="8"/>
  <c r="J24" i="8" s="1"/>
  <c r="I26" i="8"/>
  <c r="J26" i="8" s="1"/>
  <c r="G10" i="8"/>
  <c r="I20" i="8"/>
  <c r="K20" i="8" s="1"/>
  <c r="I21" i="8"/>
  <c r="K21" i="8" s="1"/>
  <c r="I22" i="8"/>
  <c r="K22" i="8" s="1"/>
  <c r="I25" i="8"/>
  <c r="J25" i="8" s="1"/>
  <c r="I23" i="8"/>
  <c r="J23" i="8" s="1"/>
  <c r="I17" i="8"/>
  <c r="J17" i="8" s="1"/>
  <c r="I28" i="8"/>
  <c r="K26" i="8"/>
  <c r="I19" i="8"/>
  <c r="J19" i="8" s="1"/>
  <c r="C10" i="8"/>
  <c r="C12" i="8"/>
  <c r="C11" i="8"/>
  <c r="B101" i="1"/>
  <c r="B29" i="1"/>
  <c r="D12" i="8"/>
  <c r="D10" i="8"/>
  <c r="D13" i="8"/>
  <c r="I27" i="8"/>
  <c r="J27" i="8" s="1"/>
  <c r="K25" i="8" l="1"/>
  <c r="J20" i="8"/>
  <c r="C17" i="1"/>
  <c r="H13" i="8"/>
  <c r="H11" i="8"/>
  <c r="J21" i="8"/>
  <c r="K24" i="8"/>
  <c r="K23" i="8"/>
  <c r="D15" i="1"/>
  <c r="D12" i="1"/>
  <c r="D14" i="1"/>
  <c r="D16" i="1"/>
  <c r="K18" i="8"/>
  <c r="K17" i="8"/>
  <c r="J22" i="8"/>
  <c r="K27" i="8"/>
  <c r="K19" i="8"/>
  <c r="H10" i="8"/>
  <c r="H12" i="8"/>
</calcChain>
</file>

<file path=xl/sharedStrings.xml><?xml version="1.0" encoding="utf-8"?>
<sst xmlns="http://schemas.openxmlformats.org/spreadsheetml/2006/main" count="1797" uniqueCount="348">
  <si>
    <t>商品半成品與調理設備應用盤點｜總覽目錄</t>
  </si>
  <si>
    <t>盤點基本資訊（黃底請填寫）</t>
  </si>
  <si>
    <t>本廠總體統計（自動計算）</t>
  </si>
  <si>
    <t>盤點工廠</t>
  </si>
  <si>
    <t>生產總品項數</t>
  </si>
  <si>
    <t>盤點日期</t>
  </si>
  <si>
    <t>半成品總筆數</t>
  </si>
  <si>
    <t>盤點負責人</t>
  </si>
  <si>
    <r>
      <rPr>
        <b/>
        <sz val="10"/>
        <color rgb="FF444441"/>
        <rFont val="Noto Sans CJK SC"/>
        <family val="2"/>
      </rPr>
      <t>資料缺漏</t>
    </r>
    <r>
      <rPr>
        <b/>
        <sz val="10"/>
        <color rgb="FF444441"/>
        <rFont val="微軟正黑體"/>
        <family val="2"/>
        <charset val="136"/>
      </rPr>
      <t>/</t>
    </r>
    <r>
      <rPr>
        <b/>
        <sz val="10"/>
        <color rgb="FF444441"/>
        <rFont val="Noto Sans CJK SC"/>
        <family val="2"/>
      </rPr>
      <t>矛盾筆數</t>
    </r>
  </si>
  <si>
    <t>單一設備依賴筆數</t>
  </si>
  <si>
    <t>免調理半成品筆數</t>
  </si>
  <si>
    <t>商品分類分布</t>
  </si>
  <si>
    <t>分類</t>
  </si>
  <si>
    <t>品項數</t>
  </si>
  <si>
    <t>品項佔比</t>
  </si>
  <si>
    <t>半成品筆數</t>
  </si>
  <si>
    <t>半成品佔比</t>
  </si>
  <si>
    <t>18℃</t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</si>
  <si>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飯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</si>
  <si>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麵</t>
    </r>
  </si>
  <si>
    <r>
      <rPr>
        <sz val="10"/>
        <color rgb="FF444441"/>
        <rFont val="微軟正黑體"/>
        <family val="2"/>
        <charset val="136"/>
      </rPr>
      <t>4℃</t>
    </r>
    <r>
      <rPr>
        <sz val="10"/>
        <color rgb="FF444441"/>
        <rFont val="Noto Sans CJK SC"/>
        <family val="2"/>
      </rPr>
      <t>其他</t>
    </r>
  </si>
  <si>
    <t>冷凍品</t>
  </si>
  <si>
    <t>合計</t>
  </si>
  <si>
    <t>商品目錄（自動列出各分頁不重複品項，勿手動修改）</t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</si>
  <si>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飯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</si>
  <si>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麵</t>
    </r>
  </si>
  <si>
    <r>
      <rPr>
        <b/>
        <sz val="11"/>
        <color rgb="FFFFFFFF"/>
        <rFont val="微軟正黑體"/>
        <family val="2"/>
        <charset val="136"/>
      </rPr>
      <t>4℃</t>
    </r>
    <r>
      <rPr>
        <b/>
        <sz val="11"/>
        <color rgb="FFFFFFFF"/>
        <rFont val="Noto Sans CJK SC"/>
        <family val="2"/>
      </rPr>
      <t>其他</t>
    </r>
  </si>
  <si>
    <t>商品半成品與調理設備應用展開一覽表｜填寫說明</t>
  </si>
  <si>
    <t>目的</t>
  </si>
  <si>
    <t>盤點本廠商品之半成品組成，及各半成品應用之熱調理設備，據以掌握設備應用狀態（初步以「應用半成品數」衡量），並透過風險示警提前辨識設備依賴集中與資料缺漏。本檔為單一工廠使用，每廠一檔。</t>
  </si>
  <si>
    <t>工作表結構</t>
  </si>
  <si>
    <t>分頁歸類原則</t>
  </si>
  <si>
    <t>風險示警邏輯</t>
  </si>
  <si>
    <t>⚠ 資料缺漏（紅）</t>
  </si>
  <si>
    <t>⚠ 勾選矛盾（紅）</t>
  </si>
  <si>
    <t>同時勾選「無使用調理設備」與任一設備欄 → 邏輯矛盾，請擇一修正。</t>
  </si>
  <si>
    <t>▲ 單一設備依賴（黃）</t>
  </si>
  <si>
    <t>○ 免調理（灰藍）</t>
  </si>
  <si>
    <t>已確認不使用任何調理設備之半成品，不列入設備風險評估。</t>
  </si>
  <si>
    <t>設備依賴集中（統計分頁）</t>
  </si>
  <si>
    <t>資料來源建議</t>
  </si>
  <si>
    <t>半成品組成依本廠指示書（規格書）版本填寫，請於「備註」欄註記指示書編號與版本日期，以利追溯與稽核。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</si>
  <si>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18℃</t>
    </r>
  </si>
  <si>
    <t>商品資訊</t>
  </si>
  <si>
    <r>
      <rPr>
        <b/>
        <sz val="12"/>
        <color rgb="FF444441"/>
        <rFont val="Noto Sans CJK SC"/>
        <family val="2"/>
      </rPr>
      <t>熱調理區（使用者填「</t>
    </r>
    <r>
      <rPr>
        <b/>
        <sz val="12"/>
        <color rgb="FF444441"/>
        <rFont val="微軟正黑體"/>
        <family val="2"/>
        <charset val="136"/>
      </rPr>
      <t>V</t>
    </r>
    <r>
      <rPr>
        <b/>
        <sz val="12"/>
        <color rgb="FF444441"/>
        <rFont val="Noto Sans CJK SC"/>
        <family val="2"/>
      </rPr>
      <t>」；免調理者勾最右欄）</t>
    </r>
  </si>
  <si>
    <t>自動計算與風險檢核（勿手動修改）</t>
  </si>
  <si>
    <t>建檔資訊（手填）</t>
  </si>
  <si>
    <t>工廠</t>
  </si>
  <si>
    <r>
      <rPr>
        <b/>
        <sz val="12"/>
        <color rgb="FFFFFFFF"/>
        <rFont val="Noto Sans CJK SC"/>
        <family val="2"/>
      </rPr>
      <t xml:space="preserve">商品分類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細分品類</t>
    </r>
    <r>
      <rPr>
        <b/>
        <sz val="12"/>
        <color rgb="FFFFFFFF"/>
        <rFont val="微軟正黑體"/>
        <family val="2"/>
        <charset val="136"/>
      </rPr>
      <t>)</t>
    </r>
  </si>
  <si>
    <t>商品名稱</t>
  </si>
  <si>
    <t>半成品名稱</t>
  </si>
  <si>
    <t>單位用量</t>
  </si>
  <si>
    <r>
      <rPr>
        <b/>
        <sz val="12"/>
        <color rgb="FFFFFFFF"/>
        <rFont val="Noto Sans CJK SC"/>
        <family val="2"/>
      </rPr>
      <t xml:space="preserve">製程率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填數字</t>
    </r>
    <r>
      <rPr>
        <b/>
        <sz val="12"/>
        <color rgb="FFFFFFFF"/>
        <rFont val="微軟正黑體"/>
        <family val="2"/>
        <charset val="136"/>
      </rPr>
      <t>)</t>
    </r>
  </si>
  <si>
    <t>炊飯</t>
  </si>
  <si>
    <t>煮麵</t>
  </si>
  <si>
    <t>烤箱</t>
  </si>
  <si>
    <t>炙燒</t>
  </si>
  <si>
    <t>蒸箱</t>
  </si>
  <si>
    <t>油炸機</t>
  </si>
  <si>
    <t>二重釜</t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</si>
  <si>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日</t>
    </r>
    <r>
      <rPr>
        <b/>
        <sz val="11"/>
        <color rgb="FFFFFFFF"/>
        <rFont val="微軟正黑體"/>
        <family val="2"/>
        <charset val="136"/>
      </rPr>
      <t>)</t>
    </r>
  </si>
  <si>
    <r>
      <rPr>
        <b/>
        <sz val="11"/>
        <color rgb="FFFFFFFF"/>
        <rFont val="Noto Sans CJK SC"/>
        <family val="2"/>
      </rPr>
      <t xml:space="preserve">平釜
</t>
    </r>
    <r>
      <rPr>
        <b/>
        <sz val="11"/>
        <color rgb="FFFFFFFF"/>
        <rFont val="微軟正黑體"/>
        <family val="2"/>
        <charset val="136"/>
      </rPr>
      <t>(</t>
    </r>
    <r>
      <rPr>
        <b/>
        <sz val="11"/>
        <color rgb="FFFFFFFF"/>
        <rFont val="Noto Sans CJK SC"/>
        <family val="2"/>
      </rPr>
      <t>台</t>
    </r>
    <r>
      <rPr>
        <b/>
        <sz val="11"/>
        <color rgb="FFFFFFFF"/>
        <rFont val="微軟正黑體"/>
        <family val="2"/>
        <charset val="136"/>
      </rPr>
      <t>)</t>
    </r>
  </si>
  <si>
    <t>蛋皮機</t>
  </si>
  <si>
    <t>壓力鍋</t>
  </si>
  <si>
    <t>無使用
調理設備</t>
  </si>
  <si>
    <t>使用
設備數</t>
  </si>
  <si>
    <t>檢核結果</t>
  </si>
  <si>
    <t>風險說明</t>
  </si>
  <si>
    <r>
      <rPr>
        <b/>
        <sz val="12"/>
        <color rgb="FFFFFFFF"/>
        <rFont val="Noto Sans CJK SC"/>
        <family val="2"/>
      </rPr>
      <t xml:space="preserve">備註
</t>
    </r>
    <r>
      <rPr>
        <b/>
        <sz val="12"/>
        <color rgb="FFFFFFFF"/>
        <rFont val="微軟正黑體"/>
        <family val="2"/>
        <charset val="136"/>
      </rPr>
      <t>(</t>
    </r>
    <r>
      <rPr>
        <b/>
        <sz val="12"/>
        <color rgb="FFFFFFFF"/>
        <rFont val="Noto Sans CJK SC"/>
        <family val="2"/>
      </rPr>
      <t>指示書編號</t>
    </r>
    <r>
      <rPr>
        <b/>
        <sz val="12"/>
        <color rgb="FFFFFFFF"/>
        <rFont val="微軟正黑體"/>
        <family val="2"/>
        <charset val="136"/>
      </rPr>
      <t>/</t>
    </r>
    <r>
      <rPr>
        <b/>
        <sz val="12"/>
        <color rgb="FFFFFFFF"/>
        <rFont val="Noto Sans CJK SC"/>
        <family val="2"/>
      </rPr>
      <t>版本</t>
    </r>
    <r>
      <rPr>
        <b/>
        <sz val="12"/>
        <color rgb="FFFFFFFF"/>
        <rFont val="微軟正黑體"/>
        <family val="2"/>
        <charset val="136"/>
      </rPr>
      <t>)</t>
    </r>
  </si>
  <si>
    <t>建檔人員</t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</si>
  <si>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Y</t>
    </r>
  </si>
  <si>
    <r>
      <rPr>
        <sz val="8"/>
        <color rgb="FF808080"/>
        <rFont val="Noto Sans CJK SC"/>
        <family val="2"/>
      </rPr>
      <t>系統用</t>
    </r>
    <r>
      <rPr>
        <sz val="8"/>
        <color rgb="FF808080"/>
        <rFont val="微軟正黑體"/>
        <family val="2"/>
        <charset val="136"/>
      </rPr>
      <t>Z</t>
    </r>
  </si>
  <si>
    <t>數值</t>
  </si>
  <si>
    <t>單位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</si>
  <si>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飯</t>
    </r>
  </si>
  <si>
    <t>公克</t>
  </si>
  <si>
    <t>V</t>
  </si>
  <si>
    <t>例：王小美</t>
  </si>
  <si>
    <t>個</t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</si>
  <si>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麵</t>
    </r>
  </si>
  <si>
    <r>
      <rPr>
        <b/>
        <sz val="18"/>
        <color rgb="FFFFFFFF"/>
        <rFont val="Noto Sans CJK SC"/>
        <family val="2"/>
      </rPr>
      <t>商品半成品與調理設備應用展開一覽表｜</t>
    </r>
    <r>
      <rPr>
        <b/>
        <sz val="18"/>
        <color rgb="FFFFFFFF"/>
        <rFont val="微軟正黑體"/>
        <family val="2"/>
        <charset val="136"/>
      </rPr>
      <t>4℃</t>
    </r>
    <r>
      <rPr>
        <b/>
        <sz val="18"/>
        <color rgb="FFFFFFFF"/>
        <rFont val="Noto Sans CJK SC"/>
        <family val="2"/>
      </rPr>
      <t>其他</t>
    </r>
  </si>
  <si>
    <t>商品半成品與調理設備應用展開一覽表｜冷凍品</t>
  </si>
  <si>
    <t>設備應用統計與風險示警（自動跨分頁彙總，僅藍字參數可調整）</t>
  </si>
  <si>
    <t>風險門檻參數</t>
  </si>
  <si>
    <t>高依賴門檻（佔比 ≥）</t>
  </si>
  <si>
    <r>
      <rPr>
        <sz val="9"/>
        <color rgb="FF808080"/>
        <rFont val="Noto Sans CJK SC"/>
        <family val="2"/>
      </rPr>
      <t>應用半成品數佔全部（五分頁合計）比重達此值 → 高依賴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紅</t>
    </r>
    <r>
      <rPr>
        <sz val="9"/>
        <color rgb="FF808080"/>
        <rFont val="微軟正黑體"/>
        <family val="2"/>
        <charset val="136"/>
      </rPr>
      <t>)</t>
    </r>
  </si>
  <si>
    <t>中度關注門檻（佔比 ≥）</t>
  </si>
  <si>
    <r>
      <rPr>
        <sz val="9"/>
        <color rgb="FF808080"/>
        <rFont val="Noto Sans CJK SC"/>
        <family val="2"/>
      </rPr>
      <t>達此值 → 中度關注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黃</t>
    </r>
    <r>
      <rPr>
        <sz val="9"/>
        <color rgb="FF808080"/>
        <rFont val="微軟正黑體"/>
        <family val="2"/>
        <charset val="136"/>
      </rPr>
      <t>)</t>
    </r>
  </si>
  <si>
    <t>低使用門檻（半成品數 ≤）</t>
  </si>
  <si>
    <r>
      <rPr>
        <sz val="9"/>
        <color rgb="FF808080"/>
        <rFont val="Noto Sans CJK SC"/>
        <family val="2"/>
      </rPr>
      <t>應用數為此值以下 → 閒置確認</t>
    </r>
    <r>
      <rPr>
        <sz val="9"/>
        <color rgb="FF808080"/>
        <rFont val="微軟正黑體"/>
        <family val="2"/>
        <charset val="136"/>
      </rPr>
      <t>(</t>
    </r>
    <r>
      <rPr>
        <sz val="9"/>
        <color rgb="FF808080"/>
        <rFont val="Noto Sans CJK SC"/>
        <family val="2"/>
      </rPr>
      <t>灰</t>
    </r>
    <r>
      <rPr>
        <sz val="9"/>
        <color rgb="FF808080"/>
        <rFont val="微軟正黑體"/>
        <family val="2"/>
        <charset val="136"/>
      </rPr>
      <t>)</t>
    </r>
  </si>
  <si>
    <t>各分頁半成品筆數與資料品質</t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</si>
  <si>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飯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</si>
  <si>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麵</t>
    </r>
  </si>
  <si>
    <r>
      <rPr>
        <b/>
        <sz val="10"/>
        <color rgb="FFFFFFFF"/>
        <rFont val="微軟正黑體"/>
        <family val="2"/>
        <charset val="136"/>
      </rPr>
      <t>4℃</t>
    </r>
    <r>
      <rPr>
        <b/>
        <sz val="10"/>
        <color rgb="FFFFFFFF"/>
        <rFont val="Noto Sans CJK SC"/>
        <family val="2"/>
      </rPr>
      <t>其他</t>
    </r>
  </si>
  <si>
    <t>資料缺漏筆數</t>
  </si>
  <si>
    <t>勾選矛盾筆數</t>
  </si>
  <si>
    <t>免調理筆數</t>
  </si>
  <si>
    <r>
      <rPr>
        <b/>
        <sz val="11"/>
        <color rgb="FF444441"/>
        <rFont val="Noto Sans CJK SC"/>
        <family val="2"/>
      </rPr>
      <t xml:space="preserve">設備 </t>
    </r>
    <r>
      <rPr>
        <b/>
        <sz val="11"/>
        <color rgb="FF444441"/>
        <rFont val="微軟正黑體"/>
        <family val="2"/>
        <charset val="136"/>
      </rPr>
      <t xml:space="preserve">× </t>
    </r>
    <r>
      <rPr>
        <b/>
        <sz val="11"/>
        <color rgb="FF444441"/>
        <rFont val="Noto Sans CJK SC"/>
        <family val="2"/>
      </rPr>
      <t>分類 應用半成品數交叉統計與風險示警</t>
    </r>
  </si>
  <si>
    <t>設備名稱</t>
  </si>
  <si>
    <t>佔全部比重</t>
  </si>
  <si>
    <t>風險等級</t>
  </si>
  <si>
    <r>
      <rPr>
        <b/>
        <sz val="10"/>
        <color rgb="FFFFFFFF"/>
        <rFont val="Noto Sans CJK SC"/>
        <family val="2"/>
      </rPr>
      <t xml:space="preserve">風險說明 </t>
    </r>
    <r>
      <rPr>
        <b/>
        <sz val="10"/>
        <color rgb="FFFFFFFF"/>
        <rFont val="微軟正黑體"/>
        <family val="2"/>
        <charset val="136"/>
      </rPr>
      <t xml:space="preserve">/ </t>
    </r>
    <r>
      <rPr>
        <b/>
        <sz val="10"/>
        <color rgb="FFFFFFFF"/>
        <rFont val="Noto Sans CJK SC"/>
        <family val="2"/>
      </rPr>
      <t>建議行動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</si>
  <si>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日</t>
    </r>
    <r>
      <rPr>
        <sz val="10"/>
        <color rgb="FF444441"/>
        <rFont val="微軟正黑體"/>
        <family val="2"/>
        <charset val="136"/>
      </rPr>
      <t>)</t>
    </r>
  </si>
  <si>
    <r>
      <rPr>
        <sz val="10"/>
        <color rgb="FF444441"/>
        <rFont val="Noto Sans CJK SC"/>
        <family val="2"/>
      </rPr>
      <t>平釜</t>
    </r>
    <r>
      <rPr>
        <sz val="10"/>
        <color rgb="FF444441"/>
        <rFont val="微軟正黑體"/>
        <family val="2"/>
        <charset val="136"/>
      </rPr>
      <t>(</t>
    </r>
    <r>
      <rPr>
        <sz val="10"/>
        <color rgb="FF444441"/>
        <rFont val="Noto Sans CJK SC"/>
        <family val="2"/>
      </rPr>
      <t>台</t>
    </r>
    <r>
      <rPr>
        <sz val="10"/>
        <color rgb="FF444441"/>
        <rFont val="微軟正黑體"/>
        <family val="2"/>
        <charset val="136"/>
      </rPr>
      <t>)</t>
    </r>
  </si>
  <si>
    <t>無使用調理設備</t>
  </si>
  <si>
    <t>—</t>
  </si>
  <si>
    <r>
      <rPr>
        <sz val="9"/>
        <color rgb="FF444441"/>
        <rFont val="Noto Sans CJK SC"/>
        <family val="2"/>
      </rPr>
      <t>免調理半成品（外購</t>
    </r>
    <r>
      <rPr>
        <sz val="9"/>
        <color rgb="FF444441"/>
        <rFont val="微軟正黑體"/>
        <family val="2"/>
        <charset val="136"/>
      </rPr>
      <t>/</t>
    </r>
    <r>
      <rPr>
        <sz val="9"/>
        <color rgb="FF444441"/>
        <rFont val="Noto Sans CJK SC"/>
        <family val="2"/>
      </rPr>
      <t>僅切配等），不列入設備風險評估</t>
    </r>
  </si>
  <si>
    <t>1140514明太子龍蝦風味沙拉飯糰.確認版(7)E02切換gkk</t>
  </si>
  <si>
    <t>填寫字體規範「微軟正黑體」，字體大小「10」號</t>
    <phoneticPr fontId="26" type="noConversion"/>
  </si>
  <si>
    <t>「總覽」＝本廠盤點資訊與商品目錄；盤點明細依溫層分 5 個分頁：「18℃」「4℃飯」「4℃麵」「4℃其他」「冷凍品」，欄位結構完全一致；「設備應用統計」自動跨分頁彙總，勿手動修改（藍字參數除外）。</t>
  </si>
  <si>
    <t>商品依販售溫層與品類歸入對應分頁；同一商品的所有半成品填在同一分頁。分頁內的「商品分類」欄可再填細分品類（如飯糰、壽司、便當、涼麵、甜點等）。</t>
    <phoneticPr fontId="26" type="noConversion"/>
  </si>
  <si>
    <t>填寫規則 1</t>
  </si>
  <si>
    <t>填寫規則 2</t>
  </si>
  <si>
    <t>每一列代表「一個商品 × 一項半成品」。同一商品有 3 項半成品即填 3 列，且每列的工廠、商品名稱都要填（勿留空、勿合併儲存格），統計公式才能正確計算。</t>
  </si>
  <si>
    <t>填寫規則 3</t>
  </si>
  <si>
    <t>設備欄位（炊飯～壓力鍋共 11 項）：該半成品有使用者，於對應欄位下拉選「V」。若半成品完全不經過任何調理設備（外購即食、僅切配等），請於「無使用調理設備」欄選「V」，不可與設備欄同時勾選。</t>
  </si>
  <si>
    <t>填寫規則 4</t>
  </si>
  <si>
    <t>單位用量分兩欄：「數值」填數字、「單位」下拉選公克或個。製程率直接填數字（如 92），系統自動顯示為 92%。尚未確認者可先留白，不影響設備統計。</t>
  </si>
  <si>
    <t>填寫規則 5</t>
  </si>
  <si>
    <t>每列須填「建檔人員」（X欄），作為資料異常時的追溯與確認窗口；「備註」欄請註記指示書編號與版本日期。</t>
  </si>
  <si>
    <t>填寫規則 6</t>
    <phoneticPr fontId="26" type="noConversion"/>
  </si>
  <si>
    <t>各分頁 Y、Z 為系統用隱藏欄（供總覽目錄與品項數計算），請勿刪除或修改。</t>
  </si>
  <si>
    <t>門檻可於「設備應用統計」C3:C5 藍字儲存格調整。檢核結果共五種狀態：</t>
  </si>
  <si>
    <t>半成品已填名稱，但 11 個設備欄與「無使用調理設備」皆未勾選 → 須補填，或確認為免調理並勾選「無使用調理設備」。</t>
  </si>
  <si>
    <t>半成品僅使用 1 台設備 → 該設備故障或排修時無替代製程，須確認備援方案。</t>
  </si>
  <si>
    <r>
      <t>應用半成品數 ÷ 全部半成品數（五分頁合計）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30% → 高依賴（紅）；</t>
    </r>
    <r>
      <rPr>
        <sz val="10"/>
        <color rgb="FF444441"/>
        <rFont val="Noto Sans CJK SC"/>
        <family val="2"/>
      </rPr>
      <t>≥</t>
    </r>
    <r>
      <rPr>
        <sz val="10"/>
        <color rgb="FF444441"/>
        <rFont val="微軟正黑體"/>
        <family val="2"/>
        <charset val="136"/>
      </rPr>
      <t xml:space="preserve"> 15% → 中度關注（黃）；= 0 → 閒置確認（灰）；其餘正常（綠）。</t>
    </r>
  </si>
  <si>
    <t>1140514蔬咖哩飯.確認版(1)</t>
    <phoneticPr fontId="26" type="noConversion"/>
  </si>
  <si>
    <t>長家</t>
  </si>
  <si>
    <t>滷-白花菜</t>
  </si>
  <si>
    <t>滷-切片高麗菜</t>
  </si>
  <si>
    <t>滷味-湯凍</t>
  </si>
  <si>
    <t>小滷青蔬</t>
    <phoneticPr fontId="26" type="noConversion"/>
  </si>
  <si>
    <t>拌青醬起司球</t>
  </si>
  <si>
    <t>煮香料蕃茄丁</t>
  </si>
  <si>
    <t>香濃起司馬鈴薯</t>
    <phoneticPr fontId="26" type="noConversion"/>
  </si>
  <si>
    <t>烤香料馬鈴薯</t>
  </si>
  <si>
    <t>瀝-玉米粒</t>
  </si>
  <si>
    <t>焗烤起司雙饗筆尖麵</t>
    <phoneticPr fontId="26" type="noConversion"/>
  </si>
  <si>
    <t>義麵-蛋黃白醬(113年)</t>
  </si>
  <si>
    <t>混-黑胡椒洋香菜葉</t>
  </si>
  <si>
    <t>義式蕃茄起司義大利麵</t>
    <phoneticPr fontId="26" type="noConversion"/>
  </si>
  <si>
    <t>義麵-經典肉醬(114年)</t>
  </si>
  <si>
    <t>鮮食雙色起司絲</t>
  </si>
  <si>
    <t xml:space="preserve">洋香菜葉KU </t>
  </si>
  <si>
    <t>奶油培根義大利麵</t>
  </si>
  <si>
    <t>奶香白醬</t>
  </si>
  <si>
    <t>切-烤重煙燻培根片(湖)15mm</t>
  </si>
  <si>
    <t>洋香菜葉KU</t>
  </si>
  <si>
    <t>紅切達起司絲</t>
  </si>
  <si>
    <t>青花椒麻雞肉拌麵</t>
    <phoneticPr fontId="26" type="noConversion"/>
  </si>
  <si>
    <t>煮青花椒湯凍(114年)</t>
  </si>
  <si>
    <t>川燙油菜</t>
  </si>
  <si>
    <t>6切-烤調色青花椒棒腿肉</t>
  </si>
  <si>
    <t>川燙青紅辣椒圓片</t>
  </si>
  <si>
    <t>煮日製義大利麵(115)</t>
  </si>
  <si>
    <t>(V)義麵-金沙奶醬(115年)</t>
  </si>
  <si>
    <t>烤12切豆腐</t>
  </si>
  <si>
    <t>烤帶皮南瓜丁</t>
  </si>
  <si>
    <t>蒸鹹蛋黃碎</t>
  </si>
  <si>
    <t>金沙豆腐義大利麵</t>
    <phoneticPr fontId="26" type="noConversion"/>
  </si>
  <si>
    <t>解凍黑胡椒燻豬腿肉(湖)</t>
  </si>
  <si>
    <t>煮Pazar細扁麵</t>
  </si>
  <si>
    <t>義麵-粉紅辣味奶醬</t>
  </si>
  <si>
    <t>帕瑪森乾酪粉(500g)</t>
  </si>
  <si>
    <t>川燙9號蝦</t>
  </si>
  <si>
    <t>解凍-辛子明太子醬</t>
  </si>
  <si>
    <t>清洗蔥花</t>
  </si>
  <si>
    <t>奶油鮮蝦明太子細扁麵</t>
    <phoneticPr fontId="26" type="noConversion"/>
  </si>
  <si>
    <t>義麵-海鮮湯凍(115年)</t>
  </si>
  <si>
    <t>蒸蛤蜊-肉(112年)</t>
  </si>
  <si>
    <t>川燙青花菜(N7)</t>
  </si>
  <si>
    <t>(殺菌)AD辣椒圈</t>
  </si>
  <si>
    <t>白酒清炒鮮蛤義大利麵</t>
    <phoneticPr fontId="26" type="noConversion"/>
  </si>
  <si>
    <t>沙茶豬肉炒麵</t>
    <phoneticPr fontId="26" type="noConversion"/>
  </si>
  <si>
    <t>煮調色蒜味燴汁湯凍</t>
  </si>
  <si>
    <t>炒沙茶炒麵</t>
  </si>
  <si>
    <t>113年煮沙茶炒麵湯凍</t>
  </si>
  <si>
    <t>113年炒沙茶豬肉片</t>
  </si>
  <si>
    <t>炒高麗菜紅蘿蔔絲</t>
  </si>
  <si>
    <t>炒沙茶醬</t>
  </si>
  <si>
    <t>油炒辣椒圈</t>
  </si>
  <si>
    <t>煮鹽水意麵</t>
  </si>
  <si>
    <t>煮意麵肉燥</t>
  </si>
  <si>
    <t>切蒸前腿肉</t>
  </si>
  <si>
    <t>對切滷蛋</t>
  </si>
  <si>
    <t>蒸4切濾黃金豆腐</t>
  </si>
  <si>
    <t>混拌浪花麵</t>
  </si>
  <si>
    <t>府城鹽水意麵</t>
    <phoneticPr fontId="26" type="noConversion"/>
  </si>
  <si>
    <t>青醬蛤蜊義大利麵</t>
    <phoneticPr fontId="26" type="noConversion"/>
  </si>
  <si>
    <t>煮日製義大利麵(108)</t>
  </si>
  <si>
    <t>義麵-奶青醬(114年)</t>
  </si>
  <si>
    <t>蒸-花蛤肉</t>
  </si>
  <si>
    <t>香煎魚排佐檸檬奶油義大利麵</t>
    <phoneticPr fontId="26" type="noConversion"/>
  </si>
  <si>
    <t>檸檬奶油醬</t>
  </si>
  <si>
    <t>烤-巴沙魚排</t>
  </si>
  <si>
    <t>煮土耳其筆尖麵(113年)</t>
  </si>
  <si>
    <t>解凍黑胡椒燻豬腿肉</t>
  </si>
  <si>
    <t>烤重煙燻培根絲</t>
  </si>
  <si>
    <t>切焗烤起司</t>
  </si>
  <si>
    <t>(V)義麵-松露野菇白醬</t>
  </si>
  <si>
    <t>(V)炒切片杏鮑菇(115年)</t>
  </si>
  <si>
    <t>(V)炒洋菇片</t>
  </si>
  <si>
    <t>(V)炒-切香菇片</t>
  </si>
  <si>
    <t>川燙紅甜椒丁</t>
  </si>
  <si>
    <t>拆罐-Coccia素松露醬</t>
  </si>
  <si>
    <t>冷麵-鮮奶油白醬醬杯</t>
  </si>
  <si>
    <t>混拌-青醬1.2mm義大利麵</t>
  </si>
  <si>
    <t>清洗紅蘿蔔絲</t>
  </si>
  <si>
    <t>清洗紫高麗菜絲</t>
  </si>
  <si>
    <t>混拌玉米美乃滋鮪魚</t>
  </si>
  <si>
    <t>川燙青花菜</t>
  </si>
  <si>
    <t>義式蛋蛋青醬鮪魚冷義大利麵</t>
    <phoneticPr fontId="26" type="noConversion"/>
  </si>
  <si>
    <t xml:space="preserve">	鮮食雙色起司絲</t>
  </si>
  <si>
    <t>炒-煮蕃茄牛絞肉(114年)</t>
  </si>
  <si>
    <t>蒜香奶油蝦蝦義大利麵</t>
    <phoneticPr fontId="26" type="noConversion"/>
  </si>
  <si>
    <t>義麵-蒜味蝦醬(115年)</t>
  </si>
  <si>
    <t>混蒜酥洋香菜(114年)</t>
  </si>
  <si>
    <t>炒奶油蒜味蝦仁(9號)</t>
  </si>
  <si>
    <t>蕃茄莎莎海鮮冷義大利麵</t>
    <phoneticPr fontId="26" type="noConversion"/>
  </si>
  <si>
    <t>蕃茄莎莎醬杯(115)</t>
  </si>
  <si>
    <t>煮1.2mm義大利麵(115)</t>
  </si>
  <si>
    <t>透明湯凍</t>
  </si>
  <si>
    <t>川燙9號蝦仁</t>
  </si>
  <si>
    <t>川燙-切紅黃甜椒絲</t>
  </si>
  <si>
    <t>羅馬黑胡椒起司義大利麵</t>
    <phoneticPr fontId="26" type="noConversion"/>
  </si>
  <si>
    <t>義麵-培根起司奶醬</t>
  </si>
  <si>
    <t>煙燻原味乾酪絲</t>
  </si>
  <si>
    <t>B0012AT6118粗粒黑胡椒AF</t>
  </si>
  <si>
    <t>鱈魚佐粉紅青醬筆尖麵</t>
    <phoneticPr fontId="26" type="noConversion"/>
  </si>
  <si>
    <t>煮土耳其筆尖麵(115年)</t>
  </si>
  <si>
    <t>義麵-橄欖酸豆紅醬</t>
  </si>
  <si>
    <t>煮自製青醬</t>
  </si>
  <si>
    <t>蒸去骨鱈魚切片</t>
  </si>
  <si>
    <t>韓式炒冬粉</t>
  </si>
  <si>
    <t>炒韓式冬粉</t>
  </si>
  <si>
    <t>炒韓式雜菜</t>
  </si>
  <si>
    <t>調理包-韓式芝麻湯凍</t>
  </si>
  <si>
    <t>川燙-玉米筍塊</t>
  </si>
  <si>
    <t>川燙-切段油菜</t>
  </si>
  <si>
    <t>川燙-扇形紅蘿蔔片</t>
  </si>
  <si>
    <t>川燙-青花菜</t>
  </si>
  <si>
    <t>調理包-起司醬</t>
  </si>
  <si>
    <t>奶油蘑菇培根義大利麵</t>
    <phoneticPr fontId="26" type="noConversion"/>
  </si>
  <si>
    <t>冷凍義麵-白醬</t>
  </si>
  <si>
    <t>瀝-洋菇</t>
  </si>
  <si>
    <t>煮日製義大利麵(冷凍)</t>
  </si>
  <si>
    <t>蒸蛤蜊-肉</t>
  </si>
  <si>
    <t>冷凍義麵-青醬(112)</t>
  </si>
  <si>
    <t>剝皮辣椒細扁麵</t>
    <phoneticPr fontId="26" type="noConversion"/>
  </si>
  <si>
    <t>油炒剝皮辣椒段</t>
  </si>
  <si>
    <t>義麵-剝皮辣椒奶醬</t>
  </si>
  <si>
    <t>煮Pazar細扁麵(冷凍)</t>
  </si>
  <si>
    <t>清炒蛤蜊義大利麵</t>
    <phoneticPr fontId="26" type="noConversion"/>
  </si>
  <si>
    <t>義麵-海鮮湯凍(113年)</t>
  </si>
  <si>
    <t>煮日製1.4義大利麵(冷凍)</t>
  </si>
  <si>
    <t>經典肉醬義大利麵</t>
    <phoneticPr fontId="26" type="noConversion"/>
  </si>
  <si>
    <t>冷凍義麵-肉醬</t>
  </si>
  <si>
    <t>辣蕃茄義大利麵</t>
    <phoneticPr fontId="26" type="noConversion"/>
  </si>
  <si>
    <t>冷凍義麵-辣蕃茄調理醬</t>
  </si>
  <si>
    <t>瀝-煮蕃茄丁</t>
  </si>
  <si>
    <t>(V)炒-醃漬蕃茄</t>
  </si>
  <si>
    <t>濃郁牛肉肉醬義大利麵</t>
    <phoneticPr fontId="26" type="noConversion"/>
  </si>
  <si>
    <t>義麵-濃郁牛肉醬</t>
  </si>
  <si>
    <t>韓式起司義大利麵</t>
    <phoneticPr fontId="26" type="noConversion"/>
  </si>
  <si>
    <t>韓式辣奶油醬</t>
  </si>
  <si>
    <t>2026.7.22</t>
    <phoneticPr fontId="26" type="noConversion"/>
  </si>
  <si>
    <t>朱笠揚</t>
    <phoneticPr fontId="26" type="noConversion"/>
  </si>
  <si>
    <t>義大利麵</t>
    <phoneticPr fontId="26" type="noConversion"/>
  </si>
  <si>
    <t>(V)冷凍義麵-松露野菇白醬</t>
  </si>
  <si>
    <t>1150826(冷凍)-(奶)黑松露野菇義大利麵.確認版-A01.xlsx</t>
  </si>
  <si>
    <t>莊子儀</t>
    <phoneticPr fontId="26" type="noConversion"/>
  </si>
  <si>
    <t>煮日製1.4義大利麵(115)</t>
  </si>
  <si>
    <t>義麵-白蘭地蒜醬</t>
  </si>
  <si>
    <t>炒切片杏鮑菇(115年)</t>
  </si>
  <si>
    <t>切-桃木燻鴨腿排</t>
  </si>
  <si>
    <t xml:space="preserve">	(殺菌)AD辣椒圈</t>
  </si>
  <si>
    <t>燻鴨佐白蘭地義大利麵</t>
    <phoneticPr fontId="26" type="noConversion"/>
  </si>
  <si>
    <t>1150946燻鴨白蘭地義大利麵.試產版.xlsx</t>
  </si>
  <si>
    <t>莊子儀</t>
    <phoneticPr fontId="26" type="noConversion"/>
  </si>
  <si>
    <t>拿坡里燻腸義大利麵</t>
    <phoneticPr fontId="26" type="noConversion"/>
  </si>
  <si>
    <t>炒-拿坡里拌麵</t>
  </si>
  <si>
    <t>拿坡里紅醬(新版)</t>
  </si>
  <si>
    <t>新精選雙色起司絲</t>
  </si>
  <si>
    <t>10切-厚實脆皮德腸</t>
  </si>
  <si>
    <t>1150909拿坡里燻腸義大利麵.確認版(1)-A01.xlsx</t>
    <phoneticPr fontId="26" type="noConversion"/>
  </si>
  <si>
    <t>炒-起司奶醬麵</t>
  </si>
  <si>
    <t>義麵-培根起司奶醬RN</t>
  </si>
  <si>
    <t>迷你蛋黃造型調製品</t>
  </si>
  <si>
    <t>卡波納拉義大利麵</t>
    <phoneticPr fontId="26" type="noConversion"/>
  </si>
  <si>
    <t>1151014 卡波納拉義大利麵-試產版.xlsx</t>
  </si>
  <si>
    <t>1151014義式蒜香鮮蝦義大利麵.試產版.xlsx</t>
  </si>
  <si>
    <t>炒-蒜油麵</t>
  </si>
  <si>
    <t>義麵-蒜味鮮蝦醬</t>
  </si>
  <si>
    <t>炒開背鳳尾蝦仁</t>
  </si>
  <si>
    <t>炸蒜酥-蒜酥(114年)</t>
  </si>
  <si>
    <t>義式蒜香鮮蝦義大利麵</t>
    <phoneticPr fontId="26" type="noConversion"/>
  </si>
  <si>
    <t>煮台製1.7義大利麵</t>
  </si>
  <si>
    <t>義麵-蘑菇洋蔥肉醬</t>
  </si>
  <si>
    <t>蕃茄蘑菇義大利麵</t>
    <phoneticPr fontId="26" type="noConversion"/>
  </si>
  <si>
    <t>1150805蕃茄蘑菇義大利麵.試產版(1).xlsx</t>
  </si>
  <si>
    <t>1151028(蔬食)麻婆豆腐波浪麵.試產版(2) -豆腐改雙圈.xlsx</t>
  </si>
  <si>
    <t>煮浪花麵(115年)</t>
  </si>
  <si>
    <t>(V)煮麻婆燴汁(115年)</t>
  </si>
  <si>
    <t>(V)煮麻婆豆腐(115年)</t>
  </si>
  <si>
    <t>(V)香料辣油</t>
  </si>
  <si>
    <t>(V)水煮毛豆仁</t>
  </si>
  <si>
    <t>(V)炒辣椒圓片</t>
  </si>
  <si>
    <t>麻婆豆腐波浪麵</t>
  </si>
  <si>
    <t>熱食義麵</t>
  </si>
  <si>
    <t>季節調理麵</t>
  </si>
  <si>
    <t>奶油培根義大利麵</t>
    <phoneticPr fontId="26" type="noConversion"/>
  </si>
  <si>
    <t>5切原味溏心蛋</t>
  </si>
  <si>
    <t>焗烤-蕃茄紅醬(115年)</t>
  </si>
  <si>
    <t>焗烤起司片(115年)</t>
  </si>
  <si>
    <t>炒蕃茄絞肉</t>
  </si>
  <si>
    <t>焗烤起司肉醬筆尖麵</t>
  </si>
  <si>
    <t>1151118焗烤起司肉醬筆尖麵.試產版.xlsx</t>
  </si>
  <si>
    <t>小吃</t>
    <phoneticPr fontId="26" type="noConversion"/>
  </si>
  <si>
    <t>煮小寬粉</t>
  </si>
  <si>
    <t>蒜頭酥</t>
  </si>
  <si>
    <t>炒椒鹽蔥料</t>
  </si>
  <si>
    <t>調理包-蒜蓉醬</t>
  </si>
  <si>
    <t>1151028 蒜蓉鮮蝦小寬粉-試產版.xlsx</t>
  </si>
  <si>
    <t>莊子儀</t>
    <phoneticPr fontId="26" type="noConversion"/>
  </si>
  <si>
    <t>麻婆豆腐波浪麵</t>
    <phoneticPr fontId="26" type="noConversion"/>
  </si>
  <si>
    <t>焦糖拿鐵烤雞細扁麵</t>
  </si>
  <si>
    <t>Pazar細扁麵</t>
  </si>
  <si>
    <t>義麵-拿鐵醬</t>
  </si>
  <si>
    <t>5切-烤調味雞腿排</t>
  </si>
  <si>
    <t>1150610焦糖拿鐵烤雞細扁麵.確認版(1)-A01.xlsx</t>
  </si>
  <si>
    <t>解凍麻辣雞心(肉雞心)</t>
  </si>
  <si>
    <t>1150617 麻辣雞心(肉雞心)-確認版(1)-A01.xlsx</t>
  </si>
  <si>
    <t>麻辣雞心</t>
    <phoneticPr fontId="26" type="noConversion"/>
  </si>
  <si>
    <t>黑松露野菇義大利麵</t>
    <phoneticPr fontId="26" type="noConversion"/>
  </si>
  <si>
    <t>(冷凍)黑松露野菇義大利麵</t>
    <phoneticPr fontId="26" type="noConversion"/>
  </si>
  <si>
    <t>台式蒜味小寬粉</t>
  </si>
  <si>
    <t>狀態</t>
    <phoneticPr fontId="26" type="noConversion"/>
  </si>
  <si>
    <t>下架</t>
  </si>
  <si>
    <t>架上</t>
  </si>
  <si>
    <t>待上架</t>
  </si>
  <si>
    <t>-</t>
    <phoneticPr fontId="26" type="noConversion"/>
  </si>
  <si>
    <t>焗烤-培根起司白醬</t>
  </si>
  <si>
    <t>烤焗起司片(115年)</t>
  </si>
  <si>
    <t>亞斯阿格乾酪絲</t>
  </si>
  <si>
    <t>洋香菜葉 KU</t>
  </si>
  <si>
    <t>四種起司焗烤筆尖麵</t>
  </si>
  <si>
    <t>1151125 四種起司焗烤筆尖麵-試產版.xlsx</t>
  </si>
  <si>
    <t>鮮食雙色起司絲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</si>
</sst>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%"/>
    <numFmt numFmtId="177" formatCode="0.0\%"/>
    <numFmt xmlns="http://schemas.openxmlformats.org/spreadsheetml/2006/main" numFmtId="178" formatCode="0"/>
  </numFmts>
  <fonts count="36">
    <font>
      <sz val="11"/>
      <color theme="1"/>
      <name val="Calibri"/>
      <family val="2"/>
      <charset val="1"/>
    </font>
    <font>
      <b/>
      <sz val="18"/>
      <color rgb="FFFFFFFF"/>
      <name val="Noto Sans CJK SC"/>
      <family val="2"/>
    </font>
    <font>
      <b/>
      <sz val="12"/>
      <color rgb="FF444441"/>
      <name val="Noto Sans CJK SC"/>
      <family val="2"/>
    </font>
    <font>
      <b/>
      <sz val="10"/>
      <color rgb="FF444441"/>
      <name val="Noto Sans CJK SC"/>
      <family val="2"/>
    </font>
    <font>
      <sz val="10"/>
      <color rgb="FF444441"/>
      <name val="微軟正黑體"/>
      <family val="2"/>
      <charset val="136"/>
    </font>
    <font>
      <b/>
      <sz val="11"/>
      <color rgb="FF444441"/>
      <name val="微軟正黑體"/>
      <family val="2"/>
      <charset val="136"/>
    </font>
    <font>
      <b/>
      <sz val="10"/>
      <color rgb="FF444441"/>
      <name val="微軟正黑體"/>
      <family val="2"/>
      <charset val="136"/>
    </font>
    <font>
      <b/>
      <sz val="10"/>
      <color rgb="FFFFFFFF"/>
      <name val="Noto Sans CJK SC"/>
      <family val="2"/>
    </font>
    <font>
      <sz val="10"/>
      <color rgb="FF444441"/>
      <name val="Noto Sans CJK SC"/>
      <family val="2"/>
    </font>
    <font>
      <b/>
      <sz val="11"/>
      <color rgb="FFFFFFFF"/>
      <name val="微軟正黑體"/>
      <family val="2"/>
      <charset val="136"/>
    </font>
    <font>
      <b/>
      <sz val="11"/>
      <color rgb="FFFFFFFF"/>
      <name val="Noto Sans CJK SC"/>
      <family val="2"/>
    </font>
    <font>
      <b/>
      <sz val="9"/>
      <color rgb="FF808080"/>
      <name val="Noto Sans CJK SC"/>
      <family val="2"/>
    </font>
    <font>
      <sz val="9"/>
      <color rgb="FF444441"/>
      <name val="微軟正黑體"/>
      <family val="2"/>
      <charset val="136"/>
    </font>
    <font>
      <b/>
      <sz val="18"/>
      <color rgb="FFFFFFFF"/>
      <name val="微軟正黑體"/>
      <family val="2"/>
      <charset val="136"/>
    </font>
    <font>
      <b/>
      <sz val="12"/>
      <color rgb="FF444441"/>
      <name val="微軟正黑體"/>
      <family val="2"/>
      <charset val="136"/>
    </font>
    <font>
      <b/>
      <sz val="12"/>
      <color rgb="FFFFFFFF"/>
      <name val="Noto Sans CJK SC"/>
      <family val="2"/>
    </font>
    <font>
      <b/>
      <sz val="12"/>
      <color rgb="FFFFFFFF"/>
      <name val="微軟正黑體"/>
      <family val="2"/>
      <charset val="136"/>
    </font>
    <font>
      <sz val="8"/>
      <color rgb="FF808080"/>
      <name val="Noto Sans CJK SC"/>
      <family val="2"/>
    </font>
    <font>
      <sz val="8"/>
      <color rgb="FF808080"/>
      <name val="微軟正黑體"/>
      <family val="2"/>
      <charset val="136"/>
    </font>
    <font>
      <b/>
      <sz val="14"/>
      <color rgb="FF2E7D32"/>
      <name val="Noto Sans CJK SC"/>
      <family val="2"/>
    </font>
    <font>
      <b/>
      <sz val="10"/>
      <color rgb="FF0000FF"/>
      <name val="微軟正黑體"/>
      <family val="2"/>
      <charset val="136"/>
    </font>
    <font>
      <sz val="9"/>
      <color rgb="FF808080"/>
      <name val="Noto Sans CJK SC"/>
      <family val="2"/>
    </font>
    <font>
      <sz val="9"/>
      <color rgb="FF808080"/>
      <name val="微軟正黑體"/>
      <family val="2"/>
      <charset val="136"/>
    </font>
    <font>
      <b/>
      <sz val="11"/>
      <color rgb="FF444441"/>
      <name val="Noto Sans CJK SC"/>
      <family val="2"/>
    </font>
    <font>
      <b/>
      <sz val="10"/>
      <color rgb="FFFFFFFF"/>
      <name val="微軟正黑體"/>
      <family val="2"/>
      <charset val="136"/>
    </font>
    <font>
      <sz val="9"/>
      <color rgb="FF444441"/>
      <name val="Noto Sans CJK SC"/>
      <family val="2"/>
    </font>
    <font>
      <sz val="9"/>
      <name val="細明體"/>
      <family val="3"/>
      <charset val="136"/>
    </font>
    <font>
      <sz val="10"/>
      <color rgb="FF444441"/>
      <name val="Noto Sans CJK SC"/>
      <family val="2"/>
      <charset val="1"/>
    </font>
    <font>
      <b/>
      <sz val="16"/>
      <color rgb="FF2E7D3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1"/>
      <name val="ＭＳ Ｐゴシック"/>
      <family val="2"/>
      <charset val="128"/>
    </font>
    <font>
      <b/>
      <sz val="12"/>
      <color rgb="FFFFFFFF"/>
      <name val="細明體"/>
      <family val="3"/>
      <charset val="136"/>
    </font>
    <font xmlns="http://schemas.openxmlformats.org/spreadsheetml/2006/main">
      <sz val="10"/>
      <color theme="1"/>
      <name val="微軟正黑體"/>
      <family val="2"/>
    </font>
    <font xmlns="http://schemas.openxmlformats.org/spreadsheetml/2006/main">
      <sz val="11"/>
      <color theme="1"/>
      <name val="Calibri"/>
      <family val="2"/>
    </font>
    <font xmlns="http://schemas.openxmlformats.org/spreadsheetml/2006/main">
      <b/>
      <sz val="10"/>
      <color theme="1"/>
      <name val="微軟正黑體"/>
      <family val="2"/>
    </font>
  </fonts>
  <fills count="14">
    <fill>
      <patternFill patternType="none"/>
    </fill>
    <fill>
      <patternFill patternType="gray125"/>
    </fill>
    <fill>
      <patternFill patternType="solid">
        <fgColor rgb="FF00A44A"/>
        <bgColor rgb="FF2E7D32"/>
      </patternFill>
    </fill>
    <fill>
      <patternFill patternType="solid">
        <fgColor rgb="FFFAEEDA"/>
        <bgColor rgb="FFFDECEA"/>
      </patternFill>
    </fill>
    <fill>
      <patternFill patternType="solid">
        <fgColor rgb="FFFFFFCC"/>
        <bgColor rgb="FFFAEEDA"/>
      </patternFill>
    </fill>
    <fill>
      <patternFill patternType="solid">
        <fgColor rgb="FF444441"/>
        <bgColor rgb="FF333399"/>
      </patternFill>
    </fill>
    <fill>
      <patternFill patternType="solid">
        <fgColor rgb="FF1F77B4"/>
        <bgColor rgb="FF1F5FA8"/>
      </patternFill>
    </fill>
    <fill>
      <patternFill patternType="solid">
        <fgColor rgb="FFE07B00"/>
        <bgColor rgb="FFFF9900"/>
      </patternFill>
    </fill>
    <fill>
      <patternFill patternType="solid">
        <fgColor rgb="FF7B4FA6"/>
        <bgColor rgb="FF8064A2"/>
      </patternFill>
    </fill>
    <fill>
      <patternFill patternType="solid">
        <fgColor rgb="FF2A9DB0"/>
        <bgColor rgb="FF4BACC6"/>
      </patternFill>
    </fill>
    <fill>
      <patternFill patternType="solid">
        <fgColor rgb="FF808080"/>
        <bgColor rgb="FF878787"/>
      </patternFill>
    </fill>
    <fill>
      <patternFill patternType="solid">
        <fgColor rgb="FFEAF6F1"/>
        <bgColor rgb="FFEDEDED"/>
      </patternFill>
    </fill>
    <fill>
      <patternFill patternType="solid">
        <fgColor rgb="FFEDEDED"/>
        <bgColor rgb="FFEAF6F1"/>
      </patternFill>
    </fill>
    <fill xmlns="http://schemas.openxmlformats.org/spreadsheetml/2006/main">
      <patternFill patternType="solid">
        <fgColor rgb="FFE7EEF5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4">
    <xf numFmtId="0" fontId="0" fillId="0" borderId="0"/>
    <xf numFmtId="0" fontId="30" fillId="0" borderId="0"/>
    <xf numFmtId="0" fontId="31" fillId="0" borderId="0"/>
    <xf xmlns="http://schemas.openxmlformats.org/spreadsheetml/2006/main" numFmtId="0" fontId="34" fillId="0" borderId="0"/>
  </cellStyleXfs>
  <cellXfs count="6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3" fillId="0" borderId="0" xfId="0" applyFont="1"/>
    <xf numFmtId="0" fontId="17" fillId="0" borderId="0" xfId="0" applyFont="1"/>
    <xf numFmtId="0" fontId="7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9" fillId="0" borderId="0" xfId="0" applyFont="1"/>
    <xf numFmtId="0" fontId="8" fillId="0" borderId="0" xfId="0" applyFont="1"/>
    <xf numFmtId="176" fontId="20" fillId="4" borderId="1" xfId="0" applyNumberFormat="1" applyFont="1" applyFill="1" applyBorder="1"/>
    <xf numFmtId="0" fontId="21" fillId="0" borderId="0" xfId="0" applyFont="1"/>
    <xf numFmtId="1" fontId="20" fillId="4" borderId="1" xfId="0" applyNumberFormat="1" applyFont="1" applyFill="1" applyBorder="1"/>
    <xf numFmtId="0" fontId="23" fillId="0" borderId="0" xfId="0" applyFont="1"/>
    <xf numFmtId="0" fontId="24" fillId="5" borderId="1" xfId="0" applyFont="1" applyFill="1" applyBorder="1" applyAlignment="1">
      <alignment horizontal="center"/>
    </xf>
    <xf numFmtId="0" fontId="3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xmlns="http://schemas.openxmlformats.org/spreadsheetml/2006/main" numFmtId="178" fontId="33" fillId="0" borderId="0" xfId="3" applyNumberFormat="1" applyFont="1" applyFill="1" applyBorder="1" applyAlignment="1">
      <alignment vertical="center" wrapText="1"/>
    </xf>
    <xf xmlns="http://schemas.openxmlformats.org/spreadsheetml/2006/main" numFmtId="0" fontId="35" fillId="13" borderId="0" xfId="3" applyNumberFormat="1" applyFont="1" applyFill="1" applyBorder="1" applyAlignment="1">
      <alignment vertical="center"/>
    </xf>
    <xf xmlns="http://schemas.openxmlformats.org/spreadsheetml/2006/main" numFmtId="0" fontId="35" fillId="13" borderId="0" xfId="3" applyNumberFormat="1" applyFont="1" applyFill="1" applyBorder="1" applyAlignment="1">
      <alignment vertical="center" wrapText="1"/>
    </xf>
    <xf xmlns="http://schemas.openxmlformats.org/spreadsheetml/2006/main" numFmtId="0" fontId="33" fillId="0" borderId="0" xfId="3" applyNumberFormat="1" applyFont="1" applyFill="1" applyBorder="1" applyAlignment="1">
      <alignment vertical="center"/>
    </xf>
    <xf xmlns="http://schemas.openxmlformats.org/spreadsheetml/2006/main" numFmtId="0" fontId="33" fillId="0" borderId="0" xfId="3" applyNumberFormat="1" applyFont="1" applyFill="1" applyBorder="1" applyAlignment="1">
      <alignment vertical="center" wrapText="1"/>
    </xf>
  </cellXfs>
  <cellStyles count="3">
    <cellStyle name="一般" xfId="0" builtinId="0"/>
    <cellStyle name="一般 11 2" xfId="2"/>
    <cellStyle name="一般 2 10" xfId="1"/>
  </cellStyles>
  <dxfs count="36">
    <dxf>
      <font>
        <sz val="10"/>
        <color rgb="FF006100"/>
        <name val="微軟正黑體"/>
      </font>
      <fill>
        <patternFill>
          <bgColor rgb="FFC6EFCE"/>
        </patternFill>
      </fill>
    </dxf>
    <dxf>
      <font>
        <sz val="10"/>
        <color rgb="FF808080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>
      <font>
        <sz val="10"/>
        <color rgb="FF006100"/>
        <name val="微軟正黑體"/>
      </font>
    </dxf>
    <dxf>
      <font>
        <sz val="10"/>
        <color rgb="FF1F5FA8"/>
        <name val="微軟正黑體"/>
      </font>
      <fill>
        <patternFill>
          <bgColor rgb="FFEDEDED"/>
        </patternFill>
      </fill>
    </dxf>
    <dxf>
      <font>
        <b/>
        <sz val="10"/>
        <color rgb="FF9C6500"/>
        <name val="微軟正黑體"/>
      </font>
      <fill>
        <patternFill>
          <bgColor rgb="FFFFEB9C"/>
        </patternFill>
      </fill>
    </dxf>
    <dxf>
      <font>
        <b/>
        <sz val="10"/>
        <color rgb="FF9C0006"/>
        <name val="微軟正黑體"/>
      </font>
      <fill>
        <patternFill>
          <bgColor rgb="FFFFC7CE"/>
        </patternFill>
      </fill>
    </dxf>
    <dxf>
      <fill>
        <patternFill>
          <bgColor rgb="FFFDECEA"/>
        </patternFill>
      </fill>
    </dxf>
    <dxf>
      <fill>
        <patternFill>
          <bgColor rgb="FFFDECEA"/>
        </patternFill>
      </fill>
    </dxf>
    <dxf xmlns="http://schemas.openxmlformats.org/spreadsheetml/2006/main">
      <fill>
        <patternFill patternType="solid">
          <bgColor rgb="FFFFF2CC"/>
        </patternFill>
      </fill>
    </dxf>
    <dxf xmlns="http://schemas.openxmlformats.org/spreadsheetml/2006/main"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F77B4"/>
      <rgbColor rgb="FFBFBFBF"/>
      <rgbColor rgb="FF808080"/>
      <rgbColor rgb="FF9999FF"/>
      <rgbColor rgb="FFC0504D"/>
      <rgbColor rgb="FFFFFFCC"/>
      <rgbColor rgb="FFEAF6F1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A44A"/>
      <rgbColor rgb="FF0000FF"/>
      <rgbColor rgb="FF00CCFF"/>
      <rgbColor rgb="FFEDEDED"/>
      <rgbColor rgb="FFC6EFCE"/>
      <rgbColor rgb="FFFFEB9C"/>
      <rgbColor rgb="FFFDECEA"/>
      <rgbColor rgb="FFFAEEDA"/>
      <rgbColor rgb="FFCC99FF"/>
      <rgbColor rgb="FFFFC7CE"/>
      <rgbColor rgb="FF4F81BD"/>
      <rgbColor rgb="FF4BACC6"/>
      <rgbColor rgb="FF9BBB59"/>
      <rgbColor rgb="FFFFCC00"/>
      <rgbColor rgb="FFFF9900"/>
      <rgbColor rgb="FFE07B00"/>
      <rgbColor rgb="FF8064A2"/>
      <rgbColor rgb="FF878787"/>
      <rgbColor rgb="FF003366"/>
      <rgbColor rgb="FF2A9DB0"/>
      <rgbColor rgb="FF003300"/>
      <rgbColor rgb="FF2E7D32"/>
      <rgbColor rgb="FF993300"/>
      <rgbColor rgb="FF7B4FA6"/>
      <rgbColor rgb="FF333399"/>
      <rgbColor rgb="FF4444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品項數分類分布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總覽!$C$11</c:f>
              <c:strCache>
                <c:ptCount val="1"/>
                <c:pt idx="0">
                  <c:v>品項數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E28-43F5-8E85-FAAB026E6BD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E28-43F5-8E85-FAAB026E6BD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E28-43F5-8E85-FAAB026E6BD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E28-43F5-8E85-FAAB026E6BD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E28-43F5-8E85-FAAB026E6BD8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28-43F5-8E85-FAAB026E6BD8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28-43F5-8E85-FAAB026E6BD8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28-43F5-8E85-FAAB026E6BD8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28-43F5-8E85-FAAB026E6BD8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zh-TW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28-43F5-8E85-FAAB026E6B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總覽!$B$12:$B$16</c:f>
              <c:strCache>
                <c:ptCount val="5"/>
                <c:pt idx="0">
                  <c:v>18℃</c:v>
                </c:pt>
                <c:pt idx="1">
                  <c:v>4℃飯</c:v>
                </c:pt>
                <c:pt idx="2">
                  <c:v>4℃麵</c:v>
                </c:pt>
                <c:pt idx="3">
                  <c:v>4℃其他</c:v>
                </c:pt>
                <c:pt idx="4">
                  <c:v>冷凍品</c:v>
                </c:pt>
              </c:strCache>
            </c:strRef>
          </c:cat>
          <c:val>
            <c:numRef>
              <c:f>總覽!$C$12:$C$16</c:f>
              <c:numCache>
                <c:formatCode>General</c:formatCode>
                <c:ptCount val="5"/>
                <c:pt idx="0">
                  <c:v>0.0</c:v>
                </c:pt>
                <c:pt idx="1">
                  <c:v>0.0</c:v>
                </c:pt>
                <c:pt idx="2">
                  <c:v>26.0</c:v>
                </c:pt>
                <c:pt idx="3">
                  <c:v>5.0</c:v>
                </c:pt>
                <c:pt idx="4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28-43F5-8E85-FAAB026E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各調理設備應用半成品數（依分類堆疊）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設備應用統計!$C$16</c:f>
              <c:strCache>
                <c:ptCount val="1"/>
                <c:pt idx="0">
                  <c:v>18℃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設備應用統計!$C$17:$C$28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B-46D8-925A-02B30A50ABE7}"/>
            </c:ext>
          </c:extLst>
        </c:ser>
        <c:ser>
          <c:idx val="1"/>
          <c:order val="1"/>
          <c:tx>
            <c:strRef>
              <c:f>設備應用統計!$D$16</c:f>
              <c:strCache>
                <c:ptCount val="1"/>
                <c:pt idx="0">
                  <c:v>4℃飯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設備應用統計!$D$17:$D$28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B-46D8-925A-02B30A50ABE7}"/>
            </c:ext>
          </c:extLst>
        </c:ser>
        <c:ser>
          <c:idx val="2"/>
          <c:order val="2"/>
          <c:tx>
            <c:strRef>
              <c:f>設備應用統計!$E$16</c:f>
              <c:strCache>
                <c:ptCount val="1"/>
                <c:pt idx="0">
                  <c:v>4℃麵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設備應用統計!$E$17:$E$28</c:f>
              <c:numCache>
                <c:formatCode>General</c:formatCode>
                <c:ptCount val="12"/>
                <c:pt idx="0">
                  <c:v>0.0</c:v>
                </c:pt>
                <c:pt idx="1">
                  <c:v>26.0</c:v>
                </c:pt>
                <c:pt idx="2">
                  <c:v>12.0</c:v>
                </c:pt>
                <c:pt idx="3">
                  <c:v>0.0</c:v>
                </c:pt>
                <c:pt idx="4">
                  <c:v>7.0</c:v>
                </c:pt>
                <c:pt idx="5">
                  <c:v>0.0</c:v>
                </c:pt>
                <c:pt idx="6">
                  <c:v>63.0</c:v>
                </c:pt>
                <c:pt idx="7">
                  <c:v>1.0</c:v>
                </c:pt>
                <c:pt idx="8">
                  <c:v>3.0</c:v>
                </c:pt>
                <c:pt idx="9">
                  <c:v>0.0</c:v>
                </c:pt>
                <c:pt idx="10">
                  <c:v>0.0</c:v>
                </c:pt>
                <c:pt idx="11">
                  <c:v>44.0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B-46D8-925A-02B30A50ABE7}"/>
            </c:ext>
          </c:extLst>
        </c:ser>
        <c:ser>
          <c:idx val="3"/>
          <c:order val="3"/>
          <c:tx>
            <c:strRef>
              <c:f>設備應用統計!$F$16</c:f>
              <c:strCache>
                <c:ptCount val="1"/>
                <c:pt idx="0">
                  <c:v>4℃其他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設備應用統計!$F$17:$F$28</c:f>
              <c:numCache>
                <c:formatCode>General</c:formatCode>
                <c:ptCount val="12"/>
                <c:pt idx="0">
                  <c:v>0.0</c:v>
                </c:pt>
                <c:pt idx="1">
                  <c:v>4.0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14.0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B-46D8-925A-02B30A50ABE7}"/>
            </c:ext>
          </c:extLst>
        </c:ser>
        <c:ser>
          <c:idx val="4"/>
          <c:order val="4"/>
          <c:tx>
            <c:strRef>
              <c:f>設備應用統計!$G$16</c:f>
              <c:strCache>
                <c:ptCount val="1"/>
                <c:pt idx="0">
                  <c:v>冷凍品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設備應用統計!$B$17:$B$28</c:f>
              <c:strCache>
                <c:ptCount val="12"/>
                <c:pt idx="0">
                  <c:v>炊飯</c:v>
                </c:pt>
                <c:pt idx="1">
                  <c:v>煮麵</c:v>
                </c:pt>
                <c:pt idx="2">
                  <c:v>烤箱</c:v>
                </c:pt>
                <c:pt idx="3">
                  <c:v>炙燒</c:v>
                </c:pt>
                <c:pt idx="4">
                  <c:v>蒸箱</c:v>
                </c:pt>
                <c:pt idx="5">
                  <c:v>油炸機</c:v>
                </c:pt>
                <c:pt idx="6">
                  <c:v>二重釜</c:v>
                </c:pt>
                <c:pt idx="7">
                  <c:v>平釜(日)</c:v>
                </c:pt>
                <c:pt idx="8">
                  <c:v>平釜(台)</c:v>
                </c:pt>
                <c:pt idx="9">
                  <c:v>蛋皮機</c:v>
                </c:pt>
                <c:pt idx="10">
                  <c:v>壓力鍋</c:v>
                </c:pt>
                <c:pt idx="11">
                  <c:v>無使用調理設備</c:v>
                </c:pt>
              </c:strCache>
            </c:strRef>
          </c:cat>
          <c:val>
            <c:numRef>
              <c:f>設備應用統計!$G$17:$G$28</c:f>
              <c:numCache>
                <c:formatCode>General</c:formatCode>
                <c:ptCount val="12"/>
                <c:pt idx="0">
                  <c:v>0.0</c:v>
                </c:pt>
                <c:pt idx="1">
                  <c:v>9.0</c:v>
                </c:pt>
                <c:pt idx="2">
                  <c:v>1.0</c:v>
                </c:pt>
                <c:pt idx="3">
                  <c:v>0.0</c:v>
                </c:pt>
                <c:pt idx="4">
                  <c:v>2.0</c:v>
                </c:pt>
                <c:pt idx="5">
                  <c:v>0.0</c:v>
                </c:pt>
                <c:pt idx="6">
                  <c:v>14.0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B-46D8-925A-02B30A50A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558908"/>
        <c:axId val="78137627"/>
      </c:barChart>
      <c:catAx>
        <c:axId val="71558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78137627"/>
        <c:crosses val="autoZero"/>
        <c:auto val="1"/>
        <c:lblAlgn val="ctr"/>
        <c:lblOffset val="100"/>
        <c:noMultiLvlLbl val="0"/>
      </c:catAx>
      <c:valAx>
        <c:axId val="781376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半成品數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715589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12</xdr:col>
      <xdr:colOff>542160</xdr:colOff>
      <xdr:row>14</xdr:row>
      <xdr:rowOff>181885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133560</xdr:rowOff>
    </xdr:from>
    <xdr:to>
      <xdr:col>4</xdr:col>
      <xdr:colOff>478470</xdr:colOff>
      <xdr:row>46</xdr:row>
      <xdr:rowOff>134640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4441"/>
  </sheetPr>
  <dimension ref="A1:F321"/>
  <sheetViews>
    <sheetView showGridLines="0" zoomScaleNormal="100" workbookViewId="0">
      <selection activeCell="E17" sqref="E17"/>
    </sheetView>
  </sheetViews>
  <sheetFormatPr defaultColWidth="8.6328125" defaultRowHeight="14.5"/>
  <cols>
    <col min="1" max="1" width="3" customWidth="1"/>
    <col min="2" max="2" width="20" customWidth="1"/>
    <col min="3" max="6" width="22" customWidth="1"/>
    <col min="7" max="7" width="3" customWidth="1"/>
  </cols>
  <sheetData>
    <row r="1" spans="2:6" ht="30" customHeight="1">
      <c r="B1" s="47" t="s">
        <v>0</v>
      </c>
      <c r="C1" s="47"/>
      <c r="D1" s="47"/>
      <c r="E1" s="47"/>
      <c r="F1" s="47"/>
    </row>
    <row r="3" spans="2:6" ht="15.5">
      <c r="B3" s="1" t="s">
        <v>1</v>
      </c>
      <c r="E3" s="1" t="s">
        <v>2</v>
      </c>
    </row>
    <row r="4" spans="2:6">
      <c r="B4" s="2" t="s">
        <v>3</v>
      </c>
      <c r="C4" s="3" t="s">
        <v>127</v>
      </c>
      <c r="E4" s="4" t="s">
        <v>4</v>
      </c>
      <c xmlns="http://schemas.openxmlformats.org/spreadsheetml/2006/main" r="F4" s="5">
        <f>SUM(MAX('18℃'!$Z$5:$Z$304),MAX('4℃飯'!$Z$5:$Z$304),MAX('4℃麵'!$AA$5:$AA$292),MAX('4℃其他'!$AA$5:$AA$304),MAX(冷凍品!$AA$5:$AA$304))</f>
        <v>40.0</v>
      </c>
    </row>
    <row r="5" spans="2:6">
      <c r="B5" s="2" t="s">
        <v>5</v>
      </c>
      <c r="C5" s="3" t="s">
        <v>265</v>
      </c>
      <c r="E5" s="4" t="s">
        <v>6</v>
      </c>
      <c xmlns="http://schemas.openxmlformats.org/spreadsheetml/2006/main" r="F5" s="5">
        <f>COUNTA('18℃'!$D$5:$D$304)+COUNTA('4℃飯'!$D$5:$D$304)+COUNTA('4℃麵'!$E$5:$E$292)+COUNTA('4℃其他'!$E$5:$E$304)+COUNTA(冷凍品!$E$5:$E$304)</f>
        <v>198.0</v>
      </c>
    </row>
    <row r="6" spans="2:6">
      <c r="B6" s="2" t="s">
        <v>7</v>
      </c>
      <c r="C6" s="3" t="s">
        <v>266</v>
      </c>
      <c r="E6" s="4" t="s">
        <v>8</v>
      </c>
      <c xmlns="http://schemas.openxmlformats.org/spreadsheetml/2006/main" r="F6" s="5">
        <f>COUNTIF('18℃'!$U$5:$U$304,"⚠*")+COUNTIF('4℃飯'!$U$5:$U$304,"⚠*")+COUNTIF('4℃麵'!$V$5:$V$292,"⚠*")+COUNTIF('4℃其他'!$V$5:$V$304,"⚠*")+COUNTIF(冷凍品!$V$5:$V$304,"⚠*")</f>
        <v>0.0</v>
      </c>
    </row>
    <row r="7" spans="2:6">
      <c r="E7" s="4" t="s">
        <v>9</v>
      </c>
      <c xmlns="http://schemas.openxmlformats.org/spreadsheetml/2006/main" r="F7" s="5">
        <f>COUNTIF('18℃'!$U$5:$U$304,"▲ 單一設備依賴")+COUNTIF('4℃飯'!$U$5:$U$304,"▲ 單一設備依賴")+COUNTIF('4℃麵'!$V$5:$V$292,"▲ 單一設備依賴")+COUNTIF('4℃其他'!$V$5:$V$304,"▲ 單一設備依賴")+COUNTIF(冷凍品!$V$5:$V$304,"▲ 單一設備依賴")</f>
        <v>141.0</v>
      </c>
    </row>
    <row r="8" spans="2:6">
      <c r="E8" s="4" t="s">
        <v>10</v>
      </c>
      <c xmlns="http://schemas.openxmlformats.org/spreadsheetml/2006/main" r="F8" s="5">
        <f>COUNTIF('18℃'!$U$5:$U$304,"○ 免調理")+COUNTIF('4℃飯'!$U$5:$U$304,"○ 免調理")+COUNTIF('4℃麵'!$V$5:$V$292,"○ 免調理")+COUNTIF('4℃其他'!$V$5:$V$304,"○ 免調理")+COUNTIF(冷凍品!$V$5:$V$304,"○ 免調理")</f>
        <v>51.0</v>
      </c>
    </row>
    <row r="10" spans="2:6" ht="15.5">
      <c r="B10" s="1" t="s">
        <v>11</v>
      </c>
    </row>
    <row r="11" spans="2:6">
      <c r="B11" s="6" t="s">
        <v>12</v>
      </c>
      <c r="C11" s="6" t="s">
        <v>13</v>
      </c>
      <c r="D11" s="6" t="s">
        <v>14</v>
      </c>
      <c r="E11" s="6" t="s">
        <v>15</v>
      </c>
      <c r="F11" s="6" t="s">
        <v>16</v>
      </c>
    </row>
    <row r="12" spans="2:6">
      <c r="B12" s="7" t="s">
        <v>17</v>
      </c>
      <c xmlns="http://schemas.openxmlformats.org/spreadsheetml/2006/main" r="C12" s="7">
        <f>MAX('18℃'!$Z$5:$Z$304)</f>
        <v>0.0</v>
      </c>
      <c xmlns="http://schemas.openxmlformats.org/spreadsheetml/2006/main" r="D12" s="8">
        <f>IF($F$4=0,0,C12/$F$4)</f>
        <v>0.0</v>
      </c>
      <c xmlns="http://schemas.openxmlformats.org/spreadsheetml/2006/main" r="E12" s="7">
        <f>COUNTA('18℃'!$D$5:$D$304)</f>
        <v>0.0</v>
      </c>
      <c xmlns="http://schemas.openxmlformats.org/spreadsheetml/2006/main" r="F12" s="8">
        <f>IF($F$5=0,0,E12/$F$5)</f>
        <v>0.0</v>
      </c>
    </row>
    <row r="13" spans="2:6">
      <c r="B13" s="7" t="s">
        <v>18</v>
      </c>
      <c xmlns="http://schemas.openxmlformats.org/spreadsheetml/2006/main" r="C13" s="7">
        <f>MAX('4℃飯'!$Z$5:$Z$304)</f>
        <v>0.0</v>
      </c>
      <c xmlns="http://schemas.openxmlformats.org/spreadsheetml/2006/main" r="D13" s="8">
        <f>IF($F$4=0,0,C13/$F$4)</f>
        <v>0.0</v>
      </c>
      <c xmlns="http://schemas.openxmlformats.org/spreadsheetml/2006/main" r="E13" s="7">
        <f>COUNTA('4℃飯'!$D$5:$D$304)</f>
        <v>0.0</v>
      </c>
      <c xmlns="http://schemas.openxmlformats.org/spreadsheetml/2006/main" r="F13" s="8">
        <f>IF($F$5=0,0,E13/$F$5)</f>
        <v>0.0</v>
      </c>
    </row>
    <row r="14" spans="2:6">
      <c r="B14" s="7" t="s">
        <v>19</v>
      </c>
      <c xmlns="http://schemas.openxmlformats.org/spreadsheetml/2006/main" r="C14" s="7">
        <f>MAX('4℃麵'!$AA$5:$AA$292)</f>
        <v>26.0</v>
      </c>
      <c xmlns="http://schemas.openxmlformats.org/spreadsheetml/2006/main" r="D14" s="8">
        <f>IF($F$4=0,0,C14/$F$4)</f>
        <v>0.65</v>
      </c>
      <c xmlns="http://schemas.openxmlformats.org/spreadsheetml/2006/main" r="E14" s="7">
        <f>COUNTA('4℃麵'!$E$5:$E$292)</f>
        <v>148.0</v>
      </c>
      <c xmlns="http://schemas.openxmlformats.org/spreadsheetml/2006/main" r="F14" s="8">
        <f>IF($F$5=0,0,E14/$F$5)</f>
        <v>0.747474747474748</v>
      </c>
    </row>
    <row r="15" spans="2:6">
      <c r="B15" s="7" t="s">
        <v>20</v>
      </c>
      <c xmlns="http://schemas.openxmlformats.org/spreadsheetml/2006/main" r="C15" s="7">
        <f>MAX('4℃其他'!$AA$5:$AA$304)</f>
        <v>5.0</v>
      </c>
      <c xmlns="http://schemas.openxmlformats.org/spreadsheetml/2006/main" r="D15" s="8">
        <f>IF($F$4=0,0,C15/$F$4)</f>
        <v>0.125</v>
      </c>
      <c xmlns="http://schemas.openxmlformats.org/spreadsheetml/2006/main" r="E15" s="7">
        <f>COUNTA('4℃其他'!$E$5:$E$304)</f>
        <v>21.0</v>
      </c>
      <c xmlns="http://schemas.openxmlformats.org/spreadsheetml/2006/main" r="F15" s="8">
        <f>IF($F$5=0,0,E15/$F$5)</f>
        <v>0.106060606060606</v>
      </c>
    </row>
    <row r="16" spans="2:6">
      <c r="B16" s="9" t="s">
        <v>21</v>
      </c>
      <c xmlns="http://schemas.openxmlformats.org/spreadsheetml/2006/main" r="C16" s="7">
        <f>MAX(冷凍品!$AA$5:$AA$304)</f>
        <v>9.0</v>
      </c>
      <c xmlns="http://schemas.openxmlformats.org/spreadsheetml/2006/main" r="D16" s="8">
        <f>IF($F$4=0,0,C16/$F$4)</f>
        <v>0.225</v>
      </c>
      <c xmlns="http://schemas.openxmlformats.org/spreadsheetml/2006/main" r="E16" s="7">
        <f>COUNTA(冷凍品!$E$5:$E$304)</f>
        <v>29.0</v>
      </c>
      <c xmlns="http://schemas.openxmlformats.org/spreadsheetml/2006/main" r="F16" s="8">
        <f>IF($F$5=0,0,E16/$F$5)</f>
        <v>0.146464646464646</v>
      </c>
    </row>
    <row r="17" spans="2:6">
      <c r="B17" s="10" t="s">
        <v>22</v>
      </c>
      <c xmlns="http://schemas.openxmlformats.org/spreadsheetml/2006/main" r="C17" s="10">
        <f>SUM(C12:C16)</f>
        <v>40.0</v>
      </c>
      <c r="D17" s="11"/>
      <c xmlns="http://schemas.openxmlformats.org/spreadsheetml/2006/main" r="E17" s="10">
        <f>SUM(E12:E16)</f>
        <v>198.0</v>
      </c>
      <c r="F17" s="11"/>
    </row>
    <row r="19" spans="2:6" ht="15.5">
      <c r="B19" s="1" t="s">
        <v>23</v>
      </c>
    </row>
    <row r="20" spans="2:6">
      <c r="B20" s="12" t="s">
        <v>17</v>
      </c>
      <c r="C20" s="13" t="s">
        <v>24</v>
      </c>
      <c r="D20" s="14" t="s">
        <v>25</v>
      </c>
      <c r="E20" s="15" t="s">
        <v>26</v>
      </c>
      <c r="F20" s="16" t="s">
        <v>21</v>
      </c>
    </row>
    <row r="21" spans="2:6">
      <c xmlns="http://schemas.openxmlformats.org/spreadsheetml/2006/main" r="B21" s="17" t="str">
        <f>"品項數："&amp;MAX('18℃'!$Z$5:$Z$304)</f>
        <v>品項數：0</v>
      </c>
      <c xmlns="http://schemas.openxmlformats.org/spreadsheetml/2006/main" r="C21" s="17" t="str">
        <f>"品項數："&amp;MAX('4℃飯'!$Z$5:$Z$304)</f>
        <v>品項數：0</v>
      </c>
      <c xmlns="http://schemas.openxmlformats.org/spreadsheetml/2006/main" r="D21" s="17" t="str">
        <f>"品項數："&amp;MAX('4℃麵'!$AA$5:$AA$292)</f>
        <v>品項數：26</v>
      </c>
      <c xmlns="http://schemas.openxmlformats.org/spreadsheetml/2006/main" r="E21" s="17" t="str">
        <f>"品項數："&amp;MAX('4℃其他'!$AA$5:$AA$304)</f>
        <v>品項數：5</v>
      </c>
      <c xmlns="http://schemas.openxmlformats.org/spreadsheetml/2006/main" r="F21" s="17" t="str">
        <f>"品項數："&amp;MAX(冷凍品!$AA$5:$AA$304)</f>
        <v>品項數：9</v>
      </c>
    </row>
    <row r="22" spans="2:6">
      <c xmlns="http://schemas.openxmlformats.org/spreadsheetml/2006/main" r="B22" s="18" t="str">
        <f>IF(1&gt;MAX('18℃'!$Z$5:$Z$304),"",HYPERLINK("#'18℃'!C"&amp;(MATCH(1,'18℃'!$Z$5:$Z$304,0)+4),INDEX('18℃'!$C$5:$C$304,MATCH(1,'18℃'!$Z$5:$Z$304,0))))</f>
        <v/>
      </c>
      <c xmlns="http://schemas.openxmlformats.org/spreadsheetml/2006/main" r="C22" s="18" t="str">
        <f>IF(1&gt;MAX('4℃飯'!$Z$5:$Z$304),"",HYPERLINK("#'4℃飯'!C"&amp;(MATCH(1,'4℃飯'!$Z$5:$Z$304,0)+4),INDEX('4℃飯'!$C$5:$C$304,MATCH(1,'4℃飯'!$Z$5:$Z$304,0))))</f>
        <v/>
      </c>
      <c xmlns="http://schemas.openxmlformats.org/spreadsheetml/2006/main" r="D22" s="18" t="str">
        <f>IF(1&gt;MAX('4℃麵'!$AA$5:$AA$292),"",HYPERLINK("#'4℃麵'!D"&amp;(MATCH(1,'4℃麵'!$AA$5:$AA$292,0)+4),INDEX('4℃麵'!$D$5:$D$292,MATCH(1,'4℃麵'!$AA$5:$AA$292,0))))</f>
        <v>金沙豆腐義大利麵</v>
      </c>
      <c xmlns="http://schemas.openxmlformats.org/spreadsheetml/2006/main" r="E22" s="18" t="str">
        <f>IF(1&gt;MAX('4℃其他'!$AA$5:$AA$304),"",HYPERLINK("#'4℃其他'!D"&amp;(MATCH(1,'4℃其他'!$AA$5:$AA$304,0)+4),INDEX('4℃其他'!$D$5:$D$304,MATCH(1,'4℃其他'!$AA$5:$AA$304,0))))</f>
        <v>韓式炒冬粉</v>
      </c>
      <c xmlns="http://schemas.openxmlformats.org/spreadsheetml/2006/main" r="F22" s="18" t="str">
        <f>IF(1&gt;MAX('冷凍品'!$AA$5:$AA$304),"",HYPERLINK("#'冷凍品'!D"&amp;(MATCH(1,'冷凍品'!$AA$5:$AA$304,0)+4),INDEX('冷凍品'!$D$5:$D$304,MATCH(1,'冷凍品'!$AA$5:$AA$304,0))))</f>
        <v>奶油蘑菇培根義大利麵</v>
      </c>
    </row>
    <row r="23" spans="2:6">
      <c xmlns="http://schemas.openxmlformats.org/spreadsheetml/2006/main" r="B23" s="18" t="str">
        <f>IF(2&gt;MAX('18℃'!$Z$5:$Z$304),"",HYPERLINK("#'18℃'!C"&amp;(MATCH(2,'18℃'!$Z$5:$Z$304,0)+4),INDEX('18℃'!$C$5:$C$304,MATCH(2,'18℃'!$Z$5:$Z$304,0))))</f>
        <v/>
      </c>
      <c xmlns="http://schemas.openxmlformats.org/spreadsheetml/2006/main" r="C23" s="18" t="str">
        <f>IF(2&gt;MAX('4℃飯'!$Z$5:$Z$304),"",HYPERLINK("#'4℃飯'!C"&amp;(MATCH(2,'4℃飯'!$Z$5:$Z$304,0)+4),INDEX('4℃飯'!$C$5:$C$304,MATCH(2,'4℃飯'!$Z$5:$Z$304,0))))</f>
        <v/>
      </c>
      <c xmlns="http://schemas.openxmlformats.org/spreadsheetml/2006/main" r="D23" s="18" t="str">
        <f>IF(2&gt;MAX('4℃麵'!$AA$5:$AA$292),"",HYPERLINK("#'4℃麵'!D"&amp;(MATCH(2,'4℃麵'!$AA$5:$AA$292,0)+4),INDEX('4℃麵'!$D$5:$D$292,MATCH(2,'4℃麵'!$AA$5:$AA$292,0))))</f>
        <v>奶油培根義大利麵RN</v>
      </c>
      <c xmlns="http://schemas.openxmlformats.org/spreadsheetml/2006/main" r="E23" s="18" t="str">
        <f>IF(2&gt;MAX('4℃其他'!$AA$5:$AA$304),"",HYPERLINK("#'4℃其他'!D"&amp;(MATCH(2,'4℃其他'!$AA$5:$AA$304,0)+4),INDEX('4℃其他'!$D$5:$D$304,MATCH(2,'4℃其他'!$AA$5:$AA$304,0))))</f>
        <v>小滷青蔬</v>
      </c>
      <c xmlns="http://schemas.openxmlformats.org/spreadsheetml/2006/main" r="F23" s="18" t="str">
        <f>IF(2&gt;MAX('冷凍品'!$AA$5:$AA$304),"",HYPERLINK("#'冷凍品'!D"&amp;(MATCH(2,'冷凍品'!$AA$5:$AA$304,0)+4),INDEX('冷凍品'!$D$5:$D$304,MATCH(2,'冷凍品'!$AA$5:$AA$304,0))))</f>
        <v>青醬蛤蜊義大利麵</v>
      </c>
    </row>
    <row r="24" spans="2:6">
      <c xmlns="http://schemas.openxmlformats.org/spreadsheetml/2006/main" r="B24" s="18" t="str">
        <f>IF(3&gt;MAX('18℃'!$Z$5:$Z$304),"",HYPERLINK("#'18℃'!C"&amp;(MATCH(3,'18℃'!$Z$5:$Z$304,0)+4),INDEX('18℃'!$C$5:$C$304,MATCH(3,'18℃'!$Z$5:$Z$304,0))))</f>
        <v/>
      </c>
      <c xmlns="http://schemas.openxmlformats.org/spreadsheetml/2006/main" r="C24" s="18" t="str">
        <f>IF(3&gt;MAX('4℃飯'!$Z$5:$Z$304),"",HYPERLINK("#'4℃飯'!C"&amp;(MATCH(3,'4℃飯'!$Z$5:$Z$304,0)+4),INDEX('4℃飯'!$C$5:$C$304,MATCH(3,'4℃飯'!$Z$5:$Z$304,0))))</f>
        <v/>
      </c>
      <c xmlns="http://schemas.openxmlformats.org/spreadsheetml/2006/main" r="D24" s="18" t="str">
        <f>IF(3&gt;MAX('4℃麵'!$AA$5:$AA$292),"",HYPERLINK("#'4℃麵'!D"&amp;(MATCH(3,'4℃麵'!$AA$5:$AA$292,0)+4),INDEX('4℃麵'!$D$5:$D$292,MATCH(3,'4℃麵'!$AA$5:$AA$292,0))))</f>
        <v>奶油鮮蝦明太子細扁麵</v>
      </c>
      <c xmlns="http://schemas.openxmlformats.org/spreadsheetml/2006/main" r="E24" s="18" t="str">
        <f>IF(3&gt;MAX('4℃其他'!$AA$5:$AA$304),"",HYPERLINK("#'4℃其他'!D"&amp;(MATCH(3,'4℃其他'!$AA$5:$AA$304,0)+4),INDEX('4℃其他'!$D$5:$D$304,MATCH(3,'4℃其他'!$AA$5:$AA$304,0))))</f>
        <v>香濃起司馬鈴薯</v>
      </c>
      <c xmlns="http://schemas.openxmlformats.org/spreadsheetml/2006/main" r="F24" s="18" t="str">
        <f>IF(3&gt;MAX('冷凍品'!$AA$5:$AA$304),"",HYPERLINK("#'冷凍品'!D"&amp;(MATCH(3,'冷凍品'!$AA$5:$AA$304,0)+4),INDEX('冷凍品'!$D$5:$D$304,MATCH(3,'冷凍品'!$AA$5:$AA$304,0))))</f>
        <v>剝皮辣椒細扁麵</v>
      </c>
    </row>
    <row r="25" spans="2:6">
      <c xmlns="http://schemas.openxmlformats.org/spreadsheetml/2006/main" r="B25" s="18" t="str">
        <f>IF(4&gt;MAX('18℃'!$Z$5:$Z$304),"",HYPERLINK("#'18℃'!C"&amp;(MATCH(4,'18℃'!$Z$5:$Z$304,0)+4),INDEX('18℃'!$C$5:$C$304,MATCH(4,'18℃'!$Z$5:$Z$304,0))))</f>
        <v/>
      </c>
      <c xmlns="http://schemas.openxmlformats.org/spreadsheetml/2006/main" r="C25" s="18" t="str">
        <f>IF(4&gt;MAX('4℃飯'!$Z$5:$Z$304),"",HYPERLINK("#'4℃飯'!C"&amp;(MATCH(4,'4℃飯'!$Z$5:$Z$304,0)+4),INDEX('4℃飯'!$C$5:$C$304,MATCH(4,'4℃飯'!$Z$5:$Z$304,0))))</f>
        <v/>
      </c>
      <c xmlns="http://schemas.openxmlformats.org/spreadsheetml/2006/main" r="D25" s="18" t="str">
        <f>IF(4&gt;MAX('4℃麵'!$AA$5:$AA$292),"",HYPERLINK("#'4℃麵'!D"&amp;(MATCH(4,'4℃麵'!$AA$5:$AA$292,0)+4),INDEX('4℃麵'!$D$5:$D$292,MATCH(4,'4℃麵'!$AA$5:$AA$292,0))))</f>
        <v>白酒清炒鮮蛤義大利麵</v>
      </c>
      <c xmlns="http://schemas.openxmlformats.org/spreadsheetml/2006/main" r="E25" s="18" t="str">
        <f>IF(4&gt;MAX('4℃其他'!$AA$5:$AA$304),"",HYPERLINK("#'4℃其他'!D"&amp;(MATCH(4,'4℃其他'!$AA$5:$AA$304,0)+4),INDEX('4℃其他'!$D$5:$D$304,MATCH(4,'4℃其他'!$AA$5:$AA$304,0))))</f>
        <v>台式蒜味小寬粉</v>
      </c>
      <c xmlns="http://schemas.openxmlformats.org/spreadsheetml/2006/main" r="F25" s="18" t="str">
        <f>IF(4&gt;MAX('冷凍品'!$AA$5:$AA$304),"",HYPERLINK("#'冷凍品'!D"&amp;(MATCH(4,'冷凍品'!$AA$5:$AA$304,0)+4),INDEX('冷凍品'!$D$5:$D$304,MATCH(4,'冷凍品'!$AA$5:$AA$304,0))))</f>
        <v>清炒蛤蜊義大利麵</v>
      </c>
    </row>
    <row r="26" spans="2:6">
      <c xmlns="http://schemas.openxmlformats.org/spreadsheetml/2006/main" r="B26" s="18" t="str">
        <f>IF(5&gt;MAX('18℃'!$Z$5:$Z$304),"",HYPERLINK("#'18℃'!C"&amp;(MATCH(5,'18℃'!$Z$5:$Z$304,0)+4),INDEX('18℃'!$C$5:$C$304,MATCH(5,'18℃'!$Z$5:$Z$304,0))))</f>
        <v/>
      </c>
      <c xmlns="http://schemas.openxmlformats.org/spreadsheetml/2006/main" r="C26" s="18" t="str">
        <f>IF(5&gt;MAX('4℃飯'!$Z$5:$Z$304),"",HYPERLINK("#'4℃飯'!C"&amp;(MATCH(5,'4℃飯'!$Z$5:$Z$304,0)+4),INDEX('4℃飯'!$C$5:$C$304,MATCH(5,'4℃飯'!$Z$5:$Z$304,0))))</f>
        <v/>
      </c>
      <c xmlns="http://schemas.openxmlformats.org/spreadsheetml/2006/main" r="D26" s="18" t="str">
        <f>IF(5&gt;MAX('4℃麵'!$AA$5:$AA$292),"",HYPERLINK("#'4℃麵'!D"&amp;(MATCH(5,'4℃麵'!$AA$5:$AA$292,0)+4),INDEX('4℃麵'!$D$5:$D$292,MATCH(5,'4℃麵'!$AA$5:$AA$292,0))))</f>
        <v>沙茶豬肉炒麵</v>
      </c>
      <c xmlns="http://schemas.openxmlformats.org/spreadsheetml/2006/main" r="E26" s="18" t="str">
        <f>IF(5&gt;MAX('4℃其他'!$AA$5:$AA$304),"",HYPERLINK("#'4℃其他'!D"&amp;(MATCH(5,'4℃其他'!$AA$5:$AA$304,0)+4),INDEX('4℃其他'!$D$5:$D$304,MATCH(5,'4℃其他'!$AA$5:$AA$304,0))))</f>
        <v>麻辣雞心</v>
      </c>
      <c xmlns="http://schemas.openxmlformats.org/spreadsheetml/2006/main" r="F26" s="18" t="str">
        <f>IF(5&gt;MAX('冷凍品'!$AA$5:$AA$304),"",HYPERLINK("#'冷凍品'!D"&amp;(MATCH(5,'冷凍品'!$AA$5:$AA$304,0)+4),INDEX('冷凍品'!$D$5:$D$304,MATCH(5,'冷凍品'!$AA$5:$AA$304,0))))</f>
        <v>經典肉醬義大利麵</v>
      </c>
    </row>
    <row r="27" spans="2:6">
      <c xmlns="http://schemas.openxmlformats.org/spreadsheetml/2006/main" r="B27" s="18" t="str">
        <f>IF(6&gt;MAX('18℃'!$Z$5:$Z$304),"",HYPERLINK("#'18℃'!C"&amp;(MATCH(6,'18℃'!$Z$5:$Z$304,0)+4),INDEX('18℃'!$C$5:$C$304,MATCH(6,'18℃'!$Z$5:$Z$304,0))))</f>
        <v/>
      </c>
      <c xmlns="http://schemas.openxmlformats.org/spreadsheetml/2006/main" r="C27" s="18" t="str">
        <f>IF(6&gt;MAX('4℃飯'!$Z$5:$Z$304),"",HYPERLINK("#'4℃飯'!C"&amp;(MATCH(6,'4℃飯'!$Z$5:$Z$304,0)+4),INDEX('4℃飯'!$C$5:$C$304,MATCH(6,'4℃飯'!$Z$5:$Z$304,0))))</f>
        <v/>
      </c>
      <c xmlns="http://schemas.openxmlformats.org/spreadsheetml/2006/main" r="D27" s="18" t="str">
        <f>IF(6&gt;MAX('4℃麵'!$AA$5:$AA$292),"",HYPERLINK("#'4℃麵'!D"&amp;(MATCH(6,'4℃麵'!$AA$5:$AA$292,0)+4),INDEX('4℃麵'!$D$5:$D$292,MATCH(6,'4℃麵'!$AA$5:$AA$292,0))))</f>
        <v>府城鹽水意麵</v>
      </c>
      <c xmlns="http://schemas.openxmlformats.org/spreadsheetml/2006/main" r="E27" s="18" t="str">
        <f>IF(6&gt;MAX('4℃其他'!$AA$5:$AA$304),"",HYPERLINK("#'4℃其他'!D"&amp;(MATCH(6,'4℃其他'!$AA$5:$AA$304,0)+4),INDEX('4℃其他'!$D$5:$D$304,MATCH(6,'4℃其他'!$AA$5:$AA$304,0))))</f>
        <v/>
      </c>
      <c xmlns="http://schemas.openxmlformats.org/spreadsheetml/2006/main" r="F27" s="18" t="str">
        <f>IF(6&gt;MAX('冷凍品'!$AA$5:$AA$304),"",HYPERLINK("#'冷凍品'!D"&amp;(MATCH(6,'冷凍品'!$AA$5:$AA$304,0)+4),INDEX('冷凍品'!$D$5:$D$304,MATCH(6,'冷凍品'!$AA$5:$AA$304,0))))</f>
        <v>辣蕃茄義大利麵</v>
      </c>
    </row>
    <row r="28" spans="2:6">
      <c xmlns="http://schemas.openxmlformats.org/spreadsheetml/2006/main" r="B28" s="18" t="str">
        <f>IF(7&gt;MAX('18℃'!$Z$5:$Z$304),"",HYPERLINK("#'18℃'!C"&amp;(MATCH(7,'18℃'!$Z$5:$Z$304,0)+4),INDEX('18℃'!$C$5:$C$304,MATCH(7,'18℃'!$Z$5:$Z$304,0))))</f>
        <v/>
      </c>
      <c xmlns="http://schemas.openxmlformats.org/spreadsheetml/2006/main" r="C28" s="18" t="str">
        <f>IF(7&gt;MAX('4℃飯'!$Z$5:$Z$304),"",HYPERLINK("#'4℃飯'!C"&amp;(MATCH(7,'4℃飯'!$Z$5:$Z$304,0)+4),INDEX('4℃飯'!$C$5:$C$304,MATCH(7,'4℃飯'!$Z$5:$Z$304,0))))</f>
        <v/>
      </c>
      <c xmlns="http://schemas.openxmlformats.org/spreadsheetml/2006/main" r="D28" s="18" t="str">
        <f>IF(7&gt;MAX('4℃麵'!$AA$5:$AA$292),"",HYPERLINK("#'4℃麵'!D"&amp;(MATCH(7,'4℃麵'!$AA$5:$AA$292,0)+4),INDEX('4℃麵'!$D$5:$D$292,MATCH(7,'4℃麵'!$AA$5:$AA$292,0))))</f>
        <v>青花椒麻雞肉拌麵</v>
      </c>
      <c xmlns="http://schemas.openxmlformats.org/spreadsheetml/2006/main" r="E28" s="18" t="str">
        <f>IF(7&gt;MAX('4℃其他'!$AA$5:$AA$304),"",HYPERLINK("#'4℃其他'!D"&amp;(MATCH(7,'4℃其他'!$AA$5:$AA$304,0)+4),INDEX('4℃其他'!$D$5:$D$304,MATCH(7,'4℃其他'!$AA$5:$AA$304,0))))</f>
        <v/>
      </c>
      <c xmlns="http://schemas.openxmlformats.org/spreadsheetml/2006/main" r="F28" s="18" t="str">
        <f>IF(7&gt;MAX('冷凍品'!$AA$5:$AA$304),"",HYPERLINK("#'冷凍品'!D"&amp;(MATCH(7,'冷凍品'!$AA$5:$AA$304,0)+4),INDEX('冷凍品'!$D$5:$D$304,MATCH(7,'冷凍品'!$AA$5:$AA$304,0))))</f>
        <v>濃郁牛肉肉醬義大利麵</v>
      </c>
    </row>
    <row r="29" spans="2:6">
      <c xmlns="http://schemas.openxmlformats.org/spreadsheetml/2006/main" r="B29" s="18" t="str">
        <f>IF(8&gt;MAX('18℃'!$Z$5:$Z$304),"",HYPERLINK("#'18℃'!C"&amp;(MATCH(8,'18℃'!$Z$5:$Z$304,0)+4),INDEX('18℃'!$C$5:$C$304,MATCH(8,'18℃'!$Z$5:$Z$304,0))))</f>
        <v/>
      </c>
      <c xmlns="http://schemas.openxmlformats.org/spreadsheetml/2006/main" r="C29" s="18" t="str">
        <f>IF(8&gt;MAX('4℃飯'!$Z$5:$Z$304),"",HYPERLINK("#'4℃飯'!C"&amp;(MATCH(8,'4℃飯'!$Z$5:$Z$304,0)+4),INDEX('4℃飯'!$C$5:$C$304,MATCH(8,'4℃飯'!$Z$5:$Z$304,0))))</f>
        <v/>
      </c>
      <c xmlns="http://schemas.openxmlformats.org/spreadsheetml/2006/main" r="D29" s="18" t="str">
        <f>IF(8&gt;MAX('4℃麵'!$AA$5:$AA$292),"",HYPERLINK("#'4℃麵'!D"&amp;(MATCH(8,'4℃麵'!$AA$5:$AA$292,0)+4),INDEX('4℃麵'!$D$5:$D$292,MATCH(8,'4℃麵'!$AA$5:$AA$292,0))))</f>
        <v>青醬蛤蜊義大利麵RN</v>
      </c>
      <c xmlns="http://schemas.openxmlformats.org/spreadsheetml/2006/main" r="E29" s="18" t="str">
        <f>IF(8&gt;MAX('4℃其他'!$AA$5:$AA$304),"",HYPERLINK("#'4℃其他'!D"&amp;(MATCH(8,'4℃其他'!$AA$5:$AA$304,0)+4),INDEX('4℃其他'!$D$5:$D$304,MATCH(8,'4℃其他'!$AA$5:$AA$304,0))))</f>
        <v/>
      </c>
      <c xmlns="http://schemas.openxmlformats.org/spreadsheetml/2006/main" r="F29" s="18" t="str">
        <f>IF(8&gt;MAX('冷凍品'!$AA$5:$AA$304),"",HYPERLINK("#'冷凍品'!D"&amp;(MATCH(8,'冷凍品'!$AA$5:$AA$304,0)+4),INDEX('冷凍品'!$D$5:$D$304,MATCH(8,'冷凍品'!$AA$5:$AA$304,0))))</f>
        <v>韓式起司義大利麵</v>
      </c>
    </row>
    <row r="30" spans="2:6">
      <c xmlns="http://schemas.openxmlformats.org/spreadsheetml/2006/main" r="B30" s="18" t="str">
        <f>IF(9&gt;MAX('18℃'!$Z$5:$Z$304),"",HYPERLINK("#'18℃'!C"&amp;(MATCH(9,'18℃'!$Z$5:$Z$304,0)+4),INDEX('18℃'!$C$5:$C$304,MATCH(9,'18℃'!$Z$5:$Z$304,0))))</f>
        <v/>
      </c>
      <c xmlns="http://schemas.openxmlformats.org/spreadsheetml/2006/main" r="C30" s="18" t="str">
        <f>IF(9&gt;MAX('4℃飯'!$Z$5:$Z$304),"",HYPERLINK("#'4℃飯'!C"&amp;(MATCH(9,'4℃飯'!$Z$5:$Z$304,0)+4),INDEX('4℃飯'!$C$5:$C$304,MATCH(9,'4℃飯'!$Z$5:$Z$304,0))))</f>
        <v/>
      </c>
      <c xmlns="http://schemas.openxmlformats.org/spreadsheetml/2006/main" r="D30" s="18" t="str">
        <f>IF(9&gt;MAX('4℃麵'!$AA$5:$AA$292),"",HYPERLINK("#'4℃麵'!D"&amp;(MATCH(9,'4℃麵'!$AA$5:$AA$292,0)+4),INDEX('4℃麵'!$D$5:$D$292,MATCH(9,'4℃麵'!$AA$5:$AA$292,0))))</f>
        <v>香煎魚排佐檸檬奶油義大利麵</v>
      </c>
      <c xmlns="http://schemas.openxmlformats.org/spreadsheetml/2006/main" r="E30" s="18" t="str">
        <f>IF(9&gt;MAX('4℃其他'!$AA$5:$AA$304),"",HYPERLINK("#'4℃其他'!D"&amp;(MATCH(9,'4℃其他'!$AA$5:$AA$304,0)+4),INDEX('4℃其他'!$D$5:$D$304,MATCH(9,'4℃其他'!$AA$5:$AA$304,0))))</f>
        <v/>
      </c>
      <c xmlns="http://schemas.openxmlformats.org/spreadsheetml/2006/main" r="F30" s="18" t="str">
        <f>IF(9&gt;MAX('冷凍品'!$AA$5:$AA$304),"",HYPERLINK("#'冷凍品'!D"&amp;(MATCH(9,'冷凍品'!$AA$5:$AA$304,0)+4),INDEX('冷凍品'!$D$5:$D$304,MATCH(9,'冷凍品'!$AA$5:$AA$304,0))))</f>
        <v>(冷凍)黑松露野菇義大利麵</v>
      </c>
    </row>
    <row r="31" spans="2:6">
      <c xmlns="http://schemas.openxmlformats.org/spreadsheetml/2006/main" r="B31" s="18" t="str">
        <f>IF(10&gt;MAX('18℃'!$Z$5:$Z$304),"",HYPERLINK("#'18℃'!C"&amp;(MATCH(10,'18℃'!$Z$5:$Z$304,0)+4),INDEX('18℃'!$C$5:$C$304,MATCH(10,'18℃'!$Z$5:$Z$304,0))))</f>
        <v/>
      </c>
      <c xmlns="http://schemas.openxmlformats.org/spreadsheetml/2006/main" r="C31" s="18" t="str">
        <f>IF(10&gt;MAX('4℃飯'!$Z$5:$Z$304),"",HYPERLINK("#'4℃飯'!C"&amp;(MATCH(10,'4℃飯'!$Z$5:$Z$304,0)+4),INDEX('4℃飯'!$C$5:$C$304,MATCH(10,'4℃飯'!$Z$5:$Z$304,0))))</f>
        <v/>
      </c>
      <c xmlns="http://schemas.openxmlformats.org/spreadsheetml/2006/main" r="D31" s="18" t="str">
        <f>IF(10&gt;MAX('4℃麵'!$AA$5:$AA$292),"",HYPERLINK("#'4℃麵'!D"&amp;(MATCH(10,'4℃麵'!$AA$5:$AA$292,0)+4),INDEX('4℃麵'!$D$5:$D$292,MATCH(10,'4℃麵'!$AA$5:$AA$292,0))))</f>
        <v>焗烤起司雙饗筆尖麵</v>
      </c>
      <c xmlns="http://schemas.openxmlformats.org/spreadsheetml/2006/main" r="E31" s="18" t="str">
        <f>IF(10&gt;MAX('4℃其他'!$AA$5:$AA$304),"",HYPERLINK("#'4℃其他'!D"&amp;(MATCH(10,'4℃其他'!$AA$5:$AA$304,0)+4),INDEX('4℃其他'!$D$5:$D$304,MATCH(10,'4℃其他'!$AA$5:$AA$304,0))))</f>
        <v/>
      </c>
      <c xmlns="http://schemas.openxmlformats.org/spreadsheetml/2006/main" r="F31" s="18" t="str">
        <f>IF(10&gt;MAX('冷凍品'!$AA$5:$AA$304),"",HYPERLINK("#'冷凍品'!D"&amp;(MATCH(10,'冷凍品'!$AA$5:$AA$304,0)+4),INDEX('冷凍品'!$D$5:$D$304,MATCH(10,'冷凍品'!$AA$5:$AA$304,0))))</f>
        <v/>
      </c>
    </row>
    <row r="32" spans="2:6">
      <c xmlns="http://schemas.openxmlformats.org/spreadsheetml/2006/main" r="B32" s="18" t="str">
        <f>IF(11&gt;MAX('18℃'!$Z$5:$Z$304),"",HYPERLINK("#'18℃'!C"&amp;(MATCH(11,'18℃'!$Z$5:$Z$304,0)+4),INDEX('18℃'!$C$5:$C$304,MATCH(11,'18℃'!$Z$5:$Z$304,0))))</f>
        <v/>
      </c>
      <c xmlns="http://schemas.openxmlformats.org/spreadsheetml/2006/main" r="C32" s="18" t="str">
        <f>IF(11&gt;MAX('4℃飯'!$Z$5:$Z$304),"",HYPERLINK("#'4℃飯'!C"&amp;(MATCH(11,'4℃飯'!$Z$5:$Z$304,0)+4),INDEX('4℃飯'!$C$5:$C$304,MATCH(11,'4℃飯'!$Z$5:$Z$304,0))))</f>
        <v/>
      </c>
      <c xmlns="http://schemas.openxmlformats.org/spreadsheetml/2006/main" r="D32" s="18" t="str">
        <f>IF(11&gt;MAX('4℃麵'!$AA$5:$AA$292),"",HYPERLINK("#'4℃麵'!D"&amp;(MATCH(11,'4℃麵'!$AA$5:$AA$292,0)+4),INDEX('4℃麵'!$D$5:$D$292,MATCH(11,'4℃麵'!$AA$5:$AA$292,0))))</f>
        <v>黑松露野菇義大利麵</v>
      </c>
      <c xmlns="http://schemas.openxmlformats.org/spreadsheetml/2006/main" r="E32" s="18" t="str">
        <f>IF(11&gt;MAX('4℃其他'!$AA$5:$AA$304),"",HYPERLINK("#'4℃其他'!D"&amp;(MATCH(11,'4℃其他'!$AA$5:$AA$304,0)+4),INDEX('4℃其他'!$D$5:$D$304,MATCH(11,'4℃其他'!$AA$5:$AA$304,0))))</f>
        <v/>
      </c>
      <c xmlns="http://schemas.openxmlformats.org/spreadsheetml/2006/main" r="F32" s="18" t="str">
        <f>IF(11&gt;MAX('冷凍品'!$AA$5:$AA$304),"",HYPERLINK("#'冷凍品'!D"&amp;(MATCH(11,'冷凍品'!$AA$5:$AA$304,0)+4),INDEX('冷凍品'!$D$5:$D$304,MATCH(11,'冷凍品'!$AA$5:$AA$304,0))))</f>
        <v/>
      </c>
    </row>
    <row r="33" spans="2:6">
      <c xmlns="http://schemas.openxmlformats.org/spreadsheetml/2006/main" r="B33" s="18" t="str">
        <f>IF(12&gt;MAX('18℃'!$Z$5:$Z$304),"",HYPERLINK("#'18℃'!C"&amp;(MATCH(12,'18℃'!$Z$5:$Z$304,0)+4),INDEX('18℃'!$C$5:$C$304,MATCH(12,'18℃'!$Z$5:$Z$304,0))))</f>
        <v/>
      </c>
      <c xmlns="http://schemas.openxmlformats.org/spreadsheetml/2006/main" r="C33" s="18" t="str">
        <f>IF(12&gt;MAX('4℃飯'!$Z$5:$Z$304),"",HYPERLINK("#'4℃飯'!C"&amp;(MATCH(12,'4℃飯'!$Z$5:$Z$304,0)+4),INDEX('4℃飯'!$C$5:$C$304,MATCH(12,'4℃飯'!$Z$5:$Z$304,0))))</f>
        <v/>
      </c>
      <c xmlns="http://schemas.openxmlformats.org/spreadsheetml/2006/main" r="D33" s="18" t="str">
        <f>IF(12&gt;MAX('4℃麵'!$AA$5:$AA$292),"",HYPERLINK("#'4℃麵'!D"&amp;(MATCH(12,'4℃麵'!$AA$5:$AA$292,0)+4),INDEX('4℃麵'!$D$5:$D$292,MATCH(12,'4℃麵'!$AA$5:$AA$292,0))))</f>
        <v>義式蛋蛋青醬鮪魚冷義大利麵</v>
      </c>
      <c xmlns="http://schemas.openxmlformats.org/spreadsheetml/2006/main" r="E33" s="18" t="str">
        <f>IF(12&gt;MAX('4℃其他'!$AA$5:$AA$304),"",HYPERLINK("#'4℃其他'!D"&amp;(MATCH(12,'4℃其他'!$AA$5:$AA$304,0)+4),INDEX('4℃其他'!$D$5:$D$304,MATCH(12,'4℃其他'!$AA$5:$AA$304,0))))</f>
        <v/>
      </c>
      <c xmlns="http://schemas.openxmlformats.org/spreadsheetml/2006/main" r="F33" s="18" t="str">
        <f>IF(12&gt;MAX('冷凍品'!$AA$5:$AA$304),"",HYPERLINK("#'冷凍品'!D"&amp;(MATCH(12,'冷凍品'!$AA$5:$AA$304,0)+4),INDEX('冷凍品'!$D$5:$D$304,MATCH(12,'冷凍品'!$AA$5:$AA$304,0))))</f>
        <v/>
      </c>
    </row>
    <row r="34" spans="2:6">
      <c xmlns="http://schemas.openxmlformats.org/spreadsheetml/2006/main" r="B34" s="18" t="str">
        <f>IF(13&gt;MAX('18℃'!$Z$5:$Z$304),"",HYPERLINK("#'18℃'!C"&amp;(MATCH(13,'18℃'!$Z$5:$Z$304,0)+4),INDEX('18℃'!$C$5:$C$304,MATCH(13,'18℃'!$Z$5:$Z$304,0))))</f>
        <v/>
      </c>
      <c xmlns="http://schemas.openxmlformats.org/spreadsheetml/2006/main" r="C34" s="18" t="str">
        <f>IF(13&gt;MAX('4℃飯'!$Z$5:$Z$304),"",HYPERLINK("#'4℃飯'!C"&amp;(MATCH(13,'4℃飯'!$Z$5:$Z$304,0)+4),INDEX('4℃飯'!$C$5:$C$304,MATCH(13,'4℃飯'!$Z$5:$Z$304,0))))</f>
        <v/>
      </c>
      <c xmlns="http://schemas.openxmlformats.org/spreadsheetml/2006/main" r="D34" s="18" t="str">
        <f>IF(13&gt;MAX('4℃麵'!$AA$5:$AA$292),"",HYPERLINK("#'4℃麵'!D"&amp;(MATCH(13,'4℃麵'!$AA$5:$AA$292,0)+4),INDEX('4℃麵'!$D$5:$D$292,MATCH(13,'4℃麵'!$AA$5:$AA$292,0))))</f>
        <v>義式蕃茄起司義大利麵</v>
      </c>
      <c xmlns="http://schemas.openxmlformats.org/spreadsheetml/2006/main" r="E34" s="18" t="str">
        <f>IF(13&gt;MAX('4℃其他'!$AA$5:$AA$304),"",HYPERLINK("#'4℃其他'!D"&amp;(MATCH(13,'4℃其他'!$AA$5:$AA$304,0)+4),INDEX('4℃其他'!$D$5:$D$304,MATCH(13,'4℃其他'!$AA$5:$AA$304,0))))</f>
        <v/>
      </c>
      <c xmlns="http://schemas.openxmlformats.org/spreadsheetml/2006/main" r="F34" s="18" t="str">
        <f>IF(13&gt;MAX('冷凍品'!$AA$5:$AA$304),"",HYPERLINK("#'冷凍品'!D"&amp;(MATCH(13,'冷凍品'!$AA$5:$AA$304,0)+4),INDEX('冷凍品'!$D$5:$D$304,MATCH(13,'冷凍品'!$AA$5:$AA$304,0))))</f>
        <v/>
      </c>
    </row>
    <row r="35" spans="2:6">
      <c xmlns="http://schemas.openxmlformats.org/spreadsheetml/2006/main" r="B35" s="18" t="str">
        <f>IF(14&gt;MAX('18℃'!$Z$5:$Z$304),"",HYPERLINK("#'18℃'!C"&amp;(MATCH(14,'18℃'!$Z$5:$Z$304,0)+4),INDEX('18℃'!$C$5:$C$304,MATCH(14,'18℃'!$Z$5:$Z$304,0))))</f>
        <v/>
      </c>
      <c xmlns="http://schemas.openxmlformats.org/spreadsheetml/2006/main" r="C35" s="18" t="str">
        <f>IF(14&gt;MAX('4℃飯'!$Z$5:$Z$304),"",HYPERLINK("#'4℃飯'!C"&amp;(MATCH(14,'4℃飯'!$Z$5:$Z$304,0)+4),INDEX('4℃飯'!$C$5:$C$304,MATCH(14,'4℃飯'!$Z$5:$Z$304,0))))</f>
        <v/>
      </c>
      <c xmlns="http://schemas.openxmlformats.org/spreadsheetml/2006/main" r="D35" s="18" t="str">
        <f>IF(14&gt;MAX('4℃麵'!$AA$5:$AA$292),"",HYPERLINK("#'4℃麵'!D"&amp;(MATCH(14,'4℃麵'!$AA$5:$AA$292,0)+4),INDEX('4℃麵'!$D$5:$D$292,MATCH(14,'4℃麵'!$AA$5:$AA$292,0))))</f>
        <v>蒜香奶油蝦蝦義大利麵</v>
      </c>
      <c xmlns="http://schemas.openxmlformats.org/spreadsheetml/2006/main" r="E35" s="18" t="str">
        <f>IF(14&gt;MAX('4℃其他'!$AA$5:$AA$304),"",HYPERLINK("#'4℃其他'!D"&amp;(MATCH(14,'4℃其他'!$AA$5:$AA$304,0)+4),INDEX('4℃其他'!$D$5:$D$304,MATCH(14,'4℃其他'!$AA$5:$AA$304,0))))</f>
        <v/>
      </c>
      <c xmlns="http://schemas.openxmlformats.org/spreadsheetml/2006/main" r="F35" s="18" t="str">
        <f>IF(14&gt;MAX('冷凍品'!$AA$5:$AA$304),"",HYPERLINK("#'冷凍品'!D"&amp;(MATCH(14,'冷凍品'!$AA$5:$AA$304,0)+4),INDEX('冷凍品'!$D$5:$D$304,MATCH(14,'冷凍品'!$AA$5:$AA$304,0))))</f>
        <v/>
      </c>
    </row>
    <row r="36" spans="2:6">
      <c xmlns="http://schemas.openxmlformats.org/spreadsheetml/2006/main" r="B36" s="18" t="str">
        <f>IF(15&gt;MAX('18℃'!$Z$5:$Z$304),"",HYPERLINK("#'18℃'!C"&amp;(MATCH(15,'18℃'!$Z$5:$Z$304,0)+4),INDEX('18℃'!$C$5:$C$304,MATCH(15,'18℃'!$Z$5:$Z$304,0))))</f>
        <v/>
      </c>
      <c xmlns="http://schemas.openxmlformats.org/spreadsheetml/2006/main" r="C36" s="18" t="str">
        <f>IF(15&gt;MAX('4℃飯'!$Z$5:$Z$304),"",HYPERLINK("#'4℃飯'!C"&amp;(MATCH(15,'4℃飯'!$Z$5:$Z$304,0)+4),INDEX('4℃飯'!$C$5:$C$304,MATCH(15,'4℃飯'!$Z$5:$Z$304,0))))</f>
        <v/>
      </c>
      <c xmlns="http://schemas.openxmlformats.org/spreadsheetml/2006/main" r="D36" s="18" t="str">
        <f>IF(15&gt;MAX('4℃麵'!$AA$5:$AA$292),"",HYPERLINK("#'4℃麵'!D"&amp;(MATCH(15,'4℃麵'!$AA$5:$AA$292,0)+4),INDEX('4℃麵'!$D$5:$D$292,MATCH(15,'4℃麵'!$AA$5:$AA$292,0))))</f>
        <v>蕃茄莎莎海鮮冷義大利麵</v>
      </c>
      <c xmlns="http://schemas.openxmlformats.org/spreadsheetml/2006/main" r="E36" s="18" t="str">
        <f>IF(15&gt;MAX('4℃其他'!$AA$5:$AA$304),"",HYPERLINK("#'4℃其他'!D"&amp;(MATCH(15,'4℃其他'!$AA$5:$AA$304,0)+4),INDEX('4℃其他'!$D$5:$D$304,MATCH(15,'4℃其他'!$AA$5:$AA$304,0))))</f>
        <v/>
      </c>
      <c xmlns="http://schemas.openxmlformats.org/spreadsheetml/2006/main" r="F36" s="18" t="str">
        <f>IF(15&gt;MAX('冷凍品'!$AA$5:$AA$304),"",HYPERLINK("#'冷凍品'!D"&amp;(MATCH(15,'冷凍品'!$AA$5:$AA$304,0)+4),INDEX('冷凍品'!$D$5:$D$304,MATCH(15,'冷凍品'!$AA$5:$AA$304,0))))</f>
        <v/>
      </c>
    </row>
    <row r="37" spans="2:6">
      <c xmlns="http://schemas.openxmlformats.org/spreadsheetml/2006/main" r="B37" s="18" t="str">
        <f>IF(16&gt;MAX('18℃'!$Z$5:$Z$304),"",HYPERLINK("#'18℃'!C"&amp;(MATCH(16,'18℃'!$Z$5:$Z$304,0)+4),INDEX('18℃'!$C$5:$C$304,MATCH(16,'18℃'!$Z$5:$Z$304,0))))</f>
        <v/>
      </c>
      <c xmlns="http://schemas.openxmlformats.org/spreadsheetml/2006/main" r="C37" s="18" t="str">
        <f>IF(16&gt;MAX('4℃飯'!$Z$5:$Z$304),"",HYPERLINK("#'4℃飯'!C"&amp;(MATCH(16,'4℃飯'!$Z$5:$Z$304,0)+4),INDEX('4℃飯'!$C$5:$C$304,MATCH(16,'4℃飯'!$Z$5:$Z$304,0))))</f>
        <v/>
      </c>
      <c xmlns="http://schemas.openxmlformats.org/spreadsheetml/2006/main" r="D37" s="18" t="str">
        <f>IF(16&gt;MAX('4℃麵'!$AA$5:$AA$292),"",HYPERLINK("#'4℃麵'!D"&amp;(MATCH(16,'4℃麵'!$AA$5:$AA$292,0)+4),INDEX('4℃麵'!$D$5:$D$292,MATCH(16,'4℃麵'!$AA$5:$AA$292,0))))</f>
        <v>羅馬黑胡椒起司義大利麵</v>
      </c>
      <c xmlns="http://schemas.openxmlformats.org/spreadsheetml/2006/main" r="E37" s="18" t="str">
        <f>IF(16&gt;MAX('4℃其他'!$AA$5:$AA$304),"",HYPERLINK("#'4℃其他'!D"&amp;(MATCH(16,'4℃其他'!$AA$5:$AA$304,0)+4),INDEX('4℃其他'!$D$5:$D$304,MATCH(16,'4℃其他'!$AA$5:$AA$304,0))))</f>
        <v/>
      </c>
      <c xmlns="http://schemas.openxmlformats.org/spreadsheetml/2006/main" r="F37" s="18" t="str">
        <f>IF(16&gt;MAX('冷凍品'!$AA$5:$AA$304),"",HYPERLINK("#'冷凍品'!D"&amp;(MATCH(16,'冷凍品'!$AA$5:$AA$304,0)+4),INDEX('冷凍品'!$D$5:$D$304,MATCH(16,'冷凍品'!$AA$5:$AA$304,0))))</f>
        <v/>
      </c>
    </row>
    <row r="38" spans="2:6">
      <c xmlns="http://schemas.openxmlformats.org/spreadsheetml/2006/main" r="B38" s="18" t="str">
        <f>IF(17&gt;MAX('18℃'!$Z$5:$Z$304),"",HYPERLINK("#'18℃'!C"&amp;(MATCH(17,'18℃'!$Z$5:$Z$304,0)+4),INDEX('18℃'!$C$5:$C$304,MATCH(17,'18℃'!$Z$5:$Z$304,0))))</f>
        <v/>
      </c>
      <c xmlns="http://schemas.openxmlformats.org/spreadsheetml/2006/main" r="C38" s="18" t="str">
        <f>IF(17&gt;MAX('4℃飯'!$Z$5:$Z$304),"",HYPERLINK("#'4℃飯'!C"&amp;(MATCH(17,'4℃飯'!$Z$5:$Z$304,0)+4),INDEX('4℃飯'!$C$5:$C$304,MATCH(17,'4℃飯'!$Z$5:$Z$304,0))))</f>
        <v/>
      </c>
      <c xmlns="http://schemas.openxmlformats.org/spreadsheetml/2006/main" r="D38" s="18" t="str">
        <f>IF(17&gt;MAX('4℃麵'!$AA$5:$AA$292),"",HYPERLINK("#'4℃麵'!D"&amp;(MATCH(17,'4℃麵'!$AA$5:$AA$292,0)+4),INDEX('4℃麵'!$D$5:$D$292,MATCH(17,'4℃麵'!$AA$5:$AA$292,0))))</f>
        <v>鱈魚佐粉紅青醬筆尖麵</v>
      </c>
      <c xmlns="http://schemas.openxmlformats.org/spreadsheetml/2006/main" r="E38" s="18" t="str">
        <f>IF(17&gt;MAX('4℃其他'!$AA$5:$AA$304),"",HYPERLINK("#'4℃其他'!D"&amp;(MATCH(17,'4℃其他'!$AA$5:$AA$304,0)+4),INDEX('4℃其他'!$D$5:$D$304,MATCH(17,'4℃其他'!$AA$5:$AA$304,0))))</f>
        <v/>
      </c>
      <c xmlns="http://schemas.openxmlformats.org/spreadsheetml/2006/main" r="F38" s="18" t="str">
        <f>IF(17&gt;MAX('冷凍品'!$AA$5:$AA$304),"",HYPERLINK("#'冷凍品'!D"&amp;(MATCH(17,'冷凍品'!$AA$5:$AA$304,0)+4),INDEX('冷凍品'!$D$5:$D$304,MATCH(17,'冷凍品'!$AA$5:$AA$304,0))))</f>
        <v/>
      </c>
    </row>
    <row r="39" spans="2:6">
      <c xmlns="http://schemas.openxmlformats.org/spreadsheetml/2006/main" r="B39" s="18" t="str">
        <f>IF(18&gt;MAX('18℃'!$Z$5:$Z$304),"",HYPERLINK("#'18℃'!C"&amp;(MATCH(18,'18℃'!$Z$5:$Z$304,0)+4),INDEX('18℃'!$C$5:$C$304,MATCH(18,'18℃'!$Z$5:$Z$304,0))))</f>
        <v/>
      </c>
      <c xmlns="http://schemas.openxmlformats.org/spreadsheetml/2006/main" r="C39" s="18" t="str">
        <f>IF(18&gt;MAX('4℃飯'!$Z$5:$Z$304),"",HYPERLINK("#'4℃飯'!C"&amp;(MATCH(18,'4℃飯'!$Z$5:$Z$304,0)+4),INDEX('4℃飯'!$C$5:$C$304,MATCH(18,'4℃飯'!$Z$5:$Z$304,0))))</f>
        <v/>
      </c>
      <c xmlns="http://schemas.openxmlformats.org/spreadsheetml/2006/main" r="D39" s="18" t="str">
        <f>IF(18&gt;MAX('4℃麵'!$AA$5:$AA$292),"",HYPERLINK("#'4℃麵'!D"&amp;(MATCH(18,'4℃麵'!$AA$5:$AA$292,0)+4),INDEX('4℃麵'!$D$5:$D$292,MATCH(18,'4℃麵'!$AA$5:$AA$292,0))))</f>
        <v>燻鴨佐白蘭地義大利麵</v>
      </c>
      <c xmlns="http://schemas.openxmlformats.org/spreadsheetml/2006/main" r="E39" s="18" t="str">
        <f>IF(18&gt;MAX('4℃其他'!$AA$5:$AA$304),"",HYPERLINK("#'4℃其他'!D"&amp;(MATCH(18,'4℃其他'!$AA$5:$AA$304,0)+4),INDEX('4℃其他'!$D$5:$D$304,MATCH(18,'4℃其他'!$AA$5:$AA$304,0))))</f>
        <v/>
      </c>
      <c xmlns="http://schemas.openxmlformats.org/spreadsheetml/2006/main" r="F39" s="18" t="str">
        <f>IF(18&gt;MAX('冷凍品'!$AA$5:$AA$304),"",HYPERLINK("#'冷凍品'!D"&amp;(MATCH(18,'冷凍品'!$AA$5:$AA$304,0)+4),INDEX('冷凍品'!$D$5:$D$304,MATCH(18,'冷凍品'!$AA$5:$AA$304,0))))</f>
        <v/>
      </c>
    </row>
    <row r="40" spans="2:6">
      <c xmlns="http://schemas.openxmlformats.org/spreadsheetml/2006/main" r="B40" s="18" t="str">
        <f>IF(19&gt;MAX('18℃'!$Z$5:$Z$304),"",HYPERLINK("#'18℃'!C"&amp;(MATCH(19,'18℃'!$Z$5:$Z$304,0)+4),INDEX('18℃'!$C$5:$C$304,MATCH(19,'18℃'!$Z$5:$Z$304,0))))</f>
        <v/>
      </c>
      <c xmlns="http://schemas.openxmlformats.org/spreadsheetml/2006/main" r="C40" s="18" t="str">
        <f>IF(19&gt;MAX('4℃飯'!$Z$5:$Z$304),"",HYPERLINK("#'4℃飯'!C"&amp;(MATCH(19,'4℃飯'!$Z$5:$Z$304,0)+4),INDEX('4℃飯'!$C$5:$C$304,MATCH(19,'4℃飯'!$Z$5:$Z$304,0))))</f>
        <v/>
      </c>
      <c xmlns="http://schemas.openxmlformats.org/spreadsheetml/2006/main" r="D40" s="18" t="str">
        <f>IF(19&gt;MAX('4℃麵'!$AA$5:$AA$292),"",HYPERLINK("#'4℃麵'!D"&amp;(MATCH(19,'4℃麵'!$AA$5:$AA$292,0)+4),INDEX('4℃麵'!$D$5:$D$292,MATCH(19,'4℃麵'!$AA$5:$AA$292,0))))</f>
        <v>拿坡里燻腸義大利麵</v>
      </c>
      <c xmlns="http://schemas.openxmlformats.org/spreadsheetml/2006/main" r="E40" s="18" t="str">
        <f>IF(19&gt;MAX('4℃其他'!$AA$5:$AA$304),"",HYPERLINK("#'4℃其他'!D"&amp;(MATCH(19,'4℃其他'!$AA$5:$AA$304,0)+4),INDEX('4℃其他'!$D$5:$D$304,MATCH(19,'4℃其他'!$AA$5:$AA$304,0))))</f>
        <v/>
      </c>
      <c xmlns="http://schemas.openxmlformats.org/spreadsheetml/2006/main" r="F40" s="18" t="str">
        <f>IF(19&gt;MAX('冷凍品'!$AA$5:$AA$304),"",HYPERLINK("#'冷凍品'!D"&amp;(MATCH(19,'冷凍品'!$AA$5:$AA$304,0)+4),INDEX('冷凍品'!$D$5:$D$304,MATCH(19,'冷凍品'!$AA$5:$AA$304,0))))</f>
        <v/>
      </c>
    </row>
    <row r="41" spans="2:6">
      <c xmlns="http://schemas.openxmlformats.org/spreadsheetml/2006/main" r="B41" s="18" t="str">
        <f>IF(20&gt;MAX('18℃'!$Z$5:$Z$304),"",HYPERLINK("#'18℃'!C"&amp;(MATCH(20,'18℃'!$Z$5:$Z$304,0)+4),INDEX('18℃'!$C$5:$C$304,MATCH(20,'18℃'!$Z$5:$Z$304,0))))</f>
        <v/>
      </c>
      <c xmlns="http://schemas.openxmlformats.org/spreadsheetml/2006/main" r="C41" s="18" t="str">
        <f>IF(20&gt;MAX('4℃飯'!$Z$5:$Z$304),"",HYPERLINK("#'4℃飯'!C"&amp;(MATCH(20,'4℃飯'!$Z$5:$Z$304,0)+4),INDEX('4℃飯'!$C$5:$C$304,MATCH(20,'4℃飯'!$Z$5:$Z$304,0))))</f>
        <v/>
      </c>
      <c xmlns="http://schemas.openxmlformats.org/spreadsheetml/2006/main" r="D41" s="18" t="str">
        <f>IF(20&gt;MAX('4℃麵'!$AA$5:$AA$292),"",HYPERLINK("#'4℃麵'!D"&amp;(MATCH(20,'4℃麵'!$AA$5:$AA$292,0)+4),INDEX('4℃麵'!$D$5:$D$292,MATCH(20,'4℃麵'!$AA$5:$AA$292,0))))</f>
        <v>卡波納拉義大利麵</v>
      </c>
      <c xmlns="http://schemas.openxmlformats.org/spreadsheetml/2006/main" r="E41" s="18" t="str">
        <f>IF(20&gt;MAX('4℃其他'!$AA$5:$AA$304),"",HYPERLINK("#'4℃其他'!D"&amp;(MATCH(20,'4℃其他'!$AA$5:$AA$304,0)+4),INDEX('4℃其他'!$D$5:$D$304,MATCH(20,'4℃其他'!$AA$5:$AA$304,0))))</f>
        <v/>
      </c>
      <c xmlns="http://schemas.openxmlformats.org/spreadsheetml/2006/main" r="F41" s="18" t="str">
        <f>IF(20&gt;MAX('冷凍品'!$AA$5:$AA$304),"",HYPERLINK("#'冷凍品'!D"&amp;(MATCH(20,'冷凍品'!$AA$5:$AA$304,0)+4),INDEX('冷凍品'!$D$5:$D$304,MATCH(20,'冷凍品'!$AA$5:$AA$304,0))))</f>
        <v/>
      </c>
    </row>
    <row r="42" spans="2:6">
      <c xmlns="http://schemas.openxmlformats.org/spreadsheetml/2006/main" r="B42" s="18" t="str">
        <f>IF(21&gt;MAX('18℃'!$Z$5:$Z$304),"",HYPERLINK("#'18℃'!C"&amp;(MATCH(21,'18℃'!$Z$5:$Z$304,0)+4),INDEX('18℃'!$C$5:$C$304,MATCH(21,'18℃'!$Z$5:$Z$304,0))))</f>
        <v/>
      </c>
      <c xmlns="http://schemas.openxmlformats.org/spreadsheetml/2006/main" r="C42" s="18" t="str">
        <f>IF(21&gt;MAX('4℃飯'!$Z$5:$Z$304),"",HYPERLINK("#'4℃飯'!C"&amp;(MATCH(21,'4℃飯'!$Z$5:$Z$304,0)+4),INDEX('4℃飯'!$C$5:$C$304,MATCH(21,'4℃飯'!$Z$5:$Z$304,0))))</f>
        <v/>
      </c>
      <c xmlns="http://schemas.openxmlformats.org/spreadsheetml/2006/main" r="D42" s="18" t="str">
        <f>IF(21&gt;MAX('4℃麵'!$AA$5:$AA$292),"",HYPERLINK("#'4℃麵'!D"&amp;(MATCH(21,'4℃麵'!$AA$5:$AA$292,0)+4),INDEX('4℃麵'!$D$5:$D$292,MATCH(21,'4℃麵'!$AA$5:$AA$292,0))))</f>
        <v>義式蒜香鮮蝦義大利麵</v>
      </c>
      <c xmlns="http://schemas.openxmlformats.org/spreadsheetml/2006/main" r="E42" s="18" t="str">
        <f>IF(21&gt;MAX('4℃其他'!$AA$5:$AA$304),"",HYPERLINK("#'4℃其他'!D"&amp;(MATCH(21,'4℃其他'!$AA$5:$AA$304,0)+4),INDEX('4℃其他'!$D$5:$D$304,MATCH(21,'4℃其他'!$AA$5:$AA$304,0))))</f>
        <v/>
      </c>
      <c xmlns="http://schemas.openxmlformats.org/spreadsheetml/2006/main" r="F42" s="18" t="str">
        <f>IF(21&gt;MAX('冷凍品'!$AA$5:$AA$304),"",HYPERLINK("#'冷凍品'!D"&amp;(MATCH(21,'冷凍品'!$AA$5:$AA$304,0)+4),INDEX('冷凍品'!$D$5:$D$304,MATCH(21,'冷凍品'!$AA$5:$AA$304,0))))</f>
        <v/>
      </c>
    </row>
    <row r="43" spans="2:6">
      <c xmlns="http://schemas.openxmlformats.org/spreadsheetml/2006/main" r="B43" s="18" t="str">
        <f>IF(22&gt;MAX('18℃'!$Z$5:$Z$304),"",HYPERLINK("#'18℃'!C"&amp;(MATCH(22,'18℃'!$Z$5:$Z$304,0)+4),INDEX('18℃'!$C$5:$C$304,MATCH(22,'18℃'!$Z$5:$Z$304,0))))</f>
        <v/>
      </c>
      <c xmlns="http://schemas.openxmlformats.org/spreadsheetml/2006/main" r="C43" s="18" t="str">
        <f>IF(22&gt;MAX('4℃飯'!$Z$5:$Z$304),"",HYPERLINK("#'4℃飯'!C"&amp;(MATCH(22,'4℃飯'!$Z$5:$Z$304,0)+4),INDEX('4℃飯'!$C$5:$C$304,MATCH(22,'4℃飯'!$Z$5:$Z$304,0))))</f>
        <v/>
      </c>
      <c xmlns="http://schemas.openxmlformats.org/spreadsheetml/2006/main" r="D43" s="18" t="str">
        <f>IF(22&gt;MAX('4℃麵'!$AA$5:$AA$292),"",HYPERLINK("#'4℃麵'!D"&amp;(MATCH(22,'4℃麵'!$AA$5:$AA$292,0)+4),INDEX('4℃麵'!$D$5:$D$292,MATCH(22,'4℃麵'!$AA$5:$AA$292,0))))</f>
        <v>蕃茄蘑菇義大利麵</v>
      </c>
      <c xmlns="http://schemas.openxmlformats.org/spreadsheetml/2006/main" r="E43" s="18" t="str">
        <f>IF(22&gt;MAX('4℃其他'!$AA$5:$AA$304),"",HYPERLINK("#'4℃其他'!D"&amp;(MATCH(22,'4℃其他'!$AA$5:$AA$304,0)+4),INDEX('4℃其他'!$D$5:$D$304,MATCH(22,'4℃其他'!$AA$5:$AA$304,0))))</f>
        <v/>
      </c>
      <c xmlns="http://schemas.openxmlformats.org/spreadsheetml/2006/main" r="F43" s="18" t="str">
        <f>IF(22&gt;MAX('冷凍品'!$AA$5:$AA$304),"",HYPERLINK("#'冷凍品'!D"&amp;(MATCH(22,'冷凍品'!$AA$5:$AA$304,0)+4),INDEX('冷凍品'!$D$5:$D$304,MATCH(22,'冷凍品'!$AA$5:$AA$304,0))))</f>
        <v/>
      </c>
    </row>
    <row r="44" spans="2:6">
      <c xmlns="http://schemas.openxmlformats.org/spreadsheetml/2006/main" r="B44" s="18" t="str">
        <f>IF(23&gt;MAX('18℃'!$Z$5:$Z$304),"",HYPERLINK("#'18℃'!C"&amp;(MATCH(23,'18℃'!$Z$5:$Z$304,0)+4),INDEX('18℃'!$C$5:$C$304,MATCH(23,'18℃'!$Z$5:$Z$304,0))))</f>
        <v/>
      </c>
      <c xmlns="http://schemas.openxmlformats.org/spreadsheetml/2006/main" r="C44" s="18" t="str">
        <f>IF(23&gt;MAX('4℃飯'!$Z$5:$Z$304),"",HYPERLINK("#'4℃飯'!C"&amp;(MATCH(23,'4℃飯'!$Z$5:$Z$304,0)+4),INDEX('4℃飯'!$C$5:$C$304,MATCH(23,'4℃飯'!$Z$5:$Z$304,0))))</f>
        <v/>
      </c>
      <c xmlns="http://schemas.openxmlformats.org/spreadsheetml/2006/main" r="D44" s="18" t="str">
        <f>IF(23&gt;MAX('4℃麵'!$AA$5:$AA$292),"",HYPERLINK("#'4℃麵'!D"&amp;(MATCH(23,'4℃麵'!$AA$5:$AA$292,0)+4),INDEX('4℃麵'!$D$5:$D$292,MATCH(23,'4℃麵'!$AA$5:$AA$292,0))))</f>
        <v>麻婆豆腐波浪麵</v>
      </c>
      <c xmlns="http://schemas.openxmlformats.org/spreadsheetml/2006/main" r="E44" s="18" t="str">
        <f>IF(23&gt;MAX('4℃其他'!$AA$5:$AA$304),"",HYPERLINK("#'4℃其他'!D"&amp;(MATCH(23,'4℃其他'!$AA$5:$AA$304,0)+4),INDEX('4℃其他'!$D$5:$D$304,MATCH(23,'4℃其他'!$AA$5:$AA$304,0))))</f>
        <v/>
      </c>
      <c xmlns="http://schemas.openxmlformats.org/spreadsheetml/2006/main" r="F44" s="18" t="str">
        <f>IF(23&gt;MAX('冷凍品'!$AA$5:$AA$304),"",HYPERLINK("#'冷凍品'!D"&amp;(MATCH(23,'冷凍品'!$AA$5:$AA$304,0)+4),INDEX('冷凍品'!$D$5:$D$304,MATCH(23,'冷凍品'!$AA$5:$AA$304,0))))</f>
        <v/>
      </c>
    </row>
    <row r="45" spans="2:6">
      <c xmlns="http://schemas.openxmlformats.org/spreadsheetml/2006/main" r="B45" s="18" t="str">
        <f>IF(24&gt;MAX('18℃'!$Z$5:$Z$304),"",HYPERLINK("#'18℃'!C"&amp;(MATCH(24,'18℃'!$Z$5:$Z$304,0)+4),INDEX('18℃'!$C$5:$C$304,MATCH(24,'18℃'!$Z$5:$Z$304,0))))</f>
        <v/>
      </c>
      <c xmlns="http://schemas.openxmlformats.org/spreadsheetml/2006/main" r="C45" s="18" t="str">
        <f>IF(24&gt;MAX('4℃飯'!$Z$5:$Z$304),"",HYPERLINK("#'4℃飯'!C"&amp;(MATCH(24,'4℃飯'!$Z$5:$Z$304,0)+4),INDEX('4℃飯'!$C$5:$C$304,MATCH(24,'4℃飯'!$Z$5:$Z$304,0))))</f>
        <v/>
      </c>
      <c xmlns="http://schemas.openxmlformats.org/spreadsheetml/2006/main" r="D45" s="18" t="str">
        <f>IF(24&gt;MAX('4℃麵'!$AA$5:$AA$292),"",HYPERLINK("#'4℃麵'!D"&amp;(MATCH(24,'4℃麵'!$AA$5:$AA$292,0)+4),INDEX('4℃麵'!$D$5:$D$292,MATCH(24,'4℃麵'!$AA$5:$AA$292,0))))</f>
        <v>焗烤起司肉醬筆尖麵</v>
      </c>
      <c xmlns="http://schemas.openxmlformats.org/spreadsheetml/2006/main" r="E45" s="18" t="str">
        <f>IF(24&gt;MAX('4℃其他'!$AA$5:$AA$304),"",HYPERLINK("#'4℃其他'!D"&amp;(MATCH(24,'4℃其他'!$AA$5:$AA$304,0)+4),INDEX('4℃其他'!$D$5:$D$304,MATCH(24,'4℃其他'!$AA$5:$AA$304,0))))</f>
        <v/>
      </c>
      <c xmlns="http://schemas.openxmlformats.org/spreadsheetml/2006/main" r="F45" s="18" t="str">
        <f>IF(24&gt;MAX('冷凍品'!$AA$5:$AA$304),"",HYPERLINK("#'冷凍品'!D"&amp;(MATCH(24,'冷凍品'!$AA$5:$AA$304,0)+4),INDEX('冷凍品'!$D$5:$D$304,MATCH(24,'冷凍品'!$AA$5:$AA$304,0))))</f>
        <v/>
      </c>
    </row>
    <row r="46" spans="2:6">
      <c xmlns="http://schemas.openxmlformats.org/spreadsheetml/2006/main" r="B46" s="18" t="str">
        <f>IF(25&gt;MAX('18℃'!$Z$5:$Z$304),"",HYPERLINK("#'18℃'!C"&amp;(MATCH(25,'18℃'!$Z$5:$Z$304,0)+4),INDEX('18℃'!$C$5:$C$304,MATCH(25,'18℃'!$Z$5:$Z$304,0))))</f>
        <v/>
      </c>
      <c xmlns="http://schemas.openxmlformats.org/spreadsheetml/2006/main" r="C46" s="18" t="str">
        <f>IF(25&gt;MAX('4℃飯'!$Z$5:$Z$304),"",HYPERLINK("#'4℃飯'!C"&amp;(MATCH(25,'4℃飯'!$Z$5:$Z$304,0)+4),INDEX('4℃飯'!$C$5:$C$304,MATCH(25,'4℃飯'!$Z$5:$Z$304,0))))</f>
        <v/>
      </c>
      <c xmlns="http://schemas.openxmlformats.org/spreadsheetml/2006/main" r="D46" s="18" t="str">
        <f>IF(25&gt;MAX('4℃麵'!$AA$5:$AA$292),"",HYPERLINK("#'4℃麵'!D"&amp;(MATCH(25,'4℃麵'!$AA$5:$AA$292,0)+4),INDEX('4℃麵'!$D$5:$D$292,MATCH(25,'4℃麵'!$AA$5:$AA$292,0))))</f>
        <v>焦糖拿鐵烤雞細扁麵</v>
      </c>
      <c xmlns="http://schemas.openxmlformats.org/spreadsheetml/2006/main" r="E46" s="18" t="str">
        <f>IF(25&gt;MAX('4℃其他'!$AA$5:$AA$304),"",HYPERLINK("#'4℃其他'!D"&amp;(MATCH(25,'4℃其他'!$AA$5:$AA$304,0)+4),INDEX('4℃其他'!$D$5:$D$304,MATCH(25,'4℃其他'!$AA$5:$AA$304,0))))</f>
        <v/>
      </c>
      <c xmlns="http://schemas.openxmlformats.org/spreadsheetml/2006/main" r="F46" s="18" t="str">
        <f>IF(25&gt;MAX('冷凍品'!$AA$5:$AA$304),"",HYPERLINK("#'冷凍品'!D"&amp;(MATCH(25,'冷凍品'!$AA$5:$AA$304,0)+4),INDEX('冷凍品'!$D$5:$D$304,MATCH(25,'冷凍品'!$AA$5:$AA$304,0))))</f>
        <v/>
      </c>
    </row>
    <row r="47" spans="2:6">
      <c xmlns="http://schemas.openxmlformats.org/spreadsheetml/2006/main" r="B47" s="18" t="str">
        <f>IF(26&gt;MAX('18℃'!$Z$5:$Z$304),"",HYPERLINK("#'18℃'!C"&amp;(MATCH(26,'18℃'!$Z$5:$Z$304,0)+4),INDEX('18℃'!$C$5:$C$304,MATCH(26,'18℃'!$Z$5:$Z$304,0))))</f>
        <v/>
      </c>
      <c xmlns="http://schemas.openxmlformats.org/spreadsheetml/2006/main" r="C47" s="18" t="str">
        <f>IF(26&gt;MAX('4℃飯'!$Z$5:$Z$304),"",HYPERLINK("#'4℃飯'!C"&amp;(MATCH(26,'4℃飯'!$Z$5:$Z$304,0)+4),INDEX('4℃飯'!$C$5:$C$304,MATCH(26,'4℃飯'!$Z$5:$Z$304,0))))</f>
        <v/>
      </c>
      <c xmlns="http://schemas.openxmlformats.org/spreadsheetml/2006/main" r="D47" s="18" t="str">
        <f>IF(26&gt;MAX('4℃麵'!$AA$5:$AA$292),"",HYPERLINK("#'4℃麵'!D"&amp;(MATCH(26,'4℃麵'!$AA$5:$AA$292,0)+4),INDEX('4℃麵'!$D$5:$D$292,MATCH(26,'4℃麵'!$AA$5:$AA$292,0))))</f>
        <v>四種起司焗烤筆尖麵</v>
      </c>
      <c xmlns="http://schemas.openxmlformats.org/spreadsheetml/2006/main" r="E47" s="18" t="str">
        <f>IF(26&gt;MAX('4℃其他'!$AA$5:$AA$304),"",HYPERLINK("#'4℃其他'!D"&amp;(MATCH(26,'4℃其他'!$AA$5:$AA$304,0)+4),INDEX('4℃其他'!$D$5:$D$304,MATCH(26,'4℃其他'!$AA$5:$AA$304,0))))</f>
        <v/>
      </c>
      <c xmlns="http://schemas.openxmlformats.org/spreadsheetml/2006/main" r="F47" s="18" t="str">
        <f>IF(26&gt;MAX('冷凍品'!$AA$5:$AA$304),"",HYPERLINK("#'冷凍品'!D"&amp;(MATCH(26,'冷凍品'!$AA$5:$AA$304,0)+4),INDEX('冷凍品'!$D$5:$D$304,MATCH(26,'冷凍品'!$AA$5:$AA$304,0))))</f>
        <v/>
      </c>
    </row>
    <row r="48" spans="2:6">
      <c xmlns="http://schemas.openxmlformats.org/spreadsheetml/2006/main" r="B48" s="18" t="str">
        <f>IF(27&gt;MAX('18℃'!$Z$5:$Z$304),"",HYPERLINK("#'18℃'!C"&amp;(MATCH(27,'18℃'!$Z$5:$Z$304,0)+4),INDEX('18℃'!$C$5:$C$304,MATCH(27,'18℃'!$Z$5:$Z$304,0))))</f>
        <v/>
      </c>
      <c xmlns="http://schemas.openxmlformats.org/spreadsheetml/2006/main" r="C48" s="18" t="str">
        <f>IF(27&gt;MAX('4℃飯'!$Z$5:$Z$304),"",HYPERLINK("#'4℃飯'!C"&amp;(MATCH(27,'4℃飯'!$Z$5:$Z$304,0)+4),INDEX('4℃飯'!$C$5:$C$304,MATCH(27,'4℃飯'!$Z$5:$Z$304,0))))</f>
        <v/>
      </c>
      <c xmlns="http://schemas.openxmlformats.org/spreadsheetml/2006/main" r="D48" s="18" t="str">
        <f>IF(27&gt;MAX('4℃麵'!$AA$5:$AA$292),"",HYPERLINK("#'4℃麵'!D"&amp;(MATCH(27,'4℃麵'!$AA$5:$AA$292,0)+4),INDEX('4℃麵'!$D$5:$D$292,MATCH(27,'4℃麵'!$AA$5:$AA$292,0))))</f>
        <v/>
      </c>
      <c xmlns="http://schemas.openxmlformats.org/spreadsheetml/2006/main" r="E48" s="18" t="str">
        <f>IF(27&gt;MAX('4℃其他'!$AA$5:$AA$304),"",HYPERLINK("#'4℃其他'!D"&amp;(MATCH(27,'4℃其他'!$AA$5:$AA$304,0)+4),INDEX('4℃其他'!$D$5:$D$304,MATCH(27,'4℃其他'!$AA$5:$AA$304,0))))</f>
        <v/>
      </c>
      <c xmlns="http://schemas.openxmlformats.org/spreadsheetml/2006/main" r="F48" s="18" t="str">
        <f>IF(27&gt;MAX('冷凍品'!$AA$5:$AA$304),"",HYPERLINK("#'冷凍品'!D"&amp;(MATCH(27,'冷凍品'!$AA$5:$AA$304,0)+4),INDEX('冷凍品'!$D$5:$D$304,MATCH(27,'冷凍品'!$AA$5:$AA$304,0))))</f>
        <v/>
      </c>
    </row>
    <row r="49" spans="2:6">
      <c xmlns="http://schemas.openxmlformats.org/spreadsheetml/2006/main" r="B49" s="18" t="str">
        <f>IF(28&gt;MAX('18℃'!$Z$5:$Z$304),"",HYPERLINK("#'18℃'!C"&amp;(MATCH(28,'18℃'!$Z$5:$Z$304,0)+4),INDEX('18℃'!$C$5:$C$304,MATCH(28,'18℃'!$Z$5:$Z$304,0))))</f>
        <v/>
      </c>
      <c xmlns="http://schemas.openxmlformats.org/spreadsheetml/2006/main" r="C49" s="18" t="str">
        <f>IF(28&gt;MAX('4℃飯'!$Z$5:$Z$304),"",HYPERLINK("#'4℃飯'!C"&amp;(MATCH(28,'4℃飯'!$Z$5:$Z$304,0)+4),INDEX('4℃飯'!$C$5:$C$304,MATCH(28,'4℃飯'!$Z$5:$Z$304,0))))</f>
        <v/>
      </c>
      <c xmlns="http://schemas.openxmlformats.org/spreadsheetml/2006/main" r="D49" s="18" t="str">
        <f>IF(28&gt;MAX('4℃麵'!$AA$5:$AA$292),"",HYPERLINK("#'4℃麵'!D"&amp;(MATCH(28,'4℃麵'!$AA$5:$AA$292,0)+4),INDEX('4℃麵'!$D$5:$D$292,MATCH(28,'4℃麵'!$AA$5:$AA$292,0))))</f>
        <v/>
      </c>
      <c xmlns="http://schemas.openxmlformats.org/spreadsheetml/2006/main" r="E49" s="18" t="str">
        <f>IF(28&gt;MAX('4℃其他'!$AA$5:$AA$304),"",HYPERLINK("#'4℃其他'!D"&amp;(MATCH(28,'4℃其他'!$AA$5:$AA$304,0)+4),INDEX('4℃其他'!$D$5:$D$304,MATCH(28,'4℃其他'!$AA$5:$AA$304,0))))</f>
        <v/>
      </c>
      <c xmlns="http://schemas.openxmlformats.org/spreadsheetml/2006/main" r="F49" s="18" t="str">
        <f>IF(28&gt;MAX('冷凍品'!$AA$5:$AA$304),"",HYPERLINK("#'冷凍品'!D"&amp;(MATCH(28,'冷凍品'!$AA$5:$AA$304,0)+4),INDEX('冷凍品'!$D$5:$D$304,MATCH(28,'冷凍品'!$AA$5:$AA$304,0))))</f>
        <v/>
      </c>
    </row>
    <row r="50" spans="2:6">
      <c xmlns="http://schemas.openxmlformats.org/spreadsheetml/2006/main" r="B50" s="18" t="str">
        <f>IF(29&gt;MAX('18℃'!$Z$5:$Z$304),"",HYPERLINK("#'18℃'!C"&amp;(MATCH(29,'18℃'!$Z$5:$Z$304,0)+4),INDEX('18℃'!$C$5:$C$304,MATCH(29,'18℃'!$Z$5:$Z$304,0))))</f>
        <v/>
      </c>
      <c xmlns="http://schemas.openxmlformats.org/spreadsheetml/2006/main" r="C50" s="18" t="str">
        <f>IF(29&gt;MAX('4℃飯'!$Z$5:$Z$304),"",HYPERLINK("#'4℃飯'!C"&amp;(MATCH(29,'4℃飯'!$Z$5:$Z$304,0)+4),INDEX('4℃飯'!$C$5:$C$304,MATCH(29,'4℃飯'!$Z$5:$Z$304,0))))</f>
        <v/>
      </c>
      <c xmlns="http://schemas.openxmlformats.org/spreadsheetml/2006/main" r="D50" s="18" t="str">
        <f>IF(29&gt;MAX('4℃麵'!$AA$5:$AA$292),"",HYPERLINK("#'4℃麵'!D"&amp;(MATCH(29,'4℃麵'!$AA$5:$AA$292,0)+4),INDEX('4℃麵'!$D$5:$D$292,MATCH(29,'4℃麵'!$AA$5:$AA$292,0))))</f>
        <v/>
      </c>
      <c xmlns="http://schemas.openxmlformats.org/spreadsheetml/2006/main" r="E50" s="18" t="str">
        <f>IF(29&gt;MAX('4℃其他'!$AA$5:$AA$304),"",HYPERLINK("#'4℃其他'!D"&amp;(MATCH(29,'4℃其他'!$AA$5:$AA$304,0)+4),INDEX('4℃其他'!$D$5:$D$304,MATCH(29,'4℃其他'!$AA$5:$AA$304,0))))</f>
        <v/>
      </c>
      <c xmlns="http://schemas.openxmlformats.org/spreadsheetml/2006/main" r="F50" s="18" t="str">
        <f>IF(29&gt;MAX('冷凍品'!$AA$5:$AA$304),"",HYPERLINK("#'冷凍品'!D"&amp;(MATCH(29,'冷凍品'!$AA$5:$AA$304,0)+4),INDEX('冷凍品'!$D$5:$D$304,MATCH(29,'冷凍品'!$AA$5:$AA$304,0))))</f>
        <v/>
      </c>
    </row>
    <row r="51" spans="2:6">
      <c xmlns="http://schemas.openxmlformats.org/spreadsheetml/2006/main" r="B51" s="18" t="str">
        <f>IF(30&gt;MAX('18℃'!$Z$5:$Z$304),"",HYPERLINK("#'18℃'!C"&amp;(MATCH(30,'18℃'!$Z$5:$Z$304,0)+4),INDEX('18℃'!$C$5:$C$304,MATCH(30,'18℃'!$Z$5:$Z$304,0))))</f>
        <v/>
      </c>
      <c xmlns="http://schemas.openxmlformats.org/spreadsheetml/2006/main" r="C51" s="18" t="str">
        <f>IF(30&gt;MAX('4℃飯'!$Z$5:$Z$304),"",HYPERLINK("#'4℃飯'!C"&amp;(MATCH(30,'4℃飯'!$Z$5:$Z$304,0)+4),INDEX('4℃飯'!$C$5:$C$304,MATCH(30,'4℃飯'!$Z$5:$Z$304,0))))</f>
        <v/>
      </c>
      <c xmlns="http://schemas.openxmlformats.org/spreadsheetml/2006/main" r="D51" s="18" t="str">
        <f>IF(30&gt;MAX('4℃麵'!$AA$5:$AA$292),"",HYPERLINK("#'4℃麵'!D"&amp;(MATCH(30,'4℃麵'!$AA$5:$AA$292,0)+4),INDEX('4℃麵'!$D$5:$D$292,MATCH(30,'4℃麵'!$AA$5:$AA$292,0))))</f>
        <v/>
      </c>
      <c xmlns="http://schemas.openxmlformats.org/spreadsheetml/2006/main" r="E51" s="18" t="str">
        <f>IF(30&gt;MAX('4℃其他'!$AA$5:$AA$304),"",HYPERLINK("#'4℃其他'!D"&amp;(MATCH(30,'4℃其他'!$AA$5:$AA$304,0)+4),INDEX('4℃其他'!$D$5:$D$304,MATCH(30,'4℃其他'!$AA$5:$AA$304,0))))</f>
        <v/>
      </c>
      <c xmlns="http://schemas.openxmlformats.org/spreadsheetml/2006/main" r="F51" s="18" t="str">
        <f>IF(30&gt;MAX('冷凍品'!$AA$5:$AA$304),"",HYPERLINK("#'冷凍品'!D"&amp;(MATCH(30,'冷凍品'!$AA$5:$AA$304,0)+4),INDEX('冷凍品'!$D$5:$D$304,MATCH(30,'冷凍品'!$AA$5:$AA$304,0))))</f>
        <v/>
      </c>
    </row>
    <row r="52" spans="2:6">
      <c xmlns="http://schemas.openxmlformats.org/spreadsheetml/2006/main" r="B52" s="18" t="str">
        <f>IF(31&gt;MAX('18℃'!$Z$5:$Z$304),"",HYPERLINK("#'18℃'!C"&amp;(MATCH(31,'18℃'!$Z$5:$Z$304,0)+4),INDEX('18℃'!$C$5:$C$304,MATCH(31,'18℃'!$Z$5:$Z$304,0))))</f>
        <v/>
      </c>
      <c xmlns="http://schemas.openxmlformats.org/spreadsheetml/2006/main" r="C52" s="18" t="str">
        <f>IF(31&gt;MAX('4℃飯'!$Z$5:$Z$304),"",HYPERLINK("#'4℃飯'!C"&amp;(MATCH(31,'4℃飯'!$Z$5:$Z$304,0)+4),INDEX('4℃飯'!$C$5:$C$304,MATCH(31,'4℃飯'!$Z$5:$Z$304,0))))</f>
        <v/>
      </c>
      <c xmlns="http://schemas.openxmlformats.org/spreadsheetml/2006/main" r="D52" s="18" t="str">
        <f>IF(31&gt;MAX('4℃麵'!$AA$5:$AA$292),"",HYPERLINK("#'4℃麵'!D"&amp;(MATCH(31,'4℃麵'!$AA$5:$AA$292,0)+4),INDEX('4℃麵'!$D$5:$D$292,MATCH(31,'4℃麵'!$AA$5:$AA$292,0))))</f>
        <v/>
      </c>
      <c xmlns="http://schemas.openxmlformats.org/spreadsheetml/2006/main" r="E52" s="18" t="str">
        <f>IF(31&gt;MAX('4℃其他'!$AA$5:$AA$304),"",HYPERLINK("#'4℃其他'!D"&amp;(MATCH(31,'4℃其他'!$AA$5:$AA$304,0)+4),INDEX('4℃其他'!$D$5:$D$304,MATCH(31,'4℃其他'!$AA$5:$AA$304,0))))</f>
        <v/>
      </c>
      <c xmlns="http://schemas.openxmlformats.org/spreadsheetml/2006/main" r="F52" s="18" t="str">
        <f>IF(31&gt;MAX('冷凍品'!$AA$5:$AA$304),"",HYPERLINK("#'冷凍品'!D"&amp;(MATCH(31,'冷凍品'!$AA$5:$AA$304,0)+4),INDEX('冷凍品'!$D$5:$D$304,MATCH(31,'冷凍品'!$AA$5:$AA$304,0))))</f>
        <v/>
      </c>
    </row>
    <row r="53" spans="2:6">
      <c xmlns="http://schemas.openxmlformats.org/spreadsheetml/2006/main" r="B53" s="18" t="str">
        <f>IF(32&gt;MAX('18℃'!$Z$5:$Z$304),"",HYPERLINK("#'18℃'!C"&amp;(MATCH(32,'18℃'!$Z$5:$Z$304,0)+4),INDEX('18℃'!$C$5:$C$304,MATCH(32,'18℃'!$Z$5:$Z$304,0))))</f>
        <v/>
      </c>
      <c xmlns="http://schemas.openxmlformats.org/spreadsheetml/2006/main" r="C53" s="18" t="str">
        <f>IF(32&gt;MAX('4℃飯'!$Z$5:$Z$304),"",HYPERLINK("#'4℃飯'!C"&amp;(MATCH(32,'4℃飯'!$Z$5:$Z$304,0)+4),INDEX('4℃飯'!$C$5:$C$304,MATCH(32,'4℃飯'!$Z$5:$Z$304,0))))</f>
        <v/>
      </c>
      <c xmlns="http://schemas.openxmlformats.org/spreadsheetml/2006/main" r="D53" s="18" t="str">
        <f>IF(32&gt;MAX('4℃麵'!$AA$5:$AA$292),"",HYPERLINK("#'4℃麵'!D"&amp;(MATCH(32,'4℃麵'!$AA$5:$AA$292,0)+4),INDEX('4℃麵'!$D$5:$D$292,MATCH(32,'4℃麵'!$AA$5:$AA$292,0))))</f>
        <v/>
      </c>
      <c xmlns="http://schemas.openxmlformats.org/spreadsheetml/2006/main" r="E53" s="18" t="str">
        <f>IF(32&gt;MAX('4℃其他'!$AA$5:$AA$304),"",HYPERLINK("#'4℃其他'!D"&amp;(MATCH(32,'4℃其他'!$AA$5:$AA$304,0)+4),INDEX('4℃其他'!$D$5:$D$304,MATCH(32,'4℃其他'!$AA$5:$AA$304,0))))</f>
        <v/>
      </c>
      <c xmlns="http://schemas.openxmlformats.org/spreadsheetml/2006/main" r="F53" s="18" t="str">
        <f>IF(32&gt;MAX('冷凍品'!$AA$5:$AA$304),"",HYPERLINK("#'冷凍品'!D"&amp;(MATCH(32,'冷凍品'!$AA$5:$AA$304,0)+4),INDEX('冷凍品'!$D$5:$D$304,MATCH(32,'冷凍品'!$AA$5:$AA$304,0))))</f>
        <v/>
      </c>
    </row>
    <row r="54" spans="2:6">
      <c xmlns="http://schemas.openxmlformats.org/spreadsheetml/2006/main" r="B54" s="18" t="str">
        <f>IF(33&gt;MAX('18℃'!$Z$5:$Z$304),"",HYPERLINK("#'18℃'!C"&amp;(MATCH(33,'18℃'!$Z$5:$Z$304,0)+4),INDEX('18℃'!$C$5:$C$304,MATCH(33,'18℃'!$Z$5:$Z$304,0))))</f>
        <v/>
      </c>
      <c xmlns="http://schemas.openxmlformats.org/spreadsheetml/2006/main" r="C54" s="18" t="str">
        <f>IF(33&gt;MAX('4℃飯'!$Z$5:$Z$304),"",HYPERLINK("#'4℃飯'!C"&amp;(MATCH(33,'4℃飯'!$Z$5:$Z$304,0)+4),INDEX('4℃飯'!$C$5:$C$304,MATCH(33,'4℃飯'!$Z$5:$Z$304,0))))</f>
        <v/>
      </c>
      <c xmlns="http://schemas.openxmlformats.org/spreadsheetml/2006/main" r="D54" s="18" t="str">
        <f>IF(33&gt;MAX('4℃麵'!$AA$5:$AA$292),"",HYPERLINK("#'4℃麵'!D"&amp;(MATCH(33,'4℃麵'!$AA$5:$AA$292,0)+4),INDEX('4℃麵'!$D$5:$D$292,MATCH(33,'4℃麵'!$AA$5:$AA$292,0))))</f>
        <v/>
      </c>
      <c xmlns="http://schemas.openxmlformats.org/spreadsheetml/2006/main" r="E54" s="18" t="str">
        <f>IF(33&gt;MAX('4℃其他'!$AA$5:$AA$304),"",HYPERLINK("#'4℃其他'!D"&amp;(MATCH(33,'4℃其他'!$AA$5:$AA$304,0)+4),INDEX('4℃其他'!$D$5:$D$304,MATCH(33,'4℃其他'!$AA$5:$AA$304,0))))</f>
        <v/>
      </c>
      <c xmlns="http://schemas.openxmlformats.org/spreadsheetml/2006/main" r="F54" s="18" t="str">
        <f>IF(33&gt;MAX('冷凍品'!$AA$5:$AA$304),"",HYPERLINK("#'冷凍品'!D"&amp;(MATCH(33,'冷凍品'!$AA$5:$AA$304,0)+4),INDEX('冷凍品'!$D$5:$D$304,MATCH(33,'冷凍品'!$AA$5:$AA$304,0))))</f>
        <v/>
      </c>
    </row>
    <row r="55" spans="2:6">
      <c xmlns="http://schemas.openxmlformats.org/spreadsheetml/2006/main" r="B55" s="18" t="str">
        <f>IF(34&gt;MAX('18℃'!$Z$5:$Z$304),"",HYPERLINK("#'18℃'!C"&amp;(MATCH(34,'18℃'!$Z$5:$Z$304,0)+4),INDEX('18℃'!$C$5:$C$304,MATCH(34,'18℃'!$Z$5:$Z$304,0))))</f>
        <v/>
      </c>
      <c xmlns="http://schemas.openxmlformats.org/spreadsheetml/2006/main" r="C55" s="18" t="str">
        <f>IF(34&gt;MAX('4℃飯'!$Z$5:$Z$304),"",HYPERLINK("#'4℃飯'!C"&amp;(MATCH(34,'4℃飯'!$Z$5:$Z$304,0)+4),INDEX('4℃飯'!$C$5:$C$304,MATCH(34,'4℃飯'!$Z$5:$Z$304,0))))</f>
        <v/>
      </c>
      <c xmlns="http://schemas.openxmlformats.org/spreadsheetml/2006/main" r="D55" s="18" t="str">
        <f>IF(34&gt;MAX('4℃麵'!$AA$5:$AA$292),"",HYPERLINK("#'4℃麵'!D"&amp;(MATCH(34,'4℃麵'!$AA$5:$AA$292,0)+4),INDEX('4℃麵'!$D$5:$D$292,MATCH(34,'4℃麵'!$AA$5:$AA$292,0))))</f>
        <v/>
      </c>
      <c xmlns="http://schemas.openxmlformats.org/spreadsheetml/2006/main" r="E55" s="18" t="str">
        <f>IF(34&gt;MAX('4℃其他'!$AA$5:$AA$304),"",HYPERLINK("#'4℃其他'!D"&amp;(MATCH(34,'4℃其他'!$AA$5:$AA$304,0)+4),INDEX('4℃其他'!$D$5:$D$304,MATCH(34,'4℃其他'!$AA$5:$AA$304,0))))</f>
        <v/>
      </c>
      <c xmlns="http://schemas.openxmlformats.org/spreadsheetml/2006/main" r="F55" s="18" t="str">
        <f>IF(34&gt;MAX('冷凍品'!$AA$5:$AA$304),"",HYPERLINK("#'冷凍品'!D"&amp;(MATCH(34,'冷凍品'!$AA$5:$AA$304,0)+4),INDEX('冷凍品'!$D$5:$D$304,MATCH(34,'冷凍品'!$AA$5:$AA$304,0))))</f>
        <v/>
      </c>
    </row>
    <row r="56" spans="2:6">
      <c xmlns="http://schemas.openxmlformats.org/spreadsheetml/2006/main" r="B56" s="18" t="str">
        <f>IF(35&gt;MAX('18℃'!$Z$5:$Z$304),"",HYPERLINK("#'18℃'!C"&amp;(MATCH(35,'18℃'!$Z$5:$Z$304,0)+4),INDEX('18℃'!$C$5:$C$304,MATCH(35,'18℃'!$Z$5:$Z$304,0))))</f>
        <v/>
      </c>
      <c xmlns="http://schemas.openxmlformats.org/spreadsheetml/2006/main" r="C56" s="18" t="str">
        <f>IF(35&gt;MAX('4℃飯'!$Z$5:$Z$304),"",HYPERLINK("#'4℃飯'!C"&amp;(MATCH(35,'4℃飯'!$Z$5:$Z$304,0)+4),INDEX('4℃飯'!$C$5:$C$304,MATCH(35,'4℃飯'!$Z$5:$Z$304,0))))</f>
        <v/>
      </c>
      <c xmlns="http://schemas.openxmlformats.org/spreadsheetml/2006/main" r="D56" s="18" t="str">
        <f>IF(35&gt;MAX('4℃麵'!$AA$5:$AA$292),"",HYPERLINK("#'4℃麵'!D"&amp;(MATCH(35,'4℃麵'!$AA$5:$AA$292,0)+4),INDEX('4℃麵'!$D$5:$D$292,MATCH(35,'4℃麵'!$AA$5:$AA$292,0))))</f>
        <v/>
      </c>
      <c xmlns="http://schemas.openxmlformats.org/spreadsheetml/2006/main" r="E56" s="18" t="str">
        <f>IF(35&gt;MAX('4℃其他'!$AA$5:$AA$304),"",HYPERLINK("#'4℃其他'!D"&amp;(MATCH(35,'4℃其他'!$AA$5:$AA$304,0)+4),INDEX('4℃其他'!$D$5:$D$304,MATCH(35,'4℃其他'!$AA$5:$AA$304,0))))</f>
        <v/>
      </c>
      <c xmlns="http://schemas.openxmlformats.org/spreadsheetml/2006/main" r="F56" s="18" t="str">
        <f>IF(35&gt;MAX('冷凍品'!$AA$5:$AA$304),"",HYPERLINK("#'冷凍品'!D"&amp;(MATCH(35,'冷凍品'!$AA$5:$AA$304,0)+4),INDEX('冷凍品'!$D$5:$D$304,MATCH(35,'冷凍品'!$AA$5:$AA$304,0))))</f>
        <v/>
      </c>
    </row>
    <row r="57" spans="2:6">
      <c xmlns="http://schemas.openxmlformats.org/spreadsheetml/2006/main" r="B57" s="18" t="str">
        <f>IF(36&gt;MAX('18℃'!$Z$5:$Z$304),"",HYPERLINK("#'18℃'!C"&amp;(MATCH(36,'18℃'!$Z$5:$Z$304,0)+4),INDEX('18℃'!$C$5:$C$304,MATCH(36,'18℃'!$Z$5:$Z$304,0))))</f>
        <v/>
      </c>
      <c xmlns="http://schemas.openxmlformats.org/spreadsheetml/2006/main" r="C57" s="18" t="str">
        <f>IF(36&gt;MAX('4℃飯'!$Z$5:$Z$304),"",HYPERLINK("#'4℃飯'!C"&amp;(MATCH(36,'4℃飯'!$Z$5:$Z$304,0)+4),INDEX('4℃飯'!$C$5:$C$304,MATCH(36,'4℃飯'!$Z$5:$Z$304,0))))</f>
        <v/>
      </c>
      <c xmlns="http://schemas.openxmlformats.org/spreadsheetml/2006/main" r="D57" s="18" t="str">
        <f>IF(36&gt;MAX('4℃麵'!$AA$5:$AA$292),"",HYPERLINK("#'4℃麵'!D"&amp;(MATCH(36,'4℃麵'!$AA$5:$AA$292,0)+4),INDEX('4℃麵'!$D$5:$D$292,MATCH(36,'4℃麵'!$AA$5:$AA$292,0))))</f>
        <v/>
      </c>
      <c xmlns="http://schemas.openxmlformats.org/spreadsheetml/2006/main" r="E57" s="18" t="str">
        <f>IF(36&gt;MAX('4℃其他'!$AA$5:$AA$304),"",HYPERLINK("#'4℃其他'!D"&amp;(MATCH(36,'4℃其他'!$AA$5:$AA$304,0)+4),INDEX('4℃其他'!$D$5:$D$304,MATCH(36,'4℃其他'!$AA$5:$AA$304,0))))</f>
        <v/>
      </c>
      <c xmlns="http://schemas.openxmlformats.org/spreadsheetml/2006/main" r="F57" s="18" t="str">
        <f>IF(36&gt;MAX('冷凍品'!$AA$5:$AA$304),"",HYPERLINK("#'冷凍品'!D"&amp;(MATCH(36,'冷凍品'!$AA$5:$AA$304,0)+4),INDEX('冷凍品'!$D$5:$D$304,MATCH(36,'冷凍品'!$AA$5:$AA$304,0))))</f>
        <v/>
      </c>
    </row>
    <row r="58" spans="2:6">
      <c xmlns="http://schemas.openxmlformats.org/spreadsheetml/2006/main" r="B58" s="18" t="str">
        <f>IF(37&gt;MAX('18℃'!$Z$5:$Z$304),"",HYPERLINK("#'18℃'!C"&amp;(MATCH(37,'18℃'!$Z$5:$Z$304,0)+4),INDEX('18℃'!$C$5:$C$304,MATCH(37,'18℃'!$Z$5:$Z$304,0))))</f>
        <v/>
      </c>
      <c xmlns="http://schemas.openxmlformats.org/spreadsheetml/2006/main" r="C58" s="18" t="str">
        <f>IF(37&gt;MAX('4℃飯'!$Z$5:$Z$304),"",HYPERLINK("#'4℃飯'!C"&amp;(MATCH(37,'4℃飯'!$Z$5:$Z$304,0)+4),INDEX('4℃飯'!$C$5:$C$304,MATCH(37,'4℃飯'!$Z$5:$Z$304,0))))</f>
        <v/>
      </c>
      <c xmlns="http://schemas.openxmlformats.org/spreadsheetml/2006/main" r="D58" s="18" t="str">
        <f>IF(37&gt;MAX('4℃麵'!$AA$5:$AA$292),"",HYPERLINK("#'4℃麵'!D"&amp;(MATCH(37,'4℃麵'!$AA$5:$AA$292,0)+4),INDEX('4℃麵'!$D$5:$D$292,MATCH(37,'4℃麵'!$AA$5:$AA$292,0))))</f>
        <v/>
      </c>
      <c xmlns="http://schemas.openxmlformats.org/spreadsheetml/2006/main" r="E58" s="18" t="str">
        <f>IF(37&gt;MAX('4℃其他'!$AA$5:$AA$304),"",HYPERLINK("#'4℃其他'!D"&amp;(MATCH(37,'4℃其他'!$AA$5:$AA$304,0)+4),INDEX('4℃其他'!$D$5:$D$304,MATCH(37,'4℃其他'!$AA$5:$AA$304,0))))</f>
        <v/>
      </c>
      <c xmlns="http://schemas.openxmlformats.org/spreadsheetml/2006/main" r="F58" s="18" t="str">
        <f>IF(37&gt;MAX('冷凍品'!$AA$5:$AA$304),"",HYPERLINK("#'冷凍品'!D"&amp;(MATCH(37,'冷凍品'!$AA$5:$AA$304,0)+4),INDEX('冷凍品'!$D$5:$D$304,MATCH(37,'冷凍品'!$AA$5:$AA$304,0))))</f>
        <v/>
      </c>
    </row>
    <row r="59" spans="2:6">
      <c xmlns="http://schemas.openxmlformats.org/spreadsheetml/2006/main" r="B59" s="18" t="str">
        <f>IF(38&gt;MAX('18℃'!$Z$5:$Z$304),"",HYPERLINK("#'18℃'!C"&amp;(MATCH(38,'18℃'!$Z$5:$Z$304,0)+4),INDEX('18℃'!$C$5:$C$304,MATCH(38,'18℃'!$Z$5:$Z$304,0))))</f>
        <v/>
      </c>
      <c xmlns="http://schemas.openxmlformats.org/spreadsheetml/2006/main" r="C59" s="18" t="str">
        <f>IF(38&gt;MAX('4℃飯'!$Z$5:$Z$304),"",HYPERLINK("#'4℃飯'!C"&amp;(MATCH(38,'4℃飯'!$Z$5:$Z$304,0)+4),INDEX('4℃飯'!$C$5:$C$304,MATCH(38,'4℃飯'!$Z$5:$Z$304,0))))</f>
        <v/>
      </c>
      <c xmlns="http://schemas.openxmlformats.org/spreadsheetml/2006/main" r="D59" s="18" t="str">
        <f>IF(38&gt;MAX('4℃麵'!$AA$5:$AA$292),"",HYPERLINK("#'4℃麵'!D"&amp;(MATCH(38,'4℃麵'!$AA$5:$AA$292,0)+4),INDEX('4℃麵'!$D$5:$D$292,MATCH(38,'4℃麵'!$AA$5:$AA$292,0))))</f>
        <v/>
      </c>
      <c xmlns="http://schemas.openxmlformats.org/spreadsheetml/2006/main" r="E59" s="18" t="str">
        <f>IF(38&gt;MAX('4℃其他'!$AA$5:$AA$304),"",HYPERLINK("#'4℃其他'!D"&amp;(MATCH(38,'4℃其他'!$AA$5:$AA$304,0)+4),INDEX('4℃其他'!$D$5:$D$304,MATCH(38,'4℃其他'!$AA$5:$AA$304,0))))</f>
        <v/>
      </c>
      <c xmlns="http://schemas.openxmlformats.org/spreadsheetml/2006/main" r="F59" s="18" t="str">
        <f>IF(38&gt;MAX('冷凍品'!$AA$5:$AA$304),"",HYPERLINK("#'冷凍品'!D"&amp;(MATCH(38,'冷凍品'!$AA$5:$AA$304,0)+4),INDEX('冷凍品'!$D$5:$D$304,MATCH(38,'冷凍品'!$AA$5:$AA$304,0))))</f>
        <v/>
      </c>
    </row>
    <row r="60" spans="2:6">
      <c xmlns="http://schemas.openxmlformats.org/spreadsheetml/2006/main" r="B60" s="18" t="str">
        <f>IF(39&gt;MAX('18℃'!$Z$5:$Z$304),"",HYPERLINK("#'18℃'!C"&amp;(MATCH(39,'18℃'!$Z$5:$Z$304,0)+4),INDEX('18℃'!$C$5:$C$304,MATCH(39,'18℃'!$Z$5:$Z$304,0))))</f>
        <v/>
      </c>
      <c xmlns="http://schemas.openxmlformats.org/spreadsheetml/2006/main" r="C60" s="18" t="str">
        <f>IF(39&gt;MAX('4℃飯'!$Z$5:$Z$304),"",HYPERLINK("#'4℃飯'!C"&amp;(MATCH(39,'4℃飯'!$Z$5:$Z$304,0)+4),INDEX('4℃飯'!$C$5:$C$304,MATCH(39,'4℃飯'!$Z$5:$Z$304,0))))</f>
        <v/>
      </c>
      <c xmlns="http://schemas.openxmlformats.org/spreadsheetml/2006/main" r="D60" s="18" t="str">
        <f>IF(39&gt;MAX('4℃麵'!$AA$5:$AA$292),"",HYPERLINK("#'4℃麵'!D"&amp;(MATCH(39,'4℃麵'!$AA$5:$AA$292,0)+4),INDEX('4℃麵'!$D$5:$D$292,MATCH(39,'4℃麵'!$AA$5:$AA$292,0))))</f>
        <v/>
      </c>
      <c xmlns="http://schemas.openxmlformats.org/spreadsheetml/2006/main" r="E60" s="18" t="str">
        <f>IF(39&gt;MAX('4℃其他'!$AA$5:$AA$304),"",HYPERLINK("#'4℃其他'!D"&amp;(MATCH(39,'4℃其他'!$AA$5:$AA$304,0)+4),INDEX('4℃其他'!$D$5:$D$304,MATCH(39,'4℃其他'!$AA$5:$AA$304,0))))</f>
        <v/>
      </c>
      <c xmlns="http://schemas.openxmlformats.org/spreadsheetml/2006/main" r="F60" s="18" t="str">
        <f>IF(39&gt;MAX('冷凍品'!$AA$5:$AA$304),"",HYPERLINK("#'冷凍品'!D"&amp;(MATCH(39,'冷凍品'!$AA$5:$AA$304,0)+4),INDEX('冷凍品'!$D$5:$D$304,MATCH(39,'冷凍品'!$AA$5:$AA$304,0))))</f>
        <v/>
      </c>
    </row>
    <row r="61" spans="2:6">
      <c xmlns="http://schemas.openxmlformats.org/spreadsheetml/2006/main" r="B61" s="18" t="str">
        <f>IF(40&gt;MAX('18℃'!$Z$5:$Z$304),"",HYPERLINK("#'18℃'!C"&amp;(MATCH(40,'18℃'!$Z$5:$Z$304,0)+4),INDEX('18℃'!$C$5:$C$304,MATCH(40,'18℃'!$Z$5:$Z$304,0))))</f>
        <v/>
      </c>
      <c xmlns="http://schemas.openxmlformats.org/spreadsheetml/2006/main" r="C61" s="18" t="str">
        <f>IF(40&gt;MAX('4℃飯'!$Z$5:$Z$304),"",HYPERLINK("#'4℃飯'!C"&amp;(MATCH(40,'4℃飯'!$Z$5:$Z$304,0)+4),INDEX('4℃飯'!$C$5:$C$304,MATCH(40,'4℃飯'!$Z$5:$Z$304,0))))</f>
        <v/>
      </c>
      <c xmlns="http://schemas.openxmlformats.org/spreadsheetml/2006/main" r="D61" s="18" t="str">
        <f>IF(40&gt;MAX('4℃麵'!$AA$5:$AA$292),"",HYPERLINK("#'4℃麵'!D"&amp;(MATCH(40,'4℃麵'!$AA$5:$AA$292,0)+4),INDEX('4℃麵'!$D$5:$D$292,MATCH(40,'4℃麵'!$AA$5:$AA$292,0))))</f>
        <v/>
      </c>
      <c xmlns="http://schemas.openxmlformats.org/spreadsheetml/2006/main" r="E61" s="18" t="str">
        <f>IF(40&gt;MAX('4℃其他'!$AA$5:$AA$304),"",HYPERLINK("#'4℃其他'!D"&amp;(MATCH(40,'4℃其他'!$AA$5:$AA$304,0)+4),INDEX('4℃其他'!$D$5:$D$304,MATCH(40,'4℃其他'!$AA$5:$AA$304,0))))</f>
        <v/>
      </c>
      <c xmlns="http://schemas.openxmlformats.org/spreadsheetml/2006/main" r="F61" s="18" t="str">
        <f>IF(40&gt;MAX('冷凍品'!$AA$5:$AA$304),"",HYPERLINK("#'冷凍品'!D"&amp;(MATCH(40,'冷凍品'!$AA$5:$AA$304,0)+4),INDEX('冷凍品'!$D$5:$D$304,MATCH(40,'冷凍品'!$AA$5:$AA$304,0))))</f>
        <v/>
      </c>
    </row>
    <row r="62" spans="2:6">
      <c xmlns="http://schemas.openxmlformats.org/spreadsheetml/2006/main" r="B62" s="18" t="str">
        <f>IF(41&gt;MAX('18℃'!$Z$5:$Z$304),"",HYPERLINK("#'18℃'!C"&amp;(MATCH(41,'18℃'!$Z$5:$Z$304,0)+4),INDEX('18℃'!$C$5:$C$304,MATCH(41,'18℃'!$Z$5:$Z$304,0))))</f>
        <v/>
      </c>
      <c xmlns="http://schemas.openxmlformats.org/spreadsheetml/2006/main" r="C62" s="18" t="str">
        <f>IF(41&gt;MAX('4℃飯'!$Z$5:$Z$304),"",HYPERLINK("#'4℃飯'!C"&amp;(MATCH(41,'4℃飯'!$Z$5:$Z$304,0)+4),INDEX('4℃飯'!$C$5:$C$304,MATCH(41,'4℃飯'!$Z$5:$Z$304,0))))</f>
        <v/>
      </c>
      <c xmlns="http://schemas.openxmlformats.org/spreadsheetml/2006/main" r="D62" s="18" t="str">
        <f>IF(41&gt;MAX('4℃麵'!$AA$5:$AA$292),"",HYPERLINK("#'4℃麵'!D"&amp;(MATCH(41,'4℃麵'!$AA$5:$AA$292,0)+4),INDEX('4℃麵'!$D$5:$D$292,MATCH(41,'4℃麵'!$AA$5:$AA$292,0))))</f>
        <v/>
      </c>
      <c xmlns="http://schemas.openxmlformats.org/spreadsheetml/2006/main" r="E62" s="18" t="str">
        <f>IF(41&gt;MAX('4℃其他'!$AA$5:$AA$304),"",HYPERLINK("#'4℃其他'!D"&amp;(MATCH(41,'4℃其他'!$AA$5:$AA$304,0)+4),INDEX('4℃其他'!$D$5:$D$304,MATCH(41,'4℃其他'!$AA$5:$AA$304,0))))</f>
        <v/>
      </c>
      <c xmlns="http://schemas.openxmlformats.org/spreadsheetml/2006/main" r="F62" s="18" t="str">
        <f>IF(41&gt;MAX('冷凍品'!$AA$5:$AA$304),"",HYPERLINK("#'冷凍品'!D"&amp;(MATCH(41,'冷凍品'!$AA$5:$AA$304,0)+4),INDEX('冷凍品'!$D$5:$D$304,MATCH(41,'冷凍品'!$AA$5:$AA$304,0))))</f>
        <v/>
      </c>
    </row>
    <row r="63" spans="2:6">
      <c xmlns="http://schemas.openxmlformats.org/spreadsheetml/2006/main" r="B63" s="18" t="str">
        <f>IF(42&gt;MAX('18℃'!$Z$5:$Z$304),"",HYPERLINK("#'18℃'!C"&amp;(MATCH(42,'18℃'!$Z$5:$Z$304,0)+4),INDEX('18℃'!$C$5:$C$304,MATCH(42,'18℃'!$Z$5:$Z$304,0))))</f>
        <v/>
      </c>
      <c xmlns="http://schemas.openxmlformats.org/spreadsheetml/2006/main" r="C63" s="18" t="str">
        <f>IF(42&gt;MAX('4℃飯'!$Z$5:$Z$304),"",HYPERLINK("#'4℃飯'!C"&amp;(MATCH(42,'4℃飯'!$Z$5:$Z$304,0)+4),INDEX('4℃飯'!$C$5:$C$304,MATCH(42,'4℃飯'!$Z$5:$Z$304,0))))</f>
        <v/>
      </c>
      <c xmlns="http://schemas.openxmlformats.org/spreadsheetml/2006/main" r="D63" s="18" t="str">
        <f>IF(42&gt;MAX('4℃麵'!$AA$5:$AA$292),"",HYPERLINK("#'4℃麵'!D"&amp;(MATCH(42,'4℃麵'!$AA$5:$AA$292,0)+4),INDEX('4℃麵'!$D$5:$D$292,MATCH(42,'4℃麵'!$AA$5:$AA$292,0))))</f>
        <v/>
      </c>
      <c xmlns="http://schemas.openxmlformats.org/spreadsheetml/2006/main" r="E63" s="18" t="str">
        <f>IF(42&gt;MAX('4℃其他'!$AA$5:$AA$304),"",HYPERLINK("#'4℃其他'!D"&amp;(MATCH(42,'4℃其他'!$AA$5:$AA$304,0)+4),INDEX('4℃其他'!$D$5:$D$304,MATCH(42,'4℃其他'!$AA$5:$AA$304,0))))</f>
        <v/>
      </c>
      <c xmlns="http://schemas.openxmlformats.org/spreadsheetml/2006/main" r="F63" s="18" t="str">
        <f>IF(42&gt;MAX('冷凍品'!$AA$5:$AA$304),"",HYPERLINK("#'冷凍品'!D"&amp;(MATCH(42,'冷凍品'!$AA$5:$AA$304,0)+4),INDEX('冷凍品'!$D$5:$D$304,MATCH(42,'冷凍品'!$AA$5:$AA$304,0))))</f>
        <v/>
      </c>
    </row>
    <row r="64" spans="2:6">
      <c xmlns="http://schemas.openxmlformats.org/spreadsheetml/2006/main" r="B64" s="18" t="str">
        <f>IF(43&gt;MAX('18℃'!$Z$5:$Z$304),"",HYPERLINK("#'18℃'!C"&amp;(MATCH(43,'18℃'!$Z$5:$Z$304,0)+4),INDEX('18℃'!$C$5:$C$304,MATCH(43,'18℃'!$Z$5:$Z$304,0))))</f>
        <v/>
      </c>
      <c xmlns="http://schemas.openxmlformats.org/spreadsheetml/2006/main" r="C64" s="18" t="str">
        <f>IF(43&gt;MAX('4℃飯'!$Z$5:$Z$304),"",HYPERLINK("#'4℃飯'!C"&amp;(MATCH(43,'4℃飯'!$Z$5:$Z$304,0)+4),INDEX('4℃飯'!$C$5:$C$304,MATCH(43,'4℃飯'!$Z$5:$Z$304,0))))</f>
        <v/>
      </c>
      <c xmlns="http://schemas.openxmlformats.org/spreadsheetml/2006/main" r="D64" s="18" t="str">
        <f>IF(43&gt;MAX('4℃麵'!$AA$5:$AA$292),"",HYPERLINK("#'4℃麵'!D"&amp;(MATCH(43,'4℃麵'!$AA$5:$AA$292,0)+4),INDEX('4℃麵'!$D$5:$D$292,MATCH(43,'4℃麵'!$AA$5:$AA$292,0))))</f>
        <v/>
      </c>
      <c xmlns="http://schemas.openxmlformats.org/spreadsheetml/2006/main" r="E64" s="18" t="str">
        <f>IF(43&gt;MAX('4℃其他'!$AA$5:$AA$304),"",HYPERLINK("#'4℃其他'!D"&amp;(MATCH(43,'4℃其他'!$AA$5:$AA$304,0)+4),INDEX('4℃其他'!$D$5:$D$304,MATCH(43,'4℃其他'!$AA$5:$AA$304,0))))</f>
        <v/>
      </c>
      <c xmlns="http://schemas.openxmlformats.org/spreadsheetml/2006/main" r="F64" s="18" t="str">
        <f>IF(43&gt;MAX('冷凍品'!$AA$5:$AA$304),"",HYPERLINK("#'冷凍品'!D"&amp;(MATCH(43,'冷凍品'!$AA$5:$AA$304,0)+4),INDEX('冷凍品'!$D$5:$D$304,MATCH(43,'冷凍品'!$AA$5:$AA$304,0))))</f>
        <v/>
      </c>
    </row>
    <row r="65" spans="2:6">
      <c xmlns="http://schemas.openxmlformats.org/spreadsheetml/2006/main" r="B65" s="18" t="str">
        <f>IF(44&gt;MAX('18℃'!$Z$5:$Z$304),"",HYPERLINK("#'18℃'!C"&amp;(MATCH(44,'18℃'!$Z$5:$Z$304,0)+4),INDEX('18℃'!$C$5:$C$304,MATCH(44,'18℃'!$Z$5:$Z$304,0))))</f>
        <v/>
      </c>
      <c xmlns="http://schemas.openxmlformats.org/spreadsheetml/2006/main" r="C65" s="18" t="str">
        <f>IF(44&gt;MAX('4℃飯'!$Z$5:$Z$304),"",HYPERLINK("#'4℃飯'!C"&amp;(MATCH(44,'4℃飯'!$Z$5:$Z$304,0)+4),INDEX('4℃飯'!$C$5:$C$304,MATCH(44,'4℃飯'!$Z$5:$Z$304,0))))</f>
        <v/>
      </c>
      <c xmlns="http://schemas.openxmlformats.org/spreadsheetml/2006/main" r="D65" s="18" t="str">
        <f>IF(44&gt;MAX('4℃麵'!$AA$5:$AA$292),"",HYPERLINK("#'4℃麵'!D"&amp;(MATCH(44,'4℃麵'!$AA$5:$AA$292,0)+4),INDEX('4℃麵'!$D$5:$D$292,MATCH(44,'4℃麵'!$AA$5:$AA$292,0))))</f>
        <v/>
      </c>
      <c xmlns="http://schemas.openxmlformats.org/spreadsheetml/2006/main" r="E65" s="18" t="str">
        <f>IF(44&gt;MAX('4℃其他'!$AA$5:$AA$304),"",HYPERLINK("#'4℃其他'!D"&amp;(MATCH(44,'4℃其他'!$AA$5:$AA$304,0)+4),INDEX('4℃其他'!$D$5:$D$304,MATCH(44,'4℃其他'!$AA$5:$AA$304,0))))</f>
        <v/>
      </c>
      <c xmlns="http://schemas.openxmlformats.org/spreadsheetml/2006/main" r="F65" s="18" t="str">
        <f>IF(44&gt;MAX('冷凍品'!$AA$5:$AA$304),"",HYPERLINK("#'冷凍品'!D"&amp;(MATCH(44,'冷凍品'!$AA$5:$AA$304,0)+4),INDEX('冷凍品'!$D$5:$D$304,MATCH(44,'冷凍品'!$AA$5:$AA$304,0))))</f>
        <v/>
      </c>
    </row>
    <row r="66" spans="2:6">
      <c xmlns="http://schemas.openxmlformats.org/spreadsheetml/2006/main" r="B66" s="18" t="str">
        <f>IF(45&gt;MAX('18℃'!$Z$5:$Z$304),"",HYPERLINK("#'18℃'!C"&amp;(MATCH(45,'18℃'!$Z$5:$Z$304,0)+4),INDEX('18℃'!$C$5:$C$304,MATCH(45,'18℃'!$Z$5:$Z$304,0))))</f>
        <v/>
      </c>
      <c xmlns="http://schemas.openxmlformats.org/spreadsheetml/2006/main" r="C66" s="18" t="str">
        <f>IF(45&gt;MAX('4℃飯'!$Z$5:$Z$304),"",HYPERLINK("#'4℃飯'!C"&amp;(MATCH(45,'4℃飯'!$Z$5:$Z$304,0)+4),INDEX('4℃飯'!$C$5:$C$304,MATCH(45,'4℃飯'!$Z$5:$Z$304,0))))</f>
        <v/>
      </c>
      <c xmlns="http://schemas.openxmlformats.org/spreadsheetml/2006/main" r="D66" s="18" t="str">
        <f>IF(45&gt;MAX('4℃麵'!$AA$5:$AA$292),"",HYPERLINK("#'4℃麵'!D"&amp;(MATCH(45,'4℃麵'!$AA$5:$AA$292,0)+4),INDEX('4℃麵'!$D$5:$D$292,MATCH(45,'4℃麵'!$AA$5:$AA$292,0))))</f>
        <v/>
      </c>
      <c xmlns="http://schemas.openxmlformats.org/spreadsheetml/2006/main" r="E66" s="18" t="str">
        <f>IF(45&gt;MAX('4℃其他'!$AA$5:$AA$304),"",HYPERLINK("#'4℃其他'!D"&amp;(MATCH(45,'4℃其他'!$AA$5:$AA$304,0)+4),INDEX('4℃其他'!$D$5:$D$304,MATCH(45,'4℃其他'!$AA$5:$AA$304,0))))</f>
        <v/>
      </c>
      <c xmlns="http://schemas.openxmlformats.org/spreadsheetml/2006/main" r="F66" s="18" t="str">
        <f>IF(45&gt;MAX('冷凍品'!$AA$5:$AA$304),"",HYPERLINK("#'冷凍品'!D"&amp;(MATCH(45,'冷凍品'!$AA$5:$AA$304,0)+4),INDEX('冷凍品'!$D$5:$D$304,MATCH(45,'冷凍品'!$AA$5:$AA$304,0))))</f>
        <v/>
      </c>
    </row>
    <row r="67" spans="2:6">
      <c xmlns="http://schemas.openxmlformats.org/spreadsheetml/2006/main" r="B67" s="18" t="str">
        <f>IF(46&gt;MAX('18℃'!$Z$5:$Z$304),"",HYPERLINK("#'18℃'!C"&amp;(MATCH(46,'18℃'!$Z$5:$Z$304,0)+4),INDEX('18℃'!$C$5:$C$304,MATCH(46,'18℃'!$Z$5:$Z$304,0))))</f>
        <v/>
      </c>
      <c xmlns="http://schemas.openxmlformats.org/spreadsheetml/2006/main" r="C67" s="18" t="str">
        <f>IF(46&gt;MAX('4℃飯'!$Z$5:$Z$304),"",HYPERLINK("#'4℃飯'!C"&amp;(MATCH(46,'4℃飯'!$Z$5:$Z$304,0)+4),INDEX('4℃飯'!$C$5:$C$304,MATCH(46,'4℃飯'!$Z$5:$Z$304,0))))</f>
        <v/>
      </c>
      <c xmlns="http://schemas.openxmlformats.org/spreadsheetml/2006/main" r="D67" s="18" t="str">
        <f>IF(46&gt;MAX('4℃麵'!$AA$5:$AA$292),"",HYPERLINK("#'4℃麵'!D"&amp;(MATCH(46,'4℃麵'!$AA$5:$AA$292,0)+4),INDEX('4℃麵'!$D$5:$D$292,MATCH(46,'4℃麵'!$AA$5:$AA$292,0))))</f>
        <v/>
      </c>
      <c xmlns="http://schemas.openxmlformats.org/spreadsheetml/2006/main" r="E67" s="18" t="str">
        <f>IF(46&gt;MAX('4℃其他'!$AA$5:$AA$304),"",HYPERLINK("#'4℃其他'!D"&amp;(MATCH(46,'4℃其他'!$AA$5:$AA$304,0)+4),INDEX('4℃其他'!$D$5:$D$304,MATCH(46,'4℃其他'!$AA$5:$AA$304,0))))</f>
        <v/>
      </c>
      <c xmlns="http://schemas.openxmlformats.org/spreadsheetml/2006/main" r="F67" s="18" t="str">
        <f>IF(46&gt;MAX('冷凍品'!$AA$5:$AA$304),"",HYPERLINK("#'冷凍品'!D"&amp;(MATCH(46,'冷凍品'!$AA$5:$AA$304,0)+4),INDEX('冷凍品'!$D$5:$D$304,MATCH(46,'冷凍品'!$AA$5:$AA$304,0))))</f>
        <v/>
      </c>
    </row>
    <row r="68" spans="2:6">
      <c xmlns="http://schemas.openxmlformats.org/spreadsheetml/2006/main" r="B68" s="18" t="str">
        <f>IF(47&gt;MAX('18℃'!$Z$5:$Z$304),"",HYPERLINK("#'18℃'!C"&amp;(MATCH(47,'18℃'!$Z$5:$Z$304,0)+4),INDEX('18℃'!$C$5:$C$304,MATCH(47,'18℃'!$Z$5:$Z$304,0))))</f>
        <v/>
      </c>
      <c xmlns="http://schemas.openxmlformats.org/spreadsheetml/2006/main" r="C68" s="18" t="str">
        <f>IF(47&gt;MAX('4℃飯'!$Z$5:$Z$304),"",HYPERLINK("#'4℃飯'!C"&amp;(MATCH(47,'4℃飯'!$Z$5:$Z$304,0)+4),INDEX('4℃飯'!$C$5:$C$304,MATCH(47,'4℃飯'!$Z$5:$Z$304,0))))</f>
        <v/>
      </c>
      <c xmlns="http://schemas.openxmlformats.org/spreadsheetml/2006/main" r="D68" s="18" t="str">
        <f>IF(47&gt;MAX('4℃麵'!$AA$5:$AA$292),"",HYPERLINK("#'4℃麵'!D"&amp;(MATCH(47,'4℃麵'!$AA$5:$AA$292,0)+4),INDEX('4℃麵'!$D$5:$D$292,MATCH(47,'4℃麵'!$AA$5:$AA$292,0))))</f>
        <v/>
      </c>
      <c xmlns="http://schemas.openxmlformats.org/spreadsheetml/2006/main" r="E68" s="18" t="str">
        <f>IF(47&gt;MAX('4℃其他'!$AA$5:$AA$304),"",HYPERLINK("#'4℃其他'!D"&amp;(MATCH(47,'4℃其他'!$AA$5:$AA$304,0)+4),INDEX('4℃其他'!$D$5:$D$304,MATCH(47,'4℃其他'!$AA$5:$AA$304,0))))</f>
        <v/>
      </c>
      <c xmlns="http://schemas.openxmlformats.org/spreadsheetml/2006/main" r="F68" s="18" t="str">
        <f>IF(47&gt;MAX('冷凍品'!$AA$5:$AA$304),"",HYPERLINK("#'冷凍品'!D"&amp;(MATCH(47,'冷凍品'!$AA$5:$AA$304,0)+4),INDEX('冷凍品'!$D$5:$D$304,MATCH(47,'冷凍品'!$AA$5:$AA$304,0))))</f>
        <v/>
      </c>
    </row>
    <row r="69" spans="2:6">
      <c xmlns="http://schemas.openxmlformats.org/spreadsheetml/2006/main" r="B69" s="18" t="str">
        <f>IF(48&gt;MAX('18℃'!$Z$5:$Z$304),"",HYPERLINK("#'18℃'!C"&amp;(MATCH(48,'18℃'!$Z$5:$Z$304,0)+4),INDEX('18℃'!$C$5:$C$304,MATCH(48,'18℃'!$Z$5:$Z$304,0))))</f>
        <v/>
      </c>
      <c xmlns="http://schemas.openxmlformats.org/spreadsheetml/2006/main" r="C69" s="18" t="str">
        <f>IF(48&gt;MAX('4℃飯'!$Z$5:$Z$304),"",HYPERLINK("#'4℃飯'!C"&amp;(MATCH(48,'4℃飯'!$Z$5:$Z$304,0)+4),INDEX('4℃飯'!$C$5:$C$304,MATCH(48,'4℃飯'!$Z$5:$Z$304,0))))</f>
        <v/>
      </c>
      <c xmlns="http://schemas.openxmlformats.org/spreadsheetml/2006/main" r="D69" s="18" t="str">
        <f>IF(48&gt;MAX('4℃麵'!$AA$5:$AA$292),"",HYPERLINK("#'4℃麵'!D"&amp;(MATCH(48,'4℃麵'!$AA$5:$AA$292,0)+4),INDEX('4℃麵'!$D$5:$D$292,MATCH(48,'4℃麵'!$AA$5:$AA$292,0))))</f>
        <v/>
      </c>
      <c xmlns="http://schemas.openxmlformats.org/spreadsheetml/2006/main" r="E69" s="18" t="str">
        <f>IF(48&gt;MAX('4℃其他'!$AA$5:$AA$304),"",HYPERLINK("#'4℃其他'!D"&amp;(MATCH(48,'4℃其他'!$AA$5:$AA$304,0)+4),INDEX('4℃其他'!$D$5:$D$304,MATCH(48,'4℃其他'!$AA$5:$AA$304,0))))</f>
        <v/>
      </c>
      <c xmlns="http://schemas.openxmlformats.org/spreadsheetml/2006/main" r="F69" s="18" t="str">
        <f>IF(48&gt;MAX('冷凍品'!$AA$5:$AA$304),"",HYPERLINK("#'冷凍品'!D"&amp;(MATCH(48,'冷凍品'!$AA$5:$AA$304,0)+4),INDEX('冷凍品'!$D$5:$D$304,MATCH(48,'冷凍品'!$AA$5:$AA$304,0))))</f>
        <v/>
      </c>
    </row>
    <row r="70" spans="2:6">
      <c xmlns="http://schemas.openxmlformats.org/spreadsheetml/2006/main" r="B70" s="18" t="str">
        <f>IF(49&gt;MAX('18℃'!$Z$5:$Z$304),"",HYPERLINK("#'18℃'!C"&amp;(MATCH(49,'18℃'!$Z$5:$Z$304,0)+4),INDEX('18℃'!$C$5:$C$304,MATCH(49,'18℃'!$Z$5:$Z$304,0))))</f>
        <v/>
      </c>
      <c xmlns="http://schemas.openxmlformats.org/spreadsheetml/2006/main" r="C70" s="18" t="str">
        <f>IF(49&gt;MAX('4℃飯'!$Z$5:$Z$304),"",HYPERLINK("#'4℃飯'!C"&amp;(MATCH(49,'4℃飯'!$Z$5:$Z$304,0)+4),INDEX('4℃飯'!$C$5:$C$304,MATCH(49,'4℃飯'!$Z$5:$Z$304,0))))</f>
        <v/>
      </c>
      <c xmlns="http://schemas.openxmlformats.org/spreadsheetml/2006/main" r="D70" s="18" t="str">
        <f>IF(49&gt;MAX('4℃麵'!$AA$5:$AA$292),"",HYPERLINK("#'4℃麵'!D"&amp;(MATCH(49,'4℃麵'!$AA$5:$AA$292,0)+4),INDEX('4℃麵'!$D$5:$D$292,MATCH(49,'4℃麵'!$AA$5:$AA$292,0))))</f>
        <v/>
      </c>
      <c xmlns="http://schemas.openxmlformats.org/spreadsheetml/2006/main" r="E70" s="18" t="str">
        <f>IF(49&gt;MAX('4℃其他'!$AA$5:$AA$304),"",HYPERLINK("#'4℃其他'!D"&amp;(MATCH(49,'4℃其他'!$AA$5:$AA$304,0)+4),INDEX('4℃其他'!$D$5:$D$304,MATCH(49,'4℃其他'!$AA$5:$AA$304,0))))</f>
        <v/>
      </c>
      <c xmlns="http://schemas.openxmlformats.org/spreadsheetml/2006/main" r="F70" s="18" t="str">
        <f>IF(49&gt;MAX('冷凍品'!$AA$5:$AA$304),"",HYPERLINK("#'冷凍品'!D"&amp;(MATCH(49,'冷凍品'!$AA$5:$AA$304,0)+4),INDEX('冷凍品'!$D$5:$D$304,MATCH(49,'冷凍品'!$AA$5:$AA$304,0))))</f>
        <v/>
      </c>
    </row>
    <row r="71" spans="2:6">
      <c xmlns="http://schemas.openxmlformats.org/spreadsheetml/2006/main" r="B71" s="18" t="str">
        <f>IF(50&gt;MAX('18℃'!$Z$5:$Z$304),"",HYPERLINK("#'18℃'!C"&amp;(MATCH(50,'18℃'!$Z$5:$Z$304,0)+4),INDEX('18℃'!$C$5:$C$304,MATCH(50,'18℃'!$Z$5:$Z$304,0))))</f>
        <v/>
      </c>
      <c xmlns="http://schemas.openxmlformats.org/spreadsheetml/2006/main" r="C71" s="18" t="str">
        <f>IF(50&gt;MAX('4℃飯'!$Z$5:$Z$304),"",HYPERLINK("#'4℃飯'!C"&amp;(MATCH(50,'4℃飯'!$Z$5:$Z$304,0)+4),INDEX('4℃飯'!$C$5:$C$304,MATCH(50,'4℃飯'!$Z$5:$Z$304,0))))</f>
        <v/>
      </c>
      <c xmlns="http://schemas.openxmlformats.org/spreadsheetml/2006/main" r="D71" s="18" t="str">
        <f>IF(50&gt;MAX('4℃麵'!$AA$5:$AA$292),"",HYPERLINK("#'4℃麵'!D"&amp;(MATCH(50,'4℃麵'!$AA$5:$AA$292,0)+4),INDEX('4℃麵'!$D$5:$D$292,MATCH(50,'4℃麵'!$AA$5:$AA$292,0))))</f>
        <v/>
      </c>
      <c xmlns="http://schemas.openxmlformats.org/spreadsheetml/2006/main" r="E71" s="18" t="str">
        <f>IF(50&gt;MAX('4℃其他'!$AA$5:$AA$304),"",HYPERLINK("#'4℃其他'!D"&amp;(MATCH(50,'4℃其他'!$AA$5:$AA$304,0)+4),INDEX('4℃其他'!$D$5:$D$304,MATCH(50,'4℃其他'!$AA$5:$AA$304,0))))</f>
        <v/>
      </c>
      <c xmlns="http://schemas.openxmlformats.org/spreadsheetml/2006/main" r="F71" s="18" t="str">
        <f>IF(50&gt;MAX('冷凍品'!$AA$5:$AA$304),"",HYPERLINK("#'冷凍品'!D"&amp;(MATCH(50,'冷凍品'!$AA$5:$AA$304,0)+4),INDEX('冷凍品'!$D$5:$D$304,MATCH(50,'冷凍品'!$AA$5:$AA$304,0))))</f>
        <v/>
      </c>
    </row>
    <row r="72" spans="2:6">
      <c xmlns="http://schemas.openxmlformats.org/spreadsheetml/2006/main" r="B72" s="18" t="str">
        <f>IF(51&gt;MAX('18℃'!$Z$5:$Z$304),"",HYPERLINK("#'18℃'!C"&amp;(MATCH(51,'18℃'!$Z$5:$Z$304,0)+4),INDEX('18℃'!$C$5:$C$304,MATCH(51,'18℃'!$Z$5:$Z$304,0))))</f>
        <v/>
      </c>
      <c xmlns="http://schemas.openxmlformats.org/spreadsheetml/2006/main" r="C72" s="18" t="str">
        <f>IF(51&gt;MAX('4℃飯'!$Z$5:$Z$304),"",HYPERLINK("#'4℃飯'!C"&amp;(MATCH(51,'4℃飯'!$Z$5:$Z$304,0)+4),INDEX('4℃飯'!$C$5:$C$304,MATCH(51,'4℃飯'!$Z$5:$Z$304,0))))</f>
        <v/>
      </c>
      <c xmlns="http://schemas.openxmlformats.org/spreadsheetml/2006/main" r="D72" s="18" t="str">
        <f>IF(51&gt;MAX('4℃麵'!$AA$5:$AA$292),"",HYPERLINK("#'4℃麵'!D"&amp;(MATCH(51,'4℃麵'!$AA$5:$AA$292,0)+4),INDEX('4℃麵'!$D$5:$D$292,MATCH(51,'4℃麵'!$AA$5:$AA$292,0))))</f>
        <v/>
      </c>
      <c xmlns="http://schemas.openxmlformats.org/spreadsheetml/2006/main" r="E72" s="18" t="str">
        <f>IF(51&gt;MAX('4℃其他'!$AA$5:$AA$304),"",HYPERLINK("#'4℃其他'!D"&amp;(MATCH(51,'4℃其他'!$AA$5:$AA$304,0)+4),INDEX('4℃其他'!$D$5:$D$304,MATCH(51,'4℃其他'!$AA$5:$AA$304,0))))</f>
        <v/>
      </c>
      <c xmlns="http://schemas.openxmlformats.org/spreadsheetml/2006/main" r="F72" s="18" t="str">
        <f>IF(51&gt;MAX('冷凍品'!$AA$5:$AA$304),"",HYPERLINK("#'冷凍品'!D"&amp;(MATCH(51,'冷凍品'!$AA$5:$AA$304,0)+4),INDEX('冷凍品'!$D$5:$D$304,MATCH(51,'冷凍品'!$AA$5:$AA$304,0))))</f>
        <v/>
      </c>
    </row>
    <row r="73" spans="2:6">
      <c xmlns="http://schemas.openxmlformats.org/spreadsheetml/2006/main" r="B73" s="18" t="str">
        <f>IF(52&gt;MAX('18℃'!$Z$5:$Z$304),"",HYPERLINK("#'18℃'!C"&amp;(MATCH(52,'18℃'!$Z$5:$Z$304,0)+4),INDEX('18℃'!$C$5:$C$304,MATCH(52,'18℃'!$Z$5:$Z$304,0))))</f>
        <v/>
      </c>
      <c xmlns="http://schemas.openxmlformats.org/spreadsheetml/2006/main" r="C73" s="18" t="str">
        <f>IF(52&gt;MAX('4℃飯'!$Z$5:$Z$304),"",HYPERLINK("#'4℃飯'!C"&amp;(MATCH(52,'4℃飯'!$Z$5:$Z$304,0)+4),INDEX('4℃飯'!$C$5:$C$304,MATCH(52,'4℃飯'!$Z$5:$Z$304,0))))</f>
        <v/>
      </c>
      <c xmlns="http://schemas.openxmlformats.org/spreadsheetml/2006/main" r="D73" s="18" t="str">
        <f>IF(52&gt;MAX('4℃麵'!$AA$5:$AA$292),"",HYPERLINK("#'4℃麵'!D"&amp;(MATCH(52,'4℃麵'!$AA$5:$AA$292,0)+4),INDEX('4℃麵'!$D$5:$D$292,MATCH(52,'4℃麵'!$AA$5:$AA$292,0))))</f>
        <v/>
      </c>
      <c xmlns="http://schemas.openxmlformats.org/spreadsheetml/2006/main" r="E73" s="18" t="str">
        <f>IF(52&gt;MAX('4℃其他'!$AA$5:$AA$304),"",HYPERLINK("#'4℃其他'!D"&amp;(MATCH(52,'4℃其他'!$AA$5:$AA$304,0)+4),INDEX('4℃其他'!$D$5:$D$304,MATCH(52,'4℃其他'!$AA$5:$AA$304,0))))</f>
        <v/>
      </c>
      <c xmlns="http://schemas.openxmlformats.org/spreadsheetml/2006/main" r="F73" s="18" t="str">
        <f>IF(52&gt;MAX('冷凍品'!$AA$5:$AA$304),"",HYPERLINK("#'冷凍品'!D"&amp;(MATCH(52,'冷凍品'!$AA$5:$AA$304,0)+4),INDEX('冷凍品'!$D$5:$D$304,MATCH(52,'冷凍品'!$AA$5:$AA$304,0))))</f>
        <v/>
      </c>
    </row>
    <row r="74" spans="2:6">
      <c xmlns="http://schemas.openxmlformats.org/spreadsheetml/2006/main" r="B74" s="18" t="str">
        <f>IF(53&gt;MAX('18℃'!$Z$5:$Z$304),"",HYPERLINK("#'18℃'!C"&amp;(MATCH(53,'18℃'!$Z$5:$Z$304,0)+4),INDEX('18℃'!$C$5:$C$304,MATCH(53,'18℃'!$Z$5:$Z$304,0))))</f>
        <v/>
      </c>
      <c xmlns="http://schemas.openxmlformats.org/spreadsheetml/2006/main" r="C74" s="18" t="str">
        <f>IF(53&gt;MAX('4℃飯'!$Z$5:$Z$304),"",HYPERLINK("#'4℃飯'!C"&amp;(MATCH(53,'4℃飯'!$Z$5:$Z$304,0)+4),INDEX('4℃飯'!$C$5:$C$304,MATCH(53,'4℃飯'!$Z$5:$Z$304,0))))</f>
        <v/>
      </c>
      <c xmlns="http://schemas.openxmlformats.org/spreadsheetml/2006/main" r="D74" s="18" t="str">
        <f>IF(53&gt;MAX('4℃麵'!$AA$5:$AA$292),"",HYPERLINK("#'4℃麵'!D"&amp;(MATCH(53,'4℃麵'!$AA$5:$AA$292,0)+4),INDEX('4℃麵'!$D$5:$D$292,MATCH(53,'4℃麵'!$AA$5:$AA$292,0))))</f>
        <v/>
      </c>
      <c xmlns="http://schemas.openxmlformats.org/spreadsheetml/2006/main" r="E74" s="18" t="str">
        <f>IF(53&gt;MAX('4℃其他'!$AA$5:$AA$304),"",HYPERLINK("#'4℃其他'!D"&amp;(MATCH(53,'4℃其他'!$AA$5:$AA$304,0)+4),INDEX('4℃其他'!$D$5:$D$304,MATCH(53,'4℃其他'!$AA$5:$AA$304,0))))</f>
        <v/>
      </c>
      <c xmlns="http://schemas.openxmlformats.org/spreadsheetml/2006/main" r="F74" s="18" t="str">
        <f>IF(53&gt;MAX('冷凍品'!$AA$5:$AA$304),"",HYPERLINK("#'冷凍品'!D"&amp;(MATCH(53,'冷凍品'!$AA$5:$AA$304,0)+4),INDEX('冷凍品'!$D$5:$D$304,MATCH(53,'冷凍品'!$AA$5:$AA$304,0))))</f>
        <v/>
      </c>
    </row>
    <row r="75" spans="2:6">
      <c xmlns="http://schemas.openxmlformats.org/spreadsheetml/2006/main" r="B75" s="18" t="str">
        <f>IF(54&gt;MAX('18℃'!$Z$5:$Z$304),"",HYPERLINK("#'18℃'!C"&amp;(MATCH(54,'18℃'!$Z$5:$Z$304,0)+4),INDEX('18℃'!$C$5:$C$304,MATCH(54,'18℃'!$Z$5:$Z$304,0))))</f>
        <v/>
      </c>
      <c xmlns="http://schemas.openxmlformats.org/spreadsheetml/2006/main" r="C75" s="18" t="str">
        <f>IF(54&gt;MAX('4℃飯'!$Z$5:$Z$304),"",HYPERLINK("#'4℃飯'!C"&amp;(MATCH(54,'4℃飯'!$Z$5:$Z$304,0)+4),INDEX('4℃飯'!$C$5:$C$304,MATCH(54,'4℃飯'!$Z$5:$Z$304,0))))</f>
        <v/>
      </c>
      <c xmlns="http://schemas.openxmlformats.org/spreadsheetml/2006/main" r="D75" s="18" t="str">
        <f>IF(54&gt;MAX('4℃麵'!$AA$5:$AA$292),"",HYPERLINK("#'4℃麵'!D"&amp;(MATCH(54,'4℃麵'!$AA$5:$AA$292,0)+4),INDEX('4℃麵'!$D$5:$D$292,MATCH(54,'4℃麵'!$AA$5:$AA$292,0))))</f>
        <v/>
      </c>
      <c xmlns="http://schemas.openxmlformats.org/spreadsheetml/2006/main" r="E75" s="18" t="str">
        <f>IF(54&gt;MAX('4℃其他'!$AA$5:$AA$304),"",HYPERLINK("#'4℃其他'!D"&amp;(MATCH(54,'4℃其他'!$AA$5:$AA$304,0)+4),INDEX('4℃其他'!$D$5:$D$304,MATCH(54,'4℃其他'!$AA$5:$AA$304,0))))</f>
        <v/>
      </c>
      <c xmlns="http://schemas.openxmlformats.org/spreadsheetml/2006/main" r="F75" s="18" t="str">
        <f>IF(54&gt;MAX('冷凍品'!$AA$5:$AA$304),"",HYPERLINK("#'冷凍品'!D"&amp;(MATCH(54,'冷凍品'!$AA$5:$AA$304,0)+4),INDEX('冷凍品'!$D$5:$D$304,MATCH(54,'冷凍品'!$AA$5:$AA$304,0))))</f>
        <v/>
      </c>
    </row>
    <row r="76" spans="2:6">
      <c xmlns="http://schemas.openxmlformats.org/spreadsheetml/2006/main" r="B76" s="18" t="str">
        <f>IF(55&gt;MAX('18℃'!$Z$5:$Z$304),"",HYPERLINK("#'18℃'!C"&amp;(MATCH(55,'18℃'!$Z$5:$Z$304,0)+4),INDEX('18℃'!$C$5:$C$304,MATCH(55,'18℃'!$Z$5:$Z$304,0))))</f>
        <v/>
      </c>
      <c xmlns="http://schemas.openxmlformats.org/spreadsheetml/2006/main" r="C76" s="18" t="str">
        <f>IF(55&gt;MAX('4℃飯'!$Z$5:$Z$304),"",HYPERLINK("#'4℃飯'!C"&amp;(MATCH(55,'4℃飯'!$Z$5:$Z$304,0)+4),INDEX('4℃飯'!$C$5:$C$304,MATCH(55,'4℃飯'!$Z$5:$Z$304,0))))</f>
        <v/>
      </c>
      <c xmlns="http://schemas.openxmlformats.org/spreadsheetml/2006/main" r="D76" s="18" t="str">
        <f>IF(55&gt;MAX('4℃麵'!$AA$5:$AA$292),"",HYPERLINK("#'4℃麵'!D"&amp;(MATCH(55,'4℃麵'!$AA$5:$AA$292,0)+4),INDEX('4℃麵'!$D$5:$D$292,MATCH(55,'4℃麵'!$AA$5:$AA$292,0))))</f>
        <v/>
      </c>
      <c xmlns="http://schemas.openxmlformats.org/spreadsheetml/2006/main" r="E76" s="18" t="str">
        <f>IF(55&gt;MAX('4℃其他'!$AA$5:$AA$304),"",HYPERLINK("#'4℃其他'!D"&amp;(MATCH(55,'4℃其他'!$AA$5:$AA$304,0)+4),INDEX('4℃其他'!$D$5:$D$304,MATCH(55,'4℃其他'!$AA$5:$AA$304,0))))</f>
        <v/>
      </c>
      <c xmlns="http://schemas.openxmlformats.org/spreadsheetml/2006/main" r="F76" s="18" t="str">
        <f>IF(55&gt;MAX('冷凍品'!$AA$5:$AA$304),"",HYPERLINK("#'冷凍品'!D"&amp;(MATCH(55,'冷凍品'!$AA$5:$AA$304,0)+4),INDEX('冷凍品'!$D$5:$D$304,MATCH(55,'冷凍品'!$AA$5:$AA$304,0))))</f>
        <v/>
      </c>
    </row>
    <row r="77" spans="2:6">
      <c xmlns="http://schemas.openxmlformats.org/spreadsheetml/2006/main" r="B77" s="18" t="str">
        <f>IF(56&gt;MAX('18℃'!$Z$5:$Z$304),"",HYPERLINK("#'18℃'!C"&amp;(MATCH(56,'18℃'!$Z$5:$Z$304,0)+4),INDEX('18℃'!$C$5:$C$304,MATCH(56,'18℃'!$Z$5:$Z$304,0))))</f>
        <v/>
      </c>
      <c xmlns="http://schemas.openxmlformats.org/spreadsheetml/2006/main" r="C77" s="18" t="str">
        <f>IF(56&gt;MAX('4℃飯'!$Z$5:$Z$304),"",HYPERLINK("#'4℃飯'!C"&amp;(MATCH(56,'4℃飯'!$Z$5:$Z$304,0)+4),INDEX('4℃飯'!$C$5:$C$304,MATCH(56,'4℃飯'!$Z$5:$Z$304,0))))</f>
        <v/>
      </c>
      <c xmlns="http://schemas.openxmlformats.org/spreadsheetml/2006/main" r="D77" s="18" t="str">
        <f>IF(56&gt;MAX('4℃麵'!$AA$5:$AA$292),"",HYPERLINK("#'4℃麵'!D"&amp;(MATCH(56,'4℃麵'!$AA$5:$AA$292,0)+4),INDEX('4℃麵'!$D$5:$D$292,MATCH(56,'4℃麵'!$AA$5:$AA$292,0))))</f>
        <v/>
      </c>
      <c xmlns="http://schemas.openxmlformats.org/spreadsheetml/2006/main" r="E77" s="18" t="str">
        <f>IF(56&gt;MAX('4℃其他'!$AA$5:$AA$304),"",HYPERLINK("#'4℃其他'!D"&amp;(MATCH(56,'4℃其他'!$AA$5:$AA$304,0)+4),INDEX('4℃其他'!$D$5:$D$304,MATCH(56,'4℃其他'!$AA$5:$AA$304,0))))</f>
        <v/>
      </c>
      <c xmlns="http://schemas.openxmlformats.org/spreadsheetml/2006/main" r="F77" s="18" t="str">
        <f>IF(56&gt;MAX('冷凍品'!$AA$5:$AA$304),"",HYPERLINK("#'冷凍品'!D"&amp;(MATCH(56,'冷凍品'!$AA$5:$AA$304,0)+4),INDEX('冷凍品'!$D$5:$D$304,MATCH(56,'冷凍品'!$AA$5:$AA$304,0))))</f>
        <v/>
      </c>
    </row>
    <row r="78" spans="2:6">
      <c xmlns="http://schemas.openxmlformats.org/spreadsheetml/2006/main" r="B78" s="18" t="str">
        <f>IF(57&gt;MAX('18℃'!$Z$5:$Z$304),"",HYPERLINK("#'18℃'!C"&amp;(MATCH(57,'18℃'!$Z$5:$Z$304,0)+4),INDEX('18℃'!$C$5:$C$304,MATCH(57,'18℃'!$Z$5:$Z$304,0))))</f>
        <v/>
      </c>
      <c xmlns="http://schemas.openxmlformats.org/spreadsheetml/2006/main" r="C78" s="18" t="str">
        <f>IF(57&gt;MAX('4℃飯'!$Z$5:$Z$304),"",HYPERLINK("#'4℃飯'!C"&amp;(MATCH(57,'4℃飯'!$Z$5:$Z$304,0)+4),INDEX('4℃飯'!$C$5:$C$304,MATCH(57,'4℃飯'!$Z$5:$Z$304,0))))</f>
        <v/>
      </c>
      <c xmlns="http://schemas.openxmlformats.org/spreadsheetml/2006/main" r="D78" s="18" t="str">
        <f>IF(57&gt;MAX('4℃麵'!$AA$5:$AA$292),"",HYPERLINK("#'4℃麵'!D"&amp;(MATCH(57,'4℃麵'!$AA$5:$AA$292,0)+4),INDEX('4℃麵'!$D$5:$D$292,MATCH(57,'4℃麵'!$AA$5:$AA$292,0))))</f>
        <v/>
      </c>
      <c xmlns="http://schemas.openxmlformats.org/spreadsheetml/2006/main" r="E78" s="18" t="str">
        <f>IF(57&gt;MAX('4℃其他'!$AA$5:$AA$304),"",HYPERLINK("#'4℃其他'!D"&amp;(MATCH(57,'4℃其他'!$AA$5:$AA$304,0)+4),INDEX('4℃其他'!$D$5:$D$304,MATCH(57,'4℃其他'!$AA$5:$AA$304,0))))</f>
        <v/>
      </c>
      <c xmlns="http://schemas.openxmlformats.org/spreadsheetml/2006/main" r="F78" s="18" t="str">
        <f>IF(57&gt;MAX('冷凍品'!$AA$5:$AA$304),"",HYPERLINK("#'冷凍品'!D"&amp;(MATCH(57,'冷凍品'!$AA$5:$AA$304,0)+4),INDEX('冷凍品'!$D$5:$D$304,MATCH(57,'冷凍品'!$AA$5:$AA$304,0))))</f>
        <v/>
      </c>
    </row>
    <row r="79" spans="2:6">
      <c xmlns="http://schemas.openxmlformats.org/spreadsheetml/2006/main" r="B79" s="18" t="str">
        <f>IF(58&gt;MAX('18℃'!$Z$5:$Z$304),"",HYPERLINK("#'18℃'!C"&amp;(MATCH(58,'18℃'!$Z$5:$Z$304,0)+4),INDEX('18℃'!$C$5:$C$304,MATCH(58,'18℃'!$Z$5:$Z$304,0))))</f>
        <v/>
      </c>
      <c xmlns="http://schemas.openxmlformats.org/spreadsheetml/2006/main" r="C79" s="18" t="str">
        <f>IF(58&gt;MAX('4℃飯'!$Z$5:$Z$304),"",HYPERLINK("#'4℃飯'!C"&amp;(MATCH(58,'4℃飯'!$Z$5:$Z$304,0)+4),INDEX('4℃飯'!$C$5:$C$304,MATCH(58,'4℃飯'!$Z$5:$Z$304,0))))</f>
        <v/>
      </c>
      <c xmlns="http://schemas.openxmlformats.org/spreadsheetml/2006/main" r="D79" s="18" t="str">
        <f>IF(58&gt;MAX('4℃麵'!$AA$5:$AA$292),"",HYPERLINK("#'4℃麵'!D"&amp;(MATCH(58,'4℃麵'!$AA$5:$AA$292,0)+4),INDEX('4℃麵'!$D$5:$D$292,MATCH(58,'4℃麵'!$AA$5:$AA$292,0))))</f>
        <v/>
      </c>
      <c xmlns="http://schemas.openxmlformats.org/spreadsheetml/2006/main" r="E79" s="18" t="str">
        <f>IF(58&gt;MAX('4℃其他'!$AA$5:$AA$304),"",HYPERLINK("#'4℃其他'!D"&amp;(MATCH(58,'4℃其他'!$AA$5:$AA$304,0)+4),INDEX('4℃其他'!$D$5:$D$304,MATCH(58,'4℃其他'!$AA$5:$AA$304,0))))</f>
        <v/>
      </c>
      <c xmlns="http://schemas.openxmlformats.org/spreadsheetml/2006/main" r="F79" s="18" t="str">
        <f>IF(58&gt;MAX('冷凍品'!$AA$5:$AA$304),"",HYPERLINK("#'冷凍品'!D"&amp;(MATCH(58,'冷凍品'!$AA$5:$AA$304,0)+4),INDEX('冷凍品'!$D$5:$D$304,MATCH(58,'冷凍品'!$AA$5:$AA$304,0))))</f>
        <v/>
      </c>
    </row>
    <row r="80" spans="2:6">
      <c xmlns="http://schemas.openxmlformats.org/spreadsheetml/2006/main" r="B80" s="18" t="str">
        <f>IF(59&gt;MAX('18℃'!$Z$5:$Z$304),"",HYPERLINK("#'18℃'!C"&amp;(MATCH(59,'18℃'!$Z$5:$Z$304,0)+4),INDEX('18℃'!$C$5:$C$304,MATCH(59,'18℃'!$Z$5:$Z$304,0))))</f>
        <v/>
      </c>
      <c xmlns="http://schemas.openxmlformats.org/spreadsheetml/2006/main" r="C80" s="18" t="str">
        <f>IF(59&gt;MAX('4℃飯'!$Z$5:$Z$304),"",HYPERLINK("#'4℃飯'!C"&amp;(MATCH(59,'4℃飯'!$Z$5:$Z$304,0)+4),INDEX('4℃飯'!$C$5:$C$304,MATCH(59,'4℃飯'!$Z$5:$Z$304,0))))</f>
        <v/>
      </c>
      <c xmlns="http://schemas.openxmlformats.org/spreadsheetml/2006/main" r="D80" s="18" t="str">
        <f>IF(59&gt;MAX('4℃麵'!$AA$5:$AA$292),"",HYPERLINK("#'4℃麵'!D"&amp;(MATCH(59,'4℃麵'!$AA$5:$AA$292,0)+4),INDEX('4℃麵'!$D$5:$D$292,MATCH(59,'4℃麵'!$AA$5:$AA$292,0))))</f>
        <v/>
      </c>
      <c xmlns="http://schemas.openxmlformats.org/spreadsheetml/2006/main" r="E80" s="18" t="str">
        <f>IF(59&gt;MAX('4℃其他'!$AA$5:$AA$304),"",HYPERLINK("#'4℃其他'!D"&amp;(MATCH(59,'4℃其他'!$AA$5:$AA$304,0)+4),INDEX('4℃其他'!$D$5:$D$304,MATCH(59,'4℃其他'!$AA$5:$AA$304,0))))</f>
        <v/>
      </c>
      <c xmlns="http://schemas.openxmlformats.org/spreadsheetml/2006/main" r="F80" s="18" t="str">
        <f>IF(59&gt;MAX('冷凍品'!$AA$5:$AA$304),"",HYPERLINK("#'冷凍品'!D"&amp;(MATCH(59,'冷凍品'!$AA$5:$AA$304,0)+4),INDEX('冷凍品'!$D$5:$D$304,MATCH(59,'冷凍品'!$AA$5:$AA$304,0))))</f>
        <v/>
      </c>
    </row>
    <row r="81" spans="2:6">
      <c xmlns="http://schemas.openxmlformats.org/spreadsheetml/2006/main" r="B81" s="18" t="str">
        <f>IF(60&gt;MAX('18℃'!$Z$5:$Z$304),"",HYPERLINK("#'18℃'!C"&amp;(MATCH(60,'18℃'!$Z$5:$Z$304,0)+4),INDEX('18℃'!$C$5:$C$304,MATCH(60,'18℃'!$Z$5:$Z$304,0))))</f>
        <v/>
      </c>
      <c xmlns="http://schemas.openxmlformats.org/spreadsheetml/2006/main" r="C81" s="18" t="str">
        <f>IF(60&gt;MAX('4℃飯'!$Z$5:$Z$304),"",HYPERLINK("#'4℃飯'!C"&amp;(MATCH(60,'4℃飯'!$Z$5:$Z$304,0)+4),INDEX('4℃飯'!$C$5:$C$304,MATCH(60,'4℃飯'!$Z$5:$Z$304,0))))</f>
        <v/>
      </c>
      <c xmlns="http://schemas.openxmlformats.org/spreadsheetml/2006/main" r="D81" s="18" t="str">
        <f>IF(60&gt;MAX('4℃麵'!$AA$5:$AA$292),"",HYPERLINK("#'4℃麵'!D"&amp;(MATCH(60,'4℃麵'!$AA$5:$AA$292,0)+4),INDEX('4℃麵'!$D$5:$D$292,MATCH(60,'4℃麵'!$AA$5:$AA$292,0))))</f>
        <v/>
      </c>
      <c xmlns="http://schemas.openxmlformats.org/spreadsheetml/2006/main" r="E81" s="18" t="str">
        <f>IF(60&gt;MAX('4℃其他'!$AA$5:$AA$304),"",HYPERLINK("#'4℃其他'!D"&amp;(MATCH(60,'4℃其他'!$AA$5:$AA$304,0)+4),INDEX('4℃其他'!$D$5:$D$304,MATCH(60,'4℃其他'!$AA$5:$AA$304,0))))</f>
        <v/>
      </c>
      <c xmlns="http://schemas.openxmlformats.org/spreadsheetml/2006/main" r="F81" s="18" t="str">
        <f>IF(60&gt;MAX('冷凍品'!$AA$5:$AA$304),"",HYPERLINK("#'冷凍品'!D"&amp;(MATCH(60,'冷凍品'!$AA$5:$AA$304,0)+4),INDEX('冷凍品'!$D$5:$D$304,MATCH(60,'冷凍品'!$AA$5:$AA$304,0))))</f>
        <v/>
      </c>
    </row>
    <row r="82" spans="2:6">
      <c xmlns="http://schemas.openxmlformats.org/spreadsheetml/2006/main" r="B82" s="18" t="str">
        <f>IF(61&gt;MAX('18℃'!$Z$5:$Z$304),"",HYPERLINK("#'18℃'!C"&amp;(MATCH(61,'18℃'!$Z$5:$Z$304,0)+4),INDEX('18℃'!$C$5:$C$304,MATCH(61,'18℃'!$Z$5:$Z$304,0))))</f>
        <v/>
      </c>
      <c xmlns="http://schemas.openxmlformats.org/spreadsheetml/2006/main" r="C82" s="18" t="str">
        <f>IF(61&gt;MAX('4℃飯'!$Z$5:$Z$304),"",HYPERLINK("#'4℃飯'!C"&amp;(MATCH(61,'4℃飯'!$Z$5:$Z$304,0)+4),INDEX('4℃飯'!$C$5:$C$304,MATCH(61,'4℃飯'!$Z$5:$Z$304,0))))</f>
        <v/>
      </c>
      <c xmlns="http://schemas.openxmlformats.org/spreadsheetml/2006/main" r="D82" s="18" t="str">
        <f>IF(61&gt;MAX('4℃麵'!$AA$5:$AA$292),"",HYPERLINK("#'4℃麵'!D"&amp;(MATCH(61,'4℃麵'!$AA$5:$AA$292,0)+4),INDEX('4℃麵'!$D$5:$D$292,MATCH(61,'4℃麵'!$AA$5:$AA$292,0))))</f>
        <v/>
      </c>
      <c xmlns="http://schemas.openxmlformats.org/spreadsheetml/2006/main" r="E82" s="18" t="str">
        <f>IF(61&gt;MAX('4℃其他'!$AA$5:$AA$304),"",HYPERLINK("#'4℃其他'!D"&amp;(MATCH(61,'4℃其他'!$AA$5:$AA$304,0)+4),INDEX('4℃其他'!$D$5:$D$304,MATCH(61,'4℃其他'!$AA$5:$AA$304,0))))</f>
        <v/>
      </c>
      <c xmlns="http://schemas.openxmlformats.org/spreadsheetml/2006/main" r="F82" s="18" t="str">
        <f>IF(61&gt;MAX('冷凍品'!$AA$5:$AA$304),"",HYPERLINK("#'冷凍品'!D"&amp;(MATCH(61,'冷凍品'!$AA$5:$AA$304,0)+4),INDEX('冷凍品'!$D$5:$D$304,MATCH(61,'冷凍品'!$AA$5:$AA$304,0))))</f>
        <v/>
      </c>
    </row>
    <row r="83" spans="2:6">
      <c xmlns="http://schemas.openxmlformats.org/spreadsheetml/2006/main" r="B83" s="18" t="str">
        <f>IF(62&gt;MAX('18℃'!$Z$5:$Z$304),"",HYPERLINK("#'18℃'!C"&amp;(MATCH(62,'18℃'!$Z$5:$Z$304,0)+4),INDEX('18℃'!$C$5:$C$304,MATCH(62,'18℃'!$Z$5:$Z$304,0))))</f>
        <v/>
      </c>
      <c xmlns="http://schemas.openxmlformats.org/spreadsheetml/2006/main" r="C83" s="18" t="str">
        <f>IF(62&gt;MAX('4℃飯'!$Z$5:$Z$304),"",HYPERLINK("#'4℃飯'!C"&amp;(MATCH(62,'4℃飯'!$Z$5:$Z$304,0)+4),INDEX('4℃飯'!$C$5:$C$304,MATCH(62,'4℃飯'!$Z$5:$Z$304,0))))</f>
        <v/>
      </c>
      <c xmlns="http://schemas.openxmlformats.org/spreadsheetml/2006/main" r="D83" s="18" t="str">
        <f>IF(62&gt;MAX('4℃麵'!$AA$5:$AA$292),"",HYPERLINK("#'4℃麵'!D"&amp;(MATCH(62,'4℃麵'!$AA$5:$AA$292,0)+4),INDEX('4℃麵'!$D$5:$D$292,MATCH(62,'4℃麵'!$AA$5:$AA$292,0))))</f>
        <v/>
      </c>
      <c xmlns="http://schemas.openxmlformats.org/spreadsheetml/2006/main" r="E83" s="18" t="str">
        <f>IF(62&gt;MAX('4℃其他'!$AA$5:$AA$304),"",HYPERLINK("#'4℃其他'!D"&amp;(MATCH(62,'4℃其他'!$AA$5:$AA$304,0)+4),INDEX('4℃其他'!$D$5:$D$304,MATCH(62,'4℃其他'!$AA$5:$AA$304,0))))</f>
        <v/>
      </c>
      <c xmlns="http://schemas.openxmlformats.org/spreadsheetml/2006/main" r="F83" s="18" t="str">
        <f>IF(62&gt;MAX('冷凍品'!$AA$5:$AA$304),"",HYPERLINK("#'冷凍品'!D"&amp;(MATCH(62,'冷凍品'!$AA$5:$AA$304,0)+4),INDEX('冷凍品'!$D$5:$D$304,MATCH(62,'冷凍品'!$AA$5:$AA$304,0))))</f>
        <v/>
      </c>
    </row>
    <row r="84" spans="2:6">
      <c xmlns="http://schemas.openxmlformats.org/spreadsheetml/2006/main" r="B84" s="18" t="str">
        <f>IF(63&gt;MAX('18℃'!$Z$5:$Z$304),"",HYPERLINK("#'18℃'!C"&amp;(MATCH(63,'18℃'!$Z$5:$Z$304,0)+4),INDEX('18℃'!$C$5:$C$304,MATCH(63,'18℃'!$Z$5:$Z$304,0))))</f>
        <v/>
      </c>
      <c xmlns="http://schemas.openxmlformats.org/spreadsheetml/2006/main" r="C84" s="18" t="str">
        <f>IF(63&gt;MAX('4℃飯'!$Z$5:$Z$304),"",HYPERLINK("#'4℃飯'!C"&amp;(MATCH(63,'4℃飯'!$Z$5:$Z$304,0)+4),INDEX('4℃飯'!$C$5:$C$304,MATCH(63,'4℃飯'!$Z$5:$Z$304,0))))</f>
        <v/>
      </c>
      <c xmlns="http://schemas.openxmlformats.org/spreadsheetml/2006/main" r="D84" s="18" t="str">
        <f>IF(63&gt;MAX('4℃麵'!$AA$5:$AA$292),"",HYPERLINK("#'4℃麵'!D"&amp;(MATCH(63,'4℃麵'!$AA$5:$AA$292,0)+4),INDEX('4℃麵'!$D$5:$D$292,MATCH(63,'4℃麵'!$AA$5:$AA$292,0))))</f>
        <v/>
      </c>
      <c xmlns="http://schemas.openxmlformats.org/spreadsheetml/2006/main" r="E84" s="18" t="str">
        <f>IF(63&gt;MAX('4℃其他'!$AA$5:$AA$304),"",HYPERLINK("#'4℃其他'!D"&amp;(MATCH(63,'4℃其他'!$AA$5:$AA$304,0)+4),INDEX('4℃其他'!$D$5:$D$304,MATCH(63,'4℃其他'!$AA$5:$AA$304,0))))</f>
        <v/>
      </c>
      <c xmlns="http://schemas.openxmlformats.org/spreadsheetml/2006/main" r="F84" s="18" t="str">
        <f>IF(63&gt;MAX('冷凍品'!$AA$5:$AA$304),"",HYPERLINK("#'冷凍品'!D"&amp;(MATCH(63,'冷凍品'!$AA$5:$AA$304,0)+4),INDEX('冷凍品'!$D$5:$D$304,MATCH(63,'冷凍品'!$AA$5:$AA$304,0))))</f>
        <v/>
      </c>
    </row>
    <row r="85" spans="2:6">
      <c xmlns="http://schemas.openxmlformats.org/spreadsheetml/2006/main" r="B85" s="18" t="str">
        <f>IF(64&gt;MAX('18℃'!$Z$5:$Z$304),"",HYPERLINK("#'18℃'!C"&amp;(MATCH(64,'18℃'!$Z$5:$Z$304,0)+4),INDEX('18℃'!$C$5:$C$304,MATCH(64,'18℃'!$Z$5:$Z$304,0))))</f>
        <v/>
      </c>
      <c xmlns="http://schemas.openxmlformats.org/spreadsheetml/2006/main" r="C85" s="18" t="str">
        <f>IF(64&gt;MAX('4℃飯'!$Z$5:$Z$304),"",HYPERLINK("#'4℃飯'!C"&amp;(MATCH(64,'4℃飯'!$Z$5:$Z$304,0)+4),INDEX('4℃飯'!$C$5:$C$304,MATCH(64,'4℃飯'!$Z$5:$Z$304,0))))</f>
        <v/>
      </c>
      <c xmlns="http://schemas.openxmlformats.org/spreadsheetml/2006/main" r="D85" s="18" t="str">
        <f>IF(64&gt;MAX('4℃麵'!$AA$5:$AA$292),"",HYPERLINK("#'4℃麵'!D"&amp;(MATCH(64,'4℃麵'!$AA$5:$AA$292,0)+4),INDEX('4℃麵'!$D$5:$D$292,MATCH(64,'4℃麵'!$AA$5:$AA$292,0))))</f>
        <v/>
      </c>
      <c xmlns="http://schemas.openxmlformats.org/spreadsheetml/2006/main" r="E85" s="18" t="str">
        <f>IF(64&gt;MAX('4℃其他'!$AA$5:$AA$304),"",HYPERLINK("#'4℃其他'!D"&amp;(MATCH(64,'4℃其他'!$AA$5:$AA$304,0)+4),INDEX('4℃其他'!$D$5:$D$304,MATCH(64,'4℃其他'!$AA$5:$AA$304,0))))</f>
        <v/>
      </c>
      <c xmlns="http://schemas.openxmlformats.org/spreadsheetml/2006/main" r="F85" s="18" t="str">
        <f>IF(64&gt;MAX('冷凍品'!$AA$5:$AA$304),"",HYPERLINK("#'冷凍品'!D"&amp;(MATCH(64,'冷凍品'!$AA$5:$AA$304,0)+4),INDEX('冷凍品'!$D$5:$D$304,MATCH(64,'冷凍品'!$AA$5:$AA$304,0))))</f>
        <v/>
      </c>
    </row>
    <row r="86" spans="2:6">
      <c xmlns="http://schemas.openxmlformats.org/spreadsheetml/2006/main" r="B86" s="18" t="str">
        <f>IF(65&gt;MAX('18℃'!$Z$5:$Z$304),"",HYPERLINK("#'18℃'!C"&amp;(MATCH(65,'18℃'!$Z$5:$Z$304,0)+4),INDEX('18℃'!$C$5:$C$304,MATCH(65,'18℃'!$Z$5:$Z$304,0))))</f>
        <v/>
      </c>
      <c xmlns="http://schemas.openxmlformats.org/spreadsheetml/2006/main" r="C86" s="18" t="str">
        <f>IF(65&gt;MAX('4℃飯'!$Z$5:$Z$304),"",HYPERLINK("#'4℃飯'!C"&amp;(MATCH(65,'4℃飯'!$Z$5:$Z$304,0)+4),INDEX('4℃飯'!$C$5:$C$304,MATCH(65,'4℃飯'!$Z$5:$Z$304,0))))</f>
        <v/>
      </c>
      <c xmlns="http://schemas.openxmlformats.org/spreadsheetml/2006/main" r="D86" s="18" t="str">
        <f>IF(65&gt;MAX('4℃麵'!$AA$5:$AA$292),"",HYPERLINK("#'4℃麵'!D"&amp;(MATCH(65,'4℃麵'!$AA$5:$AA$292,0)+4),INDEX('4℃麵'!$D$5:$D$292,MATCH(65,'4℃麵'!$AA$5:$AA$292,0))))</f>
        <v/>
      </c>
      <c xmlns="http://schemas.openxmlformats.org/spreadsheetml/2006/main" r="E86" s="18" t="str">
        <f>IF(65&gt;MAX('4℃其他'!$AA$5:$AA$304),"",HYPERLINK("#'4℃其他'!D"&amp;(MATCH(65,'4℃其他'!$AA$5:$AA$304,0)+4),INDEX('4℃其他'!$D$5:$D$304,MATCH(65,'4℃其他'!$AA$5:$AA$304,0))))</f>
        <v/>
      </c>
      <c xmlns="http://schemas.openxmlformats.org/spreadsheetml/2006/main" r="F86" s="18" t="str">
        <f>IF(65&gt;MAX('冷凍品'!$AA$5:$AA$304),"",HYPERLINK("#'冷凍品'!D"&amp;(MATCH(65,'冷凍品'!$AA$5:$AA$304,0)+4),INDEX('冷凍品'!$D$5:$D$304,MATCH(65,'冷凍品'!$AA$5:$AA$304,0))))</f>
        <v/>
      </c>
    </row>
    <row r="87" spans="2:6">
      <c xmlns="http://schemas.openxmlformats.org/spreadsheetml/2006/main" r="B87" s="18" t="str">
        <f>IF(66&gt;MAX('18℃'!$Z$5:$Z$304),"",HYPERLINK("#'18℃'!C"&amp;(MATCH(66,'18℃'!$Z$5:$Z$304,0)+4),INDEX('18℃'!$C$5:$C$304,MATCH(66,'18℃'!$Z$5:$Z$304,0))))</f>
        <v/>
      </c>
      <c xmlns="http://schemas.openxmlformats.org/spreadsheetml/2006/main" r="C87" s="18" t="str">
        <f>IF(66&gt;MAX('4℃飯'!$Z$5:$Z$304),"",HYPERLINK("#'4℃飯'!C"&amp;(MATCH(66,'4℃飯'!$Z$5:$Z$304,0)+4),INDEX('4℃飯'!$C$5:$C$304,MATCH(66,'4℃飯'!$Z$5:$Z$304,0))))</f>
        <v/>
      </c>
      <c xmlns="http://schemas.openxmlformats.org/spreadsheetml/2006/main" r="D87" s="18" t="str">
        <f>IF(66&gt;MAX('4℃麵'!$AA$5:$AA$292),"",HYPERLINK("#'4℃麵'!D"&amp;(MATCH(66,'4℃麵'!$AA$5:$AA$292,0)+4),INDEX('4℃麵'!$D$5:$D$292,MATCH(66,'4℃麵'!$AA$5:$AA$292,0))))</f>
        <v/>
      </c>
      <c xmlns="http://schemas.openxmlformats.org/spreadsheetml/2006/main" r="E87" s="18" t="str">
        <f>IF(66&gt;MAX('4℃其他'!$AA$5:$AA$304),"",HYPERLINK("#'4℃其他'!D"&amp;(MATCH(66,'4℃其他'!$AA$5:$AA$304,0)+4),INDEX('4℃其他'!$D$5:$D$304,MATCH(66,'4℃其他'!$AA$5:$AA$304,0))))</f>
        <v/>
      </c>
      <c xmlns="http://schemas.openxmlformats.org/spreadsheetml/2006/main" r="F87" s="18" t="str">
        <f>IF(66&gt;MAX('冷凍品'!$AA$5:$AA$304),"",HYPERLINK("#'冷凍品'!D"&amp;(MATCH(66,'冷凍品'!$AA$5:$AA$304,0)+4),INDEX('冷凍品'!$D$5:$D$304,MATCH(66,'冷凍品'!$AA$5:$AA$304,0))))</f>
        <v/>
      </c>
    </row>
    <row r="88" spans="2:6">
      <c xmlns="http://schemas.openxmlformats.org/spreadsheetml/2006/main" r="B88" s="18" t="str">
        <f>IF(67&gt;MAX('18℃'!$Z$5:$Z$304),"",HYPERLINK("#'18℃'!C"&amp;(MATCH(67,'18℃'!$Z$5:$Z$304,0)+4),INDEX('18℃'!$C$5:$C$304,MATCH(67,'18℃'!$Z$5:$Z$304,0))))</f>
        <v/>
      </c>
      <c xmlns="http://schemas.openxmlformats.org/spreadsheetml/2006/main" r="C88" s="18" t="str">
        <f>IF(67&gt;MAX('4℃飯'!$Z$5:$Z$304),"",HYPERLINK("#'4℃飯'!C"&amp;(MATCH(67,'4℃飯'!$Z$5:$Z$304,0)+4),INDEX('4℃飯'!$C$5:$C$304,MATCH(67,'4℃飯'!$Z$5:$Z$304,0))))</f>
        <v/>
      </c>
      <c xmlns="http://schemas.openxmlformats.org/spreadsheetml/2006/main" r="D88" s="18" t="str">
        <f>IF(67&gt;MAX('4℃麵'!$AA$5:$AA$292),"",HYPERLINK("#'4℃麵'!D"&amp;(MATCH(67,'4℃麵'!$AA$5:$AA$292,0)+4),INDEX('4℃麵'!$D$5:$D$292,MATCH(67,'4℃麵'!$AA$5:$AA$292,0))))</f>
        <v/>
      </c>
      <c xmlns="http://schemas.openxmlformats.org/spreadsheetml/2006/main" r="E88" s="18" t="str">
        <f>IF(67&gt;MAX('4℃其他'!$AA$5:$AA$304),"",HYPERLINK("#'4℃其他'!D"&amp;(MATCH(67,'4℃其他'!$AA$5:$AA$304,0)+4),INDEX('4℃其他'!$D$5:$D$304,MATCH(67,'4℃其他'!$AA$5:$AA$304,0))))</f>
        <v/>
      </c>
      <c xmlns="http://schemas.openxmlformats.org/spreadsheetml/2006/main" r="F88" s="18" t="str">
        <f>IF(67&gt;MAX('冷凍品'!$AA$5:$AA$304),"",HYPERLINK("#'冷凍品'!D"&amp;(MATCH(67,'冷凍品'!$AA$5:$AA$304,0)+4),INDEX('冷凍品'!$D$5:$D$304,MATCH(67,'冷凍品'!$AA$5:$AA$304,0))))</f>
        <v/>
      </c>
    </row>
    <row r="89" spans="2:6">
      <c xmlns="http://schemas.openxmlformats.org/spreadsheetml/2006/main" r="B89" s="18" t="str">
        <f>IF(68&gt;MAX('18℃'!$Z$5:$Z$304),"",HYPERLINK("#'18℃'!C"&amp;(MATCH(68,'18℃'!$Z$5:$Z$304,0)+4),INDEX('18℃'!$C$5:$C$304,MATCH(68,'18℃'!$Z$5:$Z$304,0))))</f>
        <v/>
      </c>
      <c xmlns="http://schemas.openxmlformats.org/spreadsheetml/2006/main" r="C89" s="18" t="str">
        <f>IF(68&gt;MAX('4℃飯'!$Z$5:$Z$304),"",HYPERLINK("#'4℃飯'!C"&amp;(MATCH(68,'4℃飯'!$Z$5:$Z$304,0)+4),INDEX('4℃飯'!$C$5:$C$304,MATCH(68,'4℃飯'!$Z$5:$Z$304,0))))</f>
        <v/>
      </c>
      <c xmlns="http://schemas.openxmlformats.org/spreadsheetml/2006/main" r="D89" s="18" t="str">
        <f>IF(68&gt;MAX('4℃麵'!$AA$5:$AA$292),"",HYPERLINK("#'4℃麵'!D"&amp;(MATCH(68,'4℃麵'!$AA$5:$AA$292,0)+4),INDEX('4℃麵'!$D$5:$D$292,MATCH(68,'4℃麵'!$AA$5:$AA$292,0))))</f>
        <v/>
      </c>
      <c xmlns="http://schemas.openxmlformats.org/spreadsheetml/2006/main" r="E89" s="18" t="str">
        <f>IF(68&gt;MAX('4℃其他'!$AA$5:$AA$304),"",HYPERLINK("#'4℃其他'!D"&amp;(MATCH(68,'4℃其他'!$AA$5:$AA$304,0)+4),INDEX('4℃其他'!$D$5:$D$304,MATCH(68,'4℃其他'!$AA$5:$AA$304,0))))</f>
        <v/>
      </c>
      <c xmlns="http://schemas.openxmlformats.org/spreadsheetml/2006/main" r="F89" s="18" t="str">
        <f>IF(68&gt;MAX('冷凍品'!$AA$5:$AA$304),"",HYPERLINK("#'冷凍品'!D"&amp;(MATCH(68,'冷凍品'!$AA$5:$AA$304,0)+4),INDEX('冷凍品'!$D$5:$D$304,MATCH(68,'冷凍品'!$AA$5:$AA$304,0))))</f>
        <v/>
      </c>
    </row>
    <row r="90" spans="2:6">
      <c xmlns="http://schemas.openxmlformats.org/spreadsheetml/2006/main" r="B90" s="18" t="str">
        <f>IF(69&gt;MAX('18℃'!$Z$5:$Z$304),"",HYPERLINK("#'18℃'!C"&amp;(MATCH(69,'18℃'!$Z$5:$Z$304,0)+4),INDEX('18℃'!$C$5:$C$304,MATCH(69,'18℃'!$Z$5:$Z$304,0))))</f>
        <v/>
      </c>
      <c xmlns="http://schemas.openxmlformats.org/spreadsheetml/2006/main" r="C90" s="18" t="str">
        <f>IF(69&gt;MAX('4℃飯'!$Z$5:$Z$304),"",HYPERLINK("#'4℃飯'!C"&amp;(MATCH(69,'4℃飯'!$Z$5:$Z$304,0)+4),INDEX('4℃飯'!$C$5:$C$304,MATCH(69,'4℃飯'!$Z$5:$Z$304,0))))</f>
        <v/>
      </c>
      <c xmlns="http://schemas.openxmlformats.org/spreadsheetml/2006/main" r="D90" s="18" t="str">
        <f>IF(69&gt;MAX('4℃麵'!$AA$5:$AA$292),"",HYPERLINK("#'4℃麵'!D"&amp;(MATCH(69,'4℃麵'!$AA$5:$AA$292,0)+4),INDEX('4℃麵'!$D$5:$D$292,MATCH(69,'4℃麵'!$AA$5:$AA$292,0))))</f>
        <v/>
      </c>
      <c xmlns="http://schemas.openxmlformats.org/spreadsheetml/2006/main" r="E90" s="18" t="str">
        <f>IF(69&gt;MAX('4℃其他'!$AA$5:$AA$304),"",HYPERLINK("#'4℃其他'!D"&amp;(MATCH(69,'4℃其他'!$AA$5:$AA$304,0)+4),INDEX('4℃其他'!$D$5:$D$304,MATCH(69,'4℃其他'!$AA$5:$AA$304,0))))</f>
        <v/>
      </c>
      <c xmlns="http://schemas.openxmlformats.org/spreadsheetml/2006/main" r="F90" s="18" t="str">
        <f>IF(69&gt;MAX('冷凍品'!$AA$5:$AA$304),"",HYPERLINK("#'冷凍品'!D"&amp;(MATCH(69,'冷凍品'!$AA$5:$AA$304,0)+4),INDEX('冷凍品'!$D$5:$D$304,MATCH(69,'冷凍品'!$AA$5:$AA$304,0))))</f>
        <v/>
      </c>
    </row>
    <row r="91" spans="2:6">
      <c xmlns="http://schemas.openxmlformats.org/spreadsheetml/2006/main" r="B91" s="18" t="str">
        <f>IF(70&gt;MAX('18℃'!$Z$5:$Z$304),"",HYPERLINK("#'18℃'!C"&amp;(MATCH(70,'18℃'!$Z$5:$Z$304,0)+4),INDEX('18℃'!$C$5:$C$304,MATCH(70,'18℃'!$Z$5:$Z$304,0))))</f>
        <v/>
      </c>
      <c xmlns="http://schemas.openxmlformats.org/spreadsheetml/2006/main" r="C91" s="18" t="str">
        <f>IF(70&gt;MAX('4℃飯'!$Z$5:$Z$304),"",HYPERLINK("#'4℃飯'!C"&amp;(MATCH(70,'4℃飯'!$Z$5:$Z$304,0)+4),INDEX('4℃飯'!$C$5:$C$304,MATCH(70,'4℃飯'!$Z$5:$Z$304,0))))</f>
        <v/>
      </c>
      <c xmlns="http://schemas.openxmlformats.org/spreadsheetml/2006/main" r="D91" s="18" t="str">
        <f>IF(70&gt;MAX('4℃麵'!$AA$5:$AA$292),"",HYPERLINK("#'4℃麵'!D"&amp;(MATCH(70,'4℃麵'!$AA$5:$AA$292,0)+4),INDEX('4℃麵'!$D$5:$D$292,MATCH(70,'4℃麵'!$AA$5:$AA$292,0))))</f>
        <v/>
      </c>
      <c xmlns="http://schemas.openxmlformats.org/spreadsheetml/2006/main" r="E91" s="18" t="str">
        <f>IF(70&gt;MAX('4℃其他'!$AA$5:$AA$304),"",HYPERLINK("#'4℃其他'!D"&amp;(MATCH(70,'4℃其他'!$AA$5:$AA$304,0)+4),INDEX('4℃其他'!$D$5:$D$304,MATCH(70,'4℃其他'!$AA$5:$AA$304,0))))</f>
        <v/>
      </c>
      <c xmlns="http://schemas.openxmlformats.org/spreadsheetml/2006/main" r="F91" s="18" t="str">
        <f>IF(70&gt;MAX('冷凍品'!$AA$5:$AA$304),"",HYPERLINK("#'冷凍品'!D"&amp;(MATCH(70,'冷凍品'!$AA$5:$AA$304,0)+4),INDEX('冷凍品'!$D$5:$D$304,MATCH(70,'冷凍品'!$AA$5:$AA$304,0))))</f>
        <v/>
      </c>
    </row>
    <row r="92" spans="2:6">
      <c xmlns="http://schemas.openxmlformats.org/spreadsheetml/2006/main" r="B92" s="18" t="str">
        <f>IF(71&gt;MAX('18℃'!$Z$5:$Z$304),"",HYPERLINK("#'18℃'!C"&amp;(MATCH(71,'18℃'!$Z$5:$Z$304,0)+4),INDEX('18℃'!$C$5:$C$304,MATCH(71,'18℃'!$Z$5:$Z$304,0))))</f>
        <v/>
      </c>
      <c xmlns="http://schemas.openxmlformats.org/spreadsheetml/2006/main" r="C92" s="18" t="str">
        <f>IF(71&gt;MAX('4℃飯'!$Z$5:$Z$304),"",HYPERLINK("#'4℃飯'!C"&amp;(MATCH(71,'4℃飯'!$Z$5:$Z$304,0)+4),INDEX('4℃飯'!$C$5:$C$304,MATCH(71,'4℃飯'!$Z$5:$Z$304,0))))</f>
        <v/>
      </c>
      <c xmlns="http://schemas.openxmlformats.org/spreadsheetml/2006/main" r="D92" s="18" t="str">
        <f>IF(71&gt;MAX('4℃麵'!$AA$5:$AA$292),"",HYPERLINK("#'4℃麵'!D"&amp;(MATCH(71,'4℃麵'!$AA$5:$AA$292,0)+4),INDEX('4℃麵'!$D$5:$D$292,MATCH(71,'4℃麵'!$AA$5:$AA$292,0))))</f>
        <v/>
      </c>
      <c xmlns="http://schemas.openxmlformats.org/spreadsheetml/2006/main" r="E92" s="18" t="str">
        <f>IF(71&gt;MAX('4℃其他'!$AA$5:$AA$304),"",HYPERLINK("#'4℃其他'!D"&amp;(MATCH(71,'4℃其他'!$AA$5:$AA$304,0)+4),INDEX('4℃其他'!$D$5:$D$304,MATCH(71,'4℃其他'!$AA$5:$AA$304,0))))</f>
        <v/>
      </c>
      <c xmlns="http://schemas.openxmlformats.org/spreadsheetml/2006/main" r="F92" s="18" t="str">
        <f>IF(71&gt;MAX('冷凍品'!$AA$5:$AA$304),"",HYPERLINK("#'冷凍品'!D"&amp;(MATCH(71,'冷凍品'!$AA$5:$AA$304,0)+4),INDEX('冷凍品'!$D$5:$D$304,MATCH(71,'冷凍品'!$AA$5:$AA$304,0))))</f>
        <v/>
      </c>
    </row>
    <row r="93" spans="2:6">
      <c xmlns="http://schemas.openxmlformats.org/spreadsheetml/2006/main" r="B93" s="18" t="str">
        <f>IF(72&gt;MAX('18℃'!$Z$5:$Z$304),"",HYPERLINK("#'18℃'!C"&amp;(MATCH(72,'18℃'!$Z$5:$Z$304,0)+4),INDEX('18℃'!$C$5:$C$304,MATCH(72,'18℃'!$Z$5:$Z$304,0))))</f>
        <v/>
      </c>
      <c xmlns="http://schemas.openxmlformats.org/spreadsheetml/2006/main" r="C93" s="18" t="str">
        <f>IF(72&gt;MAX('4℃飯'!$Z$5:$Z$304),"",HYPERLINK("#'4℃飯'!C"&amp;(MATCH(72,'4℃飯'!$Z$5:$Z$304,0)+4),INDEX('4℃飯'!$C$5:$C$304,MATCH(72,'4℃飯'!$Z$5:$Z$304,0))))</f>
        <v/>
      </c>
      <c xmlns="http://schemas.openxmlformats.org/spreadsheetml/2006/main" r="D93" s="18" t="str">
        <f>IF(72&gt;MAX('4℃麵'!$AA$5:$AA$292),"",HYPERLINK("#'4℃麵'!D"&amp;(MATCH(72,'4℃麵'!$AA$5:$AA$292,0)+4),INDEX('4℃麵'!$D$5:$D$292,MATCH(72,'4℃麵'!$AA$5:$AA$292,0))))</f>
        <v/>
      </c>
      <c xmlns="http://schemas.openxmlformats.org/spreadsheetml/2006/main" r="E93" s="18" t="str">
        <f>IF(72&gt;MAX('4℃其他'!$AA$5:$AA$304),"",HYPERLINK("#'4℃其他'!D"&amp;(MATCH(72,'4℃其他'!$AA$5:$AA$304,0)+4),INDEX('4℃其他'!$D$5:$D$304,MATCH(72,'4℃其他'!$AA$5:$AA$304,0))))</f>
        <v/>
      </c>
      <c xmlns="http://schemas.openxmlformats.org/spreadsheetml/2006/main" r="F93" s="18" t="str">
        <f>IF(72&gt;MAX('冷凍品'!$AA$5:$AA$304),"",HYPERLINK("#'冷凍品'!D"&amp;(MATCH(72,'冷凍品'!$AA$5:$AA$304,0)+4),INDEX('冷凍品'!$D$5:$D$304,MATCH(72,'冷凍品'!$AA$5:$AA$304,0))))</f>
        <v/>
      </c>
    </row>
    <row r="94" spans="2:6">
      <c xmlns="http://schemas.openxmlformats.org/spreadsheetml/2006/main" r="B94" s="18" t="str">
        <f>IF(73&gt;MAX('18℃'!$Z$5:$Z$304),"",HYPERLINK("#'18℃'!C"&amp;(MATCH(73,'18℃'!$Z$5:$Z$304,0)+4),INDEX('18℃'!$C$5:$C$304,MATCH(73,'18℃'!$Z$5:$Z$304,0))))</f>
        <v/>
      </c>
      <c xmlns="http://schemas.openxmlformats.org/spreadsheetml/2006/main" r="C94" s="18" t="str">
        <f>IF(73&gt;MAX('4℃飯'!$Z$5:$Z$304),"",HYPERLINK("#'4℃飯'!C"&amp;(MATCH(73,'4℃飯'!$Z$5:$Z$304,0)+4),INDEX('4℃飯'!$C$5:$C$304,MATCH(73,'4℃飯'!$Z$5:$Z$304,0))))</f>
        <v/>
      </c>
      <c xmlns="http://schemas.openxmlformats.org/spreadsheetml/2006/main" r="D94" s="18" t="str">
        <f>IF(73&gt;MAX('4℃麵'!$AA$5:$AA$292),"",HYPERLINK("#'4℃麵'!D"&amp;(MATCH(73,'4℃麵'!$AA$5:$AA$292,0)+4),INDEX('4℃麵'!$D$5:$D$292,MATCH(73,'4℃麵'!$AA$5:$AA$292,0))))</f>
        <v/>
      </c>
      <c xmlns="http://schemas.openxmlformats.org/spreadsheetml/2006/main" r="E94" s="18" t="str">
        <f>IF(73&gt;MAX('4℃其他'!$AA$5:$AA$304),"",HYPERLINK("#'4℃其他'!D"&amp;(MATCH(73,'4℃其他'!$AA$5:$AA$304,0)+4),INDEX('4℃其他'!$D$5:$D$304,MATCH(73,'4℃其他'!$AA$5:$AA$304,0))))</f>
        <v/>
      </c>
      <c xmlns="http://schemas.openxmlformats.org/spreadsheetml/2006/main" r="F94" s="18" t="str">
        <f>IF(73&gt;MAX('冷凍品'!$AA$5:$AA$304),"",HYPERLINK("#'冷凍品'!D"&amp;(MATCH(73,'冷凍品'!$AA$5:$AA$304,0)+4),INDEX('冷凍品'!$D$5:$D$304,MATCH(73,'冷凍品'!$AA$5:$AA$304,0))))</f>
        <v/>
      </c>
    </row>
    <row r="95" spans="2:6">
      <c xmlns="http://schemas.openxmlformats.org/spreadsheetml/2006/main" r="B95" s="18" t="str">
        <f>IF(74&gt;MAX('18℃'!$Z$5:$Z$304),"",HYPERLINK("#'18℃'!C"&amp;(MATCH(74,'18℃'!$Z$5:$Z$304,0)+4),INDEX('18℃'!$C$5:$C$304,MATCH(74,'18℃'!$Z$5:$Z$304,0))))</f>
        <v/>
      </c>
      <c xmlns="http://schemas.openxmlformats.org/spreadsheetml/2006/main" r="C95" s="18" t="str">
        <f>IF(74&gt;MAX('4℃飯'!$Z$5:$Z$304),"",HYPERLINK("#'4℃飯'!C"&amp;(MATCH(74,'4℃飯'!$Z$5:$Z$304,0)+4),INDEX('4℃飯'!$C$5:$C$304,MATCH(74,'4℃飯'!$Z$5:$Z$304,0))))</f>
        <v/>
      </c>
      <c xmlns="http://schemas.openxmlformats.org/spreadsheetml/2006/main" r="D95" s="18" t="str">
        <f>IF(74&gt;MAX('4℃麵'!$AA$5:$AA$292),"",HYPERLINK("#'4℃麵'!D"&amp;(MATCH(74,'4℃麵'!$AA$5:$AA$292,0)+4),INDEX('4℃麵'!$D$5:$D$292,MATCH(74,'4℃麵'!$AA$5:$AA$292,0))))</f>
        <v/>
      </c>
      <c xmlns="http://schemas.openxmlformats.org/spreadsheetml/2006/main" r="E95" s="18" t="str">
        <f>IF(74&gt;MAX('4℃其他'!$AA$5:$AA$304),"",HYPERLINK("#'4℃其他'!D"&amp;(MATCH(74,'4℃其他'!$AA$5:$AA$304,0)+4),INDEX('4℃其他'!$D$5:$D$304,MATCH(74,'4℃其他'!$AA$5:$AA$304,0))))</f>
        <v/>
      </c>
      <c xmlns="http://schemas.openxmlformats.org/spreadsheetml/2006/main" r="F95" s="18" t="str">
        <f>IF(74&gt;MAX('冷凍品'!$AA$5:$AA$304),"",HYPERLINK("#'冷凍品'!D"&amp;(MATCH(74,'冷凍品'!$AA$5:$AA$304,0)+4),INDEX('冷凍品'!$D$5:$D$304,MATCH(74,'冷凍品'!$AA$5:$AA$304,0))))</f>
        <v/>
      </c>
    </row>
    <row r="96" spans="2:6">
      <c xmlns="http://schemas.openxmlformats.org/spreadsheetml/2006/main" r="B96" s="18" t="str">
        <f>IF(75&gt;MAX('18℃'!$Z$5:$Z$304),"",HYPERLINK("#'18℃'!C"&amp;(MATCH(75,'18℃'!$Z$5:$Z$304,0)+4),INDEX('18℃'!$C$5:$C$304,MATCH(75,'18℃'!$Z$5:$Z$304,0))))</f>
        <v/>
      </c>
      <c xmlns="http://schemas.openxmlformats.org/spreadsheetml/2006/main" r="C96" s="18" t="str">
        <f>IF(75&gt;MAX('4℃飯'!$Z$5:$Z$304),"",HYPERLINK("#'4℃飯'!C"&amp;(MATCH(75,'4℃飯'!$Z$5:$Z$304,0)+4),INDEX('4℃飯'!$C$5:$C$304,MATCH(75,'4℃飯'!$Z$5:$Z$304,0))))</f>
        <v/>
      </c>
      <c xmlns="http://schemas.openxmlformats.org/spreadsheetml/2006/main" r="D96" s="18" t="str">
        <f>IF(75&gt;MAX('4℃麵'!$AA$5:$AA$292),"",HYPERLINK("#'4℃麵'!D"&amp;(MATCH(75,'4℃麵'!$AA$5:$AA$292,0)+4),INDEX('4℃麵'!$D$5:$D$292,MATCH(75,'4℃麵'!$AA$5:$AA$292,0))))</f>
        <v/>
      </c>
      <c xmlns="http://schemas.openxmlformats.org/spreadsheetml/2006/main" r="E96" s="18" t="str">
        <f>IF(75&gt;MAX('4℃其他'!$AA$5:$AA$304),"",HYPERLINK("#'4℃其他'!D"&amp;(MATCH(75,'4℃其他'!$AA$5:$AA$304,0)+4),INDEX('4℃其他'!$D$5:$D$304,MATCH(75,'4℃其他'!$AA$5:$AA$304,0))))</f>
        <v/>
      </c>
      <c xmlns="http://schemas.openxmlformats.org/spreadsheetml/2006/main" r="F96" s="18" t="str">
        <f>IF(75&gt;MAX('冷凍品'!$AA$5:$AA$304),"",HYPERLINK("#'冷凍品'!D"&amp;(MATCH(75,'冷凍品'!$AA$5:$AA$304,0)+4),INDEX('冷凍品'!$D$5:$D$304,MATCH(75,'冷凍品'!$AA$5:$AA$304,0))))</f>
        <v/>
      </c>
    </row>
    <row r="97" spans="2:6">
      <c xmlns="http://schemas.openxmlformats.org/spreadsheetml/2006/main" r="B97" s="18" t="str">
        <f>IF(76&gt;MAX('18℃'!$Z$5:$Z$304),"",HYPERLINK("#'18℃'!C"&amp;(MATCH(76,'18℃'!$Z$5:$Z$304,0)+4),INDEX('18℃'!$C$5:$C$304,MATCH(76,'18℃'!$Z$5:$Z$304,0))))</f>
        <v/>
      </c>
      <c xmlns="http://schemas.openxmlformats.org/spreadsheetml/2006/main" r="C97" s="18" t="str">
        <f>IF(76&gt;MAX('4℃飯'!$Z$5:$Z$304),"",HYPERLINK("#'4℃飯'!C"&amp;(MATCH(76,'4℃飯'!$Z$5:$Z$304,0)+4),INDEX('4℃飯'!$C$5:$C$304,MATCH(76,'4℃飯'!$Z$5:$Z$304,0))))</f>
        <v/>
      </c>
      <c xmlns="http://schemas.openxmlformats.org/spreadsheetml/2006/main" r="D97" s="18" t="str">
        <f>IF(76&gt;MAX('4℃麵'!$AA$5:$AA$292),"",HYPERLINK("#'4℃麵'!D"&amp;(MATCH(76,'4℃麵'!$AA$5:$AA$292,0)+4),INDEX('4℃麵'!$D$5:$D$292,MATCH(76,'4℃麵'!$AA$5:$AA$292,0))))</f>
        <v/>
      </c>
      <c xmlns="http://schemas.openxmlformats.org/spreadsheetml/2006/main" r="E97" s="18" t="str">
        <f>IF(76&gt;MAX('4℃其他'!$AA$5:$AA$304),"",HYPERLINK("#'4℃其他'!D"&amp;(MATCH(76,'4℃其他'!$AA$5:$AA$304,0)+4),INDEX('4℃其他'!$D$5:$D$304,MATCH(76,'4℃其他'!$AA$5:$AA$304,0))))</f>
        <v/>
      </c>
      <c xmlns="http://schemas.openxmlformats.org/spreadsheetml/2006/main" r="F97" s="18" t="str">
        <f>IF(76&gt;MAX('冷凍品'!$AA$5:$AA$304),"",HYPERLINK("#'冷凍品'!D"&amp;(MATCH(76,'冷凍品'!$AA$5:$AA$304,0)+4),INDEX('冷凍品'!$D$5:$D$304,MATCH(76,'冷凍品'!$AA$5:$AA$304,0))))</f>
        <v/>
      </c>
    </row>
    <row r="98" spans="2:6">
      <c xmlns="http://schemas.openxmlformats.org/spreadsheetml/2006/main" r="B98" s="18" t="str">
        <f>IF(77&gt;MAX('18℃'!$Z$5:$Z$304),"",HYPERLINK("#'18℃'!C"&amp;(MATCH(77,'18℃'!$Z$5:$Z$304,0)+4),INDEX('18℃'!$C$5:$C$304,MATCH(77,'18℃'!$Z$5:$Z$304,0))))</f>
        <v/>
      </c>
      <c xmlns="http://schemas.openxmlformats.org/spreadsheetml/2006/main" r="C98" s="18" t="str">
        <f>IF(77&gt;MAX('4℃飯'!$Z$5:$Z$304),"",HYPERLINK("#'4℃飯'!C"&amp;(MATCH(77,'4℃飯'!$Z$5:$Z$304,0)+4),INDEX('4℃飯'!$C$5:$C$304,MATCH(77,'4℃飯'!$Z$5:$Z$304,0))))</f>
        <v/>
      </c>
      <c xmlns="http://schemas.openxmlformats.org/spreadsheetml/2006/main" r="D98" s="18" t="str">
        <f>IF(77&gt;MAX('4℃麵'!$AA$5:$AA$292),"",HYPERLINK("#'4℃麵'!D"&amp;(MATCH(77,'4℃麵'!$AA$5:$AA$292,0)+4),INDEX('4℃麵'!$D$5:$D$292,MATCH(77,'4℃麵'!$AA$5:$AA$292,0))))</f>
        <v/>
      </c>
      <c xmlns="http://schemas.openxmlformats.org/spreadsheetml/2006/main" r="E98" s="18" t="str">
        <f>IF(77&gt;MAX('4℃其他'!$AA$5:$AA$304),"",HYPERLINK("#'4℃其他'!D"&amp;(MATCH(77,'4℃其他'!$AA$5:$AA$304,0)+4),INDEX('4℃其他'!$D$5:$D$304,MATCH(77,'4℃其他'!$AA$5:$AA$304,0))))</f>
        <v/>
      </c>
      <c xmlns="http://schemas.openxmlformats.org/spreadsheetml/2006/main" r="F98" s="18" t="str">
        <f>IF(77&gt;MAX('冷凍品'!$AA$5:$AA$304),"",HYPERLINK("#'冷凍品'!D"&amp;(MATCH(77,'冷凍品'!$AA$5:$AA$304,0)+4),INDEX('冷凍品'!$D$5:$D$304,MATCH(77,'冷凍品'!$AA$5:$AA$304,0))))</f>
        <v/>
      </c>
    </row>
    <row r="99" spans="2:6">
      <c xmlns="http://schemas.openxmlformats.org/spreadsheetml/2006/main" r="B99" s="18" t="str">
        <f>IF(78&gt;MAX('18℃'!$Z$5:$Z$304),"",HYPERLINK("#'18℃'!C"&amp;(MATCH(78,'18℃'!$Z$5:$Z$304,0)+4),INDEX('18℃'!$C$5:$C$304,MATCH(78,'18℃'!$Z$5:$Z$304,0))))</f>
        <v/>
      </c>
      <c xmlns="http://schemas.openxmlformats.org/spreadsheetml/2006/main" r="C99" s="18" t="str">
        <f>IF(78&gt;MAX('4℃飯'!$Z$5:$Z$304),"",HYPERLINK("#'4℃飯'!C"&amp;(MATCH(78,'4℃飯'!$Z$5:$Z$304,0)+4),INDEX('4℃飯'!$C$5:$C$304,MATCH(78,'4℃飯'!$Z$5:$Z$304,0))))</f>
        <v/>
      </c>
      <c xmlns="http://schemas.openxmlformats.org/spreadsheetml/2006/main" r="D99" s="18" t="str">
        <f>IF(78&gt;MAX('4℃麵'!$AA$5:$AA$292),"",HYPERLINK("#'4℃麵'!D"&amp;(MATCH(78,'4℃麵'!$AA$5:$AA$292,0)+4),INDEX('4℃麵'!$D$5:$D$292,MATCH(78,'4℃麵'!$AA$5:$AA$292,0))))</f>
        <v/>
      </c>
      <c xmlns="http://schemas.openxmlformats.org/spreadsheetml/2006/main" r="E99" s="18" t="str">
        <f>IF(78&gt;MAX('4℃其他'!$AA$5:$AA$304),"",HYPERLINK("#'4℃其他'!D"&amp;(MATCH(78,'4℃其他'!$AA$5:$AA$304,0)+4),INDEX('4℃其他'!$D$5:$D$304,MATCH(78,'4℃其他'!$AA$5:$AA$304,0))))</f>
        <v/>
      </c>
      <c xmlns="http://schemas.openxmlformats.org/spreadsheetml/2006/main" r="F99" s="18" t="str">
        <f>IF(78&gt;MAX('冷凍品'!$AA$5:$AA$304),"",HYPERLINK("#'冷凍品'!D"&amp;(MATCH(78,'冷凍品'!$AA$5:$AA$304,0)+4),INDEX('冷凍品'!$D$5:$D$304,MATCH(78,'冷凍品'!$AA$5:$AA$304,0))))</f>
        <v/>
      </c>
    </row>
    <row r="100" spans="2:6">
      <c xmlns="http://schemas.openxmlformats.org/spreadsheetml/2006/main" r="B100" s="18" t="str">
        <f>IF(79&gt;MAX('18℃'!$Z$5:$Z$304),"",HYPERLINK("#'18℃'!C"&amp;(MATCH(79,'18℃'!$Z$5:$Z$304,0)+4),INDEX('18℃'!$C$5:$C$304,MATCH(79,'18℃'!$Z$5:$Z$304,0))))</f>
        <v/>
      </c>
      <c xmlns="http://schemas.openxmlformats.org/spreadsheetml/2006/main" r="C100" s="18" t="str">
        <f>IF(79&gt;MAX('4℃飯'!$Z$5:$Z$304),"",HYPERLINK("#'4℃飯'!C"&amp;(MATCH(79,'4℃飯'!$Z$5:$Z$304,0)+4),INDEX('4℃飯'!$C$5:$C$304,MATCH(79,'4℃飯'!$Z$5:$Z$304,0))))</f>
        <v/>
      </c>
      <c xmlns="http://schemas.openxmlformats.org/spreadsheetml/2006/main" r="D100" s="18" t="str">
        <f>IF(79&gt;MAX('4℃麵'!$AA$5:$AA$292),"",HYPERLINK("#'4℃麵'!D"&amp;(MATCH(79,'4℃麵'!$AA$5:$AA$292,0)+4),INDEX('4℃麵'!$D$5:$D$292,MATCH(79,'4℃麵'!$AA$5:$AA$292,0))))</f>
        <v/>
      </c>
      <c xmlns="http://schemas.openxmlformats.org/spreadsheetml/2006/main" r="E100" s="18" t="str">
        <f>IF(79&gt;MAX('4℃其他'!$AA$5:$AA$304),"",HYPERLINK("#'4℃其他'!D"&amp;(MATCH(79,'4℃其他'!$AA$5:$AA$304,0)+4),INDEX('4℃其他'!$D$5:$D$304,MATCH(79,'4℃其他'!$AA$5:$AA$304,0))))</f>
        <v/>
      </c>
      <c xmlns="http://schemas.openxmlformats.org/spreadsheetml/2006/main" r="F100" s="18" t="str">
        <f>IF(79&gt;MAX('冷凍品'!$AA$5:$AA$304),"",HYPERLINK("#'冷凍品'!D"&amp;(MATCH(79,'冷凍品'!$AA$5:$AA$304,0)+4),INDEX('冷凍品'!$D$5:$D$304,MATCH(79,'冷凍品'!$AA$5:$AA$304,0))))</f>
        <v/>
      </c>
    </row>
    <row r="101" spans="2:6">
      <c xmlns="http://schemas.openxmlformats.org/spreadsheetml/2006/main" r="B101" s="18" t="str">
        <f>IF(80&gt;MAX('18℃'!$Z$5:$Z$304),"",HYPERLINK("#'18℃'!C"&amp;(MATCH(80,'18℃'!$Z$5:$Z$304,0)+4),INDEX('18℃'!$C$5:$C$304,MATCH(80,'18℃'!$Z$5:$Z$304,0))))</f>
        <v/>
      </c>
      <c xmlns="http://schemas.openxmlformats.org/spreadsheetml/2006/main" r="C101" s="18" t="str">
        <f>IF(80&gt;MAX('4℃飯'!$Z$5:$Z$304),"",HYPERLINK("#'4℃飯'!C"&amp;(MATCH(80,'4℃飯'!$Z$5:$Z$304,0)+4),INDEX('4℃飯'!$C$5:$C$304,MATCH(80,'4℃飯'!$Z$5:$Z$304,0))))</f>
        <v/>
      </c>
      <c xmlns="http://schemas.openxmlformats.org/spreadsheetml/2006/main" r="D101" s="18" t="str">
        <f>IF(80&gt;MAX('4℃麵'!$AA$5:$AA$292),"",HYPERLINK("#'4℃麵'!D"&amp;(MATCH(80,'4℃麵'!$AA$5:$AA$292,0)+4),INDEX('4℃麵'!$D$5:$D$292,MATCH(80,'4℃麵'!$AA$5:$AA$292,0))))</f>
        <v/>
      </c>
      <c xmlns="http://schemas.openxmlformats.org/spreadsheetml/2006/main" r="E101" s="18" t="str">
        <f>IF(80&gt;MAX('4℃其他'!$AA$5:$AA$304),"",HYPERLINK("#'4℃其他'!D"&amp;(MATCH(80,'4℃其他'!$AA$5:$AA$304,0)+4),INDEX('4℃其他'!$D$5:$D$304,MATCH(80,'4℃其他'!$AA$5:$AA$304,0))))</f>
        <v/>
      </c>
      <c xmlns="http://schemas.openxmlformats.org/spreadsheetml/2006/main" r="F101" s="18" t="str">
        <f>IF(80&gt;MAX('冷凍品'!$AA$5:$AA$304),"",HYPERLINK("#'冷凍品'!D"&amp;(MATCH(80,'冷凍品'!$AA$5:$AA$304,0)+4),INDEX('冷凍品'!$D$5:$D$304,MATCH(80,'冷凍品'!$AA$5:$AA$304,0))))</f>
        <v/>
      </c>
    </row>
    <row r="102" spans="2:6">
      <c xmlns="http://schemas.openxmlformats.org/spreadsheetml/2006/main" r="B102" s="18" t="str">
        <f>IF(81&gt;MAX('18℃'!$Z$5:$Z$304),"",HYPERLINK("#'18℃'!C"&amp;(MATCH(81,'18℃'!$Z$5:$Z$304,0)+4),INDEX('18℃'!$C$5:$C$304,MATCH(81,'18℃'!$Z$5:$Z$304,0))))</f>
        <v/>
      </c>
      <c xmlns="http://schemas.openxmlformats.org/spreadsheetml/2006/main" r="C102" s="18" t="str">
        <f>IF(81&gt;MAX('4℃飯'!$Z$5:$Z$304),"",HYPERLINK("#'4℃飯'!C"&amp;(MATCH(81,'4℃飯'!$Z$5:$Z$304,0)+4),INDEX('4℃飯'!$C$5:$C$304,MATCH(81,'4℃飯'!$Z$5:$Z$304,0))))</f>
        <v/>
      </c>
      <c xmlns="http://schemas.openxmlformats.org/spreadsheetml/2006/main" r="D102" s="18" t="str">
        <f>IF(81&gt;MAX('4℃麵'!$AA$5:$AA$292),"",HYPERLINK("#'4℃麵'!D"&amp;(MATCH(81,'4℃麵'!$AA$5:$AA$292,0)+4),INDEX('4℃麵'!$D$5:$D$292,MATCH(81,'4℃麵'!$AA$5:$AA$292,0))))</f>
        <v/>
      </c>
      <c xmlns="http://schemas.openxmlformats.org/spreadsheetml/2006/main" r="E102" s="18" t="str">
        <f>IF(81&gt;MAX('4℃其他'!$AA$5:$AA$304),"",HYPERLINK("#'4℃其他'!D"&amp;(MATCH(81,'4℃其他'!$AA$5:$AA$304,0)+4),INDEX('4℃其他'!$D$5:$D$304,MATCH(81,'4℃其他'!$AA$5:$AA$304,0))))</f>
        <v/>
      </c>
      <c xmlns="http://schemas.openxmlformats.org/spreadsheetml/2006/main" r="F102" s="18" t="str">
        <f>IF(81&gt;MAX('冷凍品'!$AA$5:$AA$304),"",HYPERLINK("#'冷凍品'!D"&amp;(MATCH(81,'冷凍品'!$AA$5:$AA$304,0)+4),INDEX('冷凍品'!$D$5:$D$304,MATCH(81,'冷凍品'!$AA$5:$AA$304,0))))</f>
        <v/>
      </c>
    </row>
    <row r="103" spans="2:6">
      <c xmlns="http://schemas.openxmlformats.org/spreadsheetml/2006/main" r="B103" s="18" t="str">
        <f>IF(82&gt;MAX('18℃'!$Z$5:$Z$304),"",HYPERLINK("#'18℃'!C"&amp;(MATCH(82,'18℃'!$Z$5:$Z$304,0)+4),INDEX('18℃'!$C$5:$C$304,MATCH(82,'18℃'!$Z$5:$Z$304,0))))</f>
        <v/>
      </c>
      <c xmlns="http://schemas.openxmlformats.org/spreadsheetml/2006/main" r="C103" s="18" t="str">
        <f>IF(82&gt;MAX('4℃飯'!$Z$5:$Z$304),"",HYPERLINK("#'4℃飯'!C"&amp;(MATCH(82,'4℃飯'!$Z$5:$Z$304,0)+4),INDEX('4℃飯'!$C$5:$C$304,MATCH(82,'4℃飯'!$Z$5:$Z$304,0))))</f>
        <v/>
      </c>
      <c xmlns="http://schemas.openxmlformats.org/spreadsheetml/2006/main" r="D103" s="18" t="str">
        <f>IF(82&gt;MAX('4℃麵'!$AA$5:$AA$292),"",HYPERLINK("#'4℃麵'!D"&amp;(MATCH(82,'4℃麵'!$AA$5:$AA$292,0)+4),INDEX('4℃麵'!$D$5:$D$292,MATCH(82,'4℃麵'!$AA$5:$AA$292,0))))</f>
        <v/>
      </c>
      <c xmlns="http://schemas.openxmlformats.org/spreadsheetml/2006/main" r="E103" s="18" t="str">
        <f>IF(82&gt;MAX('4℃其他'!$AA$5:$AA$304),"",HYPERLINK("#'4℃其他'!D"&amp;(MATCH(82,'4℃其他'!$AA$5:$AA$304,0)+4),INDEX('4℃其他'!$D$5:$D$304,MATCH(82,'4℃其他'!$AA$5:$AA$304,0))))</f>
        <v/>
      </c>
      <c xmlns="http://schemas.openxmlformats.org/spreadsheetml/2006/main" r="F103" s="18" t="str">
        <f>IF(82&gt;MAX('冷凍品'!$AA$5:$AA$304),"",HYPERLINK("#'冷凍品'!D"&amp;(MATCH(82,'冷凍品'!$AA$5:$AA$304,0)+4),INDEX('冷凍品'!$D$5:$D$304,MATCH(82,'冷凍品'!$AA$5:$AA$304,0))))</f>
        <v/>
      </c>
    </row>
    <row r="104" spans="2:6">
      <c xmlns="http://schemas.openxmlformats.org/spreadsheetml/2006/main" r="B104" s="18" t="str">
        <f>IF(83&gt;MAX('18℃'!$Z$5:$Z$304),"",HYPERLINK("#'18℃'!C"&amp;(MATCH(83,'18℃'!$Z$5:$Z$304,0)+4),INDEX('18℃'!$C$5:$C$304,MATCH(83,'18℃'!$Z$5:$Z$304,0))))</f>
        <v/>
      </c>
      <c xmlns="http://schemas.openxmlformats.org/spreadsheetml/2006/main" r="C104" s="18" t="str">
        <f>IF(83&gt;MAX('4℃飯'!$Z$5:$Z$304),"",HYPERLINK("#'4℃飯'!C"&amp;(MATCH(83,'4℃飯'!$Z$5:$Z$304,0)+4),INDEX('4℃飯'!$C$5:$C$304,MATCH(83,'4℃飯'!$Z$5:$Z$304,0))))</f>
        <v/>
      </c>
      <c xmlns="http://schemas.openxmlformats.org/spreadsheetml/2006/main" r="D104" s="18" t="str">
        <f>IF(83&gt;MAX('4℃麵'!$AA$5:$AA$292),"",HYPERLINK("#'4℃麵'!D"&amp;(MATCH(83,'4℃麵'!$AA$5:$AA$292,0)+4),INDEX('4℃麵'!$D$5:$D$292,MATCH(83,'4℃麵'!$AA$5:$AA$292,0))))</f>
        <v/>
      </c>
      <c xmlns="http://schemas.openxmlformats.org/spreadsheetml/2006/main" r="E104" s="18" t="str">
        <f>IF(83&gt;MAX('4℃其他'!$AA$5:$AA$304),"",HYPERLINK("#'4℃其他'!D"&amp;(MATCH(83,'4℃其他'!$AA$5:$AA$304,0)+4),INDEX('4℃其他'!$D$5:$D$304,MATCH(83,'4℃其他'!$AA$5:$AA$304,0))))</f>
        <v/>
      </c>
      <c xmlns="http://schemas.openxmlformats.org/spreadsheetml/2006/main" r="F104" s="18" t="str">
        <f>IF(83&gt;MAX('冷凍品'!$AA$5:$AA$304),"",HYPERLINK("#'冷凍品'!D"&amp;(MATCH(83,'冷凍品'!$AA$5:$AA$304,0)+4),INDEX('冷凍品'!$D$5:$D$304,MATCH(83,'冷凍品'!$AA$5:$AA$304,0))))</f>
        <v/>
      </c>
    </row>
    <row r="105" spans="2:6">
      <c xmlns="http://schemas.openxmlformats.org/spreadsheetml/2006/main" r="B105" s="18" t="str">
        <f>IF(84&gt;MAX('18℃'!$Z$5:$Z$304),"",HYPERLINK("#'18℃'!C"&amp;(MATCH(84,'18℃'!$Z$5:$Z$304,0)+4),INDEX('18℃'!$C$5:$C$304,MATCH(84,'18℃'!$Z$5:$Z$304,0))))</f>
        <v/>
      </c>
      <c xmlns="http://schemas.openxmlformats.org/spreadsheetml/2006/main" r="C105" s="18" t="str">
        <f>IF(84&gt;MAX('4℃飯'!$Z$5:$Z$304),"",HYPERLINK("#'4℃飯'!C"&amp;(MATCH(84,'4℃飯'!$Z$5:$Z$304,0)+4),INDEX('4℃飯'!$C$5:$C$304,MATCH(84,'4℃飯'!$Z$5:$Z$304,0))))</f>
        <v/>
      </c>
      <c xmlns="http://schemas.openxmlformats.org/spreadsheetml/2006/main" r="D105" s="18" t="str">
        <f>IF(84&gt;MAX('4℃麵'!$AA$5:$AA$292),"",HYPERLINK("#'4℃麵'!D"&amp;(MATCH(84,'4℃麵'!$AA$5:$AA$292,0)+4),INDEX('4℃麵'!$D$5:$D$292,MATCH(84,'4℃麵'!$AA$5:$AA$292,0))))</f>
        <v/>
      </c>
      <c xmlns="http://schemas.openxmlformats.org/spreadsheetml/2006/main" r="E105" s="18" t="str">
        <f>IF(84&gt;MAX('4℃其他'!$AA$5:$AA$304),"",HYPERLINK("#'4℃其他'!D"&amp;(MATCH(84,'4℃其他'!$AA$5:$AA$304,0)+4),INDEX('4℃其他'!$D$5:$D$304,MATCH(84,'4℃其他'!$AA$5:$AA$304,0))))</f>
        <v/>
      </c>
      <c xmlns="http://schemas.openxmlformats.org/spreadsheetml/2006/main" r="F105" s="18" t="str">
        <f>IF(84&gt;MAX('冷凍品'!$AA$5:$AA$304),"",HYPERLINK("#'冷凍品'!D"&amp;(MATCH(84,'冷凍品'!$AA$5:$AA$304,0)+4),INDEX('冷凍品'!$D$5:$D$304,MATCH(84,'冷凍品'!$AA$5:$AA$304,0))))</f>
        <v/>
      </c>
    </row>
    <row r="106" spans="2:6">
      <c xmlns="http://schemas.openxmlformats.org/spreadsheetml/2006/main" r="B106" s="18" t="str">
        <f>IF(85&gt;MAX('18℃'!$Z$5:$Z$304),"",HYPERLINK("#'18℃'!C"&amp;(MATCH(85,'18℃'!$Z$5:$Z$304,0)+4),INDEX('18℃'!$C$5:$C$304,MATCH(85,'18℃'!$Z$5:$Z$304,0))))</f>
        <v/>
      </c>
      <c xmlns="http://schemas.openxmlformats.org/spreadsheetml/2006/main" r="C106" s="18" t="str">
        <f>IF(85&gt;MAX('4℃飯'!$Z$5:$Z$304),"",HYPERLINK("#'4℃飯'!C"&amp;(MATCH(85,'4℃飯'!$Z$5:$Z$304,0)+4),INDEX('4℃飯'!$C$5:$C$304,MATCH(85,'4℃飯'!$Z$5:$Z$304,0))))</f>
        <v/>
      </c>
      <c xmlns="http://schemas.openxmlformats.org/spreadsheetml/2006/main" r="D106" s="18" t="str">
        <f>IF(85&gt;MAX('4℃麵'!$AA$5:$AA$292),"",HYPERLINK("#'4℃麵'!D"&amp;(MATCH(85,'4℃麵'!$AA$5:$AA$292,0)+4),INDEX('4℃麵'!$D$5:$D$292,MATCH(85,'4℃麵'!$AA$5:$AA$292,0))))</f>
        <v/>
      </c>
      <c xmlns="http://schemas.openxmlformats.org/spreadsheetml/2006/main" r="E106" s="18" t="str">
        <f>IF(85&gt;MAX('4℃其他'!$AA$5:$AA$304),"",HYPERLINK("#'4℃其他'!D"&amp;(MATCH(85,'4℃其他'!$AA$5:$AA$304,0)+4),INDEX('4℃其他'!$D$5:$D$304,MATCH(85,'4℃其他'!$AA$5:$AA$304,0))))</f>
        <v/>
      </c>
      <c xmlns="http://schemas.openxmlformats.org/spreadsheetml/2006/main" r="F106" s="18" t="str">
        <f>IF(85&gt;MAX('冷凍品'!$AA$5:$AA$304),"",HYPERLINK("#'冷凍品'!D"&amp;(MATCH(85,'冷凍品'!$AA$5:$AA$304,0)+4),INDEX('冷凍品'!$D$5:$D$304,MATCH(85,'冷凍品'!$AA$5:$AA$304,0))))</f>
        <v/>
      </c>
    </row>
    <row r="107" spans="2:6">
      <c xmlns="http://schemas.openxmlformats.org/spreadsheetml/2006/main" r="B107" s="18" t="str">
        <f>IF(86&gt;MAX('18℃'!$Z$5:$Z$304),"",HYPERLINK("#'18℃'!C"&amp;(MATCH(86,'18℃'!$Z$5:$Z$304,0)+4),INDEX('18℃'!$C$5:$C$304,MATCH(86,'18℃'!$Z$5:$Z$304,0))))</f>
        <v/>
      </c>
      <c xmlns="http://schemas.openxmlformats.org/spreadsheetml/2006/main" r="C107" s="18" t="str">
        <f>IF(86&gt;MAX('4℃飯'!$Z$5:$Z$304),"",HYPERLINK("#'4℃飯'!C"&amp;(MATCH(86,'4℃飯'!$Z$5:$Z$304,0)+4),INDEX('4℃飯'!$C$5:$C$304,MATCH(86,'4℃飯'!$Z$5:$Z$304,0))))</f>
        <v/>
      </c>
      <c xmlns="http://schemas.openxmlformats.org/spreadsheetml/2006/main" r="D107" s="18" t="str">
        <f>IF(86&gt;MAX('4℃麵'!$AA$5:$AA$292),"",HYPERLINK("#'4℃麵'!D"&amp;(MATCH(86,'4℃麵'!$AA$5:$AA$292,0)+4),INDEX('4℃麵'!$D$5:$D$292,MATCH(86,'4℃麵'!$AA$5:$AA$292,0))))</f>
        <v/>
      </c>
      <c xmlns="http://schemas.openxmlformats.org/spreadsheetml/2006/main" r="E107" s="18" t="str">
        <f>IF(86&gt;MAX('4℃其他'!$AA$5:$AA$304),"",HYPERLINK("#'4℃其他'!D"&amp;(MATCH(86,'4℃其他'!$AA$5:$AA$304,0)+4),INDEX('4℃其他'!$D$5:$D$304,MATCH(86,'4℃其他'!$AA$5:$AA$304,0))))</f>
        <v/>
      </c>
      <c xmlns="http://schemas.openxmlformats.org/spreadsheetml/2006/main" r="F107" s="18" t="str">
        <f>IF(86&gt;MAX('冷凍品'!$AA$5:$AA$304),"",HYPERLINK("#'冷凍品'!D"&amp;(MATCH(86,'冷凍品'!$AA$5:$AA$304,0)+4),INDEX('冷凍品'!$D$5:$D$304,MATCH(86,'冷凍品'!$AA$5:$AA$304,0))))</f>
        <v/>
      </c>
    </row>
    <row r="108" spans="2:6">
      <c xmlns="http://schemas.openxmlformats.org/spreadsheetml/2006/main" r="B108" s="18" t="str">
        <f>IF(87&gt;MAX('18℃'!$Z$5:$Z$304),"",HYPERLINK("#'18℃'!C"&amp;(MATCH(87,'18℃'!$Z$5:$Z$304,0)+4),INDEX('18℃'!$C$5:$C$304,MATCH(87,'18℃'!$Z$5:$Z$304,0))))</f>
        <v/>
      </c>
      <c xmlns="http://schemas.openxmlformats.org/spreadsheetml/2006/main" r="C108" s="18" t="str">
        <f>IF(87&gt;MAX('4℃飯'!$Z$5:$Z$304),"",HYPERLINK("#'4℃飯'!C"&amp;(MATCH(87,'4℃飯'!$Z$5:$Z$304,0)+4),INDEX('4℃飯'!$C$5:$C$304,MATCH(87,'4℃飯'!$Z$5:$Z$304,0))))</f>
        <v/>
      </c>
      <c xmlns="http://schemas.openxmlformats.org/spreadsheetml/2006/main" r="D108" s="18" t="str">
        <f>IF(87&gt;MAX('4℃麵'!$AA$5:$AA$292),"",HYPERLINK("#'4℃麵'!D"&amp;(MATCH(87,'4℃麵'!$AA$5:$AA$292,0)+4),INDEX('4℃麵'!$D$5:$D$292,MATCH(87,'4℃麵'!$AA$5:$AA$292,0))))</f>
        <v/>
      </c>
      <c xmlns="http://schemas.openxmlformats.org/spreadsheetml/2006/main" r="E108" s="18" t="str">
        <f>IF(87&gt;MAX('4℃其他'!$AA$5:$AA$304),"",HYPERLINK("#'4℃其他'!D"&amp;(MATCH(87,'4℃其他'!$AA$5:$AA$304,0)+4),INDEX('4℃其他'!$D$5:$D$304,MATCH(87,'4℃其他'!$AA$5:$AA$304,0))))</f>
        <v/>
      </c>
      <c xmlns="http://schemas.openxmlformats.org/spreadsheetml/2006/main" r="F108" s="18" t="str">
        <f>IF(87&gt;MAX('冷凍品'!$AA$5:$AA$304),"",HYPERLINK("#'冷凍品'!D"&amp;(MATCH(87,'冷凍品'!$AA$5:$AA$304,0)+4),INDEX('冷凍品'!$D$5:$D$304,MATCH(87,'冷凍品'!$AA$5:$AA$304,0))))</f>
        <v/>
      </c>
    </row>
    <row r="109" spans="2:6">
      <c xmlns="http://schemas.openxmlformats.org/spreadsheetml/2006/main" r="B109" s="18" t="str">
        <f>IF(88&gt;MAX('18℃'!$Z$5:$Z$304),"",HYPERLINK("#'18℃'!C"&amp;(MATCH(88,'18℃'!$Z$5:$Z$304,0)+4),INDEX('18℃'!$C$5:$C$304,MATCH(88,'18℃'!$Z$5:$Z$304,0))))</f>
        <v/>
      </c>
      <c xmlns="http://schemas.openxmlformats.org/spreadsheetml/2006/main" r="C109" s="18" t="str">
        <f>IF(88&gt;MAX('4℃飯'!$Z$5:$Z$304),"",HYPERLINK("#'4℃飯'!C"&amp;(MATCH(88,'4℃飯'!$Z$5:$Z$304,0)+4),INDEX('4℃飯'!$C$5:$C$304,MATCH(88,'4℃飯'!$Z$5:$Z$304,0))))</f>
        <v/>
      </c>
      <c xmlns="http://schemas.openxmlformats.org/spreadsheetml/2006/main" r="D109" s="18" t="str">
        <f>IF(88&gt;MAX('4℃麵'!$AA$5:$AA$292),"",HYPERLINK("#'4℃麵'!D"&amp;(MATCH(88,'4℃麵'!$AA$5:$AA$292,0)+4),INDEX('4℃麵'!$D$5:$D$292,MATCH(88,'4℃麵'!$AA$5:$AA$292,0))))</f>
        <v/>
      </c>
      <c xmlns="http://schemas.openxmlformats.org/spreadsheetml/2006/main" r="E109" s="18" t="str">
        <f>IF(88&gt;MAX('4℃其他'!$AA$5:$AA$304),"",HYPERLINK("#'4℃其他'!D"&amp;(MATCH(88,'4℃其他'!$AA$5:$AA$304,0)+4),INDEX('4℃其他'!$D$5:$D$304,MATCH(88,'4℃其他'!$AA$5:$AA$304,0))))</f>
        <v/>
      </c>
      <c xmlns="http://schemas.openxmlformats.org/spreadsheetml/2006/main" r="F109" s="18" t="str">
        <f>IF(88&gt;MAX('冷凍品'!$AA$5:$AA$304),"",HYPERLINK("#'冷凍品'!D"&amp;(MATCH(88,'冷凍品'!$AA$5:$AA$304,0)+4),INDEX('冷凍品'!$D$5:$D$304,MATCH(88,'冷凍品'!$AA$5:$AA$304,0))))</f>
        <v/>
      </c>
    </row>
    <row r="110" spans="2:6">
      <c xmlns="http://schemas.openxmlformats.org/spreadsheetml/2006/main" r="B110" s="18" t="str">
        <f>IF(89&gt;MAX('18℃'!$Z$5:$Z$304),"",HYPERLINK("#'18℃'!C"&amp;(MATCH(89,'18℃'!$Z$5:$Z$304,0)+4),INDEX('18℃'!$C$5:$C$304,MATCH(89,'18℃'!$Z$5:$Z$304,0))))</f>
        <v/>
      </c>
      <c xmlns="http://schemas.openxmlformats.org/spreadsheetml/2006/main" r="C110" s="18" t="str">
        <f>IF(89&gt;MAX('4℃飯'!$Z$5:$Z$304),"",HYPERLINK("#'4℃飯'!C"&amp;(MATCH(89,'4℃飯'!$Z$5:$Z$304,0)+4),INDEX('4℃飯'!$C$5:$C$304,MATCH(89,'4℃飯'!$Z$5:$Z$304,0))))</f>
        <v/>
      </c>
      <c xmlns="http://schemas.openxmlformats.org/spreadsheetml/2006/main" r="D110" s="18" t="str">
        <f>IF(89&gt;MAX('4℃麵'!$AA$5:$AA$292),"",HYPERLINK("#'4℃麵'!D"&amp;(MATCH(89,'4℃麵'!$AA$5:$AA$292,0)+4),INDEX('4℃麵'!$D$5:$D$292,MATCH(89,'4℃麵'!$AA$5:$AA$292,0))))</f>
        <v/>
      </c>
      <c xmlns="http://schemas.openxmlformats.org/spreadsheetml/2006/main" r="E110" s="18" t="str">
        <f>IF(89&gt;MAX('4℃其他'!$AA$5:$AA$304),"",HYPERLINK("#'4℃其他'!D"&amp;(MATCH(89,'4℃其他'!$AA$5:$AA$304,0)+4),INDEX('4℃其他'!$D$5:$D$304,MATCH(89,'4℃其他'!$AA$5:$AA$304,0))))</f>
        <v/>
      </c>
      <c xmlns="http://schemas.openxmlformats.org/spreadsheetml/2006/main" r="F110" s="18" t="str">
        <f>IF(89&gt;MAX('冷凍品'!$AA$5:$AA$304),"",HYPERLINK("#'冷凍品'!D"&amp;(MATCH(89,'冷凍品'!$AA$5:$AA$304,0)+4),INDEX('冷凍品'!$D$5:$D$304,MATCH(89,'冷凍品'!$AA$5:$AA$304,0))))</f>
        <v/>
      </c>
    </row>
    <row r="111" spans="2:6">
      <c xmlns="http://schemas.openxmlformats.org/spreadsheetml/2006/main" r="B111" s="18" t="str">
        <f>IF(90&gt;MAX('18℃'!$Z$5:$Z$304),"",HYPERLINK("#'18℃'!C"&amp;(MATCH(90,'18℃'!$Z$5:$Z$304,0)+4),INDEX('18℃'!$C$5:$C$304,MATCH(90,'18℃'!$Z$5:$Z$304,0))))</f>
        <v/>
      </c>
      <c xmlns="http://schemas.openxmlformats.org/spreadsheetml/2006/main" r="C111" s="18" t="str">
        <f>IF(90&gt;MAX('4℃飯'!$Z$5:$Z$304),"",HYPERLINK("#'4℃飯'!C"&amp;(MATCH(90,'4℃飯'!$Z$5:$Z$304,0)+4),INDEX('4℃飯'!$C$5:$C$304,MATCH(90,'4℃飯'!$Z$5:$Z$304,0))))</f>
        <v/>
      </c>
      <c xmlns="http://schemas.openxmlformats.org/spreadsheetml/2006/main" r="D111" s="18" t="str">
        <f>IF(90&gt;MAX('4℃麵'!$AA$5:$AA$292),"",HYPERLINK("#'4℃麵'!D"&amp;(MATCH(90,'4℃麵'!$AA$5:$AA$292,0)+4),INDEX('4℃麵'!$D$5:$D$292,MATCH(90,'4℃麵'!$AA$5:$AA$292,0))))</f>
        <v/>
      </c>
      <c xmlns="http://schemas.openxmlformats.org/spreadsheetml/2006/main" r="E111" s="18" t="str">
        <f>IF(90&gt;MAX('4℃其他'!$AA$5:$AA$304),"",HYPERLINK("#'4℃其他'!D"&amp;(MATCH(90,'4℃其他'!$AA$5:$AA$304,0)+4),INDEX('4℃其他'!$D$5:$D$304,MATCH(90,'4℃其他'!$AA$5:$AA$304,0))))</f>
        <v/>
      </c>
      <c xmlns="http://schemas.openxmlformats.org/spreadsheetml/2006/main" r="F111" s="18" t="str">
        <f>IF(90&gt;MAX('冷凍品'!$AA$5:$AA$304),"",HYPERLINK("#'冷凍品'!D"&amp;(MATCH(90,'冷凍品'!$AA$5:$AA$304,0)+4),INDEX('冷凍品'!$D$5:$D$304,MATCH(90,'冷凍品'!$AA$5:$AA$304,0))))</f>
        <v/>
      </c>
    </row>
    <row r="112" spans="2:6">
      <c xmlns="http://schemas.openxmlformats.org/spreadsheetml/2006/main" r="B112" s="18" t="str">
        <f>IF(91&gt;MAX('18℃'!$Z$5:$Z$304),"",HYPERLINK("#'18℃'!C"&amp;(MATCH(91,'18℃'!$Z$5:$Z$304,0)+4),INDEX('18℃'!$C$5:$C$304,MATCH(91,'18℃'!$Z$5:$Z$304,0))))</f>
        <v/>
      </c>
      <c xmlns="http://schemas.openxmlformats.org/spreadsheetml/2006/main" r="C112" s="18" t="str">
        <f>IF(91&gt;MAX('4℃飯'!$Z$5:$Z$304),"",HYPERLINK("#'4℃飯'!C"&amp;(MATCH(91,'4℃飯'!$Z$5:$Z$304,0)+4),INDEX('4℃飯'!$C$5:$C$304,MATCH(91,'4℃飯'!$Z$5:$Z$304,0))))</f>
        <v/>
      </c>
      <c xmlns="http://schemas.openxmlformats.org/spreadsheetml/2006/main" r="D112" s="18" t="str">
        <f>IF(91&gt;MAX('4℃麵'!$AA$5:$AA$292),"",HYPERLINK("#'4℃麵'!D"&amp;(MATCH(91,'4℃麵'!$AA$5:$AA$292,0)+4),INDEX('4℃麵'!$D$5:$D$292,MATCH(91,'4℃麵'!$AA$5:$AA$292,0))))</f>
        <v/>
      </c>
      <c xmlns="http://schemas.openxmlformats.org/spreadsheetml/2006/main" r="E112" s="18" t="str">
        <f>IF(91&gt;MAX('4℃其他'!$AA$5:$AA$304),"",HYPERLINK("#'4℃其他'!D"&amp;(MATCH(91,'4℃其他'!$AA$5:$AA$304,0)+4),INDEX('4℃其他'!$D$5:$D$304,MATCH(91,'4℃其他'!$AA$5:$AA$304,0))))</f>
        <v/>
      </c>
      <c xmlns="http://schemas.openxmlformats.org/spreadsheetml/2006/main" r="F112" s="18" t="str">
        <f>IF(91&gt;MAX('冷凍品'!$AA$5:$AA$304),"",HYPERLINK("#'冷凍品'!D"&amp;(MATCH(91,'冷凍品'!$AA$5:$AA$304,0)+4),INDEX('冷凍品'!$D$5:$D$304,MATCH(91,'冷凍品'!$AA$5:$AA$304,0))))</f>
        <v/>
      </c>
    </row>
    <row r="113" spans="2:6">
      <c xmlns="http://schemas.openxmlformats.org/spreadsheetml/2006/main" r="B113" s="18" t="str">
        <f>IF(92&gt;MAX('18℃'!$Z$5:$Z$304),"",HYPERLINK("#'18℃'!C"&amp;(MATCH(92,'18℃'!$Z$5:$Z$304,0)+4),INDEX('18℃'!$C$5:$C$304,MATCH(92,'18℃'!$Z$5:$Z$304,0))))</f>
        <v/>
      </c>
      <c xmlns="http://schemas.openxmlformats.org/spreadsheetml/2006/main" r="C113" s="18" t="str">
        <f>IF(92&gt;MAX('4℃飯'!$Z$5:$Z$304),"",HYPERLINK("#'4℃飯'!C"&amp;(MATCH(92,'4℃飯'!$Z$5:$Z$304,0)+4),INDEX('4℃飯'!$C$5:$C$304,MATCH(92,'4℃飯'!$Z$5:$Z$304,0))))</f>
        <v/>
      </c>
      <c xmlns="http://schemas.openxmlformats.org/spreadsheetml/2006/main" r="D113" s="18" t="str">
        <f>IF(92&gt;MAX('4℃麵'!$AA$5:$AA$292),"",HYPERLINK("#'4℃麵'!D"&amp;(MATCH(92,'4℃麵'!$AA$5:$AA$292,0)+4),INDEX('4℃麵'!$D$5:$D$292,MATCH(92,'4℃麵'!$AA$5:$AA$292,0))))</f>
        <v/>
      </c>
      <c xmlns="http://schemas.openxmlformats.org/spreadsheetml/2006/main" r="E113" s="18" t="str">
        <f>IF(92&gt;MAX('4℃其他'!$AA$5:$AA$304),"",HYPERLINK("#'4℃其他'!D"&amp;(MATCH(92,'4℃其他'!$AA$5:$AA$304,0)+4),INDEX('4℃其他'!$D$5:$D$304,MATCH(92,'4℃其他'!$AA$5:$AA$304,0))))</f>
        <v/>
      </c>
      <c xmlns="http://schemas.openxmlformats.org/spreadsheetml/2006/main" r="F113" s="18" t="str">
        <f>IF(92&gt;MAX('冷凍品'!$AA$5:$AA$304),"",HYPERLINK("#'冷凍品'!D"&amp;(MATCH(92,'冷凍品'!$AA$5:$AA$304,0)+4),INDEX('冷凍品'!$D$5:$D$304,MATCH(92,'冷凍品'!$AA$5:$AA$304,0))))</f>
        <v/>
      </c>
    </row>
    <row r="114" spans="2:6">
      <c xmlns="http://schemas.openxmlformats.org/spreadsheetml/2006/main" r="B114" s="18" t="str">
        <f>IF(93&gt;MAX('18℃'!$Z$5:$Z$304),"",HYPERLINK("#'18℃'!C"&amp;(MATCH(93,'18℃'!$Z$5:$Z$304,0)+4),INDEX('18℃'!$C$5:$C$304,MATCH(93,'18℃'!$Z$5:$Z$304,0))))</f>
        <v/>
      </c>
      <c xmlns="http://schemas.openxmlformats.org/spreadsheetml/2006/main" r="C114" s="18" t="str">
        <f>IF(93&gt;MAX('4℃飯'!$Z$5:$Z$304),"",HYPERLINK("#'4℃飯'!C"&amp;(MATCH(93,'4℃飯'!$Z$5:$Z$304,0)+4),INDEX('4℃飯'!$C$5:$C$304,MATCH(93,'4℃飯'!$Z$5:$Z$304,0))))</f>
        <v/>
      </c>
      <c xmlns="http://schemas.openxmlformats.org/spreadsheetml/2006/main" r="D114" s="18" t="str">
        <f>IF(93&gt;MAX('4℃麵'!$AA$5:$AA$292),"",HYPERLINK("#'4℃麵'!D"&amp;(MATCH(93,'4℃麵'!$AA$5:$AA$292,0)+4),INDEX('4℃麵'!$D$5:$D$292,MATCH(93,'4℃麵'!$AA$5:$AA$292,0))))</f>
        <v/>
      </c>
      <c xmlns="http://schemas.openxmlformats.org/spreadsheetml/2006/main" r="E114" s="18" t="str">
        <f>IF(93&gt;MAX('4℃其他'!$AA$5:$AA$304),"",HYPERLINK("#'4℃其他'!D"&amp;(MATCH(93,'4℃其他'!$AA$5:$AA$304,0)+4),INDEX('4℃其他'!$D$5:$D$304,MATCH(93,'4℃其他'!$AA$5:$AA$304,0))))</f>
        <v/>
      </c>
      <c xmlns="http://schemas.openxmlformats.org/spreadsheetml/2006/main" r="F114" s="18" t="str">
        <f>IF(93&gt;MAX('冷凍品'!$AA$5:$AA$304),"",HYPERLINK("#'冷凍品'!D"&amp;(MATCH(93,'冷凍品'!$AA$5:$AA$304,0)+4),INDEX('冷凍品'!$D$5:$D$304,MATCH(93,'冷凍品'!$AA$5:$AA$304,0))))</f>
        <v/>
      </c>
    </row>
    <row r="115" spans="2:6">
      <c xmlns="http://schemas.openxmlformats.org/spreadsheetml/2006/main" r="B115" s="18" t="str">
        <f>IF(94&gt;MAX('18℃'!$Z$5:$Z$304),"",HYPERLINK("#'18℃'!C"&amp;(MATCH(94,'18℃'!$Z$5:$Z$304,0)+4),INDEX('18℃'!$C$5:$C$304,MATCH(94,'18℃'!$Z$5:$Z$304,0))))</f>
        <v/>
      </c>
      <c xmlns="http://schemas.openxmlformats.org/spreadsheetml/2006/main" r="C115" s="18" t="str">
        <f>IF(94&gt;MAX('4℃飯'!$Z$5:$Z$304),"",HYPERLINK("#'4℃飯'!C"&amp;(MATCH(94,'4℃飯'!$Z$5:$Z$304,0)+4),INDEX('4℃飯'!$C$5:$C$304,MATCH(94,'4℃飯'!$Z$5:$Z$304,0))))</f>
        <v/>
      </c>
      <c xmlns="http://schemas.openxmlformats.org/spreadsheetml/2006/main" r="D115" s="18" t="str">
        <f>IF(94&gt;MAX('4℃麵'!$AA$5:$AA$292),"",HYPERLINK("#'4℃麵'!D"&amp;(MATCH(94,'4℃麵'!$AA$5:$AA$292,0)+4),INDEX('4℃麵'!$D$5:$D$292,MATCH(94,'4℃麵'!$AA$5:$AA$292,0))))</f>
        <v/>
      </c>
      <c xmlns="http://schemas.openxmlformats.org/spreadsheetml/2006/main" r="E115" s="18" t="str">
        <f>IF(94&gt;MAX('4℃其他'!$AA$5:$AA$304),"",HYPERLINK("#'4℃其他'!D"&amp;(MATCH(94,'4℃其他'!$AA$5:$AA$304,0)+4),INDEX('4℃其他'!$D$5:$D$304,MATCH(94,'4℃其他'!$AA$5:$AA$304,0))))</f>
        <v/>
      </c>
      <c xmlns="http://schemas.openxmlformats.org/spreadsheetml/2006/main" r="F115" s="18" t="str">
        <f>IF(94&gt;MAX('冷凍品'!$AA$5:$AA$304),"",HYPERLINK("#'冷凍品'!D"&amp;(MATCH(94,'冷凍品'!$AA$5:$AA$304,0)+4),INDEX('冷凍品'!$D$5:$D$304,MATCH(94,'冷凍品'!$AA$5:$AA$304,0))))</f>
        <v/>
      </c>
    </row>
    <row r="116" spans="2:6">
      <c xmlns="http://schemas.openxmlformats.org/spreadsheetml/2006/main" r="B116" s="18" t="str">
        <f>IF(95&gt;MAX('18℃'!$Z$5:$Z$304),"",HYPERLINK("#'18℃'!C"&amp;(MATCH(95,'18℃'!$Z$5:$Z$304,0)+4),INDEX('18℃'!$C$5:$C$304,MATCH(95,'18℃'!$Z$5:$Z$304,0))))</f>
        <v/>
      </c>
      <c xmlns="http://schemas.openxmlformats.org/spreadsheetml/2006/main" r="C116" s="18" t="str">
        <f>IF(95&gt;MAX('4℃飯'!$Z$5:$Z$304),"",HYPERLINK("#'4℃飯'!C"&amp;(MATCH(95,'4℃飯'!$Z$5:$Z$304,0)+4),INDEX('4℃飯'!$C$5:$C$304,MATCH(95,'4℃飯'!$Z$5:$Z$304,0))))</f>
        <v/>
      </c>
      <c xmlns="http://schemas.openxmlformats.org/spreadsheetml/2006/main" r="D116" s="18" t="str">
        <f>IF(95&gt;MAX('4℃麵'!$AA$5:$AA$292),"",HYPERLINK("#'4℃麵'!D"&amp;(MATCH(95,'4℃麵'!$AA$5:$AA$292,0)+4),INDEX('4℃麵'!$D$5:$D$292,MATCH(95,'4℃麵'!$AA$5:$AA$292,0))))</f>
        <v/>
      </c>
      <c xmlns="http://schemas.openxmlformats.org/spreadsheetml/2006/main" r="E116" s="18" t="str">
        <f>IF(95&gt;MAX('4℃其他'!$AA$5:$AA$304),"",HYPERLINK("#'4℃其他'!D"&amp;(MATCH(95,'4℃其他'!$AA$5:$AA$304,0)+4),INDEX('4℃其他'!$D$5:$D$304,MATCH(95,'4℃其他'!$AA$5:$AA$304,0))))</f>
        <v/>
      </c>
      <c xmlns="http://schemas.openxmlformats.org/spreadsheetml/2006/main" r="F116" s="18" t="str">
        <f>IF(95&gt;MAX('冷凍品'!$AA$5:$AA$304),"",HYPERLINK("#'冷凍品'!D"&amp;(MATCH(95,'冷凍品'!$AA$5:$AA$304,0)+4),INDEX('冷凍品'!$D$5:$D$304,MATCH(95,'冷凍品'!$AA$5:$AA$304,0))))</f>
        <v/>
      </c>
    </row>
    <row r="117" spans="2:6">
      <c xmlns="http://schemas.openxmlformats.org/spreadsheetml/2006/main" r="B117" s="18" t="str">
        <f>IF(96&gt;MAX('18℃'!$Z$5:$Z$304),"",HYPERLINK("#'18℃'!C"&amp;(MATCH(96,'18℃'!$Z$5:$Z$304,0)+4),INDEX('18℃'!$C$5:$C$304,MATCH(96,'18℃'!$Z$5:$Z$304,0))))</f>
        <v/>
      </c>
      <c xmlns="http://schemas.openxmlformats.org/spreadsheetml/2006/main" r="C117" s="18" t="str">
        <f>IF(96&gt;MAX('4℃飯'!$Z$5:$Z$304),"",HYPERLINK("#'4℃飯'!C"&amp;(MATCH(96,'4℃飯'!$Z$5:$Z$304,0)+4),INDEX('4℃飯'!$C$5:$C$304,MATCH(96,'4℃飯'!$Z$5:$Z$304,0))))</f>
        <v/>
      </c>
      <c xmlns="http://schemas.openxmlformats.org/spreadsheetml/2006/main" r="D117" s="18" t="str">
        <f>IF(96&gt;MAX('4℃麵'!$AA$5:$AA$292),"",HYPERLINK("#'4℃麵'!D"&amp;(MATCH(96,'4℃麵'!$AA$5:$AA$292,0)+4),INDEX('4℃麵'!$D$5:$D$292,MATCH(96,'4℃麵'!$AA$5:$AA$292,0))))</f>
        <v/>
      </c>
      <c xmlns="http://schemas.openxmlformats.org/spreadsheetml/2006/main" r="E117" s="18" t="str">
        <f>IF(96&gt;MAX('4℃其他'!$AA$5:$AA$304),"",HYPERLINK("#'4℃其他'!D"&amp;(MATCH(96,'4℃其他'!$AA$5:$AA$304,0)+4),INDEX('4℃其他'!$D$5:$D$304,MATCH(96,'4℃其他'!$AA$5:$AA$304,0))))</f>
        <v/>
      </c>
      <c xmlns="http://schemas.openxmlformats.org/spreadsheetml/2006/main" r="F117" s="18" t="str">
        <f>IF(96&gt;MAX('冷凍品'!$AA$5:$AA$304),"",HYPERLINK("#'冷凍品'!D"&amp;(MATCH(96,'冷凍品'!$AA$5:$AA$304,0)+4),INDEX('冷凍品'!$D$5:$D$304,MATCH(96,'冷凍品'!$AA$5:$AA$304,0))))</f>
        <v/>
      </c>
    </row>
    <row r="118" spans="2:6">
      <c xmlns="http://schemas.openxmlformats.org/spreadsheetml/2006/main" r="B118" s="18" t="str">
        <f>IF(97&gt;MAX('18℃'!$Z$5:$Z$304),"",HYPERLINK("#'18℃'!C"&amp;(MATCH(97,'18℃'!$Z$5:$Z$304,0)+4),INDEX('18℃'!$C$5:$C$304,MATCH(97,'18℃'!$Z$5:$Z$304,0))))</f>
        <v/>
      </c>
      <c xmlns="http://schemas.openxmlformats.org/spreadsheetml/2006/main" r="C118" s="18" t="str">
        <f>IF(97&gt;MAX('4℃飯'!$Z$5:$Z$304),"",HYPERLINK("#'4℃飯'!C"&amp;(MATCH(97,'4℃飯'!$Z$5:$Z$304,0)+4),INDEX('4℃飯'!$C$5:$C$304,MATCH(97,'4℃飯'!$Z$5:$Z$304,0))))</f>
        <v/>
      </c>
      <c xmlns="http://schemas.openxmlformats.org/spreadsheetml/2006/main" r="D118" s="18" t="str">
        <f>IF(97&gt;MAX('4℃麵'!$AA$5:$AA$292),"",HYPERLINK("#'4℃麵'!D"&amp;(MATCH(97,'4℃麵'!$AA$5:$AA$292,0)+4),INDEX('4℃麵'!$D$5:$D$292,MATCH(97,'4℃麵'!$AA$5:$AA$292,0))))</f>
        <v/>
      </c>
      <c xmlns="http://schemas.openxmlformats.org/spreadsheetml/2006/main" r="E118" s="18" t="str">
        <f>IF(97&gt;MAX('4℃其他'!$AA$5:$AA$304),"",HYPERLINK("#'4℃其他'!D"&amp;(MATCH(97,'4℃其他'!$AA$5:$AA$304,0)+4),INDEX('4℃其他'!$D$5:$D$304,MATCH(97,'4℃其他'!$AA$5:$AA$304,0))))</f>
        <v/>
      </c>
      <c xmlns="http://schemas.openxmlformats.org/spreadsheetml/2006/main" r="F118" s="18" t="str">
        <f>IF(97&gt;MAX('冷凍品'!$AA$5:$AA$304),"",HYPERLINK("#'冷凍品'!D"&amp;(MATCH(97,'冷凍品'!$AA$5:$AA$304,0)+4),INDEX('冷凍品'!$D$5:$D$304,MATCH(97,'冷凍品'!$AA$5:$AA$304,0))))</f>
        <v/>
      </c>
    </row>
    <row r="119" spans="2:6">
      <c xmlns="http://schemas.openxmlformats.org/spreadsheetml/2006/main" r="B119" s="18" t="str">
        <f>IF(98&gt;MAX('18℃'!$Z$5:$Z$304),"",HYPERLINK("#'18℃'!C"&amp;(MATCH(98,'18℃'!$Z$5:$Z$304,0)+4),INDEX('18℃'!$C$5:$C$304,MATCH(98,'18℃'!$Z$5:$Z$304,0))))</f>
        <v/>
      </c>
      <c xmlns="http://schemas.openxmlformats.org/spreadsheetml/2006/main" r="C119" s="18" t="str">
        <f>IF(98&gt;MAX('4℃飯'!$Z$5:$Z$304),"",HYPERLINK("#'4℃飯'!C"&amp;(MATCH(98,'4℃飯'!$Z$5:$Z$304,0)+4),INDEX('4℃飯'!$C$5:$C$304,MATCH(98,'4℃飯'!$Z$5:$Z$304,0))))</f>
        <v/>
      </c>
      <c xmlns="http://schemas.openxmlformats.org/spreadsheetml/2006/main" r="D119" s="18" t="str">
        <f>IF(98&gt;MAX('4℃麵'!$AA$5:$AA$292),"",HYPERLINK("#'4℃麵'!D"&amp;(MATCH(98,'4℃麵'!$AA$5:$AA$292,0)+4),INDEX('4℃麵'!$D$5:$D$292,MATCH(98,'4℃麵'!$AA$5:$AA$292,0))))</f>
        <v/>
      </c>
      <c xmlns="http://schemas.openxmlformats.org/spreadsheetml/2006/main" r="E119" s="18" t="str">
        <f>IF(98&gt;MAX('4℃其他'!$AA$5:$AA$304),"",HYPERLINK("#'4℃其他'!D"&amp;(MATCH(98,'4℃其他'!$AA$5:$AA$304,0)+4),INDEX('4℃其他'!$D$5:$D$304,MATCH(98,'4℃其他'!$AA$5:$AA$304,0))))</f>
        <v/>
      </c>
      <c xmlns="http://schemas.openxmlformats.org/spreadsheetml/2006/main" r="F119" s="18" t="str">
        <f>IF(98&gt;MAX('冷凍品'!$AA$5:$AA$304),"",HYPERLINK("#'冷凍品'!D"&amp;(MATCH(98,'冷凍品'!$AA$5:$AA$304,0)+4),INDEX('冷凍品'!$D$5:$D$304,MATCH(98,'冷凍品'!$AA$5:$AA$304,0))))</f>
        <v/>
      </c>
    </row>
    <row r="120" spans="2:6">
      <c xmlns="http://schemas.openxmlformats.org/spreadsheetml/2006/main" r="B120" s="18" t="str">
        <f>IF(99&gt;MAX('18℃'!$Z$5:$Z$304),"",HYPERLINK("#'18℃'!C"&amp;(MATCH(99,'18℃'!$Z$5:$Z$304,0)+4),INDEX('18℃'!$C$5:$C$304,MATCH(99,'18℃'!$Z$5:$Z$304,0))))</f>
        <v/>
      </c>
      <c xmlns="http://schemas.openxmlformats.org/spreadsheetml/2006/main" r="C120" s="18" t="str">
        <f>IF(99&gt;MAX('4℃飯'!$Z$5:$Z$304),"",HYPERLINK("#'4℃飯'!C"&amp;(MATCH(99,'4℃飯'!$Z$5:$Z$304,0)+4),INDEX('4℃飯'!$C$5:$C$304,MATCH(99,'4℃飯'!$Z$5:$Z$304,0))))</f>
        <v/>
      </c>
      <c xmlns="http://schemas.openxmlformats.org/spreadsheetml/2006/main" r="D120" s="18" t="str">
        <f>IF(99&gt;MAX('4℃麵'!$AA$5:$AA$292),"",HYPERLINK("#'4℃麵'!D"&amp;(MATCH(99,'4℃麵'!$AA$5:$AA$292,0)+4),INDEX('4℃麵'!$D$5:$D$292,MATCH(99,'4℃麵'!$AA$5:$AA$292,0))))</f>
        <v/>
      </c>
      <c xmlns="http://schemas.openxmlformats.org/spreadsheetml/2006/main" r="E120" s="18" t="str">
        <f>IF(99&gt;MAX('4℃其他'!$AA$5:$AA$304),"",HYPERLINK("#'4℃其他'!D"&amp;(MATCH(99,'4℃其他'!$AA$5:$AA$304,0)+4),INDEX('4℃其他'!$D$5:$D$304,MATCH(99,'4℃其他'!$AA$5:$AA$304,0))))</f>
        <v/>
      </c>
      <c xmlns="http://schemas.openxmlformats.org/spreadsheetml/2006/main" r="F120" s="18" t="str">
        <f>IF(99&gt;MAX('冷凍品'!$AA$5:$AA$304),"",HYPERLINK("#'冷凍品'!D"&amp;(MATCH(99,'冷凍品'!$AA$5:$AA$304,0)+4),INDEX('冷凍品'!$D$5:$D$304,MATCH(99,'冷凍品'!$AA$5:$AA$304,0))))</f>
        <v/>
      </c>
    </row>
    <row r="121" spans="2:6">
      <c xmlns="http://schemas.openxmlformats.org/spreadsheetml/2006/main" r="B121" s="18" t="str">
        <f>IF(100&gt;MAX('18℃'!$Z$5:$Z$304),"",HYPERLINK("#'18℃'!C"&amp;(MATCH(100,'18℃'!$Z$5:$Z$304,0)+4),INDEX('18℃'!$C$5:$C$304,MATCH(100,'18℃'!$Z$5:$Z$304,0))))</f>
        <v/>
      </c>
      <c xmlns="http://schemas.openxmlformats.org/spreadsheetml/2006/main" r="C121" s="18" t="str">
        <f>IF(100&gt;MAX('4℃飯'!$Z$5:$Z$304),"",HYPERLINK("#'4℃飯'!C"&amp;(MATCH(100,'4℃飯'!$Z$5:$Z$304,0)+4),INDEX('4℃飯'!$C$5:$C$304,MATCH(100,'4℃飯'!$Z$5:$Z$304,0))))</f>
        <v/>
      </c>
      <c xmlns="http://schemas.openxmlformats.org/spreadsheetml/2006/main" r="D121" s="18" t="str">
        <f>IF(100&gt;MAX('4℃麵'!$AA$5:$AA$292),"",HYPERLINK("#'4℃麵'!D"&amp;(MATCH(100,'4℃麵'!$AA$5:$AA$292,0)+4),INDEX('4℃麵'!$D$5:$D$292,MATCH(100,'4℃麵'!$AA$5:$AA$292,0))))</f>
        <v/>
      </c>
      <c xmlns="http://schemas.openxmlformats.org/spreadsheetml/2006/main" r="E121" s="18" t="str">
        <f>IF(100&gt;MAX('4℃其他'!$AA$5:$AA$304),"",HYPERLINK("#'4℃其他'!D"&amp;(MATCH(100,'4℃其他'!$AA$5:$AA$304,0)+4),INDEX('4℃其他'!$D$5:$D$304,MATCH(100,'4℃其他'!$AA$5:$AA$304,0))))</f>
        <v/>
      </c>
      <c xmlns="http://schemas.openxmlformats.org/spreadsheetml/2006/main" r="F121" s="18" t="str">
        <f>IF(100&gt;MAX('冷凍品'!$AA$5:$AA$304),"",HYPERLINK("#'冷凍品'!D"&amp;(MATCH(100,'冷凍品'!$AA$5:$AA$304,0)+4),INDEX('冷凍品'!$D$5:$D$304,MATCH(100,'冷凍品'!$AA$5:$AA$304,0))))</f>
        <v/>
      </c>
    </row>
    <row r="122">
      <c xmlns="http://schemas.openxmlformats.org/spreadsheetml/2006/main" r="B122" s="18" t="str">
        <f>IF(101&gt;MAX('18℃'!$Z$5:$Z$304),"",HYPERLINK("#'18℃'!C"&amp;(MATCH(101,'18℃'!$Z$5:$Z$304,0)+4),INDEX('18℃'!$C$5:$C$304,MATCH(101,'18℃'!$Z$5:$Z$304,0))))</f>
        <v/>
      </c>
      <c xmlns="http://schemas.openxmlformats.org/spreadsheetml/2006/main" r="C122" s="18" t="str">
        <f>IF(101&gt;MAX('4℃飯'!$Z$5:$Z$304),"",HYPERLINK("#'4℃飯'!C"&amp;(MATCH(101,'4℃飯'!$Z$5:$Z$304,0)+4),INDEX('4℃飯'!$C$5:$C$304,MATCH(101,'4℃飯'!$Z$5:$Z$304,0))))</f>
        <v/>
      </c>
      <c xmlns="http://schemas.openxmlformats.org/spreadsheetml/2006/main" r="D122" s="18" t="str">
        <f>IF(101&gt;MAX('4℃麵'!$AA$5:$AA$292),"",HYPERLINK("#'4℃麵'!D"&amp;(MATCH(101,'4℃麵'!$AA$5:$AA$292,0)+4),INDEX('4℃麵'!$D$5:$D$292,MATCH(101,'4℃麵'!$AA$5:$AA$292,0))))</f>
        <v/>
      </c>
      <c xmlns="http://schemas.openxmlformats.org/spreadsheetml/2006/main" r="E122" s="18" t="str">
        <f>IF(101&gt;MAX('4℃其他'!$AA$5:$AA$304),"",HYPERLINK("#'4℃其他'!D"&amp;(MATCH(101,'4℃其他'!$AA$5:$AA$304,0)+4),INDEX('4℃其他'!$D$5:$D$304,MATCH(101,'4℃其他'!$AA$5:$AA$304,0))))</f>
        <v/>
      </c>
      <c xmlns="http://schemas.openxmlformats.org/spreadsheetml/2006/main" r="F122" s="18" t="str">
        <f>IF(101&gt;MAX('冷凍品'!$AA$5:$AA$304),"",HYPERLINK("#'冷凍品'!D"&amp;(MATCH(101,'冷凍品'!$AA$5:$AA$304,0)+4),INDEX('冷凍品'!$D$5:$D$304,MATCH(101,'冷凍品'!$AA$5:$AA$304,0))))</f>
        <v/>
      </c>
    </row>
    <row r="123">
      <c xmlns="http://schemas.openxmlformats.org/spreadsheetml/2006/main" r="B123" s="18" t="str">
        <f>IF(102&gt;MAX('18℃'!$Z$5:$Z$304),"",HYPERLINK("#'18℃'!C"&amp;(MATCH(102,'18℃'!$Z$5:$Z$304,0)+4),INDEX('18℃'!$C$5:$C$304,MATCH(102,'18℃'!$Z$5:$Z$304,0))))</f>
        <v/>
      </c>
      <c xmlns="http://schemas.openxmlformats.org/spreadsheetml/2006/main" r="C123" s="18" t="str">
        <f>IF(102&gt;MAX('4℃飯'!$Z$5:$Z$304),"",HYPERLINK("#'4℃飯'!C"&amp;(MATCH(102,'4℃飯'!$Z$5:$Z$304,0)+4),INDEX('4℃飯'!$C$5:$C$304,MATCH(102,'4℃飯'!$Z$5:$Z$304,0))))</f>
        <v/>
      </c>
      <c xmlns="http://schemas.openxmlformats.org/spreadsheetml/2006/main" r="D123" s="18" t="str">
        <f>IF(102&gt;MAX('4℃麵'!$AA$5:$AA$292),"",HYPERLINK("#'4℃麵'!D"&amp;(MATCH(102,'4℃麵'!$AA$5:$AA$292,0)+4),INDEX('4℃麵'!$D$5:$D$292,MATCH(102,'4℃麵'!$AA$5:$AA$292,0))))</f>
        <v/>
      </c>
      <c xmlns="http://schemas.openxmlformats.org/spreadsheetml/2006/main" r="E123" s="18" t="str">
        <f>IF(102&gt;MAX('4℃其他'!$AA$5:$AA$304),"",HYPERLINK("#'4℃其他'!D"&amp;(MATCH(102,'4℃其他'!$AA$5:$AA$304,0)+4),INDEX('4℃其他'!$D$5:$D$304,MATCH(102,'4℃其他'!$AA$5:$AA$304,0))))</f>
        <v/>
      </c>
      <c xmlns="http://schemas.openxmlformats.org/spreadsheetml/2006/main" r="F123" s="18" t="str">
        <f>IF(102&gt;MAX('冷凍品'!$AA$5:$AA$304),"",HYPERLINK("#'冷凍品'!D"&amp;(MATCH(102,'冷凍品'!$AA$5:$AA$304,0)+4),INDEX('冷凍品'!$D$5:$D$304,MATCH(102,'冷凍品'!$AA$5:$AA$304,0))))</f>
        <v/>
      </c>
    </row>
    <row r="124">
      <c xmlns="http://schemas.openxmlformats.org/spreadsheetml/2006/main" r="B124" s="18" t="str">
        <f>IF(103&gt;MAX('18℃'!$Z$5:$Z$304),"",HYPERLINK("#'18℃'!C"&amp;(MATCH(103,'18℃'!$Z$5:$Z$304,0)+4),INDEX('18℃'!$C$5:$C$304,MATCH(103,'18℃'!$Z$5:$Z$304,0))))</f>
        <v/>
      </c>
      <c xmlns="http://schemas.openxmlformats.org/spreadsheetml/2006/main" r="C124" s="18" t="str">
        <f>IF(103&gt;MAX('4℃飯'!$Z$5:$Z$304),"",HYPERLINK("#'4℃飯'!C"&amp;(MATCH(103,'4℃飯'!$Z$5:$Z$304,0)+4),INDEX('4℃飯'!$C$5:$C$304,MATCH(103,'4℃飯'!$Z$5:$Z$304,0))))</f>
        <v/>
      </c>
      <c xmlns="http://schemas.openxmlformats.org/spreadsheetml/2006/main" r="D124" s="18" t="str">
        <f>IF(103&gt;MAX('4℃麵'!$AA$5:$AA$292),"",HYPERLINK("#'4℃麵'!D"&amp;(MATCH(103,'4℃麵'!$AA$5:$AA$292,0)+4),INDEX('4℃麵'!$D$5:$D$292,MATCH(103,'4℃麵'!$AA$5:$AA$292,0))))</f>
        <v/>
      </c>
      <c xmlns="http://schemas.openxmlformats.org/spreadsheetml/2006/main" r="E124" s="18" t="str">
        <f>IF(103&gt;MAX('4℃其他'!$AA$5:$AA$304),"",HYPERLINK("#'4℃其他'!D"&amp;(MATCH(103,'4℃其他'!$AA$5:$AA$304,0)+4),INDEX('4℃其他'!$D$5:$D$304,MATCH(103,'4℃其他'!$AA$5:$AA$304,0))))</f>
        <v/>
      </c>
      <c xmlns="http://schemas.openxmlformats.org/spreadsheetml/2006/main" r="F124" s="18" t="str">
        <f>IF(103&gt;MAX('冷凍品'!$AA$5:$AA$304),"",HYPERLINK("#'冷凍品'!D"&amp;(MATCH(103,'冷凍品'!$AA$5:$AA$304,0)+4),INDEX('冷凍品'!$D$5:$D$304,MATCH(103,'冷凍品'!$AA$5:$AA$304,0))))</f>
        <v/>
      </c>
    </row>
    <row r="125">
      <c xmlns="http://schemas.openxmlformats.org/spreadsheetml/2006/main" r="B125" s="18" t="str">
        <f>IF(104&gt;MAX('18℃'!$Z$5:$Z$304),"",HYPERLINK("#'18℃'!C"&amp;(MATCH(104,'18℃'!$Z$5:$Z$304,0)+4),INDEX('18℃'!$C$5:$C$304,MATCH(104,'18℃'!$Z$5:$Z$304,0))))</f>
        <v/>
      </c>
      <c xmlns="http://schemas.openxmlformats.org/spreadsheetml/2006/main" r="C125" s="18" t="str">
        <f>IF(104&gt;MAX('4℃飯'!$Z$5:$Z$304),"",HYPERLINK("#'4℃飯'!C"&amp;(MATCH(104,'4℃飯'!$Z$5:$Z$304,0)+4),INDEX('4℃飯'!$C$5:$C$304,MATCH(104,'4℃飯'!$Z$5:$Z$304,0))))</f>
        <v/>
      </c>
      <c xmlns="http://schemas.openxmlformats.org/spreadsheetml/2006/main" r="D125" s="18" t="str">
        <f>IF(104&gt;MAX('4℃麵'!$AA$5:$AA$292),"",HYPERLINK("#'4℃麵'!D"&amp;(MATCH(104,'4℃麵'!$AA$5:$AA$292,0)+4),INDEX('4℃麵'!$D$5:$D$292,MATCH(104,'4℃麵'!$AA$5:$AA$292,0))))</f>
        <v/>
      </c>
      <c xmlns="http://schemas.openxmlformats.org/spreadsheetml/2006/main" r="E125" s="18" t="str">
        <f>IF(104&gt;MAX('4℃其他'!$AA$5:$AA$304),"",HYPERLINK("#'4℃其他'!D"&amp;(MATCH(104,'4℃其他'!$AA$5:$AA$304,0)+4),INDEX('4℃其他'!$D$5:$D$304,MATCH(104,'4℃其他'!$AA$5:$AA$304,0))))</f>
        <v/>
      </c>
      <c xmlns="http://schemas.openxmlformats.org/spreadsheetml/2006/main" r="F125" s="18" t="str">
        <f>IF(104&gt;MAX('冷凍品'!$AA$5:$AA$304),"",HYPERLINK("#'冷凍品'!D"&amp;(MATCH(104,'冷凍品'!$AA$5:$AA$304,0)+4),INDEX('冷凍品'!$D$5:$D$304,MATCH(104,'冷凍品'!$AA$5:$AA$304,0))))</f>
        <v/>
      </c>
    </row>
    <row r="126">
      <c xmlns="http://schemas.openxmlformats.org/spreadsheetml/2006/main" r="B126" s="18" t="str">
        <f>IF(105&gt;MAX('18℃'!$Z$5:$Z$304),"",HYPERLINK("#'18℃'!C"&amp;(MATCH(105,'18℃'!$Z$5:$Z$304,0)+4),INDEX('18℃'!$C$5:$C$304,MATCH(105,'18℃'!$Z$5:$Z$304,0))))</f>
        <v/>
      </c>
      <c xmlns="http://schemas.openxmlformats.org/spreadsheetml/2006/main" r="C126" s="18" t="str">
        <f>IF(105&gt;MAX('4℃飯'!$Z$5:$Z$304),"",HYPERLINK("#'4℃飯'!C"&amp;(MATCH(105,'4℃飯'!$Z$5:$Z$304,0)+4),INDEX('4℃飯'!$C$5:$C$304,MATCH(105,'4℃飯'!$Z$5:$Z$304,0))))</f>
        <v/>
      </c>
      <c xmlns="http://schemas.openxmlformats.org/spreadsheetml/2006/main" r="D126" s="18" t="str">
        <f>IF(105&gt;MAX('4℃麵'!$AA$5:$AA$292),"",HYPERLINK("#'4℃麵'!D"&amp;(MATCH(105,'4℃麵'!$AA$5:$AA$292,0)+4),INDEX('4℃麵'!$D$5:$D$292,MATCH(105,'4℃麵'!$AA$5:$AA$292,0))))</f>
        <v/>
      </c>
      <c xmlns="http://schemas.openxmlformats.org/spreadsheetml/2006/main" r="E126" s="18" t="str">
        <f>IF(105&gt;MAX('4℃其他'!$AA$5:$AA$304),"",HYPERLINK("#'4℃其他'!D"&amp;(MATCH(105,'4℃其他'!$AA$5:$AA$304,0)+4),INDEX('4℃其他'!$D$5:$D$304,MATCH(105,'4℃其他'!$AA$5:$AA$304,0))))</f>
        <v/>
      </c>
      <c xmlns="http://schemas.openxmlformats.org/spreadsheetml/2006/main" r="F126" s="18" t="str">
        <f>IF(105&gt;MAX('冷凍品'!$AA$5:$AA$304),"",HYPERLINK("#'冷凍品'!D"&amp;(MATCH(105,'冷凍品'!$AA$5:$AA$304,0)+4),INDEX('冷凍品'!$D$5:$D$304,MATCH(105,'冷凍品'!$AA$5:$AA$304,0))))</f>
        <v/>
      </c>
    </row>
    <row r="127">
      <c xmlns="http://schemas.openxmlformats.org/spreadsheetml/2006/main" r="B127" s="18" t="str">
        <f>IF(106&gt;MAX('18℃'!$Z$5:$Z$304),"",HYPERLINK("#'18℃'!C"&amp;(MATCH(106,'18℃'!$Z$5:$Z$304,0)+4),INDEX('18℃'!$C$5:$C$304,MATCH(106,'18℃'!$Z$5:$Z$304,0))))</f>
        <v/>
      </c>
      <c xmlns="http://schemas.openxmlformats.org/spreadsheetml/2006/main" r="C127" s="18" t="str">
        <f>IF(106&gt;MAX('4℃飯'!$Z$5:$Z$304),"",HYPERLINK("#'4℃飯'!C"&amp;(MATCH(106,'4℃飯'!$Z$5:$Z$304,0)+4),INDEX('4℃飯'!$C$5:$C$304,MATCH(106,'4℃飯'!$Z$5:$Z$304,0))))</f>
        <v/>
      </c>
      <c xmlns="http://schemas.openxmlformats.org/spreadsheetml/2006/main" r="D127" s="18" t="str">
        <f>IF(106&gt;MAX('4℃麵'!$AA$5:$AA$292),"",HYPERLINK("#'4℃麵'!D"&amp;(MATCH(106,'4℃麵'!$AA$5:$AA$292,0)+4),INDEX('4℃麵'!$D$5:$D$292,MATCH(106,'4℃麵'!$AA$5:$AA$292,0))))</f>
        <v/>
      </c>
      <c xmlns="http://schemas.openxmlformats.org/spreadsheetml/2006/main" r="E127" s="18" t="str">
        <f>IF(106&gt;MAX('4℃其他'!$AA$5:$AA$304),"",HYPERLINK("#'4℃其他'!D"&amp;(MATCH(106,'4℃其他'!$AA$5:$AA$304,0)+4),INDEX('4℃其他'!$D$5:$D$304,MATCH(106,'4℃其他'!$AA$5:$AA$304,0))))</f>
        <v/>
      </c>
      <c xmlns="http://schemas.openxmlformats.org/spreadsheetml/2006/main" r="F127" s="18" t="str">
        <f>IF(106&gt;MAX('冷凍品'!$AA$5:$AA$304),"",HYPERLINK("#'冷凍品'!D"&amp;(MATCH(106,'冷凍品'!$AA$5:$AA$304,0)+4),INDEX('冷凍品'!$D$5:$D$304,MATCH(106,'冷凍品'!$AA$5:$AA$304,0))))</f>
        <v/>
      </c>
    </row>
    <row r="128">
      <c xmlns="http://schemas.openxmlformats.org/spreadsheetml/2006/main" r="B128" s="18" t="str">
        <f>IF(107&gt;MAX('18℃'!$Z$5:$Z$304),"",HYPERLINK("#'18℃'!C"&amp;(MATCH(107,'18℃'!$Z$5:$Z$304,0)+4),INDEX('18℃'!$C$5:$C$304,MATCH(107,'18℃'!$Z$5:$Z$304,0))))</f>
        <v/>
      </c>
      <c xmlns="http://schemas.openxmlformats.org/spreadsheetml/2006/main" r="C128" s="18" t="str">
        <f>IF(107&gt;MAX('4℃飯'!$Z$5:$Z$304),"",HYPERLINK("#'4℃飯'!C"&amp;(MATCH(107,'4℃飯'!$Z$5:$Z$304,0)+4),INDEX('4℃飯'!$C$5:$C$304,MATCH(107,'4℃飯'!$Z$5:$Z$304,0))))</f>
        <v/>
      </c>
      <c xmlns="http://schemas.openxmlformats.org/spreadsheetml/2006/main" r="D128" s="18" t="str">
        <f>IF(107&gt;MAX('4℃麵'!$AA$5:$AA$292),"",HYPERLINK("#'4℃麵'!D"&amp;(MATCH(107,'4℃麵'!$AA$5:$AA$292,0)+4),INDEX('4℃麵'!$D$5:$D$292,MATCH(107,'4℃麵'!$AA$5:$AA$292,0))))</f>
        <v/>
      </c>
      <c xmlns="http://schemas.openxmlformats.org/spreadsheetml/2006/main" r="E128" s="18" t="str">
        <f>IF(107&gt;MAX('4℃其他'!$AA$5:$AA$304),"",HYPERLINK("#'4℃其他'!D"&amp;(MATCH(107,'4℃其他'!$AA$5:$AA$304,0)+4),INDEX('4℃其他'!$D$5:$D$304,MATCH(107,'4℃其他'!$AA$5:$AA$304,0))))</f>
        <v/>
      </c>
      <c xmlns="http://schemas.openxmlformats.org/spreadsheetml/2006/main" r="F128" s="18" t="str">
        <f>IF(107&gt;MAX('冷凍品'!$AA$5:$AA$304),"",HYPERLINK("#'冷凍品'!D"&amp;(MATCH(107,'冷凍品'!$AA$5:$AA$304,0)+4),INDEX('冷凍品'!$D$5:$D$304,MATCH(107,'冷凍品'!$AA$5:$AA$304,0))))</f>
        <v/>
      </c>
    </row>
    <row r="129">
      <c xmlns="http://schemas.openxmlformats.org/spreadsheetml/2006/main" r="B129" s="18" t="str">
        <f>IF(108&gt;MAX('18℃'!$Z$5:$Z$304),"",HYPERLINK("#'18℃'!C"&amp;(MATCH(108,'18℃'!$Z$5:$Z$304,0)+4),INDEX('18℃'!$C$5:$C$304,MATCH(108,'18℃'!$Z$5:$Z$304,0))))</f>
        <v/>
      </c>
      <c xmlns="http://schemas.openxmlformats.org/spreadsheetml/2006/main" r="C129" s="18" t="str">
        <f>IF(108&gt;MAX('4℃飯'!$Z$5:$Z$304),"",HYPERLINK("#'4℃飯'!C"&amp;(MATCH(108,'4℃飯'!$Z$5:$Z$304,0)+4),INDEX('4℃飯'!$C$5:$C$304,MATCH(108,'4℃飯'!$Z$5:$Z$304,0))))</f>
        <v/>
      </c>
      <c xmlns="http://schemas.openxmlformats.org/spreadsheetml/2006/main" r="D129" s="18" t="str">
        <f>IF(108&gt;MAX('4℃麵'!$AA$5:$AA$292),"",HYPERLINK("#'4℃麵'!D"&amp;(MATCH(108,'4℃麵'!$AA$5:$AA$292,0)+4),INDEX('4℃麵'!$D$5:$D$292,MATCH(108,'4℃麵'!$AA$5:$AA$292,0))))</f>
        <v/>
      </c>
      <c xmlns="http://schemas.openxmlformats.org/spreadsheetml/2006/main" r="E129" s="18" t="str">
        <f>IF(108&gt;MAX('4℃其他'!$AA$5:$AA$304),"",HYPERLINK("#'4℃其他'!D"&amp;(MATCH(108,'4℃其他'!$AA$5:$AA$304,0)+4),INDEX('4℃其他'!$D$5:$D$304,MATCH(108,'4℃其他'!$AA$5:$AA$304,0))))</f>
        <v/>
      </c>
      <c xmlns="http://schemas.openxmlformats.org/spreadsheetml/2006/main" r="F129" s="18" t="str">
        <f>IF(108&gt;MAX('冷凍品'!$AA$5:$AA$304),"",HYPERLINK("#'冷凍品'!D"&amp;(MATCH(108,'冷凍品'!$AA$5:$AA$304,0)+4),INDEX('冷凍品'!$D$5:$D$304,MATCH(108,'冷凍品'!$AA$5:$AA$304,0))))</f>
        <v/>
      </c>
    </row>
    <row r="130">
      <c xmlns="http://schemas.openxmlformats.org/spreadsheetml/2006/main" r="B130" s="18" t="str">
        <f>IF(109&gt;MAX('18℃'!$Z$5:$Z$304),"",HYPERLINK("#'18℃'!C"&amp;(MATCH(109,'18℃'!$Z$5:$Z$304,0)+4),INDEX('18℃'!$C$5:$C$304,MATCH(109,'18℃'!$Z$5:$Z$304,0))))</f>
        <v/>
      </c>
      <c xmlns="http://schemas.openxmlformats.org/spreadsheetml/2006/main" r="C130" s="18" t="str">
        <f>IF(109&gt;MAX('4℃飯'!$Z$5:$Z$304),"",HYPERLINK("#'4℃飯'!C"&amp;(MATCH(109,'4℃飯'!$Z$5:$Z$304,0)+4),INDEX('4℃飯'!$C$5:$C$304,MATCH(109,'4℃飯'!$Z$5:$Z$304,0))))</f>
        <v/>
      </c>
      <c xmlns="http://schemas.openxmlformats.org/spreadsheetml/2006/main" r="D130" s="18" t="str">
        <f>IF(109&gt;MAX('4℃麵'!$AA$5:$AA$292),"",HYPERLINK("#'4℃麵'!D"&amp;(MATCH(109,'4℃麵'!$AA$5:$AA$292,0)+4),INDEX('4℃麵'!$D$5:$D$292,MATCH(109,'4℃麵'!$AA$5:$AA$292,0))))</f>
        <v/>
      </c>
      <c xmlns="http://schemas.openxmlformats.org/spreadsheetml/2006/main" r="E130" s="18" t="str">
        <f>IF(109&gt;MAX('4℃其他'!$AA$5:$AA$304),"",HYPERLINK("#'4℃其他'!D"&amp;(MATCH(109,'4℃其他'!$AA$5:$AA$304,0)+4),INDEX('4℃其他'!$D$5:$D$304,MATCH(109,'4℃其他'!$AA$5:$AA$304,0))))</f>
        <v/>
      </c>
      <c xmlns="http://schemas.openxmlformats.org/spreadsheetml/2006/main" r="F130" s="18" t="str">
        <f>IF(109&gt;MAX('冷凍品'!$AA$5:$AA$304),"",HYPERLINK("#'冷凍品'!D"&amp;(MATCH(109,'冷凍品'!$AA$5:$AA$304,0)+4),INDEX('冷凍品'!$D$5:$D$304,MATCH(109,'冷凍品'!$AA$5:$AA$304,0))))</f>
        <v/>
      </c>
    </row>
    <row r="131">
      <c xmlns="http://schemas.openxmlformats.org/spreadsheetml/2006/main" r="B131" s="18" t="str">
        <f>IF(110&gt;MAX('18℃'!$Z$5:$Z$304),"",HYPERLINK("#'18℃'!C"&amp;(MATCH(110,'18℃'!$Z$5:$Z$304,0)+4),INDEX('18℃'!$C$5:$C$304,MATCH(110,'18℃'!$Z$5:$Z$304,0))))</f>
        <v/>
      </c>
      <c xmlns="http://schemas.openxmlformats.org/spreadsheetml/2006/main" r="C131" s="18" t="str">
        <f>IF(110&gt;MAX('4℃飯'!$Z$5:$Z$304),"",HYPERLINK("#'4℃飯'!C"&amp;(MATCH(110,'4℃飯'!$Z$5:$Z$304,0)+4),INDEX('4℃飯'!$C$5:$C$304,MATCH(110,'4℃飯'!$Z$5:$Z$304,0))))</f>
        <v/>
      </c>
      <c xmlns="http://schemas.openxmlformats.org/spreadsheetml/2006/main" r="D131" s="18" t="str">
        <f>IF(110&gt;MAX('4℃麵'!$AA$5:$AA$292),"",HYPERLINK("#'4℃麵'!D"&amp;(MATCH(110,'4℃麵'!$AA$5:$AA$292,0)+4),INDEX('4℃麵'!$D$5:$D$292,MATCH(110,'4℃麵'!$AA$5:$AA$292,0))))</f>
        <v/>
      </c>
      <c xmlns="http://schemas.openxmlformats.org/spreadsheetml/2006/main" r="E131" s="18" t="str">
        <f>IF(110&gt;MAX('4℃其他'!$AA$5:$AA$304),"",HYPERLINK("#'4℃其他'!D"&amp;(MATCH(110,'4℃其他'!$AA$5:$AA$304,0)+4),INDEX('4℃其他'!$D$5:$D$304,MATCH(110,'4℃其他'!$AA$5:$AA$304,0))))</f>
        <v/>
      </c>
      <c xmlns="http://schemas.openxmlformats.org/spreadsheetml/2006/main" r="F131" s="18" t="str">
        <f>IF(110&gt;MAX('冷凍品'!$AA$5:$AA$304),"",HYPERLINK("#'冷凍品'!D"&amp;(MATCH(110,'冷凍品'!$AA$5:$AA$304,0)+4),INDEX('冷凍品'!$D$5:$D$304,MATCH(110,'冷凍品'!$AA$5:$AA$304,0))))</f>
        <v/>
      </c>
    </row>
    <row r="132">
      <c xmlns="http://schemas.openxmlformats.org/spreadsheetml/2006/main" r="B132" s="18" t="str">
        <f>IF(111&gt;MAX('18℃'!$Z$5:$Z$304),"",HYPERLINK("#'18℃'!C"&amp;(MATCH(111,'18℃'!$Z$5:$Z$304,0)+4),INDEX('18℃'!$C$5:$C$304,MATCH(111,'18℃'!$Z$5:$Z$304,0))))</f>
        <v/>
      </c>
      <c xmlns="http://schemas.openxmlformats.org/spreadsheetml/2006/main" r="C132" s="18" t="str">
        <f>IF(111&gt;MAX('4℃飯'!$Z$5:$Z$304),"",HYPERLINK("#'4℃飯'!C"&amp;(MATCH(111,'4℃飯'!$Z$5:$Z$304,0)+4),INDEX('4℃飯'!$C$5:$C$304,MATCH(111,'4℃飯'!$Z$5:$Z$304,0))))</f>
        <v/>
      </c>
      <c xmlns="http://schemas.openxmlformats.org/spreadsheetml/2006/main" r="D132" s="18" t="str">
        <f>IF(111&gt;MAX('4℃麵'!$AA$5:$AA$292),"",HYPERLINK("#'4℃麵'!D"&amp;(MATCH(111,'4℃麵'!$AA$5:$AA$292,0)+4),INDEX('4℃麵'!$D$5:$D$292,MATCH(111,'4℃麵'!$AA$5:$AA$292,0))))</f>
        <v/>
      </c>
      <c xmlns="http://schemas.openxmlformats.org/spreadsheetml/2006/main" r="E132" s="18" t="str">
        <f>IF(111&gt;MAX('4℃其他'!$AA$5:$AA$304),"",HYPERLINK("#'4℃其他'!D"&amp;(MATCH(111,'4℃其他'!$AA$5:$AA$304,0)+4),INDEX('4℃其他'!$D$5:$D$304,MATCH(111,'4℃其他'!$AA$5:$AA$304,0))))</f>
        <v/>
      </c>
      <c xmlns="http://schemas.openxmlformats.org/spreadsheetml/2006/main" r="F132" s="18" t="str">
        <f>IF(111&gt;MAX('冷凍品'!$AA$5:$AA$304),"",HYPERLINK("#'冷凍品'!D"&amp;(MATCH(111,'冷凍品'!$AA$5:$AA$304,0)+4),INDEX('冷凍品'!$D$5:$D$304,MATCH(111,'冷凍品'!$AA$5:$AA$304,0))))</f>
        <v/>
      </c>
    </row>
    <row r="133">
      <c xmlns="http://schemas.openxmlformats.org/spreadsheetml/2006/main" r="B133" s="18" t="str">
        <f>IF(112&gt;MAX('18℃'!$Z$5:$Z$304),"",HYPERLINK("#'18℃'!C"&amp;(MATCH(112,'18℃'!$Z$5:$Z$304,0)+4),INDEX('18℃'!$C$5:$C$304,MATCH(112,'18℃'!$Z$5:$Z$304,0))))</f>
        <v/>
      </c>
      <c xmlns="http://schemas.openxmlformats.org/spreadsheetml/2006/main" r="C133" s="18" t="str">
        <f>IF(112&gt;MAX('4℃飯'!$Z$5:$Z$304),"",HYPERLINK("#'4℃飯'!C"&amp;(MATCH(112,'4℃飯'!$Z$5:$Z$304,0)+4),INDEX('4℃飯'!$C$5:$C$304,MATCH(112,'4℃飯'!$Z$5:$Z$304,0))))</f>
        <v/>
      </c>
      <c xmlns="http://schemas.openxmlformats.org/spreadsheetml/2006/main" r="D133" s="18" t="str">
        <f>IF(112&gt;MAX('4℃麵'!$AA$5:$AA$292),"",HYPERLINK("#'4℃麵'!D"&amp;(MATCH(112,'4℃麵'!$AA$5:$AA$292,0)+4),INDEX('4℃麵'!$D$5:$D$292,MATCH(112,'4℃麵'!$AA$5:$AA$292,0))))</f>
        <v/>
      </c>
      <c xmlns="http://schemas.openxmlformats.org/spreadsheetml/2006/main" r="E133" s="18" t="str">
        <f>IF(112&gt;MAX('4℃其他'!$AA$5:$AA$304),"",HYPERLINK("#'4℃其他'!D"&amp;(MATCH(112,'4℃其他'!$AA$5:$AA$304,0)+4),INDEX('4℃其他'!$D$5:$D$304,MATCH(112,'4℃其他'!$AA$5:$AA$304,0))))</f>
        <v/>
      </c>
      <c xmlns="http://schemas.openxmlformats.org/spreadsheetml/2006/main" r="F133" s="18" t="str">
        <f>IF(112&gt;MAX('冷凍品'!$AA$5:$AA$304),"",HYPERLINK("#'冷凍品'!D"&amp;(MATCH(112,'冷凍品'!$AA$5:$AA$304,0)+4),INDEX('冷凍品'!$D$5:$D$304,MATCH(112,'冷凍品'!$AA$5:$AA$304,0))))</f>
        <v/>
      </c>
    </row>
    <row r="134">
      <c xmlns="http://schemas.openxmlformats.org/spreadsheetml/2006/main" r="B134" s="18" t="str">
        <f>IF(113&gt;MAX('18℃'!$Z$5:$Z$304),"",HYPERLINK("#'18℃'!C"&amp;(MATCH(113,'18℃'!$Z$5:$Z$304,0)+4),INDEX('18℃'!$C$5:$C$304,MATCH(113,'18℃'!$Z$5:$Z$304,0))))</f>
        <v/>
      </c>
      <c xmlns="http://schemas.openxmlformats.org/spreadsheetml/2006/main" r="C134" s="18" t="str">
        <f>IF(113&gt;MAX('4℃飯'!$Z$5:$Z$304),"",HYPERLINK("#'4℃飯'!C"&amp;(MATCH(113,'4℃飯'!$Z$5:$Z$304,0)+4),INDEX('4℃飯'!$C$5:$C$304,MATCH(113,'4℃飯'!$Z$5:$Z$304,0))))</f>
        <v/>
      </c>
      <c xmlns="http://schemas.openxmlformats.org/spreadsheetml/2006/main" r="D134" s="18" t="str">
        <f>IF(113&gt;MAX('4℃麵'!$AA$5:$AA$292),"",HYPERLINK("#'4℃麵'!D"&amp;(MATCH(113,'4℃麵'!$AA$5:$AA$292,0)+4),INDEX('4℃麵'!$D$5:$D$292,MATCH(113,'4℃麵'!$AA$5:$AA$292,0))))</f>
        <v/>
      </c>
      <c xmlns="http://schemas.openxmlformats.org/spreadsheetml/2006/main" r="E134" s="18" t="str">
        <f>IF(113&gt;MAX('4℃其他'!$AA$5:$AA$304),"",HYPERLINK("#'4℃其他'!D"&amp;(MATCH(113,'4℃其他'!$AA$5:$AA$304,0)+4),INDEX('4℃其他'!$D$5:$D$304,MATCH(113,'4℃其他'!$AA$5:$AA$304,0))))</f>
        <v/>
      </c>
      <c xmlns="http://schemas.openxmlformats.org/spreadsheetml/2006/main" r="F134" s="18" t="str">
        <f>IF(113&gt;MAX('冷凍品'!$AA$5:$AA$304),"",HYPERLINK("#'冷凍品'!D"&amp;(MATCH(113,'冷凍品'!$AA$5:$AA$304,0)+4),INDEX('冷凍品'!$D$5:$D$304,MATCH(113,'冷凍品'!$AA$5:$AA$304,0))))</f>
        <v/>
      </c>
    </row>
    <row r="135">
      <c xmlns="http://schemas.openxmlformats.org/spreadsheetml/2006/main" r="B135" s="18" t="str">
        <f>IF(114&gt;MAX('18℃'!$Z$5:$Z$304),"",HYPERLINK("#'18℃'!C"&amp;(MATCH(114,'18℃'!$Z$5:$Z$304,0)+4),INDEX('18℃'!$C$5:$C$304,MATCH(114,'18℃'!$Z$5:$Z$304,0))))</f>
        <v/>
      </c>
      <c xmlns="http://schemas.openxmlformats.org/spreadsheetml/2006/main" r="C135" s="18" t="str">
        <f>IF(114&gt;MAX('4℃飯'!$Z$5:$Z$304),"",HYPERLINK("#'4℃飯'!C"&amp;(MATCH(114,'4℃飯'!$Z$5:$Z$304,0)+4),INDEX('4℃飯'!$C$5:$C$304,MATCH(114,'4℃飯'!$Z$5:$Z$304,0))))</f>
        <v/>
      </c>
      <c xmlns="http://schemas.openxmlformats.org/spreadsheetml/2006/main" r="D135" s="18" t="str">
        <f>IF(114&gt;MAX('4℃麵'!$AA$5:$AA$292),"",HYPERLINK("#'4℃麵'!D"&amp;(MATCH(114,'4℃麵'!$AA$5:$AA$292,0)+4),INDEX('4℃麵'!$D$5:$D$292,MATCH(114,'4℃麵'!$AA$5:$AA$292,0))))</f>
        <v/>
      </c>
      <c xmlns="http://schemas.openxmlformats.org/spreadsheetml/2006/main" r="E135" s="18" t="str">
        <f>IF(114&gt;MAX('4℃其他'!$AA$5:$AA$304),"",HYPERLINK("#'4℃其他'!D"&amp;(MATCH(114,'4℃其他'!$AA$5:$AA$304,0)+4),INDEX('4℃其他'!$D$5:$D$304,MATCH(114,'4℃其他'!$AA$5:$AA$304,0))))</f>
        <v/>
      </c>
      <c xmlns="http://schemas.openxmlformats.org/spreadsheetml/2006/main" r="F135" s="18" t="str">
        <f>IF(114&gt;MAX('冷凍品'!$AA$5:$AA$304),"",HYPERLINK("#'冷凍品'!D"&amp;(MATCH(114,'冷凍品'!$AA$5:$AA$304,0)+4),INDEX('冷凍品'!$D$5:$D$304,MATCH(114,'冷凍品'!$AA$5:$AA$304,0))))</f>
        <v/>
      </c>
    </row>
    <row r="136">
      <c xmlns="http://schemas.openxmlformats.org/spreadsheetml/2006/main" r="B136" s="18" t="str">
        <f>IF(115&gt;MAX('18℃'!$Z$5:$Z$304),"",HYPERLINK("#'18℃'!C"&amp;(MATCH(115,'18℃'!$Z$5:$Z$304,0)+4),INDEX('18℃'!$C$5:$C$304,MATCH(115,'18℃'!$Z$5:$Z$304,0))))</f>
        <v/>
      </c>
      <c xmlns="http://schemas.openxmlformats.org/spreadsheetml/2006/main" r="C136" s="18" t="str">
        <f>IF(115&gt;MAX('4℃飯'!$Z$5:$Z$304),"",HYPERLINK("#'4℃飯'!C"&amp;(MATCH(115,'4℃飯'!$Z$5:$Z$304,0)+4),INDEX('4℃飯'!$C$5:$C$304,MATCH(115,'4℃飯'!$Z$5:$Z$304,0))))</f>
        <v/>
      </c>
      <c xmlns="http://schemas.openxmlformats.org/spreadsheetml/2006/main" r="D136" s="18" t="str">
        <f>IF(115&gt;MAX('4℃麵'!$AA$5:$AA$292),"",HYPERLINK("#'4℃麵'!D"&amp;(MATCH(115,'4℃麵'!$AA$5:$AA$292,0)+4),INDEX('4℃麵'!$D$5:$D$292,MATCH(115,'4℃麵'!$AA$5:$AA$292,0))))</f>
        <v/>
      </c>
      <c xmlns="http://schemas.openxmlformats.org/spreadsheetml/2006/main" r="E136" s="18" t="str">
        <f>IF(115&gt;MAX('4℃其他'!$AA$5:$AA$304),"",HYPERLINK("#'4℃其他'!D"&amp;(MATCH(115,'4℃其他'!$AA$5:$AA$304,0)+4),INDEX('4℃其他'!$D$5:$D$304,MATCH(115,'4℃其他'!$AA$5:$AA$304,0))))</f>
        <v/>
      </c>
      <c xmlns="http://schemas.openxmlformats.org/spreadsheetml/2006/main" r="F136" s="18" t="str">
        <f>IF(115&gt;MAX('冷凍品'!$AA$5:$AA$304),"",HYPERLINK("#'冷凍品'!D"&amp;(MATCH(115,'冷凍品'!$AA$5:$AA$304,0)+4),INDEX('冷凍品'!$D$5:$D$304,MATCH(115,'冷凍品'!$AA$5:$AA$304,0))))</f>
        <v/>
      </c>
    </row>
    <row r="137">
      <c xmlns="http://schemas.openxmlformats.org/spreadsheetml/2006/main" r="B137" s="18" t="str">
        <f>IF(116&gt;MAX('18℃'!$Z$5:$Z$304),"",HYPERLINK("#'18℃'!C"&amp;(MATCH(116,'18℃'!$Z$5:$Z$304,0)+4),INDEX('18℃'!$C$5:$C$304,MATCH(116,'18℃'!$Z$5:$Z$304,0))))</f>
        <v/>
      </c>
      <c xmlns="http://schemas.openxmlformats.org/spreadsheetml/2006/main" r="C137" s="18" t="str">
        <f>IF(116&gt;MAX('4℃飯'!$Z$5:$Z$304),"",HYPERLINK("#'4℃飯'!C"&amp;(MATCH(116,'4℃飯'!$Z$5:$Z$304,0)+4),INDEX('4℃飯'!$C$5:$C$304,MATCH(116,'4℃飯'!$Z$5:$Z$304,0))))</f>
        <v/>
      </c>
      <c xmlns="http://schemas.openxmlformats.org/spreadsheetml/2006/main" r="D137" s="18" t="str">
        <f>IF(116&gt;MAX('4℃麵'!$AA$5:$AA$292),"",HYPERLINK("#'4℃麵'!D"&amp;(MATCH(116,'4℃麵'!$AA$5:$AA$292,0)+4),INDEX('4℃麵'!$D$5:$D$292,MATCH(116,'4℃麵'!$AA$5:$AA$292,0))))</f>
        <v/>
      </c>
      <c xmlns="http://schemas.openxmlformats.org/spreadsheetml/2006/main" r="E137" s="18" t="str">
        <f>IF(116&gt;MAX('4℃其他'!$AA$5:$AA$304),"",HYPERLINK("#'4℃其他'!D"&amp;(MATCH(116,'4℃其他'!$AA$5:$AA$304,0)+4),INDEX('4℃其他'!$D$5:$D$304,MATCH(116,'4℃其他'!$AA$5:$AA$304,0))))</f>
        <v/>
      </c>
      <c xmlns="http://schemas.openxmlformats.org/spreadsheetml/2006/main" r="F137" s="18" t="str">
        <f>IF(116&gt;MAX('冷凍品'!$AA$5:$AA$304),"",HYPERLINK("#'冷凍品'!D"&amp;(MATCH(116,'冷凍品'!$AA$5:$AA$304,0)+4),INDEX('冷凍品'!$D$5:$D$304,MATCH(116,'冷凍品'!$AA$5:$AA$304,0))))</f>
        <v/>
      </c>
    </row>
    <row r="138">
      <c xmlns="http://schemas.openxmlformats.org/spreadsheetml/2006/main" r="B138" s="18" t="str">
        <f>IF(117&gt;MAX('18℃'!$Z$5:$Z$304),"",HYPERLINK("#'18℃'!C"&amp;(MATCH(117,'18℃'!$Z$5:$Z$304,0)+4),INDEX('18℃'!$C$5:$C$304,MATCH(117,'18℃'!$Z$5:$Z$304,0))))</f>
        <v/>
      </c>
      <c xmlns="http://schemas.openxmlformats.org/spreadsheetml/2006/main" r="C138" s="18" t="str">
        <f>IF(117&gt;MAX('4℃飯'!$Z$5:$Z$304),"",HYPERLINK("#'4℃飯'!C"&amp;(MATCH(117,'4℃飯'!$Z$5:$Z$304,0)+4),INDEX('4℃飯'!$C$5:$C$304,MATCH(117,'4℃飯'!$Z$5:$Z$304,0))))</f>
        <v/>
      </c>
      <c xmlns="http://schemas.openxmlformats.org/spreadsheetml/2006/main" r="D138" s="18" t="str">
        <f>IF(117&gt;MAX('4℃麵'!$AA$5:$AA$292),"",HYPERLINK("#'4℃麵'!D"&amp;(MATCH(117,'4℃麵'!$AA$5:$AA$292,0)+4),INDEX('4℃麵'!$D$5:$D$292,MATCH(117,'4℃麵'!$AA$5:$AA$292,0))))</f>
        <v/>
      </c>
      <c xmlns="http://schemas.openxmlformats.org/spreadsheetml/2006/main" r="E138" s="18" t="str">
        <f>IF(117&gt;MAX('4℃其他'!$AA$5:$AA$304),"",HYPERLINK("#'4℃其他'!D"&amp;(MATCH(117,'4℃其他'!$AA$5:$AA$304,0)+4),INDEX('4℃其他'!$D$5:$D$304,MATCH(117,'4℃其他'!$AA$5:$AA$304,0))))</f>
        <v/>
      </c>
      <c xmlns="http://schemas.openxmlformats.org/spreadsheetml/2006/main" r="F138" s="18" t="str">
        <f>IF(117&gt;MAX('冷凍品'!$AA$5:$AA$304),"",HYPERLINK("#'冷凍品'!D"&amp;(MATCH(117,'冷凍品'!$AA$5:$AA$304,0)+4),INDEX('冷凍品'!$D$5:$D$304,MATCH(117,'冷凍品'!$AA$5:$AA$304,0))))</f>
        <v/>
      </c>
    </row>
    <row r="139">
      <c xmlns="http://schemas.openxmlformats.org/spreadsheetml/2006/main" r="B139" s="18" t="str">
        <f>IF(118&gt;MAX('18℃'!$Z$5:$Z$304),"",HYPERLINK("#'18℃'!C"&amp;(MATCH(118,'18℃'!$Z$5:$Z$304,0)+4),INDEX('18℃'!$C$5:$C$304,MATCH(118,'18℃'!$Z$5:$Z$304,0))))</f>
        <v/>
      </c>
      <c xmlns="http://schemas.openxmlformats.org/spreadsheetml/2006/main" r="C139" s="18" t="str">
        <f>IF(118&gt;MAX('4℃飯'!$Z$5:$Z$304),"",HYPERLINK("#'4℃飯'!C"&amp;(MATCH(118,'4℃飯'!$Z$5:$Z$304,0)+4),INDEX('4℃飯'!$C$5:$C$304,MATCH(118,'4℃飯'!$Z$5:$Z$304,0))))</f>
        <v/>
      </c>
      <c xmlns="http://schemas.openxmlformats.org/spreadsheetml/2006/main" r="D139" s="18" t="str">
        <f>IF(118&gt;MAX('4℃麵'!$AA$5:$AA$292),"",HYPERLINK("#'4℃麵'!D"&amp;(MATCH(118,'4℃麵'!$AA$5:$AA$292,0)+4),INDEX('4℃麵'!$D$5:$D$292,MATCH(118,'4℃麵'!$AA$5:$AA$292,0))))</f>
        <v/>
      </c>
      <c xmlns="http://schemas.openxmlformats.org/spreadsheetml/2006/main" r="E139" s="18" t="str">
        <f>IF(118&gt;MAX('4℃其他'!$AA$5:$AA$304),"",HYPERLINK("#'4℃其他'!D"&amp;(MATCH(118,'4℃其他'!$AA$5:$AA$304,0)+4),INDEX('4℃其他'!$D$5:$D$304,MATCH(118,'4℃其他'!$AA$5:$AA$304,0))))</f>
        <v/>
      </c>
      <c xmlns="http://schemas.openxmlformats.org/spreadsheetml/2006/main" r="F139" s="18" t="str">
        <f>IF(118&gt;MAX('冷凍品'!$AA$5:$AA$304),"",HYPERLINK("#'冷凍品'!D"&amp;(MATCH(118,'冷凍品'!$AA$5:$AA$304,0)+4),INDEX('冷凍品'!$D$5:$D$304,MATCH(118,'冷凍品'!$AA$5:$AA$304,0))))</f>
        <v/>
      </c>
    </row>
    <row r="140">
      <c xmlns="http://schemas.openxmlformats.org/spreadsheetml/2006/main" r="B140" s="18" t="str">
        <f>IF(119&gt;MAX('18℃'!$Z$5:$Z$304),"",HYPERLINK("#'18℃'!C"&amp;(MATCH(119,'18℃'!$Z$5:$Z$304,0)+4),INDEX('18℃'!$C$5:$C$304,MATCH(119,'18℃'!$Z$5:$Z$304,0))))</f>
        <v/>
      </c>
      <c xmlns="http://schemas.openxmlformats.org/spreadsheetml/2006/main" r="C140" s="18" t="str">
        <f>IF(119&gt;MAX('4℃飯'!$Z$5:$Z$304),"",HYPERLINK("#'4℃飯'!C"&amp;(MATCH(119,'4℃飯'!$Z$5:$Z$304,0)+4),INDEX('4℃飯'!$C$5:$C$304,MATCH(119,'4℃飯'!$Z$5:$Z$304,0))))</f>
        <v/>
      </c>
      <c xmlns="http://schemas.openxmlformats.org/spreadsheetml/2006/main" r="D140" s="18" t="str">
        <f>IF(119&gt;MAX('4℃麵'!$AA$5:$AA$292),"",HYPERLINK("#'4℃麵'!D"&amp;(MATCH(119,'4℃麵'!$AA$5:$AA$292,0)+4),INDEX('4℃麵'!$D$5:$D$292,MATCH(119,'4℃麵'!$AA$5:$AA$292,0))))</f>
        <v/>
      </c>
      <c xmlns="http://schemas.openxmlformats.org/spreadsheetml/2006/main" r="E140" s="18" t="str">
        <f>IF(119&gt;MAX('4℃其他'!$AA$5:$AA$304),"",HYPERLINK("#'4℃其他'!D"&amp;(MATCH(119,'4℃其他'!$AA$5:$AA$304,0)+4),INDEX('4℃其他'!$D$5:$D$304,MATCH(119,'4℃其他'!$AA$5:$AA$304,0))))</f>
        <v/>
      </c>
      <c xmlns="http://schemas.openxmlformats.org/spreadsheetml/2006/main" r="F140" s="18" t="str">
        <f>IF(119&gt;MAX('冷凍品'!$AA$5:$AA$304),"",HYPERLINK("#'冷凍品'!D"&amp;(MATCH(119,'冷凍品'!$AA$5:$AA$304,0)+4),INDEX('冷凍品'!$D$5:$D$304,MATCH(119,'冷凍品'!$AA$5:$AA$304,0))))</f>
        <v/>
      </c>
    </row>
    <row r="141">
      <c xmlns="http://schemas.openxmlformats.org/spreadsheetml/2006/main" r="B141" s="18" t="str">
        <f>IF(120&gt;MAX('18℃'!$Z$5:$Z$304),"",HYPERLINK("#'18℃'!C"&amp;(MATCH(120,'18℃'!$Z$5:$Z$304,0)+4),INDEX('18℃'!$C$5:$C$304,MATCH(120,'18℃'!$Z$5:$Z$304,0))))</f>
        <v/>
      </c>
      <c xmlns="http://schemas.openxmlformats.org/spreadsheetml/2006/main" r="C141" s="18" t="str">
        <f>IF(120&gt;MAX('4℃飯'!$Z$5:$Z$304),"",HYPERLINK("#'4℃飯'!C"&amp;(MATCH(120,'4℃飯'!$Z$5:$Z$304,0)+4),INDEX('4℃飯'!$C$5:$C$304,MATCH(120,'4℃飯'!$Z$5:$Z$304,0))))</f>
        <v/>
      </c>
      <c xmlns="http://schemas.openxmlformats.org/spreadsheetml/2006/main" r="D141" s="18" t="str">
        <f>IF(120&gt;MAX('4℃麵'!$AA$5:$AA$292),"",HYPERLINK("#'4℃麵'!D"&amp;(MATCH(120,'4℃麵'!$AA$5:$AA$292,0)+4),INDEX('4℃麵'!$D$5:$D$292,MATCH(120,'4℃麵'!$AA$5:$AA$292,0))))</f>
        <v/>
      </c>
      <c xmlns="http://schemas.openxmlformats.org/spreadsheetml/2006/main" r="E141" s="18" t="str">
        <f>IF(120&gt;MAX('4℃其他'!$AA$5:$AA$304),"",HYPERLINK("#'4℃其他'!D"&amp;(MATCH(120,'4℃其他'!$AA$5:$AA$304,0)+4),INDEX('4℃其他'!$D$5:$D$304,MATCH(120,'4℃其他'!$AA$5:$AA$304,0))))</f>
        <v/>
      </c>
      <c xmlns="http://schemas.openxmlformats.org/spreadsheetml/2006/main" r="F141" s="18" t="str">
        <f>IF(120&gt;MAX('冷凍品'!$AA$5:$AA$304),"",HYPERLINK("#'冷凍品'!D"&amp;(MATCH(120,'冷凍品'!$AA$5:$AA$304,0)+4),INDEX('冷凍品'!$D$5:$D$304,MATCH(120,'冷凍品'!$AA$5:$AA$304,0))))</f>
        <v/>
      </c>
    </row>
    <row r="142">
      <c xmlns="http://schemas.openxmlformats.org/spreadsheetml/2006/main" r="B142" s="18" t="str">
        <f>IF(121&gt;MAX('18℃'!$Z$5:$Z$304),"",HYPERLINK("#'18℃'!C"&amp;(MATCH(121,'18℃'!$Z$5:$Z$304,0)+4),INDEX('18℃'!$C$5:$C$304,MATCH(121,'18℃'!$Z$5:$Z$304,0))))</f>
        <v/>
      </c>
      <c xmlns="http://schemas.openxmlformats.org/spreadsheetml/2006/main" r="C142" s="18" t="str">
        <f>IF(121&gt;MAX('4℃飯'!$Z$5:$Z$304),"",HYPERLINK("#'4℃飯'!C"&amp;(MATCH(121,'4℃飯'!$Z$5:$Z$304,0)+4),INDEX('4℃飯'!$C$5:$C$304,MATCH(121,'4℃飯'!$Z$5:$Z$304,0))))</f>
        <v/>
      </c>
      <c xmlns="http://schemas.openxmlformats.org/spreadsheetml/2006/main" r="D142" s="18" t="str">
        <f>IF(121&gt;MAX('4℃麵'!$AA$5:$AA$292),"",HYPERLINK("#'4℃麵'!D"&amp;(MATCH(121,'4℃麵'!$AA$5:$AA$292,0)+4),INDEX('4℃麵'!$D$5:$D$292,MATCH(121,'4℃麵'!$AA$5:$AA$292,0))))</f>
        <v/>
      </c>
      <c xmlns="http://schemas.openxmlformats.org/spreadsheetml/2006/main" r="E142" s="18" t="str">
        <f>IF(121&gt;MAX('4℃其他'!$AA$5:$AA$304),"",HYPERLINK("#'4℃其他'!D"&amp;(MATCH(121,'4℃其他'!$AA$5:$AA$304,0)+4),INDEX('4℃其他'!$D$5:$D$304,MATCH(121,'4℃其他'!$AA$5:$AA$304,0))))</f>
        <v/>
      </c>
      <c xmlns="http://schemas.openxmlformats.org/spreadsheetml/2006/main" r="F142" s="18" t="str">
        <f>IF(121&gt;MAX('冷凍品'!$AA$5:$AA$304),"",HYPERLINK("#'冷凍品'!D"&amp;(MATCH(121,'冷凍品'!$AA$5:$AA$304,0)+4),INDEX('冷凍品'!$D$5:$D$304,MATCH(121,'冷凍品'!$AA$5:$AA$304,0))))</f>
        <v/>
      </c>
    </row>
    <row r="143">
      <c xmlns="http://schemas.openxmlformats.org/spreadsheetml/2006/main" r="B143" s="18" t="str">
        <f>IF(122&gt;MAX('18℃'!$Z$5:$Z$304),"",HYPERLINK("#'18℃'!C"&amp;(MATCH(122,'18℃'!$Z$5:$Z$304,0)+4),INDEX('18℃'!$C$5:$C$304,MATCH(122,'18℃'!$Z$5:$Z$304,0))))</f>
        <v/>
      </c>
      <c xmlns="http://schemas.openxmlformats.org/spreadsheetml/2006/main" r="C143" s="18" t="str">
        <f>IF(122&gt;MAX('4℃飯'!$Z$5:$Z$304),"",HYPERLINK("#'4℃飯'!C"&amp;(MATCH(122,'4℃飯'!$Z$5:$Z$304,0)+4),INDEX('4℃飯'!$C$5:$C$304,MATCH(122,'4℃飯'!$Z$5:$Z$304,0))))</f>
        <v/>
      </c>
      <c xmlns="http://schemas.openxmlformats.org/spreadsheetml/2006/main" r="D143" s="18" t="str">
        <f>IF(122&gt;MAX('4℃麵'!$AA$5:$AA$292),"",HYPERLINK("#'4℃麵'!D"&amp;(MATCH(122,'4℃麵'!$AA$5:$AA$292,0)+4),INDEX('4℃麵'!$D$5:$D$292,MATCH(122,'4℃麵'!$AA$5:$AA$292,0))))</f>
        <v/>
      </c>
      <c xmlns="http://schemas.openxmlformats.org/spreadsheetml/2006/main" r="E143" s="18" t="str">
        <f>IF(122&gt;MAX('4℃其他'!$AA$5:$AA$304),"",HYPERLINK("#'4℃其他'!D"&amp;(MATCH(122,'4℃其他'!$AA$5:$AA$304,0)+4),INDEX('4℃其他'!$D$5:$D$304,MATCH(122,'4℃其他'!$AA$5:$AA$304,0))))</f>
        <v/>
      </c>
      <c xmlns="http://schemas.openxmlformats.org/spreadsheetml/2006/main" r="F143" s="18" t="str">
        <f>IF(122&gt;MAX('冷凍品'!$AA$5:$AA$304),"",HYPERLINK("#'冷凍品'!D"&amp;(MATCH(122,'冷凍品'!$AA$5:$AA$304,0)+4),INDEX('冷凍品'!$D$5:$D$304,MATCH(122,'冷凍品'!$AA$5:$AA$304,0))))</f>
        <v/>
      </c>
    </row>
    <row r="144">
      <c xmlns="http://schemas.openxmlformats.org/spreadsheetml/2006/main" r="B144" s="18" t="str">
        <f>IF(123&gt;MAX('18℃'!$Z$5:$Z$304),"",HYPERLINK("#'18℃'!C"&amp;(MATCH(123,'18℃'!$Z$5:$Z$304,0)+4),INDEX('18℃'!$C$5:$C$304,MATCH(123,'18℃'!$Z$5:$Z$304,0))))</f>
        <v/>
      </c>
      <c xmlns="http://schemas.openxmlformats.org/spreadsheetml/2006/main" r="C144" s="18" t="str">
        <f>IF(123&gt;MAX('4℃飯'!$Z$5:$Z$304),"",HYPERLINK("#'4℃飯'!C"&amp;(MATCH(123,'4℃飯'!$Z$5:$Z$304,0)+4),INDEX('4℃飯'!$C$5:$C$304,MATCH(123,'4℃飯'!$Z$5:$Z$304,0))))</f>
        <v/>
      </c>
      <c xmlns="http://schemas.openxmlformats.org/spreadsheetml/2006/main" r="D144" s="18" t="str">
        <f>IF(123&gt;MAX('4℃麵'!$AA$5:$AA$292),"",HYPERLINK("#'4℃麵'!D"&amp;(MATCH(123,'4℃麵'!$AA$5:$AA$292,0)+4),INDEX('4℃麵'!$D$5:$D$292,MATCH(123,'4℃麵'!$AA$5:$AA$292,0))))</f>
        <v/>
      </c>
      <c xmlns="http://schemas.openxmlformats.org/spreadsheetml/2006/main" r="E144" s="18" t="str">
        <f>IF(123&gt;MAX('4℃其他'!$AA$5:$AA$304),"",HYPERLINK("#'4℃其他'!D"&amp;(MATCH(123,'4℃其他'!$AA$5:$AA$304,0)+4),INDEX('4℃其他'!$D$5:$D$304,MATCH(123,'4℃其他'!$AA$5:$AA$304,0))))</f>
        <v/>
      </c>
      <c xmlns="http://schemas.openxmlformats.org/spreadsheetml/2006/main" r="F144" s="18" t="str">
        <f>IF(123&gt;MAX('冷凍品'!$AA$5:$AA$304),"",HYPERLINK("#'冷凍品'!D"&amp;(MATCH(123,'冷凍品'!$AA$5:$AA$304,0)+4),INDEX('冷凍品'!$D$5:$D$304,MATCH(123,'冷凍品'!$AA$5:$AA$304,0))))</f>
        <v/>
      </c>
    </row>
    <row r="145">
      <c xmlns="http://schemas.openxmlformats.org/spreadsheetml/2006/main" r="B145" s="18" t="str">
        <f>IF(124&gt;MAX('18℃'!$Z$5:$Z$304),"",HYPERLINK("#'18℃'!C"&amp;(MATCH(124,'18℃'!$Z$5:$Z$304,0)+4),INDEX('18℃'!$C$5:$C$304,MATCH(124,'18℃'!$Z$5:$Z$304,0))))</f>
        <v/>
      </c>
      <c xmlns="http://schemas.openxmlformats.org/spreadsheetml/2006/main" r="C145" s="18" t="str">
        <f>IF(124&gt;MAX('4℃飯'!$Z$5:$Z$304),"",HYPERLINK("#'4℃飯'!C"&amp;(MATCH(124,'4℃飯'!$Z$5:$Z$304,0)+4),INDEX('4℃飯'!$C$5:$C$304,MATCH(124,'4℃飯'!$Z$5:$Z$304,0))))</f>
        <v/>
      </c>
      <c xmlns="http://schemas.openxmlformats.org/spreadsheetml/2006/main" r="D145" s="18" t="str">
        <f>IF(124&gt;MAX('4℃麵'!$AA$5:$AA$292),"",HYPERLINK("#'4℃麵'!D"&amp;(MATCH(124,'4℃麵'!$AA$5:$AA$292,0)+4),INDEX('4℃麵'!$D$5:$D$292,MATCH(124,'4℃麵'!$AA$5:$AA$292,0))))</f>
        <v/>
      </c>
      <c xmlns="http://schemas.openxmlformats.org/spreadsheetml/2006/main" r="E145" s="18" t="str">
        <f>IF(124&gt;MAX('4℃其他'!$AA$5:$AA$304),"",HYPERLINK("#'4℃其他'!D"&amp;(MATCH(124,'4℃其他'!$AA$5:$AA$304,0)+4),INDEX('4℃其他'!$D$5:$D$304,MATCH(124,'4℃其他'!$AA$5:$AA$304,0))))</f>
        <v/>
      </c>
      <c xmlns="http://schemas.openxmlformats.org/spreadsheetml/2006/main" r="F145" s="18" t="str">
        <f>IF(124&gt;MAX('冷凍品'!$AA$5:$AA$304),"",HYPERLINK("#'冷凍品'!D"&amp;(MATCH(124,'冷凍品'!$AA$5:$AA$304,0)+4),INDEX('冷凍品'!$D$5:$D$304,MATCH(124,'冷凍品'!$AA$5:$AA$304,0))))</f>
        <v/>
      </c>
    </row>
    <row r="146">
      <c xmlns="http://schemas.openxmlformats.org/spreadsheetml/2006/main" r="B146" s="18" t="str">
        <f>IF(125&gt;MAX('18℃'!$Z$5:$Z$304),"",HYPERLINK("#'18℃'!C"&amp;(MATCH(125,'18℃'!$Z$5:$Z$304,0)+4),INDEX('18℃'!$C$5:$C$304,MATCH(125,'18℃'!$Z$5:$Z$304,0))))</f>
        <v/>
      </c>
      <c xmlns="http://schemas.openxmlformats.org/spreadsheetml/2006/main" r="C146" s="18" t="str">
        <f>IF(125&gt;MAX('4℃飯'!$Z$5:$Z$304),"",HYPERLINK("#'4℃飯'!C"&amp;(MATCH(125,'4℃飯'!$Z$5:$Z$304,0)+4),INDEX('4℃飯'!$C$5:$C$304,MATCH(125,'4℃飯'!$Z$5:$Z$304,0))))</f>
        <v/>
      </c>
      <c xmlns="http://schemas.openxmlformats.org/spreadsheetml/2006/main" r="D146" s="18" t="str">
        <f>IF(125&gt;MAX('4℃麵'!$AA$5:$AA$292),"",HYPERLINK("#'4℃麵'!D"&amp;(MATCH(125,'4℃麵'!$AA$5:$AA$292,0)+4),INDEX('4℃麵'!$D$5:$D$292,MATCH(125,'4℃麵'!$AA$5:$AA$292,0))))</f>
        <v/>
      </c>
      <c xmlns="http://schemas.openxmlformats.org/spreadsheetml/2006/main" r="E146" s="18" t="str">
        <f>IF(125&gt;MAX('4℃其他'!$AA$5:$AA$304),"",HYPERLINK("#'4℃其他'!D"&amp;(MATCH(125,'4℃其他'!$AA$5:$AA$304,0)+4),INDEX('4℃其他'!$D$5:$D$304,MATCH(125,'4℃其他'!$AA$5:$AA$304,0))))</f>
        <v/>
      </c>
      <c xmlns="http://schemas.openxmlformats.org/spreadsheetml/2006/main" r="F146" s="18" t="str">
        <f>IF(125&gt;MAX('冷凍品'!$AA$5:$AA$304),"",HYPERLINK("#'冷凍品'!D"&amp;(MATCH(125,'冷凍品'!$AA$5:$AA$304,0)+4),INDEX('冷凍品'!$D$5:$D$304,MATCH(125,'冷凍品'!$AA$5:$AA$304,0))))</f>
        <v/>
      </c>
    </row>
    <row r="147">
      <c xmlns="http://schemas.openxmlformats.org/spreadsheetml/2006/main" r="B147" s="18" t="str">
        <f>IF(126&gt;MAX('18℃'!$Z$5:$Z$304),"",HYPERLINK("#'18℃'!C"&amp;(MATCH(126,'18℃'!$Z$5:$Z$304,0)+4),INDEX('18℃'!$C$5:$C$304,MATCH(126,'18℃'!$Z$5:$Z$304,0))))</f>
        <v/>
      </c>
      <c xmlns="http://schemas.openxmlformats.org/spreadsheetml/2006/main" r="C147" s="18" t="str">
        <f>IF(126&gt;MAX('4℃飯'!$Z$5:$Z$304),"",HYPERLINK("#'4℃飯'!C"&amp;(MATCH(126,'4℃飯'!$Z$5:$Z$304,0)+4),INDEX('4℃飯'!$C$5:$C$304,MATCH(126,'4℃飯'!$Z$5:$Z$304,0))))</f>
        <v/>
      </c>
      <c xmlns="http://schemas.openxmlformats.org/spreadsheetml/2006/main" r="D147" s="18" t="str">
        <f>IF(126&gt;MAX('4℃麵'!$AA$5:$AA$292),"",HYPERLINK("#'4℃麵'!D"&amp;(MATCH(126,'4℃麵'!$AA$5:$AA$292,0)+4),INDEX('4℃麵'!$D$5:$D$292,MATCH(126,'4℃麵'!$AA$5:$AA$292,0))))</f>
        <v/>
      </c>
      <c xmlns="http://schemas.openxmlformats.org/spreadsheetml/2006/main" r="E147" s="18" t="str">
        <f>IF(126&gt;MAX('4℃其他'!$AA$5:$AA$304),"",HYPERLINK("#'4℃其他'!D"&amp;(MATCH(126,'4℃其他'!$AA$5:$AA$304,0)+4),INDEX('4℃其他'!$D$5:$D$304,MATCH(126,'4℃其他'!$AA$5:$AA$304,0))))</f>
        <v/>
      </c>
      <c xmlns="http://schemas.openxmlformats.org/spreadsheetml/2006/main" r="F147" s="18" t="str">
        <f>IF(126&gt;MAX('冷凍品'!$AA$5:$AA$304),"",HYPERLINK("#'冷凍品'!D"&amp;(MATCH(126,'冷凍品'!$AA$5:$AA$304,0)+4),INDEX('冷凍品'!$D$5:$D$304,MATCH(126,'冷凍品'!$AA$5:$AA$304,0))))</f>
        <v/>
      </c>
    </row>
    <row r="148">
      <c xmlns="http://schemas.openxmlformats.org/spreadsheetml/2006/main" r="B148" s="18" t="str">
        <f>IF(127&gt;MAX('18℃'!$Z$5:$Z$304),"",HYPERLINK("#'18℃'!C"&amp;(MATCH(127,'18℃'!$Z$5:$Z$304,0)+4),INDEX('18℃'!$C$5:$C$304,MATCH(127,'18℃'!$Z$5:$Z$304,0))))</f>
        <v/>
      </c>
      <c xmlns="http://schemas.openxmlformats.org/spreadsheetml/2006/main" r="C148" s="18" t="str">
        <f>IF(127&gt;MAX('4℃飯'!$Z$5:$Z$304),"",HYPERLINK("#'4℃飯'!C"&amp;(MATCH(127,'4℃飯'!$Z$5:$Z$304,0)+4),INDEX('4℃飯'!$C$5:$C$304,MATCH(127,'4℃飯'!$Z$5:$Z$304,0))))</f>
        <v/>
      </c>
      <c xmlns="http://schemas.openxmlformats.org/spreadsheetml/2006/main" r="D148" s="18" t="str">
        <f>IF(127&gt;MAX('4℃麵'!$AA$5:$AA$292),"",HYPERLINK("#'4℃麵'!D"&amp;(MATCH(127,'4℃麵'!$AA$5:$AA$292,0)+4),INDEX('4℃麵'!$D$5:$D$292,MATCH(127,'4℃麵'!$AA$5:$AA$292,0))))</f>
        <v/>
      </c>
      <c xmlns="http://schemas.openxmlformats.org/spreadsheetml/2006/main" r="E148" s="18" t="str">
        <f>IF(127&gt;MAX('4℃其他'!$AA$5:$AA$304),"",HYPERLINK("#'4℃其他'!D"&amp;(MATCH(127,'4℃其他'!$AA$5:$AA$304,0)+4),INDEX('4℃其他'!$D$5:$D$304,MATCH(127,'4℃其他'!$AA$5:$AA$304,0))))</f>
        <v/>
      </c>
      <c xmlns="http://schemas.openxmlformats.org/spreadsheetml/2006/main" r="F148" s="18" t="str">
        <f>IF(127&gt;MAX('冷凍品'!$AA$5:$AA$304),"",HYPERLINK("#'冷凍品'!D"&amp;(MATCH(127,'冷凍品'!$AA$5:$AA$304,0)+4),INDEX('冷凍品'!$D$5:$D$304,MATCH(127,'冷凍品'!$AA$5:$AA$304,0))))</f>
        <v/>
      </c>
    </row>
    <row r="149">
      <c xmlns="http://schemas.openxmlformats.org/spreadsheetml/2006/main" r="B149" s="18" t="str">
        <f>IF(128&gt;MAX('18℃'!$Z$5:$Z$304),"",HYPERLINK("#'18℃'!C"&amp;(MATCH(128,'18℃'!$Z$5:$Z$304,0)+4),INDEX('18℃'!$C$5:$C$304,MATCH(128,'18℃'!$Z$5:$Z$304,0))))</f>
        <v/>
      </c>
      <c xmlns="http://schemas.openxmlformats.org/spreadsheetml/2006/main" r="C149" s="18" t="str">
        <f>IF(128&gt;MAX('4℃飯'!$Z$5:$Z$304),"",HYPERLINK("#'4℃飯'!C"&amp;(MATCH(128,'4℃飯'!$Z$5:$Z$304,0)+4),INDEX('4℃飯'!$C$5:$C$304,MATCH(128,'4℃飯'!$Z$5:$Z$304,0))))</f>
        <v/>
      </c>
      <c xmlns="http://schemas.openxmlformats.org/spreadsheetml/2006/main" r="D149" s="18" t="str">
        <f>IF(128&gt;MAX('4℃麵'!$AA$5:$AA$292),"",HYPERLINK("#'4℃麵'!D"&amp;(MATCH(128,'4℃麵'!$AA$5:$AA$292,0)+4),INDEX('4℃麵'!$D$5:$D$292,MATCH(128,'4℃麵'!$AA$5:$AA$292,0))))</f>
        <v/>
      </c>
      <c xmlns="http://schemas.openxmlformats.org/spreadsheetml/2006/main" r="E149" s="18" t="str">
        <f>IF(128&gt;MAX('4℃其他'!$AA$5:$AA$304),"",HYPERLINK("#'4℃其他'!D"&amp;(MATCH(128,'4℃其他'!$AA$5:$AA$304,0)+4),INDEX('4℃其他'!$D$5:$D$304,MATCH(128,'4℃其他'!$AA$5:$AA$304,0))))</f>
        <v/>
      </c>
      <c xmlns="http://schemas.openxmlformats.org/spreadsheetml/2006/main" r="F149" s="18" t="str">
        <f>IF(128&gt;MAX('冷凍品'!$AA$5:$AA$304),"",HYPERLINK("#'冷凍品'!D"&amp;(MATCH(128,'冷凍品'!$AA$5:$AA$304,0)+4),INDEX('冷凍品'!$D$5:$D$304,MATCH(128,'冷凍品'!$AA$5:$AA$304,0))))</f>
        <v/>
      </c>
    </row>
    <row r="150">
      <c xmlns="http://schemas.openxmlformats.org/spreadsheetml/2006/main" r="B150" s="18" t="str">
        <f>IF(129&gt;MAX('18℃'!$Z$5:$Z$304),"",HYPERLINK("#'18℃'!C"&amp;(MATCH(129,'18℃'!$Z$5:$Z$304,0)+4),INDEX('18℃'!$C$5:$C$304,MATCH(129,'18℃'!$Z$5:$Z$304,0))))</f>
        <v/>
      </c>
      <c xmlns="http://schemas.openxmlformats.org/spreadsheetml/2006/main" r="C150" s="18" t="str">
        <f>IF(129&gt;MAX('4℃飯'!$Z$5:$Z$304),"",HYPERLINK("#'4℃飯'!C"&amp;(MATCH(129,'4℃飯'!$Z$5:$Z$304,0)+4),INDEX('4℃飯'!$C$5:$C$304,MATCH(129,'4℃飯'!$Z$5:$Z$304,0))))</f>
        <v/>
      </c>
      <c xmlns="http://schemas.openxmlformats.org/spreadsheetml/2006/main" r="D150" s="18" t="str">
        <f>IF(129&gt;MAX('4℃麵'!$AA$5:$AA$292),"",HYPERLINK("#'4℃麵'!D"&amp;(MATCH(129,'4℃麵'!$AA$5:$AA$292,0)+4),INDEX('4℃麵'!$D$5:$D$292,MATCH(129,'4℃麵'!$AA$5:$AA$292,0))))</f>
        <v/>
      </c>
      <c xmlns="http://schemas.openxmlformats.org/spreadsheetml/2006/main" r="E150" s="18" t="str">
        <f>IF(129&gt;MAX('4℃其他'!$AA$5:$AA$304),"",HYPERLINK("#'4℃其他'!D"&amp;(MATCH(129,'4℃其他'!$AA$5:$AA$304,0)+4),INDEX('4℃其他'!$D$5:$D$304,MATCH(129,'4℃其他'!$AA$5:$AA$304,0))))</f>
        <v/>
      </c>
      <c xmlns="http://schemas.openxmlformats.org/spreadsheetml/2006/main" r="F150" s="18" t="str">
        <f>IF(129&gt;MAX('冷凍品'!$AA$5:$AA$304),"",HYPERLINK("#'冷凍品'!D"&amp;(MATCH(129,'冷凍品'!$AA$5:$AA$304,0)+4),INDEX('冷凍品'!$D$5:$D$304,MATCH(129,'冷凍品'!$AA$5:$AA$304,0))))</f>
        <v/>
      </c>
    </row>
    <row r="151">
      <c xmlns="http://schemas.openxmlformats.org/spreadsheetml/2006/main" r="B151" s="18" t="str">
        <f>IF(130&gt;MAX('18℃'!$Z$5:$Z$304),"",HYPERLINK("#'18℃'!C"&amp;(MATCH(130,'18℃'!$Z$5:$Z$304,0)+4),INDEX('18℃'!$C$5:$C$304,MATCH(130,'18℃'!$Z$5:$Z$304,0))))</f>
        <v/>
      </c>
      <c xmlns="http://schemas.openxmlformats.org/spreadsheetml/2006/main" r="C151" s="18" t="str">
        <f>IF(130&gt;MAX('4℃飯'!$Z$5:$Z$304),"",HYPERLINK("#'4℃飯'!C"&amp;(MATCH(130,'4℃飯'!$Z$5:$Z$304,0)+4),INDEX('4℃飯'!$C$5:$C$304,MATCH(130,'4℃飯'!$Z$5:$Z$304,0))))</f>
        <v/>
      </c>
      <c xmlns="http://schemas.openxmlformats.org/spreadsheetml/2006/main" r="D151" s="18" t="str">
        <f>IF(130&gt;MAX('4℃麵'!$AA$5:$AA$292),"",HYPERLINK("#'4℃麵'!D"&amp;(MATCH(130,'4℃麵'!$AA$5:$AA$292,0)+4),INDEX('4℃麵'!$D$5:$D$292,MATCH(130,'4℃麵'!$AA$5:$AA$292,0))))</f>
        <v/>
      </c>
      <c xmlns="http://schemas.openxmlformats.org/spreadsheetml/2006/main" r="E151" s="18" t="str">
        <f>IF(130&gt;MAX('4℃其他'!$AA$5:$AA$304),"",HYPERLINK("#'4℃其他'!D"&amp;(MATCH(130,'4℃其他'!$AA$5:$AA$304,0)+4),INDEX('4℃其他'!$D$5:$D$304,MATCH(130,'4℃其他'!$AA$5:$AA$304,0))))</f>
        <v/>
      </c>
      <c xmlns="http://schemas.openxmlformats.org/spreadsheetml/2006/main" r="F151" s="18" t="str">
        <f>IF(130&gt;MAX('冷凍品'!$AA$5:$AA$304),"",HYPERLINK("#'冷凍品'!D"&amp;(MATCH(130,'冷凍品'!$AA$5:$AA$304,0)+4),INDEX('冷凍品'!$D$5:$D$304,MATCH(130,'冷凍品'!$AA$5:$AA$304,0))))</f>
        <v/>
      </c>
    </row>
    <row r="152">
      <c xmlns="http://schemas.openxmlformats.org/spreadsheetml/2006/main" r="B152" s="18" t="str">
        <f>IF(131&gt;MAX('18℃'!$Z$5:$Z$304),"",HYPERLINK("#'18℃'!C"&amp;(MATCH(131,'18℃'!$Z$5:$Z$304,0)+4),INDEX('18℃'!$C$5:$C$304,MATCH(131,'18℃'!$Z$5:$Z$304,0))))</f>
        <v/>
      </c>
      <c xmlns="http://schemas.openxmlformats.org/spreadsheetml/2006/main" r="C152" s="18" t="str">
        <f>IF(131&gt;MAX('4℃飯'!$Z$5:$Z$304),"",HYPERLINK("#'4℃飯'!C"&amp;(MATCH(131,'4℃飯'!$Z$5:$Z$304,0)+4),INDEX('4℃飯'!$C$5:$C$304,MATCH(131,'4℃飯'!$Z$5:$Z$304,0))))</f>
        <v/>
      </c>
      <c xmlns="http://schemas.openxmlformats.org/spreadsheetml/2006/main" r="D152" s="18" t="str">
        <f>IF(131&gt;MAX('4℃麵'!$AA$5:$AA$292),"",HYPERLINK("#'4℃麵'!D"&amp;(MATCH(131,'4℃麵'!$AA$5:$AA$292,0)+4),INDEX('4℃麵'!$D$5:$D$292,MATCH(131,'4℃麵'!$AA$5:$AA$292,0))))</f>
        <v/>
      </c>
      <c xmlns="http://schemas.openxmlformats.org/spreadsheetml/2006/main" r="E152" s="18" t="str">
        <f>IF(131&gt;MAX('4℃其他'!$AA$5:$AA$304),"",HYPERLINK("#'4℃其他'!D"&amp;(MATCH(131,'4℃其他'!$AA$5:$AA$304,0)+4),INDEX('4℃其他'!$D$5:$D$304,MATCH(131,'4℃其他'!$AA$5:$AA$304,0))))</f>
        <v/>
      </c>
      <c xmlns="http://schemas.openxmlformats.org/spreadsheetml/2006/main" r="F152" s="18" t="str">
        <f>IF(131&gt;MAX('冷凍品'!$AA$5:$AA$304),"",HYPERLINK("#'冷凍品'!D"&amp;(MATCH(131,'冷凍品'!$AA$5:$AA$304,0)+4),INDEX('冷凍品'!$D$5:$D$304,MATCH(131,'冷凍品'!$AA$5:$AA$304,0))))</f>
        <v/>
      </c>
    </row>
    <row r="153">
      <c xmlns="http://schemas.openxmlformats.org/spreadsheetml/2006/main" r="B153" s="18" t="str">
        <f>IF(132&gt;MAX('18℃'!$Z$5:$Z$304),"",HYPERLINK("#'18℃'!C"&amp;(MATCH(132,'18℃'!$Z$5:$Z$304,0)+4),INDEX('18℃'!$C$5:$C$304,MATCH(132,'18℃'!$Z$5:$Z$304,0))))</f>
        <v/>
      </c>
      <c xmlns="http://schemas.openxmlformats.org/spreadsheetml/2006/main" r="C153" s="18" t="str">
        <f>IF(132&gt;MAX('4℃飯'!$Z$5:$Z$304),"",HYPERLINK("#'4℃飯'!C"&amp;(MATCH(132,'4℃飯'!$Z$5:$Z$304,0)+4),INDEX('4℃飯'!$C$5:$C$304,MATCH(132,'4℃飯'!$Z$5:$Z$304,0))))</f>
        <v/>
      </c>
      <c xmlns="http://schemas.openxmlformats.org/spreadsheetml/2006/main" r="D153" s="18" t="str">
        <f>IF(132&gt;MAX('4℃麵'!$AA$5:$AA$292),"",HYPERLINK("#'4℃麵'!D"&amp;(MATCH(132,'4℃麵'!$AA$5:$AA$292,0)+4),INDEX('4℃麵'!$D$5:$D$292,MATCH(132,'4℃麵'!$AA$5:$AA$292,0))))</f>
        <v/>
      </c>
      <c xmlns="http://schemas.openxmlformats.org/spreadsheetml/2006/main" r="E153" s="18" t="str">
        <f>IF(132&gt;MAX('4℃其他'!$AA$5:$AA$304),"",HYPERLINK("#'4℃其他'!D"&amp;(MATCH(132,'4℃其他'!$AA$5:$AA$304,0)+4),INDEX('4℃其他'!$D$5:$D$304,MATCH(132,'4℃其他'!$AA$5:$AA$304,0))))</f>
        <v/>
      </c>
      <c xmlns="http://schemas.openxmlformats.org/spreadsheetml/2006/main" r="F153" s="18" t="str">
        <f>IF(132&gt;MAX('冷凍品'!$AA$5:$AA$304),"",HYPERLINK("#'冷凍品'!D"&amp;(MATCH(132,'冷凍品'!$AA$5:$AA$304,0)+4),INDEX('冷凍品'!$D$5:$D$304,MATCH(132,'冷凍品'!$AA$5:$AA$304,0))))</f>
        <v/>
      </c>
    </row>
    <row r="154">
      <c xmlns="http://schemas.openxmlformats.org/spreadsheetml/2006/main" r="B154" s="18" t="str">
        <f>IF(133&gt;MAX('18℃'!$Z$5:$Z$304),"",HYPERLINK("#'18℃'!C"&amp;(MATCH(133,'18℃'!$Z$5:$Z$304,0)+4),INDEX('18℃'!$C$5:$C$304,MATCH(133,'18℃'!$Z$5:$Z$304,0))))</f>
        <v/>
      </c>
      <c xmlns="http://schemas.openxmlformats.org/spreadsheetml/2006/main" r="C154" s="18" t="str">
        <f>IF(133&gt;MAX('4℃飯'!$Z$5:$Z$304),"",HYPERLINK("#'4℃飯'!C"&amp;(MATCH(133,'4℃飯'!$Z$5:$Z$304,0)+4),INDEX('4℃飯'!$C$5:$C$304,MATCH(133,'4℃飯'!$Z$5:$Z$304,0))))</f>
        <v/>
      </c>
      <c xmlns="http://schemas.openxmlformats.org/spreadsheetml/2006/main" r="D154" s="18" t="str">
        <f>IF(133&gt;MAX('4℃麵'!$AA$5:$AA$292),"",HYPERLINK("#'4℃麵'!D"&amp;(MATCH(133,'4℃麵'!$AA$5:$AA$292,0)+4),INDEX('4℃麵'!$D$5:$D$292,MATCH(133,'4℃麵'!$AA$5:$AA$292,0))))</f>
        <v/>
      </c>
      <c xmlns="http://schemas.openxmlformats.org/spreadsheetml/2006/main" r="E154" s="18" t="str">
        <f>IF(133&gt;MAX('4℃其他'!$AA$5:$AA$304),"",HYPERLINK("#'4℃其他'!D"&amp;(MATCH(133,'4℃其他'!$AA$5:$AA$304,0)+4),INDEX('4℃其他'!$D$5:$D$304,MATCH(133,'4℃其他'!$AA$5:$AA$304,0))))</f>
        <v/>
      </c>
      <c xmlns="http://schemas.openxmlformats.org/spreadsheetml/2006/main" r="F154" s="18" t="str">
        <f>IF(133&gt;MAX('冷凍品'!$AA$5:$AA$304),"",HYPERLINK("#'冷凍品'!D"&amp;(MATCH(133,'冷凍品'!$AA$5:$AA$304,0)+4),INDEX('冷凍品'!$D$5:$D$304,MATCH(133,'冷凍品'!$AA$5:$AA$304,0))))</f>
        <v/>
      </c>
    </row>
    <row r="155">
      <c xmlns="http://schemas.openxmlformats.org/spreadsheetml/2006/main" r="B155" s="18" t="str">
        <f>IF(134&gt;MAX('18℃'!$Z$5:$Z$304),"",HYPERLINK("#'18℃'!C"&amp;(MATCH(134,'18℃'!$Z$5:$Z$304,0)+4),INDEX('18℃'!$C$5:$C$304,MATCH(134,'18℃'!$Z$5:$Z$304,0))))</f>
        <v/>
      </c>
      <c xmlns="http://schemas.openxmlformats.org/spreadsheetml/2006/main" r="C155" s="18" t="str">
        <f>IF(134&gt;MAX('4℃飯'!$Z$5:$Z$304),"",HYPERLINK("#'4℃飯'!C"&amp;(MATCH(134,'4℃飯'!$Z$5:$Z$304,0)+4),INDEX('4℃飯'!$C$5:$C$304,MATCH(134,'4℃飯'!$Z$5:$Z$304,0))))</f>
        <v/>
      </c>
      <c xmlns="http://schemas.openxmlformats.org/spreadsheetml/2006/main" r="D155" s="18" t="str">
        <f>IF(134&gt;MAX('4℃麵'!$AA$5:$AA$292),"",HYPERLINK("#'4℃麵'!D"&amp;(MATCH(134,'4℃麵'!$AA$5:$AA$292,0)+4),INDEX('4℃麵'!$D$5:$D$292,MATCH(134,'4℃麵'!$AA$5:$AA$292,0))))</f>
        <v/>
      </c>
      <c xmlns="http://schemas.openxmlformats.org/spreadsheetml/2006/main" r="E155" s="18" t="str">
        <f>IF(134&gt;MAX('4℃其他'!$AA$5:$AA$304),"",HYPERLINK("#'4℃其他'!D"&amp;(MATCH(134,'4℃其他'!$AA$5:$AA$304,0)+4),INDEX('4℃其他'!$D$5:$D$304,MATCH(134,'4℃其他'!$AA$5:$AA$304,0))))</f>
        <v/>
      </c>
      <c xmlns="http://schemas.openxmlformats.org/spreadsheetml/2006/main" r="F155" s="18" t="str">
        <f>IF(134&gt;MAX('冷凍品'!$AA$5:$AA$304),"",HYPERLINK("#'冷凍品'!D"&amp;(MATCH(134,'冷凍品'!$AA$5:$AA$304,0)+4),INDEX('冷凍品'!$D$5:$D$304,MATCH(134,'冷凍品'!$AA$5:$AA$304,0))))</f>
        <v/>
      </c>
    </row>
    <row r="156">
      <c xmlns="http://schemas.openxmlformats.org/spreadsheetml/2006/main" r="B156" s="18" t="str">
        <f>IF(135&gt;MAX('18℃'!$Z$5:$Z$304),"",HYPERLINK("#'18℃'!C"&amp;(MATCH(135,'18℃'!$Z$5:$Z$304,0)+4),INDEX('18℃'!$C$5:$C$304,MATCH(135,'18℃'!$Z$5:$Z$304,0))))</f>
        <v/>
      </c>
      <c xmlns="http://schemas.openxmlformats.org/spreadsheetml/2006/main" r="C156" s="18" t="str">
        <f>IF(135&gt;MAX('4℃飯'!$Z$5:$Z$304),"",HYPERLINK("#'4℃飯'!C"&amp;(MATCH(135,'4℃飯'!$Z$5:$Z$304,0)+4),INDEX('4℃飯'!$C$5:$C$304,MATCH(135,'4℃飯'!$Z$5:$Z$304,0))))</f>
        <v/>
      </c>
      <c xmlns="http://schemas.openxmlformats.org/spreadsheetml/2006/main" r="D156" s="18" t="str">
        <f>IF(135&gt;MAX('4℃麵'!$AA$5:$AA$292),"",HYPERLINK("#'4℃麵'!D"&amp;(MATCH(135,'4℃麵'!$AA$5:$AA$292,0)+4),INDEX('4℃麵'!$D$5:$D$292,MATCH(135,'4℃麵'!$AA$5:$AA$292,0))))</f>
        <v/>
      </c>
      <c xmlns="http://schemas.openxmlformats.org/spreadsheetml/2006/main" r="E156" s="18" t="str">
        <f>IF(135&gt;MAX('4℃其他'!$AA$5:$AA$304),"",HYPERLINK("#'4℃其他'!D"&amp;(MATCH(135,'4℃其他'!$AA$5:$AA$304,0)+4),INDEX('4℃其他'!$D$5:$D$304,MATCH(135,'4℃其他'!$AA$5:$AA$304,0))))</f>
        <v/>
      </c>
      <c xmlns="http://schemas.openxmlformats.org/spreadsheetml/2006/main" r="F156" s="18" t="str">
        <f>IF(135&gt;MAX('冷凍品'!$AA$5:$AA$304),"",HYPERLINK("#'冷凍品'!D"&amp;(MATCH(135,'冷凍品'!$AA$5:$AA$304,0)+4),INDEX('冷凍品'!$D$5:$D$304,MATCH(135,'冷凍品'!$AA$5:$AA$304,0))))</f>
        <v/>
      </c>
    </row>
    <row r="157">
      <c xmlns="http://schemas.openxmlformats.org/spreadsheetml/2006/main" r="B157" s="18" t="str">
        <f>IF(136&gt;MAX('18℃'!$Z$5:$Z$304),"",HYPERLINK("#'18℃'!C"&amp;(MATCH(136,'18℃'!$Z$5:$Z$304,0)+4),INDEX('18℃'!$C$5:$C$304,MATCH(136,'18℃'!$Z$5:$Z$304,0))))</f>
        <v/>
      </c>
      <c xmlns="http://schemas.openxmlformats.org/spreadsheetml/2006/main" r="C157" s="18" t="str">
        <f>IF(136&gt;MAX('4℃飯'!$Z$5:$Z$304),"",HYPERLINK("#'4℃飯'!C"&amp;(MATCH(136,'4℃飯'!$Z$5:$Z$304,0)+4),INDEX('4℃飯'!$C$5:$C$304,MATCH(136,'4℃飯'!$Z$5:$Z$304,0))))</f>
        <v/>
      </c>
      <c xmlns="http://schemas.openxmlformats.org/spreadsheetml/2006/main" r="D157" s="18" t="str">
        <f>IF(136&gt;MAX('4℃麵'!$AA$5:$AA$292),"",HYPERLINK("#'4℃麵'!D"&amp;(MATCH(136,'4℃麵'!$AA$5:$AA$292,0)+4),INDEX('4℃麵'!$D$5:$D$292,MATCH(136,'4℃麵'!$AA$5:$AA$292,0))))</f>
        <v/>
      </c>
      <c xmlns="http://schemas.openxmlformats.org/spreadsheetml/2006/main" r="E157" s="18" t="str">
        <f>IF(136&gt;MAX('4℃其他'!$AA$5:$AA$304),"",HYPERLINK("#'4℃其他'!D"&amp;(MATCH(136,'4℃其他'!$AA$5:$AA$304,0)+4),INDEX('4℃其他'!$D$5:$D$304,MATCH(136,'4℃其他'!$AA$5:$AA$304,0))))</f>
        <v/>
      </c>
      <c xmlns="http://schemas.openxmlformats.org/spreadsheetml/2006/main" r="F157" s="18" t="str">
        <f>IF(136&gt;MAX('冷凍品'!$AA$5:$AA$304),"",HYPERLINK("#'冷凍品'!D"&amp;(MATCH(136,'冷凍品'!$AA$5:$AA$304,0)+4),INDEX('冷凍品'!$D$5:$D$304,MATCH(136,'冷凍品'!$AA$5:$AA$304,0))))</f>
        <v/>
      </c>
    </row>
    <row r="158">
      <c xmlns="http://schemas.openxmlformats.org/spreadsheetml/2006/main" r="B158" s="18" t="str">
        <f>IF(137&gt;MAX('18℃'!$Z$5:$Z$304),"",HYPERLINK("#'18℃'!C"&amp;(MATCH(137,'18℃'!$Z$5:$Z$304,0)+4),INDEX('18℃'!$C$5:$C$304,MATCH(137,'18℃'!$Z$5:$Z$304,0))))</f>
        <v/>
      </c>
      <c xmlns="http://schemas.openxmlformats.org/spreadsheetml/2006/main" r="C158" s="18" t="str">
        <f>IF(137&gt;MAX('4℃飯'!$Z$5:$Z$304),"",HYPERLINK("#'4℃飯'!C"&amp;(MATCH(137,'4℃飯'!$Z$5:$Z$304,0)+4),INDEX('4℃飯'!$C$5:$C$304,MATCH(137,'4℃飯'!$Z$5:$Z$304,0))))</f>
        <v/>
      </c>
      <c xmlns="http://schemas.openxmlformats.org/spreadsheetml/2006/main" r="D158" s="18" t="str">
        <f>IF(137&gt;MAX('4℃麵'!$AA$5:$AA$292),"",HYPERLINK("#'4℃麵'!D"&amp;(MATCH(137,'4℃麵'!$AA$5:$AA$292,0)+4),INDEX('4℃麵'!$D$5:$D$292,MATCH(137,'4℃麵'!$AA$5:$AA$292,0))))</f>
        <v/>
      </c>
      <c xmlns="http://schemas.openxmlformats.org/spreadsheetml/2006/main" r="E158" s="18" t="str">
        <f>IF(137&gt;MAX('4℃其他'!$AA$5:$AA$304),"",HYPERLINK("#'4℃其他'!D"&amp;(MATCH(137,'4℃其他'!$AA$5:$AA$304,0)+4),INDEX('4℃其他'!$D$5:$D$304,MATCH(137,'4℃其他'!$AA$5:$AA$304,0))))</f>
        <v/>
      </c>
      <c xmlns="http://schemas.openxmlformats.org/spreadsheetml/2006/main" r="F158" s="18" t="str">
        <f>IF(137&gt;MAX('冷凍品'!$AA$5:$AA$304),"",HYPERLINK("#'冷凍品'!D"&amp;(MATCH(137,'冷凍品'!$AA$5:$AA$304,0)+4),INDEX('冷凍品'!$D$5:$D$304,MATCH(137,'冷凍品'!$AA$5:$AA$304,0))))</f>
        <v/>
      </c>
    </row>
    <row r="159">
      <c xmlns="http://schemas.openxmlformats.org/spreadsheetml/2006/main" r="B159" s="18" t="str">
        <f>IF(138&gt;MAX('18℃'!$Z$5:$Z$304),"",HYPERLINK("#'18℃'!C"&amp;(MATCH(138,'18℃'!$Z$5:$Z$304,0)+4),INDEX('18℃'!$C$5:$C$304,MATCH(138,'18℃'!$Z$5:$Z$304,0))))</f>
        <v/>
      </c>
      <c xmlns="http://schemas.openxmlformats.org/spreadsheetml/2006/main" r="C159" s="18" t="str">
        <f>IF(138&gt;MAX('4℃飯'!$Z$5:$Z$304),"",HYPERLINK("#'4℃飯'!C"&amp;(MATCH(138,'4℃飯'!$Z$5:$Z$304,0)+4),INDEX('4℃飯'!$C$5:$C$304,MATCH(138,'4℃飯'!$Z$5:$Z$304,0))))</f>
        <v/>
      </c>
      <c xmlns="http://schemas.openxmlformats.org/spreadsheetml/2006/main" r="D159" s="18" t="str">
        <f>IF(138&gt;MAX('4℃麵'!$AA$5:$AA$292),"",HYPERLINK("#'4℃麵'!D"&amp;(MATCH(138,'4℃麵'!$AA$5:$AA$292,0)+4),INDEX('4℃麵'!$D$5:$D$292,MATCH(138,'4℃麵'!$AA$5:$AA$292,0))))</f>
        <v/>
      </c>
      <c xmlns="http://schemas.openxmlformats.org/spreadsheetml/2006/main" r="E159" s="18" t="str">
        <f>IF(138&gt;MAX('4℃其他'!$AA$5:$AA$304),"",HYPERLINK("#'4℃其他'!D"&amp;(MATCH(138,'4℃其他'!$AA$5:$AA$304,0)+4),INDEX('4℃其他'!$D$5:$D$304,MATCH(138,'4℃其他'!$AA$5:$AA$304,0))))</f>
        <v/>
      </c>
      <c xmlns="http://schemas.openxmlformats.org/spreadsheetml/2006/main" r="F159" s="18" t="str">
        <f>IF(138&gt;MAX('冷凍品'!$AA$5:$AA$304),"",HYPERLINK("#'冷凍品'!D"&amp;(MATCH(138,'冷凍品'!$AA$5:$AA$304,0)+4),INDEX('冷凍品'!$D$5:$D$304,MATCH(138,'冷凍品'!$AA$5:$AA$304,0))))</f>
        <v/>
      </c>
    </row>
    <row r="160">
      <c xmlns="http://schemas.openxmlformats.org/spreadsheetml/2006/main" r="B160" s="18" t="str">
        <f>IF(139&gt;MAX('18℃'!$Z$5:$Z$304),"",HYPERLINK("#'18℃'!C"&amp;(MATCH(139,'18℃'!$Z$5:$Z$304,0)+4),INDEX('18℃'!$C$5:$C$304,MATCH(139,'18℃'!$Z$5:$Z$304,0))))</f>
        <v/>
      </c>
      <c xmlns="http://schemas.openxmlformats.org/spreadsheetml/2006/main" r="C160" s="18" t="str">
        <f>IF(139&gt;MAX('4℃飯'!$Z$5:$Z$304),"",HYPERLINK("#'4℃飯'!C"&amp;(MATCH(139,'4℃飯'!$Z$5:$Z$304,0)+4),INDEX('4℃飯'!$C$5:$C$304,MATCH(139,'4℃飯'!$Z$5:$Z$304,0))))</f>
        <v/>
      </c>
      <c xmlns="http://schemas.openxmlformats.org/spreadsheetml/2006/main" r="D160" s="18" t="str">
        <f>IF(139&gt;MAX('4℃麵'!$AA$5:$AA$292),"",HYPERLINK("#'4℃麵'!D"&amp;(MATCH(139,'4℃麵'!$AA$5:$AA$292,0)+4),INDEX('4℃麵'!$D$5:$D$292,MATCH(139,'4℃麵'!$AA$5:$AA$292,0))))</f>
        <v/>
      </c>
      <c xmlns="http://schemas.openxmlformats.org/spreadsheetml/2006/main" r="E160" s="18" t="str">
        <f>IF(139&gt;MAX('4℃其他'!$AA$5:$AA$304),"",HYPERLINK("#'4℃其他'!D"&amp;(MATCH(139,'4℃其他'!$AA$5:$AA$304,0)+4),INDEX('4℃其他'!$D$5:$D$304,MATCH(139,'4℃其他'!$AA$5:$AA$304,0))))</f>
        <v/>
      </c>
      <c xmlns="http://schemas.openxmlformats.org/spreadsheetml/2006/main" r="F160" s="18" t="str">
        <f>IF(139&gt;MAX('冷凍品'!$AA$5:$AA$304),"",HYPERLINK("#'冷凍品'!D"&amp;(MATCH(139,'冷凍品'!$AA$5:$AA$304,0)+4),INDEX('冷凍品'!$D$5:$D$304,MATCH(139,'冷凍品'!$AA$5:$AA$304,0))))</f>
        <v/>
      </c>
    </row>
    <row r="161">
      <c xmlns="http://schemas.openxmlformats.org/spreadsheetml/2006/main" r="B161" s="18" t="str">
        <f>IF(140&gt;MAX('18℃'!$Z$5:$Z$304),"",HYPERLINK("#'18℃'!C"&amp;(MATCH(140,'18℃'!$Z$5:$Z$304,0)+4),INDEX('18℃'!$C$5:$C$304,MATCH(140,'18℃'!$Z$5:$Z$304,0))))</f>
        <v/>
      </c>
      <c xmlns="http://schemas.openxmlformats.org/spreadsheetml/2006/main" r="C161" s="18" t="str">
        <f>IF(140&gt;MAX('4℃飯'!$Z$5:$Z$304),"",HYPERLINK("#'4℃飯'!C"&amp;(MATCH(140,'4℃飯'!$Z$5:$Z$304,0)+4),INDEX('4℃飯'!$C$5:$C$304,MATCH(140,'4℃飯'!$Z$5:$Z$304,0))))</f>
        <v/>
      </c>
      <c xmlns="http://schemas.openxmlformats.org/spreadsheetml/2006/main" r="D161" s="18" t="str">
        <f>IF(140&gt;MAX('4℃麵'!$AA$5:$AA$292),"",HYPERLINK("#'4℃麵'!D"&amp;(MATCH(140,'4℃麵'!$AA$5:$AA$292,0)+4),INDEX('4℃麵'!$D$5:$D$292,MATCH(140,'4℃麵'!$AA$5:$AA$292,0))))</f>
        <v/>
      </c>
      <c xmlns="http://schemas.openxmlformats.org/spreadsheetml/2006/main" r="E161" s="18" t="str">
        <f>IF(140&gt;MAX('4℃其他'!$AA$5:$AA$304),"",HYPERLINK("#'4℃其他'!D"&amp;(MATCH(140,'4℃其他'!$AA$5:$AA$304,0)+4),INDEX('4℃其他'!$D$5:$D$304,MATCH(140,'4℃其他'!$AA$5:$AA$304,0))))</f>
        <v/>
      </c>
      <c xmlns="http://schemas.openxmlformats.org/spreadsheetml/2006/main" r="F161" s="18" t="str">
        <f>IF(140&gt;MAX('冷凍品'!$AA$5:$AA$304),"",HYPERLINK("#'冷凍品'!D"&amp;(MATCH(140,'冷凍品'!$AA$5:$AA$304,0)+4),INDEX('冷凍品'!$D$5:$D$304,MATCH(140,'冷凍品'!$AA$5:$AA$304,0))))</f>
        <v/>
      </c>
    </row>
    <row r="162">
      <c xmlns="http://schemas.openxmlformats.org/spreadsheetml/2006/main" r="B162" s="18" t="str">
        <f>IF(141&gt;MAX('18℃'!$Z$5:$Z$304),"",HYPERLINK("#'18℃'!C"&amp;(MATCH(141,'18℃'!$Z$5:$Z$304,0)+4),INDEX('18℃'!$C$5:$C$304,MATCH(141,'18℃'!$Z$5:$Z$304,0))))</f>
        <v/>
      </c>
      <c xmlns="http://schemas.openxmlformats.org/spreadsheetml/2006/main" r="C162" s="18" t="str">
        <f>IF(141&gt;MAX('4℃飯'!$Z$5:$Z$304),"",HYPERLINK("#'4℃飯'!C"&amp;(MATCH(141,'4℃飯'!$Z$5:$Z$304,0)+4),INDEX('4℃飯'!$C$5:$C$304,MATCH(141,'4℃飯'!$Z$5:$Z$304,0))))</f>
        <v/>
      </c>
      <c xmlns="http://schemas.openxmlformats.org/spreadsheetml/2006/main" r="D162" s="18" t="str">
        <f>IF(141&gt;MAX('4℃麵'!$AA$5:$AA$292),"",HYPERLINK("#'4℃麵'!D"&amp;(MATCH(141,'4℃麵'!$AA$5:$AA$292,0)+4),INDEX('4℃麵'!$D$5:$D$292,MATCH(141,'4℃麵'!$AA$5:$AA$292,0))))</f>
        <v/>
      </c>
      <c xmlns="http://schemas.openxmlformats.org/spreadsheetml/2006/main" r="E162" s="18" t="str">
        <f>IF(141&gt;MAX('4℃其他'!$AA$5:$AA$304),"",HYPERLINK("#'4℃其他'!D"&amp;(MATCH(141,'4℃其他'!$AA$5:$AA$304,0)+4),INDEX('4℃其他'!$D$5:$D$304,MATCH(141,'4℃其他'!$AA$5:$AA$304,0))))</f>
        <v/>
      </c>
      <c xmlns="http://schemas.openxmlformats.org/spreadsheetml/2006/main" r="F162" s="18" t="str">
        <f>IF(141&gt;MAX('冷凍品'!$AA$5:$AA$304),"",HYPERLINK("#'冷凍品'!D"&amp;(MATCH(141,'冷凍品'!$AA$5:$AA$304,0)+4),INDEX('冷凍品'!$D$5:$D$304,MATCH(141,'冷凍品'!$AA$5:$AA$304,0))))</f>
        <v/>
      </c>
    </row>
    <row r="163">
      <c xmlns="http://schemas.openxmlformats.org/spreadsheetml/2006/main" r="B163" s="18" t="str">
        <f>IF(142&gt;MAX('18℃'!$Z$5:$Z$304),"",HYPERLINK("#'18℃'!C"&amp;(MATCH(142,'18℃'!$Z$5:$Z$304,0)+4),INDEX('18℃'!$C$5:$C$304,MATCH(142,'18℃'!$Z$5:$Z$304,0))))</f>
        <v/>
      </c>
      <c xmlns="http://schemas.openxmlformats.org/spreadsheetml/2006/main" r="C163" s="18" t="str">
        <f>IF(142&gt;MAX('4℃飯'!$Z$5:$Z$304),"",HYPERLINK("#'4℃飯'!C"&amp;(MATCH(142,'4℃飯'!$Z$5:$Z$304,0)+4),INDEX('4℃飯'!$C$5:$C$304,MATCH(142,'4℃飯'!$Z$5:$Z$304,0))))</f>
        <v/>
      </c>
      <c xmlns="http://schemas.openxmlformats.org/spreadsheetml/2006/main" r="D163" s="18" t="str">
        <f>IF(142&gt;MAX('4℃麵'!$AA$5:$AA$292),"",HYPERLINK("#'4℃麵'!D"&amp;(MATCH(142,'4℃麵'!$AA$5:$AA$292,0)+4),INDEX('4℃麵'!$D$5:$D$292,MATCH(142,'4℃麵'!$AA$5:$AA$292,0))))</f>
        <v/>
      </c>
      <c xmlns="http://schemas.openxmlformats.org/spreadsheetml/2006/main" r="E163" s="18" t="str">
        <f>IF(142&gt;MAX('4℃其他'!$AA$5:$AA$304),"",HYPERLINK("#'4℃其他'!D"&amp;(MATCH(142,'4℃其他'!$AA$5:$AA$304,0)+4),INDEX('4℃其他'!$D$5:$D$304,MATCH(142,'4℃其他'!$AA$5:$AA$304,0))))</f>
        <v/>
      </c>
      <c xmlns="http://schemas.openxmlformats.org/spreadsheetml/2006/main" r="F163" s="18" t="str">
        <f>IF(142&gt;MAX('冷凍品'!$AA$5:$AA$304),"",HYPERLINK("#'冷凍品'!D"&amp;(MATCH(142,'冷凍品'!$AA$5:$AA$304,0)+4),INDEX('冷凍品'!$D$5:$D$304,MATCH(142,'冷凍品'!$AA$5:$AA$304,0))))</f>
        <v/>
      </c>
    </row>
    <row r="164">
      <c xmlns="http://schemas.openxmlformats.org/spreadsheetml/2006/main" r="B164" s="18" t="str">
        <f>IF(143&gt;MAX('18℃'!$Z$5:$Z$304),"",HYPERLINK("#'18℃'!C"&amp;(MATCH(143,'18℃'!$Z$5:$Z$304,0)+4),INDEX('18℃'!$C$5:$C$304,MATCH(143,'18℃'!$Z$5:$Z$304,0))))</f>
        <v/>
      </c>
      <c xmlns="http://schemas.openxmlformats.org/spreadsheetml/2006/main" r="C164" s="18" t="str">
        <f>IF(143&gt;MAX('4℃飯'!$Z$5:$Z$304),"",HYPERLINK("#'4℃飯'!C"&amp;(MATCH(143,'4℃飯'!$Z$5:$Z$304,0)+4),INDEX('4℃飯'!$C$5:$C$304,MATCH(143,'4℃飯'!$Z$5:$Z$304,0))))</f>
        <v/>
      </c>
      <c xmlns="http://schemas.openxmlformats.org/spreadsheetml/2006/main" r="D164" s="18" t="str">
        <f>IF(143&gt;MAX('4℃麵'!$AA$5:$AA$292),"",HYPERLINK("#'4℃麵'!D"&amp;(MATCH(143,'4℃麵'!$AA$5:$AA$292,0)+4),INDEX('4℃麵'!$D$5:$D$292,MATCH(143,'4℃麵'!$AA$5:$AA$292,0))))</f>
        <v/>
      </c>
      <c xmlns="http://schemas.openxmlformats.org/spreadsheetml/2006/main" r="E164" s="18" t="str">
        <f>IF(143&gt;MAX('4℃其他'!$AA$5:$AA$304),"",HYPERLINK("#'4℃其他'!D"&amp;(MATCH(143,'4℃其他'!$AA$5:$AA$304,0)+4),INDEX('4℃其他'!$D$5:$D$304,MATCH(143,'4℃其他'!$AA$5:$AA$304,0))))</f>
        <v/>
      </c>
      <c xmlns="http://schemas.openxmlformats.org/spreadsheetml/2006/main" r="F164" s="18" t="str">
        <f>IF(143&gt;MAX('冷凍品'!$AA$5:$AA$304),"",HYPERLINK("#'冷凍品'!D"&amp;(MATCH(143,'冷凍品'!$AA$5:$AA$304,0)+4),INDEX('冷凍品'!$D$5:$D$304,MATCH(143,'冷凍品'!$AA$5:$AA$304,0))))</f>
        <v/>
      </c>
    </row>
    <row r="165">
      <c xmlns="http://schemas.openxmlformats.org/spreadsheetml/2006/main" r="B165" s="18" t="str">
        <f>IF(144&gt;MAX('18℃'!$Z$5:$Z$304),"",HYPERLINK("#'18℃'!C"&amp;(MATCH(144,'18℃'!$Z$5:$Z$304,0)+4),INDEX('18℃'!$C$5:$C$304,MATCH(144,'18℃'!$Z$5:$Z$304,0))))</f>
        <v/>
      </c>
      <c xmlns="http://schemas.openxmlformats.org/spreadsheetml/2006/main" r="C165" s="18" t="str">
        <f>IF(144&gt;MAX('4℃飯'!$Z$5:$Z$304),"",HYPERLINK("#'4℃飯'!C"&amp;(MATCH(144,'4℃飯'!$Z$5:$Z$304,0)+4),INDEX('4℃飯'!$C$5:$C$304,MATCH(144,'4℃飯'!$Z$5:$Z$304,0))))</f>
        <v/>
      </c>
      <c xmlns="http://schemas.openxmlformats.org/spreadsheetml/2006/main" r="D165" s="18" t="str">
        <f>IF(144&gt;MAX('4℃麵'!$AA$5:$AA$292),"",HYPERLINK("#'4℃麵'!D"&amp;(MATCH(144,'4℃麵'!$AA$5:$AA$292,0)+4),INDEX('4℃麵'!$D$5:$D$292,MATCH(144,'4℃麵'!$AA$5:$AA$292,0))))</f>
        <v/>
      </c>
      <c xmlns="http://schemas.openxmlformats.org/spreadsheetml/2006/main" r="E165" s="18" t="str">
        <f>IF(144&gt;MAX('4℃其他'!$AA$5:$AA$304),"",HYPERLINK("#'4℃其他'!D"&amp;(MATCH(144,'4℃其他'!$AA$5:$AA$304,0)+4),INDEX('4℃其他'!$D$5:$D$304,MATCH(144,'4℃其他'!$AA$5:$AA$304,0))))</f>
        <v/>
      </c>
      <c xmlns="http://schemas.openxmlformats.org/spreadsheetml/2006/main" r="F165" s="18" t="str">
        <f>IF(144&gt;MAX('冷凍品'!$AA$5:$AA$304),"",HYPERLINK("#'冷凍品'!D"&amp;(MATCH(144,'冷凍品'!$AA$5:$AA$304,0)+4),INDEX('冷凍品'!$D$5:$D$304,MATCH(144,'冷凍品'!$AA$5:$AA$304,0))))</f>
        <v/>
      </c>
    </row>
    <row r="166">
      <c xmlns="http://schemas.openxmlformats.org/spreadsheetml/2006/main" r="B166" s="18" t="str">
        <f>IF(145&gt;MAX('18℃'!$Z$5:$Z$304),"",HYPERLINK("#'18℃'!C"&amp;(MATCH(145,'18℃'!$Z$5:$Z$304,0)+4),INDEX('18℃'!$C$5:$C$304,MATCH(145,'18℃'!$Z$5:$Z$304,0))))</f>
        <v/>
      </c>
      <c xmlns="http://schemas.openxmlformats.org/spreadsheetml/2006/main" r="C166" s="18" t="str">
        <f>IF(145&gt;MAX('4℃飯'!$Z$5:$Z$304),"",HYPERLINK("#'4℃飯'!C"&amp;(MATCH(145,'4℃飯'!$Z$5:$Z$304,0)+4),INDEX('4℃飯'!$C$5:$C$304,MATCH(145,'4℃飯'!$Z$5:$Z$304,0))))</f>
        <v/>
      </c>
      <c xmlns="http://schemas.openxmlformats.org/spreadsheetml/2006/main" r="D166" s="18" t="str">
        <f>IF(145&gt;MAX('4℃麵'!$AA$5:$AA$292),"",HYPERLINK("#'4℃麵'!D"&amp;(MATCH(145,'4℃麵'!$AA$5:$AA$292,0)+4),INDEX('4℃麵'!$D$5:$D$292,MATCH(145,'4℃麵'!$AA$5:$AA$292,0))))</f>
        <v/>
      </c>
      <c xmlns="http://schemas.openxmlformats.org/spreadsheetml/2006/main" r="E166" s="18" t="str">
        <f>IF(145&gt;MAX('4℃其他'!$AA$5:$AA$304),"",HYPERLINK("#'4℃其他'!D"&amp;(MATCH(145,'4℃其他'!$AA$5:$AA$304,0)+4),INDEX('4℃其他'!$D$5:$D$304,MATCH(145,'4℃其他'!$AA$5:$AA$304,0))))</f>
        <v/>
      </c>
      <c xmlns="http://schemas.openxmlformats.org/spreadsheetml/2006/main" r="F166" s="18" t="str">
        <f>IF(145&gt;MAX('冷凍品'!$AA$5:$AA$304),"",HYPERLINK("#'冷凍品'!D"&amp;(MATCH(145,'冷凍品'!$AA$5:$AA$304,0)+4),INDEX('冷凍品'!$D$5:$D$304,MATCH(145,'冷凍品'!$AA$5:$AA$304,0))))</f>
        <v/>
      </c>
    </row>
    <row r="167">
      <c xmlns="http://schemas.openxmlformats.org/spreadsheetml/2006/main" r="B167" s="18" t="str">
        <f>IF(146&gt;MAX('18℃'!$Z$5:$Z$304),"",HYPERLINK("#'18℃'!C"&amp;(MATCH(146,'18℃'!$Z$5:$Z$304,0)+4),INDEX('18℃'!$C$5:$C$304,MATCH(146,'18℃'!$Z$5:$Z$304,0))))</f>
        <v/>
      </c>
      <c xmlns="http://schemas.openxmlformats.org/spreadsheetml/2006/main" r="C167" s="18" t="str">
        <f>IF(146&gt;MAX('4℃飯'!$Z$5:$Z$304),"",HYPERLINK("#'4℃飯'!C"&amp;(MATCH(146,'4℃飯'!$Z$5:$Z$304,0)+4),INDEX('4℃飯'!$C$5:$C$304,MATCH(146,'4℃飯'!$Z$5:$Z$304,0))))</f>
        <v/>
      </c>
      <c xmlns="http://schemas.openxmlformats.org/spreadsheetml/2006/main" r="D167" s="18" t="str">
        <f>IF(146&gt;MAX('4℃麵'!$AA$5:$AA$292),"",HYPERLINK("#'4℃麵'!D"&amp;(MATCH(146,'4℃麵'!$AA$5:$AA$292,0)+4),INDEX('4℃麵'!$D$5:$D$292,MATCH(146,'4℃麵'!$AA$5:$AA$292,0))))</f>
        <v/>
      </c>
      <c xmlns="http://schemas.openxmlformats.org/spreadsheetml/2006/main" r="E167" s="18" t="str">
        <f>IF(146&gt;MAX('4℃其他'!$AA$5:$AA$304),"",HYPERLINK("#'4℃其他'!D"&amp;(MATCH(146,'4℃其他'!$AA$5:$AA$304,0)+4),INDEX('4℃其他'!$D$5:$D$304,MATCH(146,'4℃其他'!$AA$5:$AA$304,0))))</f>
        <v/>
      </c>
      <c xmlns="http://schemas.openxmlformats.org/spreadsheetml/2006/main" r="F167" s="18" t="str">
        <f>IF(146&gt;MAX('冷凍品'!$AA$5:$AA$304),"",HYPERLINK("#'冷凍品'!D"&amp;(MATCH(146,'冷凍品'!$AA$5:$AA$304,0)+4),INDEX('冷凍品'!$D$5:$D$304,MATCH(146,'冷凍品'!$AA$5:$AA$304,0))))</f>
        <v/>
      </c>
    </row>
    <row r="168">
      <c xmlns="http://schemas.openxmlformats.org/spreadsheetml/2006/main" r="B168" s="18" t="str">
        <f>IF(147&gt;MAX('18℃'!$Z$5:$Z$304),"",HYPERLINK("#'18℃'!C"&amp;(MATCH(147,'18℃'!$Z$5:$Z$304,0)+4),INDEX('18℃'!$C$5:$C$304,MATCH(147,'18℃'!$Z$5:$Z$304,0))))</f>
        <v/>
      </c>
      <c xmlns="http://schemas.openxmlformats.org/spreadsheetml/2006/main" r="C168" s="18" t="str">
        <f>IF(147&gt;MAX('4℃飯'!$Z$5:$Z$304),"",HYPERLINK("#'4℃飯'!C"&amp;(MATCH(147,'4℃飯'!$Z$5:$Z$304,0)+4),INDEX('4℃飯'!$C$5:$C$304,MATCH(147,'4℃飯'!$Z$5:$Z$304,0))))</f>
        <v/>
      </c>
      <c xmlns="http://schemas.openxmlformats.org/spreadsheetml/2006/main" r="D168" s="18" t="str">
        <f>IF(147&gt;MAX('4℃麵'!$AA$5:$AA$292),"",HYPERLINK("#'4℃麵'!D"&amp;(MATCH(147,'4℃麵'!$AA$5:$AA$292,0)+4),INDEX('4℃麵'!$D$5:$D$292,MATCH(147,'4℃麵'!$AA$5:$AA$292,0))))</f>
        <v/>
      </c>
      <c xmlns="http://schemas.openxmlformats.org/spreadsheetml/2006/main" r="E168" s="18" t="str">
        <f>IF(147&gt;MAX('4℃其他'!$AA$5:$AA$304),"",HYPERLINK("#'4℃其他'!D"&amp;(MATCH(147,'4℃其他'!$AA$5:$AA$304,0)+4),INDEX('4℃其他'!$D$5:$D$304,MATCH(147,'4℃其他'!$AA$5:$AA$304,0))))</f>
        <v/>
      </c>
      <c xmlns="http://schemas.openxmlformats.org/spreadsheetml/2006/main" r="F168" s="18" t="str">
        <f>IF(147&gt;MAX('冷凍品'!$AA$5:$AA$304),"",HYPERLINK("#'冷凍品'!D"&amp;(MATCH(147,'冷凍品'!$AA$5:$AA$304,0)+4),INDEX('冷凍品'!$D$5:$D$304,MATCH(147,'冷凍品'!$AA$5:$AA$304,0))))</f>
        <v/>
      </c>
    </row>
    <row r="169">
      <c xmlns="http://schemas.openxmlformats.org/spreadsheetml/2006/main" r="B169" s="18" t="str">
        <f>IF(148&gt;MAX('18℃'!$Z$5:$Z$304),"",HYPERLINK("#'18℃'!C"&amp;(MATCH(148,'18℃'!$Z$5:$Z$304,0)+4),INDEX('18℃'!$C$5:$C$304,MATCH(148,'18℃'!$Z$5:$Z$304,0))))</f>
        <v/>
      </c>
      <c xmlns="http://schemas.openxmlformats.org/spreadsheetml/2006/main" r="C169" s="18" t="str">
        <f>IF(148&gt;MAX('4℃飯'!$Z$5:$Z$304),"",HYPERLINK("#'4℃飯'!C"&amp;(MATCH(148,'4℃飯'!$Z$5:$Z$304,0)+4),INDEX('4℃飯'!$C$5:$C$304,MATCH(148,'4℃飯'!$Z$5:$Z$304,0))))</f>
        <v/>
      </c>
      <c xmlns="http://schemas.openxmlformats.org/spreadsheetml/2006/main" r="D169" s="18" t="str">
        <f>IF(148&gt;MAX('4℃麵'!$AA$5:$AA$292),"",HYPERLINK("#'4℃麵'!D"&amp;(MATCH(148,'4℃麵'!$AA$5:$AA$292,0)+4),INDEX('4℃麵'!$D$5:$D$292,MATCH(148,'4℃麵'!$AA$5:$AA$292,0))))</f>
        <v/>
      </c>
      <c xmlns="http://schemas.openxmlformats.org/spreadsheetml/2006/main" r="E169" s="18" t="str">
        <f>IF(148&gt;MAX('4℃其他'!$AA$5:$AA$304),"",HYPERLINK("#'4℃其他'!D"&amp;(MATCH(148,'4℃其他'!$AA$5:$AA$304,0)+4),INDEX('4℃其他'!$D$5:$D$304,MATCH(148,'4℃其他'!$AA$5:$AA$304,0))))</f>
        <v/>
      </c>
      <c xmlns="http://schemas.openxmlformats.org/spreadsheetml/2006/main" r="F169" s="18" t="str">
        <f>IF(148&gt;MAX('冷凍品'!$AA$5:$AA$304),"",HYPERLINK("#'冷凍品'!D"&amp;(MATCH(148,'冷凍品'!$AA$5:$AA$304,0)+4),INDEX('冷凍品'!$D$5:$D$304,MATCH(148,'冷凍品'!$AA$5:$AA$304,0))))</f>
        <v/>
      </c>
    </row>
    <row r="170">
      <c xmlns="http://schemas.openxmlformats.org/spreadsheetml/2006/main" r="B170" s="18" t="str">
        <f>IF(149&gt;MAX('18℃'!$Z$5:$Z$304),"",HYPERLINK("#'18℃'!C"&amp;(MATCH(149,'18℃'!$Z$5:$Z$304,0)+4),INDEX('18℃'!$C$5:$C$304,MATCH(149,'18℃'!$Z$5:$Z$304,0))))</f>
        <v/>
      </c>
      <c xmlns="http://schemas.openxmlformats.org/spreadsheetml/2006/main" r="C170" s="18" t="str">
        <f>IF(149&gt;MAX('4℃飯'!$Z$5:$Z$304),"",HYPERLINK("#'4℃飯'!C"&amp;(MATCH(149,'4℃飯'!$Z$5:$Z$304,0)+4),INDEX('4℃飯'!$C$5:$C$304,MATCH(149,'4℃飯'!$Z$5:$Z$304,0))))</f>
        <v/>
      </c>
      <c xmlns="http://schemas.openxmlformats.org/spreadsheetml/2006/main" r="D170" s="18" t="str">
        <f>IF(149&gt;MAX('4℃麵'!$AA$5:$AA$292),"",HYPERLINK("#'4℃麵'!D"&amp;(MATCH(149,'4℃麵'!$AA$5:$AA$292,0)+4),INDEX('4℃麵'!$D$5:$D$292,MATCH(149,'4℃麵'!$AA$5:$AA$292,0))))</f>
        <v/>
      </c>
      <c xmlns="http://schemas.openxmlformats.org/spreadsheetml/2006/main" r="E170" s="18" t="str">
        <f>IF(149&gt;MAX('4℃其他'!$AA$5:$AA$304),"",HYPERLINK("#'4℃其他'!D"&amp;(MATCH(149,'4℃其他'!$AA$5:$AA$304,0)+4),INDEX('4℃其他'!$D$5:$D$304,MATCH(149,'4℃其他'!$AA$5:$AA$304,0))))</f>
        <v/>
      </c>
      <c xmlns="http://schemas.openxmlformats.org/spreadsheetml/2006/main" r="F170" s="18" t="str">
        <f>IF(149&gt;MAX('冷凍品'!$AA$5:$AA$304),"",HYPERLINK("#'冷凍品'!D"&amp;(MATCH(149,'冷凍品'!$AA$5:$AA$304,0)+4),INDEX('冷凍品'!$D$5:$D$304,MATCH(149,'冷凍品'!$AA$5:$AA$304,0))))</f>
        <v/>
      </c>
    </row>
    <row r="171">
      <c xmlns="http://schemas.openxmlformats.org/spreadsheetml/2006/main" r="B171" s="18" t="str">
        <f>IF(150&gt;MAX('18℃'!$Z$5:$Z$304),"",HYPERLINK("#'18℃'!C"&amp;(MATCH(150,'18℃'!$Z$5:$Z$304,0)+4),INDEX('18℃'!$C$5:$C$304,MATCH(150,'18℃'!$Z$5:$Z$304,0))))</f>
        <v/>
      </c>
      <c xmlns="http://schemas.openxmlformats.org/spreadsheetml/2006/main" r="C171" s="18" t="str">
        <f>IF(150&gt;MAX('4℃飯'!$Z$5:$Z$304),"",HYPERLINK("#'4℃飯'!C"&amp;(MATCH(150,'4℃飯'!$Z$5:$Z$304,0)+4),INDEX('4℃飯'!$C$5:$C$304,MATCH(150,'4℃飯'!$Z$5:$Z$304,0))))</f>
        <v/>
      </c>
      <c xmlns="http://schemas.openxmlformats.org/spreadsheetml/2006/main" r="D171" s="18" t="str">
        <f>IF(150&gt;MAX('4℃麵'!$AA$5:$AA$292),"",HYPERLINK("#'4℃麵'!D"&amp;(MATCH(150,'4℃麵'!$AA$5:$AA$292,0)+4),INDEX('4℃麵'!$D$5:$D$292,MATCH(150,'4℃麵'!$AA$5:$AA$292,0))))</f>
        <v/>
      </c>
      <c xmlns="http://schemas.openxmlformats.org/spreadsheetml/2006/main" r="E171" s="18" t="str">
        <f>IF(150&gt;MAX('4℃其他'!$AA$5:$AA$304),"",HYPERLINK("#'4℃其他'!D"&amp;(MATCH(150,'4℃其他'!$AA$5:$AA$304,0)+4),INDEX('4℃其他'!$D$5:$D$304,MATCH(150,'4℃其他'!$AA$5:$AA$304,0))))</f>
        <v/>
      </c>
      <c xmlns="http://schemas.openxmlformats.org/spreadsheetml/2006/main" r="F171" s="18" t="str">
        <f>IF(150&gt;MAX('冷凍品'!$AA$5:$AA$304),"",HYPERLINK("#'冷凍品'!D"&amp;(MATCH(150,'冷凍品'!$AA$5:$AA$304,0)+4),INDEX('冷凍品'!$D$5:$D$304,MATCH(150,'冷凍品'!$AA$5:$AA$304,0))))</f>
        <v/>
      </c>
    </row>
    <row r="172">
      <c xmlns="http://schemas.openxmlformats.org/spreadsheetml/2006/main" r="B172" s="18" t="str">
        <f>IF(151&gt;MAX('18℃'!$Z$5:$Z$304),"",HYPERLINK("#'18℃'!C"&amp;(MATCH(151,'18℃'!$Z$5:$Z$304,0)+4),INDEX('18℃'!$C$5:$C$304,MATCH(151,'18℃'!$Z$5:$Z$304,0))))</f>
        <v/>
      </c>
      <c xmlns="http://schemas.openxmlformats.org/spreadsheetml/2006/main" r="C172" s="18" t="str">
        <f>IF(151&gt;MAX('4℃飯'!$Z$5:$Z$304),"",HYPERLINK("#'4℃飯'!C"&amp;(MATCH(151,'4℃飯'!$Z$5:$Z$304,0)+4),INDEX('4℃飯'!$C$5:$C$304,MATCH(151,'4℃飯'!$Z$5:$Z$304,0))))</f>
        <v/>
      </c>
      <c xmlns="http://schemas.openxmlformats.org/spreadsheetml/2006/main" r="D172" s="18" t="str">
        <f>IF(151&gt;MAX('4℃麵'!$AA$5:$AA$292),"",HYPERLINK("#'4℃麵'!D"&amp;(MATCH(151,'4℃麵'!$AA$5:$AA$292,0)+4),INDEX('4℃麵'!$D$5:$D$292,MATCH(151,'4℃麵'!$AA$5:$AA$292,0))))</f>
        <v/>
      </c>
      <c xmlns="http://schemas.openxmlformats.org/spreadsheetml/2006/main" r="E172" s="18" t="str">
        <f>IF(151&gt;MAX('4℃其他'!$AA$5:$AA$304),"",HYPERLINK("#'4℃其他'!D"&amp;(MATCH(151,'4℃其他'!$AA$5:$AA$304,0)+4),INDEX('4℃其他'!$D$5:$D$304,MATCH(151,'4℃其他'!$AA$5:$AA$304,0))))</f>
        <v/>
      </c>
      <c xmlns="http://schemas.openxmlformats.org/spreadsheetml/2006/main" r="F172" s="18" t="str">
        <f>IF(151&gt;MAX('冷凍品'!$AA$5:$AA$304),"",HYPERLINK("#'冷凍品'!D"&amp;(MATCH(151,'冷凍品'!$AA$5:$AA$304,0)+4),INDEX('冷凍品'!$D$5:$D$304,MATCH(151,'冷凍品'!$AA$5:$AA$304,0))))</f>
        <v/>
      </c>
    </row>
    <row r="173">
      <c xmlns="http://schemas.openxmlformats.org/spreadsheetml/2006/main" r="B173" s="18" t="str">
        <f>IF(152&gt;MAX('18℃'!$Z$5:$Z$304),"",HYPERLINK("#'18℃'!C"&amp;(MATCH(152,'18℃'!$Z$5:$Z$304,0)+4),INDEX('18℃'!$C$5:$C$304,MATCH(152,'18℃'!$Z$5:$Z$304,0))))</f>
        <v/>
      </c>
      <c xmlns="http://schemas.openxmlformats.org/spreadsheetml/2006/main" r="C173" s="18" t="str">
        <f>IF(152&gt;MAX('4℃飯'!$Z$5:$Z$304),"",HYPERLINK("#'4℃飯'!C"&amp;(MATCH(152,'4℃飯'!$Z$5:$Z$304,0)+4),INDEX('4℃飯'!$C$5:$C$304,MATCH(152,'4℃飯'!$Z$5:$Z$304,0))))</f>
        <v/>
      </c>
      <c xmlns="http://schemas.openxmlformats.org/spreadsheetml/2006/main" r="D173" s="18" t="str">
        <f>IF(152&gt;MAX('4℃麵'!$AA$5:$AA$292),"",HYPERLINK("#'4℃麵'!D"&amp;(MATCH(152,'4℃麵'!$AA$5:$AA$292,0)+4),INDEX('4℃麵'!$D$5:$D$292,MATCH(152,'4℃麵'!$AA$5:$AA$292,0))))</f>
        <v/>
      </c>
      <c xmlns="http://schemas.openxmlformats.org/spreadsheetml/2006/main" r="E173" s="18" t="str">
        <f>IF(152&gt;MAX('4℃其他'!$AA$5:$AA$304),"",HYPERLINK("#'4℃其他'!D"&amp;(MATCH(152,'4℃其他'!$AA$5:$AA$304,0)+4),INDEX('4℃其他'!$D$5:$D$304,MATCH(152,'4℃其他'!$AA$5:$AA$304,0))))</f>
        <v/>
      </c>
      <c xmlns="http://schemas.openxmlformats.org/spreadsheetml/2006/main" r="F173" s="18" t="str">
        <f>IF(152&gt;MAX('冷凍品'!$AA$5:$AA$304),"",HYPERLINK("#'冷凍品'!D"&amp;(MATCH(152,'冷凍品'!$AA$5:$AA$304,0)+4),INDEX('冷凍品'!$D$5:$D$304,MATCH(152,'冷凍品'!$AA$5:$AA$304,0))))</f>
        <v/>
      </c>
    </row>
    <row r="174">
      <c xmlns="http://schemas.openxmlformats.org/spreadsheetml/2006/main" r="B174" s="18" t="str">
        <f>IF(153&gt;MAX('18℃'!$Z$5:$Z$304),"",HYPERLINK("#'18℃'!C"&amp;(MATCH(153,'18℃'!$Z$5:$Z$304,0)+4),INDEX('18℃'!$C$5:$C$304,MATCH(153,'18℃'!$Z$5:$Z$304,0))))</f>
        <v/>
      </c>
      <c xmlns="http://schemas.openxmlformats.org/spreadsheetml/2006/main" r="C174" s="18" t="str">
        <f>IF(153&gt;MAX('4℃飯'!$Z$5:$Z$304),"",HYPERLINK("#'4℃飯'!C"&amp;(MATCH(153,'4℃飯'!$Z$5:$Z$304,0)+4),INDEX('4℃飯'!$C$5:$C$304,MATCH(153,'4℃飯'!$Z$5:$Z$304,0))))</f>
        <v/>
      </c>
      <c xmlns="http://schemas.openxmlformats.org/spreadsheetml/2006/main" r="D174" s="18" t="str">
        <f>IF(153&gt;MAX('4℃麵'!$AA$5:$AA$292),"",HYPERLINK("#'4℃麵'!D"&amp;(MATCH(153,'4℃麵'!$AA$5:$AA$292,0)+4),INDEX('4℃麵'!$D$5:$D$292,MATCH(153,'4℃麵'!$AA$5:$AA$292,0))))</f>
        <v/>
      </c>
      <c xmlns="http://schemas.openxmlformats.org/spreadsheetml/2006/main" r="E174" s="18" t="str">
        <f>IF(153&gt;MAX('4℃其他'!$AA$5:$AA$304),"",HYPERLINK("#'4℃其他'!D"&amp;(MATCH(153,'4℃其他'!$AA$5:$AA$304,0)+4),INDEX('4℃其他'!$D$5:$D$304,MATCH(153,'4℃其他'!$AA$5:$AA$304,0))))</f>
        <v/>
      </c>
      <c xmlns="http://schemas.openxmlformats.org/spreadsheetml/2006/main" r="F174" s="18" t="str">
        <f>IF(153&gt;MAX('冷凍品'!$AA$5:$AA$304),"",HYPERLINK("#'冷凍品'!D"&amp;(MATCH(153,'冷凍品'!$AA$5:$AA$304,0)+4),INDEX('冷凍品'!$D$5:$D$304,MATCH(153,'冷凍品'!$AA$5:$AA$304,0))))</f>
        <v/>
      </c>
    </row>
    <row r="175">
      <c xmlns="http://schemas.openxmlformats.org/spreadsheetml/2006/main" r="B175" s="18" t="str">
        <f>IF(154&gt;MAX('18℃'!$Z$5:$Z$304),"",HYPERLINK("#'18℃'!C"&amp;(MATCH(154,'18℃'!$Z$5:$Z$304,0)+4),INDEX('18℃'!$C$5:$C$304,MATCH(154,'18℃'!$Z$5:$Z$304,0))))</f>
        <v/>
      </c>
      <c xmlns="http://schemas.openxmlformats.org/spreadsheetml/2006/main" r="C175" s="18" t="str">
        <f>IF(154&gt;MAX('4℃飯'!$Z$5:$Z$304),"",HYPERLINK("#'4℃飯'!C"&amp;(MATCH(154,'4℃飯'!$Z$5:$Z$304,0)+4),INDEX('4℃飯'!$C$5:$C$304,MATCH(154,'4℃飯'!$Z$5:$Z$304,0))))</f>
        <v/>
      </c>
      <c xmlns="http://schemas.openxmlformats.org/spreadsheetml/2006/main" r="D175" s="18" t="str">
        <f>IF(154&gt;MAX('4℃麵'!$AA$5:$AA$292),"",HYPERLINK("#'4℃麵'!D"&amp;(MATCH(154,'4℃麵'!$AA$5:$AA$292,0)+4),INDEX('4℃麵'!$D$5:$D$292,MATCH(154,'4℃麵'!$AA$5:$AA$292,0))))</f>
        <v/>
      </c>
      <c xmlns="http://schemas.openxmlformats.org/spreadsheetml/2006/main" r="E175" s="18" t="str">
        <f>IF(154&gt;MAX('4℃其他'!$AA$5:$AA$304),"",HYPERLINK("#'4℃其他'!D"&amp;(MATCH(154,'4℃其他'!$AA$5:$AA$304,0)+4),INDEX('4℃其他'!$D$5:$D$304,MATCH(154,'4℃其他'!$AA$5:$AA$304,0))))</f>
        <v/>
      </c>
      <c xmlns="http://schemas.openxmlformats.org/spreadsheetml/2006/main" r="F175" s="18" t="str">
        <f>IF(154&gt;MAX('冷凍品'!$AA$5:$AA$304),"",HYPERLINK("#'冷凍品'!D"&amp;(MATCH(154,'冷凍品'!$AA$5:$AA$304,0)+4),INDEX('冷凍品'!$D$5:$D$304,MATCH(154,'冷凍品'!$AA$5:$AA$304,0))))</f>
        <v/>
      </c>
    </row>
    <row r="176">
      <c xmlns="http://schemas.openxmlformats.org/spreadsheetml/2006/main" r="B176" s="18" t="str">
        <f>IF(155&gt;MAX('18℃'!$Z$5:$Z$304),"",HYPERLINK("#'18℃'!C"&amp;(MATCH(155,'18℃'!$Z$5:$Z$304,0)+4),INDEX('18℃'!$C$5:$C$304,MATCH(155,'18℃'!$Z$5:$Z$304,0))))</f>
        <v/>
      </c>
      <c xmlns="http://schemas.openxmlformats.org/spreadsheetml/2006/main" r="C176" s="18" t="str">
        <f>IF(155&gt;MAX('4℃飯'!$Z$5:$Z$304),"",HYPERLINK("#'4℃飯'!C"&amp;(MATCH(155,'4℃飯'!$Z$5:$Z$304,0)+4),INDEX('4℃飯'!$C$5:$C$304,MATCH(155,'4℃飯'!$Z$5:$Z$304,0))))</f>
        <v/>
      </c>
      <c xmlns="http://schemas.openxmlformats.org/spreadsheetml/2006/main" r="D176" s="18" t="str">
        <f>IF(155&gt;MAX('4℃麵'!$AA$5:$AA$292),"",HYPERLINK("#'4℃麵'!D"&amp;(MATCH(155,'4℃麵'!$AA$5:$AA$292,0)+4),INDEX('4℃麵'!$D$5:$D$292,MATCH(155,'4℃麵'!$AA$5:$AA$292,0))))</f>
        <v/>
      </c>
      <c xmlns="http://schemas.openxmlformats.org/spreadsheetml/2006/main" r="E176" s="18" t="str">
        <f>IF(155&gt;MAX('4℃其他'!$AA$5:$AA$304),"",HYPERLINK("#'4℃其他'!D"&amp;(MATCH(155,'4℃其他'!$AA$5:$AA$304,0)+4),INDEX('4℃其他'!$D$5:$D$304,MATCH(155,'4℃其他'!$AA$5:$AA$304,0))))</f>
        <v/>
      </c>
      <c xmlns="http://schemas.openxmlformats.org/spreadsheetml/2006/main" r="F176" s="18" t="str">
        <f>IF(155&gt;MAX('冷凍品'!$AA$5:$AA$304),"",HYPERLINK("#'冷凍品'!D"&amp;(MATCH(155,'冷凍品'!$AA$5:$AA$304,0)+4),INDEX('冷凍品'!$D$5:$D$304,MATCH(155,'冷凍品'!$AA$5:$AA$304,0))))</f>
        <v/>
      </c>
    </row>
    <row r="177">
      <c xmlns="http://schemas.openxmlformats.org/spreadsheetml/2006/main" r="B177" s="18" t="str">
        <f>IF(156&gt;MAX('18℃'!$Z$5:$Z$304),"",HYPERLINK("#'18℃'!C"&amp;(MATCH(156,'18℃'!$Z$5:$Z$304,0)+4),INDEX('18℃'!$C$5:$C$304,MATCH(156,'18℃'!$Z$5:$Z$304,0))))</f>
        <v/>
      </c>
      <c xmlns="http://schemas.openxmlformats.org/spreadsheetml/2006/main" r="C177" s="18" t="str">
        <f>IF(156&gt;MAX('4℃飯'!$Z$5:$Z$304),"",HYPERLINK("#'4℃飯'!C"&amp;(MATCH(156,'4℃飯'!$Z$5:$Z$304,0)+4),INDEX('4℃飯'!$C$5:$C$304,MATCH(156,'4℃飯'!$Z$5:$Z$304,0))))</f>
        <v/>
      </c>
      <c xmlns="http://schemas.openxmlformats.org/spreadsheetml/2006/main" r="D177" s="18" t="str">
        <f>IF(156&gt;MAX('4℃麵'!$AA$5:$AA$292),"",HYPERLINK("#'4℃麵'!D"&amp;(MATCH(156,'4℃麵'!$AA$5:$AA$292,0)+4),INDEX('4℃麵'!$D$5:$D$292,MATCH(156,'4℃麵'!$AA$5:$AA$292,0))))</f>
        <v/>
      </c>
      <c xmlns="http://schemas.openxmlformats.org/spreadsheetml/2006/main" r="E177" s="18" t="str">
        <f>IF(156&gt;MAX('4℃其他'!$AA$5:$AA$304),"",HYPERLINK("#'4℃其他'!D"&amp;(MATCH(156,'4℃其他'!$AA$5:$AA$304,0)+4),INDEX('4℃其他'!$D$5:$D$304,MATCH(156,'4℃其他'!$AA$5:$AA$304,0))))</f>
        <v/>
      </c>
      <c xmlns="http://schemas.openxmlformats.org/spreadsheetml/2006/main" r="F177" s="18" t="str">
        <f>IF(156&gt;MAX('冷凍品'!$AA$5:$AA$304),"",HYPERLINK("#'冷凍品'!D"&amp;(MATCH(156,'冷凍品'!$AA$5:$AA$304,0)+4),INDEX('冷凍品'!$D$5:$D$304,MATCH(156,'冷凍品'!$AA$5:$AA$304,0))))</f>
        <v/>
      </c>
    </row>
    <row r="178">
      <c xmlns="http://schemas.openxmlformats.org/spreadsheetml/2006/main" r="B178" s="18" t="str">
        <f>IF(157&gt;MAX('18℃'!$Z$5:$Z$304),"",HYPERLINK("#'18℃'!C"&amp;(MATCH(157,'18℃'!$Z$5:$Z$304,0)+4),INDEX('18℃'!$C$5:$C$304,MATCH(157,'18℃'!$Z$5:$Z$304,0))))</f>
        <v/>
      </c>
      <c xmlns="http://schemas.openxmlformats.org/spreadsheetml/2006/main" r="C178" s="18" t="str">
        <f>IF(157&gt;MAX('4℃飯'!$Z$5:$Z$304),"",HYPERLINK("#'4℃飯'!C"&amp;(MATCH(157,'4℃飯'!$Z$5:$Z$304,0)+4),INDEX('4℃飯'!$C$5:$C$304,MATCH(157,'4℃飯'!$Z$5:$Z$304,0))))</f>
        <v/>
      </c>
      <c xmlns="http://schemas.openxmlformats.org/spreadsheetml/2006/main" r="D178" s="18" t="str">
        <f>IF(157&gt;MAX('4℃麵'!$AA$5:$AA$292),"",HYPERLINK("#'4℃麵'!D"&amp;(MATCH(157,'4℃麵'!$AA$5:$AA$292,0)+4),INDEX('4℃麵'!$D$5:$D$292,MATCH(157,'4℃麵'!$AA$5:$AA$292,0))))</f>
        <v/>
      </c>
      <c xmlns="http://schemas.openxmlformats.org/spreadsheetml/2006/main" r="E178" s="18" t="str">
        <f>IF(157&gt;MAX('4℃其他'!$AA$5:$AA$304),"",HYPERLINK("#'4℃其他'!D"&amp;(MATCH(157,'4℃其他'!$AA$5:$AA$304,0)+4),INDEX('4℃其他'!$D$5:$D$304,MATCH(157,'4℃其他'!$AA$5:$AA$304,0))))</f>
        <v/>
      </c>
      <c xmlns="http://schemas.openxmlformats.org/spreadsheetml/2006/main" r="F178" s="18" t="str">
        <f>IF(157&gt;MAX('冷凍品'!$AA$5:$AA$304),"",HYPERLINK("#'冷凍品'!D"&amp;(MATCH(157,'冷凍品'!$AA$5:$AA$304,0)+4),INDEX('冷凍品'!$D$5:$D$304,MATCH(157,'冷凍品'!$AA$5:$AA$304,0))))</f>
        <v/>
      </c>
    </row>
    <row r="179">
      <c xmlns="http://schemas.openxmlformats.org/spreadsheetml/2006/main" r="B179" s="18" t="str">
        <f>IF(158&gt;MAX('18℃'!$Z$5:$Z$304),"",HYPERLINK("#'18℃'!C"&amp;(MATCH(158,'18℃'!$Z$5:$Z$304,0)+4),INDEX('18℃'!$C$5:$C$304,MATCH(158,'18℃'!$Z$5:$Z$304,0))))</f>
        <v/>
      </c>
      <c xmlns="http://schemas.openxmlformats.org/spreadsheetml/2006/main" r="C179" s="18" t="str">
        <f>IF(158&gt;MAX('4℃飯'!$Z$5:$Z$304),"",HYPERLINK("#'4℃飯'!C"&amp;(MATCH(158,'4℃飯'!$Z$5:$Z$304,0)+4),INDEX('4℃飯'!$C$5:$C$304,MATCH(158,'4℃飯'!$Z$5:$Z$304,0))))</f>
        <v/>
      </c>
      <c xmlns="http://schemas.openxmlformats.org/spreadsheetml/2006/main" r="D179" s="18" t="str">
        <f>IF(158&gt;MAX('4℃麵'!$AA$5:$AA$292),"",HYPERLINK("#'4℃麵'!D"&amp;(MATCH(158,'4℃麵'!$AA$5:$AA$292,0)+4),INDEX('4℃麵'!$D$5:$D$292,MATCH(158,'4℃麵'!$AA$5:$AA$292,0))))</f>
        <v/>
      </c>
      <c xmlns="http://schemas.openxmlformats.org/spreadsheetml/2006/main" r="E179" s="18" t="str">
        <f>IF(158&gt;MAX('4℃其他'!$AA$5:$AA$304),"",HYPERLINK("#'4℃其他'!D"&amp;(MATCH(158,'4℃其他'!$AA$5:$AA$304,0)+4),INDEX('4℃其他'!$D$5:$D$304,MATCH(158,'4℃其他'!$AA$5:$AA$304,0))))</f>
        <v/>
      </c>
      <c xmlns="http://schemas.openxmlformats.org/spreadsheetml/2006/main" r="F179" s="18" t="str">
        <f>IF(158&gt;MAX('冷凍品'!$AA$5:$AA$304),"",HYPERLINK("#'冷凍品'!D"&amp;(MATCH(158,'冷凍品'!$AA$5:$AA$304,0)+4),INDEX('冷凍品'!$D$5:$D$304,MATCH(158,'冷凍品'!$AA$5:$AA$304,0))))</f>
        <v/>
      </c>
    </row>
    <row r="180">
      <c xmlns="http://schemas.openxmlformats.org/spreadsheetml/2006/main" r="B180" s="18" t="str">
        <f>IF(159&gt;MAX('18℃'!$Z$5:$Z$304),"",HYPERLINK("#'18℃'!C"&amp;(MATCH(159,'18℃'!$Z$5:$Z$304,0)+4),INDEX('18℃'!$C$5:$C$304,MATCH(159,'18℃'!$Z$5:$Z$304,0))))</f>
        <v/>
      </c>
      <c xmlns="http://schemas.openxmlformats.org/spreadsheetml/2006/main" r="C180" s="18" t="str">
        <f>IF(159&gt;MAX('4℃飯'!$Z$5:$Z$304),"",HYPERLINK("#'4℃飯'!C"&amp;(MATCH(159,'4℃飯'!$Z$5:$Z$304,0)+4),INDEX('4℃飯'!$C$5:$C$304,MATCH(159,'4℃飯'!$Z$5:$Z$304,0))))</f>
        <v/>
      </c>
      <c xmlns="http://schemas.openxmlformats.org/spreadsheetml/2006/main" r="D180" s="18" t="str">
        <f>IF(159&gt;MAX('4℃麵'!$AA$5:$AA$292),"",HYPERLINK("#'4℃麵'!D"&amp;(MATCH(159,'4℃麵'!$AA$5:$AA$292,0)+4),INDEX('4℃麵'!$D$5:$D$292,MATCH(159,'4℃麵'!$AA$5:$AA$292,0))))</f>
        <v/>
      </c>
      <c xmlns="http://schemas.openxmlformats.org/spreadsheetml/2006/main" r="E180" s="18" t="str">
        <f>IF(159&gt;MAX('4℃其他'!$AA$5:$AA$304),"",HYPERLINK("#'4℃其他'!D"&amp;(MATCH(159,'4℃其他'!$AA$5:$AA$304,0)+4),INDEX('4℃其他'!$D$5:$D$304,MATCH(159,'4℃其他'!$AA$5:$AA$304,0))))</f>
        <v/>
      </c>
      <c xmlns="http://schemas.openxmlformats.org/spreadsheetml/2006/main" r="F180" s="18" t="str">
        <f>IF(159&gt;MAX('冷凍品'!$AA$5:$AA$304),"",HYPERLINK("#'冷凍品'!D"&amp;(MATCH(159,'冷凍品'!$AA$5:$AA$304,0)+4),INDEX('冷凍品'!$D$5:$D$304,MATCH(159,'冷凍品'!$AA$5:$AA$304,0))))</f>
        <v/>
      </c>
    </row>
    <row r="181">
      <c xmlns="http://schemas.openxmlformats.org/spreadsheetml/2006/main" r="B181" s="18" t="str">
        <f>IF(160&gt;MAX('18℃'!$Z$5:$Z$304),"",HYPERLINK("#'18℃'!C"&amp;(MATCH(160,'18℃'!$Z$5:$Z$304,0)+4),INDEX('18℃'!$C$5:$C$304,MATCH(160,'18℃'!$Z$5:$Z$304,0))))</f>
        <v/>
      </c>
      <c xmlns="http://schemas.openxmlformats.org/spreadsheetml/2006/main" r="C181" s="18" t="str">
        <f>IF(160&gt;MAX('4℃飯'!$Z$5:$Z$304),"",HYPERLINK("#'4℃飯'!C"&amp;(MATCH(160,'4℃飯'!$Z$5:$Z$304,0)+4),INDEX('4℃飯'!$C$5:$C$304,MATCH(160,'4℃飯'!$Z$5:$Z$304,0))))</f>
        <v/>
      </c>
      <c xmlns="http://schemas.openxmlformats.org/spreadsheetml/2006/main" r="D181" s="18" t="str">
        <f>IF(160&gt;MAX('4℃麵'!$AA$5:$AA$292),"",HYPERLINK("#'4℃麵'!D"&amp;(MATCH(160,'4℃麵'!$AA$5:$AA$292,0)+4),INDEX('4℃麵'!$D$5:$D$292,MATCH(160,'4℃麵'!$AA$5:$AA$292,0))))</f>
        <v/>
      </c>
      <c xmlns="http://schemas.openxmlformats.org/spreadsheetml/2006/main" r="E181" s="18" t="str">
        <f>IF(160&gt;MAX('4℃其他'!$AA$5:$AA$304),"",HYPERLINK("#'4℃其他'!D"&amp;(MATCH(160,'4℃其他'!$AA$5:$AA$304,0)+4),INDEX('4℃其他'!$D$5:$D$304,MATCH(160,'4℃其他'!$AA$5:$AA$304,0))))</f>
        <v/>
      </c>
      <c xmlns="http://schemas.openxmlformats.org/spreadsheetml/2006/main" r="F181" s="18" t="str">
        <f>IF(160&gt;MAX('冷凍品'!$AA$5:$AA$304),"",HYPERLINK("#'冷凍品'!D"&amp;(MATCH(160,'冷凍品'!$AA$5:$AA$304,0)+4),INDEX('冷凍品'!$D$5:$D$304,MATCH(160,'冷凍品'!$AA$5:$AA$304,0))))</f>
        <v/>
      </c>
    </row>
    <row r="182">
      <c xmlns="http://schemas.openxmlformats.org/spreadsheetml/2006/main" r="B182" s="18" t="str">
        <f>IF(161&gt;MAX('18℃'!$Z$5:$Z$304),"",HYPERLINK("#'18℃'!C"&amp;(MATCH(161,'18℃'!$Z$5:$Z$304,0)+4),INDEX('18℃'!$C$5:$C$304,MATCH(161,'18℃'!$Z$5:$Z$304,0))))</f>
        <v/>
      </c>
      <c xmlns="http://schemas.openxmlformats.org/spreadsheetml/2006/main" r="C182" s="18" t="str">
        <f>IF(161&gt;MAX('4℃飯'!$Z$5:$Z$304),"",HYPERLINK("#'4℃飯'!C"&amp;(MATCH(161,'4℃飯'!$Z$5:$Z$304,0)+4),INDEX('4℃飯'!$C$5:$C$304,MATCH(161,'4℃飯'!$Z$5:$Z$304,0))))</f>
        <v/>
      </c>
      <c xmlns="http://schemas.openxmlformats.org/spreadsheetml/2006/main" r="D182" s="18" t="str">
        <f>IF(161&gt;MAX('4℃麵'!$AA$5:$AA$292),"",HYPERLINK("#'4℃麵'!D"&amp;(MATCH(161,'4℃麵'!$AA$5:$AA$292,0)+4),INDEX('4℃麵'!$D$5:$D$292,MATCH(161,'4℃麵'!$AA$5:$AA$292,0))))</f>
        <v/>
      </c>
      <c xmlns="http://schemas.openxmlformats.org/spreadsheetml/2006/main" r="E182" s="18" t="str">
        <f>IF(161&gt;MAX('4℃其他'!$AA$5:$AA$304),"",HYPERLINK("#'4℃其他'!D"&amp;(MATCH(161,'4℃其他'!$AA$5:$AA$304,0)+4),INDEX('4℃其他'!$D$5:$D$304,MATCH(161,'4℃其他'!$AA$5:$AA$304,0))))</f>
        <v/>
      </c>
      <c xmlns="http://schemas.openxmlformats.org/spreadsheetml/2006/main" r="F182" s="18" t="str">
        <f>IF(161&gt;MAX('冷凍品'!$AA$5:$AA$304),"",HYPERLINK("#'冷凍品'!D"&amp;(MATCH(161,'冷凍品'!$AA$5:$AA$304,0)+4),INDEX('冷凍品'!$D$5:$D$304,MATCH(161,'冷凍品'!$AA$5:$AA$304,0))))</f>
        <v/>
      </c>
    </row>
    <row r="183">
      <c xmlns="http://schemas.openxmlformats.org/spreadsheetml/2006/main" r="B183" s="18" t="str">
        <f>IF(162&gt;MAX('18℃'!$Z$5:$Z$304),"",HYPERLINK("#'18℃'!C"&amp;(MATCH(162,'18℃'!$Z$5:$Z$304,0)+4),INDEX('18℃'!$C$5:$C$304,MATCH(162,'18℃'!$Z$5:$Z$304,0))))</f>
        <v/>
      </c>
      <c xmlns="http://schemas.openxmlformats.org/spreadsheetml/2006/main" r="C183" s="18" t="str">
        <f>IF(162&gt;MAX('4℃飯'!$Z$5:$Z$304),"",HYPERLINK("#'4℃飯'!C"&amp;(MATCH(162,'4℃飯'!$Z$5:$Z$304,0)+4),INDEX('4℃飯'!$C$5:$C$304,MATCH(162,'4℃飯'!$Z$5:$Z$304,0))))</f>
        <v/>
      </c>
      <c xmlns="http://schemas.openxmlformats.org/spreadsheetml/2006/main" r="D183" s="18" t="str">
        <f>IF(162&gt;MAX('4℃麵'!$AA$5:$AA$292),"",HYPERLINK("#'4℃麵'!D"&amp;(MATCH(162,'4℃麵'!$AA$5:$AA$292,0)+4),INDEX('4℃麵'!$D$5:$D$292,MATCH(162,'4℃麵'!$AA$5:$AA$292,0))))</f>
        <v/>
      </c>
      <c xmlns="http://schemas.openxmlformats.org/spreadsheetml/2006/main" r="E183" s="18" t="str">
        <f>IF(162&gt;MAX('4℃其他'!$AA$5:$AA$304),"",HYPERLINK("#'4℃其他'!D"&amp;(MATCH(162,'4℃其他'!$AA$5:$AA$304,0)+4),INDEX('4℃其他'!$D$5:$D$304,MATCH(162,'4℃其他'!$AA$5:$AA$304,0))))</f>
        <v/>
      </c>
      <c xmlns="http://schemas.openxmlformats.org/spreadsheetml/2006/main" r="F183" s="18" t="str">
        <f>IF(162&gt;MAX('冷凍品'!$AA$5:$AA$304),"",HYPERLINK("#'冷凍品'!D"&amp;(MATCH(162,'冷凍品'!$AA$5:$AA$304,0)+4),INDEX('冷凍品'!$D$5:$D$304,MATCH(162,'冷凍品'!$AA$5:$AA$304,0))))</f>
        <v/>
      </c>
    </row>
    <row r="184">
      <c xmlns="http://schemas.openxmlformats.org/spreadsheetml/2006/main" r="B184" s="18" t="str">
        <f>IF(163&gt;MAX('18℃'!$Z$5:$Z$304),"",HYPERLINK("#'18℃'!C"&amp;(MATCH(163,'18℃'!$Z$5:$Z$304,0)+4),INDEX('18℃'!$C$5:$C$304,MATCH(163,'18℃'!$Z$5:$Z$304,0))))</f>
        <v/>
      </c>
      <c xmlns="http://schemas.openxmlformats.org/spreadsheetml/2006/main" r="C184" s="18" t="str">
        <f>IF(163&gt;MAX('4℃飯'!$Z$5:$Z$304),"",HYPERLINK("#'4℃飯'!C"&amp;(MATCH(163,'4℃飯'!$Z$5:$Z$304,0)+4),INDEX('4℃飯'!$C$5:$C$304,MATCH(163,'4℃飯'!$Z$5:$Z$304,0))))</f>
        <v/>
      </c>
      <c xmlns="http://schemas.openxmlformats.org/spreadsheetml/2006/main" r="D184" s="18" t="str">
        <f>IF(163&gt;MAX('4℃麵'!$AA$5:$AA$292),"",HYPERLINK("#'4℃麵'!D"&amp;(MATCH(163,'4℃麵'!$AA$5:$AA$292,0)+4),INDEX('4℃麵'!$D$5:$D$292,MATCH(163,'4℃麵'!$AA$5:$AA$292,0))))</f>
        <v/>
      </c>
      <c xmlns="http://schemas.openxmlformats.org/spreadsheetml/2006/main" r="E184" s="18" t="str">
        <f>IF(163&gt;MAX('4℃其他'!$AA$5:$AA$304),"",HYPERLINK("#'4℃其他'!D"&amp;(MATCH(163,'4℃其他'!$AA$5:$AA$304,0)+4),INDEX('4℃其他'!$D$5:$D$304,MATCH(163,'4℃其他'!$AA$5:$AA$304,0))))</f>
        <v/>
      </c>
      <c xmlns="http://schemas.openxmlformats.org/spreadsheetml/2006/main" r="F184" s="18" t="str">
        <f>IF(163&gt;MAX('冷凍品'!$AA$5:$AA$304),"",HYPERLINK("#'冷凍品'!D"&amp;(MATCH(163,'冷凍品'!$AA$5:$AA$304,0)+4),INDEX('冷凍品'!$D$5:$D$304,MATCH(163,'冷凍品'!$AA$5:$AA$304,0))))</f>
        <v/>
      </c>
    </row>
    <row r="185">
      <c xmlns="http://schemas.openxmlformats.org/spreadsheetml/2006/main" r="B185" s="18" t="str">
        <f>IF(164&gt;MAX('18℃'!$Z$5:$Z$304),"",HYPERLINK("#'18℃'!C"&amp;(MATCH(164,'18℃'!$Z$5:$Z$304,0)+4),INDEX('18℃'!$C$5:$C$304,MATCH(164,'18℃'!$Z$5:$Z$304,0))))</f>
        <v/>
      </c>
      <c xmlns="http://schemas.openxmlformats.org/spreadsheetml/2006/main" r="C185" s="18" t="str">
        <f>IF(164&gt;MAX('4℃飯'!$Z$5:$Z$304),"",HYPERLINK("#'4℃飯'!C"&amp;(MATCH(164,'4℃飯'!$Z$5:$Z$304,0)+4),INDEX('4℃飯'!$C$5:$C$304,MATCH(164,'4℃飯'!$Z$5:$Z$304,0))))</f>
        <v/>
      </c>
      <c xmlns="http://schemas.openxmlformats.org/spreadsheetml/2006/main" r="D185" s="18" t="str">
        <f>IF(164&gt;MAX('4℃麵'!$AA$5:$AA$292),"",HYPERLINK("#'4℃麵'!D"&amp;(MATCH(164,'4℃麵'!$AA$5:$AA$292,0)+4),INDEX('4℃麵'!$D$5:$D$292,MATCH(164,'4℃麵'!$AA$5:$AA$292,0))))</f>
        <v/>
      </c>
      <c xmlns="http://schemas.openxmlformats.org/spreadsheetml/2006/main" r="E185" s="18" t="str">
        <f>IF(164&gt;MAX('4℃其他'!$AA$5:$AA$304),"",HYPERLINK("#'4℃其他'!D"&amp;(MATCH(164,'4℃其他'!$AA$5:$AA$304,0)+4),INDEX('4℃其他'!$D$5:$D$304,MATCH(164,'4℃其他'!$AA$5:$AA$304,0))))</f>
        <v/>
      </c>
      <c xmlns="http://schemas.openxmlformats.org/spreadsheetml/2006/main" r="F185" s="18" t="str">
        <f>IF(164&gt;MAX('冷凍品'!$AA$5:$AA$304),"",HYPERLINK("#'冷凍品'!D"&amp;(MATCH(164,'冷凍品'!$AA$5:$AA$304,0)+4),INDEX('冷凍品'!$D$5:$D$304,MATCH(164,'冷凍品'!$AA$5:$AA$304,0))))</f>
        <v/>
      </c>
    </row>
    <row r="186">
      <c xmlns="http://schemas.openxmlformats.org/spreadsheetml/2006/main" r="B186" s="18" t="str">
        <f>IF(165&gt;MAX('18℃'!$Z$5:$Z$304),"",HYPERLINK("#'18℃'!C"&amp;(MATCH(165,'18℃'!$Z$5:$Z$304,0)+4),INDEX('18℃'!$C$5:$C$304,MATCH(165,'18℃'!$Z$5:$Z$304,0))))</f>
        <v/>
      </c>
      <c xmlns="http://schemas.openxmlformats.org/spreadsheetml/2006/main" r="C186" s="18" t="str">
        <f>IF(165&gt;MAX('4℃飯'!$Z$5:$Z$304),"",HYPERLINK("#'4℃飯'!C"&amp;(MATCH(165,'4℃飯'!$Z$5:$Z$304,0)+4),INDEX('4℃飯'!$C$5:$C$304,MATCH(165,'4℃飯'!$Z$5:$Z$304,0))))</f>
        <v/>
      </c>
      <c xmlns="http://schemas.openxmlformats.org/spreadsheetml/2006/main" r="D186" s="18" t="str">
        <f>IF(165&gt;MAX('4℃麵'!$AA$5:$AA$292),"",HYPERLINK("#'4℃麵'!D"&amp;(MATCH(165,'4℃麵'!$AA$5:$AA$292,0)+4),INDEX('4℃麵'!$D$5:$D$292,MATCH(165,'4℃麵'!$AA$5:$AA$292,0))))</f>
        <v/>
      </c>
      <c xmlns="http://schemas.openxmlformats.org/spreadsheetml/2006/main" r="E186" s="18" t="str">
        <f>IF(165&gt;MAX('4℃其他'!$AA$5:$AA$304),"",HYPERLINK("#'4℃其他'!D"&amp;(MATCH(165,'4℃其他'!$AA$5:$AA$304,0)+4),INDEX('4℃其他'!$D$5:$D$304,MATCH(165,'4℃其他'!$AA$5:$AA$304,0))))</f>
        <v/>
      </c>
      <c xmlns="http://schemas.openxmlformats.org/spreadsheetml/2006/main" r="F186" s="18" t="str">
        <f>IF(165&gt;MAX('冷凍品'!$AA$5:$AA$304),"",HYPERLINK("#'冷凍品'!D"&amp;(MATCH(165,'冷凍品'!$AA$5:$AA$304,0)+4),INDEX('冷凍品'!$D$5:$D$304,MATCH(165,'冷凍品'!$AA$5:$AA$304,0))))</f>
        <v/>
      </c>
    </row>
    <row r="187">
      <c xmlns="http://schemas.openxmlformats.org/spreadsheetml/2006/main" r="B187" s="18" t="str">
        <f>IF(166&gt;MAX('18℃'!$Z$5:$Z$304),"",HYPERLINK("#'18℃'!C"&amp;(MATCH(166,'18℃'!$Z$5:$Z$304,0)+4),INDEX('18℃'!$C$5:$C$304,MATCH(166,'18℃'!$Z$5:$Z$304,0))))</f>
        <v/>
      </c>
      <c xmlns="http://schemas.openxmlformats.org/spreadsheetml/2006/main" r="C187" s="18" t="str">
        <f>IF(166&gt;MAX('4℃飯'!$Z$5:$Z$304),"",HYPERLINK("#'4℃飯'!C"&amp;(MATCH(166,'4℃飯'!$Z$5:$Z$304,0)+4),INDEX('4℃飯'!$C$5:$C$304,MATCH(166,'4℃飯'!$Z$5:$Z$304,0))))</f>
        <v/>
      </c>
      <c xmlns="http://schemas.openxmlformats.org/spreadsheetml/2006/main" r="D187" s="18" t="str">
        <f>IF(166&gt;MAX('4℃麵'!$AA$5:$AA$292),"",HYPERLINK("#'4℃麵'!D"&amp;(MATCH(166,'4℃麵'!$AA$5:$AA$292,0)+4),INDEX('4℃麵'!$D$5:$D$292,MATCH(166,'4℃麵'!$AA$5:$AA$292,0))))</f>
        <v/>
      </c>
      <c xmlns="http://schemas.openxmlformats.org/spreadsheetml/2006/main" r="E187" s="18" t="str">
        <f>IF(166&gt;MAX('4℃其他'!$AA$5:$AA$304),"",HYPERLINK("#'4℃其他'!D"&amp;(MATCH(166,'4℃其他'!$AA$5:$AA$304,0)+4),INDEX('4℃其他'!$D$5:$D$304,MATCH(166,'4℃其他'!$AA$5:$AA$304,0))))</f>
        <v/>
      </c>
      <c xmlns="http://schemas.openxmlformats.org/spreadsheetml/2006/main" r="F187" s="18" t="str">
        <f>IF(166&gt;MAX('冷凍品'!$AA$5:$AA$304),"",HYPERLINK("#'冷凍品'!D"&amp;(MATCH(166,'冷凍品'!$AA$5:$AA$304,0)+4),INDEX('冷凍品'!$D$5:$D$304,MATCH(166,'冷凍品'!$AA$5:$AA$304,0))))</f>
        <v/>
      </c>
    </row>
    <row r="188">
      <c xmlns="http://schemas.openxmlformats.org/spreadsheetml/2006/main" r="B188" s="18" t="str">
        <f>IF(167&gt;MAX('18℃'!$Z$5:$Z$304),"",HYPERLINK("#'18℃'!C"&amp;(MATCH(167,'18℃'!$Z$5:$Z$304,0)+4),INDEX('18℃'!$C$5:$C$304,MATCH(167,'18℃'!$Z$5:$Z$304,0))))</f>
        <v/>
      </c>
      <c xmlns="http://schemas.openxmlformats.org/spreadsheetml/2006/main" r="C188" s="18" t="str">
        <f>IF(167&gt;MAX('4℃飯'!$Z$5:$Z$304),"",HYPERLINK("#'4℃飯'!C"&amp;(MATCH(167,'4℃飯'!$Z$5:$Z$304,0)+4),INDEX('4℃飯'!$C$5:$C$304,MATCH(167,'4℃飯'!$Z$5:$Z$304,0))))</f>
        <v/>
      </c>
      <c xmlns="http://schemas.openxmlformats.org/spreadsheetml/2006/main" r="D188" s="18" t="str">
        <f>IF(167&gt;MAX('4℃麵'!$AA$5:$AA$292),"",HYPERLINK("#'4℃麵'!D"&amp;(MATCH(167,'4℃麵'!$AA$5:$AA$292,0)+4),INDEX('4℃麵'!$D$5:$D$292,MATCH(167,'4℃麵'!$AA$5:$AA$292,0))))</f>
        <v/>
      </c>
      <c xmlns="http://schemas.openxmlformats.org/spreadsheetml/2006/main" r="E188" s="18" t="str">
        <f>IF(167&gt;MAX('4℃其他'!$AA$5:$AA$304),"",HYPERLINK("#'4℃其他'!D"&amp;(MATCH(167,'4℃其他'!$AA$5:$AA$304,0)+4),INDEX('4℃其他'!$D$5:$D$304,MATCH(167,'4℃其他'!$AA$5:$AA$304,0))))</f>
        <v/>
      </c>
      <c xmlns="http://schemas.openxmlformats.org/spreadsheetml/2006/main" r="F188" s="18" t="str">
        <f>IF(167&gt;MAX('冷凍品'!$AA$5:$AA$304),"",HYPERLINK("#'冷凍品'!D"&amp;(MATCH(167,'冷凍品'!$AA$5:$AA$304,0)+4),INDEX('冷凍品'!$D$5:$D$304,MATCH(167,'冷凍品'!$AA$5:$AA$304,0))))</f>
        <v/>
      </c>
    </row>
    <row r="189">
      <c xmlns="http://schemas.openxmlformats.org/spreadsheetml/2006/main" r="B189" s="18" t="str">
        <f>IF(168&gt;MAX('18℃'!$Z$5:$Z$304),"",HYPERLINK("#'18℃'!C"&amp;(MATCH(168,'18℃'!$Z$5:$Z$304,0)+4),INDEX('18℃'!$C$5:$C$304,MATCH(168,'18℃'!$Z$5:$Z$304,0))))</f>
        <v/>
      </c>
      <c xmlns="http://schemas.openxmlformats.org/spreadsheetml/2006/main" r="C189" s="18" t="str">
        <f>IF(168&gt;MAX('4℃飯'!$Z$5:$Z$304),"",HYPERLINK("#'4℃飯'!C"&amp;(MATCH(168,'4℃飯'!$Z$5:$Z$304,0)+4),INDEX('4℃飯'!$C$5:$C$304,MATCH(168,'4℃飯'!$Z$5:$Z$304,0))))</f>
        <v/>
      </c>
      <c xmlns="http://schemas.openxmlformats.org/spreadsheetml/2006/main" r="D189" s="18" t="str">
        <f>IF(168&gt;MAX('4℃麵'!$AA$5:$AA$292),"",HYPERLINK("#'4℃麵'!D"&amp;(MATCH(168,'4℃麵'!$AA$5:$AA$292,0)+4),INDEX('4℃麵'!$D$5:$D$292,MATCH(168,'4℃麵'!$AA$5:$AA$292,0))))</f>
        <v/>
      </c>
      <c xmlns="http://schemas.openxmlformats.org/spreadsheetml/2006/main" r="E189" s="18" t="str">
        <f>IF(168&gt;MAX('4℃其他'!$AA$5:$AA$304),"",HYPERLINK("#'4℃其他'!D"&amp;(MATCH(168,'4℃其他'!$AA$5:$AA$304,0)+4),INDEX('4℃其他'!$D$5:$D$304,MATCH(168,'4℃其他'!$AA$5:$AA$304,0))))</f>
        <v/>
      </c>
      <c xmlns="http://schemas.openxmlformats.org/spreadsheetml/2006/main" r="F189" s="18" t="str">
        <f>IF(168&gt;MAX('冷凍品'!$AA$5:$AA$304),"",HYPERLINK("#'冷凍品'!D"&amp;(MATCH(168,'冷凍品'!$AA$5:$AA$304,0)+4),INDEX('冷凍品'!$D$5:$D$304,MATCH(168,'冷凍品'!$AA$5:$AA$304,0))))</f>
        <v/>
      </c>
    </row>
    <row r="190">
      <c xmlns="http://schemas.openxmlformats.org/spreadsheetml/2006/main" r="B190" s="18" t="str">
        <f>IF(169&gt;MAX('18℃'!$Z$5:$Z$304),"",HYPERLINK("#'18℃'!C"&amp;(MATCH(169,'18℃'!$Z$5:$Z$304,0)+4),INDEX('18℃'!$C$5:$C$304,MATCH(169,'18℃'!$Z$5:$Z$304,0))))</f>
        <v/>
      </c>
      <c xmlns="http://schemas.openxmlformats.org/spreadsheetml/2006/main" r="C190" s="18" t="str">
        <f>IF(169&gt;MAX('4℃飯'!$Z$5:$Z$304),"",HYPERLINK("#'4℃飯'!C"&amp;(MATCH(169,'4℃飯'!$Z$5:$Z$304,0)+4),INDEX('4℃飯'!$C$5:$C$304,MATCH(169,'4℃飯'!$Z$5:$Z$304,0))))</f>
        <v/>
      </c>
      <c xmlns="http://schemas.openxmlformats.org/spreadsheetml/2006/main" r="D190" s="18" t="str">
        <f>IF(169&gt;MAX('4℃麵'!$AA$5:$AA$292),"",HYPERLINK("#'4℃麵'!D"&amp;(MATCH(169,'4℃麵'!$AA$5:$AA$292,0)+4),INDEX('4℃麵'!$D$5:$D$292,MATCH(169,'4℃麵'!$AA$5:$AA$292,0))))</f>
        <v/>
      </c>
      <c xmlns="http://schemas.openxmlformats.org/spreadsheetml/2006/main" r="E190" s="18" t="str">
        <f>IF(169&gt;MAX('4℃其他'!$AA$5:$AA$304),"",HYPERLINK("#'4℃其他'!D"&amp;(MATCH(169,'4℃其他'!$AA$5:$AA$304,0)+4),INDEX('4℃其他'!$D$5:$D$304,MATCH(169,'4℃其他'!$AA$5:$AA$304,0))))</f>
        <v/>
      </c>
      <c xmlns="http://schemas.openxmlformats.org/spreadsheetml/2006/main" r="F190" s="18" t="str">
        <f>IF(169&gt;MAX('冷凍品'!$AA$5:$AA$304),"",HYPERLINK("#'冷凍品'!D"&amp;(MATCH(169,'冷凍品'!$AA$5:$AA$304,0)+4),INDEX('冷凍品'!$D$5:$D$304,MATCH(169,'冷凍品'!$AA$5:$AA$304,0))))</f>
        <v/>
      </c>
    </row>
    <row r="191">
      <c xmlns="http://schemas.openxmlformats.org/spreadsheetml/2006/main" r="B191" s="18" t="str">
        <f>IF(170&gt;MAX('18℃'!$Z$5:$Z$304),"",HYPERLINK("#'18℃'!C"&amp;(MATCH(170,'18℃'!$Z$5:$Z$304,0)+4),INDEX('18℃'!$C$5:$C$304,MATCH(170,'18℃'!$Z$5:$Z$304,0))))</f>
        <v/>
      </c>
      <c xmlns="http://schemas.openxmlformats.org/spreadsheetml/2006/main" r="C191" s="18" t="str">
        <f>IF(170&gt;MAX('4℃飯'!$Z$5:$Z$304),"",HYPERLINK("#'4℃飯'!C"&amp;(MATCH(170,'4℃飯'!$Z$5:$Z$304,0)+4),INDEX('4℃飯'!$C$5:$C$304,MATCH(170,'4℃飯'!$Z$5:$Z$304,0))))</f>
        <v/>
      </c>
      <c xmlns="http://schemas.openxmlformats.org/spreadsheetml/2006/main" r="D191" s="18" t="str">
        <f>IF(170&gt;MAX('4℃麵'!$AA$5:$AA$292),"",HYPERLINK("#'4℃麵'!D"&amp;(MATCH(170,'4℃麵'!$AA$5:$AA$292,0)+4),INDEX('4℃麵'!$D$5:$D$292,MATCH(170,'4℃麵'!$AA$5:$AA$292,0))))</f>
        <v/>
      </c>
      <c xmlns="http://schemas.openxmlformats.org/spreadsheetml/2006/main" r="E191" s="18" t="str">
        <f>IF(170&gt;MAX('4℃其他'!$AA$5:$AA$304),"",HYPERLINK("#'4℃其他'!D"&amp;(MATCH(170,'4℃其他'!$AA$5:$AA$304,0)+4),INDEX('4℃其他'!$D$5:$D$304,MATCH(170,'4℃其他'!$AA$5:$AA$304,0))))</f>
        <v/>
      </c>
      <c xmlns="http://schemas.openxmlformats.org/spreadsheetml/2006/main" r="F191" s="18" t="str">
        <f>IF(170&gt;MAX('冷凍品'!$AA$5:$AA$304),"",HYPERLINK("#'冷凍品'!D"&amp;(MATCH(170,'冷凍品'!$AA$5:$AA$304,0)+4),INDEX('冷凍品'!$D$5:$D$304,MATCH(170,'冷凍品'!$AA$5:$AA$304,0))))</f>
        <v/>
      </c>
    </row>
    <row r="192">
      <c xmlns="http://schemas.openxmlformats.org/spreadsheetml/2006/main" r="B192" s="18" t="str">
        <f>IF(171&gt;MAX('18℃'!$Z$5:$Z$304),"",HYPERLINK("#'18℃'!C"&amp;(MATCH(171,'18℃'!$Z$5:$Z$304,0)+4),INDEX('18℃'!$C$5:$C$304,MATCH(171,'18℃'!$Z$5:$Z$304,0))))</f>
        <v/>
      </c>
      <c xmlns="http://schemas.openxmlformats.org/spreadsheetml/2006/main" r="C192" s="18" t="str">
        <f>IF(171&gt;MAX('4℃飯'!$Z$5:$Z$304),"",HYPERLINK("#'4℃飯'!C"&amp;(MATCH(171,'4℃飯'!$Z$5:$Z$304,0)+4),INDEX('4℃飯'!$C$5:$C$304,MATCH(171,'4℃飯'!$Z$5:$Z$304,0))))</f>
        <v/>
      </c>
      <c xmlns="http://schemas.openxmlformats.org/spreadsheetml/2006/main" r="D192" s="18" t="str">
        <f>IF(171&gt;MAX('4℃麵'!$AA$5:$AA$292),"",HYPERLINK("#'4℃麵'!D"&amp;(MATCH(171,'4℃麵'!$AA$5:$AA$292,0)+4),INDEX('4℃麵'!$D$5:$D$292,MATCH(171,'4℃麵'!$AA$5:$AA$292,0))))</f>
        <v/>
      </c>
      <c xmlns="http://schemas.openxmlformats.org/spreadsheetml/2006/main" r="E192" s="18" t="str">
        <f>IF(171&gt;MAX('4℃其他'!$AA$5:$AA$304),"",HYPERLINK("#'4℃其他'!D"&amp;(MATCH(171,'4℃其他'!$AA$5:$AA$304,0)+4),INDEX('4℃其他'!$D$5:$D$304,MATCH(171,'4℃其他'!$AA$5:$AA$304,0))))</f>
        <v/>
      </c>
      <c xmlns="http://schemas.openxmlformats.org/spreadsheetml/2006/main" r="F192" s="18" t="str">
        <f>IF(171&gt;MAX('冷凍品'!$AA$5:$AA$304),"",HYPERLINK("#'冷凍品'!D"&amp;(MATCH(171,'冷凍品'!$AA$5:$AA$304,0)+4),INDEX('冷凍品'!$D$5:$D$304,MATCH(171,'冷凍品'!$AA$5:$AA$304,0))))</f>
        <v/>
      </c>
    </row>
    <row r="193">
      <c xmlns="http://schemas.openxmlformats.org/spreadsheetml/2006/main" r="B193" s="18" t="str">
        <f>IF(172&gt;MAX('18℃'!$Z$5:$Z$304),"",HYPERLINK("#'18℃'!C"&amp;(MATCH(172,'18℃'!$Z$5:$Z$304,0)+4),INDEX('18℃'!$C$5:$C$304,MATCH(172,'18℃'!$Z$5:$Z$304,0))))</f>
        <v/>
      </c>
      <c xmlns="http://schemas.openxmlformats.org/spreadsheetml/2006/main" r="C193" s="18" t="str">
        <f>IF(172&gt;MAX('4℃飯'!$Z$5:$Z$304),"",HYPERLINK("#'4℃飯'!C"&amp;(MATCH(172,'4℃飯'!$Z$5:$Z$304,0)+4),INDEX('4℃飯'!$C$5:$C$304,MATCH(172,'4℃飯'!$Z$5:$Z$304,0))))</f>
        <v/>
      </c>
      <c xmlns="http://schemas.openxmlformats.org/spreadsheetml/2006/main" r="D193" s="18" t="str">
        <f>IF(172&gt;MAX('4℃麵'!$AA$5:$AA$292),"",HYPERLINK("#'4℃麵'!D"&amp;(MATCH(172,'4℃麵'!$AA$5:$AA$292,0)+4),INDEX('4℃麵'!$D$5:$D$292,MATCH(172,'4℃麵'!$AA$5:$AA$292,0))))</f>
        <v/>
      </c>
      <c xmlns="http://schemas.openxmlformats.org/spreadsheetml/2006/main" r="E193" s="18" t="str">
        <f>IF(172&gt;MAX('4℃其他'!$AA$5:$AA$304),"",HYPERLINK("#'4℃其他'!D"&amp;(MATCH(172,'4℃其他'!$AA$5:$AA$304,0)+4),INDEX('4℃其他'!$D$5:$D$304,MATCH(172,'4℃其他'!$AA$5:$AA$304,0))))</f>
        <v/>
      </c>
      <c xmlns="http://schemas.openxmlformats.org/spreadsheetml/2006/main" r="F193" s="18" t="str">
        <f>IF(172&gt;MAX('冷凍品'!$AA$5:$AA$304),"",HYPERLINK("#'冷凍品'!D"&amp;(MATCH(172,'冷凍品'!$AA$5:$AA$304,0)+4),INDEX('冷凍品'!$D$5:$D$304,MATCH(172,'冷凍品'!$AA$5:$AA$304,0))))</f>
        <v/>
      </c>
    </row>
    <row r="194">
      <c xmlns="http://schemas.openxmlformats.org/spreadsheetml/2006/main" r="B194" s="18" t="str">
        <f>IF(173&gt;MAX('18℃'!$Z$5:$Z$304),"",HYPERLINK("#'18℃'!C"&amp;(MATCH(173,'18℃'!$Z$5:$Z$304,0)+4),INDEX('18℃'!$C$5:$C$304,MATCH(173,'18℃'!$Z$5:$Z$304,0))))</f>
        <v/>
      </c>
      <c xmlns="http://schemas.openxmlformats.org/spreadsheetml/2006/main" r="C194" s="18" t="str">
        <f>IF(173&gt;MAX('4℃飯'!$Z$5:$Z$304),"",HYPERLINK("#'4℃飯'!C"&amp;(MATCH(173,'4℃飯'!$Z$5:$Z$304,0)+4),INDEX('4℃飯'!$C$5:$C$304,MATCH(173,'4℃飯'!$Z$5:$Z$304,0))))</f>
        <v/>
      </c>
      <c xmlns="http://schemas.openxmlformats.org/spreadsheetml/2006/main" r="D194" s="18" t="str">
        <f>IF(173&gt;MAX('4℃麵'!$AA$5:$AA$292),"",HYPERLINK("#'4℃麵'!D"&amp;(MATCH(173,'4℃麵'!$AA$5:$AA$292,0)+4),INDEX('4℃麵'!$D$5:$D$292,MATCH(173,'4℃麵'!$AA$5:$AA$292,0))))</f>
        <v/>
      </c>
      <c xmlns="http://schemas.openxmlformats.org/spreadsheetml/2006/main" r="E194" s="18" t="str">
        <f>IF(173&gt;MAX('4℃其他'!$AA$5:$AA$304),"",HYPERLINK("#'4℃其他'!D"&amp;(MATCH(173,'4℃其他'!$AA$5:$AA$304,0)+4),INDEX('4℃其他'!$D$5:$D$304,MATCH(173,'4℃其他'!$AA$5:$AA$304,0))))</f>
        <v/>
      </c>
      <c xmlns="http://schemas.openxmlformats.org/spreadsheetml/2006/main" r="F194" s="18" t="str">
        <f>IF(173&gt;MAX('冷凍品'!$AA$5:$AA$304),"",HYPERLINK("#'冷凍品'!D"&amp;(MATCH(173,'冷凍品'!$AA$5:$AA$304,0)+4),INDEX('冷凍品'!$D$5:$D$304,MATCH(173,'冷凍品'!$AA$5:$AA$304,0))))</f>
        <v/>
      </c>
    </row>
    <row r="195">
      <c xmlns="http://schemas.openxmlformats.org/spreadsheetml/2006/main" r="B195" s="18" t="str">
        <f>IF(174&gt;MAX('18℃'!$Z$5:$Z$304),"",HYPERLINK("#'18℃'!C"&amp;(MATCH(174,'18℃'!$Z$5:$Z$304,0)+4),INDEX('18℃'!$C$5:$C$304,MATCH(174,'18℃'!$Z$5:$Z$304,0))))</f>
        <v/>
      </c>
      <c xmlns="http://schemas.openxmlformats.org/spreadsheetml/2006/main" r="C195" s="18" t="str">
        <f>IF(174&gt;MAX('4℃飯'!$Z$5:$Z$304),"",HYPERLINK("#'4℃飯'!C"&amp;(MATCH(174,'4℃飯'!$Z$5:$Z$304,0)+4),INDEX('4℃飯'!$C$5:$C$304,MATCH(174,'4℃飯'!$Z$5:$Z$304,0))))</f>
        <v/>
      </c>
      <c xmlns="http://schemas.openxmlformats.org/spreadsheetml/2006/main" r="D195" s="18" t="str">
        <f>IF(174&gt;MAX('4℃麵'!$AA$5:$AA$292),"",HYPERLINK("#'4℃麵'!D"&amp;(MATCH(174,'4℃麵'!$AA$5:$AA$292,0)+4),INDEX('4℃麵'!$D$5:$D$292,MATCH(174,'4℃麵'!$AA$5:$AA$292,0))))</f>
        <v/>
      </c>
      <c xmlns="http://schemas.openxmlformats.org/spreadsheetml/2006/main" r="E195" s="18" t="str">
        <f>IF(174&gt;MAX('4℃其他'!$AA$5:$AA$304),"",HYPERLINK("#'4℃其他'!D"&amp;(MATCH(174,'4℃其他'!$AA$5:$AA$304,0)+4),INDEX('4℃其他'!$D$5:$D$304,MATCH(174,'4℃其他'!$AA$5:$AA$304,0))))</f>
        <v/>
      </c>
      <c xmlns="http://schemas.openxmlformats.org/spreadsheetml/2006/main" r="F195" s="18" t="str">
        <f>IF(174&gt;MAX('冷凍品'!$AA$5:$AA$304),"",HYPERLINK("#'冷凍品'!D"&amp;(MATCH(174,'冷凍品'!$AA$5:$AA$304,0)+4),INDEX('冷凍品'!$D$5:$D$304,MATCH(174,'冷凍品'!$AA$5:$AA$304,0))))</f>
        <v/>
      </c>
    </row>
    <row r="196">
      <c xmlns="http://schemas.openxmlformats.org/spreadsheetml/2006/main" r="B196" s="18" t="str">
        <f>IF(175&gt;MAX('18℃'!$Z$5:$Z$304),"",HYPERLINK("#'18℃'!C"&amp;(MATCH(175,'18℃'!$Z$5:$Z$304,0)+4),INDEX('18℃'!$C$5:$C$304,MATCH(175,'18℃'!$Z$5:$Z$304,0))))</f>
        <v/>
      </c>
      <c xmlns="http://schemas.openxmlformats.org/spreadsheetml/2006/main" r="C196" s="18" t="str">
        <f>IF(175&gt;MAX('4℃飯'!$Z$5:$Z$304),"",HYPERLINK("#'4℃飯'!C"&amp;(MATCH(175,'4℃飯'!$Z$5:$Z$304,0)+4),INDEX('4℃飯'!$C$5:$C$304,MATCH(175,'4℃飯'!$Z$5:$Z$304,0))))</f>
        <v/>
      </c>
      <c xmlns="http://schemas.openxmlformats.org/spreadsheetml/2006/main" r="D196" s="18" t="str">
        <f>IF(175&gt;MAX('4℃麵'!$AA$5:$AA$292),"",HYPERLINK("#'4℃麵'!D"&amp;(MATCH(175,'4℃麵'!$AA$5:$AA$292,0)+4),INDEX('4℃麵'!$D$5:$D$292,MATCH(175,'4℃麵'!$AA$5:$AA$292,0))))</f>
        <v/>
      </c>
      <c xmlns="http://schemas.openxmlformats.org/spreadsheetml/2006/main" r="E196" s="18" t="str">
        <f>IF(175&gt;MAX('4℃其他'!$AA$5:$AA$304),"",HYPERLINK("#'4℃其他'!D"&amp;(MATCH(175,'4℃其他'!$AA$5:$AA$304,0)+4),INDEX('4℃其他'!$D$5:$D$304,MATCH(175,'4℃其他'!$AA$5:$AA$304,0))))</f>
        <v/>
      </c>
      <c xmlns="http://schemas.openxmlformats.org/spreadsheetml/2006/main" r="F196" s="18" t="str">
        <f>IF(175&gt;MAX('冷凍品'!$AA$5:$AA$304),"",HYPERLINK("#'冷凍品'!D"&amp;(MATCH(175,'冷凍品'!$AA$5:$AA$304,0)+4),INDEX('冷凍品'!$D$5:$D$304,MATCH(175,'冷凍品'!$AA$5:$AA$304,0))))</f>
        <v/>
      </c>
    </row>
    <row r="197">
      <c xmlns="http://schemas.openxmlformats.org/spreadsheetml/2006/main" r="B197" s="18" t="str">
        <f>IF(176&gt;MAX('18℃'!$Z$5:$Z$304),"",HYPERLINK("#'18℃'!C"&amp;(MATCH(176,'18℃'!$Z$5:$Z$304,0)+4),INDEX('18℃'!$C$5:$C$304,MATCH(176,'18℃'!$Z$5:$Z$304,0))))</f>
        <v/>
      </c>
      <c xmlns="http://schemas.openxmlformats.org/spreadsheetml/2006/main" r="C197" s="18" t="str">
        <f>IF(176&gt;MAX('4℃飯'!$Z$5:$Z$304),"",HYPERLINK("#'4℃飯'!C"&amp;(MATCH(176,'4℃飯'!$Z$5:$Z$304,0)+4),INDEX('4℃飯'!$C$5:$C$304,MATCH(176,'4℃飯'!$Z$5:$Z$304,0))))</f>
        <v/>
      </c>
      <c xmlns="http://schemas.openxmlformats.org/spreadsheetml/2006/main" r="D197" s="18" t="str">
        <f>IF(176&gt;MAX('4℃麵'!$AA$5:$AA$292),"",HYPERLINK("#'4℃麵'!D"&amp;(MATCH(176,'4℃麵'!$AA$5:$AA$292,0)+4),INDEX('4℃麵'!$D$5:$D$292,MATCH(176,'4℃麵'!$AA$5:$AA$292,0))))</f>
        <v/>
      </c>
      <c xmlns="http://schemas.openxmlformats.org/spreadsheetml/2006/main" r="E197" s="18" t="str">
        <f>IF(176&gt;MAX('4℃其他'!$AA$5:$AA$304),"",HYPERLINK("#'4℃其他'!D"&amp;(MATCH(176,'4℃其他'!$AA$5:$AA$304,0)+4),INDEX('4℃其他'!$D$5:$D$304,MATCH(176,'4℃其他'!$AA$5:$AA$304,0))))</f>
        <v/>
      </c>
      <c xmlns="http://schemas.openxmlformats.org/spreadsheetml/2006/main" r="F197" s="18" t="str">
        <f>IF(176&gt;MAX('冷凍品'!$AA$5:$AA$304),"",HYPERLINK("#'冷凍品'!D"&amp;(MATCH(176,'冷凍品'!$AA$5:$AA$304,0)+4),INDEX('冷凍品'!$D$5:$D$304,MATCH(176,'冷凍品'!$AA$5:$AA$304,0))))</f>
        <v/>
      </c>
    </row>
    <row r="198">
      <c xmlns="http://schemas.openxmlformats.org/spreadsheetml/2006/main" r="B198" s="18" t="str">
        <f>IF(177&gt;MAX('18℃'!$Z$5:$Z$304),"",HYPERLINK("#'18℃'!C"&amp;(MATCH(177,'18℃'!$Z$5:$Z$304,0)+4),INDEX('18℃'!$C$5:$C$304,MATCH(177,'18℃'!$Z$5:$Z$304,0))))</f>
        <v/>
      </c>
      <c xmlns="http://schemas.openxmlformats.org/spreadsheetml/2006/main" r="C198" s="18" t="str">
        <f>IF(177&gt;MAX('4℃飯'!$Z$5:$Z$304),"",HYPERLINK("#'4℃飯'!C"&amp;(MATCH(177,'4℃飯'!$Z$5:$Z$304,0)+4),INDEX('4℃飯'!$C$5:$C$304,MATCH(177,'4℃飯'!$Z$5:$Z$304,0))))</f>
        <v/>
      </c>
      <c xmlns="http://schemas.openxmlformats.org/spreadsheetml/2006/main" r="D198" s="18" t="str">
        <f>IF(177&gt;MAX('4℃麵'!$AA$5:$AA$292),"",HYPERLINK("#'4℃麵'!D"&amp;(MATCH(177,'4℃麵'!$AA$5:$AA$292,0)+4),INDEX('4℃麵'!$D$5:$D$292,MATCH(177,'4℃麵'!$AA$5:$AA$292,0))))</f>
        <v/>
      </c>
      <c xmlns="http://schemas.openxmlformats.org/spreadsheetml/2006/main" r="E198" s="18" t="str">
        <f>IF(177&gt;MAX('4℃其他'!$AA$5:$AA$304),"",HYPERLINK("#'4℃其他'!D"&amp;(MATCH(177,'4℃其他'!$AA$5:$AA$304,0)+4),INDEX('4℃其他'!$D$5:$D$304,MATCH(177,'4℃其他'!$AA$5:$AA$304,0))))</f>
        <v/>
      </c>
      <c xmlns="http://schemas.openxmlformats.org/spreadsheetml/2006/main" r="F198" s="18" t="str">
        <f>IF(177&gt;MAX('冷凍品'!$AA$5:$AA$304),"",HYPERLINK("#'冷凍品'!D"&amp;(MATCH(177,'冷凍品'!$AA$5:$AA$304,0)+4),INDEX('冷凍品'!$D$5:$D$304,MATCH(177,'冷凍品'!$AA$5:$AA$304,0))))</f>
        <v/>
      </c>
    </row>
    <row r="199">
      <c xmlns="http://schemas.openxmlformats.org/spreadsheetml/2006/main" r="B199" s="18" t="str">
        <f>IF(178&gt;MAX('18℃'!$Z$5:$Z$304),"",HYPERLINK("#'18℃'!C"&amp;(MATCH(178,'18℃'!$Z$5:$Z$304,0)+4),INDEX('18℃'!$C$5:$C$304,MATCH(178,'18℃'!$Z$5:$Z$304,0))))</f>
        <v/>
      </c>
      <c xmlns="http://schemas.openxmlformats.org/spreadsheetml/2006/main" r="C199" s="18" t="str">
        <f>IF(178&gt;MAX('4℃飯'!$Z$5:$Z$304),"",HYPERLINK("#'4℃飯'!C"&amp;(MATCH(178,'4℃飯'!$Z$5:$Z$304,0)+4),INDEX('4℃飯'!$C$5:$C$304,MATCH(178,'4℃飯'!$Z$5:$Z$304,0))))</f>
        <v/>
      </c>
      <c xmlns="http://schemas.openxmlformats.org/spreadsheetml/2006/main" r="D199" s="18" t="str">
        <f>IF(178&gt;MAX('4℃麵'!$AA$5:$AA$292),"",HYPERLINK("#'4℃麵'!D"&amp;(MATCH(178,'4℃麵'!$AA$5:$AA$292,0)+4),INDEX('4℃麵'!$D$5:$D$292,MATCH(178,'4℃麵'!$AA$5:$AA$292,0))))</f>
        <v/>
      </c>
      <c xmlns="http://schemas.openxmlformats.org/spreadsheetml/2006/main" r="E199" s="18" t="str">
        <f>IF(178&gt;MAX('4℃其他'!$AA$5:$AA$304),"",HYPERLINK("#'4℃其他'!D"&amp;(MATCH(178,'4℃其他'!$AA$5:$AA$304,0)+4),INDEX('4℃其他'!$D$5:$D$304,MATCH(178,'4℃其他'!$AA$5:$AA$304,0))))</f>
        <v/>
      </c>
      <c xmlns="http://schemas.openxmlformats.org/spreadsheetml/2006/main" r="F199" s="18" t="str">
        <f>IF(178&gt;MAX('冷凍品'!$AA$5:$AA$304),"",HYPERLINK("#'冷凍品'!D"&amp;(MATCH(178,'冷凍品'!$AA$5:$AA$304,0)+4),INDEX('冷凍品'!$D$5:$D$304,MATCH(178,'冷凍品'!$AA$5:$AA$304,0))))</f>
        <v/>
      </c>
    </row>
    <row r="200">
      <c xmlns="http://schemas.openxmlformats.org/spreadsheetml/2006/main" r="B200" s="18" t="str">
        <f>IF(179&gt;MAX('18℃'!$Z$5:$Z$304),"",HYPERLINK("#'18℃'!C"&amp;(MATCH(179,'18℃'!$Z$5:$Z$304,0)+4),INDEX('18℃'!$C$5:$C$304,MATCH(179,'18℃'!$Z$5:$Z$304,0))))</f>
        <v/>
      </c>
      <c xmlns="http://schemas.openxmlformats.org/spreadsheetml/2006/main" r="C200" s="18" t="str">
        <f>IF(179&gt;MAX('4℃飯'!$Z$5:$Z$304),"",HYPERLINK("#'4℃飯'!C"&amp;(MATCH(179,'4℃飯'!$Z$5:$Z$304,0)+4),INDEX('4℃飯'!$C$5:$C$304,MATCH(179,'4℃飯'!$Z$5:$Z$304,0))))</f>
        <v/>
      </c>
      <c xmlns="http://schemas.openxmlformats.org/spreadsheetml/2006/main" r="D200" s="18" t="str">
        <f>IF(179&gt;MAX('4℃麵'!$AA$5:$AA$292),"",HYPERLINK("#'4℃麵'!D"&amp;(MATCH(179,'4℃麵'!$AA$5:$AA$292,0)+4),INDEX('4℃麵'!$D$5:$D$292,MATCH(179,'4℃麵'!$AA$5:$AA$292,0))))</f>
        <v/>
      </c>
      <c xmlns="http://schemas.openxmlformats.org/spreadsheetml/2006/main" r="E200" s="18" t="str">
        <f>IF(179&gt;MAX('4℃其他'!$AA$5:$AA$304),"",HYPERLINK("#'4℃其他'!D"&amp;(MATCH(179,'4℃其他'!$AA$5:$AA$304,0)+4),INDEX('4℃其他'!$D$5:$D$304,MATCH(179,'4℃其他'!$AA$5:$AA$304,0))))</f>
        <v/>
      </c>
      <c xmlns="http://schemas.openxmlformats.org/spreadsheetml/2006/main" r="F200" s="18" t="str">
        <f>IF(179&gt;MAX('冷凍品'!$AA$5:$AA$304),"",HYPERLINK("#'冷凍品'!D"&amp;(MATCH(179,'冷凍品'!$AA$5:$AA$304,0)+4),INDEX('冷凍品'!$D$5:$D$304,MATCH(179,'冷凍品'!$AA$5:$AA$304,0))))</f>
        <v/>
      </c>
    </row>
    <row r="201">
      <c xmlns="http://schemas.openxmlformats.org/spreadsheetml/2006/main" r="B201" s="18" t="str">
        <f>IF(180&gt;MAX('18℃'!$Z$5:$Z$304),"",HYPERLINK("#'18℃'!C"&amp;(MATCH(180,'18℃'!$Z$5:$Z$304,0)+4),INDEX('18℃'!$C$5:$C$304,MATCH(180,'18℃'!$Z$5:$Z$304,0))))</f>
        <v/>
      </c>
      <c xmlns="http://schemas.openxmlformats.org/spreadsheetml/2006/main" r="C201" s="18" t="str">
        <f>IF(180&gt;MAX('4℃飯'!$Z$5:$Z$304),"",HYPERLINK("#'4℃飯'!C"&amp;(MATCH(180,'4℃飯'!$Z$5:$Z$304,0)+4),INDEX('4℃飯'!$C$5:$C$304,MATCH(180,'4℃飯'!$Z$5:$Z$304,0))))</f>
        <v/>
      </c>
      <c xmlns="http://schemas.openxmlformats.org/spreadsheetml/2006/main" r="D201" s="18" t="str">
        <f>IF(180&gt;MAX('4℃麵'!$AA$5:$AA$292),"",HYPERLINK("#'4℃麵'!D"&amp;(MATCH(180,'4℃麵'!$AA$5:$AA$292,0)+4),INDEX('4℃麵'!$D$5:$D$292,MATCH(180,'4℃麵'!$AA$5:$AA$292,0))))</f>
        <v/>
      </c>
      <c xmlns="http://schemas.openxmlformats.org/spreadsheetml/2006/main" r="E201" s="18" t="str">
        <f>IF(180&gt;MAX('4℃其他'!$AA$5:$AA$304),"",HYPERLINK("#'4℃其他'!D"&amp;(MATCH(180,'4℃其他'!$AA$5:$AA$304,0)+4),INDEX('4℃其他'!$D$5:$D$304,MATCH(180,'4℃其他'!$AA$5:$AA$304,0))))</f>
        <v/>
      </c>
      <c xmlns="http://schemas.openxmlformats.org/spreadsheetml/2006/main" r="F201" s="18" t="str">
        <f>IF(180&gt;MAX('冷凍品'!$AA$5:$AA$304),"",HYPERLINK("#'冷凍品'!D"&amp;(MATCH(180,'冷凍品'!$AA$5:$AA$304,0)+4),INDEX('冷凍品'!$D$5:$D$304,MATCH(180,'冷凍品'!$AA$5:$AA$304,0))))</f>
        <v/>
      </c>
    </row>
    <row r="202">
      <c xmlns="http://schemas.openxmlformats.org/spreadsheetml/2006/main" r="B202" s="18" t="str">
        <f>IF(181&gt;MAX('18℃'!$Z$5:$Z$304),"",HYPERLINK("#'18℃'!C"&amp;(MATCH(181,'18℃'!$Z$5:$Z$304,0)+4),INDEX('18℃'!$C$5:$C$304,MATCH(181,'18℃'!$Z$5:$Z$304,0))))</f>
        <v/>
      </c>
      <c xmlns="http://schemas.openxmlformats.org/spreadsheetml/2006/main" r="C202" s="18" t="str">
        <f>IF(181&gt;MAX('4℃飯'!$Z$5:$Z$304),"",HYPERLINK("#'4℃飯'!C"&amp;(MATCH(181,'4℃飯'!$Z$5:$Z$304,0)+4),INDEX('4℃飯'!$C$5:$C$304,MATCH(181,'4℃飯'!$Z$5:$Z$304,0))))</f>
        <v/>
      </c>
      <c xmlns="http://schemas.openxmlformats.org/spreadsheetml/2006/main" r="D202" s="18" t="str">
        <f>IF(181&gt;MAX('4℃麵'!$AA$5:$AA$292),"",HYPERLINK("#'4℃麵'!D"&amp;(MATCH(181,'4℃麵'!$AA$5:$AA$292,0)+4),INDEX('4℃麵'!$D$5:$D$292,MATCH(181,'4℃麵'!$AA$5:$AA$292,0))))</f>
        <v/>
      </c>
      <c xmlns="http://schemas.openxmlformats.org/spreadsheetml/2006/main" r="E202" s="18" t="str">
        <f>IF(181&gt;MAX('4℃其他'!$AA$5:$AA$304),"",HYPERLINK("#'4℃其他'!D"&amp;(MATCH(181,'4℃其他'!$AA$5:$AA$304,0)+4),INDEX('4℃其他'!$D$5:$D$304,MATCH(181,'4℃其他'!$AA$5:$AA$304,0))))</f>
        <v/>
      </c>
      <c xmlns="http://schemas.openxmlformats.org/spreadsheetml/2006/main" r="F202" s="18" t="str">
        <f>IF(181&gt;MAX('冷凍品'!$AA$5:$AA$304),"",HYPERLINK("#'冷凍品'!D"&amp;(MATCH(181,'冷凍品'!$AA$5:$AA$304,0)+4),INDEX('冷凍品'!$D$5:$D$304,MATCH(181,'冷凍品'!$AA$5:$AA$304,0))))</f>
        <v/>
      </c>
    </row>
    <row r="203">
      <c xmlns="http://schemas.openxmlformats.org/spreadsheetml/2006/main" r="B203" s="18" t="str">
        <f>IF(182&gt;MAX('18℃'!$Z$5:$Z$304),"",HYPERLINK("#'18℃'!C"&amp;(MATCH(182,'18℃'!$Z$5:$Z$304,0)+4),INDEX('18℃'!$C$5:$C$304,MATCH(182,'18℃'!$Z$5:$Z$304,0))))</f>
        <v/>
      </c>
      <c xmlns="http://schemas.openxmlformats.org/spreadsheetml/2006/main" r="C203" s="18" t="str">
        <f>IF(182&gt;MAX('4℃飯'!$Z$5:$Z$304),"",HYPERLINK("#'4℃飯'!C"&amp;(MATCH(182,'4℃飯'!$Z$5:$Z$304,0)+4),INDEX('4℃飯'!$C$5:$C$304,MATCH(182,'4℃飯'!$Z$5:$Z$304,0))))</f>
        <v/>
      </c>
      <c xmlns="http://schemas.openxmlformats.org/spreadsheetml/2006/main" r="D203" s="18" t="str">
        <f>IF(182&gt;MAX('4℃麵'!$AA$5:$AA$292),"",HYPERLINK("#'4℃麵'!D"&amp;(MATCH(182,'4℃麵'!$AA$5:$AA$292,0)+4),INDEX('4℃麵'!$D$5:$D$292,MATCH(182,'4℃麵'!$AA$5:$AA$292,0))))</f>
        <v/>
      </c>
      <c xmlns="http://schemas.openxmlformats.org/spreadsheetml/2006/main" r="E203" s="18" t="str">
        <f>IF(182&gt;MAX('4℃其他'!$AA$5:$AA$304),"",HYPERLINK("#'4℃其他'!D"&amp;(MATCH(182,'4℃其他'!$AA$5:$AA$304,0)+4),INDEX('4℃其他'!$D$5:$D$304,MATCH(182,'4℃其他'!$AA$5:$AA$304,0))))</f>
        <v/>
      </c>
      <c xmlns="http://schemas.openxmlformats.org/spreadsheetml/2006/main" r="F203" s="18" t="str">
        <f>IF(182&gt;MAX('冷凍品'!$AA$5:$AA$304),"",HYPERLINK("#'冷凍品'!D"&amp;(MATCH(182,'冷凍品'!$AA$5:$AA$304,0)+4),INDEX('冷凍品'!$D$5:$D$304,MATCH(182,'冷凍品'!$AA$5:$AA$304,0))))</f>
        <v/>
      </c>
    </row>
    <row r="204">
      <c xmlns="http://schemas.openxmlformats.org/spreadsheetml/2006/main" r="B204" s="18" t="str">
        <f>IF(183&gt;MAX('18℃'!$Z$5:$Z$304),"",HYPERLINK("#'18℃'!C"&amp;(MATCH(183,'18℃'!$Z$5:$Z$304,0)+4),INDEX('18℃'!$C$5:$C$304,MATCH(183,'18℃'!$Z$5:$Z$304,0))))</f>
        <v/>
      </c>
      <c xmlns="http://schemas.openxmlformats.org/spreadsheetml/2006/main" r="C204" s="18" t="str">
        <f>IF(183&gt;MAX('4℃飯'!$Z$5:$Z$304),"",HYPERLINK("#'4℃飯'!C"&amp;(MATCH(183,'4℃飯'!$Z$5:$Z$304,0)+4),INDEX('4℃飯'!$C$5:$C$304,MATCH(183,'4℃飯'!$Z$5:$Z$304,0))))</f>
        <v/>
      </c>
      <c xmlns="http://schemas.openxmlformats.org/spreadsheetml/2006/main" r="D204" s="18" t="str">
        <f>IF(183&gt;MAX('4℃麵'!$AA$5:$AA$292),"",HYPERLINK("#'4℃麵'!D"&amp;(MATCH(183,'4℃麵'!$AA$5:$AA$292,0)+4),INDEX('4℃麵'!$D$5:$D$292,MATCH(183,'4℃麵'!$AA$5:$AA$292,0))))</f>
        <v/>
      </c>
      <c xmlns="http://schemas.openxmlformats.org/spreadsheetml/2006/main" r="E204" s="18" t="str">
        <f>IF(183&gt;MAX('4℃其他'!$AA$5:$AA$304),"",HYPERLINK("#'4℃其他'!D"&amp;(MATCH(183,'4℃其他'!$AA$5:$AA$304,0)+4),INDEX('4℃其他'!$D$5:$D$304,MATCH(183,'4℃其他'!$AA$5:$AA$304,0))))</f>
        <v/>
      </c>
      <c xmlns="http://schemas.openxmlformats.org/spreadsheetml/2006/main" r="F204" s="18" t="str">
        <f>IF(183&gt;MAX('冷凍品'!$AA$5:$AA$304),"",HYPERLINK("#'冷凍品'!D"&amp;(MATCH(183,'冷凍品'!$AA$5:$AA$304,0)+4),INDEX('冷凍品'!$D$5:$D$304,MATCH(183,'冷凍品'!$AA$5:$AA$304,0))))</f>
        <v/>
      </c>
    </row>
    <row r="205">
      <c xmlns="http://schemas.openxmlformats.org/spreadsheetml/2006/main" r="B205" s="18" t="str">
        <f>IF(184&gt;MAX('18℃'!$Z$5:$Z$304),"",HYPERLINK("#'18℃'!C"&amp;(MATCH(184,'18℃'!$Z$5:$Z$304,0)+4),INDEX('18℃'!$C$5:$C$304,MATCH(184,'18℃'!$Z$5:$Z$304,0))))</f>
        <v/>
      </c>
      <c xmlns="http://schemas.openxmlformats.org/spreadsheetml/2006/main" r="C205" s="18" t="str">
        <f>IF(184&gt;MAX('4℃飯'!$Z$5:$Z$304),"",HYPERLINK("#'4℃飯'!C"&amp;(MATCH(184,'4℃飯'!$Z$5:$Z$304,0)+4),INDEX('4℃飯'!$C$5:$C$304,MATCH(184,'4℃飯'!$Z$5:$Z$304,0))))</f>
        <v/>
      </c>
      <c xmlns="http://schemas.openxmlformats.org/spreadsheetml/2006/main" r="D205" s="18" t="str">
        <f>IF(184&gt;MAX('4℃麵'!$AA$5:$AA$292),"",HYPERLINK("#'4℃麵'!D"&amp;(MATCH(184,'4℃麵'!$AA$5:$AA$292,0)+4),INDEX('4℃麵'!$D$5:$D$292,MATCH(184,'4℃麵'!$AA$5:$AA$292,0))))</f>
        <v/>
      </c>
      <c xmlns="http://schemas.openxmlformats.org/spreadsheetml/2006/main" r="E205" s="18" t="str">
        <f>IF(184&gt;MAX('4℃其他'!$AA$5:$AA$304),"",HYPERLINK("#'4℃其他'!D"&amp;(MATCH(184,'4℃其他'!$AA$5:$AA$304,0)+4),INDEX('4℃其他'!$D$5:$D$304,MATCH(184,'4℃其他'!$AA$5:$AA$304,0))))</f>
        <v/>
      </c>
      <c xmlns="http://schemas.openxmlformats.org/spreadsheetml/2006/main" r="F205" s="18" t="str">
        <f>IF(184&gt;MAX('冷凍品'!$AA$5:$AA$304),"",HYPERLINK("#'冷凍品'!D"&amp;(MATCH(184,'冷凍品'!$AA$5:$AA$304,0)+4),INDEX('冷凍品'!$D$5:$D$304,MATCH(184,'冷凍品'!$AA$5:$AA$304,0))))</f>
        <v/>
      </c>
    </row>
    <row r="206">
      <c xmlns="http://schemas.openxmlformats.org/spreadsheetml/2006/main" r="B206" s="18" t="str">
        <f>IF(185&gt;MAX('18℃'!$Z$5:$Z$304),"",HYPERLINK("#'18℃'!C"&amp;(MATCH(185,'18℃'!$Z$5:$Z$304,0)+4),INDEX('18℃'!$C$5:$C$304,MATCH(185,'18℃'!$Z$5:$Z$304,0))))</f>
        <v/>
      </c>
      <c xmlns="http://schemas.openxmlformats.org/spreadsheetml/2006/main" r="C206" s="18" t="str">
        <f>IF(185&gt;MAX('4℃飯'!$Z$5:$Z$304),"",HYPERLINK("#'4℃飯'!C"&amp;(MATCH(185,'4℃飯'!$Z$5:$Z$304,0)+4),INDEX('4℃飯'!$C$5:$C$304,MATCH(185,'4℃飯'!$Z$5:$Z$304,0))))</f>
        <v/>
      </c>
      <c xmlns="http://schemas.openxmlformats.org/spreadsheetml/2006/main" r="D206" s="18" t="str">
        <f>IF(185&gt;MAX('4℃麵'!$AA$5:$AA$292),"",HYPERLINK("#'4℃麵'!D"&amp;(MATCH(185,'4℃麵'!$AA$5:$AA$292,0)+4),INDEX('4℃麵'!$D$5:$D$292,MATCH(185,'4℃麵'!$AA$5:$AA$292,0))))</f>
        <v/>
      </c>
      <c xmlns="http://schemas.openxmlformats.org/spreadsheetml/2006/main" r="E206" s="18" t="str">
        <f>IF(185&gt;MAX('4℃其他'!$AA$5:$AA$304),"",HYPERLINK("#'4℃其他'!D"&amp;(MATCH(185,'4℃其他'!$AA$5:$AA$304,0)+4),INDEX('4℃其他'!$D$5:$D$304,MATCH(185,'4℃其他'!$AA$5:$AA$304,0))))</f>
        <v/>
      </c>
      <c xmlns="http://schemas.openxmlformats.org/spreadsheetml/2006/main" r="F206" s="18" t="str">
        <f>IF(185&gt;MAX('冷凍品'!$AA$5:$AA$304),"",HYPERLINK("#'冷凍品'!D"&amp;(MATCH(185,'冷凍品'!$AA$5:$AA$304,0)+4),INDEX('冷凍品'!$D$5:$D$304,MATCH(185,'冷凍品'!$AA$5:$AA$304,0))))</f>
        <v/>
      </c>
    </row>
    <row r="207">
      <c xmlns="http://schemas.openxmlformats.org/spreadsheetml/2006/main" r="B207" s="18" t="str">
        <f>IF(186&gt;MAX('18℃'!$Z$5:$Z$304),"",HYPERLINK("#'18℃'!C"&amp;(MATCH(186,'18℃'!$Z$5:$Z$304,0)+4),INDEX('18℃'!$C$5:$C$304,MATCH(186,'18℃'!$Z$5:$Z$304,0))))</f>
        <v/>
      </c>
      <c xmlns="http://schemas.openxmlformats.org/spreadsheetml/2006/main" r="C207" s="18" t="str">
        <f>IF(186&gt;MAX('4℃飯'!$Z$5:$Z$304),"",HYPERLINK("#'4℃飯'!C"&amp;(MATCH(186,'4℃飯'!$Z$5:$Z$304,0)+4),INDEX('4℃飯'!$C$5:$C$304,MATCH(186,'4℃飯'!$Z$5:$Z$304,0))))</f>
        <v/>
      </c>
      <c xmlns="http://schemas.openxmlformats.org/spreadsheetml/2006/main" r="D207" s="18" t="str">
        <f>IF(186&gt;MAX('4℃麵'!$AA$5:$AA$292),"",HYPERLINK("#'4℃麵'!D"&amp;(MATCH(186,'4℃麵'!$AA$5:$AA$292,0)+4),INDEX('4℃麵'!$D$5:$D$292,MATCH(186,'4℃麵'!$AA$5:$AA$292,0))))</f>
        <v/>
      </c>
      <c xmlns="http://schemas.openxmlformats.org/spreadsheetml/2006/main" r="E207" s="18" t="str">
        <f>IF(186&gt;MAX('4℃其他'!$AA$5:$AA$304),"",HYPERLINK("#'4℃其他'!D"&amp;(MATCH(186,'4℃其他'!$AA$5:$AA$304,0)+4),INDEX('4℃其他'!$D$5:$D$304,MATCH(186,'4℃其他'!$AA$5:$AA$304,0))))</f>
        <v/>
      </c>
      <c xmlns="http://schemas.openxmlformats.org/spreadsheetml/2006/main" r="F207" s="18" t="str">
        <f>IF(186&gt;MAX('冷凍品'!$AA$5:$AA$304),"",HYPERLINK("#'冷凍品'!D"&amp;(MATCH(186,'冷凍品'!$AA$5:$AA$304,0)+4),INDEX('冷凍品'!$D$5:$D$304,MATCH(186,'冷凍品'!$AA$5:$AA$304,0))))</f>
        <v/>
      </c>
    </row>
    <row r="208">
      <c xmlns="http://schemas.openxmlformats.org/spreadsheetml/2006/main" r="B208" s="18" t="str">
        <f>IF(187&gt;MAX('18℃'!$Z$5:$Z$304),"",HYPERLINK("#'18℃'!C"&amp;(MATCH(187,'18℃'!$Z$5:$Z$304,0)+4),INDEX('18℃'!$C$5:$C$304,MATCH(187,'18℃'!$Z$5:$Z$304,0))))</f>
        <v/>
      </c>
      <c xmlns="http://schemas.openxmlformats.org/spreadsheetml/2006/main" r="C208" s="18" t="str">
        <f>IF(187&gt;MAX('4℃飯'!$Z$5:$Z$304),"",HYPERLINK("#'4℃飯'!C"&amp;(MATCH(187,'4℃飯'!$Z$5:$Z$304,0)+4),INDEX('4℃飯'!$C$5:$C$304,MATCH(187,'4℃飯'!$Z$5:$Z$304,0))))</f>
        <v/>
      </c>
      <c xmlns="http://schemas.openxmlformats.org/spreadsheetml/2006/main" r="D208" s="18" t="str">
        <f>IF(187&gt;MAX('4℃麵'!$AA$5:$AA$292),"",HYPERLINK("#'4℃麵'!D"&amp;(MATCH(187,'4℃麵'!$AA$5:$AA$292,0)+4),INDEX('4℃麵'!$D$5:$D$292,MATCH(187,'4℃麵'!$AA$5:$AA$292,0))))</f>
        <v/>
      </c>
      <c xmlns="http://schemas.openxmlformats.org/spreadsheetml/2006/main" r="E208" s="18" t="str">
        <f>IF(187&gt;MAX('4℃其他'!$AA$5:$AA$304),"",HYPERLINK("#'4℃其他'!D"&amp;(MATCH(187,'4℃其他'!$AA$5:$AA$304,0)+4),INDEX('4℃其他'!$D$5:$D$304,MATCH(187,'4℃其他'!$AA$5:$AA$304,0))))</f>
        <v/>
      </c>
      <c xmlns="http://schemas.openxmlformats.org/spreadsheetml/2006/main" r="F208" s="18" t="str">
        <f>IF(187&gt;MAX('冷凍品'!$AA$5:$AA$304),"",HYPERLINK("#'冷凍品'!D"&amp;(MATCH(187,'冷凍品'!$AA$5:$AA$304,0)+4),INDEX('冷凍品'!$D$5:$D$304,MATCH(187,'冷凍品'!$AA$5:$AA$304,0))))</f>
        <v/>
      </c>
    </row>
    <row r="209">
      <c xmlns="http://schemas.openxmlformats.org/spreadsheetml/2006/main" r="B209" s="18" t="str">
        <f>IF(188&gt;MAX('18℃'!$Z$5:$Z$304),"",HYPERLINK("#'18℃'!C"&amp;(MATCH(188,'18℃'!$Z$5:$Z$304,0)+4),INDEX('18℃'!$C$5:$C$304,MATCH(188,'18℃'!$Z$5:$Z$304,0))))</f>
        <v/>
      </c>
      <c xmlns="http://schemas.openxmlformats.org/spreadsheetml/2006/main" r="C209" s="18" t="str">
        <f>IF(188&gt;MAX('4℃飯'!$Z$5:$Z$304),"",HYPERLINK("#'4℃飯'!C"&amp;(MATCH(188,'4℃飯'!$Z$5:$Z$304,0)+4),INDEX('4℃飯'!$C$5:$C$304,MATCH(188,'4℃飯'!$Z$5:$Z$304,0))))</f>
        <v/>
      </c>
      <c xmlns="http://schemas.openxmlformats.org/spreadsheetml/2006/main" r="D209" s="18" t="str">
        <f>IF(188&gt;MAX('4℃麵'!$AA$5:$AA$292),"",HYPERLINK("#'4℃麵'!D"&amp;(MATCH(188,'4℃麵'!$AA$5:$AA$292,0)+4),INDEX('4℃麵'!$D$5:$D$292,MATCH(188,'4℃麵'!$AA$5:$AA$292,0))))</f>
        <v/>
      </c>
      <c xmlns="http://schemas.openxmlformats.org/spreadsheetml/2006/main" r="E209" s="18" t="str">
        <f>IF(188&gt;MAX('4℃其他'!$AA$5:$AA$304),"",HYPERLINK("#'4℃其他'!D"&amp;(MATCH(188,'4℃其他'!$AA$5:$AA$304,0)+4),INDEX('4℃其他'!$D$5:$D$304,MATCH(188,'4℃其他'!$AA$5:$AA$304,0))))</f>
        <v/>
      </c>
      <c xmlns="http://schemas.openxmlformats.org/spreadsheetml/2006/main" r="F209" s="18" t="str">
        <f>IF(188&gt;MAX('冷凍品'!$AA$5:$AA$304),"",HYPERLINK("#'冷凍品'!D"&amp;(MATCH(188,'冷凍品'!$AA$5:$AA$304,0)+4),INDEX('冷凍品'!$D$5:$D$304,MATCH(188,'冷凍品'!$AA$5:$AA$304,0))))</f>
        <v/>
      </c>
    </row>
    <row r="210">
      <c xmlns="http://schemas.openxmlformats.org/spreadsheetml/2006/main" r="B210" s="18" t="str">
        <f>IF(189&gt;MAX('18℃'!$Z$5:$Z$304),"",HYPERLINK("#'18℃'!C"&amp;(MATCH(189,'18℃'!$Z$5:$Z$304,0)+4),INDEX('18℃'!$C$5:$C$304,MATCH(189,'18℃'!$Z$5:$Z$304,0))))</f>
        <v/>
      </c>
      <c xmlns="http://schemas.openxmlformats.org/spreadsheetml/2006/main" r="C210" s="18" t="str">
        <f>IF(189&gt;MAX('4℃飯'!$Z$5:$Z$304),"",HYPERLINK("#'4℃飯'!C"&amp;(MATCH(189,'4℃飯'!$Z$5:$Z$304,0)+4),INDEX('4℃飯'!$C$5:$C$304,MATCH(189,'4℃飯'!$Z$5:$Z$304,0))))</f>
        <v/>
      </c>
      <c xmlns="http://schemas.openxmlformats.org/spreadsheetml/2006/main" r="D210" s="18" t="str">
        <f>IF(189&gt;MAX('4℃麵'!$AA$5:$AA$292),"",HYPERLINK("#'4℃麵'!D"&amp;(MATCH(189,'4℃麵'!$AA$5:$AA$292,0)+4),INDEX('4℃麵'!$D$5:$D$292,MATCH(189,'4℃麵'!$AA$5:$AA$292,0))))</f>
        <v/>
      </c>
      <c xmlns="http://schemas.openxmlformats.org/spreadsheetml/2006/main" r="E210" s="18" t="str">
        <f>IF(189&gt;MAX('4℃其他'!$AA$5:$AA$304),"",HYPERLINK("#'4℃其他'!D"&amp;(MATCH(189,'4℃其他'!$AA$5:$AA$304,0)+4),INDEX('4℃其他'!$D$5:$D$304,MATCH(189,'4℃其他'!$AA$5:$AA$304,0))))</f>
        <v/>
      </c>
      <c xmlns="http://schemas.openxmlformats.org/spreadsheetml/2006/main" r="F210" s="18" t="str">
        <f>IF(189&gt;MAX('冷凍品'!$AA$5:$AA$304),"",HYPERLINK("#'冷凍品'!D"&amp;(MATCH(189,'冷凍品'!$AA$5:$AA$304,0)+4),INDEX('冷凍品'!$D$5:$D$304,MATCH(189,'冷凍品'!$AA$5:$AA$304,0))))</f>
        <v/>
      </c>
    </row>
    <row r="211">
      <c xmlns="http://schemas.openxmlformats.org/spreadsheetml/2006/main" r="B211" s="18" t="str">
        <f>IF(190&gt;MAX('18℃'!$Z$5:$Z$304),"",HYPERLINK("#'18℃'!C"&amp;(MATCH(190,'18℃'!$Z$5:$Z$304,0)+4),INDEX('18℃'!$C$5:$C$304,MATCH(190,'18℃'!$Z$5:$Z$304,0))))</f>
        <v/>
      </c>
      <c xmlns="http://schemas.openxmlformats.org/spreadsheetml/2006/main" r="C211" s="18" t="str">
        <f>IF(190&gt;MAX('4℃飯'!$Z$5:$Z$304),"",HYPERLINK("#'4℃飯'!C"&amp;(MATCH(190,'4℃飯'!$Z$5:$Z$304,0)+4),INDEX('4℃飯'!$C$5:$C$304,MATCH(190,'4℃飯'!$Z$5:$Z$304,0))))</f>
        <v/>
      </c>
      <c xmlns="http://schemas.openxmlformats.org/spreadsheetml/2006/main" r="D211" s="18" t="str">
        <f>IF(190&gt;MAX('4℃麵'!$AA$5:$AA$292),"",HYPERLINK("#'4℃麵'!D"&amp;(MATCH(190,'4℃麵'!$AA$5:$AA$292,0)+4),INDEX('4℃麵'!$D$5:$D$292,MATCH(190,'4℃麵'!$AA$5:$AA$292,0))))</f>
        <v/>
      </c>
      <c xmlns="http://schemas.openxmlformats.org/spreadsheetml/2006/main" r="E211" s="18" t="str">
        <f>IF(190&gt;MAX('4℃其他'!$AA$5:$AA$304),"",HYPERLINK("#'4℃其他'!D"&amp;(MATCH(190,'4℃其他'!$AA$5:$AA$304,0)+4),INDEX('4℃其他'!$D$5:$D$304,MATCH(190,'4℃其他'!$AA$5:$AA$304,0))))</f>
        <v/>
      </c>
      <c xmlns="http://schemas.openxmlformats.org/spreadsheetml/2006/main" r="F211" s="18" t="str">
        <f>IF(190&gt;MAX('冷凍品'!$AA$5:$AA$304),"",HYPERLINK("#'冷凍品'!D"&amp;(MATCH(190,'冷凍品'!$AA$5:$AA$304,0)+4),INDEX('冷凍品'!$D$5:$D$304,MATCH(190,'冷凍品'!$AA$5:$AA$304,0))))</f>
        <v/>
      </c>
    </row>
    <row r="212">
      <c xmlns="http://schemas.openxmlformats.org/spreadsheetml/2006/main" r="B212" s="18" t="str">
        <f>IF(191&gt;MAX('18℃'!$Z$5:$Z$304),"",HYPERLINK("#'18℃'!C"&amp;(MATCH(191,'18℃'!$Z$5:$Z$304,0)+4),INDEX('18℃'!$C$5:$C$304,MATCH(191,'18℃'!$Z$5:$Z$304,0))))</f>
        <v/>
      </c>
      <c xmlns="http://schemas.openxmlformats.org/spreadsheetml/2006/main" r="C212" s="18" t="str">
        <f>IF(191&gt;MAX('4℃飯'!$Z$5:$Z$304),"",HYPERLINK("#'4℃飯'!C"&amp;(MATCH(191,'4℃飯'!$Z$5:$Z$304,0)+4),INDEX('4℃飯'!$C$5:$C$304,MATCH(191,'4℃飯'!$Z$5:$Z$304,0))))</f>
        <v/>
      </c>
      <c xmlns="http://schemas.openxmlformats.org/spreadsheetml/2006/main" r="D212" s="18" t="str">
        <f>IF(191&gt;MAX('4℃麵'!$AA$5:$AA$292),"",HYPERLINK("#'4℃麵'!D"&amp;(MATCH(191,'4℃麵'!$AA$5:$AA$292,0)+4),INDEX('4℃麵'!$D$5:$D$292,MATCH(191,'4℃麵'!$AA$5:$AA$292,0))))</f>
        <v/>
      </c>
      <c xmlns="http://schemas.openxmlformats.org/spreadsheetml/2006/main" r="E212" s="18" t="str">
        <f>IF(191&gt;MAX('4℃其他'!$AA$5:$AA$304),"",HYPERLINK("#'4℃其他'!D"&amp;(MATCH(191,'4℃其他'!$AA$5:$AA$304,0)+4),INDEX('4℃其他'!$D$5:$D$304,MATCH(191,'4℃其他'!$AA$5:$AA$304,0))))</f>
        <v/>
      </c>
      <c xmlns="http://schemas.openxmlformats.org/spreadsheetml/2006/main" r="F212" s="18" t="str">
        <f>IF(191&gt;MAX('冷凍品'!$AA$5:$AA$304),"",HYPERLINK("#'冷凍品'!D"&amp;(MATCH(191,'冷凍品'!$AA$5:$AA$304,0)+4),INDEX('冷凍品'!$D$5:$D$304,MATCH(191,'冷凍品'!$AA$5:$AA$304,0))))</f>
        <v/>
      </c>
    </row>
    <row r="213">
      <c xmlns="http://schemas.openxmlformats.org/spreadsheetml/2006/main" r="B213" s="18" t="str">
        <f>IF(192&gt;MAX('18℃'!$Z$5:$Z$304),"",HYPERLINK("#'18℃'!C"&amp;(MATCH(192,'18℃'!$Z$5:$Z$304,0)+4),INDEX('18℃'!$C$5:$C$304,MATCH(192,'18℃'!$Z$5:$Z$304,0))))</f>
        <v/>
      </c>
      <c xmlns="http://schemas.openxmlformats.org/spreadsheetml/2006/main" r="C213" s="18" t="str">
        <f>IF(192&gt;MAX('4℃飯'!$Z$5:$Z$304),"",HYPERLINK("#'4℃飯'!C"&amp;(MATCH(192,'4℃飯'!$Z$5:$Z$304,0)+4),INDEX('4℃飯'!$C$5:$C$304,MATCH(192,'4℃飯'!$Z$5:$Z$304,0))))</f>
        <v/>
      </c>
      <c xmlns="http://schemas.openxmlformats.org/spreadsheetml/2006/main" r="D213" s="18" t="str">
        <f>IF(192&gt;MAX('4℃麵'!$AA$5:$AA$292),"",HYPERLINK("#'4℃麵'!D"&amp;(MATCH(192,'4℃麵'!$AA$5:$AA$292,0)+4),INDEX('4℃麵'!$D$5:$D$292,MATCH(192,'4℃麵'!$AA$5:$AA$292,0))))</f>
        <v/>
      </c>
      <c xmlns="http://schemas.openxmlformats.org/spreadsheetml/2006/main" r="E213" s="18" t="str">
        <f>IF(192&gt;MAX('4℃其他'!$AA$5:$AA$304),"",HYPERLINK("#'4℃其他'!D"&amp;(MATCH(192,'4℃其他'!$AA$5:$AA$304,0)+4),INDEX('4℃其他'!$D$5:$D$304,MATCH(192,'4℃其他'!$AA$5:$AA$304,0))))</f>
        <v/>
      </c>
      <c xmlns="http://schemas.openxmlformats.org/spreadsheetml/2006/main" r="F213" s="18" t="str">
        <f>IF(192&gt;MAX('冷凍品'!$AA$5:$AA$304),"",HYPERLINK("#'冷凍品'!D"&amp;(MATCH(192,'冷凍品'!$AA$5:$AA$304,0)+4),INDEX('冷凍品'!$D$5:$D$304,MATCH(192,'冷凍品'!$AA$5:$AA$304,0))))</f>
        <v/>
      </c>
    </row>
    <row r="214">
      <c xmlns="http://schemas.openxmlformats.org/spreadsheetml/2006/main" r="B214" s="18" t="str">
        <f>IF(193&gt;MAX('18℃'!$Z$5:$Z$304),"",HYPERLINK("#'18℃'!C"&amp;(MATCH(193,'18℃'!$Z$5:$Z$304,0)+4),INDEX('18℃'!$C$5:$C$304,MATCH(193,'18℃'!$Z$5:$Z$304,0))))</f>
        <v/>
      </c>
      <c xmlns="http://schemas.openxmlformats.org/spreadsheetml/2006/main" r="C214" s="18" t="str">
        <f>IF(193&gt;MAX('4℃飯'!$Z$5:$Z$304),"",HYPERLINK("#'4℃飯'!C"&amp;(MATCH(193,'4℃飯'!$Z$5:$Z$304,0)+4),INDEX('4℃飯'!$C$5:$C$304,MATCH(193,'4℃飯'!$Z$5:$Z$304,0))))</f>
        <v/>
      </c>
      <c xmlns="http://schemas.openxmlformats.org/spreadsheetml/2006/main" r="D214" s="18" t="str">
        <f>IF(193&gt;MAX('4℃麵'!$AA$5:$AA$292),"",HYPERLINK("#'4℃麵'!D"&amp;(MATCH(193,'4℃麵'!$AA$5:$AA$292,0)+4),INDEX('4℃麵'!$D$5:$D$292,MATCH(193,'4℃麵'!$AA$5:$AA$292,0))))</f>
        <v/>
      </c>
      <c xmlns="http://schemas.openxmlformats.org/spreadsheetml/2006/main" r="E214" s="18" t="str">
        <f>IF(193&gt;MAX('4℃其他'!$AA$5:$AA$304),"",HYPERLINK("#'4℃其他'!D"&amp;(MATCH(193,'4℃其他'!$AA$5:$AA$304,0)+4),INDEX('4℃其他'!$D$5:$D$304,MATCH(193,'4℃其他'!$AA$5:$AA$304,0))))</f>
        <v/>
      </c>
      <c xmlns="http://schemas.openxmlformats.org/spreadsheetml/2006/main" r="F214" s="18" t="str">
        <f>IF(193&gt;MAX('冷凍品'!$AA$5:$AA$304),"",HYPERLINK("#'冷凍品'!D"&amp;(MATCH(193,'冷凍品'!$AA$5:$AA$304,0)+4),INDEX('冷凍品'!$D$5:$D$304,MATCH(193,'冷凍品'!$AA$5:$AA$304,0))))</f>
        <v/>
      </c>
    </row>
    <row r="215">
      <c xmlns="http://schemas.openxmlformats.org/spreadsheetml/2006/main" r="B215" s="18" t="str">
        <f>IF(194&gt;MAX('18℃'!$Z$5:$Z$304),"",HYPERLINK("#'18℃'!C"&amp;(MATCH(194,'18℃'!$Z$5:$Z$304,0)+4),INDEX('18℃'!$C$5:$C$304,MATCH(194,'18℃'!$Z$5:$Z$304,0))))</f>
        <v/>
      </c>
      <c xmlns="http://schemas.openxmlformats.org/spreadsheetml/2006/main" r="C215" s="18" t="str">
        <f>IF(194&gt;MAX('4℃飯'!$Z$5:$Z$304),"",HYPERLINK("#'4℃飯'!C"&amp;(MATCH(194,'4℃飯'!$Z$5:$Z$304,0)+4),INDEX('4℃飯'!$C$5:$C$304,MATCH(194,'4℃飯'!$Z$5:$Z$304,0))))</f>
        <v/>
      </c>
      <c xmlns="http://schemas.openxmlformats.org/spreadsheetml/2006/main" r="D215" s="18" t="str">
        <f>IF(194&gt;MAX('4℃麵'!$AA$5:$AA$292),"",HYPERLINK("#'4℃麵'!D"&amp;(MATCH(194,'4℃麵'!$AA$5:$AA$292,0)+4),INDEX('4℃麵'!$D$5:$D$292,MATCH(194,'4℃麵'!$AA$5:$AA$292,0))))</f>
        <v/>
      </c>
      <c xmlns="http://schemas.openxmlformats.org/spreadsheetml/2006/main" r="E215" s="18" t="str">
        <f>IF(194&gt;MAX('4℃其他'!$AA$5:$AA$304),"",HYPERLINK("#'4℃其他'!D"&amp;(MATCH(194,'4℃其他'!$AA$5:$AA$304,0)+4),INDEX('4℃其他'!$D$5:$D$304,MATCH(194,'4℃其他'!$AA$5:$AA$304,0))))</f>
        <v/>
      </c>
      <c xmlns="http://schemas.openxmlformats.org/spreadsheetml/2006/main" r="F215" s="18" t="str">
        <f>IF(194&gt;MAX('冷凍品'!$AA$5:$AA$304),"",HYPERLINK("#'冷凍品'!D"&amp;(MATCH(194,'冷凍品'!$AA$5:$AA$304,0)+4),INDEX('冷凍品'!$D$5:$D$304,MATCH(194,'冷凍品'!$AA$5:$AA$304,0))))</f>
        <v/>
      </c>
    </row>
    <row r="216">
      <c xmlns="http://schemas.openxmlformats.org/spreadsheetml/2006/main" r="B216" s="18" t="str">
        <f>IF(195&gt;MAX('18℃'!$Z$5:$Z$304),"",HYPERLINK("#'18℃'!C"&amp;(MATCH(195,'18℃'!$Z$5:$Z$304,0)+4),INDEX('18℃'!$C$5:$C$304,MATCH(195,'18℃'!$Z$5:$Z$304,0))))</f>
        <v/>
      </c>
      <c xmlns="http://schemas.openxmlformats.org/spreadsheetml/2006/main" r="C216" s="18" t="str">
        <f>IF(195&gt;MAX('4℃飯'!$Z$5:$Z$304),"",HYPERLINK("#'4℃飯'!C"&amp;(MATCH(195,'4℃飯'!$Z$5:$Z$304,0)+4),INDEX('4℃飯'!$C$5:$C$304,MATCH(195,'4℃飯'!$Z$5:$Z$304,0))))</f>
        <v/>
      </c>
      <c xmlns="http://schemas.openxmlformats.org/spreadsheetml/2006/main" r="D216" s="18" t="str">
        <f>IF(195&gt;MAX('4℃麵'!$AA$5:$AA$292),"",HYPERLINK("#'4℃麵'!D"&amp;(MATCH(195,'4℃麵'!$AA$5:$AA$292,0)+4),INDEX('4℃麵'!$D$5:$D$292,MATCH(195,'4℃麵'!$AA$5:$AA$292,0))))</f>
        <v/>
      </c>
      <c xmlns="http://schemas.openxmlformats.org/spreadsheetml/2006/main" r="E216" s="18" t="str">
        <f>IF(195&gt;MAX('4℃其他'!$AA$5:$AA$304),"",HYPERLINK("#'4℃其他'!D"&amp;(MATCH(195,'4℃其他'!$AA$5:$AA$304,0)+4),INDEX('4℃其他'!$D$5:$D$304,MATCH(195,'4℃其他'!$AA$5:$AA$304,0))))</f>
        <v/>
      </c>
      <c xmlns="http://schemas.openxmlformats.org/spreadsheetml/2006/main" r="F216" s="18" t="str">
        <f>IF(195&gt;MAX('冷凍品'!$AA$5:$AA$304),"",HYPERLINK("#'冷凍品'!D"&amp;(MATCH(195,'冷凍品'!$AA$5:$AA$304,0)+4),INDEX('冷凍品'!$D$5:$D$304,MATCH(195,'冷凍品'!$AA$5:$AA$304,0))))</f>
        <v/>
      </c>
    </row>
    <row r="217">
      <c xmlns="http://schemas.openxmlformats.org/spreadsheetml/2006/main" r="B217" s="18" t="str">
        <f>IF(196&gt;MAX('18℃'!$Z$5:$Z$304),"",HYPERLINK("#'18℃'!C"&amp;(MATCH(196,'18℃'!$Z$5:$Z$304,0)+4),INDEX('18℃'!$C$5:$C$304,MATCH(196,'18℃'!$Z$5:$Z$304,0))))</f>
        <v/>
      </c>
      <c xmlns="http://schemas.openxmlformats.org/spreadsheetml/2006/main" r="C217" s="18" t="str">
        <f>IF(196&gt;MAX('4℃飯'!$Z$5:$Z$304),"",HYPERLINK("#'4℃飯'!C"&amp;(MATCH(196,'4℃飯'!$Z$5:$Z$304,0)+4),INDEX('4℃飯'!$C$5:$C$304,MATCH(196,'4℃飯'!$Z$5:$Z$304,0))))</f>
        <v/>
      </c>
      <c xmlns="http://schemas.openxmlformats.org/spreadsheetml/2006/main" r="D217" s="18" t="str">
        <f>IF(196&gt;MAX('4℃麵'!$AA$5:$AA$292),"",HYPERLINK("#'4℃麵'!D"&amp;(MATCH(196,'4℃麵'!$AA$5:$AA$292,0)+4),INDEX('4℃麵'!$D$5:$D$292,MATCH(196,'4℃麵'!$AA$5:$AA$292,0))))</f>
        <v/>
      </c>
      <c xmlns="http://schemas.openxmlformats.org/spreadsheetml/2006/main" r="E217" s="18" t="str">
        <f>IF(196&gt;MAX('4℃其他'!$AA$5:$AA$304),"",HYPERLINK("#'4℃其他'!D"&amp;(MATCH(196,'4℃其他'!$AA$5:$AA$304,0)+4),INDEX('4℃其他'!$D$5:$D$304,MATCH(196,'4℃其他'!$AA$5:$AA$304,0))))</f>
        <v/>
      </c>
      <c xmlns="http://schemas.openxmlformats.org/spreadsheetml/2006/main" r="F217" s="18" t="str">
        <f>IF(196&gt;MAX('冷凍品'!$AA$5:$AA$304),"",HYPERLINK("#'冷凍品'!D"&amp;(MATCH(196,'冷凍品'!$AA$5:$AA$304,0)+4),INDEX('冷凍品'!$D$5:$D$304,MATCH(196,'冷凍品'!$AA$5:$AA$304,0))))</f>
        <v/>
      </c>
    </row>
    <row r="218">
      <c xmlns="http://schemas.openxmlformats.org/spreadsheetml/2006/main" r="B218" s="18" t="str">
        <f>IF(197&gt;MAX('18℃'!$Z$5:$Z$304),"",HYPERLINK("#'18℃'!C"&amp;(MATCH(197,'18℃'!$Z$5:$Z$304,0)+4),INDEX('18℃'!$C$5:$C$304,MATCH(197,'18℃'!$Z$5:$Z$304,0))))</f>
        <v/>
      </c>
      <c xmlns="http://schemas.openxmlformats.org/spreadsheetml/2006/main" r="C218" s="18" t="str">
        <f>IF(197&gt;MAX('4℃飯'!$Z$5:$Z$304),"",HYPERLINK("#'4℃飯'!C"&amp;(MATCH(197,'4℃飯'!$Z$5:$Z$304,0)+4),INDEX('4℃飯'!$C$5:$C$304,MATCH(197,'4℃飯'!$Z$5:$Z$304,0))))</f>
        <v/>
      </c>
      <c xmlns="http://schemas.openxmlformats.org/spreadsheetml/2006/main" r="D218" s="18" t="str">
        <f>IF(197&gt;MAX('4℃麵'!$AA$5:$AA$292),"",HYPERLINK("#'4℃麵'!D"&amp;(MATCH(197,'4℃麵'!$AA$5:$AA$292,0)+4),INDEX('4℃麵'!$D$5:$D$292,MATCH(197,'4℃麵'!$AA$5:$AA$292,0))))</f>
        <v/>
      </c>
      <c xmlns="http://schemas.openxmlformats.org/spreadsheetml/2006/main" r="E218" s="18" t="str">
        <f>IF(197&gt;MAX('4℃其他'!$AA$5:$AA$304),"",HYPERLINK("#'4℃其他'!D"&amp;(MATCH(197,'4℃其他'!$AA$5:$AA$304,0)+4),INDEX('4℃其他'!$D$5:$D$304,MATCH(197,'4℃其他'!$AA$5:$AA$304,0))))</f>
        <v/>
      </c>
      <c xmlns="http://schemas.openxmlformats.org/spreadsheetml/2006/main" r="F218" s="18" t="str">
        <f>IF(197&gt;MAX('冷凍品'!$AA$5:$AA$304),"",HYPERLINK("#'冷凍品'!D"&amp;(MATCH(197,'冷凍品'!$AA$5:$AA$304,0)+4),INDEX('冷凍品'!$D$5:$D$304,MATCH(197,'冷凍品'!$AA$5:$AA$304,0))))</f>
        <v/>
      </c>
    </row>
    <row r="219">
      <c xmlns="http://schemas.openxmlformats.org/spreadsheetml/2006/main" r="B219" s="18" t="str">
        <f>IF(198&gt;MAX('18℃'!$Z$5:$Z$304),"",HYPERLINK("#'18℃'!C"&amp;(MATCH(198,'18℃'!$Z$5:$Z$304,0)+4),INDEX('18℃'!$C$5:$C$304,MATCH(198,'18℃'!$Z$5:$Z$304,0))))</f>
        <v/>
      </c>
      <c xmlns="http://schemas.openxmlformats.org/spreadsheetml/2006/main" r="C219" s="18" t="str">
        <f>IF(198&gt;MAX('4℃飯'!$Z$5:$Z$304),"",HYPERLINK("#'4℃飯'!C"&amp;(MATCH(198,'4℃飯'!$Z$5:$Z$304,0)+4),INDEX('4℃飯'!$C$5:$C$304,MATCH(198,'4℃飯'!$Z$5:$Z$304,0))))</f>
        <v/>
      </c>
      <c xmlns="http://schemas.openxmlformats.org/spreadsheetml/2006/main" r="D219" s="18" t="str">
        <f>IF(198&gt;MAX('4℃麵'!$AA$5:$AA$292),"",HYPERLINK("#'4℃麵'!D"&amp;(MATCH(198,'4℃麵'!$AA$5:$AA$292,0)+4),INDEX('4℃麵'!$D$5:$D$292,MATCH(198,'4℃麵'!$AA$5:$AA$292,0))))</f>
        <v/>
      </c>
      <c xmlns="http://schemas.openxmlformats.org/spreadsheetml/2006/main" r="E219" s="18" t="str">
        <f>IF(198&gt;MAX('4℃其他'!$AA$5:$AA$304),"",HYPERLINK("#'4℃其他'!D"&amp;(MATCH(198,'4℃其他'!$AA$5:$AA$304,0)+4),INDEX('4℃其他'!$D$5:$D$304,MATCH(198,'4℃其他'!$AA$5:$AA$304,0))))</f>
        <v/>
      </c>
      <c xmlns="http://schemas.openxmlformats.org/spreadsheetml/2006/main" r="F219" s="18" t="str">
        <f>IF(198&gt;MAX('冷凍品'!$AA$5:$AA$304),"",HYPERLINK("#'冷凍品'!D"&amp;(MATCH(198,'冷凍品'!$AA$5:$AA$304,0)+4),INDEX('冷凍品'!$D$5:$D$304,MATCH(198,'冷凍品'!$AA$5:$AA$304,0))))</f>
        <v/>
      </c>
    </row>
    <row r="220">
      <c xmlns="http://schemas.openxmlformats.org/spreadsheetml/2006/main" r="B220" s="18" t="str">
        <f>IF(199&gt;MAX('18℃'!$Z$5:$Z$304),"",HYPERLINK("#'18℃'!C"&amp;(MATCH(199,'18℃'!$Z$5:$Z$304,0)+4),INDEX('18℃'!$C$5:$C$304,MATCH(199,'18℃'!$Z$5:$Z$304,0))))</f>
        <v/>
      </c>
      <c xmlns="http://schemas.openxmlformats.org/spreadsheetml/2006/main" r="C220" s="18" t="str">
        <f>IF(199&gt;MAX('4℃飯'!$Z$5:$Z$304),"",HYPERLINK("#'4℃飯'!C"&amp;(MATCH(199,'4℃飯'!$Z$5:$Z$304,0)+4),INDEX('4℃飯'!$C$5:$C$304,MATCH(199,'4℃飯'!$Z$5:$Z$304,0))))</f>
        <v/>
      </c>
      <c xmlns="http://schemas.openxmlformats.org/spreadsheetml/2006/main" r="D220" s="18" t="str">
        <f>IF(199&gt;MAX('4℃麵'!$AA$5:$AA$292),"",HYPERLINK("#'4℃麵'!D"&amp;(MATCH(199,'4℃麵'!$AA$5:$AA$292,0)+4),INDEX('4℃麵'!$D$5:$D$292,MATCH(199,'4℃麵'!$AA$5:$AA$292,0))))</f>
        <v/>
      </c>
      <c xmlns="http://schemas.openxmlformats.org/spreadsheetml/2006/main" r="E220" s="18" t="str">
        <f>IF(199&gt;MAX('4℃其他'!$AA$5:$AA$304),"",HYPERLINK("#'4℃其他'!D"&amp;(MATCH(199,'4℃其他'!$AA$5:$AA$304,0)+4),INDEX('4℃其他'!$D$5:$D$304,MATCH(199,'4℃其他'!$AA$5:$AA$304,0))))</f>
        <v/>
      </c>
      <c xmlns="http://schemas.openxmlformats.org/spreadsheetml/2006/main" r="F220" s="18" t="str">
        <f>IF(199&gt;MAX('冷凍品'!$AA$5:$AA$304),"",HYPERLINK("#'冷凍品'!D"&amp;(MATCH(199,'冷凍品'!$AA$5:$AA$304,0)+4),INDEX('冷凍品'!$D$5:$D$304,MATCH(199,'冷凍品'!$AA$5:$AA$304,0))))</f>
        <v/>
      </c>
    </row>
    <row r="221">
      <c xmlns="http://schemas.openxmlformats.org/spreadsheetml/2006/main" r="B221" s="18" t="str">
        <f>IF(200&gt;MAX('18℃'!$Z$5:$Z$304),"",HYPERLINK("#'18℃'!C"&amp;(MATCH(200,'18℃'!$Z$5:$Z$304,0)+4),INDEX('18℃'!$C$5:$C$304,MATCH(200,'18℃'!$Z$5:$Z$304,0))))</f>
        <v/>
      </c>
      <c xmlns="http://schemas.openxmlformats.org/spreadsheetml/2006/main" r="C221" s="18" t="str">
        <f>IF(200&gt;MAX('4℃飯'!$Z$5:$Z$304),"",HYPERLINK("#'4℃飯'!C"&amp;(MATCH(200,'4℃飯'!$Z$5:$Z$304,0)+4),INDEX('4℃飯'!$C$5:$C$304,MATCH(200,'4℃飯'!$Z$5:$Z$304,0))))</f>
        <v/>
      </c>
      <c xmlns="http://schemas.openxmlformats.org/spreadsheetml/2006/main" r="D221" s="18" t="str">
        <f>IF(200&gt;MAX('4℃麵'!$AA$5:$AA$292),"",HYPERLINK("#'4℃麵'!D"&amp;(MATCH(200,'4℃麵'!$AA$5:$AA$292,0)+4),INDEX('4℃麵'!$D$5:$D$292,MATCH(200,'4℃麵'!$AA$5:$AA$292,0))))</f>
        <v/>
      </c>
      <c xmlns="http://schemas.openxmlformats.org/spreadsheetml/2006/main" r="E221" s="18" t="str">
        <f>IF(200&gt;MAX('4℃其他'!$AA$5:$AA$304),"",HYPERLINK("#'4℃其他'!D"&amp;(MATCH(200,'4℃其他'!$AA$5:$AA$304,0)+4),INDEX('4℃其他'!$D$5:$D$304,MATCH(200,'4℃其他'!$AA$5:$AA$304,0))))</f>
        <v/>
      </c>
      <c xmlns="http://schemas.openxmlformats.org/spreadsheetml/2006/main" r="F221" s="18" t="str">
        <f>IF(200&gt;MAX('冷凍品'!$AA$5:$AA$304),"",HYPERLINK("#'冷凍品'!D"&amp;(MATCH(200,'冷凍品'!$AA$5:$AA$304,0)+4),INDEX('冷凍品'!$D$5:$D$304,MATCH(200,'冷凍品'!$AA$5:$AA$304,0))))</f>
        <v/>
      </c>
    </row>
    <row r="222">
      <c xmlns="http://schemas.openxmlformats.org/spreadsheetml/2006/main" r="B222" s="18" t="str">
        <f>IF(201&gt;MAX('18℃'!$Z$5:$Z$304),"",HYPERLINK("#'18℃'!C"&amp;(MATCH(201,'18℃'!$Z$5:$Z$304,0)+4),INDEX('18℃'!$C$5:$C$304,MATCH(201,'18℃'!$Z$5:$Z$304,0))))</f>
        <v/>
      </c>
      <c xmlns="http://schemas.openxmlformats.org/spreadsheetml/2006/main" r="C222" s="18" t="str">
        <f>IF(201&gt;MAX('4℃飯'!$Z$5:$Z$304),"",HYPERLINK("#'4℃飯'!C"&amp;(MATCH(201,'4℃飯'!$Z$5:$Z$304,0)+4),INDEX('4℃飯'!$C$5:$C$304,MATCH(201,'4℃飯'!$Z$5:$Z$304,0))))</f>
        <v/>
      </c>
      <c xmlns="http://schemas.openxmlformats.org/spreadsheetml/2006/main" r="D222" s="18" t="str">
        <f>IF(201&gt;MAX('4℃麵'!$AA$5:$AA$292),"",HYPERLINK("#'4℃麵'!D"&amp;(MATCH(201,'4℃麵'!$AA$5:$AA$292,0)+4),INDEX('4℃麵'!$D$5:$D$292,MATCH(201,'4℃麵'!$AA$5:$AA$292,0))))</f>
        <v/>
      </c>
      <c xmlns="http://schemas.openxmlformats.org/spreadsheetml/2006/main" r="E222" s="18" t="str">
        <f>IF(201&gt;MAX('4℃其他'!$AA$5:$AA$304),"",HYPERLINK("#'4℃其他'!D"&amp;(MATCH(201,'4℃其他'!$AA$5:$AA$304,0)+4),INDEX('4℃其他'!$D$5:$D$304,MATCH(201,'4℃其他'!$AA$5:$AA$304,0))))</f>
        <v/>
      </c>
      <c xmlns="http://schemas.openxmlformats.org/spreadsheetml/2006/main" r="F222" s="18" t="str">
        <f>IF(201&gt;MAX('冷凍品'!$AA$5:$AA$304),"",HYPERLINK("#'冷凍品'!D"&amp;(MATCH(201,'冷凍品'!$AA$5:$AA$304,0)+4),INDEX('冷凍品'!$D$5:$D$304,MATCH(201,'冷凍品'!$AA$5:$AA$304,0))))</f>
        <v/>
      </c>
    </row>
    <row r="223">
      <c xmlns="http://schemas.openxmlformats.org/spreadsheetml/2006/main" r="B223" s="18" t="str">
        <f>IF(202&gt;MAX('18℃'!$Z$5:$Z$304),"",HYPERLINK("#'18℃'!C"&amp;(MATCH(202,'18℃'!$Z$5:$Z$304,0)+4),INDEX('18℃'!$C$5:$C$304,MATCH(202,'18℃'!$Z$5:$Z$304,0))))</f>
        <v/>
      </c>
      <c xmlns="http://schemas.openxmlformats.org/spreadsheetml/2006/main" r="C223" s="18" t="str">
        <f>IF(202&gt;MAX('4℃飯'!$Z$5:$Z$304),"",HYPERLINK("#'4℃飯'!C"&amp;(MATCH(202,'4℃飯'!$Z$5:$Z$304,0)+4),INDEX('4℃飯'!$C$5:$C$304,MATCH(202,'4℃飯'!$Z$5:$Z$304,0))))</f>
        <v/>
      </c>
      <c xmlns="http://schemas.openxmlformats.org/spreadsheetml/2006/main" r="D223" s="18" t="str">
        <f>IF(202&gt;MAX('4℃麵'!$AA$5:$AA$292),"",HYPERLINK("#'4℃麵'!D"&amp;(MATCH(202,'4℃麵'!$AA$5:$AA$292,0)+4),INDEX('4℃麵'!$D$5:$D$292,MATCH(202,'4℃麵'!$AA$5:$AA$292,0))))</f>
        <v/>
      </c>
      <c xmlns="http://schemas.openxmlformats.org/spreadsheetml/2006/main" r="E223" s="18" t="str">
        <f>IF(202&gt;MAX('4℃其他'!$AA$5:$AA$304),"",HYPERLINK("#'4℃其他'!D"&amp;(MATCH(202,'4℃其他'!$AA$5:$AA$304,0)+4),INDEX('4℃其他'!$D$5:$D$304,MATCH(202,'4℃其他'!$AA$5:$AA$304,0))))</f>
        <v/>
      </c>
      <c xmlns="http://schemas.openxmlformats.org/spreadsheetml/2006/main" r="F223" s="18" t="str">
        <f>IF(202&gt;MAX('冷凍品'!$AA$5:$AA$304),"",HYPERLINK("#'冷凍品'!D"&amp;(MATCH(202,'冷凍品'!$AA$5:$AA$304,0)+4),INDEX('冷凍品'!$D$5:$D$304,MATCH(202,'冷凍品'!$AA$5:$AA$304,0))))</f>
        <v/>
      </c>
    </row>
    <row r="224">
      <c xmlns="http://schemas.openxmlformats.org/spreadsheetml/2006/main" r="B224" s="18" t="str">
        <f>IF(203&gt;MAX('18℃'!$Z$5:$Z$304),"",HYPERLINK("#'18℃'!C"&amp;(MATCH(203,'18℃'!$Z$5:$Z$304,0)+4),INDEX('18℃'!$C$5:$C$304,MATCH(203,'18℃'!$Z$5:$Z$304,0))))</f>
        <v/>
      </c>
      <c xmlns="http://schemas.openxmlformats.org/spreadsheetml/2006/main" r="C224" s="18" t="str">
        <f>IF(203&gt;MAX('4℃飯'!$Z$5:$Z$304),"",HYPERLINK("#'4℃飯'!C"&amp;(MATCH(203,'4℃飯'!$Z$5:$Z$304,0)+4),INDEX('4℃飯'!$C$5:$C$304,MATCH(203,'4℃飯'!$Z$5:$Z$304,0))))</f>
        <v/>
      </c>
      <c xmlns="http://schemas.openxmlformats.org/spreadsheetml/2006/main" r="D224" s="18" t="str">
        <f>IF(203&gt;MAX('4℃麵'!$AA$5:$AA$292),"",HYPERLINK("#'4℃麵'!D"&amp;(MATCH(203,'4℃麵'!$AA$5:$AA$292,0)+4),INDEX('4℃麵'!$D$5:$D$292,MATCH(203,'4℃麵'!$AA$5:$AA$292,0))))</f>
        <v/>
      </c>
      <c xmlns="http://schemas.openxmlformats.org/spreadsheetml/2006/main" r="E224" s="18" t="str">
        <f>IF(203&gt;MAX('4℃其他'!$AA$5:$AA$304),"",HYPERLINK("#'4℃其他'!D"&amp;(MATCH(203,'4℃其他'!$AA$5:$AA$304,0)+4),INDEX('4℃其他'!$D$5:$D$304,MATCH(203,'4℃其他'!$AA$5:$AA$304,0))))</f>
        <v/>
      </c>
      <c xmlns="http://schemas.openxmlformats.org/spreadsheetml/2006/main" r="F224" s="18" t="str">
        <f>IF(203&gt;MAX('冷凍品'!$AA$5:$AA$304),"",HYPERLINK("#'冷凍品'!D"&amp;(MATCH(203,'冷凍品'!$AA$5:$AA$304,0)+4),INDEX('冷凍品'!$D$5:$D$304,MATCH(203,'冷凍品'!$AA$5:$AA$304,0))))</f>
        <v/>
      </c>
    </row>
    <row r="225">
      <c xmlns="http://schemas.openxmlformats.org/spreadsheetml/2006/main" r="B225" s="18" t="str">
        <f>IF(204&gt;MAX('18℃'!$Z$5:$Z$304),"",HYPERLINK("#'18℃'!C"&amp;(MATCH(204,'18℃'!$Z$5:$Z$304,0)+4),INDEX('18℃'!$C$5:$C$304,MATCH(204,'18℃'!$Z$5:$Z$304,0))))</f>
        <v/>
      </c>
      <c xmlns="http://schemas.openxmlformats.org/spreadsheetml/2006/main" r="C225" s="18" t="str">
        <f>IF(204&gt;MAX('4℃飯'!$Z$5:$Z$304),"",HYPERLINK("#'4℃飯'!C"&amp;(MATCH(204,'4℃飯'!$Z$5:$Z$304,0)+4),INDEX('4℃飯'!$C$5:$C$304,MATCH(204,'4℃飯'!$Z$5:$Z$304,0))))</f>
        <v/>
      </c>
      <c xmlns="http://schemas.openxmlformats.org/spreadsheetml/2006/main" r="D225" s="18" t="str">
        <f>IF(204&gt;MAX('4℃麵'!$AA$5:$AA$292),"",HYPERLINK("#'4℃麵'!D"&amp;(MATCH(204,'4℃麵'!$AA$5:$AA$292,0)+4),INDEX('4℃麵'!$D$5:$D$292,MATCH(204,'4℃麵'!$AA$5:$AA$292,0))))</f>
        <v/>
      </c>
      <c xmlns="http://schemas.openxmlformats.org/spreadsheetml/2006/main" r="E225" s="18" t="str">
        <f>IF(204&gt;MAX('4℃其他'!$AA$5:$AA$304),"",HYPERLINK("#'4℃其他'!D"&amp;(MATCH(204,'4℃其他'!$AA$5:$AA$304,0)+4),INDEX('4℃其他'!$D$5:$D$304,MATCH(204,'4℃其他'!$AA$5:$AA$304,0))))</f>
        <v/>
      </c>
      <c xmlns="http://schemas.openxmlformats.org/spreadsheetml/2006/main" r="F225" s="18" t="str">
        <f>IF(204&gt;MAX('冷凍品'!$AA$5:$AA$304),"",HYPERLINK("#'冷凍品'!D"&amp;(MATCH(204,'冷凍品'!$AA$5:$AA$304,0)+4),INDEX('冷凍品'!$D$5:$D$304,MATCH(204,'冷凍品'!$AA$5:$AA$304,0))))</f>
        <v/>
      </c>
    </row>
    <row r="226">
      <c xmlns="http://schemas.openxmlformats.org/spreadsheetml/2006/main" r="B226" s="18" t="str">
        <f>IF(205&gt;MAX('18℃'!$Z$5:$Z$304),"",HYPERLINK("#'18℃'!C"&amp;(MATCH(205,'18℃'!$Z$5:$Z$304,0)+4),INDEX('18℃'!$C$5:$C$304,MATCH(205,'18℃'!$Z$5:$Z$304,0))))</f>
        <v/>
      </c>
      <c xmlns="http://schemas.openxmlformats.org/spreadsheetml/2006/main" r="C226" s="18" t="str">
        <f>IF(205&gt;MAX('4℃飯'!$Z$5:$Z$304),"",HYPERLINK("#'4℃飯'!C"&amp;(MATCH(205,'4℃飯'!$Z$5:$Z$304,0)+4),INDEX('4℃飯'!$C$5:$C$304,MATCH(205,'4℃飯'!$Z$5:$Z$304,0))))</f>
        <v/>
      </c>
      <c xmlns="http://schemas.openxmlformats.org/spreadsheetml/2006/main" r="D226" s="18" t="str">
        <f>IF(205&gt;MAX('4℃麵'!$AA$5:$AA$292),"",HYPERLINK("#'4℃麵'!D"&amp;(MATCH(205,'4℃麵'!$AA$5:$AA$292,0)+4),INDEX('4℃麵'!$D$5:$D$292,MATCH(205,'4℃麵'!$AA$5:$AA$292,0))))</f>
        <v/>
      </c>
      <c xmlns="http://schemas.openxmlformats.org/spreadsheetml/2006/main" r="E226" s="18" t="str">
        <f>IF(205&gt;MAX('4℃其他'!$AA$5:$AA$304),"",HYPERLINK("#'4℃其他'!D"&amp;(MATCH(205,'4℃其他'!$AA$5:$AA$304,0)+4),INDEX('4℃其他'!$D$5:$D$304,MATCH(205,'4℃其他'!$AA$5:$AA$304,0))))</f>
        <v/>
      </c>
      <c xmlns="http://schemas.openxmlformats.org/spreadsheetml/2006/main" r="F226" s="18" t="str">
        <f>IF(205&gt;MAX('冷凍品'!$AA$5:$AA$304),"",HYPERLINK("#'冷凍品'!D"&amp;(MATCH(205,'冷凍品'!$AA$5:$AA$304,0)+4),INDEX('冷凍品'!$D$5:$D$304,MATCH(205,'冷凍品'!$AA$5:$AA$304,0))))</f>
        <v/>
      </c>
    </row>
    <row r="227">
      <c xmlns="http://schemas.openxmlformats.org/spreadsheetml/2006/main" r="B227" s="18" t="str">
        <f>IF(206&gt;MAX('18℃'!$Z$5:$Z$304),"",HYPERLINK("#'18℃'!C"&amp;(MATCH(206,'18℃'!$Z$5:$Z$304,0)+4),INDEX('18℃'!$C$5:$C$304,MATCH(206,'18℃'!$Z$5:$Z$304,0))))</f>
        <v/>
      </c>
      <c xmlns="http://schemas.openxmlformats.org/spreadsheetml/2006/main" r="C227" s="18" t="str">
        <f>IF(206&gt;MAX('4℃飯'!$Z$5:$Z$304),"",HYPERLINK("#'4℃飯'!C"&amp;(MATCH(206,'4℃飯'!$Z$5:$Z$304,0)+4),INDEX('4℃飯'!$C$5:$C$304,MATCH(206,'4℃飯'!$Z$5:$Z$304,0))))</f>
        <v/>
      </c>
      <c xmlns="http://schemas.openxmlformats.org/spreadsheetml/2006/main" r="D227" s="18" t="str">
        <f>IF(206&gt;MAX('4℃麵'!$AA$5:$AA$292),"",HYPERLINK("#'4℃麵'!D"&amp;(MATCH(206,'4℃麵'!$AA$5:$AA$292,0)+4),INDEX('4℃麵'!$D$5:$D$292,MATCH(206,'4℃麵'!$AA$5:$AA$292,0))))</f>
        <v/>
      </c>
      <c xmlns="http://schemas.openxmlformats.org/spreadsheetml/2006/main" r="E227" s="18" t="str">
        <f>IF(206&gt;MAX('4℃其他'!$AA$5:$AA$304),"",HYPERLINK("#'4℃其他'!D"&amp;(MATCH(206,'4℃其他'!$AA$5:$AA$304,0)+4),INDEX('4℃其他'!$D$5:$D$304,MATCH(206,'4℃其他'!$AA$5:$AA$304,0))))</f>
        <v/>
      </c>
      <c xmlns="http://schemas.openxmlformats.org/spreadsheetml/2006/main" r="F227" s="18" t="str">
        <f>IF(206&gt;MAX('冷凍品'!$AA$5:$AA$304),"",HYPERLINK("#'冷凍品'!D"&amp;(MATCH(206,'冷凍品'!$AA$5:$AA$304,0)+4),INDEX('冷凍品'!$D$5:$D$304,MATCH(206,'冷凍品'!$AA$5:$AA$304,0))))</f>
        <v/>
      </c>
    </row>
    <row r="228">
      <c xmlns="http://schemas.openxmlformats.org/spreadsheetml/2006/main" r="B228" s="18" t="str">
        <f>IF(207&gt;MAX('18℃'!$Z$5:$Z$304),"",HYPERLINK("#'18℃'!C"&amp;(MATCH(207,'18℃'!$Z$5:$Z$304,0)+4),INDEX('18℃'!$C$5:$C$304,MATCH(207,'18℃'!$Z$5:$Z$304,0))))</f>
        <v/>
      </c>
      <c xmlns="http://schemas.openxmlformats.org/spreadsheetml/2006/main" r="C228" s="18" t="str">
        <f>IF(207&gt;MAX('4℃飯'!$Z$5:$Z$304),"",HYPERLINK("#'4℃飯'!C"&amp;(MATCH(207,'4℃飯'!$Z$5:$Z$304,0)+4),INDEX('4℃飯'!$C$5:$C$304,MATCH(207,'4℃飯'!$Z$5:$Z$304,0))))</f>
        <v/>
      </c>
      <c xmlns="http://schemas.openxmlformats.org/spreadsheetml/2006/main" r="D228" s="18" t="str">
        <f>IF(207&gt;MAX('4℃麵'!$AA$5:$AA$292),"",HYPERLINK("#'4℃麵'!D"&amp;(MATCH(207,'4℃麵'!$AA$5:$AA$292,0)+4),INDEX('4℃麵'!$D$5:$D$292,MATCH(207,'4℃麵'!$AA$5:$AA$292,0))))</f>
        <v/>
      </c>
      <c xmlns="http://schemas.openxmlformats.org/spreadsheetml/2006/main" r="E228" s="18" t="str">
        <f>IF(207&gt;MAX('4℃其他'!$AA$5:$AA$304),"",HYPERLINK("#'4℃其他'!D"&amp;(MATCH(207,'4℃其他'!$AA$5:$AA$304,0)+4),INDEX('4℃其他'!$D$5:$D$304,MATCH(207,'4℃其他'!$AA$5:$AA$304,0))))</f>
        <v/>
      </c>
      <c xmlns="http://schemas.openxmlformats.org/spreadsheetml/2006/main" r="F228" s="18" t="str">
        <f>IF(207&gt;MAX('冷凍品'!$AA$5:$AA$304),"",HYPERLINK("#'冷凍品'!D"&amp;(MATCH(207,'冷凍品'!$AA$5:$AA$304,0)+4),INDEX('冷凍品'!$D$5:$D$304,MATCH(207,'冷凍品'!$AA$5:$AA$304,0))))</f>
        <v/>
      </c>
    </row>
    <row r="229">
      <c xmlns="http://schemas.openxmlformats.org/spreadsheetml/2006/main" r="B229" s="18" t="str">
        <f>IF(208&gt;MAX('18℃'!$Z$5:$Z$304),"",HYPERLINK("#'18℃'!C"&amp;(MATCH(208,'18℃'!$Z$5:$Z$304,0)+4),INDEX('18℃'!$C$5:$C$304,MATCH(208,'18℃'!$Z$5:$Z$304,0))))</f>
        <v/>
      </c>
      <c xmlns="http://schemas.openxmlformats.org/spreadsheetml/2006/main" r="C229" s="18" t="str">
        <f>IF(208&gt;MAX('4℃飯'!$Z$5:$Z$304),"",HYPERLINK("#'4℃飯'!C"&amp;(MATCH(208,'4℃飯'!$Z$5:$Z$304,0)+4),INDEX('4℃飯'!$C$5:$C$304,MATCH(208,'4℃飯'!$Z$5:$Z$304,0))))</f>
        <v/>
      </c>
      <c xmlns="http://schemas.openxmlformats.org/spreadsheetml/2006/main" r="D229" s="18" t="str">
        <f>IF(208&gt;MAX('4℃麵'!$AA$5:$AA$292),"",HYPERLINK("#'4℃麵'!D"&amp;(MATCH(208,'4℃麵'!$AA$5:$AA$292,0)+4),INDEX('4℃麵'!$D$5:$D$292,MATCH(208,'4℃麵'!$AA$5:$AA$292,0))))</f>
        <v/>
      </c>
      <c xmlns="http://schemas.openxmlformats.org/spreadsheetml/2006/main" r="E229" s="18" t="str">
        <f>IF(208&gt;MAX('4℃其他'!$AA$5:$AA$304),"",HYPERLINK("#'4℃其他'!D"&amp;(MATCH(208,'4℃其他'!$AA$5:$AA$304,0)+4),INDEX('4℃其他'!$D$5:$D$304,MATCH(208,'4℃其他'!$AA$5:$AA$304,0))))</f>
        <v/>
      </c>
      <c xmlns="http://schemas.openxmlformats.org/spreadsheetml/2006/main" r="F229" s="18" t="str">
        <f>IF(208&gt;MAX('冷凍品'!$AA$5:$AA$304),"",HYPERLINK("#'冷凍品'!D"&amp;(MATCH(208,'冷凍品'!$AA$5:$AA$304,0)+4),INDEX('冷凍品'!$D$5:$D$304,MATCH(208,'冷凍品'!$AA$5:$AA$304,0))))</f>
        <v/>
      </c>
    </row>
    <row r="230">
      <c xmlns="http://schemas.openxmlformats.org/spreadsheetml/2006/main" r="B230" s="18" t="str">
        <f>IF(209&gt;MAX('18℃'!$Z$5:$Z$304),"",HYPERLINK("#'18℃'!C"&amp;(MATCH(209,'18℃'!$Z$5:$Z$304,0)+4),INDEX('18℃'!$C$5:$C$304,MATCH(209,'18℃'!$Z$5:$Z$304,0))))</f>
        <v/>
      </c>
      <c xmlns="http://schemas.openxmlformats.org/spreadsheetml/2006/main" r="C230" s="18" t="str">
        <f>IF(209&gt;MAX('4℃飯'!$Z$5:$Z$304),"",HYPERLINK("#'4℃飯'!C"&amp;(MATCH(209,'4℃飯'!$Z$5:$Z$304,0)+4),INDEX('4℃飯'!$C$5:$C$304,MATCH(209,'4℃飯'!$Z$5:$Z$304,0))))</f>
        <v/>
      </c>
      <c xmlns="http://schemas.openxmlformats.org/spreadsheetml/2006/main" r="D230" s="18" t="str">
        <f>IF(209&gt;MAX('4℃麵'!$AA$5:$AA$292),"",HYPERLINK("#'4℃麵'!D"&amp;(MATCH(209,'4℃麵'!$AA$5:$AA$292,0)+4),INDEX('4℃麵'!$D$5:$D$292,MATCH(209,'4℃麵'!$AA$5:$AA$292,0))))</f>
        <v/>
      </c>
      <c xmlns="http://schemas.openxmlformats.org/spreadsheetml/2006/main" r="E230" s="18" t="str">
        <f>IF(209&gt;MAX('4℃其他'!$AA$5:$AA$304),"",HYPERLINK("#'4℃其他'!D"&amp;(MATCH(209,'4℃其他'!$AA$5:$AA$304,0)+4),INDEX('4℃其他'!$D$5:$D$304,MATCH(209,'4℃其他'!$AA$5:$AA$304,0))))</f>
        <v/>
      </c>
      <c xmlns="http://schemas.openxmlformats.org/spreadsheetml/2006/main" r="F230" s="18" t="str">
        <f>IF(209&gt;MAX('冷凍品'!$AA$5:$AA$304),"",HYPERLINK("#'冷凍品'!D"&amp;(MATCH(209,'冷凍品'!$AA$5:$AA$304,0)+4),INDEX('冷凍品'!$D$5:$D$304,MATCH(209,'冷凍品'!$AA$5:$AA$304,0))))</f>
        <v/>
      </c>
    </row>
    <row r="231">
      <c xmlns="http://schemas.openxmlformats.org/spreadsheetml/2006/main" r="B231" s="18" t="str">
        <f>IF(210&gt;MAX('18℃'!$Z$5:$Z$304),"",HYPERLINK("#'18℃'!C"&amp;(MATCH(210,'18℃'!$Z$5:$Z$304,0)+4),INDEX('18℃'!$C$5:$C$304,MATCH(210,'18℃'!$Z$5:$Z$304,0))))</f>
        <v/>
      </c>
      <c xmlns="http://schemas.openxmlformats.org/spreadsheetml/2006/main" r="C231" s="18" t="str">
        <f>IF(210&gt;MAX('4℃飯'!$Z$5:$Z$304),"",HYPERLINK("#'4℃飯'!C"&amp;(MATCH(210,'4℃飯'!$Z$5:$Z$304,0)+4),INDEX('4℃飯'!$C$5:$C$304,MATCH(210,'4℃飯'!$Z$5:$Z$304,0))))</f>
        <v/>
      </c>
      <c xmlns="http://schemas.openxmlformats.org/spreadsheetml/2006/main" r="D231" s="18" t="str">
        <f>IF(210&gt;MAX('4℃麵'!$AA$5:$AA$292),"",HYPERLINK("#'4℃麵'!D"&amp;(MATCH(210,'4℃麵'!$AA$5:$AA$292,0)+4),INDEX('4℃麵'!$D$5:$D$292,MATCH(210,'4℃麵'!$AA$5:$AA$292,0))))</f>
        <v/>
      </c>
      <c xmlns="http://schemas.openxmlformats.org/spreadsheetml/2006/main" r="E231" s="18" t="str">
        <f>IF(210&gt;MAX('4℃其他'!$AA$5:$AA$304),"",HYPERLINK("#'4℃其他'!D"&amp;(MATCH(210,'4℃其他'!$AA$5:$AA$304,0)+4),INDEX('4℃其他'!$D$5:$D$304,MATCH(210,'4℃其他'!$AA$5:$AA$304,0))))</f>
        <v/>
      </c>
      <c xmlns="http://schemas.openxmlformats.org/spreadsheetml/2006/main" r="F231" s="18" t="str">
        <f>IF(210&gt;MAX('冷凍品'!$AA$5:$AA$304),"",HYPERLINK("#'冷凍品'!D"&amp;(MATCH(210,'冷凍品'!$AA$5:$AA$304,0)+4),INDEX('冷凍品'!$D$5:$D$304,MATCH(210,'冷凍品'!$AA$5:$AA$304,0))))</f>
        <v/>
      </c>
    </row>
    <row r="232">
      <c xmlns="http://schemas.openxmlformats.org/spreadsheetml/2006/main" r="B232" s="18" t="str">
        <f>IF(211&gt;MAX('18℃'!$Z$5:$Z$304),"",HYPERLINK("#'18℃'!C"&amp;(MATCH(211,'18℃'!$Z$5:$Z$304,0)+4),INDEX('18℃'!$C$5:$C$304,MATCH(211,'18℃'!$Z$5:$Z$304,0))))</f>
        <v/>
      </c>
      <c xmlns="http://schemas.openxmlformats.org/spreadsheetml/2006/main" r="C232" s="18" t="str">
        <f>IF(211&gt;MAX('4℃飯'!$Z$5:$Z$304),"",HYPERLINK("#'4℃飯'!C"&amp;(MATCH(211,'4℃飯'!$Z$5:$Z$304,0)+4),INDEX('4℃飯'!$C$5:$C$304,MATCH(211,'4℃飯'!$Z$5:$Z$304,0))))</f>
        <v/>
      </c>
      <c xmlns="http://schemas.openxmlformats.org/spreadsheetml/2006/main" r="D232" s="18" t="str">
        <f>IF(211&gt;MAX('4℃麵'!$AA$5:$AA$292),"",HYPERLINK("#'4℃麵'!D"&amp;(MATCH(211,'4℃麵'!$AA$5:$AA$292,0)+4),INDEX('4℃麵'!$D$5:$D$292,MATCH(211,'4℃麵'!$AA$5:$AA$292,0))))</f>
        <v/>
      </c>
      <c xmlns="http://schemas.openxmlformats.org/spreadsheetml/2006/main" r="E232" s="18" t="str">
        <f>IF(211&gt;MAX('4℃其他'!$AA$5:$AA$304),"",HYPERLINK("#'4℃其他'!D"&amp;(MATCH(211,'4℃其他'!$AA$5:$AA$304,0)+4),INDEX('4℃其他'!$D$5:$D$304,MATCH(211,'4℃其他'!$AA$5:$AA$304,0))))</f>
        <v/>
      </c>
      <c xmlns="http://schemas.openxmlformats.org/spreadsheetml/2006/main" r="F232" s="18" t="str">
        <f>IF(211&gt;MAX('冷凍品'!$AA$5:$AA$304),"",HYPERLINK("#'冷凍品'!D"&amp;(MATCH(211,'冷凍品'!$AA$5:$AA$304,0)+4),INDEX('冷凍品'!$D$5:$D$304,MATCH(211,'冷凍品'!$AA$5:$AA$304,0))))</f>
        <v/>
      </c>
    </row>
    <row r="233">
      <c xmlns="http://schemas.openxmlformats.org/spreadsheetml/2006/main" r="B233" s="18" t="str">
        <f>IF(212&gt;MAX('18℃'!$Z$5:$Z$304),"",HYPERLINK("#'18℃'!C"&amp;(MATCH(212,'18℃'!$Z$5:$Z$304,0)+4),INDEX('18℃'!$C$5:$C$304,MATCH(212,'18℃'!$Z$5:$Z$304,0))))</f>
        <v/>
      </c>
      <c xmlns="http://schemas.openxmlformats.org/spreadsheetml/2006/main" r="C233" s="18" t="str">
        <f>IF(212&gt;MAX('4℃飯'!$Z$5:$Z$304),"",HYPERLINK("#'4℃飯'!C"&amp;(MATCH(212,'4℃飯'!$Z$5:$Z$304,0)+4),INDEX('4℃飯'!$C$5:$C$304,MATCH(212,'4℃飯'!$Z$5:$Z$304,0))))</f>
        <v/>
      </c>
      <c xmlns="http://schemas.openxmlformats.org/spreadsheetml/2006/main" r="D233" s="18" t="str">
        <f>IF(212&gt;MAX('4℃麵'!$AA$5:$AA$292),"",HYPERLINK("#'4℃麵'!D"&amp;(MATCH(212,'4℃麵'!$AA$5:$AA$292,0)+4),INDEX('4℃麵'!$D$5:$D$292,MATCH(212,'4℃麵'!$AA$5:$AA$292,0))))</f>
        <v/>
      </c>
      <c xmlns="http://schemas.openxmlformats.org/spreadsheetml/2006/main" r="E233" s="18" t="str">
        <f>IF(212&gt;MAX('4℃其他'!$AA$5:$AA$304),"",HYPERLINK("#'4℃其他'!D"&amp;(MATCH(212,'4℃其他'!$AA$5:$AA$304,0)+4),INDEX('4℃其他'!$D$5:$D$304,MATCH(212,'4℃其他'!$AA$5:$AA$304,0))))</f>
        <v/>
      </c>
      <c xmlns="http://schemas.openxmlformats.org/spreadsheetml/2006/main" r="F233" s="18" t="str">
        <f>IF(212&gt;MAX('冷凍品'!$AA$5:$AA$304),"",HYPERLINK("#'冷凍品'!D"&amp;(MATCH(212,'冷凍品'!$AA$5:$AA$304,0)+4),INDEX('冷凍品'!$D$5:$D$304,MATCH(212,'冷凍品'!$AA$5:$AA$304,0))))</f>
        <v/>
      </c>
    </row>
    <row r="234">
      <c xmlns="http://schemas.openxmlformats.org/spreadsheetml/2006/main" r="B234" s="18" t="str">
        <f>IF(213&gt;MAX('18℃'!$Z$5:$Z$304),"",HYPERLINK("#'18℃'!C"&amp;(MATCH(213,'18℃'!$Z$5:$Z$304,0)+4),INDEX('18℃'!$C$5:$C$304,MATCH(213,'18℃'!$Z$5:$Z$304,0))))</f>
        <v/>
      </c>
      <c xmlns="http://schemas.openxmlformats.org/spreadsheetml/2006/main" r="C234" s="18" t="str">
        <f>IF(213&gt;MAX('4℃飯'!$Z$5:$Z$304),"",HYPERLINK("#'4℃飯'!C"&amp;(MATCH(213,'4℃飯'!$Z$5:$Z$304,0)+4),INDEX('4℃飯'!$C$5:$C$304,MATCH(213,'4℃飯'!$Z$5:$Z$304,0))))</f>
        <v/>
      </c>
      <c xmlns="http://schemas.openxmlformats.org/spreadsheetml/2006/main" r="D234" s="18" t="str">
        <f>IF(213&gt;MAX('4℃麵'!$AA$5:$AA$292),"",HYPERLINK("#'4℃麵'!D"&amp;(MATCH(213,'4℃麵'!$AA$5:$AA$292,0)+4),INDEX('4℃麵'!$D$5:$D$292,MATCH(213,'4℃麵'!$AA$5:$AA$292,0))))</f>
        <v/>
      </c>
      <c xmlns="http://schemas.openxmlformats.org/spreadsheetml/2006/main" r="E234" s="18" t="str">
        <f>IF(213&gt;MAX('4℃其他'!$AA$5:$AA$304),"",HYPERLINK("#'4℃其他'!D"&amp;(MATCH(213,'4℃其他'!$AA$5:$AA$304,0)+4),INDEX('4℃其他'!$D$5:$D$304,MATCH(213,'4℃其他'!$AA$5:$AA$304,0))))</f>
        <v/>
      </c>
      <c xmlns="http://schemas.openxmlformats.org/spreadsheetml/2006/main" r="F234" s="18" t="str">
        <f>IF(213&gt;MAX('冷凍品'!$AA$5:$AA$304),"",HYPERLINK("#'冷凍品'!D"&amp;(MATCH(213,'冷凍品'!$AA$5:$AA$304,0)+4),INDEX('冷凍品'!$D$5:$D$304,MATCH(213,'冷凍品'!$AA$5:$AA$304,0))))</f>
        <v/>
      </c>
    </row>
    <row r="235">
      <c xmlns="http://schemas.openxmlformats.org/spreadsheetml/2006/main" r="B235" s="18" t="str">
        <f>IF(214&gt;MAX('18℃'!$Z$5:$Z$304),"",HYPERLINK("#'18℃'!C"&amp;(MATCH(214,'18℃'!$Z$5:$Z$304,0)+4),INDEX('18℃'!$C$5:$C$304,MATCH(214,'18℃'!$Z$5:$Z$304,0))))</f>
        <v/>
      </c>
      <c xmlns="http://schemas.openxmlformats.org/spreadsheetml/2006/main" r="C235" s="18" t="str">
        <f>IF(214&gt;MAX('4℃飯'!$Z$5:$Z$304),"",HYPERLINK("#'4℃飯'!C"&amp;(MATCH(214,'4℃飯'!$Z$5:$Z$304,0)+4),INDEX('4℃飯'!$C$5:$C$304,MATCH(214,'4℃飯'!$Z$5:$Z$304,0))))</f>
        <v/>
      </c>
      <c xmlns="http://schemas.openxmlformats.org/spreadsheetml/2006/main" r="D235" s="18" t="str">
        <f>IF(214&gt;MAX('4℃麵'!$AA$5:$AA$292),"",HYPERLINK("#'4℃麵'!D"&amp;(MATCH(214,'4℃麵'!$AA$5:$AA$292,0)+4),INDEX('4℃麵'!$D$5:$D$292,MATCH(214,'4℃麵'!$AA$5:$AA$292,0))))</f>
        <v/>
      </c>
      <c xmlns="http://schemas.openxmlformats.org/spreadsheetml/2006/main" r="E235" s="18" t="str">
        <f>IF(214&gt;MAX('4℃其他'!$AA$5:$AA$304),"",HYPERLINK("#'4℃其他'!D"&amp;(MATCH(214,'4℃其他'!$AA$5:$AA$304,0)+4),INDEX('4℃其他'!$D$5:$D$304,MATCH(214,'4℃其他'!$AA$5:$AA$304,0))))</f>
        <v/>
      </c>
      <c xmlns="http://schemas.openxmlformats.org/spreadsheetml/2006/main" r="F235" s="18" t="str">
        <f>IF(214&gt;MAX('冷凍品'!$AA$5:$AA$304),"",HYPERLINK("#'冷凍品'!D"&amp;(MATCH(214,'冷凍品'!$AA$5:$AA$304,0)+4),INDEX('冷凍品'!$D$5:$D$304,MATCH(214,'冷凍品'!$AA$5:$AA$304,0))))</f>
        <v/>
      </c>
    </row>
    <row r="236">
      <c xmlns="http://schemas.openxmlformats.org/spreadsheetml/2006/main" r="B236" s="18" t="str">
        <f>IF(215&gt;MAX('18℃'!$Z$5:$Z$304),"",HYPERLINK("#'18℃'!C"&amp;(MATCH(215,'18℃'!$Z$5:$Z$304,0)+4),INDEX('18℃'!$C$5:$C$304,MATCH(215,'18℃'!$Z$5:$Z$304,0))))</f>
        <v/>
      </c>
      <c xmlns="http://schemas.openxmlformats.org/spreadsheetml/2006/main" r="C236" s="18" t="str">
        <f>IF(215&gt;MAX('4℃飯'!$Z$5:$Z$304),"",HYPERLINK("#'4℃飯'!C"&amp;(MATCH(215,'4℃飯'!$Z$5:$Z$304,0)+4),INDEX('4℃飯'!$C$5:$C$304,MATCH(215,'4℃飯'!$Z$5:$Z$304,0))))</f>
        <v/>
      </c>
      <c xmlns="http://schemas.openxmlformats.org/spreadsheetml/2006/main" r="D236" s="18" t="str">
        <f>IF(215&gt;MAX('4℃麵'!$AA$5:$AA$292),"",HYPERLINK("#'4℃麵'!D"&amp;(MATCH(215,'4℃麵'!$AA$5:$AA$292,0)+4),INDEX('4℃麵'!$D$5:$D$292,MATCH(215,'4℃麵'!$AA$5:$AA$292,0))))</f>
        <v/>
      </c>
      <c xmlns="http://schemas.openxmlformats.org/spreadsheetml/2006/main" r="E236" s="18" t="str">
        <f>IF(215&gt;MAX('4℃其他'!$AA$5:$AA$304),"",HYPERLINK("#'4℃其他'!D"&amp;(MATCH(215,'4℃其他'!$AA$5:$AA$304,0)+4),INDEX('4℃其他'!$D$5:$D$304,MATCH(215,'4℃其他'!$AA$5:$AA$304,0))))</f>
        <v/>
      </c>
      <c xmlns="http://schemas.openxmlformats.org/spreadsheetml/2006/main" r="F236" s="18" t="str">
        <f>IF(215&gt;MAX('冷凍品'!$AA$5:$AA$304),"",HYPERLINK("#'冷凍品'!D"&amp;(MATCH(215,'冷凍品'!$AA$5:$AA$304,0)+4),INDEX('冷凍品'!$D$5:$D$304,MATCH(215,'冷凍品'!$AA$5:$AA$304,0))))</f>
        <v/>
      </c>
    </row>
    <row r="237">
      <c xmlns="http://schemas.openxmlformats.org/spreadsheetml/2006/main" r="B237" s="18" t="str">
        <f>IF(216&gt;MAX('18℃'!$Z$5:$Z$304),"",HYPERLINK("#'18℃'!C"&amp;(MATCH(216,'18℃'!$Z$5:$Z$304,0)+4),INDEX('18℃'!$C$5:$C$304,MATCH(216,'18℃'!$Z$5:$Z$304,0))))</f>
        <v/>
      </c>
      <c xmlns="http://schemas.openxmlformats.org/spreadsheetml/2006/main" r="C237" s="18" t="str">
        <f>IF(216&gt;MAX('4℃飯'!$Z$5:$Z$304),"",HYPERLINK("#'4℃飯'!C"&amp;(MATCH(216,'4℃飯'!$Z$5:$Z$304,0)+4),INDEX('4℃飯'!$C$5:$C$304,MATCH(216,'4℃飯'!$Z$5:$Z$304,0))))</f>
        <v/>
      </c>
      <c xmlns="http://schemas.openxmlformats.org/spreadsheetml/2006/main" r="D237" s="18" t="str">
        <f>IF(216&gt;MAX('4℃麵'!$AA$5:$AA$292),"",HYPERLINK("#'4℃麵'!D"&amp;(MATCH(216,'4℃麵'!$AA$5:$AA$292,0)+4),INDEX('4℃麵'!$D$5:$D$292,MATCH(216,'4℃麵'!$AA$5:$AA$292,0))))</f>
        <v/>
      </c>
      <c xmlns="http://schemas.openxmlformats.org/spreadsheetml/2006/main" r="E237" s="18" t="str">
        <f>IF(216&gt;MAX('4℃其他'!$AA$5:$AA$304),"",HYPERLINK("#'4℃其他'!D"&amp;(MATCH(216,'4℃其他'!$AA$5:$AA$304,0)+4),INDEX('4℃其他'!$D$5:$D$304,MATCH(216,'4℃其他'!$AA$5:$AA$304,0))))</f>
        <v/>
      </c>
      <c xmlns="http://schemas.openxmlformats.org/spreadsheetml/2006/main" r="F237" s="18" t="str">
        <f>IF(216&gt;MAX('冷凍品'!$AA$5:$AA$304),"",HYPERLINK("#'冷凍品'!D"&amp;(MATCH(216,'冷凍品'!$AA$5:$AA$304,0)+4),INDEX('冷凍品'!$D$5:$D$304,MATCH(216,'冷凍品'!$AA$5:$AA$304,0))))</f>
        <v/>
      </c>
    </row>
    <row r="238">
      <c xmlns="http://schemas.openxmlformats.org/spreadsheetml/2006/main" r="B238" s="18" t="str">
        <f>IF(217&gt;MAX('18℃'!$Z$5:$Z$304),"",HYPERLINK("#'18℃'!C"&amp;(MATCH(217,'18℃'!$Z$5:$Z$304,0)+4),INDEX('18℃'!$C$5:$C$304,MATCH(217,'18℃'!$Z$5:$Z$304,0))))</f>
        <v/>
      </c>
      <c xmlns="http://schemas.openxmlformats.org/spreadsheetml/2006/main" r="C238" s="18" t="str">
        <f>IF(217&gt;MAX('4℃飯'!$Z$5:$Z$304),"",HYPERLINK("#'4℃飯'!C"&amp;(MATCH(217,'4℃飯'!$Z$5:$Z$304,0)+4),INDEX('4℃飯'!$C$5:$C$304,MATCH(217,'4℃飯'!$Z$5:$Z$304,0))))</f>
        <v/>
      </c>
      <c xmlns="http://schemas.openxmlformats.org/spreadsheetml/2006/main" r="D238" s="18" t="str">
        <f>IF(217&gt;MAX('4℃麵'!$AA$5:$AA$292),"",HYPERLINK("#'4℃麵'!D"&amp;(MATCH(217,'4℃麵'!$AA$5:$AA$292,0)+4),INDEX('4℃麵'!$D$5:$D$292,MATCH(217,'4℃麵'!$AA$5:$AA$292,0))))</f>
        <v/>
      </c>
      <c xmlns="http://schemas.openxmlformats.org/spreadsheetml/2006/main" r="E238" s="18" t="str">
        <f>IF(217&gt;MAX('4℃其他'!$AA$5:$AA$304),"",HYPERLINK("#'4℃其他'!D"&amp;(MATCH(217,'4℃其他'!$AA$5:$AA$304,0)+4),INDEX('4℃其他'!$D$5:$D$304,MATCH(217,'4℃其他'!$AA$5:$AA$304,0))))</f>
        <v/>
      </c>
      <c xmlns="http://schemas.openxmlformats.org/spreadsheetml/2006/main" r="F238" s="18" t="str">
        <f>IF(217&gt;MAX('冷凍品'!$AA$5:$AA$304),"",HYPERLINK("#'冷凍品'!D"&amp;(MATCH(217,'冷凍品'!$AA$5:$AA$304,0)+4),INDEX('冷凍品'!$D$5:$D$304,MATCH(217,'冷凍品'!$AA$5:$AA$304,0))))</f>
        <v/>
      </c>
    </row>
    <row r="239">
      <c xmlns="http://schemas.openxmlformats.org/spreadsheetml/2006/main" r="B239" s="18" t="str">
        <f>IF(218&gt;MAX('18℃'!$Z$5:$Z$304),"",HYPERLINK("#'18℃'!C"&amp;(MATCH(218,'18℃'!$Z$5:$Z$304,0)+4),INDEX('18℃'!$C$5:$C$304,MATCH(218,'18℃'!$Z$5:$Z$304,0))))</f>
        <v/>
      </c>
      <c xmlns="http://schemas.openxmlformats.org/spreadsheetml/2006/main" r="C239" s="18" t="str">
        <f>IF(218&gt;MAX('4℃飯'!$Z$5:$Z$304),"",HYPERLINK("#'4℃飯'!C"&amp;(MATCH(218,'4℃飯'!$Z$5:$Z$304,0)+4),INDEX('4℃飯'!$C$5:$C$304,MATCH(218,'4℃飯'!$Z$5:$Z$304,0))))</f>
        <v/>
      </c>
      <c xmlns="http://schemas.openxmlformats.org/spreadsheetml/2006/main" r="D239" s="18" t="str">
        <f>IF(218&gt;MAX('4℃麵'!$AA$5:$AA$292),"",HYPERLINK("#'4℃麵'!D"&amp;(MATCH(218,'4℃麵'!$AA$5:$AA$292,0)+4),INDEX('4℃麵'!$D$5:$D$292,MATCH(218,'4℃麵'!$AA$5:$AA$292,0))))</f>
        <v/>
      </c>
      <c xmlns="http://schemas.openxmlformats.org/spreadsheetml/2006/main" r="E239" s="18" t="str">
        <f>IF(218&gt;MAX('4℃其他'!$AA$5:$AA$304),"",HYPERLINK("#'4℃其他'!D"&amp;(MATCH(218,'4℃其他'!$AA$5:$AA$304,0)+4),INDEX('4℃其他'!$D$5:$D$304,MATCH(218,'4℃其他'!$AA$5:$AA$304,0))))</f>
        <v/>
      </c>
      <c xmlns="http://schemas.openxmlformats.org/spreadsheetml/2006/main" r="F239" s="18" t="str">
        <f>IF(218&gt;MAX('冷凍品'!$AA$5:$AA$304),"",HYPERLINK("#'冷凍品'!D"&amp;(MATCH(218,'冷凍品'!$AA$5:$AA$304,0)+4),INDEX('冷凍品'!$D$5:$D$304,MATCH(218,'冷凍品'!$AA$5:$AA$304,0))))</f>
        <v/>
      </c>
    </row>
    <row r="240">
      <c xmlns="http://schemas.openxmlformats.org/spreadsheetml/2006/main" r="B240" s="18" t="str">
        <f>IF(219&gt;MAX('18℃'!$Z$5:$Z$304),"",HYPERLINK("#'18℃'!C"&amp;(MATCH(219,'18℃'!$Z$5:$Z$304,0)+4),INDEX('18℃'!$C$5:$C$304,MATCH(219,'18℃'!$Z$5:$Z$304,0))))</f>
        <v/>
      </c>
      <c xmlns="http://schemas.openxmlformats.org/spreadsheetml/2006/main" r="C240" s="18" t="str">
        <f>IF(219&gt;MAX('4℃飯'!$Z$5:$Z$304),"",HYPERLINK("#'4℃飯'!C"&amp;(MATCH(219,'4℃飯'!$Z$5:$Z$304,0)+4),INDEX('4℃飯'!$C$5:$C$304,MATCH(219,'4℃飯'!$Z$5:$Z$304,0))))</f>
        <v/>
      </c>
      <c xmlns="http://schemas.openxmlformats.org/spreadsheetml/2006/main" r="D240" s="18" t="str">
        <f>IF(219&gt;MAX('4℃麵'!$AA$5:$AA$292),"",HYPERLINK("#'4℃麵'!D"&amp;(MATCH(219,'4℃麵'!$AA$5:$AA$292,0)+4),INDEX('4℃麵'!$D$5:$D$292,MATCH(219,'4℃麵'!$AA$5:$AA$292,0))))</f>
        <v/>
      </c>
      <c xmlns="http://schemas.openxmlformats.org/spreadsheetml/2006/main" r="E240" s="18" t="str">
        <f>IF(219&gt;MAX('4℃其他'!$AA$5:$AA$304),"",HYPERLINK("#'4℃其他'!D"&amp;(MATCH(219,'4℃其他'!$AA$5:$AA$304,0)+4),INDEX('4℃其他'!$D$5:$D$304,MATCH(219,'4℃其他'!$AA$5:$AA$304,0))))</f>
        <v/>
      </c>
      <c xmlns="http://schemas.openxmlformats.org/spreadsheetml/2006/main" r="F240" s="18" t="str">
        <f>IF(219&gt;MAX('冷凍品'!$AA$5:$AA$304),"",HYPERLINK("#'冷凍品'!D"&amp;(MATCH(219,'冷凍品'!$AA$5:$AA$304,0)+4),INDEX('冷凍品'!$D$5:$D$304,MATCH(219,'冷凍品'!$AA$5:$AA$304,0))))</f>
        <v/>
      </c>
    </row>
    <row r="241">
      <c xmlns="http://schemas.openxmlformats.org/spreadsheetml/2006/main" r="B241" s="18" t="str">
        <f>IF(220&gt;MAX('18℃'!$Z$5:$Z$304),"",HYPERLINK("#'18℃'!C"&amp;(MATCH(220,'18℃'!$Z$5:$Z$304,0)+4),INDEX('18℃'!$C$5:$C$304,MATCH(220,'18℃'!$Z$5:$Z$304,0))))</f>
        <v/>
      </c>
      <c xmlns="http://schemas.openxmlformats.org/spreadsheetml/2006/main" r="C241" s="18" t="str">
        <f>IF(220&gt;MAX('4℃飯'!$Z$5:$Z$304),"",HYPERLINK("#'4℃飯'!C"&amp;(MATCH(220,'4℃飯'!$Z$5:$Z$304,0)+4),INDEX('4℃飯'!$C$5:$C$304,MATCH(220,'4℃飯'!$Z$5:$Z$304,0))))</f>
        <v/>
      </c>
      <c xmlns="http://schemas.openxmlformats.org/spreadsheetml/2006/main" r="D241" s="18" t="str">
        <f>IF(220&gt;MAX('4℃麵'!$AA$5:$AA$292),"",HYPERLINK("#'4℃麵'!D"&amp;(MATCH(220,'4℃麵'!$AA$5:$AA$292,0)+4),INDEX('4℃麵'!$D$5:$D$292,MATCH(220,'4℃麵'!$AA$5:$AA$292,0))))</f>
        <v/>
      </c>
      <c xmlns="http://schemas.openxmlformats.org/spreadsheetml/2006/main" r="E241" s="18" t="str">
        <f>IF(220&gt;MAX('4℃其他'!$AA$5:$AA$304),"",HYPERLINK("#'4℃其他'!D"&amp;(MATCH(220,'4℃其他'!$AA$5:$AA$304,0)+4),INDEX('4℃其他'!$D$5:$D$304,MATCH(220,'4℃其他'!$AA$5:$AA$304,0))))</f>
        <v/>
      </c>
      <c xmlns="http://schemas.openxmlformats.org/spreadsheetml/2006/main" r="F241" s="18" t="str">
        <f>IF(220&gt;MAX('冷凍品'!$AA$5:$AA$304),"",HYPERLINK("#'冷凍品'!D"&amp;(MATCH(220,'冷凍品'!$AA$5:$AA$304,0)+4),INDEX('冷凍品'!$D$5:$D$304,MATCH(220,'冷凍品'!$AA$5:$AA$304,0))))</f>
        <v/>
      </c>
    </row>
    <row r="242">
      <c xmlns="http://schemas.openxmlformats.org/spreadsheetml/2006/main" r="B242" s="18" t="str">
        <f>IF(221&gt;MAX('18℃'!$Z$5:$Z$304),"",HYPERLINK("#'18℃'!C"&amp;(MATCH(221,'18℃'!$Z$5:$Z$304,0)+4),INDEX('18℃'!$C$5:$C$304,MATCH(221,'18℃'!$Z$5:$Z$304,0))))</f>
        <v/>
      </c>
      <c xmlns="http://schemas.openxmlformats.org/spreadsheetml/2006/main" r="C242" s="18" t="str">
        <f>IF(221&gt;MAX('4℃飯'!$Z$5:$Z$304),"",HYPERLINK("#'4℃飯'!C"&amp;(MATCH(221,'4℃飯'!$Z$5:$Z$304,0)+4),INDEX('4℃飯'!$C$5:$C$304,MATCH(221,'4℃飯'!$Z$5:$Z$304,0))))</f>
        <v/>
      </c>
      <c xmlns="http://schemas.openxmlformats.org/spreadsheetml/2006/main" r="D242" s="18" t="str">
        <f>IF(221&gt;MAX('4℃麵'!$AA$5:$AA$292),"",HYPERLINK("#'4℃麵'!D"&amp;(MATCH(221,'4℃麵'!$AA$5:$AA$292,0)+4),INDEX('4℃麵'!$D$5:$D$292,MATCH(221,'4℃麵'!$AA$5:$AA$292,0))))</f>
        <v/>
      </c>
      <c xmlns="http://schemas.openxmlformats.org/spreadsheetml/2006/main" r="E242" s="18" t="str">
        <f>IF(221&gt;MAX('4℃其他'!$AA$5:$AA$304),"",HYPERLINK("#'4℃其他'!D"&amp;(MATCH(221,'4℃其他'!$AA$5:$AA$304,0)+4),INDEX('4℃其他'!$D$5:$D$304,MATCH(221,'4℃其他'!$AA$5:$AA$304,0))))</f>
        <v/>
      </c>
      <c xmlns="http://schemas.openxmlformats.org/spreadsheetml/2006/main" r="F242" s="18" t="str">
        <f>IF(221&gt;MAX('冷凍品'!$AA$5:$AA$304),"",HYPERLINK("#'冷凍品'!D"&amp;(MATCH(221,'冷凍品'!$AA$5:$AA$304,0)+4),INDEX('冷凍品'!$D$5:$D$304,MATCH(221,'冷凍品'!$AA$5:$AA$304,0))))</f>
        <v/>
      </c>
    </row>
    <row r="243">
      <c xmlns="http://schemas.openxmlformats.org/spreadsheetml/2006/main" r="B243" s="18" t="str">
        <f>IF(222&gt;MAX('18℃'!$Z$5:$Z$304),"",HYPERLINK("#'18℃'!C"&amp;(MATCH(222,'18℃'!$Z$5:$Z$304,0)+4),INDEX('18℃'!$C$5:$C$304,MATCH(222,'18℃'!$Z$5:$Z$304,0))))</f>
        <v/>
      </c>
      <c xmlns="http://schemas.openxmlformats.org/spreadsheetml/2006/main" r="C243" s="18" t="str">
        <f>IF(222&gt;MAX('4℃飯'!$Z$5:$Z$304),"",HYPERLINK("#'4℃飯'!C"&amp;(MATCH(222,'4℃飯'!$Z$5:$Z$304,0)+4),INDEX('4℃飯'!$C$5:$C$304,MATCH(222,'4℃飯'!$Z$5:$Z$304,0))))</f>
        <v/>
      </c>
      <c xmlns="http://schemas.openxmlformats.org/spreadsheetml/2006/main" r="D243" s="18" t="str">
        <f>IF(222&gt;MAX('4℃麵'!$AA$5:$AA$292),"",HYPERLINK("#'4℃麵'!D"&amp;(MATCH(222,'4℃麵'!$AA$5:$AA$292,0)+4),INDEX('4℃麵'!$D$5:$D$292,MATCH(222,'4℃麵'!$AA$5:$AA$292,0))))</f>
        <v/>
      </c>
      <c xmlns="http://schemas.openxmlformats.org/spreadsheetml/2006/main" r="E243" s="18" t="str">
        <f>IF(222&gt;MAX('4℃其他'!$AA$5:$AA$304),"",HYPERLINK("#'4℃其他'!D"&amp;(MATCH(222,'4℃其他'!$AA$5:$AA$304,0)+4),INDEX('4℃其他'!$D$5:$D$304,MATCH(222,'4℃其他'!$AA$5:$AA$304,0))))</f>
        <v/>
      </c>
      <c xmlns="http://schemas.openxmlformats.org/spreadsheetml/2006/main" r="F243" s="18" t="str">
        <f>IF(222&gt;MAX('冷凍品'!$AA$5:$AA$304),"",HYPERLINK("#'冷凍品'!D"&amp;(MATCH(222,'冷凍品'!$AA$5:$AA$304,0)+4),INDEX('冷凍品'!$D$5:$D$304,MATCH(222,'冷凍品'!$AA$5:$AA$304,0))))</f>
        <v/>
      </c>
    </row>
    <row r="244">
      <c xmlns="http://schemas.openxmlformats.org/spreadsheetml/2006/main" r="B244" s="18" t="str">
        <f>IF(223&gt;MAX('18℃'!$Z$5:$Z$304),"",HYPERLINK("#'18℃'!C"&amp;(MATCH(223,'18℃'!$Z$5:$Z$304,0)+4),INDEX('18℃'!$C$5:$C$304,MATCH(223,'18℃'!$Z$5:$Z$304,0))))</f>
        <v/>
      </c>
      <c xmlns="http://schemas.openxmlformats.org/spreadsheetml/2006/main" r="C244" s="18" t="str">
        <f>IF(223&gt;MAX('4℃飯'!$Z$5:$Z$304),"",HYPERLINK("#'4℃飯'!C"&amp;(MATCH(223,'4℃飯'!$Z$5:$Z$304,0)+4),INDEX('4℃飯'!$C$5:$C$304,MATCH(223,'4℃飯'!$Z$5:$Z$304,0))))</f>
        <v/>
      </c>
      <c xmlns="http://schemas.openxmlformats.org/spreadsheetml/2006/main" r="D244" s="18" t="str">
        <f>IF(223&gt;MAX('4℃麵'!$AA$5:$AA$292),"",HYPERLINK("#'4℃麵'!D"&amp;(MATCH(223,'4℃麵'!$AA$5:$AA$292,0)+4),INDEX('4℃麵'!$D$5:$D$292,MATCH(223,'4℃麵'!$AA$5:$AA$292,0))))</f>
        <v/>
      </c>
      <c xmlns="http://schemas.openxmlformats.org/spreadsheetml/2006/main" r="E244" s="18" t="str">
        <f>IF(223&gt;MAX('4℃其他'!$AA$5:$AA$304),"",HYPERLINK("#'4℃其他'!D"&amp;(MATCH(223,'4℃其他'!$AA$5:$AA$304,0)+4),INDEX('4℃其他'!$D$5:$D$304,MATCH(223,'4℃其他'!$AA$5:$AA$304,0))))</f>
        <v/>
      </c>
      <c xmlns="http://schemas.openxmlformats.org/spreadsheetml/2006/main" r="F244" s="18" t="str">
        <f>IF(223&gt;MAX('冷凍品'!$AA$5:$AA$304),"",HYPERLINK("#'冷凍品'!D"&amp;(MATCH(223,'冷凍品'!$AA$5:$AA$304,0)+4),INDEX('冷凍品'!$D$5:$D$304,MATCH(223,'冷凍品'!$AA$5:$AA$304,0))))</f>
        <v/>
      </c>
    </row>
    <row r="245">
      <c xmlns="http://schemas.openxmlformats.org/spreadsheetml/2006/main" r="B245" s="18" t="str">
        <f>IF(224&gt;MAX('18℃'!$Z$5:$Z$304),"",HYPERLINK("#'18℃'!C"&amp;(MATCH(224,'18℃'!$Z$5:$Z$304,0)+4),INDEX('18℃'!$C$5:$C$304,MATCH(224,'18℃'!$Z$5:$Z$304,0))))</f>
        <v/>
      </c>
      <c xmlns="http://schemas.openxmlformats.org/spreadsheetml/2006/main" r="C245" s="18" t="str">
        <f>IF(224&gt;MAX('4℃飯'!$Z$5:$Z$304),"",HYPERLINK("#'4℃飯'!C"&amp;(MATCH(224,'4℃飯'!$Z$5:$Z$304,0)+4),INDEX('4℃飯'!$C$5:$C$304,MATCH(224,'4℃飯'!$Z$5:$Z$304,0))))</f>
        <v/>
      </c>
      <c xmlns="http://schemas.openxmlformats.org/spreadsheetml/2006/main" r="D245" s="18" t="str">
        <f>IF(224&gt;MAX('4℃麵'!$AA$5:$AA$292),"",HYPERLINK("#'4℃麵'!D"&amp;(MATCH(224,'4℃麵'!$AA$5:$AA$292,0)+4),INDEX('4℃麵'!$D$5:$D$292,MATCH(224,'4℃麵'!$AA$5:$AA$292,0))))</f>
        <v/>
      </c>
      <c xmlns="http://schemas.openxmlformats.org/spreadsheetml/2006/main" r="E245" s="18" t="str">
        <f>IF(224&gt;MAX('4℃其他'!$AA$5:$AA$304),"",HYPERLINK("#'4℃其他'!D"&amp;(MATCH(224,'4℃其他'!$AA$5:$AA$304,0)+4),INDEX('4℃其他'!$D$5:$D$304,MATCH(224,'4℃其他'!$AA$5:$AA$304,0))))</f>
        <v/>
      </c>
      <c xmlns="http://schemas.openxmlformats.org/spreadsheetml/2006/main" r="F245" s="18" t="str">
        <f>IF(224&gt;MAX('冷凍品'!$AA$5:$AA$304),"",HYPERLINK("#'冷凍品'!D"&amp;(MATCH(224,'冷凍品'!$AA$5:$AA$304,0)+4),INDEX('冷凍品'!$D$5:$D$304,MATCH(224,'冷凍品'!$AA$5:$AA$304,0))))</f>
        <v/>
      </c>
    </row>
    <row r="246">
      <c xmlns="http://schemas.openxmlformats.org/spreadsheetml/2006/main" r="B246" s="18" t="str">
        <f>IF(225&gt;MAX('18℃'!$Z$5:$Z$304),"",HYPERLINK("#'18℃'!C"&amp;(MATCH(225,'18℃'!$Z$5:$Z$304,0)+4),INDEX('18℃'!$C$5:$C$304,MATCH(225,'18℃'!$Z$5:$Z$304,0))))</f>
        <v/>
      </c>
      <c xmlns="http://schemas.openxmlformats.org/spreadsheetml/2006/main" r="C246" s="18" t="str">
        <f>IF(225&gt;MAX('4℃飯'!$Z$5:$Z$304),"",HYPERLINK("#'4℃飯'!C"&amp;(MATCH(225,'4℃飯'!$Z$5:$Z$304,0)+4),INDEX('4℃飯'!$C$5:$C$304,MATCH(225,'4℃飯'!$Z$5:$Z$304,0))))</f>
        <v/>
      </c>
      <c xmlns="http://schemas.openxmlformats.org/spreadsheetml/2006/main" r="D246" s="18" t="str">
        <f>IF(225&gt;MAX('4℃麵'!$AA$5:$AA$292),"",HYPERLINK("#'4℃麵'!D"&amp;(MATCH(225,'4℃麵'!$AA$5:$AA$292,0)+4),INDEX('4℃麵'!$D$5:$D$292,MATCH(225,'4℃麵'!$AA$5:$AA$292,0))))</f>
        <v/>
      </c>
      <c xmlns="http://schemas.openxmlformats.org/spreadsheetml/2006/main" r="E246" s="18" t="str">
        <f>IF(225&gt;MAX('4℃其他'!$AA$5:$AA$304),"",HYPERLINK("#'4℃其他'!D"&amp;(MATCH(225,'4℃其他'!$AA$5:$AA$304,0)+4),INDEX('4℃其他'!$D$5:$D$304,MATCH(225,'4℃其他'!$AA$5:$AA$304,0))))</f>
        <v/>
      </c>
      <c xmlns="http://schemas.openxmlformats.org/spreadsheetml/2006/main" r="F246" s="18" t="str">
        <f>IF(225&gt;MAX('冷凍品'!$AA$5:$AA$304),"",HYPERLINK("#'冷凍品'!D"&amp;(MATCH(225,'冷凍品'!$AA$5:$AA$304,0)+4),INDEX('冷凍品'!$D$5:$D$304,MATCH(225,'冷凍品'!$AA$5:$AA$304,0))))</f>
        <v/>
      </c>
    </row>
    <row r="247">
      <c xmlns="http://schemas.openxmlformats.org/spreadsheetml/2006/main" r="B247" s="18" t="str">
        <f>IF(226&gt;MAX('18℃'!$Z$5:$Z$304),"",HYPERLINK("#'18℃'!C"&amp;(MATCH(226,'18℃'!$Z$5:$Z$304,0)+4),INDEX('18℃'!$C$5:$C$304,MATCH(226,'18℃'!$Z$5:$Z$304,0))))</f>
        <v/>
      </c>
      <c xmlns="http://schemas.openxmlformats.org/spreadsheetml/2006/main" r="C247" s="18" t="str">
        <f>IF(226&gt;MAX('4℃飯'!$Z$5:$Z$304),"",HYPERLINK("#'4℃飯'!C"&amp;(MATCH(226,'4℃飯'!$Z$5:$Z$304,0)+4),INDEX('4℃飯'!$C$5:$C$304,MATCH(226,'4℃飯'!$Z$5:$Z$304,0))))</f>
        <v/>
      </c>
      <c xmlns="http://schemas.openxmlformats.org/spreadsheetml/2006/main" r="D247" s="18" t="str">
        <f>IF(226&gt;MAX('4℃麵'!$AA$5:$AA$292),"",HYPERLINK("#'4℃麵'!D"&amp;(MATCH(226,'4℃麵'!$AA$5:$AA$292,0)+4),INDEX('4℃麵'!$D$5:$D$292,MATCH(226,'4℃麵'!$AA$5:$AA$292,0))))</f>
        <v/>
      </c>
      <c xmlns="http://schemas.openxmlformats.org/spreadsheetml/2006/main" r="E247" s="18" t="str">
        <f>IF(226&gt;MAX('4℃其他'!$AA$5:$AA$304),"",HYPERLINK("#'4℃其他'!D"&amp;(MATCH(226,'4℃其他'!$AA$5:$AA$304,0)+4),INDEX('4℃其他'!$D$5:$D$304,MATCH(226,'4℃其他'!$AA$5:$AA$304,0))))</f>
        <v/>
      </c>
      <c xmlns="http://schemas.openxmlformats.org/spreadsheetml/2006/main" r="F247" s="18" t="str">
        <f>IF(226&gt;MAX('冷凍品'!$AA$5:$AA$304),"",HYPERLINK("#'冷凍品'!D"&amp;(MATCH(226,'冷凍品'!$AA$5:$AA$304,0)+4),INDEX('冷凍品'!$D$5:$D$304,MATCH(226,'冷凍品'!$AA$5:$AA$304,0))))</f>
        <v/>
      </c>
    </row>
    <row r="248">
      <c xmlns="http://schemas.openxmlformats.org/spreadsheetml/2006/main" r="B248" s="18" t="str">
        <f>IF(227&gt;MAX('18℃'!$Z$5:$Z$304),"",HYPERLINK("#'18℃'!C"&amp;(MATCH(227,'18℃'!$Z$5:$Z$304,0)+4),INDEX('18℃'!$C$5:$C$304,MATCH(227,'18℃'!$Z$5:$Z$304,0))))</f>
        <v/>
      </c>
      <c xmlns="http://schemas.openxmlformats.org/spreadsheetml/2006/main" r="C248" s="18" t="str">
        <f>IF(227&gt;MAX('4℃飯'!$Z$5:$Z$304),"",HYPERLINK("#'4℃飯'!C"&amp;(MATCH(227,'4℃飯'!$Z$5:$Z$304,0)+4),INDEX('4℃飯'!$C$5:$C$304,MATCH(227,'4℃飯'!$Z$5:$Z$304,0))))</f>
        <v/>
      </c>
      <c xmlns="http://schemas.openxmlformats.org/spreadsheetml/2006/main" r="D248" s="18" t="str">
        <f>IF(227&gt;MAX('4℃麵'!$AA$5:$AA$292),"",HYPERLINK("#'4℃麵'!D"&amp;(MATCH(227,'4℃麵'!$AA$5:$AA$292,0)+4),INDEX('4℃麵'!$D$5:$D$292,MATCH(227,'4℃麵'!$AA$5:$AA$292,0))))</f>
        <v/>
      </c>
      <c xmlns="http://schemas.openxmlformats.org/spreadsheetml/2006/main" r="E248" s="18" t="str">
        <f>IF(227&gt;MAX('4℃其他'!$AA$5:$AA$304),"",HYPERLINK("#'4℃其他'!D"&amp;(MATCH(227,'4℃其他'!$AA$5:$AA$304,0)+4),INDEX('4℃其他'!$D$5:$D$304,MATCH(227,'4℃其他'!$AA$5:$AA$304,0))))</f>
        <v/>
      </c>
      <c xmlns="http://schemas.openxmlformats.org/spreadsheetml/2006/main" r="F248" s="18" t="str">
        <f>IF(227&gt;MAX('冷凍品'!$AA$5:$AA$304),"",HYPERLINK("#'冷凍品'!D"&amp;(MATCH(227,'冷凍品'!$AA$5:$AA$304,0)+4),INDEX('冷凍品'!$D$5:$D$304,MATCH(227,'冷凍品'!$AA$5:$AA$304,0))))</f>
        <v/>
      </c>
    </row>
    <row r="249">
      <c xmlns="http://schemas.openxmlformats.org/spreadsheetml/2006/main" r="B249" s="18" t="str">
        <f>IF(228&gt;MAX('18℃'!$Z$5:$Z$304),"",HYPERLINK("#'18℃'!C"&amp;(MATCH(228,'18℃'!$Z$5:$Z$304,0)+4),INDEX('18℃'!$C$5:$C$304,MATCH(228,'18℃'!$Z$5:$Z$304,0))))</f>
        <v/>
      </c>
      <c xmlns="http://schemas.openxmlformats.org/spreadsheetml/2006/main" r="C249" s="18" t="str">
        <f>IF(228&gt;MAX('4℃飯'!$Z$5:$Z$304),"",HYPERLINK("#'4℃飯'!C"&amp;(MATCH(228,'4℃飯'!$Z$5:$Z$304,0)+4),INDEX('4℃飯'!$C$5:$C$304,MATCH(228,'4℃飯'!$Z$5:$Z$304,0))))</f>
        <v/>
      </c>
      <c xmlns="http://schemas.openxmlformats.org/spreadsheetml/2006/main" r="D249" s="18" t="str">
        <f>IF(228&gt;MAX('4℃麵'!$AA$5:$AA$292),"",HYPERLINK("#'4℃麵'!D"&amp;(MATCH(228,'4℃麵'!$AA$5:$AA$292,0)+4),INDEX('4℃麵'!$D$5:$D$292,MATCH(228,'4℃麵'!$AA$5:$AA$292,0))))</f>
        <v/>
      </c>
      <c xmlns="http://schemas.openxmlformats.org/spreadsheetml/2006/main" r="E249" s="18" t="str">
        <f>IF(228&gt;MAX('4℃其他'!$AA$5:$AA$304),"",HYPERLINK("#'4℃其他'!D"&amp;(MATCH(228,'4℃其他'!$AA$5:$AA$304,0)+4),INDEX('4℃其他'!$D$5:$D$304,MATCH(228,'4℃其他'!$AA$5:$AA$304,0))))</f>
        <v/>
      </c>
      <c xmlns="http://schemas.openxmlformats.org/spreadsheetml/2006/main" r="F249" s="18" t="str">
        <f>IF(228&gt;MAX('冷凍品'!$AA$5:$AA$304),"",HYPERLINK("#'冷凍品'!D"&amp;(MATCH(228,'冷凍品'!$AA$5:$AA$304,0)+4),INDEX('冷凍品'!$D$5:$D$304,MATCH(228,'冷凍品'!$AA$5:$AA$304,0))))</f>
        <v/>
      </c>
    </row>
    <row r="250">
      <c xmlns="http://schemas.openxmlformats.org/spreadsheetml/2006/main" r="B250" s="18" t="str">
        <f>IF(229&gt;MAX('18℃'!$Z$5:$Z$304),"",HYPERLINK("#'18℃'!C"&amp;(MATCH(229,'18℃'!$Z$5:$Z$304,0)+4),INDEX('18℃'!$C$5:$C$304,MATCH(229,'18℃'!$Z$5:$Z$304,0))))</f>
        <v/>
      </c>
      <c xmlns="http://schemas.openxmlformats.org/spreadsheetml/2006/main" r="C250" s="18" t="str">
        <f>IF(229&gt;MAX('4℃飯'!$Z$5:$Z$304),"",HYPERLINK("#'4℃飯'!C"&amp;(MATCH(229,'4℃飯'!$Z$5:$Z$304,0)+4),INDEX('4℃飯'!$C$5:$C$304,MATCH(229,'4℃飯'!$Z$5:$Z$304,0))))</f>
        <v/>
      </c>
      <c xmlns="http://schemas.openxmlformats.org/spreadsheetml/2006/main" r="D250" s="18" t="str">
        <f>IF(229&gt;MAX('4℃麵'!$AA$5:$AA$292),"",HYPERLINK("#'4℃麵'!D"&amp;(MATCH(229,'4℃麵'!$AA$5:$AA$292,0)+4),INDEX('4℃麵'!$D$5:$D$292,MATCH(229,'4℃麵'!$AA$5:$AA$292,0))))</f>
        <v/>
      </c>
      <c xmlns="http://schemas.openxmlformats.org/spreadsheetml/2006/main" r="E250" s="18" t="str">
        <f>IF(229&gt;MAX('4℃其他'!$AA$5:$AA$304),"",HYPERLINK("#'4℃其他'!D"&amp;(MATCH(229,'4℃其他'!$AA$5:$AA$304,0)+4),INDEX('4℃其他'!$D$5:$D$304,MATCH(229,'4℃其他'!$AA$5:$AA$304,0))))</f>
        <v/>
      </c>
      <c xmlns="http://schemas.openxmlformats.org/spreadsheetml/2006/main" r="F250" s="18" t="str">
        <f>IF(229&gt;MAX('冷凍品'!$AA$5:$AA$304),"",HYPERLINK("#'冷凍品'!D"&amp;(MATCH(229,'冷凍品'!$AA$5:$AA$304,0)+4),INDEX('冷凍品'!$D$5:$D$304,MATCH(229,'冷凍品'!$AA$5:$AA$304,0))))</f>
        <v/>
      </c>
    </row>
    <row r="251">
      <c xmlns="http://schemas.openxmlformats.org/spreadsheetml/2006/main" r="B251" s="18" t="str">
        <f>IF(230&gt;MAX('18℃'!$Z$5:$Z$304),"",HYPERLINK("#'18℃'!C"&amp;(MATCH(230,'18℃'!$Z$5:$Z$304,0)+4),INDEX('18℃'!$C$5:$C$304,MATCH(230,'18℃'!$Z$5:$Z$304,0))))</f>
        <v/>
      </c>
      <c xmlns="http://schemas.openxmlformats.org/spreadsheetml/2006/main" r="C251" s="18" t="str">
        <f>IF(230&gt;MAX('4℃飯'!$Z$5:$Z$304),"",HYPERLINK("#'4℃飯'!C"&amp;(MATCH(230,'4℃飯'!$Z$5:$Z$304,0)+4),INDEX('4℃飯'!$C$5:$C$304,MATCH(230,'4℃飯'!$Z$5:$Z$304,0))))</f>
        <v/>
      </c>
      <c xmlns="http://schemas.openxmlformats.org/spreadsheetml/2006/main" r="D251" s="18" t="str">
        <f>IF(230&gt;MAX('4℃麵'!$AA$5:$AA$292),"",HYPERLINK("#'4℃麵'!D"&amp;(MATCH(230,'4℃麵'!$AA$5:$AA$292,0)+4),INDEX('4℃麵'!$D$5:$D$292,MATCH(230,'4℃麵'!$AA$5:$AA$292,0))))</f>
        <v/>
      </c>
      <c xmlns="http://schemas.openxmlformats.org/spreadsheetml/2006/main" r="E251" s="18" t="str">
        <f>IF(230&gt;MAX('4℃其他'!$AA$5:$AA$304),"",HYPERLINK("#'4℃其他'!D"&amp;(MATCH(230,'4℃其他'!$AA$5:$AA$304,0)+4),INDEX('4℃其他'!$D$5:$D$304,MATCH(230,'4℃其他'!$AA$5:$AA$304,0))))</f>
        <v/>
      </c>
      <c xmlns="http://schemas.openxmlformats.org/spreadsheetml/2006/main" r="F251" s="18" t="str">
        <f>IF(230&gt;MAX('冷凍品'!$AA$5:$AA$304),"",HYPERLINK("#'冷凍品'!D"&amp;(MATCH(230,'冷凍品'!$AA$5:$AA$304,0)+4),INDEX('冷凍品'!$D$5:$D$304,MATCH(230,'冷凍品'!$AA$5:$AA$304,0))))</f>
        <v/>
      </c>
    </row>
    <row r="252">
      <c xmlns="http://schemas.openxmlformats.org/spreadsheetml/2006/main" r="B252" s="18" t="str">
        <f>IF(231&gt;MAX('18℃'!$Z$5:$Z$304),"",HYPERLINK("#'18℃'!C"&amp;(MATCH(231,'18℃'!$Z$5:$Z$304,0)+4),INDEX('18℃'!$C$5:$C$304,MATCH(231,'18℃'!$Z$5:$Z$304,0))))</f>
        <v/>
      </c>
      <c xmlns="http://schemas.openxmlformats.org/spreadsheetml/2006/main" r="C252" s="18" t="str">
        <f>IF(231&gt;MAX('4℃飯'!$Z$5:$Z$304),"",HYPERLINK("#'4℃飯'!C"&amp;(MATCH(231,'4℃飯'!$Z$5:$Z$304,0)+4),INDEX('4℃飯'!$C$5:$C$304,MATCH(231,'4℃飯'!$Z$5:$Z$304,0))))</f>
        <v/>
      </c>
      <c xmlns="http://schemas.openxmlformats.org/spreadsheetml/2006/main" r="D252" s="18" t="str">
        <f>IF(231&gt;MAX('4℃麵'!$AA$5:$AA$292),"",HYPERLINK("#'4℃麵'!D"&amp;(MATCH(231,'4℃麵'!$AA$5:$AA$292,0)+4),INDEX('4℃麵'!$D$5:$D$292,MATCH(231,'4℃麵'!$AA$5:$AA$292,0))))</f>
        <v/>
      </c>
      <c xmlns="http://schemas.openxmlformats.org/spreadsheetml/2006/main" r="E252" s="18" t="str">
        <f>IF(231&gt;MAX('4℃其他'!$AA$5:$AA$304),"",HYPERLINK("#'4℃其他'!D"&amp;(MATCH(231,'4℃其他'!$AA$5:$AA$304,0)+4),INDEX('4℃其他'!$D$5:$D$304,MATCH(231,'4℃其他'!$AA$5:$AA$304,0))))</f>
        <v/>
      </c>
      <c xmlns="http://schemas.openxmlformats.org/spreadsheetml/2006/main" r="F252" s="18" t="str">
        <f>IF(231&gt;MAX('冷凍品'!$AA$5:$AA$304),"",HYPERLINK("#'冷凍品'!D"&amp;(MATCH(231,'冷凍品'!$AA$5:$AA$304,0)+4),INDEX('冷凍品'!$D$5:$D$304,MATCH(231,'冷凍品'!$AA$5:$AA$304,0))))</f>
        <v/>
      </c>
    </row>
    <row r="253">
      <c xmlns="http://schemas.openxmlformats.org/spreadsheetml/2006/main" r="B253" s="18" t="str">
        <f>IF(232&gt;MAX('18℃'!$Z$5:$Z$304),"",HYPERLINK("#'18℃'!C"&amp;(MATCH(232,'18℃'!$Z$5:$Z$304,0)+4),INDEX('18℃'!$C$5:$C$304,MATCH(232,'18℃'!$Z$5:$Z$304,0))))</f>
        <v/>
      </c>
      <c xmlns="http://schemas.openxmlformats.org/spreadsheetml/2006/main" r="C253" s="18" t="str">
        <f>IF(232&gt;MAX('4℃飯'!$Z$5:$Z$304),"",HYPERLINK("#'4℃飯'!C"&amp;(MATCH(232,'4℃飯'!$Z$5:$Z$304,0)+4),INDEX('4℃飯'!$C$5:$C$304,MATCH(232,'4℃飯'!$Z$5:$Z$304,0))))</f>
        <v/>
      </c>
      <c xmlns="http://schemas.openxmlformats.org/spreadsheetml/2006/main" r="D253" s="18" t="str">
        <f>IF(232&gt;MAX('4℃麵'!$AA$5:$AA$292),"",HYPERLINK("#'4℃麵'!D"&amp;(MATCH(232,'4℃麵'!$AA$5:$AA$292,0)+4),INDEX('4℃麵'!$D$5:$D$292,MATCH(232,'4℃麵'!$AA$5:$AA$292,0))))</f>
        <v/>
      </c>
      <c xmlns="http://schemas.openxmlformats.org/spreadsheetml/2006/main" r="E253" s="18" t="str">
        <f>IF(232&gt;MAX('4℃其他'!$AA$5:$AA$304),"",HYPERLINK("#'4℃其他'!D"&amp;(MATCH(232,'4℃其他'!$AA$5:$AA$304,0)+4),INDEX('4℃其他'!$D$5:$D$304,MATCH(232,'4℃其他'!$AA$5:$AA$304,0))))</f>
        <v/>
      </c>
      <c xmlns="http://schemas.openxmlformats.org/spreadsheetml/2006/main" r="F253" s="18" t="str">
        <f>IF(232&gt;MAX('冷凍品'!$AA$5:$AA$304),"",HYPERLINK("#'冷凍品'!D"&amp;(MATCH(232,'冷凍品'!$AA$5:$AA$304,0)+4),INDEX('冷凍品'!$D$5:$D$304,MATCH(232,'冷凍品'!$AA$5:$AA$304,0))))</f>
        <v/>
      </c>
    </row>
    <row r="254">
      <c xmlns="http://schemas.openxmlformats.org/spreadsheetml/2006/main" r="B254" s="18" t="str">
        <f>IF(233&gt;MAX('18℃'!$Z$5:$Z$304),"",HYPERLINK("#'18℃'!C"&amp;(MATCH(233,'18℃'!$Z$5:$Z$304,0)+4),INDEX('18℃'!$C$5:$C$304,MATCH(233,'18℃'!$Z$5:$Z$304,0))))</f>
        <v/>
      </c>
      <c xmlns="http://schemas.openxmlformats.org/spreadsheetml/2006/main" r="C254" s="18" t="str">
        <f>IF(233&gt;MAX('4℃飯'!$Z$5:$Z$304),"",HYPERLINK("#'4℃飯'!C"&amp;(MATCH(233,'4℃飯'!$Z$5:$Z$304,0)+4),INDEX('4℃飯'!$C$5:$C$304,MATCH(233,'4℃飯'!$Z$5:$Z$304,0))))</f>
        <v/>
      </c>
      <c xmlns="http://schemas.openxmlformats.org/spreadsheetml/2006/main" r="D254" s="18" t="str">
        <f>IF(233&gt;MAX('4℃麵'!$AA$5:$AA$292),"",HYPERLINK("#'4℃麵'!D"&amp;(MATCH(233,'4℃麵'!$AA$5:$AA$292,0)+4),INDEX('4℃麵'!$D$5:$D$292,MATCH(233,'4℃麵'!$AA$5:$AA$292,0))))</f>
        <v/>
      </c>
      <c xmlns="http://schemas.openxmlformats.org/spreadsheetml/2006/main" r="E254" s="18" t="str">
        <f>IF(233&gt;MAX('4℃其他'!$AA$5:$AA$304),"",HYPERLINK("#'4℃其他'!D"&amp;(MATCH(233,'4℃其他'!$AA$5:$AA$304,0)+4),INDEX('4℃其他'!$D$5:$D$304,MATCH(233,'4℃其他'!$AA$5:$AA$304,0))))</f>
        <v/>
      </c>
      <c xmlns="http://schemas.openxmlformats.org/spreadsheetml/2006/main" r="F254" s="18" t="str">
        <f>IF(233&gt;MAX('冷凍品'!$AA$5:$AA$304),"",HYPERLINK("#'冷凍品'!D"&amp;(MATCH(233,'冷凍品'!$AA$5:$AA$304,0)+4),INDEX('冷凍品'!$D$5:$D$304,MATCH(233,'冷凍品'!$AA$5:$AA$304,0))))</f>
        <v/>
      </c>
    </row>
    <row r="255">
      <c xmlns="http://schemas.openxmlformats.org/spreadsheetml/2006/main" r="B255" s="18" t="str">
        <f>IF(234&gt;MAX('18℃'!$Z$5:$Z$304),"",HYPERLINK("#'18℃'!C"&amp;(MATCH(234,'18℃'!$Z$5:$Z$304,0)+4),INDEX('18℃'!$C$5:$C$304,MATCH(234,'18℃'!$Z$5:$Z$304,0))))</f>
        <v/>
      </c>
      <c xmlns="http://schemas.openxmlformats.org/spreadsheetml/2006/main" r="C255" s="18" t="str">
        <f>IF(234&gt;MAX('4℃飯'!$Z$5:$Z$304),"",HYPERLINK("#'4℃飯'!C"&amp;(MATCH(234,'4℃飯'!$Z$5:$Z$304,0)+4),INDEX('4℃飯'!$C$5:$C$304,MATCH(234,'4℃飯'!$Z$5:$Z$304,0))))</f>
        <v/>
      </c>
      <c xmlns="http://schemas.openxmlformats.org/spreadsheetml/2006/main" r="D255" s="18" t="str">
        <f>IF(234&gt;MAX('4℃麵'!$AA$5:$AA$292),"",HYPERLINK("#'4℃麵'!D"&amp;(MATCH(234,'4℃麵'!$AA$5:$AA$292,0)+4),INDEX('4℃麵'!$D$5:$D$292,MATCH(234,'4℃麵'!$AA$5:$AA$292,0))))</f>
        <v/>
      </c>
      <c xmlns="http://schemas.openxmlformats.org/spreadsheetml/2006/main" r="E255" s="18" t="str">
        <f>IF(234&gt;MAX('4℃其他'!$AA$5:$AA$304),"",HYPERLINK("#'4℃其他'!D"&amp;(MATCH(234,'4℃其他'!$AA$5:$AA$304,0)+4),INDEX('4℃其他'!$D$5:$D$304,MATCH(234,'4℃其他'!$AA$5:$AA$304,0))))</f>
        <v/>
      </c>
      <c xmlns="http://schemas.openxmlformats.org/spreadsheetml/2006/main" r="F255" s="18" t="str">
        <f>IF(234&gt;MAX('冷凍品'!$AA$5:$AA$304),"",HYPERLINK("#'冷凍品'!D"&amp;(MATCH(234,'冷凍品'!$AA$5:$AA$304,0)+4),INDEX('冷凍品'!$D$5:$D$304,MATCH(234,'冷凍品'!$AA$5:$AA$304,0))))</f>
        <v/>
      </c>
    </row>
    <row r="256">
      <c xmlns="http://schemas.openxmlformats.org/spreadsheetml/2006/main" r="B256" s="18" t="str">
        <f>IF(235&gt;MAX('18℃'!$Z$5:$Z$304),"",HYPERLINK("#'18℃'!C"&amp;(MATCH(235,'18℃'!$Z$5:$Z$304,0)+4),INDEX('18℃'!$C$5:$C$304,MATCH(235,'18℃'!$Z$5:$Z$304,0))))</f>
        <v/>
      </c>
      <c xmlns="http://schemas.openxmlformats.org/spreadsheetml/2006/main" r="C256" s="18" t="str">
        <f>IF(235&gt;MAX('4℃飯'!$Z$5:$Z$304),"",HYPERLINK("#'4℃飯'!C"&amp;(MATCH(235,'4℃飯'!$Z$5:$Z$304,0)+4),INDEX('4℃飯'!$C$5:$C$304,MATCH(235,'4℃飯'!$Z$5:$Z$304,0))))</f>
        <v/>
      </c>
      <c xmlns="http://schemas.openxmlformats.org/spreadsheetml/2006/main" r="D256" s="18" t="str">
        <f>IF(235&gt;MAX('4℃麵'!$AA$5:$AA$292),"",HYPERLINK("#'4℃麵'!D"&amp;(MATCH(235,'4℃麵'!$AA$5:$AA$292,0)+4),INDEX('4℃麵'!$D$5:$D$292,MATCH(235,'4℃麵'!$AA$5:$AA$292,0))))</f>
        <v/>
      </c>
      <c xmlns="http://schemas.openxmlformats.org/spreadsheetml/2006/main" r="E256" s="18" t="str">
        <f>IF(235&gt;MAX('4℃其他'!$AA$5:$AA$304),"",HYPERLINK("#'4℃其他'!D"&amp;(MATCH(235,'4℃其他'!$AA$5:$AA$304,0)+4),INDEX('4℃其他'!$D$5:$D$304,MATCH(235,'4℃其他'!$AA$5:$AA$304,0))))</f>
        <v/>
      </c>
      <c xmlns="http://schemas.openxmlformats.org/spreadsheetml/2006/main" r="F256" s="18" t="str">
        <f>IF(235&gt;MAX('冷凍品'!$AA$5:$AA$304),"",HYPERLINK("#'冷凍品'!D"&amp;(MATCH(235,'冷凍品'!$AA$5:$AA$304,0)+4),INDEX('冷凍品'!$D$5:$D$304,MATCH(235,'冷凍品'!$AA$5:$AA$304,0))))</f>
        <v/>
      </c>
    </row>
    <row r="257">
      <c xmlns="http://schemas.openxmlformats.org/spreadsheetml/2006/main" r="B257" s="18" t="str">
        <f>IF(236&gt;MAX('18℃'!$Z$5:$Z$304),"",HYPERLINK("#'18℃'!C"&amp;(MATCH(236,'18℃'!$Z$5:$Z$304,0)+4),INDEX('18℃'!$C$5:$C$304,MATCH(236,'18℃'!$Z$5:$Z$304,0))))</f>
        <v/>
      </c>
      <c xmlns="http://schemas.openxmlformats.org/spreadsheetml/2006/main" r="C257" s="18" t="str">
        <f>IF(236&gt;MAX('4℃飯'!$Z$5:$Z$304),"",HYPERLINK("#'4℃飯'!C"&amp;(MATCH(236,'4℃飯'!$Z$5:$Z$304,0)+4),INDEX('4℃飯'!$C$5:$C$304,MATCH(236,'4℃飯'!$Z$5:$Z$304,0))))</f>
        <v/>
      </c>
      <c xmlns="http://schemas.openxmlformats.org/spreadsheetml/2006/main" r="D257" s="18" t="str">
        <f>IF(236&gt;MAX('4℃麵'!$AA$5:$AA$292),"",HYPERLINK("#'4℃麵'!D"&amp;(MATCH(236,'4℃麵'!$AA$5:$AA$292,0)+4),INDEX('4℃麵'!$D$5:$D$292,MATCH(236,'4℃麵'!$AA$5:$AA$292,0))))</f>
        <v/>
      </c>
      <c xmlns="http://schemas.openxmlformats.org/spreadsheetml/2006/main" r="E257" s="18" t="str">
        <f>IF(236&gt;MAX('4℃其他'!$AA$5:$AA$304),"",HYPERLINK("#'4℃其他'!D"&amp;(MATCH(236,'4℃其他'!$AA$5:$AA$304,0)+4),INDEX('4℃其他'!$D$5:$D$304,MATCH(236,'4℃其他'!$AA$5:$AA$304,0))))</f>
        <v/>
      </c>
      <c xmlns="http://schemas.openxmlformats.org/spreadsheetml/2006/main" r="F257" s="18" t="str">
        <f>IF(236&gt;MAX('冷凍品'!$AA$5:$AA$304),"",HYPERLINK("#'冷凍品'!D"&amp;(MATCH(236,'冷凍品'!$AA$5:$AA$304,0)+4),INDEX('冷凍品'!$D$5:$D$304,MATCH(236,'冷凍品'!$AA$5:$AA$304,0))))</f>
        <v/>
      </c>
    </row>
    <row r="258">
      <c xmlns="http://schemas.openxmlformats.org/spreadsheetml/2006/main" r="B258" s="18" t="str">
        <f>IF(237&gt;MAX('18℃'!$Z$5:$Z$304),"",HYPERLINK("#'18℃'!C"&amp;(MATCH(237,'18℃'!$Z$5:$Z$304,0)+4),INDEX('18℃'!$C$5:$C$304,MATCH(237,'18℃'!$Z$5:$Z$304,0))))</f>
        <v/>
      </c>
      <c xmlns="http://schemas.openxmlformats.org/spreadsheetml/2006/main" r="C258" s="18" t="str">
        <f>IF(237&gt;MAX('4℃飯'!$Z$5:$Z$304),"",HYPERLINK("#'4℃飯'!C"&amp;(MATCH(237,'4℃飯'!$Z$5:$Z$304,0)+4),INDEX('4℃飯'!$C$5:$C$304,MATCH(237,'4℃飯'!$Z$5:$Z$304,0))))</f>
        <v/>
      </c>
      <c xmlns="http://schemas.openxmlformats.org/spreadsheetml/2006/main" r="D258" s="18" t="str">
        <f>IF(237&gt;MAX('4℃麵'!$AA$5:$AA$292),"",HYPERLINK("#'4℃麵'!D"&amp;(MATCH(237,'4℃麵'!$AA$5:$AA$292,0)+4),INDEX('4℃麵'!$D$5:$D$292,MATCH(237,'4℃麵'!$AA$5:$AA$292,0))))</f>
        <v/>
      </c>
      <c xmlns="http://schemas.openxmlformats.org/spreadsheetml/2006/main" r="E258" s="18" t="str">
        <f>IF(237&gt;MAX('4℃其他'!$AA$5:$AA$304),"",HYPERLINK("#'4℃其他'!D"&amp;(MATCH(237,'4℃其他'!$AA$5:$AA$304,0)+4),INDEX('4℃其他'!$D$5:$D$304,MATCH(237,'4℃其他'!$AA$5:$AA$304,0))))</f>
        <v/>
      </c>
      <c xmlns="http://schemas.openxmlformats.org/spreadsheetml/2006/main" r="F258" s="18" t="str">
        <f>IF(237&gt;MAX('冷凍品'!$AA$5:$AA$304),"",HYPERLINK("#'冷凍品'!D"&amp;(MATCH(237,'冷凍品'!$AA$5:$AA$304,0)+4),INDEX('冷凍品'!$D$5:$D$304,MATCH(237,'冷凍品'!$AA$5:$AA$304,0))))</f>
        <v/>
      </c>
    </row>
    <row r="259">
      <c xmlns="http://schemas.openxmlformats.org/spreadsheetml/2006/main" r="B259" s="18" t="str">
        <f>IF(238&gt;MAX('18℃'!$Z$5:$Z$304),"",HYPERLINK("#'18℃'!C"&amp;(MATCH(238,'18℃'!$Z$5:$Z$304,0)+4),INDEX('18℃'!$C$5:$C$304,MATCH(238,'18℃'!$Z$5:$Z$304,0))))</f>
        <v/>
      </c>
      <c xmlns="http://schemas.openxmlformats.org/spreadsheetml/2006/main" r="C259" s="18" t="str">
        <f>IF(238&gt;MAX('4℃飯'!$Z$5:$Z$304),"",HYPERLINK("#'4℃飯'!C"&amp;(MATCH(238,'4℃飯'!$Z$5:$Z$304,0)+4),INDEX('4℃飯'!$C$5:$C$304,MATCH(238,'4℃飯'!$Z$5:$Z$304,0))))</f>
        <v/>
      </c>
      <c xmlns="http://schemas.openxmlformats.org/spreadsheetml/2006/main" r="D259" s="18" t="str">
        <f>IF(238&gt;MAX('4℃麵'!$AA$5:$AA$292),"",HYPERLINK("#'4℃麵'!D"&amp;(MATCH(238,'4℃麵'!$AA$5:$AA$292,0)+4),INDEX('4℃麵'!$D$5:$D$292,MATCH(238,'4℃麵'!$AA$5:$AA$292,0))))</f>
        <v/>
      </c>
      <c xmlns="http://schemas.openxmlformats.org/spreadsheetml/2006/main" r="E259" s="18" t="str">
        <f>IF(238&gt;MAX('4℃其他'!$AA$5:$AA$304),"",HYPERLINK("#'4℃其他'!D"&amp;(MATCH(238,'4℃其他'!$AA$5:$AA$304,0)+4),INDEX('4℃其他'!$D$5:$D$304,MATCH(238,'4℃其他'!$AA$5:$AA$304,0))))</f>
        <v/>
      </c>
      <c xmlns="http://schemas.openxmlformats.org/spreadsheetml/2006/main" r="F259" s="18" t="str">
        <f>IF(238&gt;MAX('冷凍品'!$AA$5:$AA$304),"",HYPERLINK("#'冷凍品'!D"&amp;(MATCH(238,'冷凍品'!$AA$5:$AA$304,0)+4),INDEX('冷凍品'!$D$5:$D$304,MATCH(238,'冷凍品'!$AA$5:$AA$304,0))))</f>
        <v/>
      </c>
    </row>
    <row r="260">
      <c xmlns="http://schemas.openxmlformats.org/spreadsheetml/2006/main" r="B260" s="18" t="str">
        <f>IF(239&gt;MAX('18℃'!$Z$5:$Z$304),"",HYPERLINK("#'18℃'!C"&amp;(MATCH(239,'18℃'!$Z$5:$Z$304,0)+4),INDEX('18℃'!$C$5:$C$304,MATCH(239,'18℃'!$Z$5:$Z$304,0))))</f>
        <v/>
      </c>
      <c xmlns="http://schemas.openxmlformats.org/spreadsheetml/2006/main" r="C260" s="18" t="str">
        <f>IF(239&gt;MAX('4℃飯'!$Z$5:$Z$304),"",HYPERLINK("#'4℃飯'!C"&amp;(MATCH(239,'4℃飯'!$Z$5:$Z$304,0)+4),INDEX('4℃飯'!$C$5:$C$304,MATCH(239,'4℃飯'!$Z$5:$Z$304,0))))</f>
        <v/>
      </c>
      <c xmlns="http://schemas.openxmlformats.org/spreadsheetml/2006/main" r="D260" s="18" t="str">
        <f>IF(239&gt;MAX('4℃麵'!$AA$5:$AA$292),"",HYPERLINK("#'4℃麵'!D"&amp;(MATCH(239,'4℃麵'!$AA$5:$AA$292,0)+4),INDEX('4℃麵'!$D$5:$D$292,MATCH(239,'4℃麵'!$AA$5:$AA$292,0))))</f>
        <v/>
      </c>
      <c xmlns="http://schemas.openxmlformats.org/spreadsheetml/2006/main" r="E260" s="18" t="str">
        <f>IF(239&gt;MAX('4℃其他'!$AA$5:$AA$304),"",HYPERLINK("#'4℃其他'!D"&amp;(MATCH(239,'4℃其他'!$AA$5:$AA$304,0)+4),INDEX('4℃其他'!$D$5:$D$304,MATCH(239,'4℃其他'!$AA$5:$AA$304,0))))</f>
        <v/>
      </c>
      <c xmlns="http://schemas.openxmlformats.org/spreadsheetml/2006/main" r="F260" s="18" t="str">
        <f>IF(239&gt;MAX('冷凍品'!$AA$5:$AA$304),"",HYPERLINK("#'冷凍品'!D"&amp;(MATCH(239,'冷凍品'!$AA$5:$AA$304,0)+4),INDEX('冷凍品'!$D$5:$D$304,MATCH(239,'冷凍品'!$AA$5:$AA$304,0))))</f>
        <v/>
      </c>
    </row>
    <row r="261">
      <c xmlns="http://schemas.openxmlformats.org/spreadsheetml/2006/main" r="B261" s="18" t="str">
        <f>IF(240&gt;MAX('18℃'!$Z$5:$Z$304),"",HYPERLINK("#'18℃'!C"&amp;(MATCH(240,'18℃'!$Z$5:$Z$304,0)+4),INDEX('18℃'!$C$5:$C$304,MATCH(240,'18℃'!$Z$5:$Z$304,0))))</f>
        <v/>
      </c>
      <c xmlns="http://schemas.openxmlformats.org/spreadsheetml/2006/main" r="C261" s="18" t="str">
        <f>IF(240&gt;MAX('4℃飯'!$Z$5:$Z$304),"",HYPERLINK("#'4℃飯'!C"&amp;(MATCH(240,'4℃飯'!$Z$5:$Z$304,0)+4),INDEX('4℃飯'!$C$5:$C$304,MATCH(240,'4℃飯'!$Z$5:$Z$304,0))))</f>
        <v/>
      </c>
      <c xmlns="http://schemas.openxmlformats.org/spreadsheetml/2006/main" r="D261" s="18" t="str">
        <f>IF(240&gt;MAX('4℃麵'!$AA$5:$AA$292),"",HYPERLINK("#'4℃麵'!D"&amp;(MATCH(240,'4℃麵'!$AA$5:$AA$292,0)+4),INDEX('4℃麵'!$D$5:$D$292,MATCH(240,'4℃麵'!$AA$5:$AA$292,0))))</f>
        <v/>
      </c>
      <c xmlns="http://schemas.openxmlformats.org/spreadsheetml/2006/main" r="E261" s="18" t="str">
        <f>IF(240&gt;MAX('4℃其他'!$AA$5:$AA$304),"",HYPERLINK("#'4℃其他'!D"&amp;(MATCH(240,'4℃其他'!$AA$5:$AA$304,0)+4),INDEX('4℃其他'!$D$5:$D$304,MATCH(240,'4℃其他'!$AA$5:$AA$304,0))))</f>
        <v/>
      </c>
      <c xmlns="http://schemas.openxmlformats.org/spreadsheetml/2006/main" r="F261" s="18" t="str">
        <f>IF(240&gt;MAX('冷凍品'!$AA$5:$AA$304),"",HYPERLINK("#'冷凍品'!D"&amp;(MATCH(240,'冷凍品'!$AA$5:$AA$304,0)+4),INDEX('冷凍品'!$D$5:$D$304,MATCH(240,'冷凍品'!$AA$5:$AA$304,0))))</f>
        <v/>
      </c>
    </row>
    <row r="262">
      <c xmlns="http://schemas.openxmlformats.org/spreadsheetml/2006/main" r="B262" s="18" t="str">
        <f>IF(241&gt;MAX('18℃'!$Z$5:$Z$304),"",HYPERLINK("#'18℃'!C"&amp;(MATCH(241,'18℃'!$Z$5:$Z$304,0)+4),INDEX('18℃'!$C$5:$C$304,MATCH(241,'18℃'!$Z$5:$Z$304,0))))</f>
        <v/>
      </c>
      <c xmlns="http://schemas.openxmlformats.org/spreadsheetml/2006/main" r="C262" s="18" t="str">
        <f>IF(241&gt;MAX('4℃飯'!$Z$5:$Z$304),"",HYPERLINK("#'4℃飯'!C"&amp;(MATCH(241,'4℃飯'!$Z$5:$Z$304,0)+4),INDEX('4℃飯'!$C$5:$C$304,MATCH(241,'4℃飯'!$Z$5:$Z$304,0))))</f>
        <v/>
      </c>
      <c xmlns="http://schemas.openxmlformats.org/spreadsheetml/2006/main" r="D262" s="18" t="str">
        <f>IF(241&gt;MAX('4℃麵'!$AA$5:$AA$292),"",HYPERLINK("#'4℃麵'!D"&amp;(MATCH(241,'4℃麵'!$AA$5:$AA$292,0)+4),INDEX('4℃麵'!$D$5:$D$292,MATCH(241,'4℃麵'!$AA$5:$AA$292,0))))</f>
        <v/>
      </c>
      <c xmlns="http://schemas.openxmlformats.org/spreadsheetml/2006/main" r="E262" s="18" t="str">
        <f>IF(241&gt;MAX('4℃其他'!$AA$5:$AA$304),"",HYPERLINK("#'4℃其他'!D"&amp;(MATCH(241,'4℃其他'!$AA$5:$AA$304,0)+4),INDEX('4℃其他'!$D$5:$D$304,MATCH(241,'4℃其他'!$AA$5:$AA$304,0))))</f>
        <v/>
      </c>
      <c xmlns="http://schemas.openxmlformats.org/spreadsheetml/2006/main" r="F262" s="18" t="str">
        <f>IF(241&gt;MAX('冷凍品'!$AA$5:$AA$304),"",HYPERLINK("#'冷凍品'!D"&amp;(MATCH(241,'冷凍品'!$AA$5:$AA$304,0)+4),INDEX('冷凍品'!$D$5:$D$304,MATCH(241,'冷凍品'!$AA$5:$AA$304,0))))</f>
        <v/>
      </c>
    </row>
    <row r="263">
      <c xmlns="http://schemas.openxmlformats.org/spreadsheetml/2006/main" r="B263" s="18" t="str">
        <f>IF(242&gt;MAX('18℃'!$Z$5:$Z$304),"",HYPERLINK("#'18℃'!C"&amp;(MATCH(242,'18℃'!$Z$5:$Z$304,0)+4),INDEX('18℃'!$C$5:$C$304,MATCH(242,'18℃'!$Z$5:$Z$304,0))))</f>
        <v/>
      </c>
      <c xmlns="http://schemas.openxmlformats.org/spreadsheetml/2006/main" r="C263" s="18" t="str">
        <f>IF(242&gt;MAX('4℃飯'!$Z$5:$Z$304),"",HYPERLINK("#'4℃飯'!C"&amp;(MATCH(242,'4℃飯'!$Z$5:$Z$304,0)+4),INDEX('4℃飯'!$C$5:$C$304,MATCH(242,'4℃飯'!$Z$5:$Z$304,0))))</f>
        <v/>
      </c>
      <c xmlns="http://schemas.openxmlformats.org/spreadsheetml/2006/main" r="D263" s="18" t="str">
        <f>IF(242&gt;MAX('4℃麵'!$AA$5:$AA$292),"",HYPERLINK("#'4℃麵'!D"&amp;(MATCH(242,'4℃麵'!$AA$5:$AA$292,0)+4),INDEX('4℃麵'!$D$5:$D$292,MATCH(242,'4℃麵'!$AA$5:$AA$292,0))))</f>
        <v/>
      </c>
      <c xmlns="http://schemas.openxmlformats.org/spreadsheetml/2006/main" r="E263" s="18" t="str">
        <f>IF(242&gt;MAX('4℃其他'!$AA$5:$AA$304),"",HYPERLINK("#'4℃其他'!D"&amp;(MATCH(242,'4℃其他'!$AA$5:$AA$304,0)+4),INDEX('4℃其他'!$D$5:$D$304,MATCH(242,'4℃其他'!$AA$5:$AA$304,0))))</f>
        <v/>
      </c>
      <c xmlns="http://schemas.openxmlformats.org/spreadsheetml/2006/main" r="F263" s="18" t="str">
        <f>IF(242&gt;MAX('冷凍品'!$AA$5:$AA$304),"",HYPERLINK("#'冷凍品'!D"&amp;(MATCH(242,'冷凍品'!$AA$5:$AA$304,0)+4),INDEX('冷凍品'!$D$5:$D$304,MATCH(242,'冷凍品'!$AA$5:$AA$304,0))))</f>
        <v/>
      </c>
    </row>
    <row r="264">
      <c xmlns="http://schemas.openxmlformats.org/spreadsheetml/2006/main" r="B264" s="18" t="str">
        <f>IF(243&gt;MAX('18℃'!$Z$5:$Z$304),"",HYPERLINK("#'18℃'!C"&amp;(MATCH(243,'18℃'!$Z$5:$Z$304,0)+4),INDEX('18℃'!$C$5:$C$304,MATCH(243,'18℃'!$Z$5:$Z$304,0))))</f>
        <v/>
      </c>
      <c xmlns="http://schemas.openxmlformats.org/spreadsheetml/2006/main" r="C264" s="18" t="str">
        <f>IF(243&gt;MAX('4℃飯'!$Z$5:$Z$304),"",HYPERLINK("#'4℃飯'!C"&amp;(MATCH(243,'4℃飯'!$Z$5:$Z$304,0)+4),INDEX('4℃飯'!$C$5:$C$304,MATCH(243,'4℃飯'!$Z$5:$Z$304,0))))</f>
        <v/>
      </c>
      <c xmlns="http://schemas.openxmlformats.org/spreadsheetml/2006/main" r="D264" s="18" t="str">
        <f>IF(243&gt;MAX('4℃麵'!$AA$5:$AA$292),"",HYPERLINK("#'4℃麵'!D"&amp;(MATCH(243,'4℃麵'!$AA$5:$AA$292,0)+4),INDEX('4℃麵'!$D$5:$D$292,MATCH(243,'4℃麵'!$AA$5:$AA$292,0))))</f>
        <v/>
      </c>
      <c xmlns="http://schemas.openxmlformats.org/spreadsheetml/2006/main" r="E264" s="18" t="str">
        <f>IF(243&gt;MAX('4℃其他'!$AA$5:$AA$304),"",HYPERLINK("#'4℃其他'!D"&amp;(MATCH(243,'4℃其他'!$AA$5:$AA$304,0)+4),INDEX('4℃其他'!$D$5:$D$304,MATCH(243,'4℃其他'!$AA$5:$AA$304,0))))</f>
        <v/>
      </c>
      <c xmlns="http://schemas.openxmlformats.org/spreadsheetml/2006/main" r="F264" s="18" t="str">
        <f>IF(243&gt;MAX('冷凍品'!$AA$5:$AA$304),"",HYPERLINK("#'冷凍品'!D"&amp;(MATCH(243,'冷凍品'!$AA$5:$AA$304,0)+4),INDEX('冷凍品'!$D$5:$D$304,MATCH(243,'冷凍品'!$AA$5:$AA$304,0))))</f>
        <v/>
      </c>
    </row>
    <row r="265">
      <c xmlns="http://schemas.openxmlformats.org/spreadsheetml/2006/main" r="B265" s="18" t="str">
        <f>IF(244&gt;MAX('18℃'!$Z$5:$Z$304),"",HYPERLINK("#'18℃'!C"&amp;(MATCH(244,'18℃'!$Z$5:$Z$304,0)+4),INDEX('18℃'!$C$5:$C$304,MATCH(244,'18℃'!$Z$5:$Z$304,0))))</f>
        <v/>
      </c>
      <c xmlns="http://schemas.openxmlformats.org/spreadsheetml/2006/main" r="C265" s="18" t="str">
        <f>IF(244&gt;MAX('4℃飯'!$Z$5:$Z$304),"",HYPERLINK("#'4℃飯'!C"&amp;(MATCH(244,'4℃飯'!$Z$5:$Z$304,0)+4),INDEX('4℃飯'!$C$5:$C$304,MATCH(244,'4℃飯'!$Z$5:$Z$304,0))))</f>
        <v/>
      </c>
      <c xmlns="http://schemas.openxmlformats.org/spreadsheetml/2006/main" r="D265" s="18" t="str">
        <f>IF(244&gt;MAX('4℃麵'!$AA$5:$AA$292),"",HYPERLINK("#'4℃麵'!D"&amp;(MATCH(244,'4℃麵'!$AA$5:$AA$292,0)+4),INDEX('4℃麵'!$D$5:$D$292,MATCH(244,'4℃麵'!$AA$5:$AA$292,0))))</f>
        <v/>
      </c>
      <c xmlns="http://schemas.openxmlformats.org/spreadsheetml/2006/main" r="E265" s="18" t="str">
        <f>IF(244&gt;MAX('4℃其他'!$AA$5:$AA$304),"",HYPERLINK("#'4℃其他'!D"&amp;(MATCH(244,'4℃其他'!$AA$5:$AA$304,0)+4),INDEX('4℃其他'!$D$5:$D$304,MATCH(244,'4℃其他'!$AA$5:$AA$304,0))))</f>
        <v/>
      </c>
      <c xmlns="http://schemas.openxmlformats.org/spreadsheetml/2006/main" r="F265" s="18" t="str">
        <f>IF(244&gt;MAX('冷凍品'!$AA$5:$AA$304),"",HYPERLINK("#'冷凍品'!D"&amp;(MATCH(244,'冷凍品'!$AA$5:$AA$304,0)+4),INDEX('冷凍品'!$D$5:$D$304,MATCH(244,'冷凍品'!$AA$5:$AA$304,0))))</f>
        <v/>
      </c>
    </row>
    <row r="266">
      <c xmlns="http://schemas.openxmlformats.org/spreadsheetml/2006/main" r="B266" s="18" t="str">
        <f>IF(245&gt;MAX('18℃'!$Z$5:$Z$304),"",HYPERLINK("#'18℃'!C"&amp;(MATCH(245,'18℃'!$Z$5:$Z$304,0)+4),INDEX('18℃'!$C$5:$C$304,MATCH(245,'18℃'!$Z$5:$Z$304,0))))</f>
        <v/>
      </c>
      <c xmlns="http://schemas.openxmlformats.org/spreadsheetml/2006/main" r="C266" s="18" t="str">
        <f>IF(245&gt;MAX('4℃飯'!$Z$5:$Z$304),"",HYPERLINK("#'4℃飯'!C"&amp;(MATCH(245,'4℃飯'!$Z$5:$Z$304,0)+4),INDEX('4℃飯'!$C$5:$C$304,MATCH(245,'4℃飯'!$Z$5:$Z$304,0))))</f>
        <v/>
      </c>
      <c xmlns="http://schemas.openxmlformats.org/spreadsheetml/2006/main" r="D266" s="18" t="str">
        <f>IF(245&gt;MAX('4℃麵'!$AA$5:$AA$292),"",HYPERLINK("#'4℃麵'!D"&amp;(MATCH(245,'4℃麵'!$AA$5:$AA$292,0)+4),INDEX('4℃麵'!$D$5:$D$292,MATCH(245,'4℃麵'!$AA$5:$AA$292,0))))</f>
        <v/>
      </c>
      <c xmlns="http://schemas.openxmlformats.org/spreadsheetml/2006/main" r="E266" s="18" t="str">
        <f>IF(245&gt;MAX('4℃其他'!$AA$5:$AA$304),"",HYPERLINK("#'4℃其他'!D"&amp;(MATCH(245,'4℃其他'!$AA$5:$AA$304,0)+4),INDEX('4℃其他'!$D$5:$D$304,MATCH(245,'4℃其他'!$AA$5:$AA$304,0))))</f>
        <v/>
      </c>
      <c xmlns="http://schemas.openxmlformats.org/spreadsheetml/2006/main" r="F266" s="18" t="str">
        <f>IF(245&gt;MAX('冷凍品'!$AA$5:$AA$304),"",HYPERLINK("#'冷凍品'!D"&amp;(MATCH(245,'冷凍品'!$AA$5:$AA$304,0)+4),INDEX('冷凍品'!$D$5:$D$304,MATCH(245,'冷凍品'!$AA$5:$AA$304,0))))</f>
        <v/>
      </c>
    </row>
    <row r="267">
      <c xmlns="http://schemas.openxmlformats.org/spreadsheetml/2006/main" r="B267" s="18" t="str">
        <f>IF(246&gt;MAX('18℃'!$Z$5:$Z$304),"",HYPERLINK("#'18℃'!C"&amp;(MATCH(246,'18℃'!$Z$5:$Z$304,0)+4),INDEX('18℃'!$C$5:$C$304,MATCH(246,'18℃'!$Z$5:$Z$304,0))))</f>
        <v/>
      </c>
      <c xmlns="http://schemas.openxmlformats.org/spreadsheetml/2006/main" r="C267" s="18" t="str">
        <f>IF(246&gt;MAX('4℃飯'!$Z$5:$Z$304),"",HYPERLINK("#'4℃飯'!C"&amp;(MATCH(246,'4℃飯'!$Z$5:$Z$304,0)+4),INDEX('4℃飯'!$C$5:$C$304,MATCH(246,'4℃飯'!$Z$5:$Z$304,0))))</f>
        <v/>
      </c>
      <c xmlns="http://schemas.openxmlformats.org/spreadsheetml/2006/main" r="D267" s="18" t="str">
        <f>IF(246&gt;MAX('4℃麵'!$AA$5:$AA$292),"",HYPERLINK("#'4℃麵'!D"&amp;(MATCH(246,'4℃麵'!$AA$5:$AA$292,0)+4),INDEX('4℃麵'!$D$5:$D$292,MATCH(246,'4℃麵'!$AA$5:$AA$292,0))))</f>
        <v/>
      </c>
      <c xmlns="http://schemas.openxmlformats.org/spreadsheetml/2006/main" r="E267" s="18" t="str">
        <f>IF(246&gt;MAX('4℃其他'!$AA$5:$AA$304),"",HYPERLINK("#'4℃其他'!D"&amp;(MATCH(246,'4℃其他'!$AA$5:$AA$304,0)+4),INDEX('4℃其他'!$D$5:$D$304,MATCH(246,'4℃其他'!$AA$5:$AA$304,0))))</f>
        <v/>
      </c>
      <c xmlns="http://schemas.openxmlformats.org/spreadsheetml/2006/main" r="F267" s="18" t="str">
        <f>IF(246&gt;MAX('冷凍品'!$AA$5:$AA$304),"",HYPERLINK("#'冷凍品'!D"&amp;(MATCH(246,'冷凍品'!$AA$5:$AA$304,0)+4),INDEX('冷凍品'!$D$5:$D$304,MATCH(246,'冷凍品'!$AA$5:$AA$304,0))))</f>
        <v/>
      </c>
    </row>
    <row r="268">
      <c xmlns="http://schemas.openxmlformats.org/spreadsheetml/2006/main" r="B268" s="18" t="str">
        <f>IF(247&gt;MAX('18℃'!$Z$5:$Z$304),"",HYPERLINK("#'18℃'!C"&amp;(MATCH(247,'18℃'!$Z$5:$Z$304,0)+4),INDEX('18℃'!$C$5:$C$304,MATCH(247,'18℃'!$Z$5:$Z$304,0))))</f>
        <v/>
      </c>
      <c xmlns="http://schemas.openxmlformats.org/spreadsheetml/2006/main" r="C268" s="18" t="str">
        <f>IF(247&gt;MAX('4℃飯'!$Z$5:$Z$304),"",HYPERLINK("#'4℃飯'!C"&amp;(MATCH(247,'4℃飯'!$Z$5:$Z$304,0)+4),INDEX('4℃飯'!$C$5:$C$304,MATCH(247,'4℃飯'!$Z$5:$Z$304,0))))</f>
        <v/>
      </c>
      <c xmlns="http://schemas.openxmlformats.org/spreadsheetml/2006/main" r="D268" s="18" t="str">
        <f>IF(247&gt;MAX('4℃麵'!$AA$5:$AA$292),"",HYPERLINK("#'4℃麵'!D"&amp;(MATCH(247,'4℃麵'!$AA$5:$AA$292,0)+4),INDEX('4℃麵'!$D$5:$D$292,MATCH(247,'4℃麵'!$AA$5:$AA$292,0))))</f>
        <v/>
      </c>
      <c xmlns="http://schemas.openxmlformats.org/spreadsheetml/2006/main" r="E268" s="18" t="str">
        <f>IF(247&gt;MAX('4℃其他'!$AA$5:$AA$304),"",HYPERLINK("#'4℃其他'!D"&amp;(MATCH(247,'4℃其他'!$AA$5:$AA$304,0)+4),INDEX('4℃其他'!$D$5:$D$304,MATCH(247,'4℃其他'!$AA$5:$AA$304,0))))</f>
        <v/>
      </c>
      <c xmlns="http://schemas.openxmlformats.org/spreadsheetml/2006/main" r="F268" s="18" t="str">
        <f>IF(247&gt;MAX('冷凍品'!$AA$5:$AA$304),"",HYPERLINK("#'冷凍品'!D"&amp;(MATCH(247,'冷凍品'!$AA$5:$AA$304,0)+4),INDEX('冷凍品'!$D$5:$D$304,MATCH(247,'冷凍品'!$AA$5:$AA$304,0))))</f>
        <v/>
      </c>
    </row>
    <row r="269">
      <c xmlns="http://schemas.openxmlformats.org/spreadsheetml/2006/main" r="B269" s="18" t="str">
        <f>IF(248&gt;MAX('18℃'!$Z$5:$Z$304),"",HYPERLINK("#'18℃'!C"&amp;(MATCH(248,'18℃'!$Z$5:$Z$304,0)+4),INDEX('18℃'!$C$5:$C$304,MATCH(248,'18℃'!$Z$5:$Z$304,0))))</f>
        <v/>
      </c>
      <c xmlns="http://schemas.openxmlformats.org/spreadsheetml/2006/main" r="C269" s="18" t="str">
        <f>IF(248&gt;MAX('4℃飯'!$Z$5:$Z$304),"",HYPERLINK("#'4℃飯'!C"&amp;(MATCH(248,'4℃飯'!$Z$5:$Z$304,0)+4),INDEX('4℃飯'!$C$5:$C$304,MATCH(248,'4℃飯'!$Z$5:$Z$304,0))))</f>
        <v/>
      </c>
      <c xmlns="http://schemas.openxmlformats.org/spreadsheetml/2006/main" r="D269" s="18" t="str">
        <f>IF(248&gt;MAX('4℃麵'!$AA$5:$AA$292),"",HYPERLINK("#'4℃麵'!D"&amp;(MATCH(248,'4℃麵'!$AA$5:$AA$292,0)+4),INDEX('4℃麵'!$D$5:$D$292,MATCH(248,'4℃麵'!$AA$5:$AA$292,0))))</f>
        <v/>
      </c>
      <c xmlns="http://schemas.openxmlformats.org/spreadsheetml/2006/main" r="E269" s="18" t="str">
        <f>IF(248&gt;MAX('4℃其他'!$AA$5:$AA$304),"",HYPERLINK("#'4℃其他'!D"&amp;(MATCH(248,'4℃其他'!$AA$5:$AA$304,0)+4),INDEX('4℃其他'!$D$5:$D$304,MATCH(248,'4℃其他'!$AA$5:$AA$304,0))))</f>
        <v/>
      </c>
      <c xmlns="http://schemas.openxmlformats.org/spreadsheetml/2006/main" r="F269" s="18" t="str">
        <f>IF(248&gt;MAX('冷凍品'!$AA$5:$AA$304),"",HYPERLINK("#'冷凍品'!D"&amp;(MATCH(248,'冷凍品'!$AA$5:$AA$304,0)+4),INDEX('冷凍品'!$D$5:$D$304,MATCH(248,'冷凍品'!$AA$5:$AA$304,0))))</f>
        <v/>
      </c>
    </row>
    <row r="270">
      <c xmlns="http://schemas.openxmlformats.org/spreadsheetml/2006/main" r="B270" s="18" t="str">
        <f>IF(249&gt;MAX('18℃'!$Z$5:$Z$304),"",HYPERLINK("#'18℃'!C"&amp;(MATCH(249,'18℃'!$Z$5:$Z$304,0)+4),INDEX('18℃'!$C$5:$C$304,MATCH(249,'18℃'!$Z$5:$Z$304,0))))</f>
        <v/>
      </c>
      <c xmlns="http://schemas.openxmlformats.org/spreadsheetml/2006/main" r="C270" s="18" t="str">
        <f>IF(249&gt;MAX('4℃飯'!$Z$5:$Z$304),"",HYPERLINK("#'4℃飯'!C"&amp;(MATCH(249,'4℃飯'!$Z$5:$Z$304,0)+4),INDEX('4℃飯'!$C$5:$C$304,MATCH(249,'4℃飯'!$Z$5:$Z$304,0))))</f>
        <v/>
      </c>
      <c xmlns="http://schemas.openxmlformats.org/spreadsheetml/2006/main" r="D270" s="18" t="str">
        <f>IF(249&gt;MAX('4℃麵'!$AA$5:$AA$292),"",HYPERLINK("#'4℃麵'!D"&amp;(MATCH(249,'4℃麵'!$AA$5:$AA$292,0)+4),INDEX('4℃麵'!$D$5:$D$292,MATCH(249,'4℃麵'!$AA$5:$AA$292,0))))</f>
        <v/>
      </c>
      <c xmlns="http://schemas.openxmlformats.org/spreadsheetml/2006/main" r="E270" s="18" t="str">
        <f>IF(249&gt;MAX('4℃其他'!$AA$5:$AA$304),"",HYPERLINK("#'4℃其他'!D"&amp;(MATCH(249,'4℃其他'!$AA$5:$AA$304,0)+4),INDEX('4℃其他'!$D$5:$D$304,MATCH(249,'4℃其他'!$AA$5:$AA$304,0))))</f>
        <v/>
      </c>
      <c xmlns="http://schemas.openxmlformats.org/spreadsheetml/2006/main" r="F270" s="18" t="str">
        <f>IF(249&gt;MAX('冷凍品'!$AA$5:$AA$304),"",HYPERLINK("#'冷凍品'!D"&amp;(MATCH(249,'冷凍品'!$AA$5:$AA$304,0)+4),INDEX('冷凍品'!$D$5:$D$304,MATCH(249,'冷凍品'!$AA$5:$AA$304,0))))</f>
        <v/>
      </c>
    </row>
    <row r="271">
      <c xmlns="http://schemas.openxmlformats.org/spreadsheetml/2006/main" r="B271" s="18" t="str">
        <f>IF(250&gt;MAX('18℃'!$Z$5:$Z$304),"",HYPERLINK("#'18℃'!C"&amp;(MATCH(250,'18℃'!$Z$5:$Z$304,0)+4),INDEX('18℃'!$C$5:$C$304,MATCH(250,'18℃'!$Z$5:$Z$304,0))))</f>
        <v/>
      </c>
      <c xmlns="http://schemas.openxmlformats.org/spreadsheetml/2006/main" r="C271" s="18" t="str">
        <f>IF(250&gt;MAX('4℃飯'!$Z$5:$Z$304),"",HYPERLINK("#'4℃飯'!C"&amp;(MATCH(250,'4℃飯'!$Z$5:$Z$304,0)+4),INDEX('4℃飯'!$C$5:$C$304,MATCH(250,'4℃飯'!$Z$5:$Z$304,0))))</f>
        <v/>
      </c>
      <c xmlns="http://schemas.openxmlformats.org/spreadsheetml/2006/main" r="D271" s="18" t="str">
        <f>IF(250&gt;MAX('4℃麵'!$AA$5:$AA$292),"",HYPERLINK("#'4℃麵'!D"&amp;(MATCH(250,'4℃麵'!$AA$5:$AA$292,0)+4),INDEX('4℃麵'!$D$5:$D$292,MATCH(250,'4℃麵'!$AA$5:$AA$292,0))))</f>
        <v/>
      </c>
      <c xmlns="http://schemas.openxmlformats.org/spreadsheetml/2006/main" r="E271" s="18" t="str">
        <f>IF(250&gt;MAX('4℃其他'!$AA$5:$AA$304),"",HYPERLINK("#'4℃其他'!D"&amp;(MATCH(250,'4℃其他'!$AA$5:$AA$304,0)+4),INDEX('4℃其他'!$D$5:$D$304,MATCH(250,'4℃其他'!$AA$5:$AA$304,0))))</f>
        <v/>
      </c>
      <c xmlns="http://schemas.openxmlformats.org/spreadsheetml/2006/main" r="F271" s="18" t="str">
        <f>IF(250&gt;MAX('冷凍品'!$AA$5:$AA$304),"",HYPERLINK("#'冷凍品'!D"&amp;(MATCH(250,'冷凍品'!$AA$5:$AA$304,0)+4),INDEX('冷凍品'!$D$5:$D$304,MATCH(250,'冷凍品'!$AA$5:$AA$304,0))))</f>
        <v/>
      </c>
    </row>
    <row r="272">
      <c xmlns="http://schemas.openxmlformats.org/spreadsheetml/2006/main" r="B272" s="18" t="str">
        <f>IF(251&gt;MAX('18℃'!$Z$5:$Z$304),"",HYPERLINK("#'18℃'!C"&amp;(MATCH(251,'18℃'!$Z$5:$Z$304,0)+4),INDEX('18℃'!$C$5:$C$304,MATCH(251,'18℃'!$Z$5:$Z$304,0))))</f>
        <v/>
      </c>
      <c xmlns="http://schemas.openxmlformats.org/spreadsheetml/2006/main" r="C272" s="18" t="str">
        <f>IF(251&gt;MAX('4℃飯'!$Z$5:$Z$304),"",HYPERLINK("#'4℃飯'!C"&amp;(MATCH(251,'4℃飯'!$Z$5:$Z$304,0)+4),INDEX('4℃飯'!$C$5:$C$304,MATCH(251,'4℃飯'!$Z$5:$Z$304,0))))</f>
        <v/>
      </c>
      <c xmlns="http://schemas.openxmlformats.org/spreadsheetml/2006/main" r="D272" s="18" t="str">
        <f>IF(251&gt;MAX('4℃麵'!$AA$5:$AA$292),"",HYPERLINK("#'4℃麵'!D"&amp;(MATCH(251,'4℃麵'!$AA$5:$AA$292,0)+4),INDEX('4℃麵'!$D$5:$D$292,MATCH(251,'4℃麵'!$AA$5:$AA$292,0))))</f>
        <v/>
      </c>
      <c xmlns="http://schemas.openxmlformats.org/spreadsheetml/2006/main" r="E272" s="18" t="str">
        <f>IF(251&gt;MAX('4℃其他'!$AA$5:$AA$304),"",HYPERLINK("#'4℃其他'!D"&amp;(MATCH(251,'4℃其他'!$AA$5:$AA$304,0)+4),INDEX('4℃其他'!$D$5:$D$304,MATCH(251,'4℃其他'!$AA$5:$AA$304,0))))</f>
        <v/>
      </c>
      <c xmlns="http://schemas.openxmlformats.org/spreadsheetml/2006/main" r="F272" s="18" t="str">
        <f>IF(251&gt;MAX('冷凍品'!$AA$5:$AA$304),"",HYPERLINK("#'冷凍品'!D"&amp;(MATCH(251,'冷凍品'!$AA$5:$AA$304,0)+4),INDEX('冷凍品'!$D$5:$D$304,MATCH(251,'冷凍品'!$AA$5:$AA$304,0))))</f>
        <v/>
      </c>
    </row>
    <row r="273">
      <c xmlns="http://schemas.openxmlformats.org/spreadsheetml/2006/main" r="B273" s="18" t="str">
        <f>IF(252&gt;MAX('18℃'!$Z$5:$Z$304),"",HYPERLINK("#'18℃'!C"&amp;(MATCH(252,'18℃'!$Z$5:$Z$304,0)+4),INDEX('18℃'!$C$5:$C$304,MATCH(252,'18℃'!$Z$5:$Z$304,0))))</f>
        <v/>
      </c>
      <c xmlns="http://schemas.openxmlformats.org/spreadsheetml/2006/main" r="C273" s="18" t="str">
        <f>IF(252&gt;MAX('4℃飯'!$Z$5:$Z$304),"",HYPERLINK("#'4℃飯'!C"&amp;(MATCH(252,'4℃飯'!$Z$5:$Z$304,0)+4),INDEX('4℃飯'!$C$5:$C$304,MATCH(252,'4℃飯'!$Z$5:$Z$304,0))))</f>
        <v/>
      </c>
      <c xmlns="http://schemas.openxmlformats.org/spreadsheetml/2006/main" r="D273" s="18" t="str">
        <f>IF(252&gt;MAX('4℃麵'!$AA$5:$AA$292),"",HYPERLINK("#'4℃麵'!D"&amp;(MATCH(252,'4℃麵'!$AA$5:$AA$292,0)+4),INDEX('4℃麵'!$D$5:$D$292,MATCH(252,'4℃麵'!$AA$5:$AA$292,0))))</f>
        <v/>
      </c>
      <c xmlns="http://schemas.openxmlformats.org/spreadsheetml/2006/main" r="E273" s="18" t="str">
        <f>IF(252&gt;MAX('4℃其他'!$AA$5:$AA$304),"",HYPERLINK("#'4℃其他'!D"&amp;(MATCH(252,'4℃其他'!$AA$5:$AA$304,0)+4),INDEX('4℃其他'!$D$5:$D$304,MATCH(252,'4℃其他'!$AA$5:$AA$304,0))))</f>
        <v/>
      </c>
      <c xmlns="http://schemas.openxmlformats.org/spreadsheetml/2006/main" r="F273" s="18" t="str">
        <f>IF(252&gt;MAX('冷凍品'!$AA$5:$AA$304),"",HYPERLINK("#'冷凍品'!D"&amp;(MATCH(252,'冷凍品'!$AA$5:$AA$304,0)+4),INDEX('冷凍品'!$D$5:$D$304,MATCH(252,'冷凍品'!$AA$5:$AA$304,0))))</f>
        <v/>
      </c>
    </row>
    <row r="274">
      <c xmlns="http://schemas.openxmlformats.org/spreadsheetml/2006/main" r="B274" s="18" t="str">
        <f>IF(253&gt;MAX('18℃'!$Z$5:$Z$304),"",HYPERLINK("#'18℃'!C"&amp;(MATCH(253,'18℃'!$Z$5:$Z$304,0)+4),INDEX('18℃'!$C$5:$C$304,MATCH(253,'18℃'!$Z$5:$Z$304,0))))</f>
        <v/>
      </c>
      <c xmlns="http://schemas.openxmlformats.org/spreadsheetml/2006/main" r="C274" s="18" t="str">
        <f>IF(253&gt;MAX('4℃飯'!$Z$5:$Z$304),"",HYPERLINK("#'4℃飯'!C"&amp;(MATCH(253,'4℃飯'!$Z$5:$Z$304,0)+4),INDEX('4℃飯'!$C$5:$C$304,MATCH(253,'4℃飯'!$Z$5:$Z$304,0))))</f>
        <v/>
      </c>
      <c xmlns="http://schemas.openxmlformats.org/spreadsheetml/2006/main" r="D274" s="18" t="str">
        <f>IF(253&gt;MAX('4℃麵'!$AA$5:$AA$292),"",HYPERLINK("#'4℃麵'!D"&amp;(MATCH(253,'4℃麵'!$AA$5:$AA$292,0)+4),INDEX('4℃麵'!$D$5:$D$292,MATCH(253,'4℃麵'!$AA$5:$AA$292,0))))</f>
        <v/>
      </c>
      <c xmlns="http://schemas.openxmlformats.org/spreadsheetml/2006/main" r="E274" s="18" t="str">
        <f>IF(253&gt;MAX('4℃其他'!$AA$5:$AA$304),"",HYPERLINK("#'4℃其他'!D"&amp;(MATCH(253,'4℃其他'!$AA$5:$AA$304,0)+4),INDEX('4℃其他'!$D$5:$D$304,MATCH(253,'4℃其他'!$AA$5:$AA$304,0))))</f>
        <v/>
      </c>
      <c xmlns="http://schemas.openxmlformats.org/spreadsheetml/2006/main" r="F274" s="18" t="str">
        <f>IF(253&gt;MAX('冷凍品'!$AA$5:$AA$304),"",HYPERLINK("#'冷凍品'!D"&amp;(MATCH(253,'冷凍品'!$AA$5:$AA$304,0)+4),INDEX('冷凍品'!$D$5:$D$304,MATCH(253,'冷凍品'!$AA$5:$AA$304,0))))</f>
        <v/>
      </c>
    </row>
    <row r="275">
      <c xmlns="http://schemas.openxmlformats.org/spreadsheetml/2006/main" r="B275" s="18" t="str">
        <f>IF(254&gt;MAX('18℃'!$Z$5:$Z$304),"",HYPERLINK("#'18℃'!C"&amp;(MATCH(254,'18℃'!$Z$5:$Z$304,0)+4),INDEX('18℃'!$C$5:$C$304,MATCH(254,'18℃'!$Z$5:$Z$304,0))))</f>
        <v/>
      </c>
      <c xmlns="http://schemas.openxmlformats.org/spreadsheetml/2006/main" r="C275" s="18" t="str">
        <f>IF(254&gt;MAX('4℃飯'!$Z$5:$Z$304),"",HYPERLINK("#'4℃飯'!C"&amp;(MATCH(254,'4℃飯'!$Z$5:$Z$304,0)+4),INDEX('4℃飯'!$C$5:$C$304,MATCH(254,'4℃飯'!$Z$5:$Z$304,0))))</f>
        <v/>
      </c>
      <c xmlns="http://schemas.openxmlformats.org/spreadsheetml/2006/main" r="D275" s="18" t="str">
        <f>IF(254&gt;MAX('4℃麵'!$AA$5:$AA$292),"",HYPERLINK("#'4℃麵'!D"&amp;(MATCH(254,'4℃麵'!$AA$5:$AA$292,0)+4),INDEX('4℃麵'!$D$5:$D$292,MATCH(254,'4℃麵'!$AA$5:$AA$292,0))))</f>
        <v/>
      </c>
      <c xmlns="http://schemas.openxmlformats.org/spreadsheetml/2006/main" r="E275" s="18" t="str">
        <f>IF(254&gt;MAX('4℃其他'!$AA$5:$AA$304),"",HYPERLINK("#'4℃其他'!D"&amp;(MATCH(254,'4℃其他'!$AA$5:$AA$304,0)+4),INDEX('4℃其他'!$D$5:$D$304,MATCH(254,'4℃其他'!$AA$5:$AA$304,0))))</f>
        <v/>
      </c>
      <c xmlns="http://schemas.openxmlformats.org/spreadsheetml/2006/main" r="F275" s="18" t="str">
        <f>IF(254&gt;MAX('冷凍品'!$AA$5:$AA$304),"",HYPERLINK("#'冷凍品'!D"&amp;(MATCH(254,'冷凍品'!$AA$5:$AA$304,0)+4),INDEX('冷凍品'!$D$5:$D$304,MATCH(254,'冷凍品'!$AA$5:$AA$304,0))))</f>
        <v/>
      </c>
    </row>
    <row r="276">
      <c xmlns="http://schemas.openxmlformats.org/spreadsheetml/2006/main" r="B276" s="18" t="str">
        <f>IF(255&gt;MAX('18℃'!$Z$5:$Z$304),"",HYPERLINK("#'18℃'!C"&amp;(MATCH(255,'18℃'!$Z$5:$Z$304,0)+4),INDEX('18℃'!$C$5:$C$304,MATCH(255,'18℃'!$Z$5:$Z$304,0))))</f>
        <v/>
      </c>
      <c xmlns="http://schemas.openxmlformats.org/spreadsheetml/2006/main" r="C276" s="18" t="str">
        <f>IF(255&gt;MAX('4℃飯'!$Z$5:$Z$304),"",HYPERLINK("#'4℃飯'!C"&amp;(MATCH(255,'4℃飯'!$Z$5:$Z$304,0)+4),INDEX('4℃飯'!$C$5:$C$304,MATCH(255,'4℃飯'!$Z$5:$Z$304,0))))</f>
        <v/>
      </c>
      <c xmlns="http://schemas.openxmlformats.org/spreadsheetml/2006/main" r="D276" s="18" t="str">
        <f>IF(255&gt;MAX('4℃麵'!$AA$5:$AA$292),"",HYPERLINK("#'4℃麵'!D"&amp;(MATCH(255,'4℃麵'!$AA$5:$AA$292,0)+4),INDEX('4℃麵'!$D$5:$D$292,MATCH(255,'4℃麵'!$AA$5:$AA$292,0))))</f>
        <v/>
      </c>
      <c xmlns="http://schemas.openxmlformats.org/spreadsheetml/2006/main" r="E276" s="18" t="str">
        <f>IF(255&gt;MAX('4℃其他'!$AA$5:$AA$304),"",HYPERLINK("#'4℃其他'!D"&amp;(MATCH(255,'4℃其他'!$AA$5:$AA$304,0)+4),INDEX('4℃其他'!$D$5:$D$304,MATCH(255,'4℃其他'!$AA$5:$AA$304,0))))</f>
        <v/>
      </c>
      <c xmlns="http://schemas.openxmlformats.org/spreadsheetml/2006/main" r="F276" s="18" t="str">
        <f>IF(255&gt;MAX('冷凍品'!$AA$5:$AA$304),"",HYPERLINK("#'冷凍品'!D"&amp;(MATCH(255,'冷凍品'!$AA$5:$AA$304,0)+4),INDEX('冷凍品'!$D$5:$D$304,MATCH(255,'冷凍品'!$AA$5:$AA$304,0))))</f>
        <v/>
      </c>
    </row>
    <row r="277">
      <c xmlns="http://schemas.openxmlformats.org/spreadsheetml/2006/main" r="B277" s="18" t="str">
        <f>IF(256&gt;MAX('18℃'!$Z$5:$Z$304),"",HYPERLINK("#'18℃'!C"&amp;(MATCH(256,'18℃'!$Z$5:$Z$304,0)+4),INDEX('18℃'!$C$5:$C$304,MATCH(256,'18℃'!$Z$5:$Z$304,0))))</f>
        <v/>
      </c>
      <c xmlns="http://schemas.openxmlformats.org/spreadsheetml/2006/main" r="C277" s="18" t="str">
        <f>IF(256&gt;MAX('4℃飯'!$Z$5:$Z$304),"",HYPERLINK("#'4℃飯'!C"&amp;(MATCH(256,'4℃飯'!$Z$5:$Z$304,0)+4),INDEX('4℃飯'!$C$5:$C$304,MATCH(256,'4℃飯'!$Z$5:$Z$304,0))))</f>
        <v/>
      </c>
      <c xmlns="http://schemas.openxmlformats.org/spreadsheetml/2006/main" r="D277" s="18" t="str">
        <f>IF(256&gt;MAX('4℃麵'!$AA$5:$AA$292),"",HYPERLINK("#'4℃麵'!D"&amp;(MATCH(256,'4℃麵'!$AA$5:$AA$292,0)+4),INDEX('4℃麵'!$D$5:$D$292,MATCH(256,'4℃麵'!$AA$5:$AA$292,0))))</f>
        <v/>
      </c>
      <c xmlns="http://schemas.openxmlformats.org/spreadsheetml/2006/main" r="E277" s="18" t="str">
        <f>IF(256&gt;MAX('4℃其他'!$AA$5:$AA$304),"",HYPERLINK("#'4℃其他'!D"&amp;(MATCH(256,'4℃其他'!$AA$5:$AA$304,0)+4),INDEX('4℃其他'!$D$5:$D$304,MATCH(256,'4℃其他'!$AA$5:$AA$304,0))))</f>
        <v/>
      </c>
      <c xmlns="http://schemas.openxmlformats.org/spreadsheetml/2006/main" r="F277" s="18" t="str">
        <f>IF(256&gt;MAX('冷凍品'!$AA$5:$AA$304),"",HYPERLINK("#'冷凍品'!D"&amp;(MATCH(256,'冷凍品'!$AA$5:$AA$304,0)+4),INDEX('冷凍品'!$D$5:$D$304,MATCH(256,'冷凍品'!$AA$5:$AA$304,0))))</f>
        <v/>
      </c>
    </row>
    <row r="278">
      <c xmlns="http://schemas.openxmlformats.org/spreadsheetml/2006/main" r="B278" s="18" t="str">
        <f>IF(257&gt;MAX('18℃'!$Z$5:$Z$304),"",HYPERLINK("#'18℃'!C"&amp;(MATCH(257,'18℃'!$Z$5:$Z$304,0)+4),INDEX('18℃'!$C$5:$C$304,MATCH(257,'18℃'!$Z$5:$Z$304,0))))</f>
        <v/>
      </c>
      <c xmlns="http://schemas.openxmlformats.org/spreadsheetml/2006/main" r="C278" s="18" t="str">
        <f>IF(257&gt;MAX('4℃飯'!$Z$5:$Z$304),"",HYPERLINK("#'4℃飯'!C"&amp;(MATCH(257,'4℃飯'!$Z$5:$Z$304,0)+4),INDEX('4℃飯'!$C$5:$C$304,MATCH(257,'4℃飯'!$Z$5:$Z$304,0))))</f>
        <v/>
      </c>
      <c xmlns="http://schemas.openxmlformats.org/spreadsheetml/2006/main" r="D278" s="18" t="str">
        <f>IF(257&gt;MAX('4℃麵'!$AA$5:$AA$292),"",HYPERLINK("#'4℃麵'!D"&amp;(MATCH(257,'4℃麵'!$AA$5:$AA$292,0)+4),INDEX('4℃麵'!$D$5:$D$292,MATCH(257,'4℃麵'!$AA$5:$AA$292,0))))</f>
        <v/>
      </c>
      <c xmlns="http://schemas.openxmlformats.org/spreadsheetml/2006/main" r="E278" s="18" t="str">
        <f>IF(257&gt;MAX('4℃其他'!$AA$5:$AA$304),"",HYPERLINK("#'4℃其他'!D"&amp;(MATCH(257,'4℃其他'!$AA$5:$AA$304,0)+4),INDEX('4℃其他'!$D$5:$D$304,MATCH(257,'4℃其他'!$AA$5:$AA$304,0))))</f>
        <v/>
      </c>
      <c xmlns="http://schemas.openxmlformats.org/spreadsheetml/2006/main" r="F278" s="18" t="str">
        <f>IF(257&gt;MAX('冷凍品'!$AA$5:$AA$304),"",HYPERLINK("#'冷凍品'!D"&amp;(MATCH(257,'冷凍品'!$AA$5:$AA$304,0)+4),INDEX('冷凍品'!$D$5:$D$304,MATCH(257,'冷凍品'!$AA$5:$AA$304,0))))</f>
        <v/>
      </c>
    </row>
    <row r="279">
      <c xmlns="http://schemas.openxmlformats.org/spreadsheetml/2006/main" r="B279" s="18" t="str">
        <f>IF(258&gt;MAX('18℃'!$Z$5:$Z$304),"",HYPERLINK("#'18℃'!C"&amp;(MATCH(258,'18℃'!$Z$5:$Z$304,0)+4),INDEX('18℃'!$C$5:$C$304,MATCH(258,'18℃'!$Z$5:$Z$304,0))))</f>
        <v/>
      </c>
      <c xmlns="http://schemas.openxmlformats.org/spreadsheetml/2006/main" r="C279" s="18" t="str">
        <f>IF(258&gt;MAX('4℃飯'!$Z$5:$Z$304),"",HYPERLINK("#'4℃飯'!C"&amp;(MATCH(258,'4℃飯'!$Z$5:$Z$304,0)+4),INDEX('4℃飯'!$C$5:$C$304,MATCH(258,'4℃飯'!$Z$5:$Z$304,0))))</f>
        <v/>
      </c>
      <c xmlns="http://schemas.openxmlformats.org/spreadsheetml/2006/main" r="D279" s="18" t="str">
        <f>IF(258&gt;MAX('4℃麵'!$AA$5:$AA$292),"",HYPERLINK("#'4℃麵'!D"&amp;(MATCH(258,'4℃麵'!$AA$5:$AA$292,0)+4),INDEX('4℃麵'!$D$5:$D$292,MATCH(258,'4℃麵'!$AA$5:$AA$292,0))))</f>
        <v/>
      </c>
      <c xmlns="http://schemas.openxmlformats.org/spreadsheetml/2006/main" r="E279" s="18" t="str">
        <f>IF(258&gt;MAX('4℃其他'!$AA$5:$AA$304),"",HYPERLINK("#'4℃其他'!D"&amp;(MATCH(258,'4℃其他'!$AA$5:$AA$304,0)+4),INDEX('4℃其他'!$D$5:$D$304,MATCH(258,'4℃其他'!$AA$5:$AA$304,0))))</f>
        <v/>
      </c>
      <c xmlns="http://schemas.openxmlformats.org/spreadsheetml/2006/main" r="F279" s="18" t="str">
        <f>IF(258&gt;MAX('冷凍品'!$AA$5:$AA$304),"",HYPERLINK("#'冷凍品'!D"&amp;(MATCH(258,'冷凍品'!$AA$5:$AA$304,0)+4),INDEX('冷凍品'!$D$5:$D$304,MATCH(258,'冷凍品'!$AA$5:$AA$304,0))))</f>
        <v/>
      </c>
    </row>
    <row r="280">
      <c xmlns="http://schemas.openxmlformats.org/spreadsheetml/2006/main" r="B280" s="18" t="str">
        <f>IF(259&gt;MAX('18℃'!$Z$5:$Z$304),"",HYPERLINK("#'18℃'!C"&amp;(MATCH(259,'18℃'!$Z$5:$Z$304,0)+4),INDEX('18℃'!$C$5:$C$304,MATCH(259,'18℃'!$Z$5:$Z$304,0))))</f>
        <v/>
      </c>
      <c xmlns="http://schemas.openxmlformats.org/spreadsheetml/2006/main" r="C280" s="18" t="str">
        <f>IF(259&gt;MAX('4℃飯'!$Z$5:$Z$304),"",HYPERLINK("#'4℃飯'!C"&amp;(MATCH(259,'4℃飯'!$Z$5:$Z$304,0)+4),INDEX('4℃飯'!$C$5:$C$304,MATCH(259,'4℃飯'!$Z$5:$Z$304,0))))</f>
        <v/>
      </c>
      <c xmlns="http://schemas.openxmlformats.org/spreadsheetml/2006/main" r="D280" s="18" t="str">
        <f>IF(259&gt;MAX('4℃麵'!$AA$5:$AA$292),"",HYPERLINK("#'4℃麵'!D"&amp;(MATCH(259,'4℃麵'!$AA$5:$AA$292,0)+4),INDEX('4℃麵'!$D$5:$D$292,MATCH(259,'4℃麵'!$AA$5:$AA$292,0))))</f>
        <v/>
      </c>
      <c xmlns="http://schemas.openxmlformats.org/spreadsheetml/2006/main" r="E280" s="18" t="str">
        <f>IF(259&gt;MAX('4℃其他'!$AA$5:$AA$304),"",HYPERLINK("#'4℃其他'!D"&amp;(MATCH(259,'4℃其他'!$AA$5:$AA$304,0)+4),INDEX('4℃其他'!$D$5:$D$304,MATCH(259,'4℃其他'!$AA$5:$AA$304,0))))</f>
        <v/>
      </c>
      <c xmlns="http://schemas.openxmlformats.org/spreadsheetml/2006/main" r="F280" s="18" t="str">
        <f>IF(259&gt;MAX('冷凍品'!$AA$5:$AA$304),"",HYPERLINK("#'冷凍品'!D"&amp;(MATCH(259,'冷凍品'!$AA$5:$AA$304,0)+4),INDEX('冷凍品'!$D$5:$D$304,MATCH(259,'冷凍品'!$AA$5:$AA$304,0))))</f>
        <v/>
      </c>
    </row>
    <row r="281">
      <c xmlns="http://schemas.openxmlformats.org/spreadsheetml/2006/main" r="B281" s="18" t="str">
        <f>IF(260&gt;MAX('18℃'!$Z$5:$Z$304),"",HYPERLINK("#'18℃'!C"&amp;(MATCH(260,'18℃'!$Z$5:$Z$304,0)+4),INDEX('18℃'!$C$5:$C$304,MATCH(260,'18℃'!$Z$5:$Z$304,0))))</f>
        <v/>
      </c>
      <c xmlns="http://schemas.openxmlformats.org/spreadsheetml/2006/main" r="C281" s="18" t="str">
        <f>IF(260&gt;MAX('4℃飯'!$Z$5:$Z$304),"",HYPERLINK("#'4℃飯'!C"&amp;(MATCH(260,'4℃飯'!$Z$5:$Z$304,0)+4),INDEX('4℃飯'!$C$5:$C$304,MATCH(260,'4℃飯'!$Z$5:$Z$304,0))))</f>
        <v/>
      </c>
      <c xmlns="http://schemas.openxmlformats.org/spreadsheetml/2006/main" r="D281" s="18" t="str">
        <f>IF(260&gt;MAX('4℃麵'!$AA$5:$AA$292),"",HYPERLINK("#'4℃麵'!D"&amp;(MATCH(260,'4℃麵'!$AA$5:$AA$292,0)+4),INDEX('4℃麵'!$D$5:$D$292,MATCH(260,'4℃麵'!$AA$5:$AA$292,0))))</f>
        <v/>
      </c>
      <c xmlns="http://schemas.openxmlformats.org/spreadsheetml/2006/main" r="E281" s="18" t="str">
        <f>IF(260&gt;MAX('4℃其他'!$AA$5:$AA$304),"",HYPERLINK("#'4℃其他'!D"&amp;(MATCH(260,'4℃其他'!$AA$5:$AA$304,0)+4),INDEX('4℃其他'!$D$5:$D$304,MATCH(260,'4℃其他'!$AA$5:$AA$304,0))))</f>
        <v/>
      </c>
      <c xmlns="http://schemas.openxmlformats.org/spreadsheetml/2006/main" r="F281" s="18" t="str">
        <f>IF(260&gt;MAX('冷凍品'!$AA$5:$AA$304),"",HYPERLINK("#'冷凍品'!D"&amp;(MATCH(260,'冷凍品'!$AA$5:$AA$304,0)+4),INDEX('冷凍品'!$D$5:$D$304,MATCH(260,'冷凍品'!$AA$5:$AA$304,0))))</f>
        <v/>
      </c>
    </row>
    <row r="282">
      <c xmlns="http://schemas.openxmlformats.org/spreadsheetml/2006/main" r="B282" s="18" t="str">
        <f>IF(261&gt;MAX('18℃'!$Z$5:$Z$304),"",HYPERLINK("#'18℃'!C"&amp;(MATCH(261,'18℃'!$Z$5:$Z$304,0)+4),INDEX('18℃'!$C$5:$C$304,MATCH(261,'18℃'!$Z$5:$Z$304,0))))</f>
        <v/>
      </c>
      <c xmlns="http://schemas.openxmlformats.org/spreadsheetml/2006/main" r="C282" s="18" t="str">
        <f>IF(261&gt;MAX('4℃飯'!$Z$5:$Z$304),"",HYPERLINK("#'4℃飯'!C"&amp;(MATCH(261,'4℃飯'!$Z$5:$Z$304,0)+4),INDEX('4℃飯'!$C$5:$C$304,MATCH(261,'4℃飯'!$Z$5:$Z$304,0))))</f>
        <v/>
      </c>
      <c xmlns="http://schemas.openxmlformats.org/spreadsheetml/2006/main" r="D282" s="18" t="str">
        <f>IF(261&gt;MAX('4℃麵'!$AA$5:$AA$292),"",HYPERLINK("#'4℃麵'!D"&amp;(MATCH(261,'4℃麵'!$AA$5:$AA$292,0)+4),INDEX('4℃麵'!$D$5:$D$292,MATCH(261,'4℃麵'!$AA$5:$AA$292,0))))</f>
        <v/>
      </c>
      <c xmlns="http://schemas.openxmlformats.org/spreadsheetml/2006/main" r="E282" s="18" t="str">
        <f>IF(261&gt;MAX('4℃其他'!$AA$5:$AA$304),"",HYPERLINK("#'4℃其他'!D"&amp;(MATCH(261,'4℃其他'!$AA$5:$AA$304,0)+4),INDEX('4℃其他'!$D$5:$D$304,MATCH(261,'4℃其他'!$AA$5:$AA$304,0))))</f>
        <v/>
      </c>
      <c xmlns="http://schemas.openxmlformats.org/spreadsheetml/2006/main" r="F282" s="18" t="str">
        <f>IF(261&gt;MAX('冷凍品'!$AA$5:$AA$304),"",HYPERLINK("#'冷凍品'!D"&amp;(MATCH(261,'冷凍品'!$AA$5:$AA$304,0)+4),INDEX('冷凍品'!$D$5:$D$304,MATCH(261,'冷凍品'!$AA$5:$AA$304,0))))</f>
        <v/>
      </c>
    </row>
    <row r="283">
      <c xmlns="http://schemas.openxmlformats.org/spreadsheetml/2006/main" r="B283" s="18" t="str">
        <f>IF(262&gt;MAX('18℃'!$Z$5:$Z$304),"",HYPERLINK("#'18℃'!C"&amp;(MATCH(262,'18℃'!$Z$5:$Z$304,0)+4),INDEX('18℃'!$C$5:$C$304,MATCH(262,'18℃'!$Z$5:$Z$304,0))))</f>
        <v/>
      </c>
      <c xmlns="http://schemas.openxmlformats.org/spreadsheetml/2006/main" r="C283" s="18" t="str">
        <f>IF(262&gt;MAX('4℃飯'!$Z$5:$Z$304),"",HYPERLINK("#'4℃飯'!C"&amp;(MATCH(262,'4℃飯'!$Z$5:$Z$304,0)+4),INDEX('4℃飯'!$C$5:$C$304,MATCH(262,'4℃飯'!$Z$5:$Z$304,0))))</f>
        <v/>
      </c>
      <c xmlns="http://schemas.openxmlformats.org/spreadsheetml/2006/main" r="D283" s="18" t="str">
        <f>IF(262&gt;MAX('4℃麵'!$AA$5:$AA$292),"",HYPERLINK("#'4℃麵'!D"&amp;(MATCH(262,'4℃麵'!$AA$5:$AA$292,0)+4),INDEX('4℃麵'!$D$5:$D$292,MATCH(262,'4℃麵'!$AA$5:$AA$292,0))))</f>
        <v/>
      </c>
      <c xmlns="http://schemas.openxmlformats.org/spreadsheetml/2006/main" r="E283" s="18" t="str">
        <f>IF(262&gt;MAX('4℃其他'!$AA$5:$AA$304),"",HYPERLINK("#'4℃其他'!D"&amp;(MATCH(262,'4℃其他'!$AA$5:$AA$304,0)+4),INDEX('4℃其他'!$D$5:$D$304,MATCH(262,'4℃其他'!$AA$5:$AA$304,0))))</f>
        <v/>
      </c>
      <c xmlns="http://schemas.openxmlformats.org/spreadsheetml/2006/main" r="F283" s="18" t="str">
        <f>IF(262&gt;MAX('冷凍品'!$AA$5:$AA$304),"",HYPERLINK("#'冷凍品'!D"&amp;(MATCH(262,'冷凍品'!$AA$5:$AA$304,0)+4),INDEX('冷凍品'!$D$5:$D$304,MATCH(262,'冷凍品'!$AA$5:$AA$304,0))))</f>
        <v/>
      </c>
    </row>
    <row r="284">
      <c xmlns="http://schemas.openxmlformats.org/spreadsheetml/2006/main" r="B284" s="18" t="str">
        <f>IF(263&gt;MAX('18℃'!$Z$5:$Z$304),"",HYPERLINK("#'18℃'!C"&amp;(MATCH(263,'18℃'!$Z$5:$Z$304,0)+4),INDEX('18℃'!$C$5:$C$304,MATCH(263,'18℃'!$Z$5:$Z$304,0))))</f>
        <v/>
      </c>
      <c xmlns="http://schemas.openxmlformats.org/spreadsheetml/2006/main" r="C284" s="18" t="str">
        <f>IF(263&gt;MAX('4℃飯'!$Z$5:$Z$304),"",HYPERLINK("#'4℃飯'!C"&amp;(MATCH(263,'4℃飯'!$Z$5:$Z$304,0)+4),INDEX('4℃飯'!$C$5:$C$304,MATCH(263,'4℃飯'!$Z$5:$Z$304,0))))</f>
        <v/>
      </c>
      <c xmlns="http://schemas.openxmlformats.org/spreadsheetml/2006/main" r="D284" s="18" t="str">
        <f>IF(263&gt;MAX('4℃麵'!$AA$5:$AA$292),"",HYPERLINK("#'4℃麵'!D"&amp;(MATCH(263,'4℃麵'!$AA$5:$AA$292,0)+4),INDEX('4℃麵'!$D$5:$D$292,MATCH(263,'4℃麵'!$AA$5:$AA$292,0))))</f>
        <v/>
      </c>
      <c xmlns="http://schemas.openxmlformats.org/spreadsheetml/2006/main" r="E284" s="18" t="str">
        <f>IF(263&gt;MAX('4℃其他'!$AA$5:$AA$304),"",HYPERLINK("#'4℃其他'!D"&amp;(MATCH(263,'4℃其他'!$AA$5:$AA$304,0)+4),INDEX('4℃其他'!$D$5:$D$304,MATCH(263,'4℃其他'!$AA$5:$AA$304,0))))</f>
        <v/>
      </c>
      <c xmlns="http://schemas.openxmlformats.org/spreadsheetml/2006/main" r="F284" s="18" t="str">
        <f>IF(263&gt;MAX('冷凍品'!$AA$5:$AA$304),"",HYPERLINK("#'冷凍品'!D"&amp;(MATCH(263,'冷凍品'!$AA$5:$AA$304,0)+4),INDEX('冷凍品'!$D$5:$D$304,MATCH(263,'冷凍品'!$AA$5:$AA$304,0))))</f>
        <v/>
      </c>
    </row>
    <row r="285">
      <c xmlns="http://schemas.openxmlformats.org/spreadsheetml/2006/main" r="B285" s="18" t="str">
        <f>IF(264&gt;MAX('18℃'!$Z$5:$Z$304),"",HYPERLINK("#'18℃'!C"&amp;(MATCH(264,'18℃'!$Z$5:$Z$304,0)+4),INDEX('18℃'!$C$5:$C$304,MATCH(264,'18℃'!$Z$5:$Z$304,0))))</f>
        <v/>
      </c>
      <c xmlns="http://schemas.openxmlformats.org/spreadsheetml/2006/main" r="C285" s="18" t="str">
        <f>IF(264&gt;MAX('4℃飯'!$Z$5:$Z$304),"",HYPERLINK("#'4℃飯'!C"&amp;(MATCH(264,'4℃飯'!$Z$5:$Z$304,0)+4),INDEX('4℃飯'!$C$5:$C$304,MATCH(264,'4℃飯'!$Z$5:$Z$304,0))))</f>
        <v/>
      </c>
      <c xmlns="http://schemas.openxmlformats.org/spreadsheetml/2006/main" r="D285" s="18" t="str">
        <f>IF(264&gt;MAX('4℃麵'!$AA$5:$AA$292),"",HYPERLINK("#'4℃麵'!D"&amp;(MATCH(264,'4℃麵'!$AA$5:$AA$292,0)+4),INDEX('4℃麵'!$D$5:$D$292,MATCH(264,'4℃麵'!$AA$5:$AA$292,0))))</f>
        <v/>
      </c>
      <c xmlns="http://schemas.openxmlformats.org/spreadsheetml/2006/main" r="E285" s="18" t="str">
        <f>IF(264&gt;MAX('4℃其他'!$AA$5:$AA$304),"",HYPERLINK("#'4℃其他'!D"&amp;(MATCH(264,'4℃其他'!$AA$5:$AA$304,0)+4),INDEX('4℃其他'!$D$5:$D$304,MATCH(264,'4℃其他'!$AA$5:$AA$304,0))))</f>
        <v/>
      </c>
      <c xmlns="http://schemas.openxmlformats.org/spreadsheetml/2006/main" r="F285" s="18" t="str">
        <f>IF(264&gt;MAX('冷凍品'!$AA$5:$AA$304),"",HYPERLINK("#'冷凍品'!D"&amp;(MATCH(264,'冷凍品'!$AA$5:$AA$304,0)+4),INDEX('冷凍品'!$D$5:$D$304,MATCH(264,'冷凍品'!$AA$5:$AA$304,0))))</f>
        <v/>
      </c>
    </row>
    <row r="286">
      <c xmlns="http://schemas.openxmlformats.org/spreadsheetml/2006/main" r="B286" s="18" t="str">
        <f>IF(265&gt;MAX('18℃'!$Z$5:$Z$304),"",HYPERLINK("#'18℃'!C"&amp;(MATCH(265,'18℃'!$Z$5:$Z$304,0)+4),INDEX('18℃'!$C$5:$C$304,MATCH(265,'18℃'!$Z$5:$Z$304,0))))</f>
        <v/>
      </c>
      <c xmlns="http://schemas.openxmlformats.org/spreadsheetml/2006/main" r="C286" s="18" t="str">
        <f>IF(265&gt;MAX('4℃飯'!$Z$5:$Z$304),"",HYPERLINK("#'4℃飯'!C"&amp;(MATCH(265,'4℃飯'!$Z$5:$Z$304,0)+4),INDEX('4℃飯'!$C$5:$C$304,MATCH(265,'4℃飯'!$Z$5:$Z$304,0))))</f>
        <v/>
      </c>
      <c xmlns="http://schemas.openxmlformats.org/spreadsheetml/2006/main" r="D286" s="18" t="str">
        <f>IF(265&gt;MAX('4℃麵'!$AA$5:$AA$292),"",HYPERLINK("#'4℃麵'!D"&amp;(MATCH(265,'4℃麵'!$AA$5:$AA$292,0)+4),INDEX('4℃麵'!$D$5:$D$292,MATCH(265,'4℃麵'!$AA$5:$AA$292,0))))</f>
        <v/>
      </c>
      <c xmlns="http://schemas.openxmlformats.org/spreadsheetml/2006/main" r="E286" s="18" t="str">
        <f>IF(265&gt;MAX('4℃其他'!$AA$5:$AA$304),"",HYPERLINK("#'4℃其他'!D"&amp;(MATCH(265,'4℃其他'!$AA$5:$AA$304,0)+4),INDEX('4℃其他'!$D$5:$D$304,MATCH(265,'4℃其他'!$AA$5:$AA$304,0))))</f>
        <v/>
      </c>
      <c xmlns="http://schemas.openxmlformats.org/spreadsheetml/2006/main" r="F286" s="18" t="str">
        <f>IF(265&gt;MAX('冷凍品'!$AA$5:$AA$304),"",HYPERLINK("#'冷凍品'!D"&amp;(MATCH(265,'冷凍品'!$AA$5:$AA$304,0)+4),INDEX('冷凍品'!$D$5:$D$304,MATCH(265,'冷凍品'!$AA$5:$AA$304,0))))</f>
        <v/>
      </c>
    </row>
    <row r="287">
      <c xmlns="http://schemas.openxmlformats.org/spreadsheetml/2006/main" r="B287" s="18" t="str">
        <f>IF(266&gt;MAX('18℃'!$Z$5:$Z$304),"",HYPERLINK("#'18℃'!C"&amp;(MATCH(266,'18℃'!$Z$5:$Z$304,0)+4),INDEX('18℃'!$C$5:$C$304,MATCH(266,'18℃'!$Z$5:$Z$304,0))))</f>
        <v/>
      </c>
      <c xmlns="http://schemas.openxmlformats.org/spreadsheetml/2006/main" r="C287" s="18" t="str">
        <f>IF(266&gt;MAX('4℃飯'!$Z$5:$Z$304),"",HYPERLINK("#'4℃飯'!C"&amp;(MATCH(266,'4℃飯'!$Z$5:$Z$304,0)+4),INDEX('4℃飯'!$C$5:$C$304,MATCH(266,'4℃飯'!$Z$5:$Z$304,0))))</f>
        <v/>
      </c>
      <c xmlns="http://schemas.openxmlformats.org/spreadsheetml/2006/main" r="D287" s="18" t="str">
        <f>IF(266&gt;MAX('4℃麵'!$AA$5:$AA$292),"",HYPERLINK("#'4℃麵'!D"&amp;(MATCH(266,'4℃麵'!$AA$5:$AA$292,0)+4),INDEX('4℃麵'!$D$5:$D$292,MATCH(266,'4℃麵'!$AA$5:$AA$292,0))))</f>
        <v/>
      </c>
      <c xmlns="http://schemas.openxmlformats.org/spreadsheetml/2006/main" r="E287" s="18" t="str">
        <f>IF(266&gt;MAX('4℃其他'!$AA$5:$AA$304),"",HYPERLINK("#'4℃其他'!D"&amp;(MATCH(266,'4℃其他'!$AA$5:$AA$304,0)+4),INDEX('4℃其他'!$D$5:$D$304,MATCH(266,'4℃其他'!$AA$5:$AA$304,0))))</f>
        <v/>
      </c>
      <c xmlns="http://schemas.openxmlformats.org/spreadsheetml/2006/main" r="F287" s="18" t="str">
        <f>IF(266&gt;MAX('冷凍品'!$AA$5:$AA$304),"",HYPERLINK("#'冷凍品'!D"&amp;(MATCH(266,'冷凍品'!$AA$5:$AA$304,0)+4),INDEX('冷凍品'!$D$5:$D$304,MATCH(266,'冷凍品'!$AA$5:$AA$304,0))))</f>
        <v/>
      </c>
    </row>
    <row r="288">
      <c xmlns="http://schemas.openxmlformats.org/spreadsheetml/2006/main" r="B288" s="18" t="str">
        <f>IF(267&gt;MAX('18℃'!$Z$5:$Z$304),"",HYPERLINK("#'18℃'!C"&amp;(MATCH(267,'18℃'!$Z$5:$Z$304,0)+4),INDEX('18℃'!$C$5:$C$304,MATCH(267,'18℃'!$Z$5:$Z$304,0))))</f>
        <v/>
      </c>
      <c xmlns="http://schemas.openxmlformats.org/spreadsheetml/2006/main" r="C288" s="18" t="str">
        <f>IF(267&gt;MAX('4℃飯'!$Z$5:$Z$304),"",HYPERLINK("#'4℃飯'!C"&amp;(MATCH(267,'4℃飯'!$Z$5:$Z$304,0)+4),INDEX('4℃飯'!$C$5:$C$304,MATCH(267,'4℃飯'!$Z$5:$Z$304,0))))</f>
        <v/>
      </c>
      <c xmlns="http://schemas.openxmlformats.org/spreadsheetml/2006/main" r="D288" s="18" t="str">
        <f>IF(267&gt;MAX('4℃麵'!$AA$5:$AA$292),"",HYPERLINK("#'4℃麵'!D"&amp;(MATCH(267,'4℃麵'!$AA$5:$AA$292,0)+4),INDEX('4℃麵'!$D$5:$D$292,MATCH(267,'4℃麵'!$AA$5:$AA$292,0))))</f>
        <v/>
      </c>
      <c xmlns="http://schemas.openxmlformats.org/spreadsheetml/2006/main" r="E288" s="18" t="str">
        <f>IF(267&gt;MAX('4℃其他'!$AA$5:$AA$304),"",HYPERLINK("#'4℃其他'!D"&amp;(MATCH(267,'4℃其他'!$AA$5:$AA$304,0)+4),INDEX('4℃其他'!$D$5:$D$304,MATCH(267,'4℃其他'!$AA$5:$AA$304,0))))</f>
        <v/>
      </c>
      <c xmlns="http://schemas.openxmlformats.org/spreadsheetml/2006/main" r="F288" s="18" t="str">
        <f>IF(267&gt;MAX('冷凍品'!$AA$5:$AA$304),"",HYPERLINK("#'冷凍品'!D"&amp;(MATCH(267,'冷凍品'!$AA$5:$AA$304,0)+4),INDEX('冷凍品'!$D$5:$D$304,MATCH(267,'冷凍品'!$AA$5:$AA$304,0))))</f>
        <v/>
      </c>
    </row>
    <row r="289">
      <c xmlns="http://schemas.openxmlformats.org/spreadsheetml/2006/main" r="B289" s="18" t="str">
        <f>IF(268&gt;MAX('18℃'!$Z$5:$Z$304),"",HYPERLINK("#'18℃'!C"&amp;(MATCH(268,'18℃'!$Z$5:$Z$304,0)+4),INDEX('18℃'!$C$5:$C$304,MATCH(268,'18℃'!$Z$5:$Z$304,0))))</f>
        <v/>
      </c>
      <c xmlns="http://schemas.openxmlformats.org/spreadsheetml/2006/main" r="C289" s="18" t="str">
        <f>IF(268&gt;MAX('4℃飯'!$Z$5:$Z$304),"",HYPERLINK("#'4℃飯'!C"&amp;(MATCH(268,'4℃飯'!$Z$5:$Z$304,0)+4),INDEX('4℃飯'!$C$5:$C$304,MATCH(268,'4℃飯'!$Z$5:$Z$304,0))))</f>
        <v/>
      </c>
      <c xmlns="http://schemas.openxmlformats.org/spreadsheetml/2006/main" r="D289" s="18" t="str">
        <f>IF(268&gt;MAX('4℃麵'!$AA$5:$AA$292),"",HYPERLINK("#'4℃麵'!D"&amp;(MATCH(268,'4℃麵'!$AA$5:$AA$292,0)+4),INDEX('4℃麵'!$D$5:$D$292,MATCH(268,'4℃麵'!$AA$5:$AA$292,0))))</f>
        <v/>
      </c>
      <c xmlns="http://schemas.openxmlformats.org/spreadsheetml/2006/main" r="E289" s="18" t="str">
        <f>IF(268&gt;MAX('4℃其他'!$AA$5:$AA$304),"",HYPERLINK("#'4℃其他'!D"&amp;(MATCH(268,'4℃其他'!$AA$5:$AA$304,0)+4),INDEX('4℃其他'!$D$5:$D$304,MATCH(268,'4℃其他'!$AA$5:$AA$304,0))))</f>
        <v/>
      </c>
      <c xmlns="http://schemas.openxmlformats.org/spreadsheetml/2006/main" r="F289" s="18" t="str">
        <f>IF(268&gt;MAX('冷凍品'!$AA$5:$AA$304),"",HYPERLINK("#'冷凍品'!D"&amp;(MATCH(268,'冷凍品'!$AA$5:$AA$304,0)+4),INDEX('冷凍品'!$D$5:$D$304,MATCH(268,'冷凍品'!$AA$5:$AA$304,0))))</f>
        <v/>
      </c>
    </row>
    <row r="290">
      <c xmlns="http://schemas.openxmlformats.org/spreadsheetml/2006/main" r="B290" s="18" t="str">
        <f>IF(269&gt;MAX('18℃'!$Z$5:$Z$304),"",HYPERLINK("#'18℃'!C"&amp;(MATCH(269,'18℃'!$Z$5:$Z$304,0)+4),INDEX('18℃'!$C$5:$C$304,MATCH(269,'18℃'!$Z$5:$Z$304,0))))</f>
        <v/>
      </c>
      <c xmlns="http://schemas.openxmlformats.org/spreadsheetml/2006/main" r="C290" s="18" t="str">
        <f>IF(269&gt;MAX('4℃飯'!$Z$5:$Z$304),"",HYPERLINK("#'4℃飯'!C"&amp;(MATCH(269,'4℃飯'!$Z$5:$Z$304,0)+4),INDEX('4℃飯'!$C$5:$C$304,MATCH(269,'4℃飯'!$Z$5:$Z$304,0))))</f>
        <v/>
      </c>
      <c xmlns="http://schemas.openxmlformats.org/spreadsheetml/2006/main" r="D290" s="18" t="str">
        <f>IF(269&gt;MAX('4℃麵'!$AA$5:$AA$292),"",HYPERLINK("#'4℃麵'!D"&amp;(MATCH(269,'4℃麵'!$AA$5:$AA$292,0)+4),INDEX('4℃麵'!$D$5:$D$292,MATCH(269,'4℃麵'!$AA$5:$AA$292,0))))</f>
        <v/>
      </c>
      <c xmlns="http://schemas.openxmlformats.org/spreadsheetml/2006/main" r="E290" s="18" t="str">
        <f>IF(269&gt;MAX('4℃其他'!$AA$5:$AA$304),"",HYPERLINK("#'4℃其他'!D"&amp;(MATCH(269,'4℃其他'!$AA$5:$AA$304,0)+4),INDEX('4℃其他'!$D$5:$D$304,MATCH(269,'4℃其他'!$AA$5:$AA$304,0))))</f>
        <v/>
      </c>
      <c xmlns="http://schemas.openxmlformats.org/spreadsheetml/2006/main" r="F290" s="18" t="str">
        <f>IF(269&gt;MAX('冷凍品'!$AA$5:$AA$304),"",HYPERLINK("#'冷凍品'!D"&amp;(MATCH(269,'冷凍品'!$AA$5:$AA$304,0)+4),INDEX('冷凍品'!$D$5:$D$304,MATCH(269,'冷凍品'!$AA$5:$AA$304,0))))</f>
        <v/>
      </c>
    </row>
    <row r="291">
      <c xmlns="http://schemas.openxmlformats.org/spreadsheetml/2006/main" r="B291" s="18" t="str">
        <f>IF(270&gt;MAX('18℃'!$Z$5:$Z$304),"",HYPERLINK("#'18℃'!C"&amp;(MATCH(270,'18℃'!$Z$5:$Z$304,0)+4),INDEX('18℃'!$C$5:$C$304,MATCH(270,'18℃'!$Z$5:$Z$304,0))))</f>
        <v/>
      </c>
      <c xmlns="http://schemas.openxmlformats.org/spreadsheetml/2006/main" r="C291" s="18" t="str">
        <f>IF(270&gt;MAX('4℃飯'!$Z$5:$Z$304),"",HYPERLINK("#'4℃飯'!C"&amp;(MATCH(270,'4℃飯'!$Z$5:$Z$304,0)+4),INDEX('4℃飯'!$C$5:$C$304,MATCH(270,'4℃飯'!$Z$5:$Z$304,0))))</f>
        <v/>
      </c>
      <c xmlns="http://schemas.openxmlformats.org/spreadsheetml/2006/main" r="D291" s="18" t="str">
        <f>IF(270&gt;MAX('4℃麵'!$AA$5:$AA$292),"",HYPERLINK("#'4℃麵'!D"&amp;(MATCH(270,'4℃麵'!$AA$5:$AA$292,0)+4),INDEX('4℃麵'!$D$5:$D$292,MATCH(270,'4℃麵'!$AA$5:$AA$292,0))))</f>
        <v/>
      </c>
      <c xmlns="http://schemas.openxmlformats.org/spreadsheetml/2006/main" r="E291" s="18" t="str">
        <f>IF(270&gt;MAX('4℃其他'!$AA$5:$AA$304),"",HYPERLINK("#'4℃其他'!D"&amp;(MATCH(270,'4℃其他'!$AA$5:$AA$304,0)+4),INDEX('4℃其他'!$D$5:$D$304,MATCH(270,'4℃其他'!$AA$5:$AA$304,0))))</f>
        <v/>
      </c>
      <c xmlns="http://schemas.openxmlformats.org/spreadsheetml/2006/main" r="F291" s="18" t="str">
        <f>IF(270&gt;MAX('冷凍品'!$AA$5:$AA$304),"",HYPERLINK("#'冷凍品'!D"&amp;(MATCH(270,'冷凍品'!$AA$5:$AA$304,0)+4),INDEX('冷凍品'!$D$5:$D$304,MATCH(270,'冷凍品'!$AA$5:$AA$304,0))))</f>
        <v/>
      </c>
    </row>
    <row r="292">
      <c xmlns="http://schemas.openxmlformats.org/spreadsheetml/2006/main" r="B292" s="18" t="str">
        <f>IF(271&gt;MAX('18℃'!$Z$5:$Z$304),"",HYPERLINK("#'18℃'!C"&amp;(MATCH(271,'18℃'!$Z$5:$Z$304,0)+4),INDEX('18℃'!$C$5:$C$304,MATCH(271,'18℃'!$Z$5:$Z$304,0))))</f>
        <v/>
      </c>
      <c xmlns="http://schemas.openxmlformats.org/spreadsheetml/2006/main" r="C292" s="18" t="str">
        <f>IF(271&gt;MAX('4℃飯'!$Z$5:$Z$304),"",HYPERLINK("#'4℃飯'!C"&amp;(MATCH(271,'4℃飯'!$Z$5:$Z$304,0)+4),INDEX('4℃飯'!$C$5:$C$304,MATCH(271,'4℃飯'!$Z$5:$Z$304,0))))</f>
        <v/>
      </c>
      <c xmlns="http://schemas.openxmlformats.org/spreadsheetml/2006/main" r="D292" s="18" t="str">
        <f>IF(271&gt;MAX('4℃麵'!$AA$5:$AA$292),"",HYPERLINK("#'4℃麵'!D"&amp;(MATCH(271,'4℃麵'!$AA$5:$AA$292,0)+4),INDEX('4℃麵'!$D$5:$D$292,MATCH(271,'4℃麵'!$AA$5:$AA$292,0))))</f>
        <v/>
      </c>
      <c xmlns="http://schemas.openxmlformats.org/spreadsheetml/2006/main" r="E292" s="18" t="str">
        <f>IF(271&gt;MAX('4℃其他'!$AA$5:$AA$304),"",HYPERLINK("#'4℃其他'!D"&amp;(MATCH(271,'4℃其他'!$AA$5:$AA$304,0)+4),INDEX('4℃其他'!$D$5:$D$304,MATCH(271,'4℃其他'!$AA$5:$AA$304,0))))</f>
        <v/>
      </c>
      <c xmlns="http://schemas.openxmlformats.org/spreadsheetml/2006/main" r="F292" s="18" t="str">
        <f>IF(271&gt;MAX('冷凍品'!$AA$5:$AA$304),"",HYPERLINK("#'冷凍品'!D"&amp;(MATCH(271,'冷凍品'!$AA$5:$AA$304,0)+4),INDEX('冷凍品'!$D$5:$D$304,MATCH(271,'冷凍品'!$AA$5:$AA$304,0))))</f>
        <v/>
      </c>
    </row>
    <row r="293">
      <c xmlns="http://schemas.openxmlformats.org/spreadsheetml/2006/main" r="B293" s="18" t="str">
        <f>IF(272&gt;MAX('18℃'!$Z$5:$Z$304),"",HYPERLINK("#'18℃'!C"&amp;(MATCH(272,'18℃'!$Z$5:$Z$304,0)+4),INDEX('18℃'!$C$5:$C$304,MATCH(272,'18℃'!$Z$5:$Z$304,0))))</f>
        <v/>
      </c>
      <c xmlns="http://schemas.openxmlformats.org/spreadsheetml/2006/main" r="C293" s="18" t="str">
        <f>IF(272&gt;MAX('4℃飯'!$Z$5:$Z$304),"",HYPERLINK("#'4℃飯'!C"&amp;(MATCH(272,'4℃飯'!$Z$5:$Z$304,0)+4),INDEX('4℃飯'!$C$5:$C$304,MATCH(272,'4℃飯'!$Z$5:$Z$304,0))))</f>
        <v/>
      </c>
      <c xmlns="http://schemas.openxmlformats.org/spreadsheetml/2006/main" r="D293" s="18" t="str">
        <f>IF(272&gt;MAX('4℃麵'!$AA$5:$AA$292),"",HYPERLINK("#'4℃麵'!D"&amp;(MATCH(272,'4℃麵'!$AA$5:$AA$292,0)+4),INDEX('4℃麵'!$D$5:$D$292,MATCH(272,'4℃麵'!$AA$5:$AA$292,0))))</f>
        <v/>
      </c>
      <c xmlns="http://schemas.openxmlformats.org/spreadsheetml/2006/main" r="E293" s="18" t="str">
        <f>IF(272&gt;MAX('4℃其他'!$AA$5:$AA$304),"",HYPERLINK("#'4℃其他'!D"&amp;(MATCH(272,'4℃其他'!$AA$5:$AA$304,0)+4),INDEX('4℃其他'!$D$5:$D$304,MATCH(272,'4℃其他'!$AA$5:$AA$304,0))))</f>
        <v/>
      </c>
      <c xmlns="http://schemas.openxmlformats.org/spreadsheetml/2006/main" r="F293" s="18" t="str">
        <f>IF(272&gt;MAX('冷凍品'!$AA$5:$AA$304),"",HYPERLINK("#'冷凍品'!D"&amp;(MATCH(272,'冷凍品'!$AA$5:$AA$304,0)+4),INDEX('冷凍品'!$D$5:$D$304,MATCH(272,'冷凍品'!$AA$5:$AA$304,0))))</f>
        <v/>
      </c>
    </row>
    <row r="294">
      <c xmlns="http://schemas.openxmlformats.org/spreadsheetml/2006/main" r="B294" s="18" t="str">
        <f>IF(273&gt;MAX('18℃'!$Z$5:$Z$304),"",HYPERLINK("#'18℃'!C"&amp;(MATCH(273,'18℃'!$Z$5:$Z$304,0)+4),INDEX('18℃'!$C$5:$C$304,MATCH(273,'18℃'!$Z$5:$Z$304,0))))</f>
        <v/>
      </c>
      <c xmlns="http://schemas.openxmlformats.org/spreadsheetml/2006/main" r="C294" s="18" t="str">
        <f>IF(273&gt;MAX('4℃飯'!$Z$5:$Z$304),"",HYPERLINK("#'4℃飯'!C"&amp;(MATCH(273,'4℃飯'!$Z$5:$Z$304,0)+4),INDEX('4℃飯'!$C$5:$C$304,MATCH(273,'4℃飯'!$Z$5:$Z$304,0))))</f>
        <v/>
      </c>
      <c xmlns="http://schemas.openxmlformats.org/spreadsheetml/2006/main" r="D294" s="18" t="str">
        <f>IF(273&gt;MAX('4℃麵'!$AA$5:$AA$292),"",HYPERLINK("#'4℃麵'!D"&amp;(MATCH(273,'4℃麵'!$AA$5:$AA$292,0)+4),INDEX('4℃麵'!$D$5:$D$292,MATCH(273,'4℃麵'!$AA$5:$AA$292,0))))</f>
        <v/>
      </c>
      <c xmlns="http://schemas.openxmlformats.org/spreadsheetml/2006/main" r="E294" s="18" t="str">
        <f>IF(273&gt;MAX('4℃其他'!$AA$5:$AA$304),"",HYPERLINK("#'4℃其他'!D"&amp;(MATCH(273,'4℃其他'!$AA$5:$AA$304,0)+4),INDEX('4℃其他'!$D$5:$D$304,MATCH(273,'4℃其他'!$AA$5:$AA$304,0))))</f>
        <v/>
      </c>
      <c xmlns="http://schemas.openxmlformats.org/spreadsheetml/2006/main" r="F294" s="18" t="str">
        <f>IF(273&gt;MAX('冷凍品'!$AA$5:$AA$304),"",HYPERLINK("#'冷凍品'!D"&amp;(MATCH(273,'冷凍品'!$AA$5:$AA$304,0)+4),INDEX('冷凍品'!$D$5:$D$304,MATCH(273,'冷凍品'!$AA$5:$AA$304,0))))</f>
        <v/>
      </c>
    </row>
    <row r="295">
      <c xmlns="http://schemas.openxmlformats.org/spreadsheetml/2006/main" r="B295" s="18" t="str">
        <f>IF(274&gt;MAX('18℃'!$Z$5:$Z$304),"",HYPERLINK("#'18℃'!C"&amp;(MATCH(274,'18℃'!$Z$5:$Z$304,0)+4),INDEX('18℃'!$C$5:$C$304,MATCH(274,'18℃'!$Z$5:$Z$304,0))))</f>
        <v/>
      </c>
      <c xmlns="http://schemas.openxmlformats.org/spreadsheetml/2006/main" r="C295" s="18" t="str">
        <f>IF(274&gt;MAX('4℃飯'!$Z$5:$Z$304),"",HYPERLINK("#'4℃飯'!C"&amp;(MATCH(274,'4℃飯'!$Z$5:$Z$304,0)+4),INDEX('4℃飯'!$C$5:$C$304,MATCH(274,'4℃飯'!$Z$5:$Z$304,0))))</f>
        <v/>
      </c>
      <c xmlns="http://schemas.openxmlformats.org/spreadsheetml/2006/main" r="D295" s="18" t="str">
        <f>IF(274&gt;MAX('4℃麵'!$AA$5:$AA$292),"",HYPERLINK("#'4℃麵'!D"&amp;(MATCH(274,'4℃麵'!$AA$5:$AA$292,0)+4),INDEX('4℃麵'!$D$5:$D$292,MATCH(274,'4℃麵'!$AA$5:$AA$292,0))))</f>
        <v/>
      </c>
      <c xmlns="http://schemas.openxmlformats.org/spreadsheetml/2006/main" r="E295" s="18" t="str">
        <f>IF(274&gt;MAX('4℃其他'!$AA$5:$AA$304),"",HYPERLINK("#'4℃其他'!D"&amp;(MATCH(274,'4℃其他'!$AA$5:$AA$304,0)+4),INDEX('4℃其他'!$D$5:$D$304,MATCH(274,'4℃其他'!$AA$5:$AA$304,0))))</f>
        <v/>
      </c>
      <c xmlns="http://schemas.openxmlformats.org/spreadsheetml/2006/main" r="F295" s="18" t="str">
        <f>IF(274&gt;MAX('冷凍品'!$AA$5:$AA$304),"",HYPERLINK("#'冷凍品'!D"&amp;(MATCH(274,'冷凍品'!$AA$5:$AA$304,0)+4),INDEX('冷凍品'!$D$5:$D$304,MATCH(274,'冷凍品'!$AA$5:$AA$304,0))))</f>
        <v/>
      </c>
    </row>
    <row r="296">
      <c xmlns="http://schemas.openxmlformats.org/spreadsheetml/2006/main" r="B296" s="18" t="str">
        <f>IF(275&gt;MAX('18℃'!$Z$5:$Z$304),"",HYPERLINK("#'18℃'!C"&amp;(MATCH(275,'18℃'!$Z$5:$Z$304,0)+4),INDEX('18℃'!$C$5:$C$304,MATCH(275,'18℃'!$Z$5:$Z$304,0))))</f>
        <v/>
      </c>
      <c xmlns="http://schemas.openxmlformats.org/spreadsheetml/2006/main" r="C296" s="18" t="str">
        <f>IF(275&gt;MAX('4℃飯'!$Z$5:$Z$304),"",HYPERLINK("#'4℃飯'!C"&amp;(MATCH(275,'4℃飯'!$Z$5:$Z$304,0)+4),INDEX('4℃飯'!$C$5:$C$304,MATCH(275,'4℃飯'!$Z$5:$Z$304,0))))</f>
        <v/>
      </c>
      <c xmlns="http://schemas.openxmlformats.org/spreadsheetml/2006/main" r="D296" s="18" t="str">
        <f>IF(275&gt;MAX('4℃麵'!$AA$5:$AA$292),"",HYPERLINK("#'4℃麵'!D"&amp;(MATCH(275,'4℃麵'!$AA$5:$AA$292,0)+4),INDEX('4℃麵'!$D$5:$D$292,MATCH(275,'4℃麵'!$AA$5:$AA$292,0))))</f>
        <v/>
      </c>
      <c xmlns="http://schemas.openxmlformats.org/spreadsheetml/2006/main" r="E296" s="18" t="str">
        <f>IF(275&gt;MAX('4℃其他'!$AA$5:$AA$304),"",HYPERLINK("#'4℃其他'!D"&amp;(MATCH(275,'4℃其他'!$AA$5:$AA$304,0)+4),INDEX('4℃其他'!$D$5:$D$304,MATCH(275,'4℃其他'!$AA$5:$AA$304,0))))</f>
        <v/>
      </c>
      <c xmlns="http://schemas.openxmlformats.org/spreadsheetml/2006/main" r="F296" s="18" t="str">
        <f>IF(275&gt;MAX('冷凍品'!$AA$5:$AA$304),"",HYPERLINK("#'冷凍品'!D"&amp;(MATCH(275,'冷凍品'!$AA$5:$AA$304,0)+4),INDEX('冷凍品'!$D$5:$D$304,MATCH(275,'冷凍品'!$AA$5:$AA$304,0))))</f>
        <v/>
      </c>
    </row>
    <row r="297">
      <c xmlns="http://schemas.openxmlformats.org/spreadsheetml/2006/main" r="B297" s="18" t="str">
        <f>IF(276&gt;MAX('18℃'!$Z$5:$Z$304),"",HYPERLINK("#'18℃'!C"&amp;(MATCH(276,'18℃'!$Z$5:$Z$304,0)+4),INDEX('18℃'!$C$5:$C$304,MATCH(276,'18℃'!$Z$5:$Z$304,0))))</f>
        <v/>
      </c>
      <c xmlns="http://schemas.openxmlformats.org/spreadsheetml/2006/main" r="C297" s="18" t="str">
        <f>IF(276&gt;MAX('4℃飯'!$Z$5:$Z$304),"",HYPERLINK("#'4℃飯'!C"&amp;(MATCH(276,'4℃飯'!$Z$5:$Z$304,0)+4),INDEX('4℃飯'!$C$5:$C$304,MATCH(276,'4℃飯'!$Z$5:$Z$304,0))))</f>
        <v/>
      </c>
      <c xmlns="http://schemas.openxmlformats.org/spreadsheetml/2006/main" r="D297" s="18" t="str">
        <f>IF(276&gt;MAX('4℃麵'!$AA$5:$AA$292),"",HYPERLINK("#'4℃麵'!D"&amp;(MATCH(276,'4℃麵'!$AA$5:$AA$292,0)+4),INDEX('4℃麵'!$D$5:$D$292,MATCH(276,'4℃麵'!$AA$5:$AA$292,0))))</f>
        <v/>
      </c>
      <c xmlns="http://schemas.openxmlformats.org/spreadsheetml/2006/main" r="E297" s="18" t="str">
        <f>IF(276&gt;MAX('4℃其他'!$AA$5:$AA$304),"",HYPERLINK("#'4℃其他'!D"&amp;(MATCH(276,'4℃其他'!$AA$5:$AA$304,0)+4),INDEX('4℃其他'!$D$5:$D$304,MATCH(276,'4℃其他'!$AA$5:$AA$304,0))))</f>
        <v/>
      </c>
      <c xmlns="http://schemas.openxmlformats.org/spreadsheetml/2006/main" r="F297" s="18" t="str">
        <f>IF(276&gt;MAX('冷凍品'!$AA$5:$AA$304),"",HYPERLINK("#'冷凍品'!D"&amp;(MATCH(276,'冷凍品'!$AA$5:$AA$304,0)+4),INDEX('冷凍品'!$D$5:$D$304,MATCH(276,'冷凍品'!$AA$5:$AA$304,0))))</f>
        <v/>
      </c>
    </row>
    <row r="298">
      <c xmlns="http://schemas.openxmlformats.org/spreadsheetml/2006/main" r="B298" s="18" t="str">
        <f>IF(277&gt;MAX('18℃'!$Z$5:$Z$304),"",HYPERLINK("#'18℃'!C"&amp;(MATCH(277,'18℃'!$Z$5:$Z$304,0)+4),INDEX('18℃'!$C$5:$C$304,MATCH(277,'18℃'!$Z$5:$Z$304,0))))</f>
        <v/>
      </c>
      <c xmlns="http://schemas.openxmlformats.org/spreadsheetml/2006/main" r="C298" s="18" t="str">
        <f>IF(277&gt;MAX('4℃飯'!$Z$5:$Z$304),"",HYPERLINK("#'4℃飯'!C"&amp;(MATCH(277,'4℃飯'!$Z$5:$Z$304,0)+4),INDEX('4℃飯'!$C$5:$C$304,MATCH(277,'4℃飯'!$Z$5:$Z$304,0))))</f>
        <v/>
      </c>
      <c xmlns="http://schemas.openxmlformats.org/spreadsheetml/2006/main" r="D298" s="18" t="str">
        <f>IF(277&gt;MAX('4℃麵'!$AA$5:$AA$292),"",HYPERLINK("#'4℃麵'!D"&amp;(MATCH(277,'4℃麵'!$AA$5:$AA$292,0)+4),INDEX('4℃麵'!$D$5:$D$292,MATCH(277,'4℃麵'!$AA$5:$AA$292,0))))</f>
        <v/>
      </c>
      <c xmlns="http://schemas.openxmlformats.org/spreadsheetml/2006/main" r="E298" s="18" t="str">
        <f>IF(277&gt;MAX('4℃其他'!$AA$5:$AA$304),"",HYPERLINK("#'4℃其他'!D"&amp;(MATCH(277,'4℃其他'!$AA$5:$AA$304,0)+4),INDEX('4℃其他'!$D$5:$D$304,MATCH(277,'4℃其他'!$AA$5:$AA$304,0))))</f>
        <v/>
      </c>
      <c xmlns="http://schemas.openxmlformats.org/spreadsheetml/2006/main" r="F298" s="18" t="str">
        <f>IF(277&gt;MAX('冷凍品'!$AA$5:$AA$304),"",HYPERLINK("#'冷凍品'!D"&amp;(MATCH(277,'冷凍品'!$AA$5:$AA$304,0)+4),INDEX('冷凍品'!$D$5:$D$304,MATCH(277,'冷凍品'!$AA$5:$AA$304,0))))</f>
        <v/>
      </c>
    </row>
    <row r="299">
      <c xmlns="http://schemas.openxmlformats.org/spreadsheetml/2006/main" r="B299" s="18" t="str">
        <f>IF(278&gt;MAX('18℃'!$Z$5:$Z$304),"",HYPERLINK("#'18℃'!C"&amp;(MATCH(278,'18℃'!$Z$5:$Z$304,0)+4),INDEX('18℃'!$C$5:$C$304,MATCH(278,'18℃'!$Z$5:$Z$304,0))))</f>
        <v/>
      </c>
      <c xmlns="http://schemas.openxmlformats.org/spreadsheetml/2006/main" r="C299" s="18" t="str">
        <f>IF(278&gt;MAX('4℃飯'!$Z$5:$Z$304),"",HYPERLINK("#'4℃飯'!C"&amp;(MATCH(278,'4℃飯'!$Z$5:$Z$304,0)+4),INDEX('4℃飯'!$C$5:$C$304,MATCH(278,'4℃飯'!$Z$5:$Z$304,0))))</f>
        <v/>
      </c>
      <c xmlns="http://schemas.openxmlformats.org/spreadsheetml/2006/main" r="D299" s="18" t="str">
        <f>IF(278&gt;MAX('4℃麵'!$AA$5:$AA$292),"",HYPERLINK("#'4℃麵'!D"&amp;(MATCH(278,'4℃麵'!$AA$5:$AA$292,0)+4),INDEX('4℃麵'!$D$5:$D$292,MATCH(278,'4℃麵'!$AA$5:$AA$292,0))))</f>
        <v/>
      </c>
      <c xmlns="http://schemas.openxmlformats.org/spreadsheetml/2006/main" r="E299" s="18" t="str">
        <f>IF(278&gt;MAX('4℃其他'!$AA$5:$AA$304),"",HYPERLINK("#'4℃其他'!D"&amp;(MATCH(278,'4℃其他'!$AA$5:$AA$304,0)+4),INDEX('4℃其他'!$D$5:$D$304,MATCH(278,'4℃其他'!$AA$5:$AA$304,0))))</f>
        <v/>
      </c>
      <c xmlns="http://schemas.openxmlformats.org/spreadsheetml/2006/main" r="F299" s="18" t="str">
        <f>IF(278&gt;MAX('冷凍品'!$AA$5:$AA$304),"",HYPERLINK("#'冷凍品'!D"&amp;(MATCH(278,'冷凍品'!$AA$5:$AA$304,0)+4),INDEX('冷凍品'!$D$5:$D$304,MATCH(278,'冷凍品'!$AA$5:$AA$304,0))))</f>
        <v/>
      </c>
    </row>
    <row r="300">
      <c xmlns="http://schemas.openxmlformats.org/spreadsheetml/2006/main" r="B300" s="18" t="str">
        <f>IF(279&gt;MAX('18℃'!$Z$5:$Z$304),"",HYPERLINK("#'18℃'!C"&amp;(MATCH(279,'18℃'!$Z$5:$Z$304,0)+4),INDEX('18℃'!$C$5:$C$304,MATCH(279,'18℃'!$Z$5:$Z$304,0))))</f>
        <v/>
      </c>
      <c xmlns="http://schemas.openxmlformats.org/spreadsheetml/2006/main" r="C300" s="18" t="str">
        <f>IF(279&gt;MAX('4℃飯'!$Z$5:$Z$304),"",HYPERLINK("#'4℃飯'!C"&amp;(MATCH(279,'4℃飯'!$Z$5:$Z$304,0)+4),INDEX('4℃飯'!$C$5:$C$304,MATCH(279,'4℃飯'!$Z$5:$Z$304,0))))</f>
        <v/>
      </c>
      <c xmlns="http://schemas.openxmlformats.org/spreadsheetml/2006/main" r="D300" s="18" t="str">
        <f>IF(279&gt;MAX('4℃麵'!$AA$5:$AA$292),"",HYPERLINK("#'4℃麵'!D"&amp;(MATCH(279,'4℃麵'!$AA$5:$AA$292,0)+4),INDEX('4℃麵'!$D$5:$D$292,MATCH(279,'4℃麵'!$AA$5:$AA$292,0))))</f>
        <v/>
      </c>
      <c xmlns="http://schemas.openxmlformats.org/spreadsheetml/2006/main" r="E300" s="18" t="str">
        <f>IF(279&gt;MAX('4℃其他'!$AA$5:$AA$304),"",HYPERLINK("#'4℃其他'!D"&amp;(MATCH(279,'4℃其他'!$AA$5:$AA$304,0)+4),INDEX('4℃其他'!$D$5:$D$304,MATCH(279,'4℃其他'!$AA$5:$AA$304,0))))</f>
        <v/>
      </c>
      <c xmlns="http://schemas.openxmlformats.org/spreadsheetml/2006/main" r="F300" s="18" t="str">
        <f>IF(279&gt;MAX('冷凍品'!$AA$5:$AA$304),"",HYPERLINK("#'冷凍品'!D"&amp;(MATCH(279,'冷凍品'!$AA$5:$AA$304,0)+4),INDEX('冷凍品'!$D$5:$D$304,MATCH(279,'冷凍品'!$AA$5:$AA$304,0))))</f>
        <v/>
      </c>
    </row>
    <row r="301">
      <c xmlns="http://schemas.openxmlformats.org/spreadsheetml/2006/main" r="B301" s="18" t="str">
        <f>IF(280&gt;MAX('18℃'!$Z$5:$Z$304),"",HYPERLINK("#'18℃'!C"&amp;(MATCH(280,'18℃'!$Z$5:$Z$304,0)+4),INDEX('18℃'!$C$5:$C$304,MATCH(280,'18℃'!$Z$5:$Z$304,0))))</f>
        <v/>
      </c>
      <c xmlns="http://schemas.openxmlformats.org/spreadsheetml/2006/main" r="C301" s="18" t="str">
        <f>IF(280&gt;MAX('4℃飯'!$Z$5:$Z$304),"",HYPERLINK("#'4℃飯'!C"&amp;(MATCH(280,'4℃飯'!$Z$5:$Z$304,0)+4),INDEX('4℃飯'!$C$5:$C$304,MATCH(280,'4℃飯'!$Z$5:$Z$304,0))))</f>
        <v/>
      </c>
      <c xmlns="http://schemas.openxmlformats.org/spreadsheetml/2006/main" r="D301" s="18" t="str">
        <f>IF(280&gt;MAX('4℃麵'!$AA$5:$AA$292),"",HYPERLINK("#'4℃麵'!D"&amp;(MATCH(280,'4℃麵'!$AA$5:$AA$292,0)+4),INDEX('4℃麵'!$D$5:$D$292,MATCH(280,'4℃麵'!$AA$5:$AA$292,0))))</f>
        <v/>
      </c>
      <c xmlns="http://schemas.openxmlformats.org/spreadsheetml/2006/main" r="E301" s="18" t="str">
        <f>IF(280&gt;MAX('4℃其他'!$AA$5:$AA$304),"",HYPERLINK("#'4℃其他'!D"&amp;(MATCH(280,'4℃其他'!$AA$5:$AA$304,0)+4),INDEX('4℃其他'!$D$5:$D$304,MATCH(280,'4℃其他'!$AA$5:$AA$304,0))))</f>
        <v/>
      </c>
      <c xmlns="http://schemas.openxmlformats.org/spreadsheetml/2006/main" r="F301" s="18" t="str">
        <f>IF(280&gt;MAX('冷凍品'!$AA$5:$AA$304),"",HYPERLINK("#'冷凍品'!D"&amp;(MATCH(280,'冷凍品'!$AA$5:$AA$304,0)+4),INDEX('冷凍品'!$D$5:$D$304,MATCH(280,'冷凍品'!$AA$5:$AA$304,0))))</f>
        <v/>
      </c>
    </row>
    <row r="302">
      <c xmlns="http://schemas.openxmlformats.org/spreadsheetml/2006/main" r="B302" s="18" t="str">
        <f>IF(281&gt;MAX('18℃'!$Z$5:$Z$304),"",HYPERLINK("#'18℃'!C"&amp;(MATCH(281,'18℃'!$Z$5:$Z$304,0)+4),INDEX('18℃'!$C$5:$C$304,MATCH(281,'18℃'!$Z$5:$Z$304,0))))</f>
        <v/>
      </c>
      <c xmlns="http://schemas.openxmlformats.org/spreadsheetml/2006/main" r="C302" s="18" t="str">
        <f>IF(281&gt;MAX('4℃飯'!$Z$5:$Z$304),"",HYPERLINK("#'4℃飯'!C"&amp;(MATCH(281,'4℃飯'!$Z$5:$Z$304,0)+4),INDEX('4℃飯'!$C$5:$C$304,MATCH(281,'4℃飯'!$Z$5:$Z$304,0))))</f>
        <v/>
      </c>
      <c xmlns="http://schemas.openxmlformats.org/spreadsheetml/2006/main" r="D302" s="18" t="str">
        <f>IF(281&gt;MAX('4℃麵'!$AA$5:$AA$292),"",HYPERLINK("#'4℃麵'!D"&amp;(MATCH(281,'4℃麵'!$AA$5:$AA$292,0)+4),INDEX('4℃麵'!$D$5:$D$292,MATCH(281,'4℃麵'!$AA$5:$AA$292,0))))</f>
        <v/>
      </c>
      <c xmlns="http://schemas.openxmlformats.org/spreadsheetml/2006/main" r="E302" s="18" t="str">
        <f>IF(281&gt;MAX('4℃其他'!$AA$5:$AA$304),"",HYPERLINK("#'4℃其他'!D"&amp;(MATCH(281,'4℃其他'!$AA$5:$AA$304,0)+4),INDEX('4℃其他'!$D$5:$D$304,MATCH(281,'4℃其他'!$AA$5:$AA$304,0))))</f>
        <v/>
      </c>
      <c xmlns="http://schemas.openxmlformats.org/spreadsheetml/2006/main" r="F302" s="18" t="str">
        <f>IF(281&gt;MAX('冷凍品'!$AA$5:$AA$304),"",HYPERLINK("#'冷凍品'!D"&amp;(MATCH(281,'冷凍品'!$AA$5:$AA$304,0)+4),INDEX('冷凍品'!$D$5:$D$304,MATCH(281,'冷凍品'!$AA$5:$AA$304,0))))</f>
        <v/>
      </c>
    </row>
    <row r="303">
      <c xmlns="http://schemas.openxmlformats.org/spreadsheetml/2006/main" r="B303" s="18" t="str">
        <f>IF(282&gt;MAX('18℃'!$Z$5:$Z$304),"",HYPERLINK("#'18℃'!C"&amp;(MATCH(282,'18℃'!$Z$5:$Z$304,0)+4),INDEX('18℃'!$C$5:$C$304,MATCH(282,'18℃'!$Z$5:$Z$304,0))))</f>
        <v/>
      </c>
      <c xmlns="http://schemas.openxmlformats.org/spreadsheetml/2006/main" r="C303" s="18" t="str">
        <f>IF(282&gt;MAX('4℃飯'!$Z$5:$Z$304),"",HYPERLINK("#'4℃飯'!C"&amp;(MATCH(282,'4℃飯'!$Z$5:$Z$304,0)+4),INDEX('4℃飯'!$C$5:$C$304,MATCH(282,'4℃飯'!$Z$5:$Z$304,0))))</f>
        <v/>
      </c>
      <c xmlns="http://schemas.openxmlformats.org/spreadsheetml/2006/main" r="D303" s="18" t="str">
        <f>IF(282&gt;MAX('4℃麵'!$AA$5:$AA$292),"",HYPERLINK("#'4℃麵'!D"&amp;(MATCH(282,'4℃麵'!$AA$5:$AA$292,0)+4),INDEX('4℃麵'!$D$5:$D$292,MATCH(282,'4℃麵'!$AA$5:$AA$292,0))))</f>
        <v/>
      </c>
      <c xmlns="http://schemas.openxmlformats.org/spreadsheetml/2006/main" r="E303" s="18" t="str">
        <f>IF(282&gt;MAX('4℃其他'!$AA$5:$AA$304),"",HYPERLINK("#'4℃其他'!D"&amp;(MATCH(282,'4℃其他'!$AA$5:$AA$304,0)+4),INDEX('4℃其他'!$D$5:$D$304,MATCH(282,'4℃其他'!$AA$5:$AA$304,0))))</f>
        <v/>
      </c>
      <c xmlns="http://schemas.openxmlformats.org/spreadsheetml/2006/main" r="F303" s="18" t="str">
        <f>IF(282&gt;MAX('冷凍品'!$AA$5:$AA$304),"",HYPERLINK("#'冷凍品'!D"&amp;(MATCH(282,'冷凍品'!$AA$5:$AA$304,0)+4),INDEX('冷凍品'!$D$5:$D$304,MATCH(282,'冷凍品'!$AA$5:$AA$304,0))))</f>
        <v/>
      </c>
    </row>
    <row r="304">
      <c xmlns="http://schemas.openxmlformats.org/spreadsheetml/2006/main" r="B304" s="18" t="str">
        <f>IF(283&gt;MAX('18℃'!$Z$5:$Z$304),"",HYPERLINK("#'18℃'!C"&amp;(MATCH(283,'18℃'!$Z$5:$Z$304,0)+4),INDEX('18℃'!$C$5:$C$304,MATCH(283,'18℃'!$Z$5:$Z$304,0))))</f>
        <v/>
      </c>
      <c xmlns="http://schemas.openxmlformats.org/spreadsheetml/2006/main" r="C304" s="18" t="str">
        <f>IF(283&gt;MAX('4℃飯'!$Z$5:$Z$304),"",HYPERLINK("#'4℃飯'!C"&amp;(MATCH(283,'4℃飯'!$Z$5:$Z$304,0)+4),INDEX('4℃飯'!$C$5:$C$304,MATCH(283,'4℃飯'!$Z$5:$Z$304,0))))</f>
        <v/>
      </c>
      <c xmlns="http://schemas.openxmlformats.org/spreadsheetml/2006/main" r="D304" s="18" t="str">
        <f>IF(283&gt;MAX('4℃麵'!$AA$5:$AA$292),"",HYPERLINK("#'4℃麵'!D"&amp;(MATCH(283,'4℃麵'!$AA$5:$AA$292,0)+4),INDEX('4℃麵'!$D$5:$D$292,MATCH(283,'4℃麵'!$AA$5:$AA$292,0))))</f>
        <v/>
      </c>
      <c xmlns="http://schemas.openxmlformats.org/spreadsheetml/2006/main" r="E304" s="18" t="str">
        <f>IF(283&gt;MAX('4℃其他'!$AA$5:$AA$304),"",HYPERLINK("#'4℃其他'!D"&amp;(MATCH(283,'4℃其他'!$AA$5:$AA$304,0)+4),INDEX('4℃其他'!$D$5:$D$304,MATCH(283,'4℃其他'!$AA$5:$AA$304,0))))</f>
        <v/>
      </c>
      <c xmlns="http://schemas.openxmlformats.org/spreadsheetml/2006/main" r="F304" s="18" t="str">
        <f>IF(283&gt;MAX('冷凍品'!$AA$5:$AA$304),"",HYPERLINK("#'冷凍品'!D"&amp;(MATCH(283,'冷凍品'!$AA$5:$AA$304,0)+4),INDEX('冷凍品'!$D$5:$D$304,MATCH(283,'冷凍品'!$AA$5:$AA$304,0))))</f>
        <v/>
      </c>
    </row>
    <row r="305">
      <c xmlns="http://schemas.openxmlformats.org/spreadsheetml/2006/main" r="B305" s="18" t="str">
        <f>IF(284&gt;MAX('18℃'!$Z$5:$Z$304),"",HYPERLINK("#'18℃'!C"&amp;(MATCH(284,'18℃'!$Z$5:$Z$304,0)+4),INDEX('18℃'!$C$5:$C$304,MATCH(284,'18℃'!$Z$5:$Z$304,0))))</f>
        <v/>
      </c>
      <c xmlns="http://schemas.openxmlformats.org/spreadsheetml/2006/main" r="C305" s="18" t="str">
        <f>IF(284&gt;MAX('4℃飯'!$Z$5:$Z$304),"",HYPERLINK("#'4℃飯'!C"&amp;(MATCH(284,'4℃飯'!$Z$5:$Z$304,0)+4),INDEX('4℃飯'!$C$5:$C$304,MATCH(284,'4℃飯'!$Z$5:$Z$304,0))))</f>
        <v/>
      </c>
      <c xmlns="http://schemas.openxmlformats.org/spreadsheetml/2006/main" r="D305" s="18" t="str">
        <f>IF(284&gt;MAX('4℃麵'!$AA$5:$AA$292),"",HYPERLINK("#'4℃麵'!D"&amp;(MATCH(284,'4℃麵'!$AA$5:$AA$292,0)+4),INDEX('4℃麵'!$D$5:$D$292,MATCH(284,'4℃麵'!$AA$5:$AA$292,0))))</f>
        <v/>
      </c>
      <c xmlns="http://schemas.openxmlformats.org/spreadsheetml/2006/main" r="E305" s="18" t="str">
        <f>IF(284&gt;MAX('4℃其他'!$AA$5:$AA$304),"",HYPERLINK("#'4℃其他'!D"&amp;(MATCH(284,'4℃其他'!$AA$5:$AA$304,0)+4),INDEX('4℃其他'!$D$5:$D$304,MATCH(284,'4℃其他'!$AA$5:$AA$304,0))))</f>
        <v/>
      </c>
      <c xmlns="http://schemas.openxmlformats.org/spreadsheetml/2006/main" r="F305" s="18" t="str">
        <f>IF(284&gt;MAX('冷凍品'!$AA$5:$AA$304),"",HYPERLINK("#'冷凍品'!D"&amp;(MATCH(284,'冷凍品'!$AA$5:$AA$304,0)+4),INDEX('冷凍品'!$D$5:$D$304,MATCH(284,'冷凍品'!$AA$5:$AA$304,0))))</f>
        <v/>
      </c>
    </row>
    <row r="306">
      <c xmlns="http://schemas.openxmlformats.org/spreadsheetml/2006/main" r="B306" s="18" t="str">
        <f>IF(285&gt;MAX('18℃'!$Z$5:$Z$304),"",HYPERLINK("#'18℃'!C"&amp;(MATCH(285,'18℃'!$Z$5:$Z$304,0)+4),INDEX('18℃'!$C$5:$C$304,MATCH(285,'18℃'!$Z$5:$Z$304,0))))</f>
        <v/>
      </c>
      <c xmlns="http://schemas.openxmlformats.org/spreadsheetml/2006/main" r="C306" s="18" t="str">
        <f>IF(285&gt;MAX('4℃飯'!$Z$5:$Z$304),"",HYPERLINK("#'4℃飯'!C"&amp;(MATCH(285,'4℃飯'!$Z$5:$Z$304,0)+4),INDEX('4℃飯'!$C$5:$C$304,MATCH(285,'4℃飯'!$Z$5:$Z$304,0))))</f>
        <v/>
      </c>
      <c xmlns="http://schemas.openxmlformats.org/spreadsheetml/2006/main" r="D306" s="18" t="str">
        <f>IF(285&gt;MAX('4℃麵'!$AA$5:$AA$292),"",HYPERLINK("#'4℃麵'!D"&amp;(MATCH(285,'4℃麵'!$AA$5:$AA$292,0)+4),INDEX('4℃麵'!$D$5:$D$292,MATCH(285,'4℃麵'!$AA$5:$AA$292,0))))</f>
        <v/>
      </c>
      <c xmlns="http://schemas.openxmlformats.org/spreadsheetml/2006/main" r="E306" s="18" t="str">
        <f>IF(285&gt;MAX('4℃其他'!$AA$5:$AA$304),"",HYPERLINK("#'4℃其他'!D"&amp;(MATCH(285,'4℃其他'!$AA$5:$AA$304,0)+4),INDEX('4℃其他'!$D$5:$D$304,MATCH(285,'4℃其他'!$AA$5:$AA$304,0))))</f>
        <v/>
      </c>
      <c xmlns="http://schemas.openxmlformats.org/spreadsheetml/2006/main" r="F306" s="18" t="str">
        <f>IF(285&gt;MAX('冷凍品'!$AA$5:$AA$304),"",HYPERLINK("#'冷凍品'!D"&amp;(MATCH(285,'冷凍品'!$AA$5:$AA$304,0)+4),INDEX('冷凍品'!$D$5:$D$304,MATCH(285,'冷凍品'!$AA$5:$AA$304,0))))</f>
        <v/>
      </c>
    </row>
    <row r="307">
      <c xmlns="http://schemas.openxmlformats.org/spreadsheetml/2006/main" r="B307" s="18" t="str">
        <f>IF(286&gt;MAX('18℃'!$Z$5:$Z$304),"",HYPERLINK("#'18℃'!C"&amp;(MATCH(286,'18℃'!$Z$5:$Z$304,0)+4),INDEX('18℃'!$C$5:$C$304,MATCH(286,'18℃'!$Z$5:$Z$304,0))))</f>
        <v/>
      </c>
      <c xmlns="http://schemas.openxmlformats.org/spreadsheetml/2006/main" r="C307" s="18" t="str">
        <f>IF(286&gt;MAX('4℃飯'!$Z$5:$Z$304),"",HYPERLINK("#'4℃飯'!C"&amp;(MATCH(286,'4℃飯'!$Z$5:$Z$304,0)+4),INDEX('4℃飯'!$C$5:$C$304,MATCH(286,'4℃飯'!$Z$5:$Z$304,0))))</f>
        <v/>
      </c>
      <c xmlns="http://schemas.openxmlformats.org/spreadsheetml/2006/main" r="D307" s="18" t="str">
        <f>IF(286&gt;MAX('4℃麵'!$AA$5:$AA$292),"",HYPERLINK("#'4℃麵'!D"&amp;(MATCH(286,'4℃麵'!$AA$5:$AA$292,0)+4),INDEX('4℃麵'!$D$5:$D$292,MATCH(286,'4℃麵'!$AA$5:$AA$292,0))))</f>
        <v/>
      </c>
      <c xmlns="http://schemas.openxmlformats.org/spreadsheetml/2006/main" r="E307" s="18" t="str">
        <f>IF(286&gt;MAX('4℃其他'!$AA$5:$AA$304),"",HYPERLINK("#'4℃其他'!D"&amp;(MATCH(286,'4℃其他'!$AA$5:$AA$304,0)+4),INDEX('4℃其他'!$D$5:$D$304,MATCH(286,'4℃其他'!$AA$5:$AA$304,0))))</f>
        <v/>
      </c>
      <c xmlns="http://schemas.openxmlformats.org/spreadsheetml/2006/main" r="F307" s="18" t="str">
        <f>IF(286&gt;MAX('冷凍品'!$AA$5:$AA$304),"",HYPERLINK("#'冷凍品'!D"&amp;(MATCH(286,'冷凍品'!$AA$5:$AA$304,0)+4),INDEX('冷凍品'!$D$5:$D$304,MATCH(286,'冷凍品'!$AA$5:$AA$304,0))))</f>
        <v/>
      </c>
    </row>
    <row r="308">
      <c xmlns="http://schemas.openxmlformats.org/spreadsheetml/2006/main" r="B308" s="18" t="str">
        <f>IF(287&gt;MAX('18℃'!$Z$5:$Z$304),"",HYPERLINK("#'18℃'!C"&amp;(MATCH(287,'18℃'!$Z$5:$Z$304,0)+4),INDEX('18℃'!$C$5:$C$304,MATCH(287,'18℃'!$Z$5:$Z$304,0))))</f>
        <v/>
      </c>
      <c xmlns="http://schemas.openxmlformats.org/spreadsheetml/2006/main" r="C308" s="18" t="str">
        <f>IF(287&gt;MAX('4℃飯'!$Z$5:$Z$304),"",HYPERLINK("#'4℃飯'!C"&amp;(MATCH(287,'4℃飯'!$Z$5:$Z$304,0)+4),INDEX('4℃飯'!$C$5:$C$304,MATCH(287,'4℃飯'!$Z$5:$Z$304,0))))</f>
        <v/>
      </c>
      <c xmlns="http://schemas.openxmlformats.org/spreadsheetml/2006/main" r="D308" s="18" t="str">
        <f>IF(287&gt;MAX('4℃麵'!$AA$5:$AA$292),"",HYPERLINK("#'4℃麵'!D"&amp;(MATCH(287,'4℃麵'!$AA$5:$AA$292,0)+4),INDEX('4℃麵'!$D$5:$D$292,MATCH(287,'4℃麵'!$AA$5:$AA$292,0))))</f>
        <v/>
      </c>
      <c xmlns="http://schemas.openxmlformats.org/spreadsheetml/2006/main" r="E308" s="18" t="str">
        <f>IF(287&gt;MAX('4℃其他'!$AA$5:$AA$304),"",HYPERLINK("#'4℃其他'!D"&amp;(MATCH(287,'4℃其他'!$AA$5:$AA$304,0)+4),INDEX('4℃其他'!$D$5:$D$304,MATCH(287,'4℃其他'!$AA$5:$AA$304,0))))</f>
        <v/>
      </c>
      <c xmlns="http://schemas.openxmlformats.org/spreadsheetml/2006/main" r="F308" s="18" t="str">
        <f>IF(287&gt;MAX('冷凍品'!$AA$5:$AA$304),"",HYPERLINK("#'冷凍品'!D"&amp;(MATCH(287,'冷凍品'!$AA$5:$AA$304,0)+4),INDEX('冷凍品'!$D$5:$D$304,MATCH(287,'冷凍品'!$AA$5:$AA$304,0))))</f>
        <v/>
      </c>
    </row>
    <row r="309">
      <c xmlns="http://schemas.openxmlformats.org/spreadsheetml/2006/main" r="B309" s="18" t="str">
        <f>IF(288&gt;MAX('18℃'!$Z$5:$Z$304),"",HYPERLINK("#'18℃'!C"&amp;(MATCH(288,'18℃'!$Z$5:$Z$304,0)+4),INDEX('18℃'!$C$5:$C$304,MATCH(288,'18℃'!$Z$5:$Z$304,0))))</f>
        <v/>
      </c>
      <c xmlns="http://schemas.openxmlformats.org/spreadsheetml/2006/main" r="C309" s="18" t="str">
        <f>IF(288&gt;MAX('4℃飯'!$Z$5:$Z$304),"",HYPERLINK("#'4℃飯'!C"&amp;(MATCH(288,'4℃飯'!$Z$5:$Z$304,0)+4),INDEX('4℃飯'!$C$5:$C$304,MATCH(288,'4℃飯'!$Z$5:$Z$304,0))))</f>
        <v/>
      </c>
      <c xmlns="http://schemas.openxmlformats.org/spreadsheetml/2006/main" r="D309" s="18" t="str">
        <f>IF(288&gt;MAX('4℃麵'!$AA$5:$AA$292),"",HYPERLINK("#'4℃麵'!D"&amp;(MATCH(288,'4℃麵'!$AA$5:$AA$292,0)+4),INDEX('4℃麵'!$D$5:$D$292,MATCH(288,'4℃麵'!$AA$5:$AA$292,0))))</f>
        <v/>
      </c>
      <c xmlns="http://schemas.openxmlformats.org/spreadsheetml/2006/main" r="E309" s="18" t="str">
        <f>IF(288&gt;MAX('4℃其他'!$AA$5:$AA$304),"",HYPERLINK("#'4℃其他'!D"&amp;(MATCH(288,'4℃其他'!$AA$5:$AA$304,0)+4),INDEX('4℃其他'!$D$5:$D$304,MATCH(288,'4℃其他'!$AA$5:$AA$304,0))))</f>
        <v/>
      </c>
      <c xmlns="http://schemas.openxmlformats.org/spreadsheetml/2006/main" r="F309" s="18" t="str">
        <f>IF(288&gt;MAX('冷凍品'!$AA$5:$AA$304),"",HYPERLINK("#'冷凍品'!D"&amp;(MATCH(288,'冷凍品'!$AA$5:$AA$304,0)+4),INDEX('冷凍品'!$D$5:$D$304,MATCH(288,'冷凍品'!$AA$5:$AA$304,0))))</f>
        <v/>
      </c>
    </row>
    <row r="310">
      <c xmlns="http://schemas.openxmlformats.org/spreadsheetml/2006/main" r="B310" s="18" t="str">
        <f>IF(289&gt;MAX('18℃'!$Z$5:$Z$304),"",HYPERLINK("#'18℃'!C"&amp;(MATCH(289,'18℃'!$Z$5:$Z$304,0)+4),INDEX('18℃'!$C$5:$C$304,MATCH(289,'18℃'!$Z$5:$Z$304,0))))</f>
        <v/>
      </c>
      <c xmlns="http://schemas.openxmlformats.org/spreadsheetml/2006/main" r="C310" s="18" t="str">
        <f>IF(289&gt;MAX('4℃飯'!$Z$5:$Z$304),"",HYPERLINK("#'4℃飯'!C"&amp;(MATCH(289,'4℃飯'!$Z$5:$Z$304,0)+4),INDEX('4℃飯'!$C$5:$C$304,MATCH(289,'4℃飯'!$Z$5:$Z$304,0))))</f>
        <v/>
      </c>
      <c xmlns="http://schemas.openxmlformats.org/spreadsheetml/2006/main" r="E310" s="18" t="str">
        <f>IF(289&gt;MAX('4℃其他'!$AA$5:$AA$304),"",HYPERLINK("#'4℃其他'!D"&amp;(MATCH(289,'4℃其他'!$AA$5:$AA$304,0)+4),INDEX('4℃其他'!$D$5:$D$304,MATCH(289,'4℃其他'!$AA$5:$AA$304,0))))</f>
        <v/>
      </c>
      <c xmlns="http://schemas.openxmlformats.org/spreadsheetml/2006/main" r="F310" s="18" t="str">
        <f>IF(289&gt;MAX('冷凍品'!$AA$5:$AA$304),"",HYPERLINK("#'冷凍品'!D"&amp;(MATCH(289,'冷凍品'!$AA$5:$AA$304,0)+4),INDEX('冷凍品'!$D$5:$D$304,MATCH(289,'冷凍品'!$AA$5:$AA$304,0))))</f>
        <v/>
      </c>
    </row>
    <row r="311">
      <c xmlns="http://schemas.openxmlformats.org/spreadsheetml/2006/main" r="B311" s="18" t="str">
        <f>IF(290&gt;MAX('18℃'!$Z$5:$Z$304),"",HYPERLINK("#'18℃'!C"&amp;(MATCH(290,'18℃'!$Z$5:$Z$304,0)+4),INDEX('18℃'!$C$5:$C$304,MATCH(290,'18℃'!$Z$5:$Z$304,0))))</f>
        <v/>
      </c>
      <c xmlns="http://schemas.openxmlformats.org/spreadsheetml/2006/main" r="C311" s="18" t="str">
        <f>IF(290&gt;MAX('4℃飯'!$Z$5:$Z$304),"",HYPERLINK("#'4℃飯'!C"&amp;(MATCH(290,'4℃飯'!$Z$5:$Z$304,0)+4),INDEX('4℃飯'!$C$5:$C$304,MATCH(290,'4℃飯'!$Z$5:$Z$304,0))))</f>
        <v/>
      </c>
      <c xmlns="http://schemas.openxmlformats.org/spreadsheetml/2006/main" r="E311" s="18" t="str">
        <f>IF(290&gt;MAX('4℃其他'!$AA$5:$AA$304),"",HYPERLINK("#'4℃其他'!D"&amp;(MATCH(290,'4℃其他'!$AA$5:$AA$304,0)+4),INDEX('4℃其他'!$D$5:$D$304,MATCH(290,'4℃其他'!$AA$5:$AA$304,0))))</f>
        <v/>
      </c>
      <c xmlns="http://schemas.openxmlformats.org/spreadsheetml/2006/main" r="F311" s="18" t="str">
        <f>IF(290&gt;MAX('冷凍品'!$AA$5:$AA$304),"",HYPERLINK("#'冷凍品'!D"&amp;(MATCH(290,'冷凍品'!$AA$5:$AA$304,0)+4),INDEX('冷凍品'!$D$5:$D$304,MATCH(290,'冷凍品'!$AA$5:$AA$304,0))))</f>
        <v/>
      </c>
    </row>
    <row r="312">
      <c xmlns="http://schemas.openxmlformats.org/spreadsheetml/2006/main" r="B312" s="18" t="str">
        <f>IF(291&gt;MAX('18℃'!$Z$5:$Z$304),"",HYPERLINK("#'18℃'!C"&amp;(MATCH(291,'18℃'!$Z$5:$Z$304,0)+4),INDEX('18℃'!$C$5:$C$304,MATCH(291,'18℃'!$Z$5:$Z$304,0))))</f>
        <v/>
      </c>
      <c xmlns="http://schemas.openxmlformats.org/spreadsheetml/2006/main" r="C312" s="18" t="str">
        <f>IF(291&gt;MAX('4℃飯'!$Z$5:$Z$304),"",HYPERLINK("#'4℃飯'!C"&amp;(MATCH(291,'4℃飯'!$Z$5:$Z$304,0)+4),INDEX('4℃飯'!$C$5:$C$304,MATCH(291,'4℃飯'!$Z$5:$Z$304,0))))</f>
        <v/>
      </c>
      <c xmlns="http://schemas.openxmlformats.org/spreadsheetml/2006/main" r="E312" s="18" t="str">
        <f>IF(291&gt;MAX('4℃其他'!$AA$5:$AA$304),"",HYPERLINK("#'4℃其他'!D"&amp;(MATCH(291,'4℃其他'!$AA$5:$AA$304,0)+4),INDEX('4℃其他'!$D$5:$D$304,MATCH(291,'4℃其他'!$AA$5:$AA$304,0))))</f>
        <v/>
      </c>
      <c xmlns="http://schemas.openxmlformats.org/spreadsheetml/2006/main" r="F312" s="18" t="str">
        <f>IF(291&gt;MAX('冷凍品'!$AA$5:$AA$304),"",HYPERLINK("#'冷凍品'!D"&amp;(MATCH(291,'冷凍品'!$AA$5:$AA$304,0)+4),INDEX('冷凍品'!$D$5:$D$304,MATCH(291,'冷凍品'!$AA$5:$AA$304,0))))</f>
        <v/>
      </c>
    </row>
    <row r="313">
      <c xmlns="http://schemas.openxmlformats.org/spreadsheetml/2006/main" r="B313" s="18" t="str">
        <f>IF(292&gt;MAX('18℃'!$Z$5:$Z$304),"",HYPERLINK("#'18℃'!C"&amp;(MATCH(292,'18℃'!$Z$5:$Z$304,0)+4),INDEX('18℃'!$C$5:$C$304,MATCH(292,'18℃'!$Z$5:$Z$304,0))))</f>
        <v/>
      </c>
      <c xmlns="http://schemas.openxmlformats.org/spreadsheetml/2006/main" r="C313" s="18" t="str">
        <f>IF(292&gt;MAX('4℃飯'!$Z$5:$Z$304),"",HYPERLINK("#'4℃飯'!C"&amp;(MATCH(292,'4℃飯'!$Z$5:$Z$304,0)+4),INDEX('4℃飯'!$C$5:$C$304,MATCH(292,'4℃飯'!$Z$5:$Z$304,0))))</f>
        <v/>
      </c>
      <c xmlns="http://schemas.openxmlformats.org/spreadsheetml/2006/main" r="E313" s="18" t="str">
        <f>IF(292&gt;MAX('4℃其他'!$AA$5:$AA$304),"",HYPERLINK("#'4℃其他'!D"&amp;(MATCH(292,'4℃其他'!$AA$5:$AA$304,0)+4),INDEX('4℃其他'!$D$5:$D$304,MATCH(292,'4℃其他'!$AA$5:$AA$304,0))))</f>
        <v/>
      </c>
      <c xmlns="http://schemas.openxmlformats.org/spreadsheetml/2006/main" r="F313" s="18" t="str">
        <f>IF(292&gt;MAX('冷凍品'!$AA$5:$AA$304),"",HYPERLINK("#'冷凍品'!D"&amp;(MATCH(292,'冷凍品'!$AA$5:$AA$304,0)+4),INDEX('冷凍品'!$D$5:$D$304,MATCH(292,'冷凍品'!$AA$5:$AA$304,0))))</f>
        <v/>
      </c>
    </row>
    <row r="314">
      <c xmlns="http://schemas.openxmlformats.org/spreadsheetml/2006/main" r="B314" s="18" t="str">
        <f>IF(293&gt;MAX('18℃'!$Z$5:$Z$304),"",HYPERLINK("#'18℃'!C"&amp;(MATCH(293,'18℃'!$Z$5:$Z$304,0)+4),INDEX('18℃'!$C$5:$C$304,MATCH(293,'18℃'!$Z$5:$Z$304,0))))</f>
        <v/>
      </c>
      <c xmlns="http://schemas.openxmlformats.org/spreadsheetml/2006/main" r="C314" s="18" t="str">
        <f>IF(293&gt;MAX('4℃飯'!$Z$5:$Z$304),"",HYPERLINK("#'4℃飯'!C"&amp;(MATCH(293,'4℃飯'!$Z$5:$Z$304,0)+4),INDEX('4℃飯'!$C$5:$C$304,MATCH(293,'4℃飯'!$Z$5:$Z$304,0))))</f>
        <v/>
      </c>
      <c xmlns="http://schemas.openxmlformats.org/spreadsheetml/2006/main" r="E314" s="18" t="str">
        <f>IF(293&gt;MAX('4℃其他'!$AA$5:$AA$304),"",HYPERLINK("#'4℃其他'!D"&amp;(MATCH(293,'4℃其他'!$AA$5:$AA$304,0)+4),INDEX('4℃其他'!$D$5:$D$304,MATCH(293,'4℃其他'!$AA$5:$AA$304,0))))</f>
        <v/>
      </c>
      <c xmlns="http://schemas.openxmlformats.org/spreadsheetml/2006/main" r="F314" s="18" t="str">
        <f>IF(293&gt;MAX('冷凍品'!$AA$5:$AA$304),"",HYPERLINK("#'冷凍品'!D"&amp;(MATCH(293,'冷凍品'!$AA$5:$AA$304,0)+4),INDEX('冷凍品'!$D$5:$D$304,MATCH(293,'冷凍品'!$AA$5:$AA$304,0))))</f>
        <v/>
      </c>
    </row>
    <row r="315">
      <c xmlns="http://schemas.openxmlformats.org/spreadsheetml/2006/main" r="B315" s="18" t="str">
        <f>IF(294&gt;MAX('18℃'!$Z$5:$Z$304),"",HYPERLINK("#'18℃'!C"&amp;(MATCH(294,'18℃'!$Z$5:$Z$304,0)+4),INDEX('18℃'!$C$5:$C$304,MATCH(294,'18℃'!$Z$5:$Z$304,0))))</f>
        <v/>
      </c>
      <c xmlns="http://schemas.openxmlformats.org/spreadsheetml/2006/main" r="C315" s="18" t="str">
        <f>IF(294&gt;MAX('4℃飯'!$Z$5:$Z$304),"",HYPERLINK("#'4℃飯'!C"&amp;(MATCH(294,'4℃飯'!$Z$5:$Z$304,0)+4),INDEX('4℃飯'!$C$5:$C$304,MATCH(294,'4℃飯'!$Z$5:$Z$304,0))))</f>
        <v/>
      </c>
      <c xmlns="http://schemas.openxmlformats.org/spreadsheetml/2006/main" r="E315" s="18" t="str">
        <f>IF(294&gt;MAX('4℃其他'!$AA$5:$AA$304),"",HYPERLINK("#'4℃其他'!D"&amp;(MATCH(294,'4℃其他'!$AA$5:$AA$304,0)+4),INDEX('4℃其他'!$D$5:$D$304,MATCH(294,'4℃其他'!$AA$5:$AA$304,0))))</f>
        <v/>
      </c>
      <c xmlns="http://schemas.openxmlformats.org/spreadsheetml/2006/main" r="F315" s="18" t="str">
        <f>IF(294&gt;MAX('冷凍品'!$AA$5:$AA$304),"",HYPERLINK("#'冷凍品'!D"&amp;(MATCH(294,'冷凍品'!$AA$5:$AA$304,0)+4),INDEX('冷凍品'!$D$5:$D$304,MATCH(294,'冷凍品'!$AA$5:$AA$304,0))))</f>
        <v/>
      </c>
    </row>
    <row r="316">
      <c xmlns="http://schemas.openxmlformats.org/spreadsheetml/2006/main" r="B316" s="18" t="str">
        <f>IF(295&gt;MAX('18℃'!$Z$5:$Z$304),"",HYPERLINK("#'18℃'!C"&amp;(MATCH(295,'18℃'!$Z$5:$Z$304,0)+4),INDEX('18℃'!$C$5:$C$304,MATCH(295,'18℃'!$Z$5:$Z$304,0))))</f>
        <v/>
      </c>
      <c xmlns="http://schemas.openxmlformats.org/spreadsheetml/2006/main" r="C316" s="18" t="str">
        <f>IF(295&gt;MAX('4℃飯'!$Z$5:$Z$304),"",HYPERLINK("#'4℃飯'!C"&amp;(MATCH(295,'4℃飯'!$Z$5:$Z$304,0)+4),INDEX('4℃飯'!$C$5:$C$304,MATCH(295,'4℃飯'!$Z$5:$Z$304,0))))</f>
        <v/>
      </c>
      <c xmlns="http://schemas.openxmlformats.org/spreadsheetml/2006/main" r="E316" s="18" t="str">
        <f>IF(295&gt;MAX('4℃其他'!$AA$5:$AA$304),"",HYPERLINK("#'4℃其他'!D"&amp;(MATCH(295,'4℃其他'!$AA$5:$AA$304,0)+4),INDEX('4℃其他'!$D$5:$D$304,MATCH(295,'4℃其他'!$AA$5:$AA$304,0))))</f>
        <v/>
      </c>
      <c xmlns="http://schemas.openxmlformats.org/spreadsheetml/2006/main" r="F316" s="18" t="str">
        <f>IF(295&gt;MAX('冷凍品'!$AA$5:$AA$304),"",HYPERLINK("#'冷凍品'!D"&amp;(MATCH(295,'冷凍品'!$AA$5:$AA$304,0)+4),INDEX('冷凍品'!$D$5:$D$304,MATCH(295,'冷凍品'!$AA$5:$AA$304,0))))</f>
        <v/>
      </c>
    </row>
    <row r="317">
      <c xmlns="http://schemas.openxmlformats.org/spreadsheetml/2006/main" r="B317" s="18" t="str">
        <f>IF(296&gt;MAX('18℃'!$Z$5:$Z$304),"",HYPERLINK("#'18℃'!C"&amp;(MATCH(296,'18℃'!$Z$5:$Z$304,0)+4),INDEX('18℃'!$C$5:$C$304,MATCH(296,'18℃'!$Z$5:$Z$304,0))))</f>
        <v/>
      </c>
      <c xmlns="http://schemas.openxmlformats.org/spreadsheetml/2006/main" r="C317" s="18" t="str">
        <f>IF(296&gt;MAX('4℃飯'!$Z$5:$Z$304),"",HYPERLINK("#'4℃飯'!C"&amp;(MATCH(296,'4℃飯'!$Z$5:$Z$304,0)+4),INDEX('4℃飯'!$C$5:$C$304,MATCH(296,'4℃飯'!$Z$5:$Z$304,0))))</f>
        <v/>
      </c>
      <c xmlns="http://schemas.openxmlformats.org/spreadsheetml/2006/main" r="E317" s="18" t="str">
        <f>IF(296&gt;MAX('4℃其他'!$AA$5:$AA$304),"",HYPERLINK("#'4℃其他'!D"&amp;(MATCH(296,'4℃其他'!$AA$5:$AA$304,0)+4),INDEX('4℃其他'!$D$5:$D$304,MATCH(296,'4℃其他'!$AA$5:$AA$304,0))))</f>
        <v/>
      </c>
      <c xmlns="http://schemas.openxmlformats.org/spreadsheetml/2006/main" r="F317" s="18" t="str">
        <f>IF(296&gt;MAX('冷凍品'!$AA$5:$AA$304),"",HYPERLINK("#'冷凍品'!D"&amp;(MATCH(296,'冷凍品'!$AA$5:$AA$304,0)+4),INDEX('冷凍品'!$D$5:$D$304,MATCH(296,'冷凍品'!$AA$5:$AA$304,0))))</f>
        <v/>
      </c>
    </row>
    <row r="318">
      <c xmlns="http://schemas.openxmlformats.org/spreadsheetml/2006/main" r="B318" s="18" t="str">
        <f>IF(297&gt;MAX('18℃'!$Z$5:$Z$304),"",HYPERLINK("#'18℃'!C"&amp;(MATCH(297,'18℃'!$Z$5:$Z$304,0)+4),INDEX('18℃'!$C$5:$C$304,MATCH(297,'18℃'!$Z$5:$Z$304,0))))</f>
        <v/>
      </c>
      <c xmlns="http://schemas.openxmlformats.org/spreadsheetml/2006/main" r="C318" s="18" t="str">
        <f>IF(297&gt;MAX('4℃飯'!$Z$5:$Z$304),"",HYPERLINK("#'4℃飯'!C"&amp;(MATCH(297,'4℃飯'!$Z$5:$Z$304,0)+4),INDEX('4℃飯'!$C$5:$C$304,MATCH(297,'4℃飯'!$Z$5:$Z$304,0))))</f>
        <v/>
      </c>
      <c xmlns="http://schemas.openxmlformats.org/spreadsheetml/2006/main" r="E318" s="18" t="str">
        <f>IF(297&gt;MAX('4℃其他'!$AA$5:$AA$304),"",HYPERLINK("#'4℃其他'!D"&amp;(MATCH(297,'4℃其他'!$AA$5:$AA$304,0)+4),INDEX('4℃其他'!$D$5:$D$304,MATCH(297,'4℃其他'!$AA$5:$AA$304,0))))</f>
        <v/>
      </c>
      <c xmlns="http://schemas.openxmlformats.org/spreadsheetml/2006/main" r="F318" s="18" t="str">
        <f>IF(297&gt;MAX('冷凍品'!$AA$5:$AA$304),"",HYPERLINK("#'冷凍品'!D"&amp;(MATCH(297,'冷凍品'!$AA$5:$AA$304,0)+4),INDEX('冷凍品'!$D$5:$D$304,MATCH(297,'冷凍品'!$AA$5:$AA$304,0))))</f>
        <v/>
      </c>
    </row>
    <row r="319">
      <c xmlns="http://schemas.openxmlformats.org/spreadsheetml/2006/main" r="B319" s="18" t="str">
        <f>IF(298&gt;MAX('18℃'!$Z$5:$Z$304),"",HYPERLINK("#'18℃'!C"&amp;(MATCH(298,'18℃'!$Z$5:$Z$304,0)+4),INDEX('18℃'!$C$5:$C$304,MATCH(298,'18℃'!$Z$5:$Z$304,0))))</f>
        <v/>
      </c>
      <c xmlns="http://schemas.openxmlformats.org/spreadsheetml/2006/main" r="C319" s="18" t="str">
        <f>IF(298&gt;MAX('4℃飯'!$Z$5:$Z$304),"",HYPERLINK("#'4℃飯'!C"&amp;(MATCH(298,'4℃飯'!$Z$5:$Z$304,0)+4),INDEX('4℃飯'!$C$5:$C$304,MATCH(298,'4℃飯'!$Z$5:$Z$304,0))))</f>
        <v/>
      </c>
      <c xmlns="http://schemas.openxmlformats.org/spreadsheetml/2006/main" r="E319" s="18" t="str">
        <f>IF(298&gt;MAX('4℃其他'!$AA$5:$AA$304),"",HYPERLINK("#'4℃其他'!D"&amp;(MATCH(298,'4℃其他'!$AA$5:$AA$304,0)+4),INDEX('4℃其他'!$D$5:$D$304,MATCH(298,'4℃其他'!$AA$5:$AA$304,0))))</f>
        <v/>
      </c>
      <c xmlns="http://schemas.openxmlformats.org/spreadsheetml/2006/main" r="F319" s="18" t="str">
        <f>IF(298&gt;MAX('冷凍品'!$AA$5:$AA$304),"",HYPERLINK("#'冷凍品'!D"&amp;(MATCH(298,'冷凍品'!$AA$5:$AA$304,0)+4),INDEX('冷凍品'!$D$5:$D$304,MATCH(298,'冷凍品'!$AA$5:$AA$304,0))))</f>
        <v/>
      </c>
    </row>
    <row r="320">
      <c xmlns="http://schemas.openxmlformats.org/spreadsheetml/2006/main" r="B320" s="18" t="str">
        <f>IF(299&gt;MAX('18℃'!$Z$5:$Z$304),"",HYPERLINK("#'18℃'!C"&amp;(MATCH(299,'18℃'!$Z$5:$Z$304,0)+4),INDEX('18℃'!$C$5:$C$304,MATCH(299,'18℃'!$Z$5:$Z$304,0))))</f>
        <v/>
      </c>
      <c xmlns="http://schemas.openxmlformats.org/spreadsheetml/2006/main" r="C320" s="18" t="str">
        <f>IF(299&gt;MAX('4℃飯'!$Z$5:$Z$304),"",HYPERLINK("#'4℃飯'!C"&amp;(MATCH(299,'4℃飯'!$Z$5:$Z$304,0)+4),INDEX('4℃飯'!$C$5:$C$304,MATCH(299,'4℃飯'!$Z$5:$Z$304,0))))</f>
        <v/>
      </c>
      <c xmlns="http://schemas.openxmlformats.org/spreadsheetml/2006/main" r="E320" s="18" t="str">
        <f>IF(299&gt;MAX('4℃其他'!$AA$5:$AA$304),"",HYPERLINK("#'4℃其他'!D"&amp;(MATCH(299,'4℃其他'!$AA$5:$AA$304,0)+4),INDEX('4℃其他'!$D$5:$D$304,MATCH(299,'4℃其他'!$AA$5:$AA$304,0))))</f>
        <v/>
      </c>
      <c xmlns="http://schemas.openxmlformats.org/spreadsheetml/2006/main" r="F320" s="18" t="str">
        <f>IF(299&gt;MAX('冷凍品'!$AA$5:$AA$304),"",HYPERLINK("#'冷凍品'!D"&amp;(MATCH(299,'冷凍品'!$AA$5:$AA$304,0)+4),INDEX('冷凍品'!$D$5:$D$304,MATCH(299,'冷凍品'!$AA$5:$AA$304,0))))</f>
        <v/>
      </c>
    </row>
    <row r="321">
      <c xmlns="http://schemas.openxmlformats.org/spreadsheetml/2006/main" r="B321" s="18" t="str">
        <f>IF(300&gt;MAX('18℃'!$Z$5:$Z$304),"",HYPERLINK("#'18℃'!C"&amp;(MATCH(300,'18℃'!$Z$5:$Z$304,0)+4),INDEX('18℃'!$C$5:$C$304,MATCH(300,'18℃'!$Z$5:$Z$304,0))))</f>
        <v/>
      </c>
      <c xmlns="http://schemas.openxmlformats.org/spreadsheetml/2006/main" r="C321" s="18" t="str">
        <f>IF(300&gt;MAX('4℃飯'!$Z$5:$Z$304),"",HYPERLINK("#'4℃飯'!C"&amp;(MATCH(300,'4℃飯'!$Z$5:$Z$304,0)+4),INDEX('4℃飯'!$C$5:$C$304,MATCH(300,'4℃飯'!$Z$5:$Z$304,0))))</f>
        <v/>
      </c>
      <c xmlns="http://schemas.openxmlformats.org/spreadsheetml/2006/main" r="E321" s="18" t="str">
        <f>IF(300&gt;MAX('4℃其他'!$AA$5:$AA$304),"",HYPERLINK("#'4℃其他'!D"&amp;(MATCH(300,'4℃其他'!$AA$5:$AA$304,0)+4),INDEX('4℃其他'!$D$5:$D$304,MATCH(300,'4℃其他'!$AA$5:$AA$304,0))))</f>
        <v/>
      </c>
      <c xmlns="http://schemas.openxmlformats.org/spreadsheetml/2006/main" r="F321" s="18" t="str">
        <f>IF(300&gt;MAX('冷凍品'!$AA$5:$AA$304),"",HYPERLINK("#'冷凍品'!D"&amp;(MATCH(300,'冷凍品'!$AA$5:$AA$304,0)+4),INDEX('冷凍品'!$D$5:$D$304,MATCH(300,'冷凍品'!$AA$5:$AA$304,0))))</f>
        <v/>
      </c>
    </row>
  </sheetData>
  <mergeCells count="1">
    <mergeCell ref="B1:F1"/>
  </mergeCells>
  <phoneticPr fontId="26" type="noConversion"/>
  <dataValidations count="1">
    <dataValidation type="list" allowBlank="1" sqref="C4">
      <formula1>"大溪,新豐,長家,晉欣"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showGridLines="0" zoomScale="145" zoomScaleNormal="145" workbookViewId="0">
      <selection activeCell="G5" sqref="G5"/>
    </sheetView>
  </sheetViews>
  <sheetFormatPr defaultColWidth="8.6328125" defaultRowHeight="14.5"/>
  <cols>
    <col min="1" max="1" width="3" customWidth="1"/>
    <col min="2" max="2" width="24" customWidth="1"/>
    <col min="3" max="3" width="95" customWidth="1"/>
  </cols>
  <sheetData>
    <row r="2" spans="2:3" ht="20.5">
      <c r="B2" s="43" t="s">
        <v>27</v>
      </c>
      <c r="C2" s="44"/>
    </row>
    <row r="3" spans="2:3">
      <c r="B3" s="44"/>
      <c r="C3" s="44"/>
    </row>
    <row r="4" spans="2:3" ht="30" customHeight="1">
      <c r="B4" s="45" t="s">
        <v>28</v>
      </c>
      <c r="C4" s="46" t="s">
        <v>29</v>
      </c>
    </row>
    <row r="5" spans="2:3" ht="18" customHeight="1">
      <c r="B5" s="45"/>
      <c r="C5" s="46"/>
    </row>
    <row r="6" spans="2:3" ht="30" customHeight="1">
      <c r="B6" s="45" t="s">
        <v>30</v>
      </c>
      <c xmlns="http://schemas.openxmlformats.org/spreadsheetml/2006/main" r="C6" s="46" t="inlineStr">
        <is>
          <t>「總覽」可點商品名稱跳至明細；五個溫層分頁填寫半成品與設備。「設備應用統計」自動彙總，僅藍字門檻可調整。</t>
        </is>
      </c>
    </row>
    <row r="7" spans="2:3" ht="30" customHeight="1">
      <c r="B7" s="45" t="s">
        <v>31</v>
      </c>
      <c r="C7" s="46" t="s">
        <v>110</v>
      </c>
    </row>
    <row r="8" spans="2:3" ht="18" customHeight="1">
      <c r="B8" s="45"/>
      <c r="C8" s="46"/>
    </row>
    <row r="9" spans="2:3" ht="18" customHeight="1">
      <c r="B9" s="45" t="s">
        <v>111</v>
      </c>
      <c r="C9" s="46" t="s">
        <v>108</v>
      </c>
    </row>
    <row r="10" spans="2:3" ht="30" customHeight="1">
      <c r="B10" s="45" t="s">
        <v>112</v>
      </c>
      <c r="C10" s="46" t="s">
        <v>113</v>
      </c>
    </row>
    <row r="11" spans="2:3" ht="30" customHeight="1">
      <c r="B11" s="45" t="s">
        <v>114</v>
      </c>
      <c xmlns="http://schemas.openxmlformats.org/spreadsheetml/2006/main" r="C11" s="46" t="inlineStr">
        <is>
          <t>有使用調理設備時，在該設備欄下拉選「V」。完全不經調理時，僅於「無使用調理設備」選「V」，不可同時勾選。</t>
        </is>
      </c>
    </row>
    <row r="12" spans="2:3" ht="30" customHeight="1">
      <c r="B12" s="45" t="s">
        <v>116</v>
      </c>
      <c r="C12" s="46" t="s">
        <v>117</v>
      </c>
    </row>
    <row r="13" spans="2:3" ht="30" customHeight="1">
      <c r="B13" s="45" t="s">
        <v>118</v>
      </c>
      <c xmlns="http://schemas.openxmlformats.org/spreadsheetml/2006/main" r="C13" s="46" t="inlineStr">
        <is>
          <t>每列須填「建檔人員」，作為資料追溯窗口。「備註」請註記指示書編號與版本日期，依各分頁欄名填寫。</t>
        </is>
      </c>
    </row>
    <row r="14" spans="2:3" ht="18" customHeight="1">
      <c r="B14" s="45" t="s">
        <v>120</v>
      </c>
      <c xmlns="http://schemas.openxmlformats.org/spreadsheetml/2006/main" r="C14" s="46" t="inlineStr">
        <is>
          <t>最右側「系統用」隱藏欄自動計算商品目錄與品項數，請勿貼上數值或手動修改。</t>
        </is>
      </c>
    </row>
    <row r="15" spans="2:3" ht="18" customHeight="1">
      <c r="B15" s="45"/>
      <c r="C15" s="46"/>
    </row>
    <row r="16" spans="2:3" ht="18" customHeight="1">
      <c r="B16" s="45" t="s">
        <v>32</v>
      </c>
      <c r="C16" s="46" t="s">
        <v>122</v>
      </c>
    </row>
    <row r="17" spans="2:3" ht="30" customHeight="1">
      <c r="B17" s="45" t="s">
        <v>33</v>
      </c>
      <c r="C17" s="46" t="s">
        <v>123</v>
      </c>
    </row>
    <row r="18" spans="2:3" ht="18" customHeight="1">
      <c r="B18" s="45" t="s">
        <v>34</v>
      </c>
      <c r="C18" s="46" t="s">
        <v>35</v>
      </c>
    </row>
    <row r="19" spans="2:3" ht="18" customHeight="1">
      <c r="B19" s="45" t="s">
        <v>36</v>
      </c>
      <c r="C19" s="46" t="s">
        <v>124</v>
      </c>
    </row>
    <row r="20" spans="2:3" ht="18" customHeight="1">
      <c r="B20" s="45" t="s">
        <v>37</v>
      </c>
      <c r="C20" s="46" t="s">
        <v>38</v>
      </c>
    </row>
    <row r="21" spans="2:3" ht="30" customHeight="1">
      <c r="B21" s="45" t="s">
        <v>39</v>
      </c>
      <c r="C21" s="46" t="s">
        <v>125</v>
      </c>
    </row>
    <row r="22" spans="2:3" ht="18" customHeight="1">
      <c r="B22" s="45"/>
      <c r="C22" s="46"/>
    </row>
    <row r="23" spans="2:3" ht="30" customHeight="1">
      <c r="B23" s="45" t="s">
        <v>40</v>
      </c>
      <c r="C23" s="46" t="s">
        <v>41</v>
      </c>
    </row>
    <row r="25" ht="32" customHeight="1">
      <c xmlns="http://schemas.openxmlformats.org/spreadsheetml/2006/main" r="B25" s="63" t="inlineStr">
        <is>
          <t>自動資料檢查</t>
        </is>
      </c>
      <c xmlns="http://schemas.openxmlformats.org/spreadsheetml/2006/main" r="C25" s="64" t="inlineStr">
        <is>
          <t>以下以已填商品或半成品的資料列檢查。數量按明細列計，同一商品可有多列。</t>
        </is>
      </c>
    </row>
    <row r="26" ht="32" customHeight="1">
      <c xmlns="http://schemas.openxmlformats.org/spreadsheetml/2006/main" r="B26" s="65" t="inlineStr">
        <is>
          <t>狀態未填（列）</t>
        </is>
      </c>
      <c xmlns="http://schemas.openxmlformats.org/spreadsheetml/2006/main" r="C26" s="62">
        <f>SUM(COUNTIFS('4℃麵'!$D$5:$D$292,"&lt;&gt;",'4℃麵'!$A$5:$A$292,""),COUNTIFS('4℃其他'!$D$5:$D$304,"&lt;&gt;",'4℃其他'!$A$5:$A$304,""),COUNTIFS('冷凍品'!$D$5:$D$304,"&lt;&gt;",'冷凍品'!$A$5:$A$304,""))</f>
        <v>0.0</v>
      </c>
    </row>
    <row r="27" ht="32" customHeight="1">
      <c xmlns="http://schemas.openxmlformats.org/spreadsheetml/2006/main" r="B27" s="65" t="inlineStr">
        <is>
          <t>半成品名稱未填（列）</t>
        </is>
      </c>
      <c xmlns="http://schemas.openxmlformats.org/spreadsheetml/2006/main" r="C27" s="62">
        <f>SUM(COUNTIFS('18℃'!$C$5:$C$304,"&lt;&gt;",'18℃'!$D$5:$D$304,""),COUNTIFS('4℃飯'!$C$5:$C$304,"&lt;&gt;",'4℃飯'!$D$5:$D$304,""),COUNTIFS('4℃麵'!$D$5:$D$292,"&lt;&gt;",'4℃麵'!$E$5:$E$292,""),COUNTIFS('4℃其他'!$D$5:$D$304,"&lt;&gt;",'4℃其他'!$E$5:$E$304,""),COUNTIFS('冷凍品'!$D$5:$D$304,"&lt;&gt;",'冷凍品'!$E$5:$E$304,""))</f>
        <v>0.0</v>
      </c>
    </row>
    <row r="28" ht="32" customHeight="1">
      <c xmlns="http://schemas.openxmlformats.org/spreadsheetml/2006/main" r="B28" s="65" t="inlineStr">
        <is>
          <t>設備未勾選（列）</t>
        </is>
      </c>
      <c xmlns="http://schemas.openxmlformats.org/spreadsheetml/2006/main" r="C28" s="62">
        <f>SUM(COUNTIF('18℃'!$U$5:$U$304,"⚠ 資料缺漏"),COUNTIF('4℃飯'!$U$5:$U$304,"⚠ 資料缺漏"),COUNTIF('4℃麵'!$V$5:$V$292,"⚠ 資料缺漏"),COUNTIF('4℃其他'!$V$5:$V$304,"⚠ 資料缺漏"),COUNTIF('冷凍品'!$V$5:$V$304,"⚠ 資料缺漏"))</f>
        <v>0.0</v>
      </c>
    </row>
    <row r="29" ht="32" customHeight="1">
      <c xmlns="http://schemas.openxmlformats.org/spreadsheetml/2006/main" r="B29" s="65" t="inlineStr">
        <is>
          <t>設備勾選矛盾（列）</t>
        </is>
      </c>
      <c xmlns="http://schemas.openxmlformats.org/spreadsheetml/2006/main" r="C29" s="62">
        <f>SUM(COUNTIF('18℃'!$U$5:$U$304,"⚠ 勾選矛盾"),COUNTIF('4℃飯'!$U$5:$U$304,"⚠ 勾選矛盾"),COUNTIF('4℃麵'!$V$5:$V$292,"⚠ 勾選矛盾"),COUNTIF('4℃其他'!$V$5:$V$304,"⚠ 勾選矛盾"),COUNTIF('冷凍品'!$V$5:$V$304,"⚠ 勾選矛盾"))</f>
        <v>0.0</v>
      </c>
    </row>
    <row r="30" ht="32" customHeight="1">
      <c xmlns="http://schemas.openxmlformats.org/spreadsheetml/2006/main" r="B30" s="65" t="inlineStr">
        <is>
          <t>建檔人員未填（列）</t>
        </is>
      </c>
      <c xmlns="http://schemas.openxmlformats.org/spreadsheetml/2006/main" r="C30" s="62">
        <f>SUM(COUNTIFS('18℃'!$D$5:$D$304,"&lt;&gt;",'18℃'!$X$5:$X$304,""),COUNTIFS('4℃飯'!$D$5:$D$304,"&lt;&gt;",'4℃飯'!$X$5:$X$304,""),COUNTIFS('4℃麵'!$E$5:$E$292,"&lt;&gt;",'4℃麵'!$Y$5:$Y$292,""),COUNTIFS('4℃其他'!$E$5:$E$304,"&lt;&gt;",'4℃其他'!$Y$5:$Y$304,""),COUNTIFS('冷凍品'!$E$5:$E$304,"&lt;&gt;",'冷凍品'!$Y$5:$Y$304,""))</f>
        <v>140.0</v>
      </c>
    </row>
    <row r="31" ht="32" customHeight="1">
      <c xmlns="http://schemas.openxmlformats.org/spreadsheetml/2006/main" r="B31" s="65" t="inlineStr">
        <is>
          <t>工廠不符或未填（列）</t>
        </is>
      </c>
      <c xmlns="http://schemas.openxmlformats.org/spreadsheetml/2006/main" r="C31" s="62">
        <f>SUM(COUNTIFS('18℃'!$D$5:$D$304,"&lt;&gt;",'18℃'!$A$5:$A$304,"&lt;&gt;長家"),COUNTIFS('4℃飯'!$D$5:$D$304,"&lt;&gt;",'4℃飯'!$A$5:$A$304,"&lt;&gt;長家"),COUNTIFS('4℃麵'!$E$5:$E$292,"&lt;&gt;",'4℃麵'!$B$5:$B$292,"&lt;&gt;長家"),COUNTIFS('4℃其他'!$E$5:$E$304,"&lt;&gt;",'4℃其他'!$B$5:$B$304,"&lt;&gt;長家"),COUNTIFS('冷凍品'!$E$5:$E$304,"&lt;&gt;",'冷凍品'!$B$5:$B$304,"&lt;&gt;長家"))</f>
        <v>0.0</v>
      </c>
    </row>
    <row r="32" ht="32" customHeight="1">
      <c xmlns="http://schemas.openxmlformats.org/spreadsheetml/2006/main" r="B32" s="65" t="inlineStr">
        <is>
          <t>用量有值但單位未填（列）</t>
        </is>
      </c>
      <c xmlns="http://schemas.openxmlformats.org/spreadsheetml/2006/main" r="C32" s="62">
        <f>SUM(COUNTIFS('18℃'!$D$5:$D$304,"&lt;&gt;",'18℃'!$E$5:$E$304,"&lt;&gt;",'18℃'!$F$5:$F$304,""),COUNTIFS('4℃飯'!$D$5:$D$304,"&lt;&gt;",'4℃飯'!$E$5:$E$304,"&lt;&gt;",'4℃飯'!$F$5:$F$304,""),COUNTIFS('4℃麵'!$E$5:$E$292,"&lt;&gt;",'4℃麵'!$F$5:$F$292,"&lt;&gt;",'4℃麵'!$G$5:$G$292,""),COUNTIFS('4℃其他'!$E$5:$E$304,"&lt;&gt;",'4℃其他'!$F$5:$F$304,"&lt;&gt;",'4℃其他'!$G$5:$G$304,""),COUNTIFS('冷凍品'!$E$5:$E$304,"&lt;&gt;",'冷凍品'!$F$5:$F$304,"&lt;&gt;",'冷凍品'!$G$5:$G$304,""))</f>
        <v>0.0</v>
      </c>
    </row>
    <row r="34" ht="32" customHeight="1">
      <c xmlns="http://schemas.openxmlformats.org/spreadsheetml/2006/main" r="B34" s="65" t="inlineStr">
        <is>
          <t>狀態判定基準</t>
        </is>
      </c>
      <c xmlns="http://schemas.openxmlformats.org/spreadsheetml/2006/main" r="C34" s="66" t="inlineStr">
        <is>
          <t>本次已確認狀態依2026/10/14訂單與逐項確認結果。未上市商品保留待上架。後續更新需先確認訂單日期。</t>
        </is>
      </c>
    </row>
    <row r="35" ht="32" customHeight="1">
      <c xmlns="http://schemas.openxmlformats.org/spreadsheetml/2006/main" r="B35" s="65" t="inlineStr">
        <is>
          <t>篩選與色彩</t>
        </is>
      </c>
      <c xmlns="http://schemas.openxmlformats.org/spreadsheetml/2006/main" r="C35" s="66" t="inlineStr">
        <is>
          <t>狀態欄可篩選架上、下架、待上架。橘色表示狀態漏填或同商品不一致；淡黃表示建檔人員或單位待補。</t>
        </is>
      </c>
    </row>
    <row r="36" ht="32" customHeight="1">
      <c xmlns="http://schemas.openxmlformats.org/spreadsheetml/2006/main" r="B36" s="65" t="inlineStr">
        <is>
          <t>批次更新同一商品</t>
        </is>
      </c>
      <c xmlns="http://schemas.openxmlformats.org/spreadsheetml/2006/main" r="C36" s="66" t="inlineStr">
        <is>
          <t>先用商品名稱篩選，選取該商品可見的狀態儲存格，按 Alt+; 僅選可見儲存格，輸入狀態後按 Ctrl+Enter。</t>
        </is>
      </c>
    </row>
    <row r="37" ht="32" customHeight="1">
      <c xmlns="http://schemas.openxmlformats.org/spreadsheetml/2006/main" r="B37" s="65" t="inlineStr">
        <is>
          <t>新增商品或半成品</t>
        </is>
      </c>
      <c xmlns="http://schemas.openxmlformats.org/spreadsheetml/2006/main" r="C37" s="66" t="inlineStr">
        <is>
          <t>請在現有表格範圍內插入整列，再複製相鄰整列的格式、公式與選單，清除輸入資料後填寫新內容。</t>
        </is>
      </c>
    </row>
    <row r="38" ht="32" customHeight="1">
      <c xmlns="http://schemas.openxmlformats.org/spreadsheetml/2006/main" r="B38" s="65" t="inlineStr">
        <is>
          <t>保留未確認內容</t>
        </is>
      </c>
      <c xmlns="http://schemas.openxmlformats.org/spreadsheetml/2006/main" r="C38" s="66" t="inlineStr">
        <is>
          <t>未有依據的建檔人員、用量與單位不代填。未設狀態欄的分頁不納入狀態漏填檢查，既有「-」保留待確認。</t>
        </is>
      </c>
    </row>
  </sheetData>
  <phoneticPr fontId="26" type="noConversion"/>
  <conditionalFormatting xmlns="http://schemas.openxmlformats.org/spreadsheetml/2006/main" sqref="C26:C32">
    <cfRule type="cellIs" dxfId="34" priority="1" operator="greaterThan" stopIfTrue="1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7B4"/>
  </sheetPr>
  <dimension ref="A1:Z304"/>
  <sheetViews xmlns="http://schemas.openxmlformats.org/spreadsheetml/2006/main">
    <sheetView showGridLines="0" zoomScaleNormal="100" workbookViewId="0" topLeftCell="A1">
      <pane xSplit="4" ySplit="4" topLeftCell="E5" activePane="bottomRight" state="frozen"/>
      <selection pane="bottomRight" activeCell="E5" sqref="E5"/>
    </sheetView>
  </sheetViews>
  <sheetFormatPr defaultColWidth="8.6328125" defaultRowHeight="14.5"/>
  <cols xmlns="http://schemas.openxmlformats.org/spreadsheetml/2006/main">
    <col min="1" max="1" width="9" customWidth="1"/>
    <col min="2" max="2" width="12" customWidth="1"/>
    <col min="3" max="3" width="22" customWidth="1"/>
    <col min="4" max="4" width="26" customWidth="1"/>
    <col min="5" max="6" width="8" customWidth="1"/>
    <col min="7" max="7" width="9" customWidth="1"/>
    <col min="8" max="18" width="7" customWidth="1"/>
    <col min="19" max="19" width="9" customWidth="1"/>
    <col min="20" max="20" width="7" customWidth="1"/>
    <col min="21" max="21" width="13" customWidth="1"/>
    <col min="22" max="22" width="30" customWidth="1"/>
    <col min="23" max="23" width="20" customWidth="1"/>
    <col min="24" max="24" width="12" customWidth="1"/>
    <col min="25" max="25" width="13" hidden="1" customWidth="1"/>
    <col min="26" max="26" width="13" hidden="1" customWidth="1"/>
  </cols>
  <sheetData>
    <row r="1" spans="1:26" ht="30" customHeight="1">
      <c r="A1" s="52" t="s">
        <v>42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spans="1:26" ht="19.5" customHeight="1">
      <c r="A2" s="53" t="s">
        <v>43</v>
      </c>
      <c r="B2" s="53"/>
      <c r="C2" s="53"/>
      <c r="D2" s="53"/>
      <c r="E2" s="53"/>
      <c r="F2" s="53"/>
      <c r="G2" s="53"/>
      <c r="H2" s="53" t="s">
        <v>44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 t="s">
        <v>45</v>
      </c>
      <c r="U2" s="53"/>
      <c r="V2" s="53"/>
      <c r="W2" s="53" t="s">
        <v>46</v>
      </c>
      <c r="X2" s="53"/>
    </row>
    <row r="3" spans="1:26" ht="24" customHeight="1">
      <c r="A3" s="48" t="s">
        <v>47</v>
      </c>
      <c r="B3" s="48" t="s">
        <v>48</v>
      </c>
      <c r="C3" s="48" t="s">
        <v>49</v>
      </c>
      <c r="D3" s="48" t="s">
        <v>50</v>
      </c>
      <c r="E3" s="51" t="s">
        <v>51</v>
      </c>
      <c r="F3" s="51"/>
      <c r="G3" s="48" t="s">
        <v>52</v>
      </c>
      <c r="H3" s="49" t="s">
        <v>53</v>
      </c>
      <c r="I3" s="49" t="s">
        <v>54</v>
      </c>
      <c r="J3" s="49" t="s">
        <v>55</v>
      </c>
      <c r="K3" s="49" t="s">
        <v>56</v>
      </c>
      <c r="L3" s="49" t="s">
        <v>57</v>
      </c>
      <c r="M3" s="49" t="s">
        <v>58</v>
      </c>
      <c r="N3" s="49" t="s">
        <v>59</v>
      </c>
      <c r="O3" s="49" t="s">
        <v>60</v>
      </c>
      <c r="P3" s="49" t="s">
        <v>61</v>
      </c>
      <c r="Q3" s="49" t="s">
        <v>62</v>
      </c>
      <c r="R3" s="49" t="s">
        <v>63</v>
      </c>
      <c r="S3" s="50" t="s">
        <v>64</v>
      </c>
      <c r="T3" s="48" t="s">
        <v>65</v>
      </c>
      <c r="U3" s="48" t="s">
        <v>66</v>
      </c>
      <c r="V3" s="48" t="s">
        <v>67</v>
      </c>
      <c r="W3" s="48" t="s">
        <v>68</v>
      </c>
      <c r="X3" s="48" t="s">
        <v>69</v>
      </c>
      <c r="Y3" s="20" t="s">
        <v>70</v>
      </c>
      <c r="Z3" s="20" t="s">
        <v>71</v>
      </c>
    </row>
    <row r="4" spans="1:26" ht="18" customHeight="1">
      <c r="A4" s="48"/>
      <c r="B4" s="48"/>
      <c r="C4" s="48"/>
      <c r="D4" s="48"/>
      <c r="E4" s="21" t="s">
        <v>72</v>
      </c>
      <c r="F4" s="21" t="s">
        <v>73</v>
      </c>
      <c r="G4" s="48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48"/>
      <c r="U4" s="48"/>
      <c r="V4" s="48"/>
      <c r="W4" s="48"/>
      <c r="X4" s="48"/>
    </row>
    <row r="5" spans="1:26">
      <c r="A5" s="22"/>
      <c r="B5" s="22"/>
      <c r="C5" s="22"/>
      <c r="D5" s="22"/>
      <c r="E5" s="23"/>
      <c r="F5" s="23"/>
      <c r="G5" s="2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xmlns="http://schemas.openxmlformats.org/spreadsheetml/2006/main" r="T5" s="23" t="str">
        <f t="shared" ref="T5:T68" si="0">IF($D5="","",COUNTIF($H5:$R5,"V"))</f>
        <v/>
      </c>
      <c xmlns="http://schemas.openxmlformats.org/spreadsheetml/2006/main" r="U5" s="22" t="str">
        <f t="shared" ref="U5:U68" si="1">IF($D5="","",IF(AND($S5="V",$T5&gt;0),"⚠ 勾選矛盾",IF($S5="V","○ 免調理",IF($T5=0,"⚠ 資料缺漏",IF($T5=1,"▲ 單一設備依賴","OK")))))</f>
        <v/>
      </c>
      <c xmlns="http://schemas.openxmlformats.org/spreadsheetml/2006/main" r="V5" s="18" t="str">
        <f t="shared" ref="V5:V68" si="2">IF($D5="","",IF(AND($S5="V",$T5&gt;0),"「無使用調理設備」不可與設備欄同時勾選，請擇一修正",IF($S5="V","免調理半成品（外購/僅切配等），不列入設備風險評估",IF($T5=0,"未勾選任何設備，請補填或勾選「無使用調理設備」",IF($T5=1,"僅依賴1台設備，須確認故障/排修時之備援製程","無異常")))))</f>
        <v/>
      </c>
      <c r="W5" s="22" t="s">
        <v>107</v>
      </c>
      <c r="X5" s="27" t="s">
        <v>77</v>
      </c>
      <c xmlns="http://schemas.openxmlformats.org/spreadsheetml/2006/main" r="Y5">
        <f>IF($C5="",0,IF(COUNTIF($C$5:$C5,$C5)=1,1,0))</f>
        <v>0.0</v>
      </c>
      <c xmlns="http://schemas.openxmlformats.org/spreadsheetml/2006/main" r="Z5" t="str">
        <f>IF(Y5=1,SUM($Y$5:$Y5),"")</f>
        <v/>
      </c>
    </row>
    <row r="6" spans="1:26">
      <c r="A6" s="22"/>
      <c r="B6" s="22"/>
      <c r="C6" s="22"/>
      <c r="D6" s="22"/>
      <c r="E6" s="23"/>
      <c r="F6" s="23"/>
      <c r="G6" s="24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6"/>
      <c xmlns="http://schemas.openxmlformats.org/spreadsheetml/2006/main" r="T6" s="23" t="str">
        <f t="shared" si="0"/>
        <v/>
      </c>
      <c xmlns="http://schemas.openxmlformats.org/spreadsheetml/2006/main" r="U6" s="22" t="str">
        <f t="shared" si="1"/>
        <v/>
      </c>
      <c xmlns="http://schemas.openxmlformats.org/spreadsheetml/2006/main" r="V6" s="18" t="str">
        <f t="shared" si="2"/>
        <v/>
      </c>
      <c r="W6" s="22" t="s">
        <v>107</v>
      </c>
      <c r="X6" s="27" t="s">
        <v>77</v>
      </c>
      <c xmlns="http://schemas.openxmlformats.org/spreadsheetml/2006/main" r="Y6">
        <f>IF($C6="",0,IF(COUNTIF($C$5:$C6,$C6)=1,1,0))</f>
        <v>0.0</v>
      </c>
      <c xmlns="http://schemas.openxmlformats.org/spreadsheetml/2006/main" r="Z6" t="str">
        <f>IF(Y6=1,SUM($Y$5:$Y6),"")</f>
        <v/>
      </c>
    </row>
    <row r="7" spans="1:26">
      <c r="A7" s="22"/>
      <c r="B7" s="22"/>
      <c r="C7" s="22"/>
      <c r="D7" s="22"/>
      <c r="E7" s="23"/>
      <c r="F7" s="23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6"/>
      <c xmlns="http://schemas.openxmlformats.org/spreadsheetml/2006/main" r="T7" s="23" t="str">
        <f t="shared" si="0"/>
        <v/>
      </c>
      <c xmlns="http://schemas.openxmlformats.org/spreadsheetml/2006/main" r="U7" s="22" t="str">
        <f t="shared" si="1"/>
        <v/>
      </c>
      <c xmlns="http://schemas.openxmlformats.org/spreadsheetml/2006/main" r="V7" s="18" t="str">
        <f t="shared" si="2"/>
        <v/>
      </c>
      <c r="W7" s="22"/>
      <c r="X7" s="22"/>
      <c xmlns="http://schemas.openxmlformats.org/spreadsheetml/2006/main" r="Y7">
        <f>IF($C7="",0,IF(COUNTIF($C$5:$C7,$C7)=1,1,0))</f>
        <v>0.0</v>
      </c>
      <c xmlns="http://schemas.openxmlformats.org/spreadsheetml/2006/main" r="Z7" t="str">
        <f>IF(Y7=1,SUM($Y$5:$Y7),"")</f>
        <v/>
      </c>
    </row>
    <row r="8" spans="1:26">
      <c r="A8" s="22"/>
      <c r="B8" s="22"/>
      <c r="C8" s="22"/>
      <c r="D8" s="22"/>
      <c r="E8" s="23"/>
      <c r="F8" s="23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xmlns="http://schemas.openxmlformats.org/spreadsheetml/2006/main" r="T8" s="23" t="str">
        <f t="shared" si="0"/>
        <v/>
      </c>
      <c xmlns="http://schemas.openxmlformats.org/spreadsheetml/2006/main" r="U8" s="22" t="str">
        <f t="shared" si="1"/>
        <v/>
      </c>
      <c xmlns="http://schemas.openxmlformats.org/spreadsheetml/2006/main" r="V8" s="18" t="str">
        <f t="shared" si="2"/>
        <v/>
      </c>
      <c r="W8" s="22"/>
      <c r="X8" s="22"/>
      <c xmlns="http://schemas.openxmlformats.org/spreadsheetml/2006/main" r="Y8">
        <f>IF($C8="",0,IF(COUNTIF($C$5:$C8,$C8)=1,1,0))</f>
        <v>0.0</v>
      </c>
      <c xmlns="http://schemas.openxmlformats.org/spreadsheetml/2006/main" r="Z8" t="str">
        <f>IF(Y8=1,SUM($Y$5:$Y8),"")</f>
        <v/>
      </c>
    </row>
    <row r="9" spans="1:26">
      <c r="A9" s="22"/>
      <c r="B9" s="22"/>
      <c r="C9" s="22"/>
      <c r="D9" s="22"/>
      <c r="E9" s="23"/>
      <c r="F9" s="23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6"/>
      <c xmlns="http://schemas.openxmlformats.org/spreadsheetml/2006/main" r="T9" s="23" t="str">
        <f t="shared" si="0"/>
        <v/>
      </c>
      <c xmlns="http://schemas.openxmlformats.org/spreadsheetml/2006/main" r="U9" s="22" t="str">
        <f t="shared" si="1"/>
        <v/>
      </c>
      <c xmlns="http://schemas.openxmlformats.org/spreadsheetml/2006/main" r="V9" s="18" t="str">
        <f t="shared" si="2"/>
        <v/>
      </c>
      <c r="W9" s="22"/>
      <c r="X9" s="22"/>
      <c xmlns="http://schemas.openxmlformats.org/spreadsheetml/2006/main" r="Y9">
        <f>IF($C9="",0,IF(COUNTIF($C$5:$C9,$C9)=1,1,0))</f>
        <v>0.0</v>
      </c>
      <c xmlns="http://schemas.openxmlformats.org/spreadsheetml/2006/main" r="Z9" t="str">
        <f>IF(Y9=1,SUM($Y$5:$Y9),"")</f>
        <v/>
      </c>
    </row>
    <row r="10" spans="1:26">
      <c r="A10" s="22"/>
      <c r="B10" s="22"/>
      <c r="C10" s="22"/>
      <c r="D10" s="22"/>
      <c r="E10" s="23"/>
      <c r="F10" s="23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  <c xmlns="http://schemas.openxmlformats.org/spreadsheetml/2006/main" r="T10" s="23" t="str">
        <f t="shared" si="0"/>
        <v/>
      </c>
      <c xmlns="http://schemas.openxmlformats.org/spreadsheetml/2006/main" r="U10" s="22" t="str">
        <f t="shared" si="1"/>
        <v/>
      </c>
      <c xmlns="http://schemas.openxmlformats.org/spreadsheetml/2006/main" r="V10" s="18" t="str">
        <f t="shared" si="2"/>
        <v/>
      </c>
      <c r="W10" s="22"/>
      <c r="X10" s="22"/>
      <c xmlns="http://schemas.openxmlformats.org/spreadsheetml/2006/main" r="Y10">
        <f>IF($C10="",0,IF(COUNTIF($C$5:$C10,$C10)=1,1,0))</f>
        <v>0.0</v>
      </c>
      <c xmlns="http://schemas.openxmlformats.org/spreadsheetml/2006/main" r="Z10" t="str">
        <f>IF(Y10=1,SUM($Y$5:$Y10),"")</f>
        <v/>
      </c>
    </row>
    <row r="11" spans="1:26">
      <c r="A11" s="22"/>
      <c r="B11" s="22"/>
      <c r="C11" s="22"/>
      <c r="D11" s="22"/>
      <c r="E11" s="23"/>
      <c r="F11" s="23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6"/>
      <c xmlns="http://schemas.openxmlformats.org/spreadsheetml/2006/main" r="T11" s="23" t="str">
        <f t="shared" si="0"/>
        <v/>
      </c>
      <c xmlns="http://schemas.openxmlformats.org/spreadsheetml/2006/main" r="U11" s="22" t="str">
        <f t="shared" si="1"/>
        <v/>
      </c>
      <c xmlns="http://schemas.openxmlformats.org/spreadsheetml/2006/main" r="V11" s="18" t="str">
        <f t="shared" si="2"/>
        <v/>
      </c>
      <c r="W11" s="22"/>
      <c r="X11" s="22"/>
      <c xmlns="http://schemas.openxmlformats.org/spreadsheetml/2006/main" r="Y11">
        <f>IF($C11="",0,IF(COUNTIF($C$5:$C11,$C11)=1,1,0))</f>
        <v>0.0</v>
      </c>
      <c xmlns="http://schemas.openxmlformats.org/spreadsheetml/2006/main" r="Z11" t="str">
        <f>IF(Y11=1,SUM($Y$5:$Y11),"")</f>
        <v/>
      </c>
    </row>
    <row r="12" spans="1:26">
      <c r="A12" s="22"/>
      <c r="B12" s="22"/>
      <c r="C12" s="22"/>
      <c r="D12" s="22"/>
      <c r="E12" s="23"/>
      <c r="F12" s="23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6"/>
      <c xmlns="http://schemas.openxmlformats.org/spreadsheetml/2006/main" r="T12" s="23" t="str">
        <f t="shared" si="0"/>
        <v/>
      </c>
      <c xmlns="http://schemas.openxmlformats.org/spreadsheetml/2006/main" r="U12" s="22" t="str">
        <f t="shared" si="1"/>
        <v/>
      </c>
      <c xmlns="http://schemas.openxmlformats.org/spreadsheetml/2006/main" r="V12" s="18" t="str">
        <f t="shared" si="2"/>
        <v/>
      </c>
      <c r="W12" s="22"/>
      <c r="X12" s="22"/>
      <c xmlns="http://schemas.openxmlformats.org/spreadsheetml/2006/main" r="Y12">
        <f>IF($C12="",0,IF(COUNTIF($C$5:$C12,$C12)=1,1,0))</f>
        <v>0.0</v>
      </c>
      <c xmlns="http://schemas.openxmlformats.org/spreadsheetml/2006/main" r="Z12" t="str">
        <f>IF(Y12=1,SUM($Y$5:$Y12),"")</f>
        <v/>
      </c>
    </row>
    <row r="13" spans="1:26">
      <c r="A13" s="22"/>
      <c r="B13" s="22"/>
      <c r="C13" s="22"/>
      <c r="D13" s="22"/>
      <c r="E13" s="23"/>
      <c r="F13" s="23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/>
      <c xmlns="http://schemas.openxmlformats.org/spreadsheetml/2006/main" r="T13" s="23" t="str">
        <f t="shared" si="0"/>
        <v/>
      </c>
      <c xmlns="http://schemas.openxmlformats.org/spreadsheetml/2006/main" r="U13" s="22" t="str">
        <f t="shared" si="1"/>
        <v/>
      </c>
      <c xmlns="http://schemas.openxmlformats.org/spreadsheetml/2006/main" r="V13" s="18" t="str">
        <f t="shared" si="2"/>
        <v/>
      </c>
      <c r="W13" s="22"/>
      <c r="X13" s="22"/>
      <c xmlns="http://schemas.openxmlformats.org/spreadsheetml/2006/main" r="Y13">
        <f>IF($C13="",0,IF(COUNTIF($C$5:$C13,$C13)=1,1,0))</f>
        <v>0.0</v>
      </c>
      <c xmlns="http://schemas.openxmlformats.org/spreadsheetml/2006/main" r="Z13" t="str">
        <f>IF(Y13=1,SUM($Y$5:$Y13),"")</f>
        <v/>
      </c>
    </row>
    <row r="14" spans="1:26">
      <c r="A14" s="22"/>
      <c r="B14" s="22"/>
      <c r="C14" s="22"/>
      <c r="D14" s="22"/>
      <c r="E14" s="23"/>
      <c r="F14" s="23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/>
      <c xmlns="http://schemas.openxmlformats.org/spreadsheetml/2006/main" r="T14" s="23" t="str">
        <f t="shared" si="0"/>
        <v/>
      </c>
      <c xmlns="http://schemas.openxmlformats.org/spreadsheetml/2006/main" r="U14" s="22" t="str">
        <f t="shared" si="1"/>
        <v/>
      </c>
      <c xmlns="http://schemas.openxmlformats.org/spreadsheetml/2006/main" r="V14" s="18" t="str">
        <f t="shared" si="2"/>
        <v/>
      </c>
      <c r="W14" s="22"/>
      <c r="X14" s="22"/>
      <c xmlns="http://schemas.openxmlformats.org/spreadsheetml/2006/main" r="Y14">
        <f>IF($C14="",0,IF(COUNTIF($C$5:$C14,$C14)=1,1,0))</f>
        <v>0.0</v>
      </c>
      <c xmlns="http://schemas.openxmlformats.org/spreadsheetml/2006/main" r="Z14" t="str">
        <f>IF(Y14=1,SUM($Y$5:$Y14),"")</f>
        <v/>
      </c>
    </row>
    <row r="15" spans="1:26">
      <c r="A15" s="22"/>
      <c r="B15" s="22"/>
      <c r="C15" s="22"/>
      <c r="D15" s="22"/>
      <c r="E15" s="23"/>
      <c r="F15" s="23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6"/>
      <c xmlns="http://schemas.openxmlformats.org/spreadsheetml/2006/main" r="T15" s="23" t="str">
        <f t="shared" si="0"/>
        <v/>
      </c>
      <c xmlns="http://schemas.openxmlformats.org/spreadsheetml/2006/main" r="U15" s="22" t="str">
        <f t="shared" si="1"/>
        <v/>
      </c>
      <c xmlns="http://schemas.openxmlformats.org/spreadsheetml/2006/main" r="V15" s="18" t="str">
        <f t="shared" si="2"/>
        <v/>
      </c>
      <c r="W15" s="22"/>
      <c r="X15" s="22"/>
      <c xmlns="http://schemas.openxmlformats.org/spreadsheetml/2006/main" r="Y15">
        <f>IF($C15="",0,IF(COUNTIF($C$5:$C15,$C15)=1,1,0))</f>
        <v>0.0</v>
      </c>
      <c xmlns="http://schemas.openxmlformats.org/spreadsheetml/2006/main" r="Z15" t="str">
        <f>IF(Y15=1,SUM($Y$5:$Y15),"")</f>
        <v/>
      </c>
    </row>
    <row r="16" spans="1:26">
      <c r="A16" s="22"/>
      <c r="B16" s="22"/>
      <c r="C16" s="22"/>
      <c r="D16" s="22"/>
      <c r="E16" s="23"/>
      <c r="F16" s="23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6"/>
      <c xmlns="http://schemas.openxmlformats.org/spreadsheetml/2006/main" r="T16" s="23" t="str">
        <f t="shared" si="0"/>
        <v/>
      </c>
      <c xmlns="http://schemas.openxmlformats.org/spreadsheetml/2006/main" r="U16" s="22" t="str">
        <f t="shared" si="1"/>
        <v/>
      </c>
      <c xmlns="http://schemas.openxmlformats.org/spreadsheetml/2006/main" r="V16" s="18" t="str">
        <f t="shared" si="2"/>
        <v/>
      </c>
      <c r="W16" s="22"/>
      <c r="X16" s="22"/>
      <c xmlns="http://schemas.openxmlformats.org/spreadsheetml/2006/main" r="Y16">
        <f>IF($C16="",0,IF(COUNTIF($C$5:$C16,$C16)=1,1,0))</f>
        <v>0.0</v>
      </c>
      <c xmlns="http://schemas.openxmlformats.org/spreadsheetml/2006/main" r="Z16" t="str">
        <f>IF(Y16=1,SUM($Y$5:$Y16),"")</f>
        <v/>
      </c>
    </row>
    <row r="17" spans="1:26">
      <c r="A17" s="22"/>
      <c r="B17" s="22"/>
      <c r="C17" s="22"/>
      <c r="D17" s="22"/>
      <c r="E17" s="23"/>
      <c r="F17" s="23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  <c xmlns="http://schemas.openxmlformats.org/spreadsheetml/2006/main" r="T17" s="23" t="str">
        <f t="shared" si="0"/>
        <v/>
      </c>
      <c xmlns="http://schemas.openxmlformats.org/spreadsheetml/2006/main" r="U17" s="22" t="str">
        <f t="shared" si="1"/>
        <v/>
      </c>
      <c xmlns="http://schemas.openxmlformats.org/spreadsheetml/2006/main" r="V17" s="18" t="str">
        <f t="shared" si="2"/>
        <v/>
      </c>
      <c r="W17" s="22"/>
      <c r="X17" s="22"/>
      <c xmlns="http://schemas.openxmlformats.org/spreadsheetml/2006/main" r="Y17">
        <f>IF($C17="",0,IF(COUNTIF($C$5:$C17,$C17)=1,1,0))</f>
        <v>0.0</v>
      </c>
      <c xmlns="http://schemas.openxmlformats.org/spreadsheetml/2006/main" r="Z17" t="str">
        <f>IF(Y17=1,SUM($Y$5:$Y17),"")</f>
        <v/>
      </c>
    </row>
    <row r="18" spans="1:26">
      <c r="A18" s="22"/>
      <c r="B18" s="22"/>
      <c r="C18" s="22"/>
      <c r="D18" s="22"/>
      <c r="E18" s="23"/>
      <c r="F18" s="23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6"/>
      <c xmlns="http://schemas.openxmlformats.org/spreadsheetml/2006/main" r="T18" s="23" t="str">
        <f t="shared" si="0"/>
        <v/>
      </c>
      <c xmlns="http://schemas.openxmlformats.org/spreadsheetml/2006/main" r="U18" s="22" t="str">
        <f t="shared" si="1"/>
        <v/>
      </c>
      <c xmlns="http://schemas.openxmlformats.org/spreadsheetml/2006/main" r="V18" s="18" t="str">
        <f t="shared" si="2"/>
        <v/>
      </c>
      <c r="W18" s="22"/>
      <c r="X18" s="22"/>
      <c xmlns="http://schemas.openxmlformats.org/spreadsheetml/2006/main" r="Y18">
        <f>IF($C18="",0,IF(COUNTIF($C$5:$C18,$C18)=1,1,0))</f>
        <v>0.0</v>
      </c>
      <c xmlns="http://schemas.openxmlformats.org/spreadsheetml/2006/main" r="Z18" t="str">
        <f>IF(Y18=1,SUM($Y$5:$Y18),"")</f>
        <v/>
      </c>
    </row>
    <row r="19" spans="1:26">
      <c r="A19" s="22"/>
      <c r="B19" s="22"/>
      <c r="C19" s="22"/>
      <c r="D19" s="22"/>
      <c r="E19" s="23"/>
      <c r="F19" s="23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xmlns="http://schemas.openxmlformats.org/spreadsheetml/2006/main" r="T19" s="23" t="str">
        <f t="shared" si="0"/>
        <v/>
      </c>
      <c xmlns="http://schemas.openxmlformats.org/spreadsheetml/2006/main" r="U19" s="22" t="str">
        <f t="shared" si="1"/>
        <v/>
      </c>
      <c xmlns="http://schemas.openxmlformats.org/spreadsheetml/2006/main" r="V19" s="18" t="str">
        <f t="shared" si="2"/>
        <v/>
      </c>
      <c r="W19" s="22"/>
      <c r="X19" s="22"/>
      <c xmlns="http://schemas.openxmlformats.org/spreadsheetml/2006/main" r="Y19">
        <f>IF($C19="",0,IF(COUNTIF($C$5:$C19,$C19)=1,1,0))</f>
        <v>0.0</v>
      </c>
      <c xmlns="http://schemas.openxmlformats.org/spreadsheetml/2006/main" r="Z19" t="str">
        <f>IF(Y19=1,SUM($Y$5:$Y19),"")</f>
        <v/>
      </c>
    </row>
    <row r="20" spans="1:26">
      <c r="A20" s="22"/>
      <c r="B20" s="22"/>
      <c r="C20" s="22"/>
      <c r="D20" s="22"/>
      <c r="E20" s="23"/>
      <c r="F20" s="23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xmlns="http://schemas.openxmlformats.org/spreadsheetml/2006/main" r="T20" s="23" t="str">
        <f t="shared" si="0"/>
        <v/>
      </c>
      <c xmlns="http://schemas.openxmlformats.org/spreadsheetml/2006/main" r="U20" s="22" t="str">
        <f t="shared" si="1"/>
        <v/>
      </c>
      <c xmlns="http://schemas.openxmlformats.org/spreadsheetml/2006/main" r="V20" s="18" t="str">
        <f t="shared" si="2"/>
        <v/>
      </c>
      <c r="W20" s="22"/>
      <c r="X20" s="22"/>
      <c xmlns="http://schemas.openxmlformats.org/spreadsheetml/2006/main" r="Y20">
        <f>IF($C20="",0,IF(COUNTIF($C$5:$C20,$C20)=1,1,0))</f>
        <v>0.0</v>
      </c>
      <c xmlns="http://schemas.openxmlformats.org/spreadsheetml/2006/main" r="Z20" t="str">
        <f>IF(Y20=1,SUM($Y$5:$Y20),"")</f>
        <v/>
      </c>
    </row>
    <row r="21" spans="1:26">
      <c r="A21" s="22"/>
      <c r="B21" s="22"/>
      <c r="C21" s="22"/>
      <c r="D21" s="22"/>
      <c r="E21" s="23"/>
      <c r="F21" s="23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xmlns="http://schemas.openxmlformats.org/spreadsheetml/2006/main" r="T21" s="23" t="str">
        <f t="shared" si="0"/>
        <v/>
      </c>
      <c xmlns="http://schemas.openxmlformats.org/spreadsheetml/2006/main" r="U21" s="22" t="str">
        <f t="shared" si="1"/>
        <v/>
      </c>
      <c xmlns="http://schemas.openxmlformats.org/spreadsheetml/2006/main" r="V21" s="18" t="str">
        <f t="shared" si="2"/>
        <v/>
      </c>
      <c r="W21" s="22"/>
      <c r="X21" s="22"/>
      <c xmlns="http://schemas.openxmlformats.org/spreadsheetml/2006/main" r="Y21">
        <f>IF($C21="",0,IF(COUNTIF($C$5:$C21,$C21)=1,1,0))</f>
        <v>0.0</v>
      </c>
      <c xmlns="http://schemas.openxmlformats.org/spreadsheetml/2006/main" r="Z21" t="str">
        <f>IF(Y21=1,SUM($Y$5:$Y21),"")</f>
        <v/>
      </c>
    </row>
    <row r="22" spans="1:26">
      <c r="A22" s="22"/>
      <c r="B22" s="22"/>
      <c r="C22" s="22"/>
      <c r="D22" s="22"/>
      <c r="E22" s="23"/>
      <c r="F22" s="23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xmlns="http://schemas.openxmlformats.org/spreadsheetml/2006/main" r="T22" s="23" t="str">
        <f t="shared" si="0"/>
        <v/>
      </c>
      <c xmlns="http://schemas.openxmlformats.org/spreadsheetml/2006/main" r="U22" s="22" t="str">
        <f t="shared" si="1"/>
        <v/>
      </c>
      <c xmlns="http://schemas.openxmlformats.org/spreadsheetml/2006/main" r="V22" s="18" t="str">
        <f t="shared" si="2"/>
        <v/>
      </c>
      <c r="W22" s="22"/>
      <c r="X22" s="22"/>
      <c xmlns="http://schemas.openxmlformats.org/spreadsheetml/2006/main" r="Y22">
        <f>IF($C22="",0,IF(COUNTIF($C$5:$C22,$C22)=1,1,0))</f>
        <v>0.0</v>
      </c>
      <c xmlns="http://schemas.openxmlformats.org/spreadsheetml/2006/main" r="Z22" t="str">
        <f>IF(Y22=1,SUM($Y$5:$Y22),"")</f>
        <v/>
      </c>
    </row>
    <row r="23" spans="1:26">
      <c r="A23" s="22"/>
      <c r="B23" s="22"/>
      <c r="C23" s="22"/>
      <c r="D23" s="22"/>
      <c r="E23" s="23"/>
      <c r="F23" s="23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xmlns="http://schemas.openxmlformats.org/spreadsheetml/2006/main" r="T23" s="23" t="str">
        <f t="shared" si="0"/>
        <v/>
      </c>
      <c xmlns="http://schemas.openxmlformats.org/spreadsheetml/2006/main" r="U23" s="22" t="str">
        <f t="shared" si="1"/>
        <v/>
      </c>
      <c xmlns="http://schemas.openxmlformats.org/spreadsheetml/2006/main" r="V23" s="18" t="str">
        <f t="shared" si="2"/>
        <v/>
      </c>
      <c r="W23" s="22"/>
      <c r="X23" s="22"/>
      <c xmlns="http://schemas.openxmlformats.org/spreadsheetml/2006/main" r="Y23">
        <f>IF($C23="",0,IF(COUNTIF($C$5:$C23,$C23)=1,1,0))</f>
        <v>0.0</v>
      </c>
      <c xmlns="http://schemas.openxmlformats.org/spreadsheetml/2006/main" r="Z23" t="str">
        <f>IF(Y23=1,SUM($Y$5:$Y23),"")</f>
        <v/>
      </c>
    </row>
    <row r="24" spans="1:26">
      <c r="A24" s="22"/>
      <c r="B24" s="22"/>
      <c r="C24" s="22"/>
      <c r="D24" s="22"/>
      <c r="E24" s="23"/>
      <c r="F24" s="23"/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xmlns="http://schemas.openxmlformats.org/spreadsheetml/2006/main" r="T24" s="23" t="str">
        <f t="shared" si="0"/>
        <v/>
      </c>
      <c xmlns="http://schemas.openxmlformats.org/spreadsheetml/2006/main" r="U24" s="22" t="str">
        <f t="shared" si="1"/>
        <v/>
      </c>
      <c xmlns="http://schemas.openxmlformats.org/spreadsheetml/2006/main" r="V24" s="18" t="str">
        <f t="shared" si="2"/>
        <v/>
      </c>
      <c r="W24" s="22"/>
      <c r="X24" s="22"/>
      <c xmlns="http://schemas.openxmlformats.org/spreadsheetml/2006/main" r="Y24">
        <f>IF($C24="",0,IF(COUNTIF($C$5:$C24,$C24)=1,1,0))</f>
        <v>0.0</v>
      </c>
      <c xmlns="http://schemas.openxmlformats.org/spreadsheetml/2006/main" r="Z24" t="str">
        <f>IF(Y24=1,SUM($Y$5:$Y24),"")</f>
        <v/>
      </c>
    </row>
    <row r="25" spans="1:26">
      <c r="A25" s="22"/>
      <c r="B25" s="22"/>
      <c r="C25" s="22"/>
      <c r="D25" s="22"/>
      <c r="E25" s="23"/>
      <c r="F25" s="23"/>
      <c r="G25" s="24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6"/>
      <c xmlns="http://schemas.openxmlformats.org/spreadsheetml/2006/main" r="T25" s="23" t="str">
        <f t="shared" si="0"/>
        <v/>
      </c>
      <c xmlns="http://schemas.openxmlformats.org/spreadsheetml/2006/main" r="U25" s="22" t="str">
        <f t="shared" si="1"/>
        <v/>
      </c>
      <c xmlns="http://schemas.openxmlformats.org/spreadsheetml/2006/main" r="V25" s="18" t="str">
        <f t="shared" si="2"/>
        <v/>
      </c>
      <c r="W25" s="22"/>
      <c r="X25" s="22"/>
      <c xmlns="http://schemas.openxmlformats.org/spreadsheetml/2006/main" r="Y25">
        <f>IF($C25="",0,IF(COUNTIF($C$5:$C25,$C25)=1,1,0))</f>
        <v>0.0</v>
      </c>
      <c xmlns="http://schemas.openxmlformats.org/spreadsheetml/2006/main" r="Z25" t="str">
        <f>IF(Y25=1,SUM($Y$5:$Y25),"")</f>
        <v/>
      </c>
    </row>
    <row r="26" spans="1:26">
      <c r="A26" s="22"/>
      <c r="B26" s="22"/>
      <c r="C26" s="22"/>
      <c r="D26" s="22"/>
      <c r="E26" s="23"/>
      <c r="F26" s="23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6"/>
      <c xmlns="http://schemas.openxmlformats.org/spreadsheetml/2006/main" r="T26" s="23" t="str">
        <f t="shared" si="0"/>
        <v/>
      </c>
      <c xmlns="http://schemas.openxmlformats.org/spreadsheetml/2006/main" r="U26" s="22" t="str">
        <f t="shared" si="1"/>
        <v/>
      </c>
      <c xmlns="http://schemas.openxmlformats.org/spreadsheetml/2006/main" r="V26" s="18" t="str">
        <f t="shared" si="2"/>
        <v/>
      </c>
      <c r="W26" s="22"/>
      <c r="X26" s="22"/>
      <c xmlns="http://schemas.openxmlformats.org/spreadsheetml/2006/main" r="Y26">
        <f>IF($C26="",0,IF(COUNTIF($C$5:$C26,$C26)=1,1,0))</f>
        <v>0.0</v>
      </c>
      <c xmlns="http://schemas.openxmlformats.org/spreadsheetml/2006/main" r="Z26" t="str">
        <f>IF(Y26=1,SUM($Y$5:$Y26),"")</f>
        <v/>
      </c>
    </row>
    <row r="27" spans="1:26">
      <c r="A27" s="22"/>
      <c r="B27" s="22"/>
      <c r="C27" s="22"/>
      <c r="D27" s="22"/>
      <c r="E27" s="23"/>
      <c r="F27" s="23"/>
      <c r="G27" s="24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6"/>
      <c xmlns="http://schemas.openxmlformats.org/spreadsheetml/2006/main" r="T27" s="23" t="str">
        <f t="shared" si="0"/>
        <v/>
      </c>
      <c xmlns="http://schemas.openxmlformats.org/spreadsheetml/2006/main" r="U27" s="22" t="str">
        <f t="shared" si="1"/>
        <v/>
      </c>
      <c xmlns="http://schemas.openxmlformats.org/spreadsheetml/2006/main" r="V27" s="18" t="str">
        <f t="shared" si="2"/>
        <v/>
      </c>
      <c r="W27" s="22"/>
      <c r="X27" s="22"/>
      <c xmlns="http://schemas.openxmlformats.org/spreadsheetml/2006/main" r="Y27">
        <f>IF($C27="",0,IF(COUNTIF($C$5:$C27,$C27)=1,1,0))</f>
        <v>0.0</v>
      </c>
      <c xmlns="http://schemas.openxmlformats.org/spreadsheetml/2006/main" r="Z27" t="str">
        <f>IF(Y27=1,SUM($Y$5:$Y27),"")</f>
        <v/>
      </c>
    </row>
    <row r="28" spans="1:26">
      <c r="A28" s="22"/>
      <c r="B28" s="22"/>
      <c r="C28" s="22"/>
      <c r="D28" s="22"/>
      <c r="E28" s="23"/>
      <c r="F28" s="23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6"/>
      <c xmlns="http://schemas.openxmlformats.org/spreadsheetml/2006/main" r="T28" s="23" t="str">
        <f t="shared" si="0"/>
        <v/>
      </c>
      <c xmlns="http://schemas.openxmlformats.org/spreadsheetml/2006/main" r="U28" s="22" t="str">
        <f t="shared" si="1"/>
        <v/>
      </c>
      <c xmlns="http://schemas.openxmlformats.org/spreadsheetml/2006/main" r="V28" s="18" t="str">
        <f t="shared" si="2"/>
        <v/>
      </c>
      <c r="W28" s="22"/>
      <c r="X28" s="22"/>
      <c xmlns="http://schemas.openxmlformats.org/spreadsheetml/2006/main" r="Y28">
        <f>IF($C28="",0,IF(COUNTIF($C$5:$C28,$C28)=1,1,0))</f>
        <v>0.0</v>
      </c>
      <c xmlns="http://schemas.openxmlformats.org/spreadsheetml/2006/main" r="Z28" t="str">
        <f>IF(Y28=1,SUM($Y$5:$Y28),"")</f>
        <v/>
      </c>
    </row>
    <row r="29" spans="1:26">
      <c r="A29" s="22"/>
      <c r="B29" s="22"/>
      <c r="C29" s="22"/>
      <c r="D29" s="22"/>
      <c r="E29" s="23"/>
      <c r="F29" s="23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6"/>
      <c xmlns="http://schemas.openxmlformats.org/spreadsheetml/2006/main" r="T29" s="23" t="str">
        <f t="shared" si="0"/>
        <v/>
      </c>
      <c xmlns="http://schemas.openxmlformats.org/spreadsheetml/2006/main" r="U29" s="22" t="str">
        <f t="shared" si="1"/>
        <v/>
      </c>
      <c xmlns="http://schemas.openxmlformats.org/spreadsheetml/2006/main" r="V29" s="18" t="str">
        <f t="shared" si="2"/>
        <v/>
      </c>
      <c r="W29" s="22"/>
      <c r="X29" s="22"/>
      <c xmlns="http://schemas.openxmlformats.org/spreadsheetml/2006/main" r="Y29">
        <f>IF($C29="",0,IF(COUNTIF($C$5:$C29,$C29)=1,1,0))</f>
        <v>0.0</v>
      </c>
      <c xmlns="http://schemas.openxmlformats.org/spreadsheetml/2006/main" r="Z29" t="str">
        <f>IF(Y29=1,SUM($Y$5:$Y29),"")</f>
        <v/>
      </c>
    </row>
    <row r="30" spans="1:26">
      <c r="A30" s="22"/>
      <c r="B30" s="22"/>
      <c r="C30" s="22"/>
      <c r="D30" s="22"/>
      <c r="E30" s="23"/>
      <c r="F30" s="23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6"/>
      <c xmlns="http://schemas.openxmlformats.org/spreadsheetml/2006/main" r="T30" s="23" t="str">
        <f t="shared" si="0"/>
        <v/>
      </c>
      <c xmlns="http://schemas.openxmlformats.org/spreadsheetml/2006/main" r="U30" s="22" t="str">
        <f t="shared" si="1"/>
        <v/>
      </c>
      <c xmlns="http://schemas.openxmlformats.org/spreadsheetml/2006/main" r="V30" s="18" t="str">
        <f t="shared" si="2"/>
        <v/>
      </c>
      <c r="W30" s="22"/>
      <c r="X30" s="22"/>
      <c xmlns="http://schemas.openxmlformats.org/spreadsheetml/2006/main" r="Y30">
        <f>IF($C30="",0,IF(COUNTIF($C$5:$C30,$C30)=1,1,0))</f>
        <v>0.0</v>
      </c>
      <c xmlns="http://schemas.openxmlformats.org/spreadsheetml/2006/main" r="Z30" t="str">
        <f>IF(Y30=1,SUM($Y$5:$Y30),"")</f>
        <v/>
      </c>
    </row>
    <row r="31" spans="1:26">
      <c r="A31" s="22"/>
      <c r="B31" s="22"/>
      <c r="C31" s="22"/>
      <c r="D31" s="22"/>
      <c r="E31" s="23"/>
      <c r="F31" s="23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6"/>
      <c xmlns="http://schemas.openxmlformats.org/spreadsheetml/2006/main" r="T31" s="23" t="str">
        <f t="shared" si="0"/>
        <v/>
      </c>
      <c xmlns="http://schemas.openxmlformats.org/spreadsheetml/2006/main" r="U31" s="22" t="str">
        <f t="shared" si="1"/>
        <v/>
      </c>
      <c xmlns="http://schemas.openxmlformats.org/spreadsheetml/2006/main" r="V31" s="18" t="str">
        <f t="shared" si="2"/>
        <v/>
      </c>
      <c r="W31" s="22"/>
      <c r="X31" s="22"/>
      <c xmlns="http://schemas.openxmlformats.org/spreadsheetml/2006/main" r="Y31">
        <f>IF($C31="",0,IF(COUNTIF($C$5:$C31,$C31)=1,1,0))</f>
        <v>0.0</v>
      </c>
      <c xmlns="http://schemas.openxmlformats.org/spreadsheetml/2006/main" r="Z31" t="str">
        <f>IF(Y31=1,SUM($Y$5:$Y31),"")</f>
        <v/>
      </c>
    </row>
    <row r="32" spans="1:26">
      <c r="A32" s="22"/>
      <c r="B32" s="22"/>
      <c r="C32" s="22"/>
      <c r="D32" s="22"/>
      <c r="E32" s="23"/>
      <c r="F32" s="23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6"/>
      <c xmlns="http://schemas.openxmlformats.org/spreadsheetml/2006/main" r="T32" s="23" t="str">
        <f t="shared" si="0"/>
        <v/>
      </c>
      <c xmlns="http://schemas.openxmlformats.org/spreadsheetml/2006/main" r="U32" s="22" t="str">
        <f t="shared" si="1"/>
        <v/>
      </c>
      <c xmlns="http://schemas.openxmlformats.org/spreadsheetml/2006/main" r="V32" s="18" t="str">
        <f t="shared" si="2"/>
        <v/>
      </c>
      <c r="W32" s="22"/>
      <c r="X32" s="22"/>
      <c xmlns="http://schemas.openxmlformats.org/spreadsheetml/2006/main" r="Y32">
        <f>IF($C32="",0,IF(COUNTIF($C$5:$C32,$C32)=1,1,0))</f>
        <v>0.0</v>
      </c>
      <c xmlns="http://schemas.openxmlformats.org/spreadsheetml/2006/main" r="Z32" t="str">
        <f>IF(Y32=1,SUM($Y$5:$Y32),"")</f>
        <v/>
      </c>
    </row>
    <row r="33" spans="1:26">
      <c r="A33" s="22"/>
      <c r="B33" s="22"/>
      <c r="C33" s="22"/>
      <c r="D33" s="22"/>
      <c r="E33" s="23"/>
      <c r="F33" s="23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6"/>
      <c xmlns="http://schemas.openxmlformats.org/spreadsheetml/2006/main" r="T33" s="23" t="str">
        <f t="shared" si="0"/>
        <v/>
      </c>
      <c xmlns="http://schemas.openxmlformats.org/spreadsheetml/2006/main" r="U33" s="22" t="str">
        <f t="shared" si="1"/>
        <v/>
      </c>
      <c xmlns="http://schemas.openxmlformats.org/spreadsheetml/2006/main" r="V33" s="18" t="str">
        <f t="shared" si="2"/>
        <v/>
      </c>
      <c r="W33" s="22"/>
      <c r="X33" s="22"/>
      <c xmlns="http://schemas.openxmlformats.org/spreadsheetml/2006/main" r="Y33">
        <f>IF($C33="",0,IF(COUNTIF($C$5:$C33,$C33)=1,1,0))</f>
        <v>0.0</v>
      </c>
      <c xmlns="http://schemas.openxmlformats.org/spreadsheetml/2006/main" r="Z33" t="str">
        <f>IF(Y33=1,SUM($Y$5:$Y33),"")</f>
        <v/>
      </c>
    </row>
    <row r="34" spans="1:26">
      <c r="A34" s="22"/>
      <c r="B34" s="22"/>
      <c r="C34" s="22"/>
      <c r="D34" s="22"/>
      <c r="E34" s="23"/>
      <c r="F34" s="23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  <c xmlns="http://schemas.openxmlformats.org/spreadsheetml/2006/main" r="T34" s="23" t="str">
        <f t="shared" si="0"/>
        <v/>
      </c>
      <c xmlns="http://schemas.openxmlformats.org/spreadsheetml/2006/main" r="U34" s="22" t="str">
        <f t="shared" si="1"/>
        <v/>
      </c>
      <c xmlns="http://schemas.openxmlformats.org/spreadsheetml/2006/main" r="V34" s="18" t="str">
        <f t="shared" si="2"/>
        <v/>
      </c>
      <c r="W34" s="22"/>
      <c r="X34" s="22"/>
      <c xmlns="http://schemas.openxmlformats.org/spreadsheetml/2006/main" r="Y34">
        <f>IF($C34="",0,IF(COUNTIF($C$5:$C34,$C34)=1,1,0))</f>
        <v>0.0</v>
      </c>
      <c xmlns="http://schemas.openxmlformats.org/spreadsheetml/2006/main" r="Z34" t="str">
        <f>IF(Y34=1,SUM($Y$5:$Y34),"")</f>
        <v/>
      </c>
    </row>
    <row r="35" spans="1:26">
      <c r="A35" s="22"/>
      <c r="B35" s="22"/>
      <c r="C35" s="22"/>
      <c r="D35" s="22"/>
      <c r="E35" s="23"/>
      <c r="F35" s="23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  <c xmlns="http://schemas.openxmlformats.org/spreadsheetml/2006/main" r="T35" s="23" t="str">
        <f t="shared" si="0"/>
        <v/>
      </c>
      <c xmlns="http://schemas.openxmlformats.org/spreadsheetml/2006/main" r="U35" s="22" t="str">
        <f t="shared" si="1"/>
        <v/>
      </c>
      <c xmlns="http://schemas.openxmlformats.org/spreadsheetml/2006/main" r="V35" s="18" t="str">
        <f t="shared" si="2"/>
        <v/>
      </c>
      <c r="W35" s="22"/>
      <c r="X35" s="22"/>
      <c xmlns="http://schemas.openxmlformats.org/spreadsheetml/2006/main" r="Y35">
        <f>IF($C35="",0,IF(COUNTIF($C$5:$C35,$C35)=1,1,0))</f>
        <v>0.0</v>
      </c>
      <c xmlns="http://schemas.openxmlformats.org/spreadsheetml/2006/main" r="Z35" t="str">
        <f>IF(Y35=1,SUM($Y$5:$Y35),"")</f>
        <v/>
      </c>
    </row>
    <row r="36" spans="1:26">
      <c r="A36" s="22"/>
      <c r="B36" s="22"/>
      <c r="C36" s="22"/>
      <c r="D36" s="22"/>
      <c r="E36" s="23"/>
      <c r="F36" s="23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/>
      <c xmlns="http://schemas.openxmlformats.org/spreadsheetml/2006/main" r="T36" s="23" t="str">
        <f t="shared" si="0"/>
        <v/>
      </c>
      <c xmlns="http://schemas.openxmlformats.org/spreadsheetml/2006/main" r="U36" s="22" t="str">
        <f t="shared" si="1"/>
        <v/>
      </c>
      <c xmlns="http://schemas.openxmlformats.org/spreadsheetml/2006/main" r="V36" s="18" t="str">
        <f t="shared" si="2"/>
        <v/>
      </c>
      <c r="W36" s="22"/>
      <c r="X36" s="22"/>
      <c xmlns="http://schemas.openxmlformats.org/spreadsheetml/2006/main" r="Y36">
        <f>IF($C36="",0,IF(COUNTIF($C$5:$C36,$C36)=1,1,0))</f>
        <v>0.0</v>
      </c>
      <c xmlns="http://schemas.openxmlformats.org/spreadsheetml/2006/main" r="Z36" t="str">
        <f>IF(Y36=1,SUM($Y$5:$Y36),"")</f>
        <v/>
      </c>
    </row>
    <row r="37" spans="1:26">
      <c r="A37" s="22"/>
      <c r="B37" s="22"/>
      <c r="C37" s="22"/>
      <c r="D37" s="22"/>
      <c r="E37" s="23"/>
      <c r="F37" s="23"/>
      <c r="G37" s="24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6"/>
      <c xmlns="http://schemas.openxmlformats.org/spreadsheetml/2006/main" r="T37" s="23" t="str">
        <f t="shared" si="0"/>
        <v/>
      </c>
      <c xmlns="http://schemas.openxmlformats.org/spreadsheetml/2006/main" r="U37" s="22" t="str">
        <f t="shared" si="1"/>
        <v/>
      </c>
      <c xmlns="http://schemas.openxmlformats.org/spreadsheetml/2006/main" r="V37" s="18" t="str">
        <f t="shared" si="2"/>
        <v/>
      </c>
      <c r="W37" s="22"/>
      <c r="X37" s="22"/>
      <c xmlns="http://schemas.openxmlformats.org/spreadsheetml/2006/main" r="Y37">
        <f>IF($C37="",0,IF(COUNTIF($C$5:$C37,$C37)=1,1,0))</f>
        <v>0.0</v>
      </c>
      <c xmlns="http://schemas.openxmlformats.org/spreadsheetml/2006/main" r="Z37" t="str">
        <f>IF(Y37=1,SUM($Y$5:$Y37),"")</f>
        <v/>
      </c>
    </row>
    <row r="38" spans="1:26">
      <c r="A38" s="22"/>
      <c r="B38" s="22"/>
      <c r="C38" s="22"/>
      <c r="D38" s="22"/>
      <c r="E38" s="23"/>
      <c r="F38" s="23"/>
      <c r="G38" s="24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6"/>
      <c xmlns="http://schemas.openxmlformats.org/spreadsheetml/2006/main" r="T38" s="23" t="str">
        <f t="shared" si="0"/>
        <v/>
      </c>
      <c xmlns="http://schemas.openxmlformats.org/spreadsheetml/2006/main" r="U38" s="22" t="str">
        <f t="shared" si="1"/>
        <v/>
      </c>
      <c xmlns="http://schemas.openxmlformats.org/spreadsheetml/2006/main" r="V38" s="18" t="str">
        <f t="shared" si="2"/>
        <v/>
      </c>
      <c r="W38" s="22"/>
      <c r="X38" s="22"/>
      <c xmlns="http://schemas.openxmlformats.org/spreadsheetml/2006/main" r="Y38">
        <f>IF($C38="",0,IF(COUNTIF($C$5:$C38,$C38)=1,1,0))</f>
        <v>0.0</v>
      </c>
      <c xmlns="http://schemas.openxmlformats.org/spreadsheetml/2006/main" r="Z38" t="str">
        <f>IF(Y38=1,SUM($Y$5:$Y38),"")</f>
        <v/>
      </c>
    </row>
    <row r="39" spans="1:26">
      <c r="A39" s="22"/>
      <c r="B39" s="22"/>
      <c r="C39" s="22"/>
      <c r="D39" s="22"/>
      <c r="E39" s="23"/>
      <c r="F39" s="23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/>
      <c xmlns="http://schemas.openxmlformats.org/spreadsheetml/2006/main" r="T39" s="23" t="str">
        <f t="shared" si="0"/>
        <v/>
      </c>
      <c xmlns="http://schemas.openxmlformats.org/spreadsheetml/2006/main" r="U39" s="22" t="str">
        <f t="shared" si="1"/>
        <v/>
      </c>
      <c xmlns="http://schemas.openxmlformats.org/spreadsheetml/2006/main" r="V39" s="18" t="str">
        <f t="shared" si="2"/>
        <v/>
      </c>
      <c r="W39" s="22"/>
      <c r="X39" s="22"/>
      <c xmlns="http://schemas.openxmlformats.org/spreadsheetml/2006/main" r="Y39">
        <f>IF($C39="",0,IF(COUNTIF($C$5:$C39,$C39)=1,1,0))</f>
        <v>0.0</v>
      </c>
      <c xmlns="http://schemas.openxmlformats.org/spreadsheetml/2006/main" r="Z39" t="str">
        <f>IF(Y39=1,SUM($Y$5:$Y39),"")</f>
        <v/>
      </c>
    </row>
    <row r="40" spans="1:26">
      <c r="A40" s="22"/>
      <c r="B40" s="22"/>
      <c r="C40" s="22"/>
      <c r="D40" s="22"/>
      <c r="E40" s="23"/>
      <c r="F40" s="23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/>
      <c xmlns="http://schemas.openxmlformats.org/spreadsheetml/2006/main" r="T40" s="23" t="str">
        <f t="shared" si="0"/>
        <v/>
      </c>
      <c xmlns="http://schemas.openxmlformats.org/spreadsheetml/2006/main" r="U40" s="22" t="str">
        <f t="shared" si="1"/>
        <v/>
      </c>
      <c xmlns="http://schemas.openxmlformats.org/spreadsheetml/2006/main" r="V40" s="18" t="str">
        <f t="shared" si="2"/>
        <v/>
      </c>
      <c r="W40" s="22"/>
      <c r="X40" s="22"/>
      <c xmlns="http://schemas.openxmlformats.org/spreadsheetml/2006/main" r="Y40">
        <f>IF($C40="",0,IF(COUNTIF($C$5:$C40,$C40)=1,1,0))</f>
        <v>0.0</v>
      </c>
      <c xmlns="http://schemas.openxmlformats.org/spreadsheetml/2006/main" r="Z40" t="str">
        <f>IF(Y40=1,SUM($Y$5:$Y40),"")</f>
        <v/>
      </c>
    </row>
    <row r="41" spans="1:26">
      <c r="A41" s="22"/>
      <c r="B41" s="22"/>
      <c r="C41" s="22"/>
      <c r="D41" s="22"/>
      <c r="E41" s="23"/>
      <c r="F41" s="23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6"/>
      <c xmlns="http://schemas.openxmlformats.org/spreadsheetml/2006/main" r="T41" s="23" t="str">
        <f t="shared" si="0"/>
        <v/>
      </c>
      <c xmlns="http://schemas.openxmlformats.org/spreadsheetml/2006/main" r="U41" s="22" t="str">
        <f t="shared" si="1"/>
        <v/>
      </c>
      <c xmlns="http://schemas.openxmlformats.org/spreadsheetml/2006/main" r="V41" s="18" t="str">
        <f t="shared" si="2"/>
        <v/>
      </c>
      <c r="W41" s="22"/>
      <c r="X41" s="22"/>
      <c xmlns="http://schemas.openxmlformats.org/spreadsheetml/2006/main" r="Y41">
        <f>IF($C41="",0,IF(COUNTIF($C$5:$C41,$C41)=1,1,0))</f>
        <v>0.0</v>
      </c>
      <c xmlns="http://schemas.openxmlformats.org/spreadsheetml/2006/main" r="Z41" t="str">
        <f>IF(Y41=1,SUM($Y$5:$Y41),"")</f>
        <v/>
      </c>
    </row>
    <row r="42" spans="1:26">
      <c r="A42" s="22"/>
      <c r="B42" s="22"/>
      <c r="C42" s="22"/>
      <c r="D42" s="22"/>
      <c r="E42" s="23"/>
      <c r="F42" s="23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6"/>
      <c xmlns="http://schemas.openxmlformats.org/spreadsheetml/2006/main" r="T42" s="23" t="str">
        <f t="shared" si="0"/>
        <v/>
      </c>
      <c xmlns="http://schemas.openxmlformats.org/spreadsheetml/2006/main" r="U42" s="22" t="str">
        <f t="shared" si="1"/>
        <v/>
      </c>
      <c xmlns="http://schemas.openxmlformats.org/spreadsheetml/2006/main" r="V42" s="18" t="str">
        <f t="shared" si="2"/>
        <v/>
      </c>
      <c r="W42" s="22"/>
      <c r="X42" s="22"/>
      <c xmlns="http://schemas.openxmlformats.org/spreadsheetml/2006/main" r="Y42">
        <f>IF($C42="",0,IF(COUNTIF($C$5:$C42,$C42)=1,1,0))</f>
        <v>0.0</v>
      </c>
      <c xmlns="http://schemas.openxmlformats.org/spreadsheetml/2006/main" r="Z42" t="str">
        <f>IF(Y42=1,SUM($Y$5:$Y42),"")</f>
        <v/>
      </c>
    </row>
    <row r="43" spans="1:26">
      <c r="A43" s="22"/>
      <c r="B43" s="22"/>
      <c r="C43" s="22"/>
      <c r="D43" s="22"/>
      <c r="E43" s="23"/>
      <c r="F43" s="23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6"/>
      <c xmlns="http://schemas.openxmlformats.org/spreadsheetml/2006/main" r="T43" s="23" t="str">
        <f t="shared" si="0"/>
        <v/>
      </c>
      <c xmlns="http://schemas.openxmlformats.org/spreadsheetml/2006/main" r="U43" s="22" t="str">
        <f t="shared" si="1"/>
        <v/>
      </c>
      <c xmlns="http://schemas.openxmlformats.org/spreadsheetml/2006/main" r="V43" s="18" t="str">
        <f t="shared" si="2"/>
        <v/>
      </c>
      <c r="W43" s="22"/>
      <c r="X43" s="22"/>
      <c xmlns="http://schemas.openxmlformats.org/spreadsheetml/2006/main" r="Y43">
        <f>IF($C43="",0,IF(COUNTIF($C$5:$C43,$C43)=1,1,0))</f>
        <v>0.0</v>
      </c>
      <c xmlns="http://schemas.openxmlformats.org/spreadsheetml/2006/main" r="Z43" t="str">
        <f>IF(Y43=1,SUM($Y$5:$Y43),"")</f>
        <v/>
      </c>
    </row>
    <row r="44" spans="1:26">
      <c r="A44" s="22"/>
      <c r="B44" s="22"/>
      <c r="C44" s="22"/>
      <c r="D44" s="22"/>
      <c r="E44" s="23"/>
      <c r="F44" s="23"/>
      <c r="G44" s="24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6"/>
      <c xmlns="http://schemas.openxmlformats.org/spreadsheetml/2006/main" r="T44" s="23" t="str">
        <f t="shared" si="0"/>
        <v/>
      </c>
      <c xmlns="http://schemas.openxmlformats.org/spreadsheetml/2006/main" r="U44" s="22" t="str">
        <f t="shared" si="1"/>
        <v/>
      </c>
      <c xmlns="http://schemas.openxmlformats.org/spreadsheetml/2006/main" r="V44" s="18" t="str">
        <f t="shared" si="2"/>
        <v/>
      </c>
      <c r="W44" s="22"/>
      <c r="X44" s="22"/>
      <c xmlns="http://schemas.openxmlformats.org/spreadsheetml/2006/main" r="Y44">
        <f>IF($C44="",0,IF(COUNTIF($C$5:$C44,$C44)=1,1,0))</f>
        <v>0.0</v>
      </c>
      <c xmlns="http://schemas.openxmlformats.org/spreadsheetml/2006/main" r="Z44" t="str">
        <f>IF(Y44=1,SUM($Y$5:$Y44),"")</f>
        <v/>
      </c>
    </row>
    <row r="45" spans="1:26">
      <c r="A45" s="22"/>
      <c r="B45" s="22"/>
      <c r="C45" s="22"/>
      <c r="D45" s="22"/>
      <c r="E45" s="23"/>
      <c r="F45" s="23"/>
      <c r="G45" s="24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6"/>
      <c xmlns="http://schemas.openxmlformats.org/spreadsheetml/2006/main" r="T45" s="23" t="str">
        <f t="shared" si="0"/>
        <v/>
      </c>
      <c xmlns="http://schemas.openxmlformats.org/spreadsheetml/2006/main" r="U45" s="22" t="str">
        <f t="shared" si="1"/>
        <v/>
      </c>
      <c xmlns="http://schemas.openxmlformats.org/spreadsheetml/2006/main" r="V45" s="18" t="str">
        <f t="shared" si="2"/>
        <v/>
      </c>
      <c r="W45" s="22"/>
      <c r="X45" s="22"/>
      <c xmlns="http://schemas.openxmlformats.org/spreadsheetml/2006/main" r="Y45">
        <f>IF($C45="",0,IF(COUNTIF($C$5:$C45,$C45)=1,1,0))</f>
        <v>0.0</v>
      </c>
      <c xmlns="http://schemas.openxmlformats.org/spreadsheetml/2006/main" r="Z45" t="str">
        <f>IF(Y45=1,SUM($Y$5:$Y45),"")</f>
        <v/>
      </c>
    </row>
    <row r="46" spans="1:26">
      <c r="A46" s="22"/>
      <c r="B46" s="22"/>
      <c r="C46" s="22"/>
      <c r="D46" s="22"/>
      <c r="E46" s="23"/>
      <c r="F46" s="23"/>
      <c r="G46" s="24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xmlns="http://schemas.openxmlformats.org/spreadsheetml/2006/main" r="T46" s="23" t="str">
        <f t="shared" si="0"/>
        <v/>
      </c>
      <c xmlns="http://schemas.openxmlformats.org/spreadsheetml/2006/main" r="U46" s="22" t="str">
        <f t="shared" si="1"/>
        <v/>
      </c>
      <c xmlns="http://schemas.openxmlformats.org/spreadsheetml/2006/main" r="V46" s="18" t="str">
        <f t="shared" si="2"/>
        <v/>
      </c>
      <c r="W46" s="22"/>
      <c r="X46" s="22"/>
      <c xmlns="http://schemas.openxmlformats.org/spreadsheetml/2006/main" r="Y46">
        <f>IF($C46="",0,IF(COUNTIF($C$5:$C46,$C46)=1,1,0))</f>
        <v>0.0</v>
      </c>
      <c xmlns="http://schemas.openxmlformats.org/spreadsheetml/2006/main" r="Z46" t="str">
        <f>IF(Y46=1,SUM($Y$5:$Y46),"")</f>
        <v/>
      </c>
    </row>
    <row r="47" spans="1:26">
      <c r="A47" s="22"/>
      <c r="B47" s="22"/>
      <c r="C47" s="22"/>
      <c r="D47" s="22"/>
      <c r="E47" s="23"/>
      <c r="F47" s="23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6"/>
      <c xmlns="http://schemas.openxmlformats.org/spreadsheetml/2006/main" r="T47" s="23" t="str">
        <f t="shared" si="0"/>
        <v/>
      </c>
      <c xmlns="http://schemas.openxmlformats.org/spreadsheetml/2006/main" r="U47" s="22" t="str">
        <f t="shared" si="1"/>
        <v/>
      </c>
      <c xmlns="http://schemas.openxmlformats.org/spreadsheetml/2006/main" r="V47" s="18" t="str">
        <f t="shared" si="2"/>
        <v/>
      </c>
      <c r="W47" s="22"/>
      <c r="X47" s="22"/>
      <c xmlns="http://schemas.openxmlformats.org/spreadsheetml/2006/main" r="Y47">
        <f>IF($C47="",0,IF(COUNTIF($C$5:$C47,$C47)=1,1,0))</f>
        <v>0.0</v>
      </c>
      <c xmlns="http://schemas.openxmlformats.org/spreadsheetml/2006/main" r="Z47" t="str">
        <f>IF(Y47=1,SUM($Y$5:$Y47),"")</f>
        <v/>
      </c>
    </row>
    <row r="48" spans="1:26">
      <c r="A48" s="22"/>
      <c r="B48" s="22"/>
      <c r="C48" s="22"/>
      <c r="D48" s="22"/>
      <c r="E48" s="23"/>
      <c r="F48" s="23"/>
      <c r="G48" s="24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6"/>
      <c xmlns="http://schemas.openxmlformats.org/spreadsheetml/2006/main" r="T48" s="23" t="str">
        <f t="shared" si="0"/>
        <v/>
      </c>
      <c xmlns="http://schemas.openxmlformats.org/spreadsheetml/2006/main" r="U48" s="22" t="str">
        <f t="shared" si="1"/>
        <v/>
      </c>
      <c xmlns="http://schemas.openxmlformats.org/spreadsheetml/2006/main" r="V48" s="18" t="str">
        <f t="shared" si="2"/>
        <v/>
      </c>
      <c r="W48" s="22"/>
      <c r="X48" s="22"/>
      <c xmlns="http://schemas.openxmlformats.org/spreadsheetml/2006/main" r="Y48">
        <f>IF($C48="",0,IF(COUNTIF($C$5:$C48,$C48)=1,1,0))</f>
        <v>0.0</v>
      </c>
      <c xmlns="http://schemas.openxmlformats.org/spreadsheetml/2006/main" r="Z48" t="str">
        <f>IF(Y48=1,SUM($Y$5:$Y48),"")</f>
        <v/>
      </c>
    </row>
    <row r="49" spans="1:26">
      <c r="A49" s="22"/>
      <c r="B49" s="22"/>
      <c r="C49" s="22"/>
      <c r="D49" s="22"/>
      <c r="E49" s="23"/>
      <c r="F49" s="23"/>
      <c r="G49" s="2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6"/>
      <c xmlns="http://schemas.openxmlformats.org/spreadsheetml/2006/main" r="T49" s="23" t="str">
        <f t="shared" si="0"/>
        <v/>
      </c>
      <c xmlns="http://schemas.openxmlformats.org/spreadsheetml/2006/main" r="U49" s="22" t="str">
        <f t="shared" si="1"/>
        <v/>
      </c>
      <c xmlns="http://schemas.openxmlformats.org/spreadsheetml/2006/main" r="V49" s="18" t="str">
        <f t="shared" si="2"/>
        <v/>
      </c>
      <c r="W49" s="22"/>
      <c r="X49" s="22"/>
      <c xmlns="http://schemas.openxmlformats.org/spreadsheetml/2006/main" r="Y49">
        <f>IF($C49="",0,IF(COUNTIF($C$5:$C49,$C49)=1,1,0))</f>
        <v>0.0</v>
      </c>
      <c xmlns="http://schemas.openxmlformats.org/spreadsheetml/2006/main" r="Z49" t="str">
        <f>IF(Y49=1,SUM($Y$5:$Y49),"")</f>
        <v/>
      </c>
    </row>
    <row r="50" spans="1:26">
      <c r="A50" s="22"/>
      <c r="B50" s="22"/>
      <c r="C50" s="22"/>
      <c r="D50" s="22"/>
      <c r="E50" s="23"/>
      <c r="F50" s="23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6"/>
      <c xmlns="http://schemas.openxmlformats.org/spreadsheetml/2006/main" r="T50" s="23" t="str">
        <f t="shared" si="0"/>
        <v/>
      </c>
      <c xmlns="http://schemas.openxmlformats.org/spreadsheetml/2006/main" r="U50" s="22" t="str">
        <f t="shared" si="1"/>
        <v/>
      </c>
      <c xmlns="http://schemas.openxmlformats.org/spreadsheetml/2006/main" r="V50" s="18" t="str">
        <f t="shared" si="2"/>
        <v/>
      </c>
      <c r="W50" s="22"/>
      <c r="X50" s="22"/>
      <c xmlns="http://schemas.openxmlformats.org/spreadsheetml/2006/main" r="Y50">
        <f>IF($C50="",0,IF(COUNTIF($C$5:$C50,$C50)=1,1,0))</f>
        <v>0.0</v>
      </c>
      <c xmlns="http://schemas.openxmlformats.org/spreadsheetml/2006/main" r="Z50" t="str">
        <f>IF(Y50=1,SUM($Y$5:$Y50),"")</f>
        <v/>
      </c>
    </row>
    <row r="51" spans="1:26">
      <c r="A51" s="22"/>
      <c r="B51" s="22"/>
      <c r="C51" s="22"/>
      <c r="D51" s="22"/>
      <c r="E51" s="23"/>
      <c r="F51" s="23"/>
      <c r="G51" s="24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/>
      <c xmlns="http://schemas.openxmlformats.org/spreadsheetml/2006/main" r="T51" s="23" t="str">
        <f t="shared" si="0"/>
        <v/>
      </c>
      <c xmlns="http://schemas.openxmlformats.org/spreadsheetml/2006/main" r="U51" s="22" t="str">
        <f t="shared" si="1"/>
        <v/>
      </c>
      <c xmlns="http://schemas.openxmlformats.org/spreadsheetml/2006/main" r="V51" s="18" t="str">
        <f t="shared" si="2"/>
        <v/>
      </c>
      <c r="W51" s="22"/>
      <c r="X51" s="22"/>
      <c xmlns="http://schemas.openxmlformats.org/spreadsheetml/2006/main" r="Y51">
        <f>IF($C51="",0,IF(COUNTIF($C$5:$C51,$C51)=1,1,0))</f>
        <v>0.0</v>
      </c>
      <c xmlns="http://schemas.openxmlformats.org/spreadsheetml/2006/main" r="Z51" t="str">
        <f>IF(Y51=1,SUM($Y$5:$Y51),"")</f>
        <v/>
      </c>
    </row>
    <row r="52" spans="1:26">
      <c r="A52" s="22"/>
      <c r="B52" s="22"/>
      <c r="C52" s="22"/>
      <c r="D52" s="22"/>
      <c r="E52" s="23"/>
      <c r="F52" s="23"/>
      <c r="G52" s="2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xmlns="http://schemas.openxmlformats.org/spreadsheetml/2006/main" r="T52" s="23" t="str">
        <f t="shared" si="0"/>
        <v/>
      </c>
      <c xmlns="http://schemas.openxmlformats.org/spreadsheetml/2006/main" r="U52" s="22" t="str">
        <f t="shared" si="1"/>
        <v/>
      </c>
      <c xmlns="http://schemas.openxmlformats.org/spreadsheetml/2006/main" r="V52" s="18" t="str">
        <f t="shared" si="2"/>
        <v/>
      </c>
      <c r="W52" s="22"/>
      <c r="X52" s="22"/>
      <c xmlns="http://schemas.openxmlformats.org/spreadsheetml/2006/main" r="Y52">
        <f>IF($C52="",0,IF(COUNTIF($C$5:$C52,$C52)=1,1,0))</f>
        <v>0.0</v>
      </c>
      <c xmlns="http://schemas.openxmlformats.org/spreadsheetml/2006/main" r="Z52" t="str">
        <f>IF(Y52=1,SUM($Y$5:$Y52),"")</f>
        <v/>
      </c>
    </row>
    <row r="53" spans="1:26">
      <c r="A53" s="22"/>
      <c r="B53" s="22"/>
      <c r="C53" s="22"/>
      <c r="D53" s="22"/>
      <c r="E53" s="23"/>
      <c r="F53" s="23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6"/>
      <c xmlns="http://schemas.openxmlformats.org/spreadsheetml/2006/main" r="T53" s="23" t="str">
        <f t="shared" si="0"/>
        <v/>
      </c>
      <c xmlns="http://schemas.openxmlformats.org/spreadsheetml/2006/main" r="U53" s="22" t="str">
        <f t="shared" si="1"/>
        <v/>
      </c>
      <c xmlns="http://schemas.openxmlformats.org/spreadsheetml/2006/main" r="V53" s="18" t="str">
        <f t="shared" si="2"/>
        <v/>
      </c>
      <c r="W53" s="22"/>
      <c r="X53" s="22"/>
      <c xmlns="http://schemas.openxmlformats.org/spreadsheetml/2006/main" r="Y53">
        <f>IF($C53="",0,IF(COUNTIF($C$5:$C53,$C53)=1,1,0))</f>
        <v>0.0</v>
      </c>
      <c xmlns="http://schemas.openxmlformats.org/spreadsheetml/2006/main" r="Z53" t="str">
        <f>IF(Y53=1,SUM($Y$5:$Y53),"")</f>
        <v/>
      </c>
    </row>
    <row r="54" spans="1:26">
      <c r="A54" s="22"/>
      <c r="B54" s="22"/>
      <c r="C54" s="22"/>
      <c r="D54" s="22"/>
      <c r="E54" s="23"/>
      <c r="F54" s="23"/>
      <c r="G54" s="24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6"/>
      <c xmlns="http://schemas.openxmlformats.org/spreadsheetml/2006/main" r="T54" s="23" t="str">
        <f t="shared" si="0"/>
        <v/>
      </c>
      <c xmlns="http://schemas.openxmlformats.org/spreadsheetml/2006/main" r="U54" s="22" t="str">
        <f t="shared" si="1"/>
        <v/>
      </c>
      <c xmlns="http://schemas.openxmlformats.org/spreadsheetml/2006/main" r="V54" s="18" t="str">
        <f t="shared" si="2"/>
        <v/>
      </c>
      <c r="W54" s="22"/>
      <c r="X54" s="22"/>
      <c xmlns="http://schemas.openxmlformats.org/spreadsheetml/2006/main" r="Y54">
        <f>IF($C54="",0,IF(COUNTIF($C$5:$C54,$C54)=1,1,0))</f>
        <v>0.0</v>
      </c>
      <c xmlns="http://schemas.openxmlformats.org/spreadsheetml/2006/main" r="Z54" t="str">
        <f>IF(Y54=1,SUM($Y$5:$Y54),"")</f>
        <v/>
      </c>
    </row>
    <row r="55" spans="1:26">
      <c r="A55" s="22"/>
      <c r="B55" s="22"/>
      <c r="C55" s="22"/>
      <c r="D55" s="22"/>
      <c r="E55" s="23"/>
      <c r="F55" s="23"/>
      <c r="G55" s="2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6"/>
      <c xmlns="http://schemas.openxmlformats.org/spreadsheetml/2006/main" r="T55" s="23" t="str">
        <f t="shared" si="0"/>
        <v/>
      </c>
      <c xmlns="http://schemas.openxmlformats.org/spreadsheetml/2006/main" r="U55" s="22" t="str">
        <f t="shared" si="1"/>
        <v/>
      </c>
      <c xmlns="http://schemas.openxmlformats.org/spreadsheetml/2006/main" r="V55" s="18" t="str">
        <f t="shared" si="2"/>
        <v/>
      </c>
      <c r="W55" s="22"/>
      <c r="X55" s="22"/>
      <c xmlns="http://schemas.openxmlformats.org/spreadsheetml/2006/main" r="Y55">
        <f>IF($C55="",0,IF(COUNTIF($C$5:$C55,$C55)=1,1,0))</f>
        <v>0.0</v>
      </c>
      <c xmlns="http://schemas.openxmlformats.org/spreadsheetml/2006/main" r="Z55" t="str">
        <f>IF(Y55=1,SUM($Y$5:$Y55),"")</f>
        <v/>
      </c>
    </row>
    <row r="56" spans="1:26">
      <c r="A56" s="22"/>
      <c r="B56" s="22"/>
      <c r="C56" s="22"/>
      <c r="D56" s="22"/>
      <c r="E56" s="23"/>
      <c r="F56" s="23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6"/>
      <c xmlns="http://schemas.openxmlformats.org/spreadsheetml/2006/main" r="T56" s="23" t="str">
        <f t="shared" si="0"/>
        <v/>
      </c>
      <c xmlns="http://schemas.openxmlformats.org/spreadsheetml/2006/main" r="U56" s="22" t="str">
        <f t="shared" si="1"/>
        <v/>
      </c>
      <c xmlns="http://schemas.openxmlformats.org/spreadsheetml/2006/main" r="V56" s="18" t="str">
        <f t="shared" si="2"/>
        <v/>
      </c>
      <c r="W56" s="22"/>
      <c r="X56" s="22"/>
      <c xmlns="http://schemas.openxmlformats.org/spreadsheetml/2006/main" r="Y56">
        <f>IF($C56="",0,IF(COUNTIF($C$5:$C56,$C56)=1,1,0))</f>
        <v>0.0</v>
      </c>
      <c xmlns="http://schemas.openxmlformats.org/spreadsheetml/2006/main" r="Z56" t="str">
        <f>IF(Y56=1,SUM($Y$5:$Y56),"")</f>
        <v/>
      </c>
    </row>
    <row r="57" spans="1:26">
      <c r="A57" s="22"/>
      <c r="B57" s="22"/>
      <c r="C57" s="22"/>
      <c r="D57" s="22"/>
      <c r="E57" s="23"/>
      <c r="F57" s="23"/>
      <c r="G57" s="2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6"/>
      <c xmlns="http://schemas.openxmlformats.org/spreadsheetml/2006/main" r="T57" s="23" t="str">
        <f t="shared" si="0"/>
        <v/>
      </c>
      <c xmlns="http://schemas.openxmlformats.org/spreadsheetml/2006/main" r="U57" s="22" t="str">
        <f t="shared" si="1"/>
        <v/>
      </c>
      <c xmlns="http://schemas.openxmlformats.org/spreadsheetml/2006/main" r="V57" s="18" t="str">
        <f t="shared" si="2"/>
        <v/>
      </c>
      <c r="W57" s="22"/>
      <c r="X57" s="22"/>
      <c xmlns="http://schemas.openxmlformats.org/spreadsheetml/2006/main" r="Y57">
        <f>IF($C57="",0,IF(COUNTIF($C$5:$C57,$C57)=1,1,0))</f>
        <v>0.0</v>
      </c>
      <c xmlns="http://schemas.openxmlformats.org/spreadsheetml/2006/main" r="Z57" t="str">
        <f>IF(Y57=1,SUM($Y$5:$Y57),"")</f>
        <v/>
      </c>
    </row>
    <row r="58" spans="1:26">
      <c r="A58" s="22"/>
      <c r="B58" s="22"/>
      <c r="C58" s="22"/>
      <c r="D58" s="22"/>
      <c r="E58" s="23"/>
      <c r="F58" s="23"/>
      <c r="G58" s="24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6"/>
      <c xmlns="http://schemas.openxmlformats.org/spreadsheetml/2006/main" r="T58" s="23" t="str">
        <f t="shared" si="0"/>
        <v/>
      </c>
      <c xmlns="http://schemas.openxmlformats.org/spreadsheetml/2006/main" r="U58" s="22" t="str">
        <f t="shared" si="1"/>
        <v/>
      </c>
      <c xmlns="http://schemas.openxmlformats.org/spreadsheetml/2006/main" r="V58" s="18" t="str">
        <f t="shared" si="2"/>
        <v/>
      </c>
      <c r="W58" s="22"/>
      <c r="X58" s="22"/>
      <c xmlns="http://schemas.openxmlformats.org/spreadsheetml/2006/main" r="Y58">
        <f>IF($C58="",0,IF(COUNTIF($C$5:$C58,$C58)=1,1,0))</f>
        <v>0.0</v>
      </c>
      <c xmlns="http://schemas.openxmlformats.org/spreadsheetml/2006/main" r="Z58" t="str">
        <f>IF(Y58=1,SUM($Y$5:$Y58),"")</f>
        <v/>
      </c>
    </row>
    <row r="59" spans="1:26">
      <c r="A59" s="22"/>
      <c r="B59" s="22"/>
      <c r="C59" s="22"/>
      <c r="D59" s="22"/>
      <c r="E59" s="23"/>
      <c r="F59" s="23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6"/>
      <c xmlns="http://schemas.openxmlformats.org/spreadsheetml/2006/main" r="T59" s="23" t="str">
        <f t="shared" si="0"/>
        <v/>
      </c>
      <c xmlns="http://schemas.openxmlformats.org/spreadsheetml/2006/main" r="U59" s="22" t="str">
        <f t="shared" si="1"/>
        <v/>
      </c>
      <c xmlns="http://schemas.openxmlformats.org/spreadsheetml/2006/main" r="V59" s="18" t="str">
        <f t="shared" si="2"/>
        <v/>
      </c>
      <c r="W59" s="22"/>
      <c r="X59" s="22"/>
      <c xmlns="http://schemas.openxmlformats.org/spreadsheetml/2006/main" r="Y59">
        <f>IF($C59="",0,IF(COUNTIF($C$5:$C59,$C59)=1,1,0))</f>
        <v>0.0</v>
      </c>
      <c xmlns="http://schemas.openxmlformats.org/spreadsheetml/2006/main" r="Z59" t="str">
        <f>IF(Y59=1,SUM($Y$5:$Y59),"")</f>
        <v/>
      </c>
    </row>
    <row r="60" spans="1:26">
      <c r="A60" s="22"/>
      <c r="B60" s="22"/>
      <c r="C60" s="22"/>
      <c r="D60" s="22"/>
      <c r="E60" s="23"/>
      <c r="F60" s="23"/>
      <c r="G60" s="24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6"/>
      <c xmlns="http://schemas.openxmlformats.org/spreadsheetml/2006/main" r="T60" s="23" t="str">
        <f t="shared" si="0"/>
        <v/>
      </c>
      <c xmlns="http://schemas.openxmlformats.org/spreadsheetml/2006/main" r="U60" s="22" t="str">
        <f t="shared" si="1"/>
        <v/>
      </c>
      <c xmlns="http://schemas.openxmlformats.org/spreadsheetml/2006/main" r="V60" s="18" t="str">
        <f t="shared" si="2"/>
        <v/>
      </c>
      <c r="W60" s="22"/>
      <c r="X60" s="22"/>
      <c xmlns="http://schemas.openxmlformats.org/spreadsheetml/2006/main" r="Y60">
        <f>IF($C60="",0,IF(COUNTIF($C$5:$C60,$C60)=1,1,0))</f>
        <v>0.0</v>
      </c>
      <c xmlns="http://schemas.openxmlformats.org/spreadsheetml/2006/main" r="Z60" t="str">
        <f>IF(Y60=1,SUM($Y$5:$Y60),"")</f>
        <v/>
      </c>
    </row>
    <row r="61" spans="1:26">
      <c r="A61" s="22"/>
      <c r="B61" s="22"/>
      <c r="C61" s="22"/>
      <c r="D61" s="22"/>
      <c r="E61" s="23"/>
      <c r="F61" s="23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6"/>
      <c xmlns="http://schemas.openxmlformats.org/spreadsheetml/2006/main" r="T61" s="23" t="str">
        <f t="shared" si="0"/>
        <v/>
      </c>
      <c xmlns="http://schemas.openxmlformats.org/spreadsheetml/2006/main" r="U61" s="22" t="str">
        <f t="shared" si="1"/>
        <v/>
      </c>
      <c xmlns="http://schemas.openxmlformats.org/spreadsheetml/2006/main" r="V61" s="18" t="str">
        <f t="shared" si="2"/>
        <v/>
      </c>
      <c r="W61" s="22"/>
      <c r="X61" s="22"/>
      <c xmlns="http://schemas.openxmlformats.org/spreadsheetml/2006/main" r="Y61">
        <f>IF($C61="",0,IF(COUNTIF($C$5:$C61,$C61)=1,1,0))</f>
        <v>0.0</v>
      </c>
      <c xmlns="http://schemas.openxmlformats.org/spreadsheetml/2006/main" r="Z61" t="str">
        <f>IF(Y61=1,SUM($Y$5:$Y61),"")</f>
        <v/>
      </c>
    </row>
    <row r="62" spans="1:26">
      <c r="A62" s="22"/>
      <c r="B62" s="22"/>
      <c r="C62" s="22"/>
      <c r="D62" s="22"/>
      <c r="E62" s="23"/>
      <c r="F62" s="23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6"/>
      <c xmlns="http://schemas.openxmlformats.org/spreadsheetml/2006/main" r="T62" s="23" t="str">
        <f t="shared" si="0"/>
        <v/>
      </c>
      <c xmlns="http://schemas.openxmlformats.org/spreadsheetml/2006/main" r="U62" s="22" t="str">
        <f t="shared" si="1"/>
        <v/>
      </c>
      <c xmlns="http://schemas.openxmlformats.org/spreadsheetml/2006/main" r="V62" s="18" t="str">
        <f t="shared" si="2"/>
        <v/>
      </c>
      <c r="W62" s="22"/>
      <c r="X62" s="22"/>
      <c xmlns="http://schemas.openxmlformats.org/spreadsheetml/2006/main" r="Y62">
        <f>IF($C62="",0,IF(COUNTIF($C$5:$C62,$C62)=1,1,0))</f>
        <v>0.0</v>
      </c>
      <c xmlns="http://schemas.openxmlformats.org/spreadsheetml/2006/main" r="Z62" t="str">
        <f>IF(Y62=1,SUM($Y$5:$Y62),"")</f>
        <v/>
      </c>
    </row>
    <row r="63" spans="1:26">
      <c r="A63" s="22"/>
      <c r="B63" s="22"/>
      <c r="C63" s="22"/>
      <c r="D63" s="22"/>
      <c r="E63" s="23"/>
      <c r="F63" s="23"/>
      <c r="G63" s="2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6"/>
      <c xmlns="http://schemas.openxmlformats.org/spreadsheetml/2006/main" r="T63" s="23" t="str">
        <f t="shared" si="0"/>
        <v/>
      </c>
      <c xmlns="http://schemas.openxmlformats.org/spreadsheetml/2006/main" r="U63" s="22" t="str">
        <f t="shared" si="1"/>
        <v/>
      </c>
      <c xmlns="http://schemas.openxmlformats.org/spreadsheetml/2006/main" r="V63" s="18" t="str">
        <f t="shared" si="2"/>
        <v/>
      </c>
      <c r="W63" s="22"/>
      <c r="X63" s="22"/>
      <c xmlns="http://schemas.openxmlformats.org/spreadsheetml/2006/main" r="Y63">
        <f>IF($C63="",0,IF(COUNTIF($C$5:$C63,$C63)=1,1,0))</f>
        <v>0.0</v>
      </c>
      <c xmlns="http://schemas.openxmlformats.org/spreadsheetml/2006/main" r="Z63" t="str">
        <f>IF(Y63=1,SUM($Y$5:$Y63),"")</f>
        <v/>
      </c>
    </row>
    <row r="64" spans="1:26">
      <c r="A64" s="22"/>
      <c r="B64" s="22"/>
      <c r="C64" s="22"/>
      <c r="D64" s="22"/>
      <c r="E64" s="23"/>
      <c r="F64" s="23"/>
      <c r="G64" s="24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6"/>
      <c xmlns="http://schemas.openxmlformats.org/spreadsheetml/2006/main" r="T64" s="23" t="str">
        <f t="shared" si="0"/>
        <v/>
      </c>
      <c xmlns="http://schemas.openxmlformats.org/spreadsheetml/2006/main" r="U64" s="22" t="str">
        <f t="shared" si="1"/>
        <v/>
      </c>
      <c xmlns="http://schemas.openxmlformats.org/spreadsheetml/2006/main" r="V64" s="18" t="str">
        <f t="shared" si="2"/>
        <v/>
      </c>
      <c r="W64" s="22"/>
      <c r="X64" s="22"/>
      <c xmlns="http://schemas.openxmlformats.org/spreadsheetml/2006/main" r="Y64">
        <f>IF($C64="",0,IF(COUNTIF($C$5:$C64,$C64)=1,1,0))</f>
        <v>0.0</v>
      </c>
      <c xmlns="http://schemas.openxmlformats.org/spreadsheetml/2006/main" r="Z64" t="str">
        <f>IF(Y64=1,SUM($Y$5:$Y64),"")</f>
        <v/>
      </c>
    </row>
    <row r="65" spans="1:26">
      <c r="A65" s="22"/>
      <c r="B65" s="22"/>
      <c r="C65" s="22"/>
      <c r="D65" s="22"/>
      <c r="E65" s="23"/>
      <c r="F65" s="23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6"/>
      <c xmlns="http://schemas.openxmlformats.org/spreadsheetml/2006/main" r="T65" s="23" t="str">
        <f t="shared" si="0"/>
        <v/>
      </c>
      <c xmlns="http://schemas.openxmlformats.org/spreadsheetml/2006/main" r="U65" s="22" t="str">
        <f t="shared" si="1"/>
        <v/>
      </c>
      <c xmlns="http://schemas.openxmlformats.org/spreadsheetml/2006/main" r="V65" s="18" t="str">
        <f t="shared" si="2"/>
        <v/>
      </c>
      <c r="W65" s="22"/>
      <c r="X65" s="22"/>
      <c xmlns="http://schemas.openxmlformats.org/spreadsheetml/2006/main" r="Y65">
        <f>IF($C65="",0,IF(COUNTIF($C$5:$C65,$C65)=1,1,0))</f>
        <v>0.0</v>
      </c>
      <c xmlns="http://schemas.openxmlformats.org/spreadsheetml/2006/main" r="Z65" t="str">
        <f>IF(Y65=1,SUM($Y$5:$Y65),"")</f>
        <v/>
      </c>
    </row>
    <row r="66" spans="1:26">
      <c r="A66" s="22"/>
      <c r="B66" s="22"/>
      <c r="C66" s="22"/>
      <c r="D66" s="22"/>
      <c r="E66" s="23"/>
      <c r="F66" s="23"/>
      <c r="G66" s="24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  <c xmlns="http://schemas.openxmlformats.org/spreadsheetml/2006/main" r="T66" s="23" t="str">
        <f t="shared" si="0"/>
        <v/>
      </c>
      <c xmlns="http://schemas.openxmlformats.org/spreadsheetml/2006/main" r="U66" s="22" t="str">
        <f t="shared" si="1"/>
        <v/>
      </c>
      <c xmlns="http://schemas.openxmlformats.org/spreadsheetml/2006/main" r="V66" s="18" t="str">
        <f t="shared" si="2"/>
        <v/>
      </c>
      <c r="W66" s="22"/>
      <c r="X66" s="22"/>
      <c xmlns="http://schemas.openxmlformats.org/spreadsheetml/2006/main" r="Y66">
        <f>IF($C66="",0,IF(COUNTIF($C$5:$C66,$C66)=1,1,0))</f>
        <v>0.0</v>
      </c>
      <c xmlns="http://schemas.openxmlformats.org/spreadsheetml/2006/main" r="Z66" t="str">
        <f>IF(Y66=1,SUM($Y$5:$Y66),"")</f>
        <v/>
      </c>
    </row>
    <row r="67" spans="1:26">
      <c r="A67" s="22"/>
      <c r="B67" s="22"/>
      <c r="C67" s="22"/>
      <c r="D67" s="22"/>
      <c r="E67" s="23"/>
      <c r="F67" s="23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6"/>
      <c xmlns="http://schemas.openxmlformats.org/spreadsheetml/2006/main" r="T67" s="23" t="str">
        <f t="shared" si="0"/>
        <v/>
      </c>
      <c xmlns="http://schemas.openxmlformats.org/spreadsheetml/2006/main" r="U67" s="22" t="str">
        <f t="shared" si="1"/>
        <v/>
      </c>
      <c xmlns="http://schemas.openxmlformats.org/spreadsheetml/2006/main" r="V67" s="18" t="str">
        <f t="shared" si="2"/>
        <v/>
      </c>
      <c r="W67" s="22"/>
      <c r="X67" s="22"/>
      <c xmlns="http://schemas.openxmlformats.org/spreadsheetml/2006/main" r="Y67">
        <f>IF($C67="",0,IF(COUNTIF($C$5:$C67,$C67)=1,1,0))</f>
        <v>0.0</v>
      </c>
      <c xmlns="http://schemas.openxmlformats.org/spreadsheetml/2006/main" r="Z67" t="str">
        <f>IF(Y67=1,SUM($Y$5:$Y67),"")</f>
        <v/>
      </c>
    </row>
    <row r="68" spans="1:26">
      <c r="A68" s="22"/>
      <c r="B68" s="22"/>
      <c r="C68" s="22"/>
      <c r="D68" s="22"/>
      <c r="E68" s="23"/>
      <c r="F68" s="23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6"/>
      <c xmlns="http://schemas.openxmlformats.org/spreadsheetml/2006/main" r="T68" s="23" t="str">
        <f t="shared" si="0"/>
        <v/>
      </c>
      <c xmlns="http://schemas.openxmlformats.org/spreadsheetml/2006/main" r="U68" s="22" t="str">
        <f t="shared" si="1"/>
        <v/>
      </c>
      <c xmlns="http://schemas.openxmlformats.org/spreadsheetml/2006/main" r="V68" s="18" t="str">
        <f t="shared" si="2"/>
        <v/>
      </c>
      <c r="W68" s="22"/>
      <c r="X68" s="22"/>
      <c xmlns="http://schemas.openxmlformats.org/spreadsheetml/2006/main" r="Y68">
        <f>IF($C68="",0,IF(COUNTIF($C$5:$C68,$C68)=1,1,0))</f>
        <v>0.0</v>
      </c>
      <c xmlns="http://schemas.openxmlformats.org/spreadsheetml/2006/main" r="Z68" t="str">
        <f>IF(Y68=1,SUM($Y$5:$Y68),"")</f>
        <v/>
      </c>
    </row>
    <row r="69" spans="1:26">
      <c r="A69" s="22"/>
      <c r="B69" s="22"/>
      <c r="C69" s="22"/>
      <c r="D69" s="22"/>
      <c r="E69" s="23"/>
      <c r="F69" s="23"/>
      <c r="G69" s="2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6"/>
      <c xmlns="http://schemas.openxmlformats.org/spreadsheetml/2006/main" r="T69" s="23" t="str">
        <f t="shared" ref="T69:T132" si="3">IF($D69="","",COUNTIF($H69:$R69,"V"))</f>
        <v/>
      </c>
      <c xmlns="http://schemas.openxmlformats.org/spreadsheetml/2006/main" r="U69" s="22" t="str">
        <f t="shared" ref="U69:U132" si="4">IF($D69="","",IF(AND($S69="V",$T69&gt;0),"⚠ 勾選矛盾",IF($S69="V","○ 免調理",IF($T69=0,"⚠ 資料缺漏",IF($T69=1,"▲ 單一設備依賴","OK")))))</f>
        <v/>
      </c>
      <c xmlns="http://schemas.openxmlformats.org/spreadsheetml/2006/main" r="V69" s="18" t="str">
        <f t="shared" ref="V69:V132" si="5">IF($D69="","",IF(AND($S69="V",$T69&gt;0),"「無使用調理設備」不可與設備欄同時勾選，請擇一修正",IF($S69="V","免調理半成品（外購/僅切配等），不列入設備風險評估",IF($T69=0,"未勾選任何設備，請補填或勾選「無使用調理設備」",IF($T69=1,"僅依賴1台設備，須確認故障/排修時之備援製程","無異常")))))</f>
        <v/>
      </c>
      <c r="W69" s="22"/>
      <c r="X69" s="22"/>
      <c xmlns="http://schemas.openxmlformats.org/spreadsheetml/2006/main" r="Y69">
        <f>IF($C69="",0,IF(COUNTIF($C$5:$C69,$C69)=1,1,0))</f>
        <v>0.0</v>
      </c>
      <c xmlns="http://schemas.openxmlformats.org/spreadsheetml/2006/main" r="Z69" t="str">
        <f>IF(Y69=1,SUM($Y$5:$Y69),"")</f>
        <v/>
      </c>
    </row>
    <row r="70" spans="1:26">
      <c r="A70" s="22"/>
      <c r="B70" s="22"/>
      <c r="C70" s="22"/>
      <c r="D70" s="22"/>
      <c r="E70" s="23"/>
      <c r="F70" s="23"/>
      <c r="G70" s="2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/>
      <c xmlns="http://schemas.openxmlformats.org/spreadsheetml/2006/main" r="T70" s="23" t="str">
        <f t="shared" si="3"/>
        <v/>
      </c>
      <c xmlns="http://schemas.openxmlformats.org/spreadsheetml/2006/main" r="U70" s="22" t="str">
        <f t="shared" si="4"/>
        <v/>
      </c>
      <c xmlns="http://schemas.openxmlformats.org/spreadsheetml/2006/main" r="V70" s="18" t="str">
        <f t="shared" si="5"/>
        <v/>
      </c>
      <c r="W70" s="22"/>
      <c r="X70" s="22"/>
      <c xmlns="http://schemas.openxmlformats.org/spreadsheetml/2006/main" r="Y70">
        <f>IF($C70="",0,IF(COUNTIF($C$5:$C70,$C70)=1,1,0))</f>
        <v>0.0</v>
      </c>
      <c xmlns="http://schemas.openxmlformats.org/spreadsheetml/2006/main" r="Z70" t="str">
        <f>IF(Y70=1,SUM($Y$5:$Y70),"")</f>
        <v/>
      </c>
    </row>
    <row r="71" spans="1:26">
      <c r="A71" s="22"/>
      <c r="B71" s="22"/>
      <c r="C71" s="22"/>
      <c r="D71" s="22"/>
      <c r="E71" s="23"/>
      <c r="F71" s="23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  <c xmlns="http://schemas.openxmlformats.org/spreadsheetml/2006/main" r="T71" s="23" t="str">
        <f t="shared" si="3"/>
        <v/>
      </c>
      <c xmlns="http://schemas.openxmlformats.org/spreadsheetml/2006/main" r="U71" s="22" t="str">
        <f t="shared" si="4"/>
        <v/>
      </c>
      <c xmlns="http://schemas.openxmlformats.org/spreadsheetml/2006/main" r="V71" s="18" t="str">
        <f t="shared" si="5"/>
        <v/>
      </c>
      <c r="W71" s="22"/>
      <c r="X71" s="22"/>
      <c xmlns="http://schemas.openxmlformats.org/spreadsheetml/2006/main" r="Y71">
        <f>IF($C71="",0,IF(COUNTIF($C$5:$C71,$C71)=1,1,0))</f>
        <v>0.0</v>
      </c>
      <c xmlns="http://schemas.openxmlformats.org/spreadsheetml/2006/main" r="Z71" t="str">
        <f>IF(Y71=1,SUM($Y$5:$Y71),"")</f>
        <v/>
      </c>
    </row>
    <row r="72" spans="1:26">
      <c r="A72" s="22"/>
      <c r="B72" s="22"/>
      <c r="C72" s="22"/>
      <c r="D72" s="22"/>
      <c r="E72" s="23"/>
      <c r="F72" s="23"/>
      <c r="G72" s="24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6"/>
      <c xmlns="http://schemas.openxmlformats.org/spreadsheetml/2006/main" r="T72" s="23" t="str">
        <f t="shared" si="3"/>
        <v/>
      </c>
      <c xmlns="http://schemas.openxmlformats.org/spreadsheetml/2006/main" r="U72" s="22" t="str">
        <f t="shared" si="4"/>
        <v/>
      </c>
      <c xmlns="http://schemas.openxmlformats.org/spreadsheetml/2006/main" r="V72" s="18" t="str">
        <f t="shared" si="5"/>
        <v/>
      </c>
      <c r="W72" s="22"/>
      <c r="X72" s="22"/>
      <c xmlns="http://schemas.openxmlformats.org/spreadsheetml/2006/main" r="Y72">
        <f>IF($C72="",0,IF(COUNTIF($C$5:$C72,$C72)=1,1,0))</f>
        <v>0.0</v>
      </c>
      <c xmlns="http://schemas.openxmlformats.org/spreadsheetml/2006/main" r="Z72" t="str">
        <f>IF(Y72=1,SUM($Y$5:$Y72),"")</f>
        <v/>
      </c>
    </row>
    <row r="73" spans="1:26">
      <c r="A73" s="22"/>
      <c r="B73" s="22"/>
      <c r="C73" s="22"/>
      <c r="D73" s="22"/>
      <c r="E73" s="23"/>
      <c r="F73" s="23"/>
      <c r="G73" s="2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6"/>
      <c xmlns="http://schemas.openxmlformats.org/spreadsheetml/2006/main" r="T73" s="23" t="str">
        <f t="shared" si="3"/>
        <v/>
      </c>
      <c xmlns="http://schemas.openxmlformats.org/spreadsheetml/2006/main" r="U73" s="22" t="str">
        <f t="shared" si="4"/>
        <v/>
      </c>
      <c xmlns="http://schemas.openxmlformats.org/spreadsheetml/2006/main" r="V73" s="18" t="str">
        <f t="shared" si="5"/>
        <v/>
      </c>
      <c r="W73" s="22"/>
      <c r="X73" s="22"/>
      <c xmlns="http://schemas.openxmlformats.org/spreadsheetml/2006/main" r="Y73">
        <f>IF($C73="",0,IF(COUNTIF($C$5:$C73,$C73)=1,1,0))</f>
        <v>0.0</v>
      </c>
      <c xmlns="http://schemas.openxmlformats.org/spreadsheetml/2006/main" r="Z73" t="str">
        <f>IF(Y73=1,SUM($Y$5:$Y73),"")</f>
        <v/>
      </c>
    </row>
    <row r="74" spans="1:26">
      <c r="A74" s="22"/>
      <c r="B74" s="22"/>
      <c r="C74" s="22"/>
      <c r="D74" s="22"/>
      <c r="E74" s="23"/>
      <c r="F74" s="23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6"/>
      <c xmlns="http://schemas.openxmlformats.org/spreadsheetml/2006/main" r="T74" s="23" t="str">
        <f t="shared" si="3"/>
        <v/>
      </c>
      <c xmlns="http://schemas.openxmlformats.org/spreadsheetml/2006/main" r="U74" s="22" t="str">
        <f t="shared" si="4"/>
        <v/>
      </c>
      <c xmlns="http://schemas.openxmlformats.org/spreadsheetml/2006/main" r="V74" s="18" t="str">
        <f t="shared" si="5"/>
        <v/>
      </c>
      <c r="W74" s="22"/>
      <c r="X74" s="22"/>
      <c xmlns="http://schemas.openxmlformats.org/spreadsheetml/2006/main" r="Y74">
        <f>IF($C74="",0,IF(COUNTIF($C$5:$C74,$C74)=1,1,0))</f>
        <v>0.0</v>
      </c>
      <c xmlns="http://schemas.openxmlformats.org/spreadsheetml/2006/main" r="Z74" t="str">
        <f>IF(Y74=1,SUM($Y$5:$Y74),"")</f>
        <v/>
      </c>
    </row>
    <row r="75" spans="1:26">
      <c r="A75" s="22"/>
      <c r="B75" s="22"/>
      <c r="C75" s="22"/>
      <c r="D75" s="22"/>
      <c r="E75" s="23"/>
      <c r="F75" s="23"/>
      <c r="G75" s="2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6"/>
      <c xmlns="http://schemas.openxmlformats.org/spreadsheetml/2006/main" r="T75" s="23" t="str">
        <f t="shared" si="3"/>
        <v/>
      </c>
      <c xmlns="http://schemas.openxmlformats.org/spreadsheetml/2006/main" r="U75" s="22" t="str">
        <f t="shared" si="4"/>
        <v/>
      </c>
      <c xmlns="http://schemas.openxmlformats.org/spreadsheetml/2006/main" r="V75" s="18" t="str">
        <f t="shared" si="5"/>
        <v/>
      </c>
      <c r="W75" s="22"/>
      <c r="X75" s="22"/>
      <c xmlns="http://schemas.openxmlformats.org/spreadsheetml/2006/main" r="Y75">
        <f>IF($C75="",0,IF(COUNTIF($C$5:$C75,$C75)=1,1,0))</f>
        <v>0.0</v>
      </c>
      <c xmlns="http://schemas.openxmlformats.org/spreadsheetml/2006/main" r="Z75" t="str">
        <f>IF(Y75=1,SUM($Y$5:$Y75),"")</f>
        <v/>
      </c>
    </row>
    <row r="76" spans="1:26">
      <c r="A76" s="22"/>
      <c r="B76" s="22"/>
      <c r="C76" s="22"/>
      <c r="D76" s="22"/>
      <c r="E76" s="23"/>
      <c r="F76" s="23"/>
      <c r="G76" s="24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xmlns="http://schemas.openxmlformats.org/spreadsheetml/2006/main" r="T76" s="23" t="str">
        <f t="shared" si="3"/>
        <v/>
      </c>
      <c xmlns="http://schemas.openxmlformats.org/spreadsheetml/2006/main" r="U76" s="22" t="str">
        <f t="shared" si="4"/>
        <v/>
      </c>
      <c xmlns="http://schemas.openxmlformats.org/spreadsheetml/2006/main" r="V76" s="18" t="str">
        <f t="shared" si="5"/>
        <v/>
      </c>
      <c r="W76" s="22"/>
      <c r="X76" s="22"/>
      <c xmlns="http://schemas.openxmlformats.org/spreadsheetml/2006/main" r="Y76">
        <f>IF($C76="",0,IF(COUNTIF($C$5:$C76,$C76)=1,1,0))</f>
        <v>0.0</v>
      </c>
      <c xmlns="http://schemas.openxmlformats.org/spreadsheetml/2006/main" r="Z76" t="str">
        <f>IF(Y76=1,SUM($Y$5:$Y76),"")</f>
        <v/>
      </c>
    </row>
    <row r="77" spans="1:26">
      <c r="A77" s="22"/>
      <c r="B77" s="22"/>
      <c r="C77" s="22"/>
      <c r="D77" s="22"/>
      <c r="E77" s="23"/>
      <c r="F77" s="23"/>
      <c r="G77" s="2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6"/>
      <c xmlns="http://schemas.openxmlformats.org/spreadsheetml/2006/main" r="T77" s="23" t="str">
        <f t="shared" si="3"/>
        <v/>
      </c>
      <c xmlns="http://schemas.openxmlformats.org/spreadsheetml/2006/main" r="U77" s="22" t="str">
        <f t="shared" si="4"/>
        <v/>
      </c>
      <c xmlns="http://schemas.openxmlformats.org/spreadsheetml/2006/main" r="V77" s="18" t="str">
        <f t="shared" si="5"/>
        <v/>
      </c>
      <c r="W77" s="22"/>
      <c r="X77" s="22"/>
      <c xmlns="http://schemas.openxmlformats.org/spreadsheetml/2006/main" r="Y77">
        <f>IF($C77="",0,IF(COUNTIF($C$5:$C77,$C77)=1,1,0))</f>
        <v>0.0</v>
      </c>
      <c xmlns="http://schemas.openxmlformats.org/spreadsheetml/2006/main" r="Z77" t="str">
        <f>IF(Y77=1,SUM($Y$5:$Y77),"")</f>
        <v/>
      </c>
    </row>
    <row r="78" spans="1:26">
      <c r="A78" s="22"/>
      <c r="B78" s="22"/>
      <c r="C78" s="22"/>
      <c r="D78" s="22"/>
      <c r="E78" s="23"/>
      <c r="F78" s="23"/>
      <c r="G78" s="24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6"/>
      <c xmlns="http://schemas.openxmlformats.org/spreadsheetml/2006/main" r="T78" s="23" t="str">
        <f t="shared" si="3"/>
        <v/>
      </c>
      <c xmlns="http://schemas.openxmlformats.org/spreadsheetml/2006/main" r="U78" s="22" t="str">
        <f t="shared" si="4"/>
        <v/>
      </c>
      <c xmlns="http://schemas.openxmlformats.org/spreadsheetml/2006/main" r="V78" s="18" t="str">
        <f t="shared" si="5"/>
        <v/>
      </c>
      <c r="W78" s="22"/>
      <c r="X78" s="22"/>
      <c xmlns="http://schemas.openxmlformats.org/spreadsheetml/2006/main" r="Y78">
        <f>IF($C78="",0,IF(COUNTIF($C$5:$C78,$C78)=1,1,0))</f>
        <v>0.0</v>
      </c>
      <c xmlns="http://schemas.openxmlformats.org/spreadsheetml/2006/main" r="Z78" t="str">
        <f>IF(Y78=1,SUM($Y$5:$Y78),"")</f>
        <v/>
      </c>
    </row>
    <row r="79" spans="1:26">
      <c r="A79" s="22"/>
      <c r="B79" s="22"/>
      <c r="C79" s="22"/>
      <c r="D79" s="22"/>
      <c r="E79" s="23"/>
      <c r="F79" s="23"/>
      <c r="G79" s="2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6"/>
      <c xmlns="http://schemas.openxmlformats.org/spreadsheetml/2006/main" r="T79" s="23" t="str">
        <f t="shared" si="3"/>
        <v/>
      </c>
      <c xmlns="http://schemas.openxmlformats.org/spreadsheetml/2006/main" r="U79" s="22" t="str">
        <f t="shared" si="4"/>
        <v/>
      </c>
      <c xmlns="http://schemas.openxmlformats.org/spreadsheetml/2006/main" r="V79" s="18" t="str">
        <f t="shared" si="5"/>
        <v/>
      </c>
      <c r="W79" s="22"/>
      <c r="X79" s="22"/>
      <c xmlns="http://schemas.openxmlformats.org/spreadsheetml/2006/main" r="Y79">
        <f>IF($C79="",0,IF(COUNTIF($C$5:$C79,$C79)=1,1,0))</f>
        <v>0.0</v>
      </c>
      <c xmlns="http://schemas.openxmlformats.org/spreadsheetml/2006/main" r="Z79" t="str">
        <f>IF(Y79=1,SUM($Y$5:$Y79),"")</f>
        <v/>
      </c>
    </row>
    <row r="80" spans="1:26">
      <c r="A80" s="22"/>
      <c r="B80" s="22"/>
      <c r="C80" s="22"/>
      <c r="D80" s="22"/>
      <c r="E80" s="23"/>
      <c r="F80" s="23"/>
      <c r="G80" s="24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6"/>
      <c xmlns="http://schemas.openxmlformats.org/spreadsheetml/2006/main" r="T80" s="23" t="str">
        <f t="shared" si="3"/>
        <v/>
      </c>
      <c xmlns="http://schemas.openxmlformats.org/spreadsheetml/2006/main" r="U80" s="22" t="str">
        <f t="shared" si="4"/>
        <v/>
      </c>
      <c xmlns="http://schemas.openxmlformats.org/spreadsheetml/2006/main" r="V80" s="18" t="str">
        <f t="shared" si="5"/>
        <v/>
      </c>
      <c r="W80" s="22"/>
      <c r="X80" s="22"/>
      <c xmlns="http://schemas.openxmlformats.org/spreadsheetml/2006/main" r="Y80">
        <f>IF($C80="",0,IF(COUNTIF($C$5:$C80,$C80)=1,1,0))</f>
        <v>0.0</v>
      </c>
      <c xmlns="http://schemas.openxmlformats.org/spreadsheetml/2006/main" r="Z80" t="str">
        <f>IF(Y80=1,SUM($Y$5:$Y80),"")</f>
        <v/>
      </c>
    </row>
    <row r="81" spans="1:26">
      <c r="A81" s="22"/>
      <c r="B81" s="22"/>
      <c r="C81" s="22"/>
      <c r="D81" s="22"/>
      <c r="E81" s="23"/>
      <c r="F81" s="23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6"/>
      <c xmlns="http://schemas.openxmlformats.org/spreadsheetml/2006/main" r="T81" s="23" t="str">
        <f t="shared" si="3"/>
        <v/>
      </c>
      <c xmlns="http://schemas.openxmlformats.org/spreadsheetml/2006/main" r="U81" s="22" t="str">
        <f t="shared" si="4"/>
        <v/>
      </c>
      <c xmlns="http://schemas.openxmlformats.org/spreadsheetml/2006/main" r="V81" s="18" t="str">
        <f t="shared" si="5"/>
        <v/>
      </c>
      <c r="W81" s="22"/>
      <c r="X81" s="22"/>
      <c xmlns="http://schemas.openxmlformats.org/spreadsheetml/2006/main" r="Y81">
        <f>IF($C81="",0,IF(COUNTIF($C$5:$C81,$C81)=1,1,0))</f>
        <v>0.0</v>
      </c>
      <c xmlns="http://schemas.openxmlformats.org/spreadsheetml/2006/main" r="Z81" t="str">
        <f>IF(Y81=1,SUM($Y$5:$Y81),"")</f>
        <v/>
      </c>
    </row>
    <row r="82" spans="1:26">
      <c r="A82" s="22"/>
      <c r="B82" s="22"/>
      <c r="C82" s="22"/>
      <c r="D82" s="22"/>
      <c r="E82" s="23"/>
      <c r="F82" s="23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6"/>
      <c xmlns="http://schemas.openxmlformats.org/spreadsheetml/2006/main" r="T82" s="23" t="str">
        <f t="shared" si="3"/>
        <v/>
      </c>
      <c xmlns="http://schemas.openxmlformats.org/spreadsheetml/2006/main" r="U82" s="22" t="str">
        <f t="shared" si="4"/>
        <v/>
      </c>
      <c xmlns="http://schemas.openxmlformats.org/spreadsheetml/2006/main" r="V82" s="18" t="str">
        <f t="shared" si="5"/>
        <v/>
      </c>
      <c r="W82" s="22"/>
      <c r="X82" s="22"/>
      <c xmlns="http://schemas.openxmlformats.org/spreadsheetml/2006/main" r="Y82">
        <f>IF($C82="",0,IF(COUNTIF($C$5:$C82,$C82)=1,1,0))</f>
        <v>0.0</v>
      </c>
      <c xmlns="http://schemas.openxmlformats.org/spreadsheetml/2006/main" r="Z82" t="str">
        <f>IF(Y82=1,SUM($Y$5:$Y82),"")</f>
        <v/>
      </c>
    </row>
    <row r="83" spans="1:26">
      <c r="A83" s="22"/>
      <c r="B83" s="22"/>
      <c r="C83" s="22"/>
      <c r="D83" s="22"/>
      <c r="E83" s="23"/>
      <c r="F83" s="23"/>
      <c r="G83" s="2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6"/>
      <c xmlns="http://schemas.openxmlformats.org/spreadsheetml/2006/main" r="T83" s="23" t="str">
        <f t="shared" si="3"/>
        <v/>
      </c>
      <c xmlns="http://schemas.openxmlformats.org/spreadsheetml/2006/main" r="U83" s="22" t="str">
        <f t="shared" si="4"/>
        <v/>
      </c>
      <c xmlns="http://schemas.openxmlformats.org/spreadsheetml/2006/main" r="V83" s="18" t="str">
        <f t="shared" si="5"/>
        <v/>
      </c>
      <c r="W83" s="22"/>
      <c r="X83" s="22"/>
      <c xmlns="http://schemas.openxmlformats.org/spreadsheetml/2006/main" r="Y83">
        <f>IF($C83="",0,IF(COUNTIF($C$5:$C83,$C83)=1,1,0))</f>
        <v>0.0</v>
      </c>
      <c xmlns="http://schemas.openxmlformats.org/spreadsheetml/2006/main" r="Z83" t="str">
        <f>IF(Y83=1,SUM($Y$5:$Y83),"")</f>
        <v/>
      </c>
    </row>
    <row r="84" spans="1:26">
      <c r="A84" s="22"/>
      <c r="B84" s="22"/>
      <c r="C84" s="22"/>
      <c r="D84" s="22"/>
      <c r="E84" s="23"/>
      <c r="F84" s="23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6"/>
      <c xmlns="http://schemas.openxmlformats.org/spreadsheetml/2006/main" r="T84" s="23" t="str">
        <f t="shared" si="3"/>
        <v/>
      </c>
      <c xmlns="http://schemas.openxmlformats.org/spreadsheetml/2006/main" r="U84" s="22" t="str">
        <f t="shared" si="4"/>
        <v/>
      </c>
      <c xmlns="http://schemas.openxmlformats.org/spreadsheetml/2006/main" r="V84" s="18" t="str">
        <f t="shared" si="5"/>
        <v/>
      </c>
      <c r="W84" s="22"/>
      <c r="X84" s="22"/>
      <c xmlns="http://schemas.openxmlformats.org/spreadsheetml/2006/main" r="Y84">
        <f>IF($C84="",0,IF(COUNTIF($C$5:$C84,$C84)=1,1,0))</f>
        <v>0.0</v>
      </c>
      <c xmlns="http://schemas.openxmlformats.org/spreadsheetml/2006/main" r="Z84" t="str">
        <f>IF(Y84=1,SUM($Y$5:$Y84),"")</f>
        <v/>
      </c>
    </row>
    <row r="85" spans="1:26">
      <c r="A85" s="22"/>
      <c r="B85" s="22"/>
      <c r="C85" s="22"/>
      <c r="D85" s="22"/>
      <c r="E85" s="23"/>
      <c r="F85" s="23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  <c xmlns="http://schemas.openxmlformats.org/spreadsheetml/2006/main" r="T85" s="23" t="str">
        <f t="shared" si="3"/>
        <v/>
      </c>
      <c xmlns="http://schemas.openxmlformats.org/spreadsheetml/2006/main" r="U85" s="22" t="str">
        <f t="shared" si="4"/>
        <v/>
      </c>
      <c xmlns="http://schemas.openxmlformats.org/spreadsheetml/2006/main" r="V85" s="18" t="str">
        <f t="shared" si="5"/>
        <v/>
      </c>
      <c r="W85" s="22"/>
      <c r="X85" s="22"/>
      <c xmlns="http://schemas.openxmlformats.org/spreadsheetml/2006/main" r="Y85">
        <f>IF($C85="",0,IF(COUNTIF($C$5:$C85,$C85)=1,1,0))</f>
        <v>0.0</v>
      </c>
      <c xmlns="http://schemas.openxmlformats.org/spreadsheetml/2006/main" r="Z85" t="str">
        <f>IF(Y85=1,SUM($Y$5:$Y85),"")</f>
        <v/>
      </c>
    </row>
    <row r="86" spans="1:26">
      <c r="A86" s="22"/>
      <c r="B86" s="22"/>
      <c r="C86" s="22"/>
      <c r="D86" s="22"/>
      <c r="E86" s="23"/>
      <c r="F86" s="23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  <c xmlns="http://schemas.openxmlformats.org/spreadsheetml/2006/main" r="T86" s="23" t="str">
        <f t="shared" si="3"/>
        <v/>
      </c>
      <c xmlns="http://schemas.openxmlformats.org/spreadsheetml/2006/main" r="U86" s="22" t="str">
        <f t="shared" si="4"/>
        <v/>
      </c>
      <c xmlns="http://schemas.openxmlformats.org/spreadsheetml/2006/main" r="V86" s="18" t="str">
        <f t="shared" si="5"/>
        <v/>
      </c>
      <c r="W86" s="22"/>
      <c r="X86" s="22"/>
      <c xmlns="http://schemas.openxmlformats.org/spreadsheetml/2006/main" r="Y86">
        <f>IF($C86="",0,IF(COUNTIF($C$5:$C86,$C86)=1,1,0))</f>
        <v>0.0</v>
      </c>
      <c xmlns="http://schemas.openxmlformats.org/spreadsheetml/2006/main" r="Z86" t="str">
        <f>IF(Y86=1,SUM($Y$5:$Y86),"")</f>
        <v/>
      </c>
    </row>
    <row r="87" spans="1:26">
      <c r="A87" s="22"/>
      <c r="B87" s="22"/>
      <c r="C87" s="22"/>
      <c r="D87" s="22"/>
      <c r="E87" s="23"/>
      <c r="F87" s="23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  <c xmlns="http://schemas.openxmlformats.org/spreadsheetml/2006/main" r="T87" s="23" t="str">
        <f t="shared" si="3"/>
        <v/>
      </c>
      <c xmlns="http://schemas.openxmlformats.org/spreadsheetml/2006/main" r="U87" s="22" t="str">
        <f t="shared" si="4"/>
        <v/>
      </c>
      <c xmlns="http://schemas.openxmlformats.org/spreadsheetml/2006/main" r="V87" s="18" t="str">
        <f t="shared" si="5"/>
        <v/>
      </c>
      <c r="W87" s="22"/>
      <c r="X87" s="22"/>
      <c xmlns="http://schemas.openxmlformats.org/spreadsheetml/2006/main" r="Y87">
        <f>IF($C87="",0,IF(COUNTIF($C$5:$C87,$C87)=1,1,0))</f>
        <v>0.0</v>
      </c>
      <c xmlns="http://schemas.openxmlformats.org/spreadsheetml/2006/main" r="Z87" t="str">
        <f>IF(Y87=1,SUM($Y$5:$Y87),"")</f>
        <v/>
      </c>
    </row>
    <row r="88" spans="1:26">
      <c r="A88" s="22"/>
      <c r="B88" s="22"/>
      <c r="C88" s="22"/>
      <c r="D88" s="22"/>
      <c r="E88" s="23"/>
      <c r="F88" s="23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  <c xmlns="http://schemas.openxmlformats.org/spreadsheetml/2006/main" r="T88" s="23" t="str">
        <f t="shared" si="3"/>
        <v/>
      </c>
      <c xmlns="http://schemas.openxmlformats.org/spreadsheetml/2006/main" r="U88" s="22" t="str">
        <f t="shared" si="4"/>
        <v/>
      </c>
      <c xmlns="http://schemas.openxmlformats.org/spreadsheetml/2006/main" r="V88" s="18" t="str">
        <f t="shared" si="5"/>
        <v/>
      </c>
      <c r="W88" s="22"/>
      <c r="X88" s="22"/>
      <c xmlns="http://schemas.openxmlformats.org/spreadsheetml/2006/main" r="Y88">
        <f>IF($C88="",0,IF(COUNTIF($C$5:$C88,$C88)=1,1,0))</f>
        <v>0.0</v>
      </c>
      <c xmlns="http://schemas.openxmlformats.org/spreadsheetml/2006/main" r="Z88" t="str">
        <f>IF(Y88=1,SUM($Y$5:$Y88),"")</f>
        <v/>
      </c>
    </row>
    <row r="89" spans="1:26">
      <c r="A89" s="22"/>
      <c r="B89" s="22"/>
      <c r="C89" s="22"/>
      <c r="D89" s="22"/>
      <c r="E89" s="23"/>
      <c r="F89" s="23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  <c xmlns="http://schemas.openxmlformats.org/spreadsheetml/2006/main" r="T89" s="23" t="str">
        <f t="shared" si="3"/>
        <v/>
      </c>
      <c xmlns="http://schemas.openxmlformats.org/spreadsheetml/2006/main" r="U89" s="22" t="str">
        <f t="shared" si="4"/>
        <v/>
      </c>
      <c xmlns="http://schemas.openxmlformats.org/spreadsheetml/2006/main" r="V89" s="18" t="str">
        <f t="shared" si="5"/>
        <v/>
      </c>
      <c r="W89" s="22"/>
      <c r="X89" s="22"/>
      <c xmlns="http://schemas.openxmlformats.org/spreadsheetml/2006/main" r="Y89">
        <f>IF($C89="",0,IF(COUNTIF($C$5:$C89,$C89)=1,1,0))</f>
        <v>0.0</v>
      </c>
      <c xmlns="http://schemas.openxmlformats.org/spreadsheetml/2006/main" r="Z89" t="str">
        <f>IF(Y89=1,SUM($Y$5:$Y89),"")</f>
        <v/>
      </c>
    </row>
    <row r="90" spans="1:26">
      <c r="A90" s="22"/>
      <c r="B90" s="22"/>
      <c r="C90" s="22"/>
      <c r="D90" s="22"/>
      <c r="E90" s="23"/>
      <c r="F90" s="23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  <c xmlns="http://schemas.openxmlformats.org/spreadsheetml/2006/main" r="T90" s="23" t="str">
        <f t="shared" si="3"/>
        <v/>
      </c>
      <c xmlns="http://schemas.openxmlformats.org/spreadsheetml/2006/main" r="U90" s="22" t="str">
        <f t="shared" si="4"/>
        <v/>
      </c>
      <c xmlns="http://schemas.openxmlformats.org/spreadsheetml/2006/main" r="V90" s="18" t="str">
        <f t="shared" si="5"/>
        <v/>
      </c>
      <c r="W90" s="22"/>
      <c r="X90" s="22"/>
      <c xmlns="http://schemas.openxmlformats.org/spreadsheetml/2006/main" r="Y90">
        <f>IF($C90="",0,IF(COUNTIF($C$5:$C90,$C90)=1,1,0))</f>
        <v>0.0</v>
      </c>
      <c xmlns="http://schemas.openxmlformats.org/spreadsheetml/2006/main" r="Z90" t="str">
        <f>IF(Y90=1,SUM($Y$5:$Y90),"")</f>
        <v/>
      </c>
    </row>
    <row r="91" spans="1:26">
      <c r="A91" s="22"/>
      <c r="B91" s="22"/>
      <c r="C91" s="22"/>
      <c r="D91" s="22"/>
      <c r="E91" s="23"/>
      <c r="F91" s="23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  <c xmlns="http://schemas.openxmlformats.org/spreadsheetml/2006/main" r="T91" s="23" t="str">
        <f t="shared" si="3"/>
        <v/>
      </c>
      <c xmlns="http://schemas.openxmlformats.org/spreadsheetml/2006/main" r="U91" s="22" t="str">
        <f t="shared" si="4"/>
        <v/>
      </c>
      <c xmlns="http://schemas.openxmlformats.org/spreadsheetml/2006/main" r="V91" s="18" t="str">
        <f t="shared" si="5"/>
        <v/>
      </c>
      <c r="W91" s="22"/>
      <c r="X91" s="22"/>
      <c xmlns="http://schemas.openxmlformats.org/spreadsheetml/2006/main" r="Y91">
        <f>IF($C91="",0,IF(COUNTIF($C$5:$C91,$C91)=1,1,0))</f>
        <v>0.0</v>
      </c>
      <c xmlns="http://schemas.openxmlformats.org/spreadsheetml/2006/main" r="Z91" t="str">
        <f>IF(Y91=1,SUM($Y$5:$Y91),"")</f>
        <v/>
      </c>
    </row>
    <row r="92" spans="1:26">
      <c r="A92" s="22"/>
      <c r="B92" s="22"/>
      <c r="C92" s="22"/>
      <c r="D92" s="22"/>
      <c r="E92" s="23"/>
      <c r="F92" s="23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  <c xmlns="http://schemas.openxmlformats.org/spreadsheetml/2006/main" r="T92" s="23" t="str">
        <f t="shared" si="3"/>
        <v/>
      </c>
      <c xmlns="http://schemas.openxmlformats.org/spreadsheetml/2006/main" r="U92" s="22" t="str">
        <f t="shared" si="4"/>
        <v/>
      </c>
      <c xmlns="http://schemas.openxmlformats.org/spreadsheetml/2006/main" r="V92" s="18" t="str">
        <f t="shared" si="5"/>
        <v/>
      </c>
      <c r="W92" s="22"/>
      <c r="X92" s="22"/>
      <c xmlns="http://schemas.openxmlformats.org/spreadsheetml/2006/main" r="Y92">
        <f>IF($C92="",0,IF(COUNTIF($C$5:$C92,$C92)=1,1,0))</f>
        <v>0.0</v>
      </c>
      <c xmlns="http://schemas.openxmlformats.org/spreadsheetml/2006/main" r="Z92" t="str">
        <f>IF(Y92=1,SUM($Y$5:$Y92),"")</f>
        <v/>
      </c>
    </row>
    <row r="93" spans="1:26">
      <c r="A93" s="22"/>
      <c r="B93" s="22"/>
      <c r="C93" s="22"/>
      <c r="D93" s="22"/>
      <c r="E93" s="23"/>
      <c r="F93" s="23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  <c xmlns="http://schemas.openxmlformats.org/spreadsheetml/2006/main" r="T93" s="23" t="str">
        <f t="shared" si="3"/>
        <v/>
      </c>
      <c xmlns="http://schemas.openxmlformats.org/spreadsheetml/2006/main" r="U93" s="22" t="str">
        <f t="shared" si="4"/>
        <v/>
      </c>
      <c xmlns="http://schemas.openxmlformats.org/spreadsheetml/2006/main" r="V93" s="18" t="str">
        <f t="shared" si="5"/>
        <v/>
      </c>
      <c r="W93" s="22"/>
      <c r="X93" s="22"/>
      <c xmlns="http://schemas.openxmlformats.org/spreadsheetml/2006/main" r="Y93">
        <f>IF($C93="",0,IF(COUNTIF($C$5:$C93,$C93)=1,1,0))</f>
        <v>0.0</v>
      </c>
      <c xmlns="http://schemas.openxmlformats.org/spreadsheetml/2006/main" r="Z93" t="str">
        <f>IF(Y93=1,SUM($Y$5:$Y93),"")</f>
        <v/>
      </c>
    </row>
    <row r="94" spans="1:26">
      <c r="A94" s="22"/>
      <c r="B94" s="22"/>
      <c r="C94" s="22"/>
      <c r="D94" s="22"/>
      <c r="E94" s="23"/>
      <c r="F94" s="23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  <c xmlns="http://schemas.openxmlformats.org/spreadsheetml/2006/main" r="T94" s="23" t="str">
        <f t="shared" si="3"/>
        <v/>
      </c>
      <c xmlns="http://schemas.openxmlformats.org/spreadsheetml/2006/main" r="U94" s="22" t="str">
        <f t="shared" si="4"/>
        <v/>
      </c>
      <c xmlns="http://schemas.openxmlformats.org/spreadsheetml/2006/main" r="V94" s="18" t="str">
        <f t="shared" si="5"/>
        <v/>
      </c>
      <c r="W94" s="22"/>
      <c r="X94" s="22"/>
      <c xmlns="http://schemas.openxmlformats.org/spreadsheetml/2006/main" r="Y94">
        <f>IF($C94="",0,IF(COUNTIF($C$5:$C94,$C94)=1,1,0))</f>
        <v>0.0</v>
      </c>
      <c xmlns="http://schemas.openxmlformats.org/spreadsheetml/2006/main" r="Z94" t="str">
        <f>IF(Y94=1,SUM($Y$5:$Y94),"")</f>
        <v/>
      </c>
    </row>
    <row r="95" spans="1:26">
      <c r="A95" s="22"/>
      <c r="B95" s="22"/>
      <c r="C95" s="22"/>
      <c r="D95" s="22"/>
      <c r="E95" s="23"/>
      <c r="F95" s="23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  <c xmlns="http://schemas.openxmlformats.org/spreadsheetml/2006/main" r="T95" s="23" t="str">
        <f t="shared" si="3"/>
        <v/>
      </c>
      <c xmlns="http://schemas.openxmlformats.org/spreadsheetml/2006/main" r="U95" s="22" t="str">
        <f t="shared" si="4"/>
        <v/>
      </c>
      <c xmlns="http://schemas.openxmlformats.org/spreadsheetml/2006/main" r="V95" s="18" t="str">
        <f t="shared" si="5"/>
        <v/>
      </c>
      <c r="W95" s="22"/>
      <c r="X95" s="22"/>
      <c xmlns="http://schemas.openxmlformats.org/spreadsheetml/2006/main" r="Y95">
        <f>IF($C95="",0,IF(COUNTIF($C$5:$C95,$C95)=1,1,0))</f>
        <v>0.0</v>
      </c>
      <c xmlns="http://schemas.openxmlformats.org/spreadsheetml/2006/main" r="Z95" t="str">
        <f>IF(Y95=1,SUM($Y$5:$Y95),"")</f>
        <v/>
      </c>
    </row>
    <row r="96" spans="1:26">
      <c r="A96" s="22"/>
      <c r="B96" s="22"/>
      <c r="C96" s="22"/>
      <c r="D96" s="22"/>
      <c r="E96" s="23"/>
      <c r="F96" s="23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  <c xmlns="http://schemas.openxmlformats.org/spreadsheetml/2006/main" r="T96" s="23" t="str">
        <f t="shared" si="3"/>
        <v/>
      </c>
      <c xmlns="http://schemas.openxmlformats.org/spreadsheetml/2006/main" r="U96" s="22" t="str">
        <f t="shared" si="4"/>
        <v/>
      </c>
      <c xmlns="http://schemas.openxmlformats.org/spreadsheetml/2006/main" r="V96" s="18" t="str">
        <f t="shared" si="5"/>
        <v/>
      </c>
      <c r="W96" s="22"/>
      <c r="X96" s="22"/>
      <c xmlns="http://schemas.openxmlformats.org/spreadsheetml/2006/main" r="Y96">
        <f>IF($C96="",0,IF(COUNTIF($C$5:$C96,$C96)=1,1,0))</f>
        <v>0.0</v>
      </c>
      <c xmlns="http://schemas.openxmlformats.org/spreadsheetml/2006/main" r="Z96" t="str">
        <f>IF(Y96=1,SUM($Y$5:$Y96),"")</f>
        <v/>
      </c>
    </row>
    <row r="97" spans="1:26">
      <c r="A97" s="22"/>
      <c r="B97" s="22"/>
      <c r="C97" s="22"/>
      <c r="D97" s="22"/>
      <c r="E97" s="23"/>
      <c r="F97" s="23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  <c xmlns="http://schemas.openxmlformats.org/spreadsheetml/2006/main" r="T97" s="23" t="str">
        <f t="shared" si="3"/>
        <v/>
      </c>
      <c xmlns="http://schemas.openxmlformats.org/spreadsheetml/2006/main" r="U97" s="22" t="str">
        <f t="shared" si="4"/>
        <v/>
      </c>
      <c xmlns="http://schemas.openxmlformats.org/spreadsheetml/2006/main" r="V97" s="18" t="str">
        <f t="shared" si="5"/>
        <v/>
      </c>
      <c r="W97" s="22"/>
      <c r="X97" s="22"/>
      <c xmlns="http://schemas.openxmlformats.org/spreadsheetml/2006/main" r="Y97">
        <f>IF($C97="",0,IF(COUNTIF($C$5:$C97,$C97)=1,1,0))</f>
        <v>0.0</v>
      </c>
      <c xmlns="http://schemas.openxmlformats.org/spreadsheetml/2006/main" r="Z97" t="str">
        <f>IF(Y97=1,SUM($Y$5:$Y97),"")</f>
        <v/>
      </c>
    </row>
    <row r="98" spans="1:26">
      <c r="A98" s="22"/>
      <c r="B98" s="22"/>
      <c r="C98" s="22"/>
      <c r="D98" s="22"/>
      <c r="E98" s="23"/>
      <c r="F98" s="23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  <c xmlns="http://schemas.openxmlformats.org/spreadsheetml/2006/main" r="T98" s="23" t="str">
        <f t="shared" si="3"/>
        <v/>
      </c>
      <c xmlns="http://schemas.openxmlformats.org/spreadsheetml/2006/main" r="U98" s="22" t="str">
        <f t="shared" si="4"/>
        <v/>
      </c>
      <c xmlns="http://schemas.openxmlformats.org/spreadsheetml/2006/main" r="V98" s="18" t="str">
        <f t="shared" si="5"/>
        <v/>
      </c>
      <c r="W98" s="22"/>
      <c r="X98" s="22"/>
      <c xmlns="http://schemas.openxmlformats.org/spreadsheetml/2006/main" r="Y98">
        <f>IF($C98="",0,IF(COUNTIF($C$5:$C98,$C98)=1,1,0))</f>
        <v>0.0</v>
      </c>
      <c xmlns="http://schemas.openxmlformats.org/spreadsheetml/2006/main" r="Z98" t="str">
        <f>IF(Y98=1,SUM($Y$5:$Y98),"")</f>
        <v/>
      </c>
    </row>
    <row r="99" spans="1:26">
      <c r="A99" s="22"/>
      <c r="B99" s="22"/>
      <c r="C99" s="22"/>
      <c r="D99" s="22"/>
      <c r="E99" s="23"/>
      <c r="F99" s="23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  <c xmlns="http://schemas.openxmlformats.org/spreadsheetml/2006/main" r="T99" s="23" t="str">
        <f t="shared" si="3"/>
        <v/>
      </c>
      <c xmlns="http://schemas.openxmlformats.org/spreadsheetml/2006/main" r="U99" s="22" t="str">
        <f t="shared" si="4"/>
        <v/>
      </c>
      <c xmlns="http://schemas.openxmlformats.org/spreadsheetml/2006/main" r="V99" s="18" t="str">
        <f t="shared" si="5"/>
        <v/>
      </c>
      <c r="W99" s="22"/>
      <c r="X99" s="22"/>
      <c xmlns="http://schemas.openxmlformats.org/spreadsheetml/2006/main" r="Y99">
        <f>IF($C99="",0,IF(COUNTIF($C$5:$C99,$C99)=1,1,0))</f>
        <v>0.0</v>
      </c>
      <c xmlns="http://schemas.openxmlformats.org/spreadsheetml/2006/main" r="Z99" t="str">
        <f>IF(Y99=1,SUM($Y$5:$Y99),"")</f>
        <v/>
      </c>
    </row>
    <row r="100" spans="1:26">
      <c r="A100" s="22"/>
      <c r="B100" s="22"/>
      <c r="C100" s="22"/>
      <c r="D100" s="22"/>
      <c r="E100" s="23"/>
      <c r="F100" s="23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xmlns="http://schemas.openxmlformats.org/spreadsheetml/2006/main" r="T100" s="23" t="str">
        <f t="shared" si="3"/>
        <v/>
      </c>
      <c xmlns="http://schemas.openxmlformats.org/spreadsheetml/2006/main" r="U100" s="22" t="str">
        <f t="shared" si="4"/>
        <v/>
      </c>
      <c xmlns="http://schemas.openxmlformats.org/spreadsheetml/2006/main" r="V100" s="18" t="str">
        <f t="shared" si="5"/>
        <v/>
      </c>
      <c r="W100" s="22"/>
      <c r="X100" s="22"/>
      <c xmlns="http://schemas.openxmlformats.org/spreadsheetml/2006/main" r="Y100">
        <f>IF($C100="",0,IF(COUNTIF($C$5:$C100,$C100)=1,1,0))</f>
        <v>0.0</v>
      </c>
      <c xmlns="http://schemas.openxmlformats.org/spreadsheetml/2006/main" r="Z100" t="str">
        <f>IF(Y100=1,SUM($Y$5:$Y100),"")</f>
        <v/>
      </c>
    </row>
    <row r="101" spans="1:26">
      <c r="A101" s="22"/>
      <c r="B101" s="22"/>
      <c r="C101" s="22"/>
      <c r="D101" s="22"/>
      <c r="E101" s="23"/>
      <c r="F101" s="23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  <c xmlns="http://schemas.openxmlformats.org/spreadsheetml/2006/main" r="T101" s="23" t="str">
        <f t="shared" si="3"/>
        <v/>
      </c>
      <c xmlns="http://schemas.openxmlformats.org/spreadsheetml/2006/main" r="U101" s="22" t="str">
        <f t="shared" si="4"/>
        <v/>
      </c>
      <c xmlns="http://schemas.openxmlformats.org/spreadsheetml/2006/main" r="V101" s="18" t="str">
        <f t="shared" si="5"/>
        <v/>
      </c>
      <c r="W101" s="22"/>
      <c r="X101" s="22"/>
      <c xmlns="http://schemas.openxmlformats.org/spreadsheetml/2006/main" r="Y101">
        <f>IF($C101="",0,IF(COUNTIF($C$5:$C101,$C101)=1,1,0))</f>
        <v>0.0</v>
      </c>
      <c xmlns="http://schemas.openxmlformats.org/spreadsheetml/2006/main" r="Z101" t="str">
        <f>IF(Y101=1,SUM($Y$5:$Y101),"")</f>
        <v/>
      </c>
    </row>
    <row r="102" spans="1:26">
      <c r="A102" s="22"/>
      <c r="B102" s="22"/>
      <c r="C102" s="22"/>
      <c r="D102" s="22"/>
      <c r="E102" s="23"/>
      <c r="F102" s="23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  <c xmlns="http://schemas.openxmlformats.org/spreadsheetml/2006/main" r="T102" s="23" t="str">
        <f t="shared" si="3"/>
        <v/>
      </c>
      <c xmlns="http://schemas.openxmlformats.org/spreadsheetml/2006/main" r="U102" s="22" t="str">
        <f t="shared" si="4"/>
        <v/>
      </c>
      <c xmlns="http://schemas.openxmlformats.org/spreadsheetml/2006/main" r="V102" s="18" t="str">
        <f t="shared" si="5"/>
        <v/>
      </c>
      <c r="W102" s="22"/>
      <c r="X102" s="22"/>
      <c xmlns="http://schemas.openxmlformats.org/spreadsheetml/2006/main" r="Y102">
        <f>IF($C102="",0,IF(COUNTIF($C$5:$C102,$C102)=1,1,0))</f>
        <v>0.0</v>
      </c>
      <c xmlns="http://schemas.openxmlformats.org/spreadsheetml/2006/main" r="Z102" t="str">
        <f>IF(Y102=1,SUM($Y$5:$Y102),"")</f>
        <v/>
      </c>
    </row>
    <row r="103" spans="1:26">
      <c r="A103" s="22"/>
      <c r="B103" s="22"/>
      <c r="C103" s="22"/>
      <c r="D103" s="22"/>
      <c r="E103" s="23"/>
      <c r="F103" s="23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  <c xmlns="http://schemas.openxmlformats.org/spreadsheetml/2006/main" r="T103" s="23" t="str">
        <f t="shared" si="3"/>
        <v/>
      </c>
      <c xmlns="http://schemas.openxmlformats.org/spreadsheetml/2006/main" r="U103" s="22" t="str">
        <f t="shared" si="4"/>
        <v/>
      </c>
      <c xmlns="http://schemas.openxmlformats.org/spreadsheetml/2006/main" r="V103" s="18" t="str">
        <f t="shared" si="5"/>
        <v/>
      </c>
      <c r="W103" s="22"/>
      <c r="X103" s="22"/>
      <c xmlns="http://schemas.openxmlformats.org/spreadsheetml/2006/main" r="Y103">
        <f>IF($C103="",0,IF(COUNTIF($C$5:$C103,$C103)=1,1,0))</f>
        <v>0.0</v>
      </c>
      <c xmlns="http://schemas.openxmlformats.org/spreadsheetml/2006/main" r="Z103" t="str">
        <f>IF(Y103=1,SUM($Y$5:$Y103),"")</f>
        <v/>
      </c>
    </row>
    <row r="104" spans="1:26">
      <c r="A104" s="22"/>
      <c r="B104" s="22"/>
      <c r="C104" s="22"/>
      <c r="D104" s="22"/>
      <c r="E104" s="23"/>
      <c r="F104" s="23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  <c xmlns="http://schemas.openxmlformats.org/spreadsheetml/2006/main" r="T104" s="23" t="str">
        <f t="shared" si="3"/>
        <v/>
      </c>
      <c xmlns="http://schemas.openxmlformats.org/spreadsheetml/2006/main" r="U104" s="22" t="str">
        <f t="shared" si="4"/>
        <v/>
      </c>
      <c xmlns="http://schemas.openxmlformats.org/spreadsheetml/2006/main" r="V104" s="18" t="str">
        <f t="shared" si="5"/>
        <v/>
      </c>
      <c r="W104" s="22"/>
      <c r="X104" s="22"/>
      <c xmlns="http://schemas.openxmlformats.org/spreadsheetml/2006/main" r="Y104">
        <f>IF($C104="",0,IF(COUNTIF($C$5:$C104,$C104)=1,1,0))</f>
        <v>0.0</v>
      </c>
      <c xmlns="http://schemas.openxmlformats.org/spreadsheetml/2006/main" r="Z104" t="str">
        <f>IF(Y104=1,SUM($Y$5:$Y104),"")</f>
        <v/>
      </c>
    </row>
    <row r="105" spans="1:26">
      <c r="A105" s="22"/>
      <c r="B105" s="22"/>
      <c r="C105" s="22"/>
      <c r="D105" s="22"/>
      <c r="E105" s="23"/>
      <c r="F105" s="23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  <c xmlns="http://schemas.openxmlformats.org/spreadsheetml/2006/main" r="T105" s="23" t="str">
        <f t="shared" si="3"/>
        <v/>
      </c>
      <c xmlns="http://schemas.openxmlformats.org/spreadsheetml/2006/main" r="U105" s="22" t="str">
        <f t="shared" si="4"/>
        <v/>
      </c>
      <c xmlns="http://schemas.openxmlformats.org/spreadsheetml/2006/main" r="V105" s="18" t="str">
        <f t="shared" si="5"/>
        <v/>
      </c>
      <c r="W105" s="22"/>
      <c r="X105" s="22"/>
      <c xmlns="http://schemas.openxmlformats.org/spreadsheetml/2006/main" r="Y105">
        <f>IF($C105="",0,IF(COUNTIF($C$5:$C105,$C105)=1,1,0))</f>
        <v>0.0</v>
      </c>
      <c xmlns="http://schemas.openxmlformats.org/spreadsheetml/2006/main" r="Z105" t="str">
        <f>IF(Y105=1,SUM($Y$5:$Y105),"")</f>
        <v/>
      </c>
    </row>
    <row r="106" spans="1:26">
      <c r="A106" s="22"/>
      <c r="B106" s="22"/>
      <c r="C106" s="22"/>
      <c r="D106" s="22"/>
      <c r="E106" s="23"/>
      <c r="F106" s="23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  <c xmlns="http://schemas.openxmlformats.org/spreadsheetml/2006/main" r="T106" s="23" t="str">
        <f t="shared" si="3"/>
        <v/>
      </c>
      <c xmlns="http://schemas.openxmlformats.org/spreadsheetml/2006/main" r="U106" s="22" t="str">
        <f t="shared" si="4"/>
        <v/>
      </c>
      <c xmlns="http://schemas.openxmlformats.org/spreadsheetml/2006/main" r="V106" s="18" t="str">
        <f t="shared" si="5"/>
        <v/>
      </c>
      <c r="W106" s="22"/>
      <c r="X106" s="22"/>
      <c xmlns="http://schemas.openxmlformats.org/spreadsheetml/2006/main" r="Y106">
        <f>IF($C106="",0,IF(COUNTIF($C$5:$C106,$C106)=1,1,0))</f>
        <v>0.0</v>
      </c>
      <c xmlns="http://schemas.openxmlformats.org/spreadsheetml/2006/main" r="Z106" t="str">
        <f>IF(Y106=1,SUM($Y$5:$Y106),"")</f>
        <v/>
      </c>
    </row>
    <row r="107" spans="1:26">
      <c r="A107" s="22"/>
      <c r="B107" s="22"/>
      <c r="C107" s="22"/>
      <c r="D107" s="22"/>
      <c r="E107" s="23"/>
      <c r="F107" s="23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  <c xmlns="http://schemas.openxmlformats.org/spreadsheetml/2006/main" r="T107" s="23" t="str">
        <f t="shared" si="3"/>
        <v/>
      </c>
      <c xmlns="http://schemas.openxmlformats.org/spreadsheetml/2006/main" r="U107" s="22" t="str">
        <f t="shared" si="4"/>
        <v/>
      </c>
      <c xmlns="http://schemas.openxmlformats.org/spreadsheetml/2006/main" r="V107" s="18" t="str">
        <f t="shared" si="5"/>
        <v/>
      </c>
      <c r="W107" s="22"/>
      <c r="X107" s="22"/>
      <c xmlns="http://schemas.openxmlformats.org/spreadsheetml/2006/main" r="Y107">
        <f>IF($C107="",0,IF(COUNTIF($C$5:$C107,$C107)=1,1,0))</f>
        <v>0.0</v>
      </c>
      <c xmlns="http://schemas.openxmlformats.org/spreadsheetml/2006/main" r="Z107" t="str">
        <f>IF(Y107=1,SUM($Y$5:$Y107),"")</f>
        <v/>
      </c>
    </row>
    <row r="108" spans="1:26">
      <c r="A108" s="22"/>
      <c r="B108" s="22"/>
      <c r="C108" s="22"/>
      <c r="D108" s="22"/>
      <c r="E108" s="23"/>
      <c r="F108" s="23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  <c xmlns="http://schemas.openxmlformats.org/spreadsheetml/2006/main" r="T108" s="23" t="str">
        <f t="shared" si="3"/>
        <v/>
      </c>
      <c xmlns="http://schemas.openxmlformats.org/spreadsheetml/2006/main" r="U108" s="22" t="str">
        <f t="shared" si="4"/>
        <v/>
      </c>
      <c xmlns="http://schemas.openxmlformats.org/spreadsheetml/2006/main" r="V108" s="18" t="str">
        <f t="shared" si="5"/>
        <v/>
      </c>
      <c r="W108" s="22"/>
      <c r="X108" s="22"/>
      <c xmlns="http://schemas.openxmlformats.org/spreadsheetml/2006/main" r="Y108">
        <f>IF($C108="",0,IF(COUNTIF($C$5:$C108,$C108)=1,1,0))</f>
        <v>0.0</v>
      </c>
      <c xmlns="http://schemas.openxmlformats.org/spreadsheetml/2006/main" r="Z108" t="str">
        <f>IF(Y108=1,SUM($Y$5:$Y108),"")</f>
        <v/>
      </c>
    </row>
    <row r="109" spans="1:26">
      <c r="A109" s="22"/>
      <c r="B109" s="22"/>
      <c r="C109" s="22"/>
      <c r="D109" s="22"/>
      <c r="E109" s="23"/>
      <c r="F109" s="23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  <c xmlns="http://schemas.openxmlformats.org/spreadsheetml/2006/main" r="T109" s="23" t="str">
        <f t="shared" si="3"/>
        <v/>
      </c>
      <c xmlns="http://schemas.openxmlformats.org/spreadsheetml/2006/main" r="U109" s="22" t="str">
        <f t="shared" si="4"/>
        <v/>
      </c>
      <c xmlns="http://schemas.openxmlformats.org/spreadsheetml/2006/main" r="V109" s="18" t="str">
        <f t="shared" si="5"/>
        <v/>
      </c>
      <c r="W109" s="22"/>
      <c r="X109" s="22"/>
      <c xmlns="http://schemas.openxmlformats.org/spreadsheetml/2006/main" r="Y109">
        <f>IF($C109="",0,IF(COUNTIF($C$5:$C109,$C109)=1,1,0))</f>
        <v>0.0</v>
      </c>
      <c xmlns="http://schemas.openxmlformats.org/spreadsheetml/2006/main" r="Z109" t="str">
        <f>IF(Y109=1,SUM($Y$5:$Y109),"")</f>
        <v/>
      </c>
    </row>
    <row r="110" spans="1:26">
      <c r="A110" s="22"/>
      <c r="B110" s="22"/>
      <c r="C110" s="22"/>
      <c r="D110" s="22"/>
      <c r="E110" s="23"/>
      <c r="F110" s="23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  <c xmlns="http://schemas.openxmlformats.org/spreadsheetml/2006/main" r="T110" s="23" t="str">
        <f t="shared" si="3"/>
        <v/>
      </c>
      <c xmlns="http://schemas.openxmlformats.org/spreadsheetml/2006/main" r="U110" s="22" t="str">
        <f t="shared" si="4"/>
        <v/>
      </c>
      <c xmlns="http://schemas.openxmlformats.org/spreadsheetml/2006/main" r="V110" s="18" t="str">
        <f t="shared" si="5"/>
        <v/>
      </c>
      <c r="W110" s="22"/>
      <c r="X110" s="22"/>
      <c xmlns="http://schemas.openxmlformats.org/spreadsheetml/2006/main" r="Y110">
        <f>IF($C110="",0,IF(COUNTIF($C$5:$C110,$C110)=1,1,0))</f>
        <v>0.0</v>
      </c>
      <c xmlns="http://schemas.openxmlformats.org/spreadsheetml/2006/main" r="Z110" t="str">
        <f>IF(Y110=1,SUM($Y$5:$Y110),"")</f>
        <v/>
      </c>
    </row>
    <row r="111" spans="1:26">
      <c r="A111" s="22"/>
      <c r="B111" s="22"/>
      <c r="C111" s="22"/>
      <c r="D111" s="22"/>
      <c r="E111" s="23"/>
      <c r="F111" s="23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  <c xmlns="http://schemas.openxmlformats.org/spreadsheetml/2006/main" r="T111" s="23" t="str">
        <f t="shared" si="3"/>
        <v/>
      </c>
      <c xmlns="http://schemas.openxmlformats.org/spreadsheetml/2006/main" r="U111" s="22" t="str">
        <f t="shared" si="4"/>
        <v/>
      </c>
      <c xmlns="http://schemas.openxmlformats.org/spreadsheetml/2006/main" r="V111" s="18" t="str">
        <f t="shared" si="5"/>
        <v/>
      </c>
      <c r="W111" s="22"/>
      <c r="X111" s="22"/>
      <c xmlns="http://schemas.openxmlformats.org/spreadsheetml/2006/main" r="Y111">
        <f>IF($C111="",0,IF(COUNTIF($C$5:$C111,$C111)=1,1,0))</f>
        <v>0.0</v>
      </c>
      <c xmlns="http://schemas.openxmlformats.org/spreadsheetml/2006/main" r="Z111" t="str">
        <f>IF(Y111=1,SUM($Y$5:$Y111),"")</f>
        <v/>
      </c>
    </row>
    <row r="112" spans="1:26">
      <c r="A112" s="22"/>
      <c r="B112" s="22"/>
      <c r="C112" s="22"/>
      <c r="D112" s="22"/>
      <c r="E112" s="23"/>
      <c r="F112" s="23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  <c xmlns="http://schemas.openxmlformats.org/spreadsheetml/2006/main" r="T112" s="23" t="str">
        <f t="shared" si="3"/>
        <v/>
      </c>
      <c xmlns="http://schemas.openxmlformats.org/spreadsheetml/2006/main" r="U112" s="22" t="str">
        <f t="shared" si="4"/>
        <v/>
      </c>
      <c xmlns="http://schemas.openxmlformats.org/spreadsheetml/2006/main" r="V112" s="18" t="str">
        <f t="shared" si="5"/>
        <v/>
      </c>
      <c r="W112" s="22"/>
      <c r="X112" s="22"/>
      <c xmlns="http://schemas.openxmlformats.org/spreadsheetml/2006/main" r="Y112">
        <f>IF($C112="",0,IF(COUNTIF($C$5:$C112,$C112)=1,1,0))</f>
        <v>0.0</v>
      </c>
      <c xmlns="http://schemas.openxmlformats.org/spreadsheetml/2006/main" r="Z112" t="str">
        <f>IF(Y112=1,SUM($Y$5:$Y112),"")</f>
        <v/>
      </c>
    </row>
    <row r="113" spans="1:26">
      <c r="A113" s="22"/>
      <c r="B113" s="22"/>
      <c r="C113" s="22"/>
      <c r="D113" s="22"/>
      <c r="E113" s="23"/>
      <c r="F113" s="23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  <c xmlns="http://schemas.openxmlformats.org/spreadsheetml/2006/main" r="T113" s="23" t="str">
        <f t="shared" si="3"/>
        <v/>
      </c>
      <c xmlns="http://schemas.openxmlformats.org/spreadsheetml/2006/main" r="U113" s="22" t="str">
        <f t="shared" si="4"/>
        <v/>
      </c>
      <c xmlns="http://schemas.openxmlformats.org/spreadsheetml/2006/main" r="V113" s="18" t="str">
        <f t="shared" si="5"/>
        <v/>
      </c>
      <c r="W113" s="22"/>
      <c r="X113" s="22"/>
      <c xmlns="http://schemas.openxmlformats.org/spreadsheetml/2006/main" r="Y113">
        <f>IF($C113="",0,IF(COUNTIF($C$5:$C113,$C113)=1,1,0))</f>
        <v>0.0</v>
      </c>
      <c xmlns="http://schemas.openxmlformats.org/spreadsheetml/2006/main" r="Z113" t="str">
        <f>IF(Y113=1,SUM($Y$5:$Y113),"")</f>
        <v/>
      </c>
    </row>
    <row r="114" spans="1:26">
      <c r="A114" s="22"/>
      <c r="B114" s="22"/>
      <c r="C114" s="22"/>
      <c r="D114" s="22"/>
      <c r="E114" s="23"/>
      <c r="F114" s="23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  <c xmlns="http://schemas.openxmlformats.org/spreadsheetml/2006/main" r="T114" s="23" t="str">
        <f t="shared" si="3"/>
        <v/>
      </c>
      <c xmlns="http://schemas.openxmlformats.org/spreadsheetml/2006/main" r="U114" s="22" t="str">
        <f t="shared" si="4"/>
        <v/>
      </c>
      <c xmlns="http://schemas.openxmlformats.org/spreadsheetml/2006/main" r="V114" s="18" t="str">
        <f t="shared" si="5"/>
        <v/>
      </c>
      <c r="W114" s="22"/>
      <c r="X114" s="22"/>
      <c xmlns="http://schemas.openxmlformats.org/spreadsheetml/2006/main" r="Y114">
        <f>IF($C114="",0,IF(COUNTIF($C$5:$C114,$C114)=1,1,0))</f>
        <v>0.0</v>
      </c>
      <c xmlns="http://schemas.openxmlformats.org/spreadsheetml/2006/main" r="Z114" t="str">
        <f>IF(Y114=1,SUM($Y$5:$Y114),"")</f>
        <v/>
      </c>
    </row>
    <row r="115" spans="1:26">
      <c r="A115" s="22"/>
      <c r="B115" s="22"/>
      <c r="C115" s="22"/>
      <c r="D115" s="22"/>
      <c r="E115" s="23"/>
      <c r="F115" s="23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  <c xmlns="http://schemas.openxmlformats.org/spreadsheetml/2006/main" r="T115" s="23" t="str">
        <f t="shared" si="3"/>
        <v/>
      </c>
      <c xmlns="http://schemas.openxmlformats.org/spreadsheetml/2006/main" r="U115" s="22" t="str">
        <f t="shared" si="4"/>
        <v/>
      </c>
      <c xmlns="http://schemas.openxmlformats.org/spreadsheetml/2006/main" r="V115" s="18" t="str">
        <f t="shared" si="5"/>
        <v/>
      </c>
      <c r="W115" s="22"/>
      <c r="X115" s="22"/>
      <c xmlns="http://schemas.openxmlformats.org/spreadsheetml/2006/main" r="Y115">
        <f>IF($C115="",0,IF(COUNTIF($C$5:$C115,$C115)=1,1,0))</f>
        <v>0.0</v>
      </c>
      <c xmlns="http://schemas.openxmlformats.org/spreadsheetml/2006/main" r="Z115" t="str">
        <f>IF(Y115=1,SUM($Y$5:$Y115),"")</f>
        <v/>
      </c>
    </row>
    <row r="116" spans="1:26">
      <c r="A116" s="22"/>
      <c r="B116" s="22"/>
      <c r="C116" s="22"/>
      <c r="D116" s="22"/>
      <c r="E116" s="23"/>
      <c r="F116" s="23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  <c xmlns="http://schemas.openxmlformats.org/spreadsheetml/2006/main" r="T116" s="23" t="str">
        <f t="shared" si="3"/>
        <v/>
      </c>
      <c xmlns="http://schemas.openxmlformats.org/spreadsheetml/2006/main" r="U116" s="22" t="str">
        <f t="shared" si="4"/>
        <v/>
      </c>
      <c xmlns="http://schemas.openxmlformats.org/spreadsheetml/2006/main" r="V116" s="18" t="str">
        <f t="shared" si="5"/>
        <v/>
      </c>
      <c r="W116" s="22"/>
      <c r="X116" s="22"/>
      <c xmlns="http://schemas.openxmlformats.org/spreadsheetml/2006/main" r="Y116">
        <f>IF($C116="",0,IF(COUNTIF($C$5:$C116,$C116)=1,1,0))</f>
        <v>0.0</v>
      </c>
      <c xmlns="http://schemas.openxmlformats.org/spreadsheetml/2006/main" r="Z116" t="str">
        <f>IF(Y116=1,SUM($Y$5:$Y116),"")</f>
        <v/>
      </c>
    </row>
    <row r="117" spans="1:26">
      <c r="A117" s="22"/>
      <c r="B117" s="22"/>
      <c r="C117" s="22"/>
      <c r="D117" s="22"/>
      <c r="E117" s="23"/>
      <c r="F117" s="23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  <c xmlns="http://schemas.openxmlformats.org/spreadsheetml/2006/main" r="T117" s="23" t="str">
        <f t="shared" si="3"/>
        <v/>
      </c>
      <c xmlns="http://schemas.openxmlformats.org/spreadsheetml/2006/main" r="U117" s="22" t="str">
        <f t="shared" si="4"/>
        <v/>
      </c>
      <c xmlns="http://schemas.openxmlformats.org/spreadsheetml/2006/main" r="V117" s="18" t="str">
        <f t="shared" si="5"/>
        <v/>
      </c>
      <c r="W117" s="22"/>
      <c r="X117" s="22"/>
      <c xmlns="http://schemas.openxmlformats.org/spreadsheetml/2006/main" r="Y117">
        <f>IF($C117="",0,IF(COUNTIF($C$5:$C117,$C117)=1,1,0))</f>
        <v>0.0</v>
      </c>
      <c xmlns="http://schemas.openxmlformats.org/spreadsheetml/2006/main" r="Z117" t="str">
        <f>IF(Y117=1,SUM($Y$5:$Y117),"")</f>
        <v/>
      </c>
    </row>
    <row r="118" spans="1:26">
      <c r="A118" s="22"/>
      <c r="B118" s="22"/>
      <c r="C118" s="22"/>
      <c r="D118" s="22"/>
      <c r="E118" s="23"/>
      <c r="F118" s="23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  <c xmlns="http://schemas.openxmlformats.org/spreadsheetml/2006/main" r="T118" s="23" t="str">
        <f t="shared" si="3"/>
        <v/>
      </c>
      <c xmlns="http://schemas.openxmlformats.org/spreadsheetml/2006/main" r="U118" s="22" t="str">
        <f t="shared" si="4"/>
        <v/>
      </c>
      <c xmlns="http://schemas.openxmlformats.org/spreadsheetml/2006/main" r="V118" s="18" t="str">
        <f t="shared" si="5"/>
        <v/>
      </c>
      <c r="W118" s="22"/>
      <c r="X118" s="22"/>
      <c xmlns="http://schemas.openxmlformats.org/spreadsheetml/2006/main" r="Y118">
        <f>IF($C118="",0,IF(COUNTIF($C$5:$C118,$C118)=1,1,0))</f>
        <v>0.0</v>
      </c>
      <c xmlns="http://schemas.openxmlformats.org/spreadsheetml/2006/main" r="Z118" t="str">
        <f>IF(Y118=1,SUM($Y$5:$Y118),"")</f>
        <v/>
      </c>
    </row>
    <row r="119" spans="1:26">
      <c r="A119" s="22"/>
      <c r="B119" s="22"/>
      <c r="C119" s="22"/>
      <c r="D119" s="22"/>
      <c r="E119" s="23"/>
      <c r="F119" s="23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  <c xmlns="http://schemas.openxmlformats.org/spreadsheetml/2006/main" r="T119" s="23" t="str">
        <f t="shared" si="3"/>
        <v/>
      </c>
      <c xmlns="http://schemas.openxmlformats.org/spreadsheetml/2006/main" r="U119" s="22" t="str">
        <f t="shared" si="4"/>
        <v/>
      </c>
      <c xmlns="http://schemas.openxmlformats.org/spreadsheetml/2006/main" r="V119" s="18" t="str">
        <f t="shared" si="5"/>
        <v/>
      </c>
      <c r="W119" s="22"/>
      <c r="X119" s="22"/>
      <c xmlns="http://schemas.openxmlformats.org/spreadsheetml/2006/main" r="Y119">
        <f>IF($C119="",0,IF(COUNTIF($C$5:$C119,$C119)=1,1,0))</f>
        <v>0.0</v>
      </c>
      <c xmlns="http://schemas.openxmlformats.org/spreadsheetml/2006/main" r="Z119" t="str">
        <f>IF(Y119=1,SUM($Y$5:$Y119),"")</f>
        <v/>
      </c>
    </row>
    <row r="120" spans="1:26">
      <c r="A120" s="22"/>
      <c r="B120" s="22"/>
      <c r="C120" s="22"/>
      <c r="D120" s="22"/>
      <c r="E120" s="23"/>
      <c r="F120" s="23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  <c xmlns="http://schemas.openxmlformats.org/spreadsheetml/2006/main" r="T120" s="23" t="str">
        <f t="shared" si="3"/>
        <v/>
      </c>
      <c xmlns="http://schemas.openxmlformats.org/spreadsheetml/2006/main" r="U120" s="22" t="str">
        <f t="shared" si="4"/>
        <v/>
      </c>
      <c xmlns="http://schemas.openxmlformats.org/spreadsheetml/2006/main" r="V120" s="18" t="str">
        <f t="shared" si="5"/>
        <v/>
      </c>
      <c r="W120" s="22"/>
      <c r="X120" s="22"/>
      <c xmlns="http://schemas.openxmlformats.org/spreadsheetml/2006/main" r="Y120">
        <f>IF($C120="",0,IF(COUNTIF($C$5:$C120,$C120)=1,1,0))</f>
        <v>0.0</v>
      </c>
      <c xmlns="http://schemas.openxmlformats.org/spreadsheetml/2006/main" r="Z120" t="str">
        <f>IF(Y120=1,SUM($Y$5:$Y120),"")</f>
        <v/>
      </c>
    </row>
    <row r="121" spans="1:26">
      <c r="A121" s="22"/>
      <c r="B121" s="22"/>
      <c r="C121" s="22"/>
      <c r="D121" s="22"/>
      <c r="E121" s="23"/>
      <c r="F121" s="23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  <c xmlns="http://schemas.openxmlformats.org/spreadsheetml/2006/main" r="T121" s="23" t="str">
        <f t="shared" si="3"/>
        <v/>
      </c>
      <c xmlns="http://schemas.openxmlformats.org/spreadsheetml/2006/main" r="U121" s="22" t="str">
        <f t="shared" si="4"/>
        <v/>
      </c>
      <c xmlns="http://schemas.openxmlformats.org/spreadsheetml/2006/main" r="V121" s="18" t="str">
        <f t="shared" si="5"/>
        <v/>
      </c>
      <c r="W121" s="22"/>
      <c r="X121" s="22"/>
      <c xmlns="http://schemas.openxmlformats.org/spreadsheetml/2006/main" r="Y121">
        <f>IF($C121="",0,IF(COUNTIF($C$5:$C121,$C121)=1,1,0))</f>
        <v>0.0</v>
      </c>
      <c xmlns="http://schemas.openxmlformats.org/spreadsheetml/2006/main" r="Z121" t="str">
        <f>IF(Y121=1,SUM($Y$5:$Y121),"")</f>
        <v/>
      </c>
    </row>
    <row r="122" spans="1:26">
      <c r="A122" s="22"/>
      <c r="B122" s="22"/>
      <c r="C122" s="22"/>
      <c r="D122" s="22"/>
      <c r="E122" s="23"/>
      <c r="F122" s="23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  <c xmlns="http://schemas.openxmlformats.org/spreadsheetml/2006/main" r="T122" s="23" t="str">
        <f t="shared" si="3"/>
        <v/>
      </c>
      <c xmlns="http://schemas.openxmlformats.org/spreadsheetml/2006/main" r="U122" s="22" t="str">
        <f t="shared" si="4"/>
        <v/>
      </c>
      <c xmlns="http://schemas.openxmlformats.org/spreadsheetml/2006/main" r="V122" s="18" t="str">
        <f t="shared" si="5"/>
        <v/>
      </c>
      <c r="W122" s="22"/>
      <c r="X122" s="22"/>
      <c xmlns="http://schemas.openxmlformats.org/spreadsheetml/2006/main" r="Y122">
        <f>IF($C122="",0,IF(COUNTIF($C$5:$C122,$C122)=1,1,0))</f>
        <v>0.0</v>
      </c>
      <c xmlns="http://schemas.openxmlformats.org/spreadsheetml/2006/main" r="Z122" t="str">
        <f>IF(Y122=1,SUM($Y$5:$Y122),"")</f>
        <v/>
      </c>
    </row>
    <row r="123" spans="1:26">
      <c r="A123" s="22"/>
      <c r="B123" s="22"/>
      <c r="C123" s="22"/>
      <c r="D123" s="22"/>
      <c r="E123" s="23"/>
      <c r="F123" s="23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  <c xmlns="http://schemas.openxmlformats.org/spreadsheetml/2006/main" r="T123" s="23" t="str">
        <f t="shared" si="3"/>
        <v/>
      </c>
      <c xmlns="http://schemas.openxmlformats.org/spreadsheetml/2006/main" r="U123" s="22" t="str">
        <f t="shared" si="4"/>
        <v/>
      </c>
      <c xmlns="http://schemas.openxmlformats.org/spreadsheetml/2006/main" r="V123" s="18" t="str">
        <f t="shared" si="5"/>
        <v/>
      </c>
      <c r="W123" s="22"/>
      <c r="X123" s="22"/>
      <c xmlns="http://schemas.openxmlformats.org/spreadsheetml/2006/main" r="Y123">
        <f>IF($C123="",0,IF(COUNTIF($C$5:$C123,$C123)=1,1,0))</f>
        <v>0.0</v>
      </c>
      <c xmlns="http://schemas.openxmlformats.org/spreadsheetml/2006/main" r="Z123" t="str">
        <f>IF(Y123=1,SUM($Y$5:$Y123),"")</f>
        <v/>
      </c>
    </row>
    <row r="124" spans="1:26">
      <c r="A124" s="22"/>
      <c r="B124" s="22"/>
      <c r="C124" s="22"/>
      <c r="D124" s="22"/>
      <c r="E124" s="23"/>
      <c r="F124" s="23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  <c xmlns="http://schemas.openxmlformats.org/spreadsheetml/2006/main" r="T124" s="23" t="str">
        <f t="shared" si="3"/>
        <v/>
      </c>
      <c xmlns="http://schemas.openxmlformats.org/spreadsheetml/2006/main" r="U124" s="22" t="str">
        <f t="shared" si="4"/>
        <v/>
      </c>
      <c xmlns="http://schemas.openxmlformats.org/spreadsheetml/2006/main" r="V124" s="18" t="str">
        <f t="shared" si="5"/>
        <v/>
      </c>
      <c r="W124" s="22"/>
      <c r="X124" s="22"/>
      <c xmlns="http://schemas.openxmlformats.org/spreadsheetml/2006/main" r="Y124">
        <f>IF($C124="",0,IF(COUNTIF($C$5:$C124,$C124)=1,1,0))</f>
        <v>0.0</v>
      </c>
      <c xmlns="http://schemas.openxmlformats.org/spreadsheetml/2006/main" r="Z124" t="str">
        <f>IF(Y124=1,SUM($Y$5:$Y124),"")</f>
        <v/>
      </c>
    </row>
    <row r="125" spans="1:26">
      <c r="A125" s="22"/>
      <c r="B125" s="22"/>
      <c r="C125" s="22"/>
      <c r="D125" s="22"/>
      <c r="E125" s="23"/>
      <c r="F125" s="23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  <c xmlns="http://schemas.openxmlformats.org/spreadsheetml/2006/main" r="T125" s="23" t="str">
        <f t="shared" si="3"/>
        <v/>
      </c>
      <c xmlns="http://schemas.openxmlformats.org/spreadsheetml/2006/main" r="U125" s="22" t="str">
        <f t="shared" si="4"/>
        <v/>
      </c>
      <c xmlns="http://schemas.openxmlformats.org/spreadsheetml/2006/main" r="V125" s="18" t="str">
        <f t="shared" si="5"/>
        <v/>
      </c>
      <c r="W125" s="22"/>
      <c r="X125" s="22"/>
      <c xmlns="http://schemas.openxmlformats.org/spreadsheetml/2006/main" r="Y125">
        <f>IF($C125="",0,IF(COUNTIF($C$5:$C125,$C125)=1,1,0))</f>
        <v>0.0</v>
      </c>
      <c xmlns="http://schemas.openxmlformats.org/spreadsheetml/2006/main" r="Z125" t="str">
        <f>IF(Y125=1,SUM($Y$5:$Y125),"")</f>
        <v/>
      </c>
    </row>
    <row r="126" spans="1:26">
      <c r="A126" s="22"/>
      <c r="B126" s="22"/>
      <c r="C126" s="22"/>
      <c r="D126" s="22"/>
      <c r="E126" s="23"/>
      <c r="F126" s="23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  <c xmlns="http://schemas.openxmlformats.org/spreadsheetml/2006/main" r="T126" s="23" t="str">
        <f t="shared" si="3"/>
        <v/>
      </c>
      <c xmlns="http://schemas.openxmlformats.org/spreadsheetml/2006/main" r="U126" s="22" t="str">
        <f t="shared" si="4"/>
        <v/>
      </c>
      <c xmlns="http://schemas.openxmlformats.org/spreadsheetml/2006/main" r="V126" s="18" t="str">
        <f t="shared" si="5"/>
        <v/>
      </c>
      <c r="W126" s="22"/>
      <c r="X126" s="22"/>
      <c xmlns="http://schemas.openxmlformats.org/spreadsheetml/2006/main" r="Y126">
        <f>IF($C126="",0,IF(COUNTIF($C$5:$C126,$C126)=1,1,0))</f>
        <v>0.0</v>
      </c>
      <c xmlns="http://schemas.openxmlformats.org/spreadsheetml/2006/main" r="Z126" t="str">
        <f>IF(Y126=1,SUM($Y$5:$Y126),"")</f>
        <v/>
      </c>
    </row>
    <row r="127" spans="1:26">
      <c r="A127" s="22"/>
      <c r="B127" s="22"/>
      <c r="C127" s="22"/>
      <c r="D127" s="22"/>
      <c r="E127" s="23"/>
      <c r="F127" s="23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  <c xmlns="http://schemas.openxmlformats.org/spreadsheetml/2006/main" r="T127" s="23" t="str">
        <f t="shared" si="3"/>
        <v/>
      </c>
      <c xmlns="http://schemas.openxmlformats.org/spreadsheetml/2006/main" r="U127" s="22" t="str">
        <f t="shared" si="4"/>
        <v/>
      </c>
      <c xmlns="http://schemas.openxmlformats.org/spreadsheetml/2006/main" r="V127" s="18" t="str">
        <f t="shared" si="5"/>
        <v/>
      </c>
      <c r="W127" s="22"/>
      <c r="X127" s="22"/>
      <c xmlns="http://schemas.openxmlformats.org/spreadsheetml/2006/main" r="Y127">
        <f>IF($C127="",0,IF(COUNTIF($C$5:$C127,$C127)=1,1,0))</f>
        <v>0.0</v>
      </c>
      <c xmlns="http://schemas.openxmlformats.org/spreadsheetml/2006/main" r="Z127" t="str">
        <f>IF(Y127=1,SUM($Y$5:$Y127),"")</f>
        <v/>
      </c>
    </row>
    <row r="128" spans="1:26">
      <c r="A128" s="22"/>
      <c r="B128" s="22"/>
      <c r="C128" s="22"/>
      <c r="D128" s="22"/>
      <c r="E128" s="23"/>
      <c r="F128" s="23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  <c xmlns="http://schemas.openxmlformats.org/spreadsheetml/2006/main" r="T128" s="23" t="str">
        <f t="shared" si="3"/>
        <v/>
      </c>
      <c xmlns="http://schemas.openxmlformats.org/spreadsheetml/2006/main" r="U128" s="22" t="str">
        <f t="shared" si="4"/>
        <v/>
      </c>
      <c xmlns="http://schemas.openxmlformats.org/spreadsheetml/2006/main" r="V128" s="18" t="str">
        <f t="shared" si="5"/>
        <v/>
      </c>
      <c r="W128" s="22"/>
      <c r="X128" s="22"/>
      <c xmlns="http://schemas.openxmlformats.org/spreadsheetml/2006/main" r="Y128">
        <f>IF($C128="",0,IF(COUNTIF($C$5:$C128,$C128)=1,1,0))</f>
        <v>0.0</v>
      </c>
      <c xmlns="http://schemas.openxmlformats.org/spreadsheetml/2006/main" r="Z128" t="str">
        <f>IF(Y128=1,SUM($Y$5:$Y128),"")</f>
        <v/>
      </c>
    </row>
    <row r="129" spans="1:26">
      <c r="A129" s="22"/>
      <c r="B129" s="22"/>
      <c r="C129" s="22"/>
      <c r="D129" s="22"/>
      <c r="E129" s="23"/>
      <c r="F129" s="23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  <c xmlns="http://schemas.openxmlformats.org/spreadsheetml/2006/main" r="T129" s="23" t="str">
        <f t="shared" si="3"/>
        <v/>
      </c>
      <c xmlns="http://schemas.openxmlformats.org/spreadsheetml/2006/main" r="U129" s="22" t="str">
        <f t="shared" si="4"/>
        <v/>
      </c>
      <c xmlns="http://schemas.openxmlformats.org/spreadsheetml/2006/main" r="V129" s="18" t="str">
        <f t="shared" si="5"/>
        <v/>
      </c>
      <c r="W129" s="22"/>
      <c r="X129" s="22"/>
      <c xmlns="http://schemas.openxmlformats.org/spreadsheetml/2006/main" r="Y129">
        <f>IF($C129="",0,IF(COUNTIF($C$5:$C129,$C129)=1,1,0))</f>
        <v>0.0</v>
      </c>
      <c xmlns="http://schemas.openxmlformats.org/spreadsheetml/2006/main" r="Z129" t="str">
        <f>IF(Y129=1,SUM($Y$5:$Y129),"")</f>
        <v/>
      </c>
    </row>
    <row r="130" spans="1:26">
      <c r="A130" s="22"/>
      <c r="B130" s="22"/>
      <c r="C130" s="22"/>
      <c r="D130" s="22"/>
      <c r="E130" s="23"/>
      <c r="F130" s="23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  <c xmlns="http://schemas.openxmlformats.org/spreadsheetml/2006/main" r="T130" s="23" t="str">
        <f t="shared" si="3"/>
        <v/>
      </c>
      <c xmlns="http://schemas.openxmlformats.org/spreadsheetml/2006/main" r="U130" s="22" t="str">
        <f t="shared" si="4"/>
        <v/>
      </c>
      <c xmlns="http://schemas.openxmlformats.org/spreadsheetml/2006/main" r="V130" s="18" t="str">
        <f t="shared" si="5"/>
        <v/>
      </c>
      <c r="W130" s="22"/>
      <c r="X130" s="22"/>
      <c xmlns="http://schemas.openxmlformats.org/spreadsheetml/2006/main" r="Y130">
        <f>IF($C130="",0,IF(COUNTIF($C$5:$C130,$C130)=1,1,0))</f>
        <v>0.0</v>
      </c>
      <c xmlns="http://schemas.openxmlformats.org/spreadsheetml/2006/main" r="Z130" t="str">
        <f>IF(Y130=1,SUM($Y$5:$Y130),"")</f>
        <v/>
      </c>
    </row>
    <row r="131" spans="1:26">
      <c r="A131" s="22"/>
      <c r="B131" s="22"/>
      <c r="C131" s="22"/>
      <c r="D131" s="22"/>
      <c r="E131" s="23"/>
      <c r="F131" s="23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  <c xmlns="http://schemas.openxmlformats.org/spreadsheetml/2006/main" r="T131" s="23" t="str">
        <f t="shared" si="3"/>
        <v/>
      </c>
      <c xmlns="http://schemas.openxmlformats.org/spreadsheetml/2006/main" r="U131" s="22" t="str">
        <f t="shared" si="4"/>
        <v/>
      </c>
      <c xmlns="http://schemas.openxmlformats.org/spreadsheetml/2006/main" r="V131" s="18" t="str">
        <f t="shared" si="5"/>
        <v/>
      </c>
      <c r="W131" s="22"/>
      <c r="X131" s="22"/>
      <c xmlns="http://schemas.openxmlformats.org/spreadsheetml/2006/main" r="Y131">
        <f>IF($C131="",0,IF(COUNTIF($C$5:$C131,$C131)=1,1,0))</f>
        <v>0.0</v>
      </c>
      <c xmlns="http://schemas.openxmlformats.org/spreadsheetml/2006/main" r="Z131" t="str">
        <f>IF(Y131=1,SUM($Y$5:$Y131),"")</f>
        <v/>
      </c>
    </row>
    <row r="132" spans="1:26">
      <c r="A132" s="22"/>
      <c r="B132" s="22"/>
      <c r="C132" s="22"/>
      <c r="D132" s="22"/>
      <c r="E132" s="23"/>
      <c r="F132" s="23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  <c xmlns="http://schemas.openxmlformats.org/spreadsheetml/2006/main" r="T132" s="23" t="str">
        <f t="shared" si="3"/>
        <v/>
      </c>
      <c xmlns="http://schemas.openxmlformats.org/spreadsheetml/2006/main" r="U132" s="22" t="str">
        <f t="shared" si="4"/>
        <v/>
      </c>
      <c xmlns="http://schemas.openxmlformats.org/spreadsheetml/2006/main" r="V132" s="18" t="str">
        <f t="shared" si="5"/>
        <v/>
      </c>
      <c r="W132" s="22"/>
      <c r="X132" s="22"/>
      <c xmlns="http://schemas.openxmlformats.org/spreadsheetml/2006/main" r="Y132">
        <f>IF($C132="",0,IF(COUNTIF($C$5:$C132,$C132)=1,1,0))</f>
        <v>0.0</v>
      </c>
      <c xmlns="http://schemas.openxmlformats.org/spreadsheetml/2006/main" r="Z132" t="str">
        <f>IF(Y132=1,SUM($Y$5:$Y132),"")</f>
        <v/>
      </c>
    </row>
    <row r="133" spans="1:26">
      <c r="A133" s="22"/>
      <c r="B133" s="22"/>
      <c r="C133" s="22"/>
      <c r="D133" s="22"/>
      <c r="E133" s="23"/>
      <c r="F133" s="23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  <c xmlns="http://schemas.openxmlformats.org/spreadsheetml/2006/main" r="T133" s="23" t="str">
        <f t="shared" ref="T133:T196" si="6">IF($D133="","",COUNTIF($H133:$R133,"V"))</f>
        <v/>
      </c>
      <c xmlns="http://schemas.openxmlformats.org/spreadsheetml/2006/main" r="U133" s="22" t="str">
        <f t="shared" ref="U133:U196" si="7">IF($D133="","",IF(AND($S133="V",$T133&gt;0),"⚠ 勾選矛盾",IF($S133="V","○ 免調理",IF($T133=0,"⚠ 資料缺漏",IF($T133=1,"▲ 單一設備依賴","OK")))))</f>
        <v/>
      </c>
      <c xmlns="http://schemas.openxmlformats.org/spreadsheetml/2006/main" r="V133" s="18" t="str">
        <f t="shared" ref="V133:V196" si="8">IF($D133="","",IF(AND($S133="V",$T133&gt;0),"「無使用調理設備」不可與設備欄同時勾選，請擇一修正",IF($S133="V","免調理半成品（外購/僅切配等），不列入設備風險評估",IF($T133=0,"未勾選任何設備，請補填或勾選「無使用調理設備」",IF($T133=1,"僅依賴1台設備，須確認故障/排修時之備援製程","無異常")))))</f>
        <v/>
      </c>
      <c r="W133" s="22"/>
      <c r="X133" s="22"/>
      <c xmlns="http://schemas.openxmlformats.org/spreadsheetml/2006/main" r="Y133">
        <f>IF($C133="",0,IF(COUNTIF($C$5:$C133,$C133)=1,1,0))</f>
        <v>0.0</v>
      </c>
      <c xmlns="http://schemas.openxmlformats.org/spreadsheetml/2006/main" r="Z133" t="str">
        <f>IF(Y133=1,SUM($Y$5:$Y133),"")</f>
        <v/>
      </c>
    </row>
    <row r="134" spans="1:26">
      <c r="A134" s="22"/>
      <c r="B134" s="22"/>
      <c r="C134" s="22"/>
      <c r="D134" s="22"/>
      <c r="E134" s="23"/>
      <c r="F134" s="23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  <c xmlns="http://schemas.openxmlformats.org/spreadsheetml/2006/main" r="T134" s="23" t="str">
        <f t="shared" si="6"/>
        <v/>
      </c>
      <c xmlns="http://schemas.openxmlformats.org/spreadsheetml/2006/main" r="U134" s="22" t="str">
        <f t="shared" si="7"/>
        <v/>
      </c>
      <c xmlns="http://schemas.openxmlformats.org/spreadsheetml/2006/main" r="V134" s="18" t="str">
        <f t="shared" si="8"/>
        <v/>
      </c>
      <c r="W134" s="22"/>
      <c r="X134" s="22"/>
      <c xmlns="http://schemas.openxmlformats.org/spreadsheetml/2006/main" r="Y134">
        <f>IF($C134="",0,IF(COUNTIF($C$5:$C134,$C134)=1,1,0))</f>
        <v>0.0</v>
      </c>
      <c xmlns="http://schemas.openxmlformats.org/spreadsheetml/2006/main" r="Z134" t="str">
        <f>IF(Y134=1,SUM($Y$5:$Y134),"")</f>
        <v/>
      </c>
    </row>
    <row r="135" spans="1:26">
      <c r="A135" s="22"/>
      <c r="B135" s="22"/>
      <c r="C135" s="22"/>
      <c r="D135" s="22"/>
      <c r="E135" s="23"/>
      <c r="F135" s="23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  <c xmlns="http://schemas.openxmlformats.org/spreadsheetml/2006/main" r="T135" s="23" t="str">
        <f t="shared" si="6"/>
        <v/>
      </c>
      <c xmlns="http://schemas.openxmlformats.org/spreadsheetml/2006/main" r="U135" s="22" t="str">
        <f t="shared" si="7"/>
        <v/>
      </c>
      <c xmlns="http://schemas.openxmlformats.org/spreadsheetml/2006/main" r="V135" s="18" t="str">
        <f t="shared" si="8"/>
        <v/>
      </c>
      <c r="W135" s="22"/>
      <c r="X135" s="22"/>
      <c xmlns="http://schemas.openxmlformats.org/spreadsheetml/2006/main" r="Y135">
        <f>IF($C135="",0,IF(COUNTIF($C$5:$C135,$C135)=1,1,0))</f>
        <v>0.0</v>
      </c>
      <c xmlns="http://schemas.openxmlformats.org/spreadsheetml/2006/main" r="Z135" t="str">
        <f>IF(Y135=1,SUM($Y$5:$Y135),"")</f>
        <v/>
      </c>
    </row>
    <row r="136" spans="1:26">
      <c r="A136" s="22"/>
      <c r="B136" s="22"/>
      <c r="C136" s="22"/>
      <c r="D136" s="22"/>
      <c r="E136" s="23"/>
      <c r="F136" s="23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  <c xmlns="http://schemas.openxmlformats.org/spreadsheetml/2006/main" r="T136" s="23" t="str">
        <f t="shared" si="6"/>
        <v/>
      </c>
      <c xmlns="http://schemas.openxmlformats.org/spreadsheetml/2006/main" r="U136" s="22" t="str">
        <f t="shared" si="7"/>
        <v/>
      </c>
      <c xmlns="http://schemas.openxmlformats.org/spreadsheetml/2006/main" r="V136" s="18" t="str">
        <f t="shared" si="8"/>
        <v/>
      </c>
      <c r="W136" s="22"/>
      <c r="X136" s="22"/>
      <c xmlns="http://schemas.openxmlformats.org/spreadsheetml/2006/main" r="Y136">
        <f>IF($C136="",0,IF(COUNTIF($C$5:$C136,$C136)=1,1,0))</f>
        <v>0.0</v>
      </c>
      <c xmlns="http://schemas.openxmlformats.org/spreadsheetml/2006/main" r="Z136" t="str">
        <f>IF(Y136=1,SUM($Y$5:$Y136),"")</f>
        <v/>
      </c>
    </row>
    <row r="137" spans="1:26">
      <c r="A137" s="22"/>
      <c r="B137" s="22"/>
      <c r="C137" s="22"/>
      <c r="D137" s="22"/>
      <c r="E137" s="23"/>
      <c r="F137" s="23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  <c xmlns="http://schemas.openxmlformats.org/spreadsheetml/2006/main" r="T137" s="23" t="str">
        <f t="shared" si="6"/>
        <v/>
      </c>
      <c xmlns="http://schemas.openxmlformats.org/spreadsheetml/2006/main" r="U137" s="22" t="str">
        <f t="shared" si="7"/>
        <v/>
      </c>
      <c xmlns="http://schemas.openxmlformats.org/spreadsheetml/2006/main" r="V137" s="18" t="str">
        <f t="shared" si="8"/>
        <v/>
      </c>
      <c r="W137" s="22"/>
      <c r="X137" s="22"/>
      <c xmlns="http://schemas.openxmlformats.org/spreadsheetml/2006/main" r="Y137">
        <f>IF($C137="",0,IF(COUNTIF($C$5:$C137,$C137)=1,1,0))</f>
        <v>0.0</v>
      </c>
      <c xmlns="http://schemas.openxmlformats.org/spreadsheetml/2006/main" r="Z137" t="str">
        <f>IF(Y137=1,SUM($Y$5:$Y137),"")</f>
        <v/>
      </c>
    </row>
    <row r="138" spans="1:26">
      <c r="A138" s="22"/>
      <c r="B138" s="22"/>
      <c r="C138" s="22"/>
      <c r="D138" s="22"/>
      <c r="E138" s="23"/>
      <c r="F138" s="23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  <c xmlns="http://schemas.openxmlformats.org/spreadsheetml/2006/main" r="T138" s="23" t="str">
        <f t="shared" si="6"/>
        <v/>
      </c>
      <c xmlns="http://schemas.openxmlformats.org/spreadsheetml/2006/main" r="U138" s="22" t="str">
        <f t="shared" si="7"/>
        <v/>
      </c>
      <c xmlns="http://schemas.openxmlformats.org/spreadsheetml/2006/main" r="V138" s="18" t="str">
        <f t="shared" si="8"/>
        <v/>
      </c>
      <c r="W138" s="22"/>
      <c r="X138" s="22"/>
      <c xmlns="http://schemas.openxmlformats.org/spreadsheetml/2006/main" r="Y138">
        <f>IF($C138="",0,IF(COUNTIF($C$5:$C138,$C138)=1,1,0))</f>
        <v>0.0</v>
      </c>
      <c xmlns="http://schemas.openxmlformats.org/spreadsheetml/2006/main" r="Z138" t="str">
        <f>IF(Y138=1,SUM($Y$5:$Y138),"")</f>
        <v/>
      </c>
    </row>
    <row r="139" spans="1:26">
      <c r="A139" s="22"/>
      <c r="B139" s="22"/>
      <c r="C139" s="22"/>
      <c r="D139" s="22"/>
      <c r="E139" s="23"/>
      <c r="F139" s="23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  <c xmlns="http://schemas.openxmlformats.org/spreadsheetml/2006/main" r="T139" s="23" t="str">
        <f t="shared" si="6"/>
        <v/>
      </c>
      <c xmlns="http://schemas.openxmlformats.org/spreadsheetml/2006/main" r="U139" s="22" t="str">
        <f t="shared" si="7"/>
        <v/>
      </c>
      <c xmlns="http://schemas.openxmlformats.org/spreadsheetml/2006/main" r="V139" s="18" t="str">
        <f t="shared" si="8"/>
        <v/>
      </c>
      <c r="W139" s="22"/>
      <c r="X139" s="22"/>
      <c xmlns="http://schemas.openxmlformats.org/spreadsheetml/2006/main" r="Y139">
        <f>IF($C139="",0,IF(COUNTIF($C$5:$C139,$C139)=1,1,0))</f>
        <v>0.0</v>
      </c>
      <c xmlns="http://schemas.openxmlformats.org/spreadsheetml/2006/main" r="Z139" t="str">
        <f>IF(Y139=1,SUM($Y$5:$Y139),"")</f>
        <v/>
      </c>
    </row>
    <row r="140" spans="1:26">
      <c r="A140" s="22"/>
      <c r="B140" s="22"/>
      <c r="C140" s="22"/>
      <c r="D140" s="22"/>
      <c r="E140" s="23"/>
      <c r="F140" s="23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  <c xmlns="http://schemas.openxmlformats.org/spreadsheetml/2006/main" r="T140" s="23" t="str">
        <f t="shared" si="6"/>
        <v/>
      </c>
      <c xmlns="http://schemas.openxmlformats.org/spreadsheetml/2006/main" r="U140" s="22" t="str">
        <f t="shared" si="7"/>
        <v/>
      </c>
      <c xmlns="http://schemas.openxmlformats.org/spreadsheetml/2006/main" r="V140" s="18" t="str">
        <f t="shared" si="8"/>
        <v/>
      </c>
      <c r="W140" s="22"/>
      <c r="X140" s="22"/>
      <c xmlns="http://schemas.openxmlformats.org/spreadsheetml/2006/main" r="Y140">
        <f>IF($C140="",0,IF(COUNTIF($C$5:$C140,$C140)=1,1,0))</f>
        <v>0.0</v>
      </c>
      <c xmlns="http://schemas.openxmlformats.org/spreadsheetml/2006/main" r="Z140" t="str">
        <f>IF(Y140=1,SUM($Y$5:$Y140),"")</f>
        <v/>
      </c>
    </row>
    <row r="141" spans="1:26">
      <c r="A141" s="22"/>
      <c r="B141" s="22"/>
      <c r="C141" s="22"/>
      <c r="D141" s="22"/>
      <c r="E141" s="23"/>
      <c r="F141" s="23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  <c xmlns="http://schemas.openxmlformats.org/spreadsheetml/2006/main" r="T141" s="23" t="str">
        <f t="shared" si="6"/>
        <v/>
      </c>
      <c xmlns="http://schemas.openxmlformats.org/spreadsheetml/2006/main" r="U141" s="22" t="str">
        <f t="shared" si="7"/>
        <v/>
      </c>
      <c xmlns="http://schemas.openxmlformats.org/spreadsheetml/2006/main" r="V141" s="18" t="str">
        <f t="shared" si="8"/>
        <v/>
      </c>
      <c r="W141" s="22"/>
      <c r="X141" s="22"/>
      <c xmlns="http://schemas.openxmlformats.org/spreadsheetml/2006/main" r="Y141">
        <f>IF($C141="",0,IF(COUNTIF($C$5:$C141,$C141)=1,1,0))</f>
        <v>0.0</v>
      </c>
      <c xmlns="http://schemas.openxmlformats.org/spreadsheetml/2006/main" r="Z141" t="str">
        <f>IF(Y141=1,SUM($Y$5:$Y141),"")</f>
        <v/>
      </c>
    </row>
    <row r="142" spans="1:26">
      <c r="A142" s="22"/>
      <c r="B142" s="22"/>
      <c r="C142" s="22"/>
      <c r="D142" s="22"/>
      <c r="E142" s="23"/>
      <c r="F142" s="23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  <c xmlns="http://schemas.openxmlformats.org/spreadsheetml/2006/main" r="T142" s="23" t="str">
        <f t="shared" si="6"/>
        <v/>
      </c>
      <c xmlns="http://schemas.openxmlformats.org/spreadsheetml/2006/main" r="U142" s="22" t="str">
        <f t="shared" si="7"/>
        <v/>
      </c>
      <c xmlns="http://schemas.openxmlformats.org/spreadsheetml/2006/main" r="V142" s="18" t="str">
        <f t="shared" si="8"/>
        <v/>
      </c>
      <c r="W142" s="22"/>
      <c r="X142" s="22"/>
      <c xmlns="http://schemas.openxmlformats.org/spreadsheetml/2006/main" r="Y142">
        <f>IF($C142="",0,IF(COUNTIF($C$5:$C142,$C142)=1,1,0))</f>
        <v>0.0</v>
      </c>
      <c xmlns="http://schemas.openxmlformats.org/spreadsheetml/2006/main" r="Z142" t="str">
        <f>IF(Y142=1,SUM($Y$5:$Y142),"")</f>
        <v/>
      </c>
    </row>
    <row r="143" spans="1:26">
      <c r="A143" s="22"/>
      <c r="B143" s="22"/>
      <c r="C143" s="22"/>
      <c r="D143" s="22"/>
      <c r="E143" s="23"/>
      <c r="F143" s="23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  <c xmlns="http://schemas.openxmlformats.org/spreadsheetml/2006/main" r="T143" s="23" t="str">
        <f t="shared" si="6"/>
        <v/>
      </c>
      <c xmlns="http://schemas.openxmlformats.org/spreadsheetml/2006/main" r="U143" s="22" t="str">
        <f t="shared" si="7"/>
        <v/>
      </c>
      <c xmlns="http://schemas.openxmlformats.org/spreadsheetml/2006/main" r="V143" s="18" t="str">
        <f t="shared" si="8"/>
        <v/>
      </c>
      <c r="W143" s="22"/>
      <c r="X143" s="22"/>
      <c xmlns="http://schemas.openxmlformats.org/spreadsheetml/2006/main" r="Y143">
        <f>IF($C143="",0,IF(COUNTIF($C$5:$C143,$C143)=1,1,0))</f>
        <v>0.0</v>
      </c>
      <c xmlns="http://schemas.openxmlformats.org/spreadsheetml/2006/main" r="Z143" t="str">
        <f>IF(Y143=1,SUM($Y$5:$Y143),"")</f>
        <v/>
      </c>
    </row>
    <row r="144" spans="1:26">
      <c r="A144" s="22"/>
      <c r="B144" s="22"/>
      <c r="C144" s="22"/>
      <c r="D144" s="22"/>
      <c r="E144" s="23"/>
      <c r="F144" s="23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  <c xmlns="http://schemas.openxmlformats.org/spreadsheetml/2006/main" r="T144" s="23" t="str">
        <f t="shared" si="6"/>
        <v/>
      </c>
      <c xmlns="http://schemas.openxmlformats.org/spreadsheetml/2006/main" r="U144" s="22" t="str">
        <f t="shared" si="7"/>
        <v/>
      </c>
      <c xmlns="http://schemas.openxmlformats.org/spreadsheetml/2006/main" r="V144" s="18" t="str">
        <f t="shared" si="8"/>
        <v/>
      </c>
      <c r="W144" s="22"/>
      <c r="X144" s="22"/>
      <c xmlns="http://schemas.openxmlformats.org/spreadsheetml/2006/main" r="Y144">
        <f>IF($C144="",0,IF(COUNTIF($C$5:$C144,$C144)=1,1,0))</f>
        <v>0.0</v>
      </c>
      <c xmlns="http://schemas.openxmlformats.org/spreadsheetml/2006/main" r="Z144" t="str">
        <f>IF(Y144=1,SUM($Y$5:$Y144),"")</f>
        <v/>
      </c>
    </row>
    <row r="145" spans="1:26">
      <c r="A145" s="22"/>
      <c r="B145" s="22"/>
      <c r="C145" s="22"/>
      <c r="D145" s="22"/>
      <c r="E145" s="23"/>
      <c r="F145" s="23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  <c xmlns="http://schemas.openxmlformats.org/spreadsheetml/2006/main" r="T145" s="23" t="str">
        <f t="shared" si="6"/>
        <v/>
      </c>
      <c xmlns="http://schemas.openxmlformats.org/spreadsheetml/2006/main" r="U145" s="22" t="str">
        <f t="shared" si="7"/>
        <v/>
      </c>
      <c xmlns="http://schemas.openxmlformats.org/spreadsheetml/2006/main" r="V145" s="18" t="str">
        <f t="shared" si="8"/>
        <v/>
      </c>
      <c r="W145" s="22"/>
      <c r="X145" s="22"/>
      <c xmlns="http://schemas.openxmlformats.org/spreadsheetml/2006/main" r="Y145">
        <f>IF($C145="",0,IF(COUNTIF($C$5:$C145,$C145)=1,1,0))</f>
        <v>0.0</v>
      </c>
      <c xmlns="http://schemas.openxmlformats.org/spreadsheetml/2006/main" r="Z145" t="str">
        <f>IF(Y145=1,SUM($Y$5:$Y145),"")</f>
        <v/>
      </c>
    </row>
    <row r="146" spans="1:26">
      <c r="A146" s="22"/>
      <c r="B146" s="22"/>
      <c r="C146" s="22"/>
      <c r="D146" s="22"/>
      <c r="E146" s="23"/>
      <c r="F146" s="23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  <c xmlns="http://schemas.openxmlformats.org/spreadsheetml/2006/main" r="T146" s="23" t="str">
        <f t="shared" si="6"/>
        <v/>
      </c>
      <c xmlns="http://schemas.openxmlformats.org/spreadsheetml/2006/main" r="U146" s="22" t="str">
        <f t="shared" si="7"/>
        <v/>
      </c>
      <c xmlns="http://schemas.openxmlformats.org/spreadsheetml/2006/main" r="V146" s="18" t="str">
        <f t="shared" si="8"/>
        <v/>
      </c>
      <c r="W146" s="22"/>
      <c r="X146" s="22"/>
      <c xmlns="http://schemas.openxmlformats.org/spreadsheetml/2006/main" r="Y146">
        <f>IF($C146="",0,IF(COUNTIF($C$5:$C146,$C146)=1,1,0))</f>
        <v>0.0</v>
      </c>
      <c xmlns="http://schemas.openxmlformats.org/spreadsheetml/2006/main" r="Z146" t="str">
        <f>IF(Y146=1,SUM($Y$5:$Y146),"")</f>
        <v/>
      </c>
    </row>
    <row r="147" spans="1:26">
      <c r="A147" s="22"/>
      <c r="B147" s="22"/>
      <c r="C147" s="22"/>
      <c r="D147" s="22"/>
      <c r="E147" s="23"/>
      <c r="F147" s="23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xmlns="http://schemas.openxmlformats.org/spreadsheetml/2006/main" r="T147" s="23" t="str">
        <f t="shared" si="6"/>
        <v/>
      </c>
      <c xmlns="http://schemas.openxmlformats.org/spreadsheetml/2006/main" r="U147" s="22" t="str">
        <f t="shared" si="7"/>
        <v/>
      </c>
      <c xmlns="http://schemas.openxmlformats.org/spreadsheetml/2006/main" r="V147" s="18" t="str">
        <f t="shared" si="8"/>
        <v/>
      </c>
      <c r="W147" s="22"/>
      <c r="X147" s="22"/>
      <c xmlns="http://schemas.openxmlformats.org/spreadsheetml/2006/main" r="Y147">
        <f>IF($C147="",0,IF(COUNTIF($C$5:$C147,$C147)=1,1,0))</f>
        <v>0.0</v>
      </c>
      <c xmlns="http://schemas.openxmlformats.org/spreadsheetml/2006/main" r="Z147" t="str">
        <f>IF(Y147=1,SUM($Y$5:$Y147),"")</f>
        <v/>
      </c>
    </row>
    <row r="148" spans="1:26">
      <c r="A148" s="22"/>
      <c r="B148" s="22"/>
      <c r="C148" s="22"/>
      <c r="D148" s="22"/>
      <c r="E148" s="23"/>
      <c r="F148" s="23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  <c xmlns="http://schemas.openxmlformats.org/spreadsheetml/2006/main" r="T148" s="23" t="str">
        <f t="shared" si="6"/>
        <v/>
      </c>
      <c xmlns="http://schemas.openxmlformats.org/spreadsheetml/2006/main" r="U148" s="22" t="str">
        <f t="shared" si="7"/>
        <v/>
      </c>
      <c xmlns="http://schemas.openxmlformats.org/spreadsheetml/2006/main" r="V148" s="18" t="str">
        <f t="shared" si="8"/>
        <v/>
      </c>
      <c r="W148" s="22"/>
      <c r="X148" s="22"/>
      <c xmlns="http://schemas.openxmlformats.org/spreadsheetml/2006/main" r="Y148">
        <f>IF($C148="",0,IF(COUNTIF($C$5:$C148,$C148)=1,1,0))</f>
        <v>0.0</v>
      </c>
      <c xmlns="http://schemas.openxmlformats.org/spreadsheetml/2006/main" r="Z148" t="str">
        <f>IF(Y148=1,SUM($Y$5:$Y148),"")</f>
        <v/>
      </c>
    </row>
    <row r="149" spans="1:26">
      <c r="A149" s="22"/>
      <c r="B149" s="22"/>
      <c r="C149" s="22"/>
      <c r="D149" s="22"/>
      <c r="E149" s="23"/>
      <c r="F149" s="23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  <c xmlns="http://schemas.openxmlformats.org/spreadsheetml/2006/main" r="T149" s="23" t="str">
        <f t="shared" si="6"/>
        <v/>
      </c>
      <c xmlns="http://schemas.openxmlformats.org/spreadsheetml/2006/main" r="U149" s="22" t="str">
        <f t="shared" si="7"/>
        <v/>
      </c>
      <c xmlns="http://schemas.openxmlformats.org/spreadsheetml/2006/main" r="V149" s="18" t="str">
        <f t="shared" si="8"/>
        <v/>
      </c>
      <c r="W149" s="22"/>
      <c r="X149" s="22"/>
      <c xmlns="http://schemas.openxmlformats.org/spreadsheetml/2006/main" r="Y149">
        <f>IF($C149="",0,IF(COUNTIF($C$5:$C149,$C149)=1,1,0))</f>
        <v>0.0</v>
      </c>
      <c xmlns="http://schemas.openxmlformats.org/spreadsheetml/2006/main" r="Z149" t="str">
        <f>IF(Y149=1,SUM($Y$5:$Y149),"")</f>
        <v/>
      </c>
    </row>
    <row r="150" spans="1:26">
      <c r="A150" s="22"/>
      <c r="B150" s="22"/>
      <c r="C150" s="22"/>
      <c r="D150" s="22"/>
      <c r="E150" s="23"/>
      <c r="F150" s="23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  <c xmlns="http://schemas.openxmlformats.org/spreadsheetml/2006/main" r="T150" s="23" t="str">
        <f t="shared" si="6"/>
        <v/>
      </c>
      <c xmlns="http://schemas.openxmlformats.org/spreadsheetml/2006/main" r="U150" s="22" t="str">
        <f t="shared" si="7"/>
        <v/>
      </c>
      <c xmlns="http://schemas.openxmlformats.org/spreadsheetml/2006/main" r="V150" s="18" t="str">
        <f t="shared" si="8"/>
        <v/>
      </c>
      <c r="W150" s="22"/>
      <c r="X150" s="22"/>
      <c xmlns="http://schemas.openxmlformats.org/spreadsheetml/2006/main" r="Y150">
        <f>IF($C150="",0,IF(COUNTIF($C$5:$C150,$C150)=1,1,0))</f>
        <v>0.0</v>
      </c>
      <c xmlns="http://schemas.openxmlformats.org/spreadsheetml/2006/main" r="Z150" t="str">
        <f>IF(Y150=1,SUM($Y$5:$Y150),"")</f>
        <v/>
      </c>
    </row>
    <row r="151" spans="1:26">
      <c r="A151" s="22"/>
      <c r="B151" s="22"/>
      <c r="C151" s="22"/>
      <c r="D151" s="22"/>
      <c r="E151" s="23"/>
      <c r="F151" s="23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  <c xmlns="http://schemas.openxmlformats.org/spreadsheetml/2006/main" r="T151" s="23" t="str">
        <f t="shared" si="6"/>
        <v/>
      </c>
      <c xmlns="http://schemas.openxmlformats.org/spreadsheetml/2006/main" r="U151" s="22" t="str">
        <f t="shared" si="7"/>
        <v/>
      </c>
      <c xmlns="http://schemas.openxmlformats.org/spreadsheetml/2006/main" r="V151" s="18" t="str">
        <f t="shared" si="8"/>
        <v/>
      </c>
      <c r="W151" s="22"/>
      <c r="X151" s="22"/>
      <c xmlns="http://schemas.openxmlformats.org/spreadsheetml/2006/main" r="Y151">
        <f>IF($C151="",0,IF(COUNTIF($C$5:$C151,$C151)=1,1,0))</f>
        <v>0.0</v>
      </c>
      <c xmlns="http://schemas.openxmlformats.org/spreadsheetml/2006/main" r="Z151" t="str">
        <f>IF(Y151=1,SUM($Y$5:$Y151),"")</f>
        <v/>
      </c>
    </row>
    <row r="152" spans="1:26">
      <c r="A152" s="22"/>
      <c r="B152" s="22"/>
      <c r="C152" s="22"/>
      <c r="D152" s="22"/>
      <c r="E152" s="23"/>
      <c r="F152" s="23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6"/>
      <c xmlns="http://schemas.openxmlformats.org/spreadsheetml/2006/main" r="T152" s="23" t="str">
        <f t="shared" si="6"/>
        <v/>
      </c>
      <c xmlns="http://schemas.openxmlformats.org/spreadsheetml/2006/main" r="U152" s="22" t="str">
        <f t="shared" si="7"/>
        <v/>
      </c>
      <c xmlns="http://schemas.openxmlformats.org/spreadsheetml/2006/main" r="V152" s="18" t="str">
        <f t="shared" si="8"/>
        <v/>
      </c>
      <c r="W152" s="22"/>
      <c r="X152" s="22"/>
      <c xmlns="http://schemas.openxmlformats.org/spreadsheetml/2006/main" r="Y152">
        <f>IF($C152="",0,IF(COUNTIF($C$5:$C152,$C152)=1,1,0))</f>
        <v>0.0</v>
      </c>
      <c xmlns="http://schemas.openxmlformats.org/spreadsheetml/2006/main" r="Z152" t="str">
        <f>IF(Y152=1,SUM($Y$5:$Y152),"")</f>
        <v/>
      </c>
    </row>
    <row r="153" spans="1:26">
      <c r="A153" s="22"/>
      <c r="B153" s="22"/>
      <c r="C153" s="22"/>
      <c r="D153" s="22"/>
      <c r="E153" s="23"/>
      <c r="F153" s="23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6"/>
      <c xmlns="http://schemas.openxmlformats.org/spreadsheetml/2006/main" r="T153" s="23" t="str">
        <f t="shared" si="6"/>
        <v/>
      </c>
      <c xmlns="http://schemas.openxmlformats.org/spreadsheetml/2006/main" r="U153" s="22" t="str">
        <f t="shared" si="7"/>
        <v/>
      </c>
      <c xmlns="http://schemas.openxmlformats.org/spreadsheetml/2006/main" r="V153" s="18" t="str">
        <f t="shared" si="8"/>
        <v/>
      </c>
      <c r="W153" s="22"/>
      <c r="X153" s="22"/>
      <c xmlns="http://schemas.openxmlformats.org/spreadsheetml/2006/main" r="Y153">
        <f>IF($C153="",0,IF(COUNTIF($C$5:$C153,$C153)=1,1,0))</f>
        <v>0.0</v>
      </c>
      <c xmlns="http://schemas.openxmlformats.org/spreadsheetml/2006/main" r="Z153" t="str">
        <f>IF(Y153=1,SUM($Y$5:$Y153),"")</f>
        <v/>
      </c>
    </row>
    <row r="154" spans="1:26">
      <c r="A154" s="22"/>
      <c r="B154" s="22"/>
      <c r="C154" s="22"/>
      <c r="D154" s="22"/>
      <c r="E154" s="23"/>
      <c r="F154" s="23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6"/>
      <c xmlns="http://schemas.openxmlformats.org/spreadsheetml/2006/main" r="T154" s="23" t="str">
        <f t="shared" si="6"/>
        <v/>
      </c>
      <c xmlns="http://schemas.openxmlformats.org/spreadsheetml/2006/main" r="U154" s="22" t="str">
        <f t="shared" si="7"/>
        <v/>
      </c>
      <c xmlns="http://schemas.openxmlformats.org/spreadsheetml/2006/main" r="V154" s="18" t="str">
        <f t="shared" si="8"/>
        <v/>
      </c>
      <c r="W154" s="22"/>
      <c r="X154" s="22"/>
      <c xmlns="http://schemas.openxmlformats.org/spreadsheetml/2006/main" r="Y154">
        <f>IF($C154="",0,IF(COUNTIF($C$5:$C154,$C154)=1,1,0))</f>
        <v>0.0</v>
      </c>
      <c xmlns="http://schemas.openxmlformats.org/spreadsheetml/2006/main" r="Z154" t="str">
        <f>IF(Y154=1,SUM($Y$5:$Y154),"")</f>
        <v/>
      </c>
    </row>
    <row r="155" spans="1:26">
      <c r="A155" s="22"/>
      <c r="B155" s="22"/>
      <c r="C155" s="22"/>
      <c r="D155" s="22"/>
      <c r="E155" s="23"/>
      <c r="F155" s="23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6"/>
      <c xmlns="http://schemas.openxmlformats.org/spreadsheetml/2006/main" r="T155" s="23" t="str">
        <f t="shared" si="6"/>
        <v/>
      </c>
      <c xmlns="http://schemas.openxmlformats.org/spreadsheetml/2006/main" r="U155" s="22" t="str">
        <f t="shared" si="7"/>
        <v/>
      </c>
      <c xmlns="http://schemas.openxmlformats.org/spreadsheetml/2006/main" r="V155" s="18" t="str">
        <f t="shared" si="8"/>
        <v/>
      </c>
      <c r="W155" s="22"/>
      <c r="X155" s="22"/>
      <c xmlns="http://schemas.openxmlformats.org/spreadsheetml/2006/main" r="Y155">
        <f>IF($C155="",0,IF(COUNTIF($C$5:$C155,$C155)=1,1,0))</f>
        <v>0.0</v>
      </c>
      <c xmlns="http://schemas.openxmlformats.org/spreadsheetml/2006/main" r="Z155" t="str">
        <f>IF(Y155=1,SUM($Y$5:$Y155),"")</f>
        <v/>
      </c>
    </row>
    <row r="156" spans="1:26">
      <c r="A156" s="22"/>
      <c r="B156" s="22"/>
      <c r="C156" s="22"/>
      <c r="D156" s="22"/>
      <c r="E156" s="23"/>
      <c r="F156" s="23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6"/>
      <c xmlns="http://schemas.openxmlformats.org/spreadsheetml/2006/main" r="T156" s="23" t="str">
        <f t="shared" si="6"/>
        <v/>
      </c>
      <c xmlns="http://schemas.openxmlformats.org/spreadsheetml/2006/main" r="U156" s="22" t="str">
        <f t="shared" si="7"/>
        <v/>
      </c>
      <c xmlns="http://schemas.openxmlformats.org/spreadsheetml/2006/main" r="V156" s="18" t="str">
        <f t="shared" si="8"/>
        <v/>
      </c>
      <c r="W156" s="22"/>
      <c r="X156" s="22"/>
      <c xmlns="http://schemas.openxmlformats.org/spreadsheetml/2006/main" r="Y156">
        <f>IF($C156="",0,IF(COUNTIF($C$5:$C156,$C156)=1,1,0))</f>
        <v>0.0</v>
      </c>
      <c xmlns="http://schemas.openxmlformats.org/spreadsheetml/2006/main" r="Z156" t="str">
        <f>IF(Y156=1,SUM($Y$5:$Y156),"")</f>
        <v/>
      </c>
    </row>
    <row r="157" spans="1:26">
      <c r="A157" s="22"/>
      <c r="B157" s="22"/>
      <c r="C157" s="22"/>
      <c r="D157" s="22"/>
      <c r="E157" s="23"/>
      <c r="F157" s="23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6"/>
      <c xmlns="http://schemas.openxmlformats.org/spreadsheetml/2006/main" r="T157" s="23" t="str">
        <f t="shared" si="6"/>
        <v/>
      </c>
      <c xmlns="http://schemas.openxmlformats.org/spreadsheetml/2006/main" r="U157" s="22" t="str">
        <f t="shared" si="7"/>
        <v/>
      </c>
      <c xmlns="http://schemas.openxmlformats.org/spreadsheetml/2006/main" r="V157" s="18" t="str">
        <f t="shared" si="8"/>
        <v/>
      </c>
      <c r="W157" s="22"/>
      <c r="X157" s="22"/>
      <c xmlns="http://schemas.openxmlformats.org/spreadsheetml/2006/main" r="Y157">
        <f>IF($C157="",0,IF(COUNTIF($C$5:$C157,$C157)=1,1,0))</f>
        <v>0.0</v>
      </c>
      <c xmlns="http://schemas.openxmlformats.org/spreadsheetml/2006/main" r="Z157" t="str">
        <f>IF(Y157=1,SUM($Y$5:$Y157),"")</f>
        <v/>
      </c>
    </row>
    <row r="158" spans="1:26">
      <c r="A158" s="22"/>
      <c r="B158" s="22"/>
      <c r="C158" s="22"/>
      <c r="D158" s="22"/>
      <c r="E158" s="23"/>
      <c r="F158" s="23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6"/>
      <c xmlns="http://schemas.openxmlformats.org/spreadsheetml/2006/main" r="T158" s="23" t="str">
        <f t="shared" si="6"/>
        <v/>
      </c>
      <c xmlns="http://schemas.openxmlformats.org/spreadsheetml/2006/main" r="U158" s="22" t="str">
        <f t="shared" si="7"/>
        <v/>
      </c>
      <c xmlns="http://schemas.openxmlformats.org/spreadsheetml/2006/main" r="V158" s="18" t="str">
        <f t="shared" si="8"/>
        <v/>
      </c>
      <c r="W158" s="22"/>
      <c r="X158" s="22"/>
      <c xmlns="http://schemas.openxmlformats.org/spreadsheetml/2006/main" r="Y158">
        <f>IF($C158="",0,IF(COUNTIF($C$5:$C158,$C158)=1,1,0))</f>
        <v>0.0</v>
      </c>
      <c xmlns="http://schemas.openxmlformats.org/spreadsheetml/2006/main" r="Z158" t="str">
        <f>IF(Y158=1,SUM($Y$5:$Y158),"")</f>
        <v/>
      </c>
    </row>
    <row r="159" spans="1:26">
      <c r="A159" s="22"/>
      <c r="B159" s="22"/>
      <c r="C159" s="22"/>
      <c r="D159" s="22"/>
      <c r="E159" s="23"/>
      <c r="F159" s="23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6"/>
      <c xmlns="http://schemas.openxmlformats.org/spreadsheetml/2006/main" r="T159" s="23" t="str">
        <f t="shared" si="6"/>
        <v/>
      </c>
      <c xmlns="http://schemas.openxmlformats.org/spreadsheetml/2006/main" r="U159" s="22" t="str">
        <f t="shared" si="7"/>
        <v/>
      </c>
      <c xmlns="http://schemas.openxmlformats.org/spreadsheetml/2006/main" r="V159" s="18" t="str">
        <f t="shared" si="8"/>
        <v/>
      </c>
      <c r="W159" s="22"/>
      <c r="X159" s="22"/>
      <c xmlns="http://schemas.openxmlformats.org/spreadsheetml/2006/main" r="Y159">
        <f>IF($C159="",0,IF(COUNTIF($C$5:$C159,$C159)=1,1,0))</f>
        <v>0.0</v>
      </c>
      <c xmlns="http://schemas.openxmlformats.org/spreadsheetml/2006/main" r="Z159" t="str">
        <f>IF(Y159=1,SUM($Y$5:$Y159),"")</f>
        <v/>
      </c>
    </row>
    <row r="160" spans="1:26">
      <c r="A160" s="22"/>
      <c r="B160" s="22"/>
      <c r="C160" s="22"/>
      <c r="D160" s="22"/>
      <c r="E160" s="23"/>
      <c r="F160" s="23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  <c xmlns="http://schemas.openxmlformats.org/spreadsheetml/2006/main" r="T160" s="23" t="str">
        <f t="shared" si="6"/>
        <v/>
      </c>
      <c xmlns="http://schemas.openxmlformats.org/spreadsheetml/2006/main" r="U160" s="22" t="str">
        <f t="shared" si="7"/>
        <v/>
      </c>
      <c xmlns="http://schemas.openxmlformats.org/spreadsheetml/2006/main" r="V160" s="18" t="str">
        <f t="shared" si="8"/>
        <v/>
      </c>
      <c r="W160" s="22"/>
      <c r="X160" s="22"/>
      <c xmlns="http://schemas.openxmlformats.org/spreadsheetml/2006/main" r="Y160">
        <f>IF($C160="",0,IF(COUNTIF($C$5:$C160,$C160)=1,1,0))</f>
        <v>0.0</v>
      </c>
      <c xmlns="http://schemas.openxmlformats.org/spreadsheetml/2006/main" r="Z160" t="str">
        <f>IF(Y160=1,SUM($Y$5:$Y160),"")</f>
        <v/>
      </c>
    </row>
    <row r="161" spans="1:26">
      <c r="A161" s="22"/>
      <c r="B161" s="22"/>
      <c r="C161" s="22"/>
      <c r="D161" s="22"/>
      <c r="E161" s="23"/>
      <c r="F161" s="23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6"/>
      <c xmlns="http://schemas.openxmlformats.org/spreadsheetml/2006/main" r="T161" s="23" t="str">
        <f t="shared" si="6"/>
        <v/>
      </c>
      <c xmlns="http://schemas.openxmlformats.org/spreadsheetml/2006/main" r="U161" s="22" t="str">
        <f t="shared" si="7"/>
        <v/>
      </c>
      <c xmlns="http://schemas.openxmlformats.org/spreadsheetml/2006/main" r="V161" s="18" t="str">
        <f t="shared" si="8"/>
        <v/>
      </c>
      <c r="W161" s="22"/>
      <c r="X161" s="22"/>
      <c xmlns="http://schemas.openxmlformats.org/spreadsheetml/2006/main" r="Y161">
        <f>IF($C161="",0,IF(COUNTIF($C$5:$C161,$C161)=1,1,0))</f>
        <v>0.0</v>
      </c>
      <c xmlns="http://schemas.openxmlformats.org/spreadsheetml/2006/main" r="Z161" t="str">
        <f>IF(Y161=1,SUM($Y$5:$Y161),"")</f>
        <v/>
      </c>
    </row>
    <row r="162" spans="1:26">
      <c r="A162" s="22"/>
      <c r="B162" s="22"/>
      <c r="C162" s="22"/>
      <c r="D162" s="22"/>
      <c r="E162" s="23"/>
      <c r="F162" s="23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6"/>
      <c xmlns="http://schemas.openxmlformats.org/spreadsheetml/2006/main" r="T162" s="23" t="str">
        <f t="shared" si="6"/>
        <v/>
      </c>
      <c xmlns="http://schemas.openxmlformats.org/spreadsheetml/2006/main" r="U162" s="22" t="str">
        <f t="shared" si="7"/>
        <v/>
      </c>
      <c xmlns="http://schemas.openxmlformats.org/spreadsheetml/2006/main" r="V162" s="18" t="str">
        <f t="shared" si="8"/>
        <v/>
      </c>
      <c r="W162" s="22"/>
      <c r="X162" s="22"/>
      <c xmlns="http://schemas.openxmlformats.org/spreadsheetml/2006/main" r="Y162">
        <f>IF($C162="",0,IF(COUNTIF($C$5:$C162,$C162)=1,1,0))</f>
        <v>0.0</v>
      </c>
      <c xmlns="http://schemas.openxmlformats.org/spreadsheetml/2006/main" r="Z162" t="str">
        <f>IF(Y162=1,SUM($Y$5:$Y162),"")</f>
        <v/>
      </c>
    </row>
    <row r="163" spans="1:26">
      <c r="A163" s="22"/>
      <c r="B163" s="22"/>
      <c r="C163" s="22"/>
      <c r="D163" s="22"/>
      <c r="E163" s="23"/>
      <c r="F163" s="23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6"/>
      <c xmlns="http://schemas.openxmlformats.org/spreadsheetml/2006/main" r="T163" s="23" t="str">
        <f t="shared" si="6"/>
        <v/>
      </c>
      <c xmlns="http://schemas.openxmlformats.org/spreadsheetml/2006/main" r="U163" s="22" t="str">
        <f t="shared" si="7"/>
        <v/>
      </c>
      <c xmlns="http://schemas.openxmlformats.org/spreadsheetml/2006/main" r="V163" s="18" t="str">
        <f t="shared" si="8"/>
        <v/>
      </c>
      <c r="W163" s="22"/>
      <c r="X163" s="22"/>
      <c xmlns="http://schemas.openxmlformats.org/spreadsheetml/2006/main" r="Y163">
        <f>IF($C163="",0,IF(COUNTIF($C$5:$C163,$C163)=1,1,0))</f>
        <v>0.0</v>
      </c>
      <c xmlns="http://schemas.openxmlformats.org/spreadsheetml/2006/main" r="Z163" t="str">
        <f>IF(Y163=1,SUM($Y$5:$Y163),"")</f>
        <v/>
      </c>
    </row>
    <row r="164" spans="1:26">
      <c r="A164" s="22"/>
      <c r="B164" s="22"/>
      <c r="C164" s="22"/>
      <c r="D164" s="22"/>
      <c r="E164" s="23"/>
      <c r="F164" s="23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6"/>
      <c xmlns="http://schemas.openxmlformats.org/spreadsheetml/2006/main" r="T164" s="23" t="str">
        <f t="shared" si="6"/>
        <v/>
      </c>
      <c xmlns="http://schemas.openxmlformats.org/spreadsheetml/2006/main" r="U164" s="22" t="str">
        <f t="shared" si="7"/>
        <v/>
      </c>
      <c xmlns="http://schemas.openxmlformats.org/spreadsheetml/2006/main" r="V164" s="18" t="str">
        <f t="shared" si="8"/>
        <v/>
      </c>
      <c r="W164" s="22"/>
      <c r="X164" s="22"/>
      <c xmlns="http://schemas.openxmlformats.org/spreadsheetml/2006/main" r="Y164">
        <f>IF($C164="",0,IF(COUNTIF($C$5:$C164,$C164)=1,1,0))</f>
        <v>0.0</v>
      </c>
      <c xmlns="http://schemas.openxmlformats.org/spreadsheetml/2006/main" r="Z164" t="str">
        <f>IF(Y164=1,SUM($Y$5:$Y164),"")</f>
        <v/>
      </c>
    </row>
    <row r="165" spans="1:26">
      <c r="A165" s="22"/>
      <c r="B165" s="22"/>
      <c r="C165" s="22"/>
      <c r="D165" s="22"/>
      <c r="E165" s="23"/>
      <c r="F165" s="23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6"/>
      <c xmlns="http://schemas.openxmlformats.org/spreadsheetml/2006/main" r="T165" s="23" t="str">
        <f t="shared" si="6"/>
        <v/>
      </c>
      <c xmlns="http://schemas.openxmlformats.org/spreadsheetml/2006/main" r="U165" s="22" t="str">
        <f t="shared" si="7"/>
        <v/>
      </c>
      <c xmlns="http://schemas.openxmlformats.org/spreadsheetml/2006/main" r="V165" s="18" t="str">
        <f t="shared" si="8"/>
        <v/>
      </c>
      <c r="W165" s="22"/>
      <c r="X165" s="22"/>
      <c xmlns="http://schemas.openxmlformats.org/spreadsheetml/2006/main" r="Y165">
        <f>IF($C165="",0,IF(COUNTIF($C$5:$C165,$C165)=1,1,0))</f>
        <v>0.0</v>
      </c>
      <c xmlns="http://schemas.openxmlformats.org/spreadsheetml/2006/main" r="Z165" t="str">
        <f>IF(Y165=1,SUM($Y$5:$Y165),"")</f>
        <v/>
      </c>
    </row>
    <row r="166" spans="1:26">
      <c r="A166" s="22"/>
      <c r="B166" s="22"/>
      <c r="C166" s="22"/>
      <c r="D166" s="22"/>
      <c r="E166" s="23"/>
      <c r="F166" s="23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6"/>
      <c xmlns="http://schemas.openxmlformats.org/spreadsheetml/2006/main" r="T166" s="23" t="str">
        <f t="shared" si="6"/>
        <v/>
      </c>
      <c xmlns="http://schemas.openxmlformats.org/spreadsheetml/2006/main" r="U166" s="22" t="str">
        <f t="shared" si="7"/>
        <v/>
      </c>
      <c xmlns="http://schemas.openxmlformats.org/spreadsheetml/2006/main" r="V166" s="18" t="str">
        <f t="shared" si="8"/>
        <v/>
      </c>
      <c r="W166" s="22"/>
      <c r="X166" s="22"/>
      <c xmlns="http://schemas.openxmlformats.org/spreadsheetml/2006/main" r="Y166">
        <f>IF($C166="",0,IF(COUNTIF($C$5:$C166,$C166)=1,1,0))</f>
        <v>0.0</v>
      </c>
      <c xmlns="http://schemas.openxmlformats.org/spreadsheetml/2006/main" r="Z166" t="str">
        <f>IF(Y166=1,SUM($Y$5:$Y166),"")</f>
        <v/>
      </c>
    </row>
    <row r="167" spans="1:26">
      <c r="A167" s="22"/>
      <c r="B167" s="22"/>
      <c r="C167" s="22"/>
      <c r="D167" s="22"/>
      <c r="E167" s="23"/>
      <c r="F167" s="23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xmlns="http://schemas.openxmlformats.org/spreadsheetml/2006/main" r="T167" s="23" t="str">
        <f t="shared" si="6"/>
        <v/>
      </c>
      <c xmlns="http://schemas.openxmlformats.org/spreadsheetml/2006/main" r="U167" s="22" t="str">
        <f t="shared" si="7"/>
        <v/>
      </c>
      <c xmlns="http://schemas.openxmlformats.org/spreadsheetml/2006/main" r="V167" s="18" t="str">
        <f t="shared" si="8"/>
        <v/>
      </c>
      <c r="W167" s="22"/>
      <c r="X167" s="22"/>
      <c xmlns="http://schemas.openxmlformats.org/spreadsheetml/2006/main" r="Y167">
        <f>IF($C167="",0,IF(COUNTIF($C$5:$C167,$C167)=1,1,0))</f>
        <v>0.0</v>
      </c>
      <c xmlns="http://schemas.openxmlformats.org/spreadsheetml/2006/main" r="Z167" t="str">
        <f>IF(Y167=1,SUM($Y$5:$Y167),"")</f>
        <v/>
      </c>
    </row>
    <row r="168" spans="1:26">
      <c r="A168" s="22"/>
      <c r="B168" s="22"/>
      <c r="C168" s="22"/>
      <c r="D168" s="22"/>
      <c r="E168" s="23"/>
      <c r="F168" s="23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6"/>
      <c xmlns="http://schemas.openxmlformats.org/spreadsheetml/2006/main" r="T168" s="23" t="str">
        <f t="shared" si="6"/>
        <v/>
      </c>
      <c xmlns="http://schemas.openxmlformats.org/spreadsheetml/2006/main" r="U168" s="22" t="str">
        <f t="shared" si="7"/>
        <v/>
      </c>
      <c xmlns="http://schemas.openxmlformats.org/spreadsheetml/2006/main" r="V168" s="18" t="str">
        <f t="shared" si="8"/>
        <v/>
      </c>
      <c r="W168" s="22"/>
      <c r="X168" s="22"/>
      <c xmlns="http://schemas.openxmlformats.org/spreadsheetml/2006/main" r="Y168">
        <f>IF($C168="",0,IF(COUNTIF($C$5:$C168,$C168)=1,1,0))</f>
        <v>0.0</v>
      </c>
      <c xmlns="http://schemas.openxmlformats.org/spreadsheetml/2006/main" r="Z168" t="str">
        <f>IF(Y168=1,SUM($Y$5:$Y168),"")</f>
        <v/>
      </c>
    </row>
    <row r="169" spans="1:26">
      <c r="A169" s="22"/>
      <c r="B169" s="22"/>
      <c r="C169" s="22"/>
      <c r="D169" s="22"/>
      <c r="E169" s="23"/>
      <c r="F169" s="23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6"/>
      <c xmlns="http://schemas.openxmlformats.org/spreadsheetml/2006/main" r="T169" s="23" t="str">
        <f t="shared" si="6"/>
        <v/>
      </c>
      <c xmlns="http://schemas.openxmlformats.org/spreadsheetml/2006/main" r="U169" s="22" t="str">
        <f t="shared" si="7"/>
        <v/>
      </c>
      <c xmlns="http://schemas.openxmlformats.org/spreadsheetml/2006/main" r="V169" s="18" t="str">
        <f t="shared" si="8"/>
        <v/>
      </c>
      <c r="W169" s="22"/>
      <c r="X169" s="22"/>
      <c xmlns="http://schemas.openxmlformats.org/spreadsheetml/2006/main" r="Y169">
        <f>IF($C169="",0,IF(COUNTIF($C$5:$C169,$C169)=1,1,0))</f>
        <v>0.0</v>
      </c>
      <c xmlns="http://schemas.openxmlformats.org/spreadsheetml/2006/main" r="Z169" t="str">
        <f>IF(Y169=1,SUM($Y$5:$Y169),"")</f>
        <v/>
      </c>
    </row>
    <row r="170" spans="1:26">
      <c r="A170" s="22"/>
      <c r="B170" s="22"/>
      <c r="C170" s="22"/>
      <c r="D170" s="22"/>
      <c r="E170" s="23"/>
      <c r="F170" s="23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6"/>
      <c xmlns="http://schemas.openxmlformats.org/spreadsheetml/2006/main" r="T170" s="23" t="str">
        <f t="shared" si="6"/>
        <v/>
      </c>
      <c xmlns="http://schemas.openxmlformats.org/spreadsheetml/2006/main" r="U170" s="22" t="str">
        <f t="shared" si="7"/>
        <v/>
      </c>
      <c xmlns="http://schemas.openxmlformats.org/spreadsheetml/2006/main" r="V170" s="18" t="str">
        <f t="shared" si="8"/>
        <v/>
      </c>
      <c r="W170" s="22"/>
      <c r="X170" s="22"/>
      <c xmlns="http://schemas.openxmlformats.org/spreadsheetml/2006/main" r="Y170">
        <f>IF($C170="",0,IF(COUNTIF($C$5:$C170,$C170)=1,1,0))</f>
        <v>0.0</v>
      </c>
      <c xmlns="http://schemas.openxmlformats.org/spreadsheetml/2006/main" r="Z170" t="str">
        <f>IF(Y170=1,SUM($Y$5:$Y170),"")</f>
        <v/>
      </c>
    </row>
    <row r="171" spans="1:26">
      <c r="A171" s="22"/>
      <c r="B171" s="22"/>
      <c r="C171" s="22"/>
      <c r="D171" s="22"/>
      <c r="E171" s="23"/>
      <c r="F171" s="23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6"/>
      <c xmlns="http://schemas.openxmlformats.org/spreadsheetml/2006/main" r="T171" s="23" t="str">
        <f t="shared" si="6"/>
        <v/>
      </c>
      <c xmlns="http://schemas.openxmlformats.org/spreadsheetml/2006/main" r="U171" s="22" t="str">
        <f t="shared" si="7"/>
        <v/>
      </c>
      <c xmlns="http://schemas.openxmlformats.org/spreadsheetml/2006/main" r="V171" s="18" t="str">
        <f t="shared" si="8"/>
        <v/>
      </c>
      <c r="W171" s="22"/>
      <c r="X171" s="22"/>
      <c xmlns="http://schemas.openxmlformats.org/spreadsheetml/2006/main" r="Y171">
        <f>IF($C171="",0,IF(COUNTIF($C$5:$C171,$C171)=1,1,0))</f>
        <v>0.0</v>
      </c>
      <c xmlns="http://schemas.openxmlformats.org/spreadsheetml/2006/main" r="Z171" t="str">
        <f>IF(Y171=1,SUM($Y$5:$Y171),"")</f>
        <v/>
      </c>
    </row>
    <row r="172" spans="1:26">
      <c r="A172" s="22"/>
      <c r="B172" s="22"/>
      <c r="C172" s="22"/>
      <c r="D172" s="22"/>
      <c r="E172" s="23"/>
      <c r="F172" s="23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6"/>
      <c xmlns="http://schemas.openxmlformats.org/spreadsheetml/2006/main" r="T172" s="23" t="str">
        <f t="shared" si="6"/>
        <v/>
      </c>
      <c xmlns="http://schemas.openxmlformats.org/spreadsheetml/2006/main" r="U172" s="22" t="str">
        <f t="shared" si="7"/>
        <v/>
      </c>
      <c xmlns="http://schemas.openxmlformats.org/spreadsheetml/2006/main" r="V172" s="18" t="str">
        <f t="shared" si="8"/>
        <v/>
      </c>
      <c r="W172" s="22"/>
      <c r="X172" s="22"/>
      <c xmlns="http://schemas.openxmlformats.org/spreadsheetml/2006/main" r="Y172">
        <f>IF($C172="",0,IF(COUNTIF($C$5:$C172,$C172)=1,1,0))</f>
        <v>0.0</v>
      </c>
      <c xmlns="http://schemas.openxmlformats.org/spreadsheetml/2006/main" r="Z172" t="str">
        <f>IF(Y172=1,SUM($Y$5:$Y172),"")</f>
        <v/>
      </c>
    </row>
    <row r="173" spans="1:26">
      <c r="A173" s="22"/>
      <c r="B173" s="22"/>
      <c r="C173" s="22"/>
      <c r="D173" s="22"/>
      <c r="E173" s="23"/>
      <c r="F173" s="23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6"/>
      <c xmlns="http://schemas.openxmlformats.org/spreadsheetml/2006/main" r="T173" s="23" t="str">
        <f t="shared" si="6"/>
        <v/>
      </c>
      <c xmlns="http://schemas.openxmlformats.org/spreadsheetml/2006/main" r="U173" s="22" t="str">
        <f t="shared" si="7"/>
        <v/>
      </c>
      <c xmlns="http://schemas.openxmlformats.org/spreadsheetml/2006/main" r="V173" s="18" t="str">
        <f t="shared" si="8"/>
        <v/>
      </c>
      <c r="W173" s="22"/>
      <c r="X173" s="22"/>
      <c xmlns="http://schemas.openxmlformats.org/spreadsheetml/2006/main" r="Y173">
        <f>IF($C173="",0,IF(COUNTIF($C$5:$C173,$C173)=1,1,0))</f>
        <v>0.0</v>
      </c>
      <c xmlns="http://schemas.openxmlformats.org/spreadsheetml/2006/main" r="Z173" t="str">
        <f>IF(Y173=1,SUM($Y$5:$Y173),"")</f>
        <v/>
      </c>
    </row>
    <row r="174" spans="1:26">
      <c r="A174" s="22"/>
      <c r="B174" s="22"/>
      <c r="C174" s="22"/>
      <c r="D174" s="22"/>
      <c r="E174" s="23"/>
      <c r="F174" s="23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6"/>
      <c xmlns="http://schemas.openxmlformats.org/spreadsheetml/2006/main" r="T174" s="23" t="str">
        <f t="shared" si="6"/>
        <v/>
      </c>
      <c xmlns="http://schemas.openxmlformats.org/spreadsheetml/2006/main" r="U174" s="22" t="str">
        <f t="shared" si="7"/>
        <v/>
      </c>
      <c xmlns="http://schemas.openxmlformats.org/spreadsheetml/2006/main" r="V174" s="18" t="str">
        <f t="shared" si="8"/>
        <v/>
      </c>
      <c r="W174" s="22"/>
      <c r="X174" s="22"/>
      <c xmlns="http://schemas.openxmlformats.org/spreadsheetml/2006/main" r="Y174">
        <f>IF($C174="",0,IF(COUNTIF($C$5:$C174,$C174)=1,1,0))</f>
        <v>0.0</v>
      </c>
      <c xmlns="http://schemas.openxmlformats.org/spreadsheetml/2006/main" r="Z174" t="str">
        <f>IF(Y174=1,SUM($Y$5:$Y174),"")</f>
        <v/>
      </c>
    </row>
    <row r="175" spans="1:26">
      <c r="A175" s="22"/>
      <c r="B175" s="22"/>
      <c r="C175" s="22"/>
      <c r="D175" s="22"/>
      <c r="E175" s="23"/>
      <c r="F175" s="23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6"/>
      <c xmlns="http://schemas.openxmlformats.org/spreadsheetml/2006/main" r="T175" s="23" t="str">
        <f t="shared" si="6"/>
        <v/>
      </c>
      <c xmlns="http://schemas.openxmlformats.org/spreadsheetml/2006/main" r="U175" s="22" t="str">
        <f t="shared" si="7"/>
        <v/>
      </c>
      <c xmlns="http://schemas.openxmlformats.org/spreadsheetml/2006/main" r="V175" s="18" t="str">
        <f t="shared" si="8"/>
        <v/>
      </c>
      <c r="W175" s="22"/>
      <c r="X175" s="22"/>
      <c xmlns="http://schemas.openxmlformats.org/spreadsheetml/2006/main" r="Y175">
        <f>IF($C175="",0,IF(COUNTIF($C$5:$C175,$C175)=1,1,0))</f>
        <v>0.0</v>
      </c>
      <c xmlns="http://schemas.openxmlformats.org/spreadsheetml/2006/main" r="Z175" t="str">
        <f>IF(Y175=1,SUM($Y$5:$Y175),"")</f>
        <v/>
      </c>
    </row>
    <row r="176" spans="1:26">
      <c r="A176" s="22"/>
      <c r="B176" s="22"/>
      <c r="C176" s="22"/>
      <c r="D176" s="22"/>
      <c r="E176" s="23"/>
      <c r="F176" s="23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6"/>
      <c xmlns="http://schemas.openxmlformats.org/spreadsheetml/2006/main" r="T176" s="23" t="str">
        <f t="shared" si="6"/>
        <v/>
      </c>
      <c xmlns="http://schemas.openxmlformats.org/spreadsheetml/2006/main" r="U176" s="22" t="str">
        <f t="shared" si="7"/>
        <v/>
      </c>
      <c xmlns="http://schemas.openxmlformats.org/spreadsheetml/2006/main" r="V176" s="18" t="str">
        <f t="shared" si="8"/>
        <v/>
      </c>
      <c r="W176" s="22"/>
      <c r="X176" s="22"/>
      <c xmlns="http://schemas.openxmlformats.org/spreadsheetml/2006/main" r="Y176">
        <f>IF($C176="",0,IF(COUNTIF($C$5:$C176,$C176)=1,1,0))</f>
        <v>0.0</v>
      </c>
      <c xmlns="http://schemas.openxmlformats.org/spreadsheetml/2006/main" r="Z176" t="str">
        <f>IF(Y176=1,SUM($Y$5:$Y176),"")</f>
        <v/>
      </c>
    </row>
    <row r="177" spans="1:26">
      <c r="A177" s="22"/>
      <c r="B177" s="22"/>
      <c r="C177" s="22"/>
      <c r="D177" s="22"/>
      <c r="E177" s="23"/>
      <c r="F177" s="23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6"/>
      <c xmlns="http://schemas.openxmlformats.org/spreadsheetml/2006/main" r="T177" s="23" t="str">
        <f t="shared" si="6"/>
        <v/>
      </c>
      <c xmlns="http://schemas.openxmlformats.org/spreadsheetml/2006/main" r="U177" s="22" t="str">
        <f t="shared" si="7"/>
        <v/>
      </c>
      <c xmlns="http://schemas.openxmlformats.org/spreadsheetml/2006/main" r="V177" s="18" t="str">
        <f t="shared" si="8"/>
        <v/>
      </c>
      <c r="W177" s="22"/>
      <c r="X177" s="22"/>
      <c xmlns="http://schemas.openxmlformats.org/spreadsheetml/2006/main" r="Y177">
        <f>IF($C177="",0,IF(COUNTIF($C$5:$C177,$C177)=1,1,0))</f>
        <v>0.0</v>
      </c>
      <c xmlns="http://schemas.openxmlformats.org/spreadsheetml/2006/main" r="Z177" t="str">
        <f>IF(Y177=1,SUM($Y$5:$Y177),"")</f>
        <v/>
      </c>
    </row>
    <row r="178" spans="1:26">
      <c r="A178" s="22"/>
      <c r="B178" s="22"/>
      <c r="C178" s="22"/>
      <c r="D178" s="22"/>
      <c r="E178" s="23"/>
      <c r="F178" s="23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6"/>
      <c xmlns="http://schemas.openxmlformats.org/spreadsheetml/2006/main" r="T178" s="23" t="str">
        <f t="shared" si="6"/>
        <v/>
      </c>
      <c xmlns="http://schemas.openxmlformats.org/spreadsheetml/2006/main" r="U178" s="22" t="str">
        <f t="shared" si="7"/>
        <v/>
      </c>
      <c xmlns="http://schemas.openxmlformats.org/spreadsheetml/2006/main" r="V178" s="18" t="str">
        <f t="shared" si="8"/>
        <v/>
      </c>
      <c r="W178" s="22"/>
      <c r="X178" s="22"/>
      <c xmlns="http://schemas.openxmlformats.org/spreadsheetml/2006/main" r="Y178">
        <f>IF($C178="",0,IF(COUNTIF($C$5:$C178,$C178)=1,1,0))</f>
        <v>0.0</v>
      </c>
      <c xmlns="http://schemas.openxmlformats.org/spreadsheetml/2006/main" r="Z178" t="str">
        <f>IF(Y178=1,SUM($Y$5:$Y178),"")</f>
        <v/>
      </c>
    </row>
    <row r="179" spans="1:26">
      <c r="A179" s="22"/>
      <c r="B179" s="22"/>
      <c r="C179" s="22"/>
      <c r="D179" s="22"/>
      <c r="E179" s="23"/>
      <c r="F179" s="23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6"/>
      <c xmlns="http://schemas.openxmlformats.org/spreadsheetml/2006/main" r="T179" s="23" t="str">
        <f t="shared" si="6"/>
        <v/>
      </c>
      <c xmlns="http://schemas.openxmlformats.org/spreadsheetml/2006/main" r="U179" s="22" t="str">
        <f t="shared" si="7"/>
        <v/>
      </c>
      <c xmlns="http://schemas.openxmlformats.org/spreadsheetml/2006/main" r="V179" s="18" t="str">
        <f t="shared" si="8"/>
        <v/>
      </c>
      <c r="W179" s="22"/>
      <c r="X179" s="22"/>
      <c xmlns="http://schemas.openxmlformats.org/spreadsheetml/2006/main" r="Y179">
        <f>IF($C179="",0,IF(COUNTIF($C$5:$C179,$C179)=1,1,0))</f>
        <v>0.0</v>
      </c>
      <c xmlns="http://schemas.openxmlformats.org/spreadsheetml/2006/main" r="Z179" t="str">
        <f>IF(Y179=1,SUM($Y$5:$Y179),"")</f>
        <v/>
      </c>
    </row>
    <row r="180" spans="1:26">
      <c r="A180" s="22"/>
      <c r="B180" s="22"/>
      <c r="C180" s="22"/>
      <c r="D180" s="22"/>
      <c r="E180" s="23"/>
      <c r="F180" s="23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6"/>
      <c xmlns="http://schemas.openxmlformats.org/spreadsheetml/2006/main" r="T180" s="23" t="str">
        <f t="shared" si="6"/>
        <v/>
      </c>
      <c xmlns="http://schemas.openxmlformats.org/spreadsheetml/2006/main" r="U180" s="22" t="str">
        <f t="shared" si="7"/>
        <v/>
      </c>
      <c xmlns="http://schemas.openxmlformats.org/spreadsheetml/2006/main" r="V180" s="18" t="str">
        <f t="shared" si="8"/>
        <v/>
      </c>
      <c r="W180" s="22"/>
      <c r="X180" s="22"/>
      <c xmlns="http://schemas.openxmlformats.org/spreadsheetml/2006/main" r="Y180">
        <f>IF($C180="",0,IF(COUNTIF($C$5:$C180,$C180)=1,1,0))</f>
        <v>0.0</v>
      </c>
      <c xmlns="http://schemas.openxmlformats.org/spreadsheetml/2006/main" r="Z180" t="str">
        <f>IF(Y180=1,SUM($Y$5:$Y180),"")</f>
        <v/>
      </c>
    </row>
    <row r="181" spans="1:26">
      <c r="A181" s="22"/>
      <c r="B181" s="22"/>
      <c r="C181" s="22"/>
      <c r="D181" s="22"/>
      <c r="E181" s="23"/>
      <c r="F181" s="23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6"/>
      <c xmlns="http://schemas.openxmlformats.org/spreadsheetml/2006/main" r="T181" s="23" t="str">
        <f t="shared" si="6"/>
        <v/>
      </c>
      <c xmlns="http://schemas.openxmlformats.org/spreadsheetml/2006/main" r="U181" s="22" t="str">
        <f t="shared" si="7"/>
        <v/>
      </c>
      <c xmlns="http://schemas.openxmlformats.org/spreadsheetml/2006/main" r="V181" s="18" t="str">
        <f t="shared" si="8"/>
        <v/>
      </c>
      <c r="W181" s="22"/>
      <c r="X181" s="22"/>
      <c xmlns="http://schemas.openxmlformats.org/spreadsheetml/2006/main" r="Y181">
        <f>IF($C181="",0,IF(COUNTIF($C$5:$C181,$C181)=1,1,0))</f>
        <v>0.0</v>
      </c>
      <c xmlns="http://schemas.openxmlformats.org/spreadsheetml/2006/main" r="Z181" t="str">
        <f>IF(Y181=1,SUM($Y$5:$Y181),"")</f>
        <v/>
      </c>
    </row>
    <row r="182" spans="1:26">
      <c r="A182" s="22"/>
      <c r="B182" s="22"/>
      <c r="C182" s="22"/>
      <c r="D182" s="22"/>
      <c r="E182" s="23"/>
      <c r="F182" s="23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6"/>
      <c xmlns="http://schemas.openxmlformats.org/spreadsheetml/2006/main" r="T182" s="23" t="str">
        <f t="shared" si="6"/>
        <v/>
      </c>
      <c xmlns="http://schemas.openxmlformats.org/spreadsheetml/2006/main" r="U182" s="22" t="str">
        <f t="shared" si="7"/>
        <v/>
      </c>
      <c xmlns="http://schemas.openxmlformats.org/spreadsheetml/2006/main" r="V182" s="18" t="str">
        <f t="shared" si="8"/>
        <v/>
      </c>
      <c r="W182" s="22"/>
      <c r="X182" s="22"/>
      <c xmlns="http://schemas.openxmlformats.org/spreadsheetml/2006/main" r="Y182">
        <f>IF($C182="",0,IF(COUNTIF($C$5:$C182,$C182)=1,1,0))</f>
        <v>0.0</v>
      </c>
      <c xmlns="http://schemas.openxmlformats.org/spreadsheetml/2006/main" r="Z182" t="str">
        <f>IF(Y182=1,SUM($Y$5:$Y182),"")</f>
        <v/>
      </c>
    </row>
    <row r="183" spans="1:26">
      <c r="A183" s="22"/>
      <c r="B183" s="22"/>
      <c r="C183" s="22"/>
      <c r="D183" s="22"/>
      <c r="E183" s="23"/>
      <c r="F183" s="23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6"/>
      <c xmlns="http://schemas.openxmlformats.org/spreadsheetml/2006/main" r="T183" s="23" t="str">
        <f t="shared" si="6"/>
        <v/>
      </c>
      <c xmlns="http://schemas.openxmlformats.org/spreadsheetml/2006/main" r="U183" s="22" t="str">
        <f t="shared" si="7"/>
        <v/>
      </c>
      <c xmlns="http://schemas.openxmlformats.org/spreadsheetml/2006/main" r="V183" s="18" t="str">
        <f t="shared" si="8"/>
        <v/>
      </c>
      <c r="W183" s="22"/>
      <c r="X183" s="22"/>
      <c xmlns="http://schemas.openxmlformats.org/spreadsheetml/2006/main" r="Y183">
        <f>IF($C183="",0,IF(COUNTIF($C$5:$C183,$C183)=1,1,0))</f>
        <v>0.0</v>
      </c>
      <c xmlns="http://schemas.openxmlformats.org/spreadsheetml/2006/main" r="Z183" t="str">
        <f>IF(Y183=1,SUM($Y$5:$Y183),"")</f>
        <v/>
      </c>
    </row>
    <row r="184" spans="1:26">
      <c r="A184" s="22"/>
      <c r="B184" s="22"/>
      <c r="C184" s="22"/>
      <c r="D184" s="22"/>
      <c r="E184" s="23"/>
      <c r="F184" s="23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6"/>
      <c xmlns="http://schemas.openxmlformats.org/spreadsheetml/2006/main" r="T184" s="23" t="str">
        <f t="shared" si="6"/>
        <v/>
      </c>
      <c xmlns="http://schemas.openxmlformats.org/spreadsheetml/2006/main" r="U184" s="22" t="str">
        <f t="shared" si="7"/>
        <v/>
      </c>
      <c xmlns="http://schemas.openxmlformats.org/spreadsheetml/2006/main" r="V184" s="18" t="str">
        <f t="shared" si="8"/>
        <v/>
      </c>
      <c r="W184" s="22"/>
      <c r="X184" s="22"/>
      <c xmlns="http://schemas.openxmlformats.org/spreadsheetml/2006/main" r="Y184">
        <f>IF($C184="",0,IF(COUNTIF($C$5:$C184,$C184)=1,1,0))</f>
        <v>0.0</v>
      </c>
      <c xmlns="http://schemas.openxmlformats.org/spreadsheetml/2006/main" r="Z184" t="str">
        <f>IF(Y184=1,SUM($Y$5:$Y184),"")</f>
        <v/>
      </c>
    </row>
    <row r="185" spans="1:26">
      <c r="A185" s="22"/>
      <c r="B185" s="22"/>
      <c r="C185" s="22"/>
      <c r="D185" s="22"/>
      <c r="E185" s="23"/>
      <c r="F185" s="23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6"/>
      <c xmlns="http://schemas.openxmlformats.org/spreadsheetml/2006/main" r="T185" s="23" t="str">
        <f t="shared" si="6"/>
        <v/>
      </c>
      <c xmlns="http://schemas.openxmlformats.org/spreadsheetml/2006/main" r="U185" s="22" t="str">
        <f t="shared" si="7"/>
        <v/>
      </c>
      <c xmlns="http://schemas.openxmlformats.org/spreadsheetml/2006/main" r="V185" s="18" t="str">
        <f t="shared" si="8"/>
        <v/>
      </c>
      <c r="W185" s="22"/>
      <c r="X185" s="22"/>
      <c xmlns="http://schemas.openxmlformats.org/spreadsheetml/2006/main" r="Y185">
        <f>IF($C185="",0,IF(COUNTIF($C$5:$C185,$C185)=1,1,0))</f>
        <v>0.0</v>
      </c>
      <c xmlns="http://schemas.openxmlformats.org/spreadsheetml/2006/main" r="Z185" t="str">
        <f>IF(Y185=1,SUM($Y$5:$Y185),"")</f>
        <v/>
      </c>
    </row>
    <row r="186" spans="1:26">
      <c r="A186" s="22"/>
      <c r="B186" s="22"/>
      <c r="C186" s="22"/>
      <c r="D186" s="22"/>
      <c r="E186" s="23"/>
      <c r="F186" s="23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  <c xmlns="http://schemas.openxmlformats.org/spreadsheetml/2006/main" r="T186" s="23" t="str">
        <f t="shared" si="6"/>
        <v/>
      </c>
      <c xmlns="http://schemas.openxmlformats.org/spreadsheetml/2006/main" r="U186" s="22" t="str">
        <f t="shared" si="7"/>
        <v/>
      </c>
      <c xmlns="http://schemas.openxmlformats.org/spreadsheetml/2006/main" r="V186" s="18" t="str">
        <f t="shared" si="8"/>
        <v/>
      </c>
      <c r="W186" s="22"/>
      <c r="X186" s="22"/>
      <c xmlns="http://schemas.openxmlformats.org/spreadsheetml/2006/main" r="Y186">
        <f>IF($C186="",0,IF(COUNTIF($C$5:$C186,$C186)=1,1,0))</f>
        <v>0.0</v>
      </c>
      <c xmlns="http://schemas.openxmlformats.org/spreadsheetml/2006/main" r="Z186" t="str">
        <f>IF(Y186=1,SUM($Y$5:$Y186),"")</f>
        <v/>
      </c>
    </row>
    <row r="187" spans="1:26">
      <c r="A187" s="22"/>
      <c r="B187" s="22"/>
      <c r="C187" s="22"/>
      <c r="D187" s="22"/>
      <c r="E187" s="23"/>
      <c r="F187" s="23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6"/>
      <c xmlns="http://schemas.openxmlformats.org/spreadsheetml/2006/main" r="T187" s="23" t="str">
        <f t="shared" si="6"/>
        <v/>
      </c>
      <c xmlns="http://schemas.openxmlformats.org/spreadsheetml/2006/main" r="U187" s="22" t="str">
        <f t="shared" si="7"/>
        <v/>
      </c>
      <c xmlns="http://schemas.openxmlformats.org/spreadsheetml/2006/main" r="V187" s="18" t="str">
        <f t="shared" si="8"/>
        <v/>
      </c>
      <c r="W187" s="22"/>
      <c r="X187" s="22"/>
      <c xmlns="http://schemas.openxmlformats.org/spreadsheetml/2006/main" r="Y187">
        <f>IF($C187="",0,IF(COUNTIF($C$5:$C187,$C187)=1,1,0))</f>
        <v>0.0</v>
      </c>
      <c xmlns="http://schemas.openxmlformats.org/spreadsheetml/2006/main" r="Z187" t="str">
        <f>IF(Y187=1,SUM($Y$5:$Y187),"")</f>
        <v/>
      </c>
    </row>
    <row r="188" spans="1:26">
      <c r="A188" s="22"/>
      <c r="B188" s="22"/>
      <c r="C188" s="22"/>
      <c r="D188" s="22"/>
      <c r="E188" s="23"/>
      <c r="F188" s="23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  <c xmlns="http://schemas.openxmlformats.org/spreadsheetml/2006/main" r="T188" s="23" t="str">
        <f t="shared" si="6"/>
        <v/>
      </c>
      <c xmlns="http://schemas.openxmlformats.org/spreadsheetml/2006/main" r="U188" s="22" t="str">
        <f t="shared" si="7"/>
        <v/>
      </c>
      <c xmlns="http://schemas.openxmlformats.org/spreadsheetml/2006/main" r="V188" s="18" t="str">
        <f t="shared" si="8"/>
        <v/>
      </c>
      <c r="W188" s="22"/>
      <c r="X188" s="22"/>
      <c xmlns="http://schemas.openxmlformats.org/spreadsheetml/2006/main" r="Y188">
        <f>IF($C188="",0,IF(COUNTIF($C$5:$C188,$C188)=1,1,0))</f>
        <v>0.0</v>
      </c>
      <c xmlns="http://schemas.openxmlformats.org/spreadsheetml/2006/main" r="Z188" t="str">
        <f>IF(Y188=1,SUM($Y$5:$Y188),"")</f>
        <v/>
      </c>
    </row>
    <row r="189" spans="1:26">
      <c r="A189" s="22"/>
      <c r="B189" s="22"/>
      <c r="C189" s="22"/>
      <c r="D189" s="22"/>
      <c r="E189" s="23"/>
      <c r="F189" s="23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  <c xmlns="http://schemas.openxmlformats.org/spreadsheetml/2006/main" r="T189" s="23" t="str">
        <f t="shared" si="6"/>
        <v/>
      </c>
      <c xmlns="http://schemas.openxmlformats.org/spreadsheetml/2006/main" r="U189" s="22" t="str">
        <f t="shared" si="7"/>
        <v/>
      </c>
      <c xmlns="http://schemas.openxmlformats.org/spreadsheetml/2006/main" r="V189" s="18" t="str">
        <f t="shared" si="8"/>
        <v/>
      </c>
      <c r="W189" s="22"/>
      <c r="X189" s="22"/>
      <c xmlns="http://schemas.openxmlformats.org/spreadsheetml/2006/main" r="Y189">
        <f>IF($C189="",0,IF(COUNTIF($C$5:$C189,$C189)=1,1,0))</f>
        <v>0.0</v>
      </c>
      <c xmlns="http://schemas.openxmlformats.org/spreadsheetml/2006/main" r="Z189" t="str">
        <f>IF(Y189=1,SUM($Y$5:$Y189),"")</f>
        <v/>
      </c>
    </row>
    <row r="190" spans="1:26">
      <c r="A190" s="22"/>
      <c r="B190" s="22"/>
      <c r="C190" s="22"/>
      <c r="D190" s="22"/>
      <c r="E190" s="23"/>
      <c r="F190" s="23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  <c xmlns="http://schemas.openxmlformats.org/spreadsheetml/2006/main" r="T190" s="23" t="str">
        <f t="shared" si="6"/>
        <v/>
      </c>
      <c xmlns="http://schemas.openxmlformats.org/spreadsheetml/2006/main" r="U190" s="22" t="str">
        <f t="shared" si="7"/>
        <v/>
      </c>
      <c xmlns="http://schemas.openxmlformats.org/spreadsheetml/2006/main" r="V190" s="18" t="str">
        <f t="shared" si="8"/>
        <v/>
      </c>
      <c r="W190" s="22"/>
      <c r="X190" s="22"/>
      <c xmlns="http://schemas.openxmlformats.org/spreadsheetml/2006/main" r="Y190">
        <f>IF($C190="",0,IF(COUNTIF($C$5:$C190,$C190)=1,1,0))</f>
        <v>0.0</v>
      </c>
      <c xmlns="http://schemas.openxmlformats.org/spreadsheetml/2006/main" r="Z190" t="str">
        <f>IF(Y190=1,SUM($Y$5:$Y190),"")</f>
        <v/>
      </c>
    </row>
    <row r="191" spans="1:26">
      <c r="A191" s="22"/>
      <c r="B191" s="22"/>
      <c r="C191" s="22"/>
      <c r="D191" s="22"/>
      <c r="E191" s="23"/>
      <c r="F191" s="23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  <c xmlns="http://schemas.openxmlformats.org/spreadsheetml/2006/main" r="T191" s="23" t="str">
        <f t="shared" si="6"/>
        <v/>
      </c>
      <c xmlns="http://schemas.openxmlformats.org/spreadsheetml/2006/main" r="U191" s="22" t="str">
        <f t="shared" si="7"/>
        <v/>
      </c>
      <c xmlns="http://schemas.openxmlformats.org/spreadsheetml/2006/main" r="V191" s="18" t="str">
        <f t="shared" si="8"/>
        <v/>
      </c>
      <c r="W191" s="22"/>
      <c r="X191" s="22"/>
      <c xmlns="http://schemas.openxmlformats.org/spreadsheetml/2006/main" r="Y191">
        <f>IF($C191="",0,IF(COUNTIF($C$5:$C191,$C191)=1,1,0))</f>
        <v>0.0</v>
      </c>
      <c xmlns="http://schemas.openxmlformats.org/spreadsheetml/2006/main" r="Z191" t="str">
        <f>IF(Y191=1,SUM($Y$5:$Y191),"")</f>
        <v/>
      </c>
    </row>
    <row r="192" spans="1:26">
      <c r="A192" s="22"/>
      <c r="B192" s="22"/>
      <c r="C192" s="22"/>
      <c r="D192" s="22"/>
      <c r="E192" s="23"/>
      <c r="F192" s="23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  <c xmlns="http://schemas.openxmlformats.org/spreadsheetml/2006/main" r="T192" s="23" t="str">
        <f t="shared" si="6"/>
        <v/>
      </c>
      <c xmlns="http://schemas.openxmlformats.org/spreadsheetml/2006/main" r="U192" s="22" t="str">
        <f t="shared" si="7"/>
        <v/>
      </c>
      <c xmlns="http://schemas.openxmlformats.org/spreadsheetml/2006/main" r="V192" s="18" t="str">
        <f t="shared" si="8"/>
        <v/>
      </c>
      <c r="W192" s="22"/>
      <c r="X192" s="22"/>
      <c xmlns="http://schemas.openxmlformats.org/spreadsheetml/2006/main" r="Y192">
        <f>IF($C192="",0,IF(COUNTIF($C$5:$C192,$C192)=1,1,0))</f>
        <v>0.0</v>
      </c>
      <c xmlns="http://schemas.openxmlformats.org/spreadsheetml/2006/main" r="Z192" t="str">
        <f>IF(Y192=1,SUM($Y$5:$Y192),"")</f>
        <v/>
      </c>
    </row>
    <row r="193" spans="1:26">
      <c r="A193" s="22"/>
      <c r="B193" s="22"/>
      <c r="C193" s="22"/>
      <c r="D193" s="22"/>
      <c r="E193" s="23"/>
      <c r="F193" s="23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  <c xmlns="http://schemas.openxmlformats.org/spreadsheetml/2006/main" r="T193" s="23" t="str">
        <f t="shared" si="6"/>
        <v/>
      </c>
      <c xmlns="http://schemas.openxmlformats.org/spreadsheetml/2006/main" r="U193" s="22" t="str">
        <f t="shared" si="7"/>
        <v/>
      </c>
      <c xmlns="http://schemas.openxmlformats.org/spreadsheetml/2006/main" r="V193" s="18" t="str">
        <f t="shared" si="8"/>
        <v/>
      </c>
      <c r="W193" s="22"/>
      <c r="X193" s="22"/>
      <c xmlns="http://schemas.openxmlformats.org/spreadsheetml/2006/main" r="Y193">
        <f>IF($C193="",0,IF(COUNTIF($C$5:$C193,$C193)=1,1,0))</f>
        <v>0.0</v>
      </c>
      <c xmlns="http://schemas.openxmlformats.org/spreadsheetml/2006/main" r="Z193" t="str">
        <f>IF(Y193=1,SUM($Y$5:$Y193),"")</f>
        <v/>
      </c>
    </row>
    <row r="194" spans="1:26">
      <c r="A194" s="22"/>
      <c r="B194" s="22"/>
      <c r="C194" s="22"/>
      <c r="D194" s="22"/>
      <c r="E194" s="23"/>
      <c r="F194" s="23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  <c xmlns="http://schemas.openxmlformats.org/spreadsheetml/2006/main" r="T194" s="23" t="str">
        <f t="shared" si="6"/>
        <v/>
      </c>
      <c xmlns="http://schemas.openxmlformats.org/spreadsheetml/2006/main" r="U194" s="22" t="str">
        <f t="shared" si="7"/>
        <v/>
      </c>
      <c xmlns="http://schemas.openxmlformats.org/spreadsheetml/2006/main" r="V194" s="18" t="str">
        <f t="shared" si="8"/>
        <v/>
      </c>
      <c r="W194" s="22"/>
      <c r="X194" s="22"/>
      <c xmlns="http://schemas.openxmlformats.org/spreadsheetml/2006/main" r="Y194">
        <f>IF($C194="",0,IF(COUNTIF($C$5:$C194,$C194)=1,1,0))</f>
        <v>0.0</v>
      </c>
      <c xmlns="http://schemas.openxmlformats.org/spreadsheetml/2006/main" r="Z194" t="str">
        <f>IF(Y194=1,SUM($Y$5:$Y194),"")</f>
        <v/>
      </c>
    </row>
    <row r="195" spans="1:26">
      <c r="A195" s="22"/>
      <c r="B195" s="22"/>
      <c r="C195" s="22"/>
      <c r="D195" s="22"/>
      <c r="E195" s="23"/>
      <c r="F195" s="23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  <c xmlns="http://schemas.openxmlformats.org/spreadsheetml/2006/main" r="T195" s="23" t="str">
        <f t="shared" si="6"/>
        <v/>
      </c>
      <c xmlns="http://schemas.openxmlformats.org/spreadsheetml/2006/main" r="U195" s="22" t="str">
        <f t="shared" si="7"/>
        <v/>
      </c>
      <c xmlns="http://schemas.openxmlformats.org/spreadsheetml/2006/main" r="V195" s="18" t="str">
        <f t="shared" si="8"/>
        <v/>
      </c>
      <c r="W195" s="22"/>
      <c r="X195" s="22"/>
      <c xmlns="http://schemas.openxmlformats.org/spreadsheetml/2006/main" r="Y195">
        <f>IF($C195="",0,IF(COUNTIF($C$5:$C195,$C195)=1,1,0))</f>
        <v>0.0</v>
      </c>
      <c xmlns="http://schemas.openxmlformats.org/spreadsheetml/2006/main" r="Z195" t="str">
        <f>IF(Y195=1,SUM($Y$5:$Y195),"")</f>
        <v/>
      </c>
    </row>
    <row r="196" spans="1:26">
      <c r="A196" s="22"/>
      <c r="B196" s="22"/>
      <c r="C196" s="22"/>
      <c r="D196" s="22"/>
      <c r="E196" s="23"/>
      <c r="F196" s="23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  <c xmlns="http://schemas.openxmlformats.org/spreadsheetml/2006/main" r="T196" s="23" t="str">
        <f t="shared" si="6"/>
        <v/>
      </c>
      <c xmlns="http://schemas.openxmlformats.org/spreadsheetml/2006/main" r="U196" s="22" t="str">
        <f t="shared" si="7"/>
        <v/>
      </c>
      <c xmlns="http://schemas.openxmlformats.org/spreadsheetml/2006/main" r="V196" s="18" t="str">
        <f t="shared" si="8"/>
        <v/>
      </c>
      <c r="W196" s="22"/>
      <c r="X196" s="22"/>
      <c xmlns="http://schemas.openxmlformats.org/spreadsheetml/2006/main" r="Y196">
        <f>IF($C196="",0,IF(COUNTIF($C$5:$C196,$C196)=1,1,0))</f>
        <v>0.0</v>
      </c>
      <c xmlns="http://schemas.openxmlformats.org/spreadsheetml/2006/main" r="Z196" t="str">
        <f>IF(Y196=1,SUM($Y$5:$Y196),"")</f>
        <v/>
      </c>
    </row>
    <row r="197" spans="1:26">
      <c r="A197" s="22"/>
      <c r="B197" s="22"/>
      <c r="C197" s="22"/>
      <c r="D197" s="22"/>
      <c r="E197" s="23"/>
      <c r="F197" s="23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  <c xmlns="http://schemas.openxmlformats.org/spreadsheetml/2006/main" r="T197" s="23" t="str">
        <f t="shared" ref="T197:T260" si="9">IF($D197="","",COUNTIF($H197:$R197,"V"))</f>
        <v/>
      </c>
      <c xmlns="http://schemas.openxmlformats.org/spreadsheetml/2006/main" r="U197" s="22" t="str">
        <f t="shared" ref="U197:U260" si="10">IF($D197="","",IF(AND($S197="V",$T197&gt;0),"⚠ 勾選矛盾",IF($S197="V","○ 免調理",IF($T197=0,"⚠ 資料缺漏",IF($T197=1,"▲ 單一設備依賴","OK")))))</f>
        <v/>
      </c>
      <c xmlns="http://schemas.openxmlformats.org/spreadsheetml/2006/main" r="V197" s="18" t="str">
        <f t="shared" ref="V197:V260" si="11">IF($D197="","",IF(AND($S197="V",$T197&gt;0),"「無使用調理設備」不可與設備欄同時勾選，請擇一修正",IF($S197="V","免調理半成品（外購/僅切配等），不列入設備風險評估",IF($T197=0,"未勾選任何設備，請補填或勾選「無使用調理設備」",IF($T197=1,"僅依賴1台設備，須確認故障/排修時之備援製程","無異常")))))</f>
        <v/>
      </c>
      <c r="W197" s="22"/>
      <c r="X197" s="22"/>
      <c xmlns="http://schemas.openxmlformats.org/spreadsheetml/2006/main" r="Y197">
        <f>IF($C197="",0,IF(COUNTIF($C$5:$C197,$C197)=1,1,0))</f>
        <v>0.0</v>
      </c>
      <c xmlns="http://schemas.openxmlformats.org/spreadsheetml/2006/main" r="Z197" t="str">
        <f>IF(Y197=1,SUM($Y$5:$Y197),"")</f>
        <v/>
      </c>
    </row>
    <row r="198" spans="1:26">
      <c r="A198" s="22"/>
      <c r="B198" s="22"/>
      <c r="C198" s="22"/>
      <c r="D198" s="22"/>
      <c r="E198" s="23"/>
      <c r="F198" s="23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6"/>
      <c xmlns="http://schemas.openxmlformats.org/spreadsheetml/2006/main" r="T198" s="23" t="str">
        <f t="shared" si="9"/>
        <v/>
      </c>
      <c xmlns="http://schemas.openxmlformats.org/spreadsheetml/2006/main" r="U198" s="22" t="str">
        <f t="shared" si="10"/>
        <v/>
      </c>
      <c xmlns="http://schemas.openxmlformats.org/spreadsheetml/2006/main" r="V198" s="18" t="str">
        <f t="shared" si="11"/>
        <v/>
      </c>
      <c r="W198" s="22"/>
      <c r="X198" s="22"/>
      <c xmlns="http://schemas.openxmlformats.org/spreadsheetml/2006/main" r="Y198">
        <f>IF($C198="",0,IF(COUNTIF($C$5:$C198,$C198)=1,1,0))</f>
        <v>0.0</v>
      </c>
      <c xmlns="http://schemas.openxmlformats.org/spreadsheetml/2006/main" r="Z198" t="str">
        <f>IF(Y198=1,SUM($Y$5:$Y198),"")</f>
        <v/>
      </c>
    </row>
    <row r="199" spans="1:26">
      <c r="A199" s="22"/>
      <c r="B199" s="22"/>
      <c r="C199" s="22"/>
      <c r="D199" s="22"/>
      <c r="E199" s="23"/>
      <c r="F199" s="23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6"/>
      <c xmlns="http://schemas.openxmlformats.org/spreadsheetml/2006/main" r="T199" s="23" t="str">
        <f t="shared" si="9"/>
        <v/>
      </c>
      <c xmlns="http://schemas.openxmlformats.org/spreadsheetml/2006/main" r="U199" s="22" t="str">
        <f t="shared" si="10"/>
        <v/>
      </c>
      <c xmlns="http://schemas.openxmlformats.org/spreadsheetml/2006/main" r="V199" s="18" t="str">
        <f t="shared" si="11"/>
        <v/>
      </c>
      <c r="W199" s="22"/>
      <c r="X199" s="22"/>
      <c xmlns="http://schemas.openxmlformats.org/spreadsheetml/2006/main" r="Y199">
        <f>IF($C199="",0,IF(COUNTIF($C$5:$C199,$C199)=1,1,0))</f>
        <v>0.0</v>
      </c>
      <c xmlns="http://schemas.openxmlformats.org/spreadsheetml/2006/main" r="Z199" t="str">
        <f>IF(Y199=1,SUM($Y$5:$Y199),"")</f>
        <v/>
      </c>
    </row>
    <row r="200" spans="1:26">
      <c r="A200" s="22"/>
      <c r="B200" s="22"/>
      <c r="C200" s="22"/>
      <c r="D200" s="22"/>
      <c r="E200" s="23"/>
      <c r="F200" s="23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6"/>
      <c xmlns="http://schemas.openxmlformats.org/spreadsheetml/2006/main" r="T200" s="23" t="str">
        <f t="shared" si="9"/>
        <v/>
      </c>
      <c xmlns="http://schemas.openxmlformats.org/spreadsheetml/2006/main" r="U200" s="22" t="str">
        <f t="shared" si="10"/>
        <v/>
      </c>
      <c xmlns="http://schemas.openxmlformats.org/spreadsheetml/2006/main" r="V200" s="18" t="str">
        <f t="shared" si="11"/>
        <v/>
      </c>
      <c r="W200" s="22"/>
      <c r="X200" s="22"/>
      <c xmlns="http://schemas.openxmlformats.org/spreadsheetml/2006/main" r="Y200">
        <f>IF($C200="",0,IF(COUNTIF($C$5:$C200,$C200)=1,1,0))</f>
        <v>0.0</v>
      </c>
      <c xmlns="http://schemas.openxmlformats.org/spreadsheetml/2006/main" r="Z200" t="str">
        <f>IF(Y200=1,SUM($Y$5:$Y200),"")</f>
        <v/>
      </c>
    </row>
    <row r="201" spans="1:26">
      <c r="A201" s="22"/>
      <c r="B201" s="22"/>
      <c r="C201" s="22"/>
      <c r="D201" s="22"/>
      <c r="E201" s="23"/>
      <c r="F201" s="23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6"/>
      <c xmlns="http://schemas.openxmlformats.org/spreadsheetml/2006/main" r="T201" s="23" t="str">
        <f t="shared" si="9"/>
        <v/>
      </c>
      <c xmlns="http://schemas.openxmlformats.org/spreadsheetml/2006/main" r="U201" s="22" t="str">
        <f t="shared" si="10"/>
        <v/>
      </c>
      <c xmlns="http://schemas.openxmlformats.org/spreadsheetml/2006/main" r="V201" s="18" t="str">
        <f t="shared" si="11"/>
        <v/>
      </c>
      <c r="W201" s="22"/>
      <c r="X201" s="22"/>
      <c xmlns="http://schemas.openxmlformats.org/spreadsheetml/2006/main" r="Y201">
        <f>IF($C201="",0,IF(COUNTIF($C$5:$C201,$C201)=1,1,0))</f>
        <v>0.0</v>
      </c>
      <c xmlns="http://schemas.openxmlformats.org/spreadsheetml/2006/main" r="Z201" t="str">
        <f>IF(Y201=1,SUM($Y$5:$Y201),"")</f>
        <v/>
      </c>
    </row>
    <row r="202" spans="1:26">
      <c r="A202" s="22"/>
      <c r="B202" s="22"/>
      <c r="C202" s="22"/>
      <c r="D202" s="22"/>
      <c r="E202" s="23"/>
      <c r="F202" s="23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6"/>
      <c xmlns="http://schemas.openxmlformats.org/spreadsheetml/2006/main" r="T202" s="23" t="str">
        <f t="shared" si="9"/>
        <v/>
      </c>
      <c xmlns="http://schemas.openxmlformats.org/spreadsheetml/2006/main" r="U202" s="22" t="str">
        <f t="shared" si="10"/>
        <v/>
      </c>
      <c xmlns="http://schemas.openxmlformats.org/spreadsheetml/2006/main" r="V202" s="18" t="str">
        <f t="shared" si="11"/>
        <v/>
      </c>
      <c r="W202" s="22"/>
      <c r="X202" s="22"/>
      <c xmlns="http://schemas.openxmlformats.org/spreadsheetml/2006/main" r="Y202">
        <f>IF($C202="",0,IF(COUNTIF($C$5:$C202,$C202)=1,1,0))</f>
        <v>0.0</v>
      </c>
      <c xmlns="http://schemas.openxmlformats.org/spreadsheetml/2006/main" r="Z202" t="str">
        <f>IF(Y202=1,SUM($Y$5:$Y202),"")</f>
        <v/>
      </c>
    </row>
    <row r="203" spans="1:26">
      <c r="A203" s="22"/>
      <c r="B203" s="22"/>
      <c r="C203" s="22"/>
      <c r="D203" s="22"/>
      <c r="E203" s="23"/>
      <c r="F203" s="23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6"/>
      <c xmlns="http://schemas.openxmlformats.org/spreadsheetml/2006/main" r="T203" s="23" t="str">
        <f t="shared" si="9"/>
        <v/>
      </c>
      <c xmlns="http://schemas.openxmlformats.org/spreadsheetml/2006/main" r="U203" s="22" t="str">
        <f t="shared" si="10"/>
        <v/>
      </c>
      <c xmlns="http://schemas.openxmlformats.org/spreadsheetml/2006/main" r="V203" s="18" t="str">
        <f t="shared" si="11"/>
        <v/>
      </c>
      <c r="W203" s="22"/>
      <c r="X203" s="22"/>
      <c xmlns="http://schemas.openxmlformats.org/spreadsheetml/2006/main" r="Y203">
        <f>IF($C203="",0,IF(COUNTIF($C$5:$C203,$C203)=1,1,0))</f>
        <v>0.0</v>
      </c>
      <c xmlns="http://schemas.openxmlformats.org/spreadsheetml/2006/main" r="Z203" t="str">
        <f>IF(Y203=1,SUM($Y$5:$Y203),"")</f>
        <v/>
      </c>
    </row>
    <row r="204" spans="1:26">
      <c r="A204" s="22"/>
      <c r="B204" s="22"/>
      <c r="C204" s="22"/>
      <c r="D204" s="22"/>
      <c r="E204" s="23"/>
      <c r="F204" s="23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6"/>
      <c xmlns="http://schemas.openxmlformats.org/spreadsheetml/2006/main" r="T204" s="23" t="str">
        <f t="shared" si="9"/>
        <v/>
      </c>
      <c xmlns="http://schemas.openxmlformats.org/spreadsheetml/2006/main" r="U204" s="22" t="str">
        <f t="shared" si="10"/>
        <v/>
      </c>
      <c xmlns="http://schemas.openxmlformats.org/spreadsheetml/2006/main" r="V204" s="18" t="str">
        <f t="shared" si="11"/>
        <v/>
      </c>
      <c r="W204" s="22"/>
      <c r="X204" s="22"/>
      <c xmlns="http://schemas.openxmlformats.org/spreadsheetml/2006/main" r="Y204">
        <f>IF($C204="",0,IF(COUNTIF($C$5:$C204,$C204)=1,1,0))</f>
        <v>0.0</v>
      </c>
      <c xmlns="http://schemas.openxmlformats.org/spreadsheetml/2006/main" r="Z204" t="str">
        <f>IF(Y204=1,SUM($Y$5:$Y204),"")</f>
        <v/>
      </c>
    </row>
    <row r="205" spans="1:26">
      <c r="A205" s="22"/>
      <c r="B205" s="22"/>
      <c r="C205" s="22"/>
      <c r="D205" s="22"/>
      <c r="E205" s="23"/>
      <c r="F205" s="23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6"/>
      <c xmlns="http://schemas.openxmlformats.org/spreadsheetml/2006/main" r="T205" s="23" t="str">
        <f t="shared" si="9"/>
        <v/>
      </c>
      <c xmlns="http://schemas.openxmlformats.org/spreadsheetml/2006/main" r="U205" s="22" t="str">
        <f t="shared" si="10"/>
        <v/>
      </c>
      <c xmlns="http://schemas.openxmlformats.org/spreadsheetml/2006/main" r="V205" s="18" t="str">
        <f t="shared" si="11"/>
        <v/>
      </c>
      <c r="W205" s="22"/>
      <c r="X205" s="22"/>
      <c xmlns="http://schemas.openxmlformats.org/spreadsheetml/2006/main" r="Y205">
        <f>IF($C205="",0,IF(COUNTIF($C$5:$C205,$C205)=1,1,0))</f>
        <v>0.0</v>
      </c>
      <c xmlns="http://schemas.openxmlformats.org/spreadsheetml/2006/main" r="Z205" t="str">
        <f>IF(Y205=1,SUM($Y$5:$Y205),"")</f>
        <v/>
      </c>
    </row>
    <row r="206" spans="1:26">
      <c r="A206" s="22"/>
      <c r="B206" s="22"/>
      <c r="C206" s="22"/>
      <c r="D206" s="22"/>
      <c r="E206" s="23"/>
      <c r="F206" s="23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6"/>
      <c xmlns="http://schemas.openxmlformats.org/spreadsheetml/2006/main" r="T206" s="23" t="str">
        <f t="shared" si="9"/>
        <v/>
      </c>
      <c xmlns="http://schemas.openxmlformats.org/spreadsheetml/2006/main" r="U206" s="22" t="str">
        <f t="shared" si="10"/>
        <v/>
      </c>
      <c xmlns="http://schemas.openxmlformats.org/spreadsheetml/2006/main" r="V206" s="18" t="str">
        <f t="shared" si="11"/>
        <v/>
      </c>
      <c r="W206" s="22"/>
      <c r="X206" s="22"/>
      <c xmlns="http://schemas.openxmlformats.org/spreadsheetml/2006/main" r="Y206">
        <f>IF($C206="",0,IF(COUNTIF($C$5:$C206,$C206)=1,1,0))</f>
        <v>0.0</v>
      </c>
      <c xmlns="http://schemas.openxmlformats.org/spreadsheetml/2006/main" r="Z206" t="str">
        <f>IF(Y206=1,SUM($Y$5:$Y206),"")</f>
        <v/>
      </c>
    </row>
    <row r="207" spans="1:26">
      <c r="A207" s="22"/>
      <c r="B207" s="22"/>
      <c r="C207" s="22"/>
      <c r="D207" s="22"/>
      <c r="E207" s="23"/>
      <c r="F207" s="23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6"/>
      <c xmlns="http://schemas.openxmlformats.org/spreadsheetml/2006/main" r="T207" s="23" t="str">
        <f t="shared" si="9"/>
        <v/>
      </c>
      <c xmlns="http://schemas.openxmlformats.org/spreadsheetml/2006/main" r="U207" s="22" t="str">
        <f t="shared" si="10"/>
        <v/>
      </c>
      <c xmlns="http://schemas.openxmlformats.org/spreadsheetml/2006/main" r="V207" s="18" t="str">
        <f t="shared" si="11"/>
        <v/>
      </c>
      <c r="W207" s="22"/>
      <c r="X207" s="22"/>
      <c xmlns="http://schemas.openxmlformats.org/spreadsheetml/2006/main" r="Y207">
        <f>IF($C207="",0,IF(COUNTIF($C$5:$C207,$C207)=1,1,0))</f>
        <v>0.0</v>
      </c>
      <c xmlns="http://schemas.openxmlformats.org/spreadsheetml/2006/main" r="Z207" t="str">
        <f>IF(Y207=1,SUM($Y$5:$Y207),"")</f>
        <v/>
      </c>
    </row>
    <row r="208" spans="1:26">
      <c r="A208" s="22"/>
      <c r="B208" s="22"/>
      <c r="C208" s="22"/>
      <c r="D208" s="22"/>
      <c r="E208" s="23"/>
      <c r="F208" s="23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6"/>
      <c xmlns="http://schemas.openxmlformats.org/spreadsheetml/2006/main" r="T208" s="23" t="str">
        <f t="shared" si="9"/>
        <v/>
      </c>
      <c xmlns="http://schemas.openxmlformats.org/spreadsheetml/2006/main" r="U208" s="22" t="str">
        <f t="shared" si="10"/>
        <v/>
      </c>
      <c xmlns="http://schemas.openxmlformats.org/spreadsheetml/2006/main" r="V208" s="18" t="str">
        <f t="shared" si="11"/>
        <v/>
      </c>
      <c r="W208" s="22"/>
      <c r="X208" s="22"/>
      <c xmlns="http://schemas.openxmlformats.org/spreadsheetml/2006/main" r="Y208">
        <f>IF($C208="",0,IF(COUNTIF($C$5:$C208,$C208)=1,1,0))</f>
        <v>0.0</v>
      </c>
      <c xmlns="http://schemas.openxmlformats.org/spreadsheetml/2006/main" r="Z208" t="str">
        <f>IF(Y208=1,SUM($Y$5:$Y208),"")</f>
        <v/>
      </c>
    </row>
    <row r="209" spans="1:26">
      <c r="A209" s="22"/>
      <c r="B209" s="22"/>
      <c r="C209" s="22"/>
      <c r="D209" s="22"/>
      <c r="E209" s="23"/>
      <c r="F209" s="23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6"/>
      <c xmlns="http://schemas.openxmlformats.org/spreadsheetml/2006/main" r="T209" s="23" t="str">
        <f t="shared" si="9"/>
        <v/>
      </c>
      <c xmlns="http://schemas.openxmlformats.org/spreadsheetml/2006/main" r="U209" s="22" t="str">
        <f t="shared" si="10"/>
        <v/>
      </c>
      <c xmlns="http://schemas.openxmlformats.org/spreadsheetml/2006/main" r="V209" s="18" t="str">
        <f t="shared" si="11"/>
        <v/>
      </c>
      <c r="W209" s="22"/>
      <c r="X209" s="22"/>
      <c xmlns="http://schemas.openxmlformats.org/spreadsheetml/2006/main" r="Y209">
        <f>IF($C209="",0,IF(COUNTIF($C$5:$C209,$C209)=1,1,0))</f>
        <v>0.0</v>
      </c>
      <c xmlns="http://schemas.openxmlformats.org/spreadsheetml/2006/main" r="Z209" t="str">
        <f>IF(Y209=1,SUM($Y$5:$Y209),"")</f>
        <v/>
      </c>
    </row>
    <row r="210" spans="1:26">
      <c r="A210" s="22"/>
      <c r="B210" s="22"/>
      <c r="C210" s="22"/>
      <c r="D210" s="22"/>
      <c r="E210" s="23"/>
      <c r="F210" s="23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6"/>
      <c xmlns="http://schemas.openxmlformats.org/spreadsheetml/2006/main" r="T210" s="23" t="str">
        <f t="shared" si="9"/>
        <v/>
      </c>
      <c xmlns="http://schemas.openxmlformats.org/spreadsheetml/2006/main" r="U210" s="22" t="str">
        <f t="shared" si="10"/>
        <v/>
      </c>
      <c xmlns="http://schemas.openxmlformats.org/spreadsheetml/2006/main" r="V210" s="18" t="str">
        <f t="shared" si="11"/>
        <v/>
      </c>
      <c r="W210" s="22"/>
      <c r="X210" s="22"/>
      <c xmlns="http://schemas.openxmlformats.org/spreadsheetml/2006/main" r="Y210">
        <f>IF($C210="",0,IF(COUNTIF($C$5:$C210,$C210)=1,1,0))</f>
        <v>0.0</v>
      </c>
      <c xmlns="http://schemas.openxmlformats.org/spreadsheetml/2006/main" r="Z210" t="str">
        <f>IF(Y210=1,SUM($Y$5:$Y210),"")</f>
        <v/>
      </c>
    </row>
    <row r="211" spans="1:26">
      <c r="A211" s="22"/>
      <c r="B211" s="22"/>
      <c r="C211" s="22"/>
      <c r="D211" s="22"/>
      <c r="E211" s="23"/>
      <c r="F211" s="23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6"/>
      <c xmlns="http://schemas.openxmlformats.org/spreadsheetml/2006/main" r="T211" s="23" t="str">
        <f t="shared" si="9"/>
        <v/>
      </c>
      <c xmlns="http://schemas.openxmlformats.org/spreadsheetml/2006/main" r="U211" s="22" t="str">
        <f t="shared" si="10"/>
        <v/>
      </c>
      <c xmlns="http://schemas.openxmlformats.org/spreadsheetml/2006/main" r="V211" s="18" t="str">
        <f t="shared" si="11"/>
        <v/>
      </c>
      <c r="W211" s="22"/>
      <c r="X211" s="22"/>
      <c xmlns="http://schemas.openxmlformats.org/spreadsheetml/2006/main" r="Y211">
        <f>IF($C211="",0,IF(COUNTIF($C$5:$C211,$C211)=1,1,0))</f>
        <v>0.0</v>
      </c>
      <c xmlns="http://schemas.openxmlformats.org/spreadsheetml/2006/main" r="Z211" t="str">
        <f>IF(Y211=1,SUM($Y$5:$Y211),"")</f>
        <v/>
      </c>
    </row>
    <row r="212" spans="1:26">
      <c r="A212" s="22"/>
      <c r="B212" s="22"/>
      <c r="C212" s="22"/>
      <c r="D212" s="22"/>
      <c r="E212" s="23"/>
      <c r="F212" s="23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  <c xmlns="http://schemas.openxmlformats.org/spreadsheetml/2006/main" r="T212" s="23" t="str">
        <f t="shared" si="9"/>
        <v/>
      </c>
      <c xmlns="http://schemas.openxmlformats.org/spreadsheetml/2006/main" r="U212" s="22" t="str">
        <f t="shared" si="10"/>
        <v/>
      </c>
      <c xmlns="http://schemas.openxmlformats.org/spreadsheetml/2006/main" r="V212" s="18" t="str">
        <f t="shared" si="11"/>
        <v/>
      </c>
      <c r="W212" s="22"/>
      <c r="X212" s="22"/>
      <c xmlns="http://schemas.openxmlformats.org/spreadsheetml/2006/main" r="Y212">
        <f>IF($C212="",0,IF(COUNTIF($C$5:$C212,$C212)=1,1,0))</f>
        <v>0.0</v>
      </c>
      <c xmlns="http://schemas.openxmlformats.org/spreadsheetml/2006/main" r="Z212" t="str">
        <f>IF(Y212=1,SUM($Y$5:$Y212),"")</f>
        <v/>
      </c>
    </row>
    <row r="213" spans="1:26">
      <c r="A213" s="22"/>
      <c r="B213" s="22"/>
      <c r="C213" s="22"/>
      <c r="D213" s="22"/>
      <c r="E213" s="23"/>
      <c r="F213" s="23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6"/>
      <c xmlns="http://schemas.openxmlformats.org/spreadsheetml/2006/main" r="T213" s="23" t="str">
        <f t="shared" si="9"/>
        <v/>
      </c>
      <c xmlns="http://schemas.openxmlformats.org/spreadsheetml/2006/main" r="U213" s="22" t="str">
        <f t="shared" si="10"/>
        <v/>
      </c>
      <c xmlns="http://schemas.openxmlformats.org/spreadsheetml/2006/main" r="V213" s="18" t="str">
        <f t="shared" si="11"/>
        <v/>
      </c>
      <c r="W213" s="22"/>
      <c r="X213" s="22"/>
      <c xmlns="http://schemas.openxmlformats.org/spreadsheetml/2006/main" r="Y213">
        <f>IF($C213="",0,IF(COUNTIF($C$5:$C213,$C213)=1,1,0))</f>
        <v>0.0</v>
      </c>
      <c xmlns="http://schemas.openxmlformats.org/spreadsheetml/2006/main" r="Z213" t="str">
        <f>IF(Y213=1,SUM($Y$5:$Y213),"")</f>
        <v/>
      </c>
    </row>
    <row r="214" spans="1:26">
      <c r="A214" s="22"/>
      <c r="B214" s="22"/>
      <c r="C214" s="22"/>
      <c r="D214" s="22"/>
      <c r="E214" s="23"/>
      <c r="F214" s="23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6"/>
      <c xmlns="http://schemas.openxmlformats.org/spreadsheetml/2006/main" r="T214" s="23" t="str">
        <f t="shared" si="9"/>
        <v/>
      </c>
      <c xmlns="http://schemas.openxmlformats.org/spreadsheetml/2006/main" r="U214" s="22" t="str">
        <f t="shared" si="10"/>
        <v/>
      </c>
      <c xmlns="http://schemas.openxmlformats.org/spreadsheetml/2006/main" r="V214" s="18" t="str">
        <f t="shared" si="11"/>
        <v/>
      </c>
      <c r="W214" s="22"/>
      <c r="X214" s="22"/>
      <c xmlns="http://schemas.openxmlformats.org/spreadsheetml/2006/main" r="Y214">
        <f>IF($C214="",0,IF(COUNTIF($C$5:$C214,$C214)=1,1,0))</f>
        <v>0.0</v>
      </c>
      <c xmlns="http://schemas.openxmlformats.org/spreadsheetml/2006/main" r="Z214" t="str">
        <f>IF(Y214=1,SUM($Y$5:$Y214),"")</f>
        <v/>
      </c>
    </row>
    <row r="215" spans="1:26">
      <c r="A215" s="22"/>
      <c r="B215" s="22"/>
      <c r="C215" s="22"/>
      <c r="D215" s="22"/>
      <c r="E215" s="23"/>
      <c r="F215" s="23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6"/>
      <c xmlns="http://schemas.openxmlformats.org/spreadsheetml/2006/main" r="T215" s="23" t="str">
        <f t="shared" si="9"/>
        <v/>
      </c>
      <c xmlns="http://schemas.openxmlformats.org/spreadsheetml/2006/main" r="U215" s="22" t="str">
        <f t="shared" si="10"/>
        <v/>
      </c>
      <c xmlns="http://schemas.openxmlformats.org/spreadsheetml/2006/main" r="V215" s="18" t="str">
        <f t="shared" si="11"/>
        <v/>
      </c>
      <c r="W215" s="22"/>
      <c r="X215" s="22"/>
      <c xmlns="http://schemas.openxmlformats.org/spreadsheetml/2006/main" r="Y215">
        <f>IF($C215="",0,IF(COUNTIF($C$5:$C215,$C215)=1,1,0))</f>
        <v>0.0</v>
      </c>
      <c xmlns="http://schemas.openxmlformats.org/spreadsheetml/2006/main" r="Z215" t="str">
        <f>IF(Y215=1,SUM($Y$5:$Y215),"")</f>
        <v/>
      </c>
    </row>
    <row r="216" spans="1:26">
      <c r="A216" s="22"/>
      <c r="B216" s="22"/>
      <c r="C216" s="22"/>
      <c r="D216" s="22"/>
      <c r="E216" s="23"/>
      <c r="F216" s="23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6"/>
      <c xmlns="http://schemas.openxmlformats.org/spreadsheetml/2006/main" r="T216" s="23" t="str">
        <f t="shared" si="9"/>
        <v/>
      </c>
      <c xmlns="http://schemas.openxmlformats.org/spreadsheetml/2006/main" r="U216" s="22" t="str">
        <f t="shared" si="10"/>
        <v/>
      </c>
      <c xmlns="http://schemas.openxmlformats.org/spreadsheetml/2006/main" r="V216" s="18" t="str">
        <f t="shared" si="11"/>
        <v/>
      </c>
      <c r="W216" s="22"/>
      <c r="X216" s="22"/>
      <c xmlns="http://schemas.openxmlformats.org/spreadsheetml/2006/main" r="Y216">
        <f>IF($C216="",0,IF(COUNTIF($C$5:$C216,$C216)=1,1,0))</f>
        <v>0.0</v>
      </c>
      <c xmlns="http://schemas.openxmlformats.org/spreadsheetml/2006/main" r="Z216" t="str">
        <f>IF(Y216=1,SUM($Y$5:$Y216),"")</f>
        <v/>
      </c>
    </row>
    <row r="217" spans="1:26">
      <c r="A217" s="22"/>
      <c r="B217" s="22"/>
      <c r="C217" s="22"/>
      <c r="D217" s="22"/>
      <c r="E217" s="23"/>
      <c r="F217" s="23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6"/>
      <c xmlns="http://schemas.openxmlformats.org/spreadsheetml/2006/main" r="T217" s="23" t="str">
        <f t="shared" si="9"/>
        <v/>
      </c>
      <c xmlns="http://schemas.openxmlformats.org/spreadsheetml/2006/main" r="U217" s="22" t="str">
        <f t="shared" si="10"/>
        <v/>
      </c>
      <c xmlns="http://schemas.openxmlformats.org/spreadsheetml/2006/main" r="V217" s="18" t="str">
        <f t="shared" si="11"/>
        <v/>
      </c>
      <c r="W217" s="22"/>
      <c r="X217" s="22"/>
      <c xmlns="http://schemas.openxmlformats.org/spreadsheetml/2006/main" r="Y217">
        <f>IF($C217="",0,IF(COUNTIF($C$5:$C217,$C217)=1,1,0))</f>
        <v>0.0</v>
      </c>
      <c xmlns="http://schemas.openxmlformats.org/spreadsheetml/2006/main" r="Z217" t="str">
        <f>IF(Y217=1,SUM($Y$5:$Y217),"")</f>
        <v/>
      </c>
    </row>
    <row r="218" spans="1:26">
      <c r="A218" s="22"/>
      <c r="B218" s="22"/>
      <c r="C218" s="22"/>
      <c r="D218" s="22"/>
      <c r="E218" s="23"/>
      <c r="F218" s="23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6"/>
      <c xmlns="http://schemas.openxmlformats.org/spreadsheetml/2006/main" r="T218" s="23" t="str">
        <f t="shared" si="9"/>
        <v/>
      </c>
      <c xmlns="http://schemas.openxmlformats.org/spreadsheetml/2006/main" r="U218" s="22" t="str">
        <f t="shared" si="10"/>
        <v/>
      </c>
      <c xmlns="http://schemas.openxmlformats.org/spreadsheetml/2006/main" r="V218" s="18" t="str">
        <f t="shared" si="11"/>
        <v/>
      </c>
      <c r="W218" s="22"/>
      <c r="X218" s="22"/>
      <c xmlns="http://schemas.openxmlformats.org/spreadsheetml/2006/main" r="Y218">
        <f>IF($C218="",0,IF(COUNTIF($C$5:$C218,$C218)=1,1,0))</f>
        <v>0.0</v>
      </c>
      <c xmlns="http://schemas.openxmlformats.org/spreadsheetml/2006/main" r="Z218" t="str">
        <f>IF(Y218=1,SUM($Y$5:$Y218),"")</f>
        <v/>
      </c>
    </row>
    <row r="219" spans="1:26">
      <c r="A219" s="22"/>
      <c r="B219" s="22"/>
      <c r="C219" s="22"/>
      <c r="D219" s="22"/>
      <c r="E219" s="23"/>
      <c r="F219" s="23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6"/>
      <c xmlns="http://schemas.openxmlformats.org/spreadsheetml/2006/main" r="T219" s="23" t="str">
        <f t="shared" si="9"/>
        <v/>
      </c>
      <c xmlns="http://schemas.openxmlformats.org/spreadsheetml/2006/main" r="U219" s="22" t="str">
        <f t="shared" si="10"/>
        <v/>
      </c>
      <c xmlns="http://schemas.openxmlformats.org/spreadsheetml/2006/main" r="V219" s="18" t="str">
        <f t="shared" si="11"/>
        <v/>
      </c>
      <c r="W219" s="22"/>
      <c r="X219" s="22"/>
      <c xmlns="http://schemas.openxmlformats.org/spreadsheetml/2006/main" r="Y219">
        <f>IF($C219="",0,IF(COUNTIF($C$5:$C219,$C219)=1,1,0))</f>
        <v>0.0</v>
      </c>
      <c xmlns="http://schemas.openxmlformats.org/spreadsheetml/2006/main" r="Z219" t="str">
        <f>IF(Y219=1,SUM($Y$5:$Y219),"")</f>
        <v/>
      </c>
    </row>
    <row r="220" spans="1:26">
      <c r="A220" s="22"/>
      <c r="B220" s="22"/>
      <c r="C220" s="22"/>
      <c r="D220" s="22"/>
      <c r="E220" s="23"/>
      <c r="F220" s="23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6"/>
      <c xmlns="http://schemas.openxmlformats.org/spreadsheetml/2006/main" r="T220" s="23" t="str">
        <f t="shared" si="9"/>
        <v/>
      </c>
      <c xmlns="http://schemas.openxmlformats.org/spreadsheetml/2006/main" r="U220" s="22" t="str">
        <f t="shared" si="10"/>
        <v/>
      </c>
      <c xmlns="http://schemas.openxmlformats.org/spreadsheetml/2006/main" r="V220" s="18" t="str">
        <f t="shared" si="11"/>
        <v/>
      </c>
      <c r="W220" s="22"/>
      <c r="X220" s="22"/>
      <c xmlns="http://schemas.openxmlformats.org/spreadsheetml/2006/main" r="Y220">
        <f>IF($C220="",0,IF(COUNTIF($C$5:$C220,$C220)=1,1,0))</f>
        <v>0.0</v>
      </c>
      <c xmlns="http://schemas.openxmlformats.org/spreadsheetml/2006/main" r="Z220" t="str">
        <f>IF(Y220=1,SUM($Y$5:$Y220),"")</f>
        <v/>
      </c>
    </row>
    <row r="221" spans="1:26">
      <c r="A221" s="22"/>
      <c r="B221" s="22"/>
      <c r="C221" s="22"/>
      <c r="D221" s="22"/>
      <c r="E221" s="23"/>
      <c r="F221" s="23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6"/>
      <c xmlns="http://schemas.openxmlformats.org/spreadsheetml/2006/main" r="T221" s="23" t="str">
        <f t="shared" si="9"/>
        <v/>
      </c>
      <c xmlns="http://schemas.openxmlformats.org/spreadsheetml/2006/main" r="U221" s="22" t="str">
        <f t="shared" si="10"/>
        <v/>
      </c>
      <c xmlns="http://schemas.openxmlformats.org/spreadsheetml/2006/main" r="V221" s="18" t="str">
        <f t="shared" si="11"/>
        <v/>
      </c>
      <c r="W221" s="22"/>
      <c r="X221" s="22"/>
      <c xmlns="http://schemas.openxmlformats.org/spreadsheetml/2006/main" r="Y221">
        <f>IF($C221="",0,IF(COUNTIF($C$5:$C221,$C221)=1,1,0))</f>
        <v>0.0</v>
      </c>
      <c xmlns="http://schemas.openxmlformats.org/spreadsheetml/2006/main" r="Z221" t="str">
        <f>IF(Y221=1,SUM($Y$5:$Y221),"")</f>
        <v/>
      </c>
    </row>
    <row r="222" spans="1:26">
      <c r="A222" s="22"/>
      <c r="B222" s="22"/>
      <c r="C222" s="22"/>
      <c r="D222" s="22"/>
      <c r="E222" s="23"/>
      <c r="F222" s="23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6"/>
      <c xmlns="http://schemas.openxmlformats.org/spreadsheetml/2006/main" r="T222" s="23" t="str">
        <f t="shared" si="9"/>
        <v/>
      </c>
      <c xmlns="http://schemas.openxmlformats.org/spreadsheetml/2006/main" r="U222" s="22" t="str">
        <f t="shared" si="10"/>
        <v/>
      </c>
      <c xmlns="http://schemas.openxmlformats.org/spreadsheetml/2006/main" r="V222" s="18" t="str">
        <f t="shared" si="11"/>
        <v/>
      </c>
      <c r="W222" s="22"/>
      <c r="X222" s="22"/>
      <c xmlns="http://schemas.openxmlformats.org/spreadsheetml/2006/main" r="Y222">
        <f>IF($C222="",0,IF(COUNTIF($C$5:$C222,$C222)=1,1,0))</f>
        <v>0.0</v>
      </c>
      <c xmlns="http://schemas.openxmlformats.org/spreadsheetml/2006/main" r="Z222" t="str">
        <f>IF(Y222=1,SUM($Y$5:$Y222),"")</f>
        <v/>
      </c>
    </row>
    <row r="223" spans="1:26">
      <c r="A223" s="22"/>
      <c r="B223" s="22"/>
      <c r="C223" s="22"/>
      <c r="D223" s="22"/>
      <c r="E223" s="23"/>
      <c r="F223" s="23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6"/>
      <c xmlns="http://schemas.openxmlformats.org/spreadsheetml/2006/main" r="T223" s="23" t="str">
        <f t="shared" si="9"/>
        <v/>
      </c>
      <c xmlns="http://schemas.openxmlformats.org/spreadsheetml/2006/main" r="U223" s="22" t="str">
        <f t="shared" si="10"/>
        <v/>
      </c>
      <c xmlns="http://schemas.openxmlformats.org/spreadsheetml/2006/main" r="V223" s="18" t="str">
        <f t="shared" si="11"/>
        <v/>
      </c>
      <c r="W223" s="22"/>
      <c r="X223" s="22"/>
      <c xmlns="http://schemas.openxmlformats.org/spreadsheetml/2006/main" r="Y223">
        <f>IF($C223="",0,IF(COUNTIF($C$5:$C223,$C223)=1,1,0))</f>
        <v>0.0</v>
      </c>
      <c xmlns="http://schemas.openxmlformats.org/spreadsheetml/2006/main" r="Z223" t="str">
        <f>IF(Y223=1,SUM($Y$5:$Y223),"")</f>
        <v/>
      </c>
    </row>
    <row r="224" spans="1:26">
      <c r="A224" s="22"/>
      <c r="B224" s="22"/>
      <c r="C224" s="22"/>
      <c r="D224" s="22"/>
      <c r="E224" s="23"/>
      <c r="F224" s="23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6"/>
      <c xmlns="http://schemas.openxmlformats.org/spreadsheetml/2006/main" r="T224" s="23" t="str">
        <f t="shared" si="9"/>
        <v/>
      </c>
      <c xmlns="http://schemas.openxmlformats.org/spreadsheetml/2006/main" r="U224" s="22" t="str">
        <f t="shared" si="10"/>
        <v/>
      </c>
      <c xmlns="http://schemas.openxmlformats.org/spreadsheetml/2006/main" r="V224" s="18" t="str">
        <f t="shared" si="11"/>
        <v/>
      </c>
      <c r="W224" s="22"/>
      <c r="X224" s="22"/>
      <c xmlns="http://schemas.openxmlformats.org/spreadsheetml/2006/main" r="Y224">
        <f>IF($C224="",0,IF(COUNTIF($C$5:$C224,$C224)=1,1,0))</f>
        <v>0.0</v>
      </c>
      <c xmlns="http://schemas.openxmlformats.org/spreadsheetml/2006/main" r="Z224" t="str">
        <f>IF(Y224=1,SUM($Y$5:$Y224),"")</f>
        <v/>
      </c>
    </row>
    <row r="225" spans="1:26">
      <c r="A225" s="22"/>
      <c r="B225" s="22"/>
      <c r="C225" s="22"/>
      <c r="D225" s="22"/>
      <c r="E225" s="23"/>
      <c r="F225" s="23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6"/>
      <c xmlns="http://schemas.openxmlformats.org/spreadsheetml/2006/main" r="T225" s="23" t="str">
        <f t="shared" si="9"/>
        <v/>
      </c>
      <c xmlns="http://schemas.openxmlformats.org/spreadsheetml/2006/main" r="U225" s="22" t="str">
        <f t="shared" si="10"/>
        <v/>
      </c>
      <c xmlns="http://schemas.openxmlformats.org/spreadsheetml/2006/main" r="V225" s="18" t="str">
        <f t="shared" si="11"/>
        <v/>
      </c>
      <c r="W225" s="22"/>
      <c r="X225" s="22"/>
      <c xmlns="http://schemas.openxmlformats.org/spreadsheetml/2006/main" r="Y225">
        <f>IF($C225="",0,IF(COUNTIF($C$5:$C225,$C225)=1,1,0))</f>
        <v>0.0</v>
      </c>
      <c xmlns="http://schemas.openxmlformats.org/spreadsheetml/2006/main" r="Z225" t="str">
        <f>IF(Y225=1,SUM($Y$5:$Y225),"")</f>
        <v/>
      </c>
    </row>
    <row r="226" spans="1:26">
      <c r="A226" s="22"/>
      <c r="B226" s="22"/>
      <c r="C226" s="22"/>
      <c r="D226" s="22"/>
      <c r="E226" s="23"/>
      <c r="F226" s="23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6"/>
      <c xmlns="http://schemas.openxmlformats.org/spreadsheetml/2006/main" r="T226" s="23" t="str">
        <f t="shared" si="9"/>
        <v/>
      </c>
      <c xmlns="http://schemas.openxmlformats.org/spreadsheetml/2006/main" r="U226" s="22" t="str">
        <f t="shared" si="10"/>
        <v/>
      </c>
      <c xmlns="http://schemas.openxmlformats.org/spreadsheetml/2006/main" r="V226" s="18" t="str">
        <f t="shared" si="11"/>
        <v/>
      </c>
      <c r="W226" s="22"/>
      <c r="X226" s="22"/>
      <c xmlns="http://schemas.openxmlformats.org/spreadsheetml/2006/main" r="Y226">
        <f>IF($C226="",0,IF(COUNTIF($C$5:$C226,$C226)=1,1,0))</f>
        <v>0.0</v>
      </c>
      <c xmlns="http://schemas.openxmlformats.org/spreadsheetml/2006/main" r="Z226" t="str">
        <f>IF(Y226=1,SUM($Y$5:$Y226),"")</f>
        <v/>
      </c>
    </row>
    <row r="227" spans="1:26">
      <c r="A227" s="22"/>
      <c r="B227" s="22"/>
      <c r="C227" s="22"/>
      <c r="D227" s="22"/>
      <c r="E227" s="23"/>
      <c r="F227" s="23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6"/>
      <c xmlns="http://schemas.openxmlformats.org/spreadsheetml/2006/main" r="T227" s="23" t="str">
        <f t="shared" si="9"/>
        <v/>
      </c>
      <c xmlns="http://schemas.openxmlformats.org/spreadsheetml/2006/main" r="U227" s="22" t="str">
        <f t="shared" si="10"/>
        <v/>
      </c>
      <c xmlns="http://schemas.openxmlformats.org/spreadsheetml/2006/main" r="V227" s="18" t="str">
        <f t="shared" si="11"/>
        <v/>
      </c>
      <c r="W227" s="22"/>
      <c r="X227" s="22"/>
      <c xmlns="http://schemas.openxmlformats.org/spreadsheetml/2006/main" r="Y227">
        <f>IF($C227="",0,IF(COUNTIF($C$5:$C227,$C227)=1,1,0))</f>
        <v>0.0</v>
      </c>
      <c xmlns="http://schemas.openxmlformats.org/spreadsheetml/2006/main" r="Z227" t="str">
        <f>IF(Y227=1,SUM($Y$5:$Y227),"")</f>
        <v/>
      </c>
    </row>
    <row r="228" spans="1:26">
      <c r="A228" s="22"/>
      <c r="B228" s="22"/>
      <c r="C228" s="22"/>
      <c r="D228" s="22"/>
      <c r="E228" s="23"/>
      <c r="F228" s="23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6"/>
      <c xmlns="http://schemas.openxmlformats.org/spreadsheetml/2006/main" r="T228" s="23" t="str">
        <f t="shared" si="9"/>
        <v/>
      </c>
      <c xmlns="http://schemas.openxmlformats.org/spreadsheetml/2006/main" r="U228" s="22" t="str">
        <f t="shared" si="10"/>
        <v/>
      </c>
      <c xmlns="http://schemas.openxmlformats.org/spreadsheetml/2006/main" r="V228" s="18" t="str">
        <f t="shared" si="11"/>
        <v/>
      </c>
      <c r="W228" s="22"/>
      <c r="X228" s="22"/>
      <c xmlns="http://schemas.openxmlformats.org/spreadsheetml/2006/main" r="Y228">
        <f>IF($C228="",0,IF(COUNTIF($C$5:$C228,$C228)=1,1,0))</f>
        <v>0.0</v>
      </c>
      <c xmlns="http://schemas.openxmlformats.org/spreadsheetml/2006/main" r="Z228" t="str">
        <f>IF(Y228=1,SUM($Y$5:$Y228),"")</f>
        <v/>
      </c>
    </row>
    <row r="229" spans="1:26">
      <c r="A229" s="22"/>
      <c r="B229" s="22"/>
      <c r="C229" s="22"/>
      <c r="D229" s="22"/>
      <c r="E229" s="23"/>
      <c r="F229" s="23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6"/>
      <c xmlns="http://schemas.openxmlformats.org/spreadsheetml/2006/main" r="T229" s="23" t="str">
        <f t="shared" si="9"/>
        <v/>
      </c>
      <c xmlns="http://schemas.openxmlformats.org/spreadsheetml/2006/main" r="U229" s="22" t="str">
        <f t="shared" si="10"/>
        <v/>
      </c>
      <c xmlns="http://schemas.openxmlformats.org/spreadsheetml/2006/main" r="V229" s="18" t="str">
        <f t="shared" si="11"/>
        <v/>
      </c>
      <c r="W229" s="22"/>
      <c r="X229" s="22"/>
      <c xmlns="http://schemas.openxmlformats.org/spreadsheetml/2006/main" r="Y229">
        <f>IF($C229="",0,IF(COUNTIF($C$5:$C229,$C229)=1,1,0))</f>
        <v>0.0</v>
      </c>
      <c xmlns="http://schemas.openxmlformats.org/spreadsheetml/2006/main" r="Z229" t="str">
        <f>IF(Y229=1,SUM($Y$5:$Y229),"")</f>
        <v/>
      </c>
    </row>
    <row r="230" spans="1:26">
      <c r="A230" s="22"/>
      <c r="B230" s="22"/>
      <c r="C230" s="22"/>
      <c r="D230" s="22"/>
      <c r="E230" s="23"/>
      <c r="F230" s="23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6"/>
      <c xmlns="http://schemas.openxmlformats.org/spreadsheetml/2006/main" r="T230" s="23" t="str">
        <f t="shared" si="9"/>
        <v/>
      </c>
      <c xmlns="http://schemas.openxmlformats.org/spreadsheetml/2006/main" r="U230" s="22" t="str">
        <f t="shared" si="10"/>
        <v/>
      </c>
      <c xmlns="http://schemas.openxmlformats.org/spreadsheetml/2006/main" r="V230" s="18" t="str">
        <f t="shared" si="11"/>
        <v/>
      </c>
      <c r="W230" s="22"/>
      <c r="X230" s="22"/>
      <c xmlns="http://schemas.openxmlformats.org/spreadsheetml/2006/main" r="Y230">
        <f>IF($C230="",0,IF(COUNTIF($C$5:$C230,$C230)=1,1,0))</f>
        <v>0.0</v>
      </c>
      <c xmlns="http://schemas.openxmlformats.org/spreadsheetml/2006/main" r="Z230" t="str">
        <f>IF(Y230=1,SUM($Y$5:$Y230),"")</f>
        <v/>
      </c>
    </row>
    <row r="231" spans="1:26">
      <c r="A231" s="22"/>
      <c r="B231" s="22"/>
      <c r="C231" s="22"/>
      <c r="D231" s="22"/>
      <c r="E231" s="23"/>
      <c r="F231" s="23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6"/>
      <c xmlns="http://schemas.openxmlformats.org/spreadsheetml/2006/main" r="T231" s="23" t="str">
        <f t="shared" si="9"/>
        <v/>
      </c>
      <c xmlns="http://schemas.openxmlformats.org/spreadsheetml/2006/main" r="U231" s="22" t="str">
        <f t="shared" si="10"/>
        <v/>
      </c>
      <c xmlns="http://schemas.openxmlformats.org/spreadsheetml/2006/main" r="V231" s="18" t="str">
        <f t="shared" si="11"/>
        <v/>
      </c>
      <c r="W231" s="22"/>
      <c r="X231" s="22"/>
      <c xmlns="http://schemas.openxmlformats.org/spreadsheetml/2006/main" r="Y231">
        <f>IF($C231="",0,IF(COUNTIF($C$5:$C231,$C231)=1,1,0))</f>
        <v>0.0</v>
      </c>
      <c xmlns="http://schemas.openxmlformats.org/spreadsheetml/2006/main" r="Z231" t="str">
        <f>IF(Y231=1,SUM($Y$5:$Y231),"")</f>
        <v/>
      </c>
    </row>
    <row r="232" spans="1:26">
      <c r="A232" s="22"/>
      <c r="B232" s="22"/>
      <c r="C232" s="22"/>
      <c r="D232" s="22"/>
      <c r="E232" s="23"/>
      <c r="F232" s="23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6"/>
      <c xmlns="http://schemas.openxmlformats.org/spreadsheetml/2006/main" r="T232" s="23" t="str">
        <f t="shared" si="9"/>
        <v/>
      </c>
      <c xmlns="http://schemas.openxmlformats.org/spreadsheetml/2006/main" r="U232" s="22" t="str">
        <f t="shared" si="10"/>
        <v/>
      </c>
      <c xmlns="http://schemas.openxmlformats.org/spreadsheetml/2006/main" r="V232" s="18" t="str">
        <f t="shared" si="11"/>
        <v/>
      </c>
      <c r="W232" s="22"/>
      <c r="X232" s="22"/>
      <c xmlns="http://schemas.openxmlformats.org/spreadsheetml/2006/main" r="Y232">
        <f>IF($C232="",0,IF(COUNTIF($C$5:$C232,$C232)=1,1,0))</f>
        <v>0.0</v>
      </c>
      <c xmlns="http://schemas.openxmlformats.org/spreadsheetml/2006/main" r="Z232" t="str">
        <f>IF(Y232=1,SUM($Y$5:$Y232),"")</f>
        <v/>
      </c>
    </row>
    <row r="233" spans="1:26">
      <c r="A233" s="22"/>
      <c r="B233" s="22"/>
      <c r="C233" s="22"/>
      <c r="D233" s="22"/>
      <c r="E233" s="23"/>
      <c r="F233" s="23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6"/>
      <c xmlns="http://schemas.openxmlformats.org/spreadsheetml/2006/main" r="T233" s="23" t="str">
        <f t="shared" si="9"/>
        <v/>
      </c>
      <c xmlns="http://schemas.openxmlformats.org/spreadsheetml/2006/main" r="U233" s="22" t="str">
        <f t="shared" si="10"/>
        <v/>
      </c>
      <c xmlns="http://schemas.openxmlformats.org/spreadsheetml/2006/main" r="V233" s="18" t="str">
        <f t="shared" si="11"/>
        <v/>
      </c>
      <c r="W233" s="22"/>
      <c r="X233" s="22"/>
      <c xmlns="http://schemas.openxmlformats.org/spreadsheetml/2006/main" r="Y233">
        <f>IF($C233="",0,IF(COUNTIF($C$5:$C233,$C233)=1,1,0))</f>
        <v>0.0</v>
      </c>
      <c xmlns="http://schemas.openxmlformats.org/spreadsheetml/2006/main" r="Z233" t="str">
        <f>IF(Y233=1,SUM($Y$5:$Y233),"")</f>
        <v/>
      </c>
    </row>
    <row r="234" spans="1:26">
      <c r="A234" s="22"/>
      <c r="B234" s="22"/>
      <c r="C234" s="22"/>
      <c r="D234" s="22"/>
      <c r="E234" s="23"/>
      <c r="F234" s="23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6"/>
      <c xmlns="http://schemas.openxmlformats.org/spreadsheetml/2006/main" r="T234" s="23" t="str">
        <f t="shared" si="9"/>
        <v/>
      </c>
      <c xmlns="http://schemas.openxmlformats.org/spreadsheetml/2006/main" r="U234" s="22" t="str">
        <f t="shared" si="10"/>
        <v/>
      </c>
      <c xmlns="http://schemas.openxmlformats.org/spreadsheetml/2006/main" r="V234" s="18" t="str">
        <f t="shared" si="11"/>
        <v/>
      </c>
      <c r="W234" s="22"/>
      <c r="X234" s="22"/>
      <c xmlns="http://schemas.openxmlformats.org/spreadsheetml/2006/main" r="Y234">
        <f>IF($C234="",0,IF(COUNTIF($C$5:$C234,$C234)=1,1,0))</f>
        <v>0.0</v>
      </c>
      <c xmlns="http://schemas.openxmlformats.org/spreadsheetml/2006/main" r="Z234" t="str">
        <f>IF(Y234=1,SUM($Y$5:$Y234),"")</f>
        <v/>
      </c>
    </row>
    <row r="235" spans="1:26">
      <c r="A235" s="22"/>
      <c r="B235" s="22"/>
      <c r="C235" s="22"/>
      <c r="D235" s="22"/>
      <c r="E235" s="23"/>
      <c r="F235" s="23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6"/>
      <c xmlns="http://schemas.openxmlformats.org/spreadsheetml/2006/main" r="T235" s="23" t="str">
        <f t="shared" si="9"/>
        <v/>
      </c>
      <c xmlns="http://schemas.openxmlformats.org/spreadsheetml/2006/main" r="U235" s="22" t="str">
        <f t="shared" si="10"/>
        <v/>
      </c>
      <c xmlns="http://schemas.openxmlformats.org/spreadsheetml/2006/main" r="V235" s="18" t="str">
        <f t="shared" si="11"/>
        <v/>
      </c>
      <c r="W235" s="22"/>
      <c r="X235" s="22"/>
      <c xmlns="http://schemas.openxmlformats.org/spreadsheetml/2006/main" r="Y235">
        <f>IF($C235="",0,IF(COUNTIF($C$5:$C235,$C235)=1,1,0))</f>
        <v>0.0</v>
      </c>
      <c xmlns="http://schemas.openxmlformats.org/spreadsheetml/2006/main" r="Z235" t="str">
        <f>IF(Y235=1,SUM($Y$5:$Y235),"")</f>
        <v/>
      </c>
    </row>
    <row r="236" spans="1:26">
      <c r="A236" s="22"/>
      <c r="B236" s="22"/>
      <c r="C236" s="22"/>
      <c r="D236" s="22"/>
      <c r="E236" s="23"/>
      <c r="F236" s="23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6"/>
      <c xmlns="http://schemas.openxmlformats.org/spreadsheetml/2006/main" r="T236" s="23" t="str">
        <f t="shared" si="9"/>
        <v/>
      </c>
      <c xmlns="http://schemas.openxmlformats.org/spreadsheetml/2006/main" r="U236" s="22" t="str">
        <f t="shared" si="10"/>
        <v/>
      </c>
      <c xmlns="http://schemas.openxmlformats.org/spreadsheetml/2006/main" r="V236" s="18" t="str">
        <f t="shared" si="11"/>
        <v/>
      </c>
      <c r="W236" s="22"/>
      <c r="X236" s="22"/>
      <c xmlns="http://schemas.openxmlformats.org/spreadsheetml/2006/main" r="Y236">
        <f>IF($C236="",0,IF(COUNTIF($C$5:$C236,$C236)=1,1,0))</f>
        <v>0.0</v>
      </c>
      <c xmlns="http://schemas.openxmlformats.org/spreadsheetml/2006/main" r="Z236" t="str">
        <f>IF(Y236=1,SUM($Y$5:$Y236),"")</f>
        <v/>
      </c>
    </row>
    <row r="237" spans="1:26">
      <c r="A237" s="22"/>
      <c r="B237" s="22"/>
      <c r="C237" s="22"/>
      <c r="D237" s="22"/>
      <c r="E237" s="23"/>
      <c r="F237" s="23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6"/>
      <c xmlns="http://schemas.openxmlformats.org/spreadsheetml/2006/main" r="T237" s="23" t="str">
        <f t="shared" si="9"/>
        <v/>
      </c>
      <c xmlns="http://schemas.openxmlformats.org/spreadsheetml/2006/main" r="U237" s="22" t="str">
        <f t="shared" si="10"/>
        <v/>
      </c>
      <c xmlns="http://schemas.openxmlformats.org/spreadsheetml/2006/main" r="V237" s="18" t="str">
        <f t="shared" si="11"/>
        <v/>
      </c>
      <c r="W237" s="22"/>
      <c r="X237" s="22"/>
      <c xmlns="http://schemas.openxmlformats.org/spreadsheetml/2006/main" r="Y237">
        <f>IF($C237="",0,IF(COUNTIF($C$5:$C237,$C237)=1,1,0))</f>
        <v>0.0</v>
      </c>
      <c xmlns="http://schemas.openxmlformats.org/spreadsheetml/2006/main" r="Z237" t="str">
        <f>IF(Y237=1,SUM($Y$5:$Y237),"")</f>
        <v/>
      </c>
    </row>
    <row r="238" spans="1:26">
      <c r="A238" s="22"/>
      <c r="B238" s="22"/>
      <c r="C238" s="22"/>
      <c r="D238" s="22"/>
      <c r="E238" s="23"/>
      <c r="F238" s="23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  <c xmlns="http://schemas.openxmlformats.org/spreadsheetml/2006/main" r="T238" s="23" t="str">
        <f t="shared" si="9"/>
        <v/>
      </c>
      <c xmlns="http://schemas.openxmlformats.org/spreadsheetml/2006/main" r="U238" s="22" t="str">
        <f t="shared" si="10"/>
        <v/>
      </c>
      <c xmlns="http://schemas.openxmlformats.org/spreadsheetml/2006/main" r="V238" s="18" t="str">
        <f t="shared" si="11"/>
        <v/>
      </c>
      <c r="W238" s="22"/>
      <c r="X238" s="22"/>
      <c xmlns="http://schemas.openxmlformats.org/spreadsheetml/2006/main" r="Y238">
        <f>IF($C238="",0,IF(COUNTIF($C$5:$C238,$C238)=1,1,0))</f>
        <v>0.0</v>
      </c>
      <c xmlns="http://schemas.openxmlformats.org/spreadsheetml/2006/main" r="Z238" t="str">
        <f>IF(Y238=1,SUM($Y$5:$Y238),"")</f>
        <v/>
      </c>
    </row>
    <row r="239" spans="1:26">
      <c r="A239" s="22"/>
      <c r="B239" s="22"/>
      <c r="C239" s="22"/>
      <c r="D239" s="22"/>
      <c r="E239" s="23"/>
      <c r="F239" s="23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6"/>
      <c xmlns="http://schemas.openxmlformats.org/spreadsheetml/2006/main" r="T239" s="23" t="str">
        <f t="shared" si="9"/>
        <v/>
      </c>
      <c xmlns="http://schemas.openxmlformats.org/spreadsheetml/2006/main" r="U239" s="22" t="str">
        <f t="shared" si="10"/>
        <v/>
      </c>
      <c xmlns="http://schemas.openxmlformats.org/spreadsheetml/2006/main" r="V239" s="18" t="str">
        <f t="shared" si="11"/>
        <v/>
      </c>
      <c r="W239" s="22"/>
      <c r="X239" s="22"/>
      <c xmlns="http://schemas.openxmlformats.org/spreadsheetml/2006/main" r="Y239">
        <f>IF($C239="",0,IF(COUNTIF($C$5:$C239,$C239)=1,1,0))</f>
        <v>0.0</v>
      </c>
      <c xmlns="http://schemas.openxmlformats.org/spreadsheetml/2006/main" r="Z239" t="str">
        <f>IF(Y239=1,SUM($Y$5:$Y239),"")</f>
        <v/>
      </c>
    </row>
    <row r="240" spans="1:26">
      <c r="A240" s="22"/>
      <c r="B240" s="22"/>
      <c r="C240" s="22"/>
      <c r="D240" s="22"/>
      <c r="E240" s="23"/>
      <c r="F240" s="23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6"/>
      <c xmlns="http://schemas.openxmlformats.org/spreadsheetml/2006/main" r="T240" s="23" t="str">
        <f t="shared" si="9"/>
        <v/>
      </c>
      <c xmlns="http://schemas.openxmlformats.org/spreadsheetml/2006/main" r="U240" s="22" t="str">
        <f t="shared" si="10"/>
        <v/>
      </c>
      <c xmlns="http://schemas.openxmlformats.org/spreadsheetml/2006/main" r="V240" s="18" t="str">
        <f t="shared" si="11"/>
        <v/>
      </c>
      <c r="W240" s="22"/>
      <c r="X240" s="22"/>
      <c xmlns="http://schemas.openxmlformats.org/spreadsheetml/2006/main" r="Y240">
        <f>IF($C240="",0,IF(COUNTIF($C$5:$C240,$C240)=1,1,0))</f>
        <v>0.0</v>
      </c>
      <c xmlns="http://schemas.openxmlformats.org/spreadsheetml/2006/main" r="Z240" t="str">
        <f>IF(Y240=1,SUM($Y$5:$Y240),"")</f>
        <v/>
      </c>
    </row>
    <row r="241" spans="1:26">
      <c r="A241" s="22"/>
      <c r="B241" s="22"/>
      <c r="C241" s="22"/>
      <c r="D241" s="22"/>
      <c r="E241" s="23"/>
      <c r="F241" s="23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6"/>
      <c xmlns="http://schemas.openxmlformats.org/spreadsheetml/2006/main" r="T241" s="23" t="str">
        <f t="shared" si="9"/>
        <v/>
      </c>
      <c xmlns="http://schemas.openxmlformats.org/spreadsheetml/2006/main" r="U241" s="22" t="str">
        <f t="shared" si="10"/>
        <v/>
      </c>
      <c xmlns="http://schemas.openxmlformats.org/spreadsheetml/2006/main" r="V241" s="18" t="str">
        <f t="shared" si="11"/>
        <v/>
      </c>
      <c r="W241" s="22"/>
      <c r="X241" s="22"/>
      <c xmlns="http://schemas.openxmlformats.org/spreadsheetml/2006/main" r="Y241">
        <f>IF($C241="",0,IF(COUNTIF($C$5:$C241,$C241)=1,1,0))</f>
        <v>0.0</v>
      </c>
      <c xmlns="http://schemas.openxmlformats.org/spreadsheetml/2006/main" r="Z241" t="str">
        <f>IF(Y241=1,SUM($Y$5:$Y241),"")</f>
        <v/>
      </c>
    </row>
    <row r="242" spans="1:26">
      <c r="A242" s="22"/>
      <c r="B242" s="22"/>
      <c r="C242" s="22"/>
      <c r="D242" s="22"/>
      <c r="E242" s="23"/>
      <c r="F242" s="23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6"/>
      <c xmlns="http://schemas.openxmlformats.org/spreadsheetml/2006/main" r="T242" s="23" t="str">
        <f t="shared" si="9"/>
        <v/>
      </c>
      <c xmlns="http://schemas.openxmlformats.org/spreadsheetml/2006/main" r="U242" s="22" t="str">
        <f t="shared" si="10"/>
        <v/>
      </c>
      <c xmlns="http://schemas.openxmlformats.org/spreadsheetml/2006/main" r="V242" s="18" t="str">
        <f t="shared" si="11"/>
        <v/>
      </c>
      <c r="W242" s="22"/>
      <c r="X242" s="22"/>
      <c xmlns="http://schemas.openxmlformats.org/spreadsheetml/2006/main" r="Y242">
        <f>IF($C242="",0,IF(COUNTIF($C$5:$C242,$C242)=1,1,0))</f>
        <v>0.0</v>
      </c>
      <c xmlns="http://schemas.openxmlformats.org/spreadsheetml/2006/main" r="Z242" t="str">
        <f>IF(Y242=1,SUM($Y$5:$Y242),"")</f>
        <v/>
      </c>
    </row>
    <row r="243" spans="1:26">
      <c r="A243" s="22"/>
      <c r="B243" s="22"/>
      <c r="C243" s="22"/>
      <c r="D243" s="22"/>
      <c r="E243" s="23"/>
      <c r="F243" s="23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6"/>
      <c xmlns="http://schemas.openxmlformats.org/spreadsheetml/2006/main" r="T243" s="23" t="str">
        <f t="shared" si="9"/>
        <v/>
      </c>
      <c xmlns="http://schemas.openxmlformats.org/spreadsheetml/2006/main" r="U243" s="22" t="str">
        <f t="shared" si="10"/>
        <v/>
      </c>
      <c xmlns="http://schemas.openxmlformats.org/spreadsheetml/2006/main" r="V243" s="18" t="str">
        <f t="shared" si="11"/>
        <v/>
      </c>
      <c r="W243" s="22"/>
      <c r="X243" s="22"/>
      <c xmlns="http://schemas.openxmlformats.org/spreadsheetml/2006/main" r="Y243">
        <f>IF($C243="",0,IF(COUNTIF($C$5:$C243,$C243)=1,1,0))</f>
        <v>0.0</v>
      </c>
      <c xmlns="http://schemas.openxmlformats.org/spreadsheetml/2006/main" r="Z243" t="str">
        <f>IF(Y243=1,SUM($Y$5:$Y243),"")</f>
        <v/>
      </c>
    </row>
    <row r="244" spans="1:26">
      <c r="A244" s="22"/>
      <c r="B244" s="22"/>
      <c r="C244" s="22"/>
      <c r="D244" s="22"/>
      <c r="E244" s="23"/>
      <c r="F244" s="23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6"/>
      <c xmlns="http://schemas.openxmlformats.org/spreadsheetml/2006/main" r="T244" s="23" t="str">
        <f t="shared" si="9"/>
        <v/>
      </c>
      <c xmlns="http://schemas.openxmlformats.org/spreadsheetml/2006/main" r="U244" s="22" t="str">
        <f t="shared" si="10"/>
        <v/>
      </c>
      <c xmlns="http://schemas.openxmlformats.org/spreadsheetml/2006/main" r="V244" s="18" t="str">
        <f t="shared" si="11"/>
        <v/>
      </c>
      <c r="W244" s="22"/>
      <c r="X244" s="22"/>
      <c xmlns="http://schemas.openxmlformats.org/spreadsheetml/2006/main" r="Y244">
        <f>IF($C244="",0,IF(COUNTIF($C$5:$C244,$C244)=1,1,0))</f>
        <v>0.0</v>
      </c>
      <c xmlns="http://schemas.openxmlformats.org/spreadsheetml/2006/main" r="Z244" t="str">
        <f>IF(Y244=1,SUM($Y$5:$Y244),"")</f>
        <v/>
      </c>
    </row>
    <row r="245" spans="1:26">
      <c r="A245" s="22"/>
      <c r="B245" s="22"/>
      <c r="C245" s="22"/>
      <c r="D245" s="22"/>
      <c r="E245" s="23"/>
      <c r="F245" s="23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6"/>
      <c xmlns="http://schemas.openxmlformats.org/spreadsheetml/2006/main" r="T245" s="23" t="str">
        <f t="shared" si="9"/>
        <v/>
      </c>
      <c xmlns="http://schemas.openxmlformats.org/spreadsheetml/2006/main" r="U245" s="22" t="str">
        <f t="shared" si="10"/>
        <v/>
      </c>
      <c xmlns="http://schemas.openxmlformats.org/spreadsheetml/2006/main" r="V245" s="18" t="str">
        <f t="shared" si="11"/>
        <v/>
      </c>
      <c r="W245" s="22"/>
      <c r="X245" s="22"/>
      <c xmlns="http://schemas.openxmlformats.org/spreadsheetml/2006/main" r="Y245">
        <f>IF($C245="",0,IF(COUNTIF($C$5:$C245,$C245)=1,1,0))</f>
        <v>0.0</v>
      </c>
      <c xmlns="http://schemas.openxmlformats.org/spreadsheetml/2006/main" r="Z245" t="str">
        <f>IF(Y245=1,SUM($Y$5:$Y245),"")</f>
        <v/>
      </c>
    </row>
    <row r="246" spans="1:26">
      <c r="A246" s="22"/>
      <c r="B246" s="22"/>
      <c r="C246" s="22"/>
      <c r="D246" s="22"/>
      <c r="E246" s="23"/>
      <c r="F246" s="23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6"/>
      <c xmlns="http://schemas.openxmlformats.org/spreadsheetml/2006/main" r="T246" s="23" t="str">
        <f t="shared" si="9"/>
        <v/>
      </c>
      <c xmlns="http://schemas.openxmlformats.org/spreadsheetml/2006/main" r="U246" s="22" t="str">
        <f t="shared" si="10"/>
        <v/>
      </c>
      <c xmlns="http://schemas.openxmlformats.org/spreadsheetml/2006/main" r="V246" s="18" t="str">
        <f t="shared" si="11"/>
        <v/>
      </c>
      <c r="W246" s="22"/>
      <c r="X246" s="22"/>
      <c xmlns="http://schemas.openxmlformats.org/spreadsheetml/2006/main" r="Y246">
        <f>IF($C246="",0,IF(COUNTIF($C$5:$C246,$C246)=1,1,0))</f>
        <v>0.0</v>
      </c>
      <c xmlns="http://schemas.openxmlformats.org/spreadsheetml/2006/main" r="Z246" t="str">
        <f>IF(Y246=1,SUM($Y$5:$Y246),"")</f>
        <v/>
      </c>
    </row>
    <row r="247" spans="1:26">
      <c r="A247" s="22"/>
      <c r="B247" s="22"/>
      <c r="C247" s="22"/>
      <c r="D247" s="22"/>
      <c r="E247" s="23"/>
      <c r="F247" s="23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6"/>
      <c xmlns="http://schemas.openxmlformats.org/spreadsheetml/2006/main" r="T247" s="23" t="str">
        <f t="shared" si="9"/>
        <v/>
      </c>
      <c xmlns="http://schemas.openxmlformats.org/spreadsheetml/2006/main" r="U247" s="22" t="str">
        <f t="shared" si="10"/>
        <v/>
      </c>
      <c xmlns="http://schemas.openxmlformats.org/spreadsheetml/2006/main" r="V247" s="18" t="str">
        <f t="shared" si="11"/>
        <v/>
      </c>
      <c r="W247" s="22"/>
      <c r="X247" s="22"/>
      <c xmlns="http://schemas.openxmlformats.org/spreadsheetml/2006/main" r="Y247">
        <f>IF($C247="",0,IF(COUNTIF($C$5:$C247,$C247)=1,1,0))</f>
        <v>0.0</v>
      </c>
      <c xmlns="http://schemas.openxmlformats.org/spreadsheetml/2006/main" r="Z247" t="str">
        <f>IF(Y247=1,SUM($Y$5:$Y247),"")</f>
        <v/>
      </c>
    </row>
    <row r="248" spans="1:26">
      <c r="A248" s="22"/>
      <c r="B248" s="22"/>
      <c r="C248" s="22"/>
      <c r="D248" s="22"/>
      <c r="E248" s="23"/>
      <c r="F248" s="23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6"/>
      <c xmlns="http://schemas.openxmlformats.org/spreadsheetml/2006/main" r="T248" s="23" t="str">
        <f t="shared" si="9"/>
        <v/>
      </c>
      <c xmlns="http://schemas.openxmlformats.org/spreadsheetml/2006/main" r="U248" s="22" t="str">
        <f t="shared" si="10"/>
        <v/>
      </c>
      <c xmlns="http://schemas.openxmlformats.org/spreadsheetml/2006/main" r="V248" s="18" t="str">
        <f t="shared" si="11"/>
        <v/>
      </c>
      <c r="W248" s="22"/>
      <c r="X248" s="22"/>
      <c xmlns="http://schemas.openxmlformats.org/spreadsheetml/2006/main" r="Y248">
        <f>IF($C248="",0,IF(COUNTIF($C$5:$C248,$C248)=1,1,0))</f>
        <v>0.0</v>
      </c>
      <c xmlns="http://schemas.openxmlformats.org/spreadsheetml/2006/main" r="Z248" t="str">
        <f>IF(Y248=1,SUM($Y$5:$Y248),"")</f>
        <v/>
      </c>
    </row>
    <row r="249" spans="1:26">
      <c r="A249" s="22"/>
      <c r="B249" s="22"/>
      <c r="C249" s="22"/>
      <c r="D249" s="22"/>
      <c r="E249" s="23"/>
      <c r="F249" s="23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6"/>
      <c xmlns="http://schemas.openxmlformats.org/spreadsheetml/2006/main" r="T249" s="23" t="str">
        <f t="shared" si="9"/>
        <v/>
      </c>
      <c xmlns="http://schemas.openxmlformats.org/spreadsheetml/2006/main" r="U249" s="22" t="str">
        <f t="shared" si="10"/>
        <v/>
      </c>
      <c xmlns="http://schemas.openxmlformats.org/spreadsheetml/2006/main" r="V249" s="18" t="str">
        <f t="shared" si="11"/>
        <v/>
      </c>
      <c r="W249" s="22"/>
      <c r="X249" s="22"/>
      <c xmlns="http://schemas.openxmlformats.org/spreadsheetml/2006/main" r="Y249">
        <f>IF($C249="",0,IF(COUNTIF($C$5:$C249,$C249)=1,1,0))</f>
        <v>0.0</v>
      </c>
      <c xmlns="http://schemas.openxmlformats.org/spreadsheetml/2006/main" r="Z249" t="str">
        <f>IF(Y249=1,SUM($Y$5:$Y249),"")</f>
        <v/>
      </c>
    </row>
    <row r="250" spans="1:26">
      <c r="A250" s="22"/>
      <c r="B250" s="22"/>
      <c r="C250" s="22"/>
      <c r="D250" s="22"/>
      <c r="E250" s="23"/>
      <c r="F250" s="23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6"/>
      <c xmlns="http://schemas.openxmlformats.org/spreadsheetml/2006/main" r="T250" s="23" t="str">
        <f t="shared" si="9"/>
        <v/>
      </c>
      <c xmlns="http://schemas.openxmlformats.org/spreadsheetml/2006/main" r="U250" s="22" t="str">
        <f t="shared" si="10"/>
        <v/>
      </c>
      <c xmlns="http://schemas.openxmlformats.org/spreadsheetml/2006/main" r="V250" s="18" t="str">
        <f t="shared" si="11"/>
        <v/>
      </c>
      <c r="W250" s="22"/>
      <c r="X250" s="22"/>
      <c xmlns="http://schemas.openxmlformats.org/spreadsheetml/2006/main" r="Y250">
        <f>IF($C250="",0,IF(COUNTIF($C$5:$C250,$C250)=1,1,0))</f>
        <v>0.0</v>
      </c>
      <c xmlns="http://schemas.openxmlformats.org/spreadsheetml/2006/main" r="Z250" t="str">
        <f>IF(Y250=1,SUM($Y$5:$Y250),"")</f>
        <v/>
      </c>
    </row>
    <row r="251" spans="1:26">
      <c r="A251" s="22"/>
      <c r="B251" s="22"/>
      <c r="C251" s="22"/>
      <c r="D251" s="22"/>
      <c r="E251" s="23"/>
      <c r="F251" s="23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6"/>
      <c xmlns="http://schemas.openxmlformats.org/spreadsheetml/2006/main" r="T251" s="23" t="str">
        <f t="shared" si="9"/>
        <v/>
      </c>
      <c xmlns="http://schemas.openxmlformats.org/spreadsheetml/2006/main" r="U251" s="22" t="str">
        <f t="shared" si="10"/>
        <v/>
      </c>
      <c xmlns="http://schemas.openxmlformats.org/spreadsheetml/2006/main" r="V251" s="18" t="str">
        <f t="shared" si="11"/>
        <v/>
      </c>
      <c r="W251" s="22"/>
      <c r="X251" s="22"/>
      <c xmlns="http://schemas.openxmlformats.org/spreadsheetml/2006/main" r="Y251">
        <f>IF($C251="",0,IF(COUNTIF($C$5:$C251,$C251)=1,1,0))</f>
        <v>0.0</v>
      </c>
      <c xmlns="http://schemas.openxmlformats.org/spreadsheetml/2006/main" r="Z251" t="str">
        <f>IF(Y251=1,SUM($Y$5:$Y251),"")</f>
        <v/>
      </c>
    </row>
    <row r="252" spans="1:26">
      <c r="A252" s="22"/>
      <c r="B252" s="22"/>
      <c r="C252" s="22"/>
      <c r="D252" s="22"/>
      <c r="E252" s="23"/>
      <c r="F252" s="23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6"/>
      <c xmlns="http://schemas.openxmlformats.org/spreadsheetml/2006/main" r="T252" s="23" t="str">
        <f t="shared" si="9"/>
        <v/>
      </c>
      <c xmlns="http://schemas.openxmlformats.org/spreadsheetml/2006/main" r="U252" s="22" t="str">
        <f t="shared" si="10"/>
        <v/>
      </c>
      <c xmlns="http://schemas.openxmlformats.org/spreadsheetml/2006/main" r="V252" s="18" t="str">
        <f t="shared" si="11"/>
        <v/>
      </c>
      <c r="W252" s="22"/>
      <c r="X252" s="22"/>
      <c xmlns="http://schemas.openxmlformats.org/spreadsheetml/2006/main" r="Y252">
        <f>IF($C252="",0,IF(COUNTIF($C$5:$C252,$C252)=1,1,0))</f>
        <v>0.0</v>
      </c>
      <c xmlns="http://schemas.openxmlformats.org/spreadsheetml/2006/main" r="Z252" t="str">
        <f>IF(Y252=1,SUM($Y$5:$Y252),"")</f>
        <v/>
      </c>
    </row>
    <row r="253" spans="1:26">
      <c r="A253" s="22"/>
      <c r="B253" s="22"/>
      <c r="C253" s="22"/>
      <c r="D253" s="22"/>
      <c r="E253" s="23"/>
      <c r="F253" s="23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6"/>
      <c xmlns="http://schemas.openxmlformats.org/spreadsheetml/2006/main" r="T253" s="23" t="str">
        <f t="shared" si="9"/>
        <v/>
      </c>
      <c xmlns="http://schemas.openxmlformats.org/spreadsheetml/2006/main" r="U253" s="22" t="str">
        <f t="shared" si="10"/>
        <v/>
      </c>
      <c xmlns="http://schemas.openxmlformats.org/spreadsheetml/2006/main" r="V253" s="18" t="str">
        <f t="shared" si="11"/>
        <v/>
      </c>
      <c r="W253" s="22"/>
      <c r="X253" s="22"/>
      <c xmlns="http://schemas.openxmlformats.org/spreadsheetml/2006/main" r="Y253">
        <f>IF($C253="",0,IF(COUNTIF($C$5:$C253,$C253)=1,1,0))</f>
        <v>0.0</v>
      </c>
      <c xmlns="http://schemas.openxmlformats.org/spreadsheetml/2006/main" r="Z253" t="str">
        <f>IF(Y253=1,SUM($Y$5:$Y253),"")</f>
        <v/>
      </c>
    </row>
    <row r="254" spans="1:26">
      <c r="A254" s="22"/>
      <c r="B254" s="22"/>
      <c r="C254" s="22"/>
      <c r="D254" s="22"/>
      <c r="E254" s="23"/>
      <c r="F254" s="23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6"/>
      <c xmlns="http://schemas.openxmlformats.org/spreadsheetml/2006/main" r="T254" s="23" t="str">
        <f t="shared" si="9"/>
        <v/>
      </c>
      <c xmlns="http://schemas.openxmlformats.org/spreadsheetml/2006/main" r="U254" s="22" t="str">
        <f t="shared" si="10"/>
        <v/>
      </c>
      <c xmlns="http://schemas.openxmlformats.org/spreadsheetml/2006/main" r="V254" s="18" t="str">
        <f t="shared" si="11"/>
        <v/>
      </c>
      <c r="W254" s="22"/>
      <c r="X254" s="22"/>
      <c xmlns="http://schemas.openxmlformats.org/spreadsheetml/2006/main" r="Y254">
        <f>IF($C254="",0,IF(COUNTIF($C$5:$C254,$C254)=1,1,0))</f>
        <v>0.0</v>
      </c>
      <c xmlns="http://schemas.openxmlformats.org/spreadsheetml/2006/main" r="Z254" t="str">
        <f>IF(Y254=1,SUM($Y$5:$Y254),"")</f>
        <v/>
      </c>
    </row>
    <row r="255" spans="1:26">
      <c r="A255" s="22"/>
      <c r="B255" s="22"/>
      <c r="C255" s="22"/>
      <c r="D255" s="22"/>
      <c r="E255" s="23"/>
      <c r="F255" s="23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6"/>
      <c xmlns="http://schemas.openxmlformats.org/spreadsheetml/2006/main" r="T255" s="23" t="str">
        <f t="shared" si="9"/>
        <v/>
      </c>
      <c xmlns="http://schemas.openxmlformats.org/spreadsheetml/2006/main" r="U255" s="22" t="str">
        <f t="shared" si="10"/>
        <v/>
      </c>
      <c xmlns="http://schemas.openxmlformats.org/spreadsheetml/2006/main" r="V255" s="18" t="str">
        <f t="shared" si="11"/>
        <v/>
      </c>
      <c r="W255" s="22"/>
      <c r="X255" s="22"/>
      <c xmlns="http://schemas.openxmlformats.org/spreadsheetml/2006/main" r="Y255">
        <f>IF($C255="",0,IF(COUNTIF($C$5:$C255,$C255)=1,1,0))</f>
        <v>0.0</v>
      </c>
      <c xmlns="http://schemas.openxmlformats.org/spreadsheetml/2006/main" r="Z255" t="str">
        <f>IF(Y255=1,SUM($Y$5:$Y255),"")</f>
        <v/>
      </c>
    </row>
    <row r="256" spans="1:26">
      <c r="A256" s="22"/>
      <c r="B256" s="22"/>
      <c r="C256" s="22"/>
      <c r="D256" s="22"/>
      <c r="E256" s="23"/>
      <c r="F256" s="23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6"/>
      <c xmlns="http://schemas.openxmlformats.org/spreadsheetml/2006/main" r="T256" s="23" t="str">
        <f t="shared" si="9"/>
        <v/>
      </c>
      <c xmlns="http://schemas.openxmlformats.org/spreadsheetml/2006/main" r="U256" s="22" t="str">
        <f t="shared" si="10"/>
        <v/>
      </c>
      <c xmlns="http://schemas.openxmlformats.org/spreadsheetml/2006/main" r="V256" s="18" t="str">
        <f t="shared" si="11"/>
        <v/>
      </c>
      <c r="W256" s="22"/>
      <c r="X256" s="22"/>
      <c xmlns="http://schemas.openxmlformats.org/spreadsheetml/2006/main" r="Y256">
        <f>IF($C256="",0,IF(COUNTIF($C$5:$C256,$C256)=1,1,0))</f>
        <v>0.0</v>
      </c>
      <c xmlns="http://schemas.openxmlformats.org/spreadsheetml/2006/main" r="Z256" t="str">
        <f>IF(Y256=1,SUM($Y$5:$Y256),"")</f>
        <v/>
      </c>
    </row>
    <row r="257" spans="1:26">
      <c r="A257" s="22"/>
      <c r="B257" s="22"/>
      <c r="C257" s="22"/>
      <c r="D257" s="22"/>
      <c r="E257" s="23"/>
      <c r="F257" s="23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6"/>
      <c xmlns="http://schemas.openxmlformats.org/spreadsheetml/2006/main" r="T257" s="23" t="str">
        <f t="shared" si="9"/>
        <v/>
      </c>
      <c xmlns="http://schemas.openxmlformats.org/spreadsheetml/2006/main" r="U257" s="22" t="str">
        <f t="shared" si="10"/>
        <v/>
      </c>
      <c xmlns="http://schemas.openxmlformats.org/spreadsheetml/2006/main" r="V257" s="18" t="str">
        <f t="shared" si="11"/>
        <v/>
      </c>
      <c r="W257" s="22"/>
      <c r="X257" s="22"/>
      <c xmlns="http://schemas.openxmlformats.org/spreadsheetml/2006/main" r="Y257">
        <f>IF($C257="",0,IF(COUNTIF($C$5:$C257,$C257)=1,1,0))</f>
        <v>0.0</v>
      </c>
      <c xmlns="http://schemas.openxmlformats.org/spreadsheetml/2006/main" r="Z257" t="str">
        <f>IF(Y257=1,SUM($Y$5:$Y257),"")</f>
        <v/>
      </c>
    </row>
    <row r="258" spans="1:26">
      <c r="A258" s="22"/>
      <c r="B258" s="22"/>
      <c r="C258" s="22"/>
      <c r="D258" s="22"/>
      <c r="E258" s="23"/>
      <c r="F258" s="23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6"/>
      <c xmlns="http://schemas.openxmlformats.org/spreadsheetml/2006/main" r="T258" s="23" t="str">
        <f t="shared" si="9"/>
        <v/>
      </c>
      <c xmlns="http://schemas.openxmlformats.org/spreadsheetml/2006/main" r="U258" s="22" t="str">
        <f t="shared" si="10"/>
        <v/>
      </c>
      <c xmlns="http://schemas.openxmlformats.org/spreadsheetml/2006/main" r="V258" s="18" t="str">
        <f t="shared" si="11"/>
        <v/>
      </c>
      <c r="W258" s="22"/>
      <c r="X258" s="22"/>
      <c xmlns="http://schemas.openxmlformats.org/spreadsheetml/2006/main" r="Y258">
        <f>IF($C258="",0,IF(COUNTIF($C$5:$C258,$C258)=1,1,0))</f>
        <v>0.0</v>
      </c>
      <c xmlns="http://schemas.openxmlformats.org/spreadsheetml/2006/main" r="Z258" t="str">
        <f>IF(Y258=1,SUM($Y$5:$Y258),"")</f>
        <v/>
      </c>
    </row>
    <row r="259" spans="1:26">
      <c r="A259" s="22"/>
      <c r="B259" s="22"/>
      <c r="C259" s="22"/>
      <c r="D259" s="22"/>
      <c r="E259" s="23"/>
      <c r="F259" s="23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6"/>
      <c xmlns="http://schemas.openxmlformats.org/spreadsheetml/2006/main" r="T259" s="23" t="str">
        <f t="shared" si="9"/>
        <v/>
      </c>
      <c xmlns="http://schemas.openxmlformats.org/spreadsheetml/2006/main" r="U259" s="22" t="str">
        <f t="shared" si="10"/>
        <v/>
      </c>
      <c xmlns="http://schemas.openxmlformats.org/spreadsheetml/2006/main" r="V259" s="18" t="str">
        <f t="shared" si="11"/>
        <v/>
      </c>
      <c r="W259" s="22"/>
      <c r="X259" s="22"/>
      <c xmlns="http://schemas.openxmlformats.org/spreadsheetml/2006/main" r="Y259">
        <f>IF($C259="",0,IF(COUNTIF($C$5:$C259,$C259)=1,1,0))</f>
        <v>0.0</v>
      </c>
      <c xmlns="http://schemas.openxmlformats.org/spreadsheetml/2006/main" r="Z259" t="str">
        <f>IF(Y259=1,SUM($Y$5:$Y259),"")</f>
        <v/>
      </c>
    </row>
    <row r="260" spans="1:26">
      <c r="A260" s="22"/>
      <c r="B260" s="22"/>
      <c r="C260" s="22"/>
      <c r="D260" s="22"/>
      <c r="E260" s="23"/>
      <c r="F260" s="23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6"/>
      <c xmlns="http://schemas.openxmlformats.org/spreadsheetml/2006/main" r="T260" s="23" t="str">
        <f t="shared" si="9"/>
        <v/>
      </c>
      <c xmlns="http://schemas.openxmlformats.org/spreadsheetml/2006/main" r="U260" s="22" t="str">
        <f t="shared" si="10"/>
        <v/>
      </c>
      <c xmlns="http://schemas.openxmlformats.org/spreadsheetml/2006/main" r="V260" s="18" t="str">
        <f t="shared" si="11"/>
        <v/>
      </c>
      <c r="W260" s="22"/>
      <c r="X260" s="22"/>
      <c xmlns="http://schemas.openxmlformats.org/spreadsheetml/2006/main" r="Y260">
        <f>IF($C260="",0,IF(COUNTIF($C$5:$C260,$C260)=1,1,0))</f>
        <v>0.0</v>
      </c>
      <c xmlns="http://schemas.openxmlformats.org/spreadsheetml/2006/main" r="Z260" t="str">
        <f>IF(Y260=1,SUM($Y$5:$Y260),"")</f>
        <v/>
      </c>
    </row>
    <row r="261" spans="1:26">
      <c r="A261" s="22"/>
      <c r="B261" s="22"/>
      <c r="C261" s="22"/>
      <c r="D261" s="22"/>
      <c r="E261" s="23"/>
      <c r="F261" s="23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6"/>
      <c xmlns="http://schemas.openxmlformats.org/spreadsheetml/2006/main" r="T261" s="23" t="str">
        <f t="shared" ref="T261:T304" si="12">IF($D261="","",COUNTIF($H261:$R261,"V"))</f>
        <v/>
      </c>
      <c xmlns="http://schemas.openxmlformats.org/spreadsheetml/2006/main" r="U261" s="22" t="str">
        <f t="shared" ref="U261:U304" si="13">IF($D261="","",IF(AND($S261="V",$T261&gt;0),"⚠ 勾選矛盾",IF($S261="V","○ 免調理",IF($T261=0,"⚠ 資料缺漏",IF($T261=1,"▲ 單一設備依賴","OK")))))</f>
        <v/>
      </c>
      <c xmlns="http://schemas.openxmlformats.org/spreadsheetml/2006/main" r="V261" s="18" t="str">
        <f t="shared" ref="V261:V304" si="14">IF($D261="","",IF(AND($S261="V",$T261&gt;0),"「無使用調理設備」不可與設備欄同時勾選，請擇一修正",IF($S261="V","免調理半成品（外購/僅切配等），不列入設備風險評估",IF($T261=0,"未勾選任何設備，請補填或勾選「無使用調理設備」",IF($T261=1,"僅依賴1台設備，須確認故障/排修時之備援製程","無異常")))))</f>
        <v/>
      </c>
      <c r="W261" s="22"/>
      <c r="X261" s="22"/>
      <c xmlns="http://schemas.openxmlformats.org/spreadsheetml/2006/main" r="Y261">
        <f>IF($C261="",0,IF(COUNTIF($C$5:$C261,$C261)=1,1,0))</f>
        <v>0.0</v>
      </c>
      <c xmlns="http://schemas.openxmlformats.org/spreadsheetml/2006/main" r="Z261" t="str">
        <f>IF(Y261=1,SUM($Y$5:$Y261),"")</f>
        <v/>
      </c>
    </row>
    <row r="262" spans="1:26">
      <c r="A262" s="22"/>
      <c r="B262" s="22"/>
      <c r="C262" s="22"/>
      <c r="D262" s="22"/>
      <c r="E262" s="23"/>
      <c r="F262" s="23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6"/>
      <c xmlns="http://schemas.openxmlformats.org/spreadsheetml/2006/main" r="T262" s="23" t="str">
        <f t="shared" si="12"/>
        <v/>
      </c>
      <c xmlns="http://schemas.openxmlformats.org/spreadsheetml/2006/main" r="U262" s="22" t="str">
        <f t="shared" si="13"/>
        <v/>
      </c>
      <c xmlns="http://schemas.openxmlformats.org/spreadsheetml/2006/main" r="V262" s="18" t="str">
        <f t="shared" si="14"/>
        <v/>
      </c>
      <c r="W262" s="22"/>
      <c r="X262" s="22"/>
      <c xmlns="http://schemas.openxmlformats.org/spreadsheetml/2006/main" r="Y262">
        <f>IF($C262="",0,IF(COUNTIF($C$5:$C262,$C262)=1,1,0))</f>
        <v>0.0</v>
      </c>
      <c xmlns="http://schemas.openxmlformats.org/spreadsheetml/2006/main" r="Z262" t="str">
        <f>IF(Y262=1,SUM($Y$5:$Y262),"")</f>
        <v/>
      </c>
    </row>
    <row r="263" spans="1:26">
      <c r="A263" s="22"/>
      <c r="B263" s="22"/>
      <c r="C263" s="22"/>
      <c r="D263" s="22"/>
      <c r="E263" s="23"/>
      <c r="F263" s="23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6"/>
      <c xmlns="http://schemas.openxmlformats.org/spreadsheetml/2006/main" r="T263" s="23" t="str">
        <f t="shared" si="12"/>
        <v/>
      </c>
      <c xmlns="http://schemas.openxmlformats.org/spreadsheetml/2006/main" r="U263" s="22" t="str">
        <f t="shared" si="13"/>
        <v/>
      </c>
      <c xmlns="http://schemas.openxmlformats.org/spreadsheetml/2006/main" r="V263" s="18" t="str">
        <f t="shared" si="14"/>
        <v/>
      </c>
      <c r="W263" s="22"/>
      <c r="X263" s="22"/>
      <c xmlns="http://schemas.openxmlformats.org/spreadsheetml/2006/main" r="Y263">
        <f>IF($C263="",0,IF(COUNTIF($C$5:$C263,$C263)=1,1,0))</f>
        <v>0.0</v>
      </c>
      <c xmlns="http://schemas.openxmlformats.org/spreadsheetml/2006/main" r="Z263" t="str">
        <f>IF(Y263=1,SUM($Y$5:$Y263),"")</f>
        <v/>
      </c>
    </row>
    <row r="264" spans="1:26">
      <c r="A264" s="22"/>
      <c r="B264" s="22"/>
      <c r="C264" s="22"/>
      <c r="D264" s="22"/>
      <c r="E264" s="23"/>
      <c r="F264" s="23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  <c xmlns="http://schemas.openxmlformats.org/spreadsheetml/2006/main" r="T264" s="23" t="str">
        <f t="shared" si="12"/>
        <v/>
      </c>
      <c xmlns="http://schemas.openxmlformats.org/spreadsheetml/2006/main" r="U264" s="22" t="str">
        <f t="shared" si="13"/>
        <v/>
      </c>
      <c xmlns="http://schemas.openxmlformats.org/spreadsheetml/2006/main" r="V264" s="18" t="str">
        <f t="shared" si="14"/>
        <v/>
      </c>
      <c r="W264" s="22"/>
      <c r="X264" s="22"/>
      <c xmlns="http://schemas.openxmlformats.org/spreadsheetml/2006/main" r="Y264">
        <f>IF($C264="",0,IF(COUNTIF($C$5:$C264,$C264)=1,1,0))</f>
        <v>0.0</v>
      </c>
      <c xmlns="http://schemas.openxmlformats.org/spreadsheetml/2006/main" r="Z264" t="str">
        <f>IF(Y264=1,SUM($Y$5:$Y264),"")</f>
        <v/>
      </c>
    </row>
    <row r="265" spans="1:26">
      <c r="A265" s="22"/>
      <c r="B265" s="22"/>
      <c r="C265" s="22"/>
      <c r="D265" s="22"/>
      <c r="E265" s="23"/>
      <c r="F265" s="23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6"/>
      <c xmlns="http://schemas.openxmlformats.org/spreadsheetml/2006/main" r="T265" s="23" t="str">
        <f t="shared" si="12"/>
        <v/>
      </c>
      <c xmlns="http://schemas.openxmlformats.org/spreadsheetml/2006/main" r="U265" s="22" t="str">
        <f t="shared" si="13"/>
        <v/>
      </c>
      <c xmlns="http://schemas.openxmlformats.org/spreadsheetml/2006/main" r="V265" s="18" t="str">
        <f t="shared" si="14"/>
        <v/>
      </c>
      <c r="W265" s="22"/>
      <c r="X265" s="22"/>
      <c xmlns="http://schemas.openxmlformats.org/spreadsheetml/2006/main" r="Y265">
        <f>IF($C265="",0,IF(COUNTIF($C$5:$C265,$C265)=1,1,0))</f>
        <v>0.0</v>
      </c>
      <c xmlns="http://schemas.openxmlformats.org/spreadsheetml/2006/main" r="Z265" t="str">
        <f>IF(Y265=1,SUM($Y$5:$Y265),"")</f>
        <v/>
      </c>
    </row>
    <row r="266" spans="1:26">
      <c r="A266" s="22"/>
      <c r="B266" s="22"/>
      <c r="C266" s="22"/>
      <c r="D266" s="22"/>
      <c r="E266" s="23"/>
      <c r="F266" s="23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6"/>
      <c xmlns="http://schemas.openxmlformats.org/spreadsheetml/2006/main" r="T266" s="23" t="str">
        <f t="shared" si="12"/>
        <v/>
      </c>
      <c xmlns="http://schemas.openxmlformats.org/spreadsheetml/2006/main" r="U266" s="22" t="str">
        <f t="shared" si="13"/>
        <v/>
      </c>
      <c xmlns="http://schemas.openxmlformats.org/spreadsheetml/2006/main" r="V266" s="18" t="str">
        <f t="shared" si="14"/>
        <v/>
      </c>
      <c r="W266" s="22"/>
      <c r="X266" s="22"/>
      <c xmlns="http://schemas.openxmlformats.org/spreadsheetml/2006/main" r="Y266">
        <f>IF($C266="",0,IF(COUNTIF($C$5:$C266,$C266)=1,1,0))</f>
        <v>0.0</v>
      </c>
      <c xmlns="http://schemas.openxmlformats.org/spreadsheetml/2006/main" r="Z266" t="str">
        <f>IF(Y266=1,SUM($Y$5:$Y266),"")</f>
        <v/>
      </c>
    </row>
    <row r="267" spans="1:26">
      <c r="A267" s="22"/>
      <c r="B267" s="22"/>
      <c r="C267" s="22"/>
      <c r="D267" s="22"/>
      <c r="E267" s="23"/>
      <c r="F267" s="23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6"/>
      <c xmlns="http://schemas.openxmlformats.org/spreadsheetml/2006/main" r="T267" s="23" t="str">
        <f t="shared" si="12"/>
        <v/>
      </c>
      <c xmlns="http://schemas.openxmlformats.org/spreadsheetml/2006/main" r="U267" s="22" t="str">
        <f t="shared" si="13"/>
        <v/>
      </c>
      <c xmlns="http://schemas.openxmlformats.org/spreadsheetml/2006/main" r="V267" s="18" t="str">
        <f t="shared" si="14"/>
        <v/>
      </c>
      <c r="W267" s="22"/>
      <c r="X267" s="22"/>
      <c xmlns="http://schemas.openxmlformats.org/spreadsheetml/2006/main" r="Y267">
        <f>IF($C267="",0,IF(COUNTIF($C$5:$C267,$C267)=1,1,0))</f>
        <v>0.0</v>
      </c>
      <c xmlns="http://schemas.openxmlformats.org/spreadsheetml/2006/main" r="Z267" t="str">
        <f>IF(Y267=1,SUM($Y$5:$Y267),"")</f>
        <v/>
      </c>
    </row>
    <row r="268" spans="1:26">
      <c r="A268" s="22"/>
      <c r="B268" s="22"/>
      <c r="C268" s="22"/>
      <c r="D268" s="22"/>
      <c r="E268" s="23"/>
      <c r="F268" s="23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6"/>
      <c xmlns="http://schemas.openxmlformats.org/spreadsheetml/2006/main" r="T268" s="23" t="str">
        <f t="shared" si="12"/>
        <v/>
      </c>
      <c xmlns="http://schemas.openxmlformats.org/spreadsheetml/2006/main" r="U268" s="22" t="str">
        <f t="shared" si="13"/>
        <v/>
      </c>
      <c xmlns="http://schemas.openxmlformats.org/spreadsheetml/2006/main" r="V268" s="18" t="str">
        <f t="shared" si="14"/>
        <v/>
      </c>
      <c r="W268" s="22"/>
      <c r="X268" s="22"/>
      <c xmlns="http://schemas.openxmlformats.org/spreadsheetml/2006/main" r="Y268">
        <f>IF($C268="",0,IF(COUNTIF($C$5:$C268,$C268)=1,1,0))</f>
        <v>0.0</v>
      </c>
      <c xmlns="http://schemas.openxmlformats.org/spreadsheetml/2006/main" r="Z268" t="str">
        <f>IF(Y268=1,SUM($Y$5:$Y268),"")</f>
        <v/>
      </c>
    </row>
    <row r="269" spans="1:26">
      <c r="A269" s="22"/>
      <c r="B269" s="22"/>
      <c r="C269" s="22"/>
      <c r="D269" s="22"/>
      <c r="E269" s="23"/>
      <c r="F269" s="23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6"/>
      <c xmlns="http://schemas.openxmlformats.org/spreadsheetml/2006/main" r="T269" s="23" t="str">
        <f t="shared" si="12"/>
        <v/>
      </c>
      <c xmlns="http://schemas.openxmlformats.org/spreadsheetml/2006/main" r="U269" s="22" t="str">
        <f t="shared" si="13"/>
        <v/>
      </c>
      <c xmlns="http://schemas.openxmlformats.org/spreadsheetml/2006/main" r="V269" s="18" t="str">
        <f t="shared" si="14"/>
        <v/>
      </c>
      <c r="W269" s="22"/>
      <c r="X269" s="22"/>
      <c xmlns="http://schemas.openxmlformats.org/spreadsheetml/2006/main" r="Y269">
        <f>IF($C269="",0,IF(COUNTIF($C$5:$C269,$C269)=1,1,0))</f>
        <v>0.0</v>
      </c>
      <c xmlns="http://schemas.openxmlformats.org/spreadsheetml/2006/main" r="Z269" t="str">
        <f>IF(Y269=1,SUM($Y$5:$Y269),"")</f>
        <v/>
      </c>
    </row>
    <row r="270" spans="1:26">
      <c r="A270" s="22"/>
      <c r="B270" s="22"/>
      <c r="C270" s="22"/>
      <c r="D270" s="22"/>
      <c r="E270" s="23"/>
      <c r="F270" s="23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6"/>
      <c xmlns="http://schemas.openxmlformats.org/spreadsheetml/2006/main" r="T270" s="23" t="str">
        <f t="shared" si="12"/>
        <v/>
      </c>
      <c xmlns="http://schemas.openxmlformats.org/spreadsheetml/2006/main" r="U270" s="22" t="str">
        <f t="shared" si="13"/>
        <v/>
      </c>
      <c xmlns="http://schemas.openxmlformats.org/spreadsheetml/2006/main" r="V270" s="18" t="str">
        <f t="shared" si="14"/>
        <v/>
      </c>
      <c r="W270" s="22"/>
      <c r="X270" s="22"/>
      <c xmlns="http://schemas.openxmlformats.org/spreadsheetml/2006/main" r="Y270">
        <f>IF($C270="",0,IF(COUNTIF($C$5:$C270,$C270)=1,1,0))</f>
        <v>0.0</v>
      </c>
      <c xmlns="http://schemas.openxmlformats.org/spreadsheetml/2006/main" r="Z270" t="str">
        <f>IF(Y270=1,SUM($Y$5:$Y270),"")</f>
        <v/>
      </c>
    </row>
    <row r="271" spans="1:26">
      <c r="A271" s="22"/>
      <c r="B271" s="22"/>
      <c r="C271" s="22"/>
      <c r="D271" s="22"/>
      <c r="E271" s="23"/>
      <c r="F271" s="23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6"/>
      <c xmlns="http://schemas.openxmlformats.org/spreadsheetml/2006/main" r="T271" s="23" t="str">
        <f t="shared" si="12"/>
        <v/>
      </c>
      <c xmlns="http://schemas.openxmlformats.org/spreadsheetml/2006/main" r="U271" s="22" t="str">
        <f t="shared" si="13"/>
        <v/>
      </c>
      <c xmlns="http://schemas.openxmlformats.org/spreadsheetml/2006/main" r="V271" s="18" t="str">
        <f t="shared" si="14"/>
        <v/>
      </c>
      <c r="W271" s="22"/>
      <c r="X271" s="22"/>
      <c xmlns="http://schemas.openxmlformats.org/spreadsheetml/2006/main" r="Y271">
        <f>IF($C271="",0,IF(COUNTIF($C$5:$C271,$C271)=1,1,0))</f>
        <v>0.0</v>
      </c>
      <c xmlns="http://schemas.openxmlformats.org/spreadsheetml/2006/main" r="Z271" t="str">
        <f>IF(Y271=1,SUM($Y$5:$Y271),"")</f>
        <v/>
      </c>
    </row>
    <row r="272" spans="1:26">
      <c r="A272" s="22"/>
      <c r="B272" s="22"/>
      <c r="C272" s="22"/>
      <c r="D272" s="22"/>
      <c r="E272" s="23"/>
      <c r="F272" s="23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6"/>
      <c xmlns="http://schemas.openxmlformats.org/spreadsheetml/2006/main" r="T272" s="23" t="str">
        <f t="shared" si="12"/>
        <v/>
      </c>
      <c xmlns="http://schemas.openxmlformats.org/spreadsheetml/2006/main" r="U272" s="22" t="str">
        <f t="shared" si="13"/>
        <v/>
      </c>
      <c xmlns="http://schemas.openxmlformats.org/spreadsheetml/2006/main" r="V272" s="18" t="str">
        <f t="shared" si="14"/>
        <v/>
      </c>
      <c r="W272" s="22"/>
      <c r="X272" s="22"/>
      <c xmlns="http://schemas.openxmlformats.org/spreadsheetml/2006/main" r="Y272">
        <f>IF($C272="",0,IF(COUNTIF($C$5:$C272,$C272)=1,1,0))</f>
        <v>0.0</v>
      </c>
      <c xmlns="http://schemas.openxmlformats.org/spreadsheetml/2006/main" r="Z272" t="str">
        <f>IF(Y272=1,SUM($Y$5:$Y272),"")</f>
        <v/>
      </c>
    </row>
    <row r="273" spans="1:26">
      <c r="A273" s="22"/>
      <c r="B273" s="22"/>
      <c r="C273" s="22"/>
      <c r="D273" s="22"/>
      <c r="E273" s="23"/>
      <c r="F273" s="23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6"/>
      <c xmlns="http://schemas.openxmlformats.org/spreadsheetml/2006/main" r="T273" s="23" t="str">
        <f t="shared" si="12"/>
        <v/>
      </c>
      <c xmlns="http://schemas.openxmlformats.org/spreadsheetml/2006/main" r="U273" s="22" t="str">
        <f t="shared" si="13"/>
        <v/>
      </c>
      <c xmlns="http://schemas.openxmlformats.org/spreadsheetml/2006/main" r="V273" s="18" t="str">
        <f t="shared" si="14"/>
        <v/>
      </c>
      <c r="W273" s="22"/>
      <c r="X273" s="22"/>
      <c xmlns="http://schemas.openxmlformats.org/spreadsheetml/2006/main" r="Y273">
        <f>IF($C273="",0,IF(COUNTIF($C$5:$C273,$C273)=1,1,0))</f>
        <v>0.0</v>
      </c>
      <c xmlns="http://schemas.openxmlformats.org/spreadsheetml/2006/main" r="Z273" t="str">
        <f>IF(Y273=1,SUM($Y$5:$Y273),"")</f>
        <v/>
      </c>
    </row>
    <row r="274" spans="1:26">
      <c r="A274" s="22"/>
      <c r="B274" s="22"/>
      <c r="C274" s="22"/>
      <c r="D274" s="22"/>
      <c r="E274" s="23"/>
      <c r="F274" s="23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6"/>
      <c xmlns="http://schemas.openxmlformats.org/spreadsheetml/2006/main" r="T274" s="23" t="str">
        <f t="shared" si="12"/>
        <v/>
      </c>
      <c xmlns="http://schemas.openxmlformats.org/spreadsheetml/2006/main" r="U274" s="22" t="str">
        <f t="shared" si="13"/>
        <v/>
      </c>
      <c xmlns="http://schemas.openxmlformats.org/spreadsheetml/2006/main" r="V274" s="18" t="str">
        <f t="shared" si="14"/>
        <v/>
      </c>
      <c r="W274" s="22"/>
      <c r="X274" s="22"/>
      <c xmlns="http://schemas.openxmlformats.org/spreadsheetml/2006/main" r="Y274">
        <f>IF($C274="",0,IF(COUNTIF($C$5:$C274,$C274)=1,1,0))</f>
        <v>0.0</v>
      </c>
      <c xmlns="http://schemas.openxmlformats.org/spreadsheetml/2006/main" r="Z274" t="str">
        <f>IF(Y274=1,SUM($Y$5:$Y274),"")</f>
        <v/>
      </c>
    </row>
    <row r="275" spans="1:26">
      <c r="A275" s="22"/>
      <c r="B275" s="22"/>
      <c r="C275" s="22"/>
      <c r="D275" s="22"/>
      <c r="E275" s="23"/>
      <c r="F275" s="23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6"/>
      <c xmlns="http://schemas.openxmlformats.org/spreadsheetml/2006/main" r="T275" s="23" t="str">
        <f t="shared" si="12"/>
        <v/>
      </c>
      <c xmlns="http://schemas.openxmlformats.org/spreadsheetml/2006/main" r="U275" s="22" t="str">
        <f t="shared" si="13"/>
        <v/>
      </c>
      <c xmlns="http://schemas.openxmlformats.org/spreadsheetml/2006/main" r="V275" s="18" t="str">
        <f t="shared" si="14"/>
        <v/>
      </c>
      <c r="W275" s="22"/>
      <c r="X275" s="22"/>
      <c xmlns="http://schemas.openxmlformats.org/spreadsheetml/2006/main" r="Y275">
        <f>IF($C275="",0,IF(COUNTIF($C$5:$C275,$C275)=1,1,0))</f>
        <v>0.0</v>
      </c>
      <c xmlns="http://schemas.openxmlformats.org/spreadsheetml/2006/main" r="Z275" t="str">
        <f>IF(Y275=1,SUM($Y$5:$Y275),"")</f>
        <v/>
      </c>
    </row>
    <row r="276" spans="1:26">
      <c r="A276" s="22"/>
      <c r="B276" s="22"/>
      <c r="C276" s="22"/>
      <c r="D276" s="22"/>
      <c r="E276" s="23"/>
      <c r="F276" s="23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xmlns="http://schemas.openxmlformats.org/spreadsheetml/2006/main" r="T276" s="23" t="str">
        <f t="shared" si="12"/>
        <v/>
      </c>
      <c xmlns="http://schemas.openxmlformats.org/spreadsheetml/2006/main" r="U276" s="22" t="str">
        <f t="shared" si="13"/>
        <v/>
      </c>
      <c xmlns="http://schemas.openxmlformats.org/spreadsheetml/2006/main" r="V276" s="18" t="str">
        <f t="shared" si="14"/>
        <v/>
      </c>
      <c r="W276" s="22"/>
      <c r="X276" s="22"/>
      <c xmlns="http://schemas.openxmlformats.org/spreadsheetml/2006/main" r="Y276">
        <f>IF($C276="",0,IF(COUNTIF($C$5:$C276,$C276)=1,1,0))</f>
        <v>0.0</v>
      </c>
      <c xmlns="http://schemas.openxmlformats.org/spreadsheetml/2006/main" r="Z276" t="str">
        <f>IF(Y276=1,SUM($Y$5:$Y276),"")</f>
        <v/>
      </c>
    </row>
    <row r="277" spans="1:26">
      <c r="A277" s="22"/>
      <c r="B277" s="22"/>
      <c r="C277" s="22"/>
      <c r="D277" s="22"/>
      <c r="E277" s="23"/>
      <c r="F277" s="23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6"/>
      <c xmlns="http://schemas.openxmlformats.org/spreadsheetml/2006/main" r="T277" s="23" t="str">
        <f t="shared" si="12"/>
        <v/>
      </c>
      <c xmlns="http://schemas.openxmlformats.org/spreadsheetml/2006/main" r="U277" s="22" t="str">
        <f t="shared" si="13"/>
        <v/>
      </c>
      <c xmlns="http://schemas.openxmlformats.org/spreadsheetml/2006/main" r="V277" s="18" t="str">
        <f t="shared" si="14"/>
        <v/>
      </c>
      <c r="W277" s="22"/>
      <c r="X277" s="22"/>
      <c xmlns="http://schemas.openxmlformats.org/spreadsheetml/2006/main" r="Y277">
        <f>IF($C277="",0,IF(COUNTIF($C$5:$C277,$C277)=1,1,0))</f>
        <v>0.0</v>
      </c>
      <c xmlns="http://schemas.openxmlformats.org/spreadsheetml/2006/main" r="Z277" t="str">
        <f>IF(Y277=1,SUM($Y$5:$Y277),"")</f>
        <v/>
      </c>
    </row>
    <row r="278" spans="1:26">
      <c r="A278" s="22"/>
      <c r="B278" s="22"/>
      <c r="C278" s="22"/>
      <c r="D278" s="22"/>
      <c r="E278" s="23"/>
      <c r="F278" s="23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6"/>
      <c xmlns="http://schemas.openxmlformats.org/spreadsheetml/2006/main" r="T278" s="23" t="str">
        <f t="shared" si="12"/>
        <v/>
      </c>
      <c xmlns="http://schemas.openxmlformats.org/spreadsheetml/2006/main" r="U278" s="22" t="str">
        <f t="shared" si="13"/>
        <v/>
      </c>
      <c xmlns="http://schemas.openxmlformats.org/spreadsheetml/2006/main" r="V278" s="18" t="str">
        <f t="shared" si="14"/>
        <v/>
      </c>
      <c r="W278" s="22"/>
      <c r="X278" s="22"/>
      <c xmlns="http://schemas.openxmlformats.org/spreadsheetml/2006/main" r="Y278">
        <f>IF($C278="",0,IF(COUNTIF($C$5:$C278,$C278)=1,1,0))</f>
        <v>0.0</v>
      </c>
      <c xmlns="http://schemas.openxmlformats.org/spreadsheetml/2006/main" r="Z278" t="str">
        <f>IF(Y278=1,SUM($Y$5:$Y278),"")</f>
        <v/>
      </c>
    </row>
    <row r="279" spans="1:26">
      <c r="A279" s="22"/>
      <c r="B279" s="22"/>
      <c r="C279" s="22"/>
      <c r="D279" s="22"/>
      <c r="E279" s="23"/>
      <c r="F279" s="23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6"/>
      <c xmlns="http://schemas.openxmlformats.org/spreadsheetml/2006/main" r="T279" s="23" t="str">
        <f t="shared" si="12"/>
        <v/>
      </c>
      <c xmlns="http://schemas.openxmlformats.org/spreadsheetml/2006/main" r="U279" s="22" t="str">
        <f t="shared" si="13"/>
        <v/>
      </c>
      <c xmlns="http://schemas.openxmlformats.org/spreadsheetml/2006/main" r="V279" s="18" t="str">
        <f t="shared" si="14"/>
        <v/>
      </c>
      <c r="W279" s="22"/>
      <c r="X279" s="22"/>
      <c xmlns="http://schemas.openxmlformats.org/spreadsheetml/2006/main" r="Y279">
        <f>IF($C279="",0,IF(COUNTIF($C$5:$C279,$C279)=1,1,0))</f>
        <v>0.0</v>
      </c>
      <c xmlns="http://schemas.openxmlformats.org/spreadsheetml/2006/main" r="Z279" t="str">
        <f>IF(Y279=1,SUM($Y$5:$Y279),"")</f>
        <v/>
      </c>
    </row>
    <row r="280" spans="1:26">
      <c r="A280" s="22"/>
      <c r="B280" s="22"/>
      <c r="C280" s="22"/>
      <c r="D280" s="22"/>
      <c r="E280" s="23"/>
      <c r="F280" s="23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6"/>
      <c xmlns="http://schemas.openxmlformats.org/spreadsheetml/2006/main" r="T280" s="23" t="str">
        <f t="shared" si="12"/>
        <v/>
      </c>
      <c xmlns="http://schemas.openxmlformats.org/spreadsheetml/2006/main" r="U280" s="22" t="str">
        <f t="shared" si="13"/>
        <v/>
      </c>
      <c xmlns="http://schemas.openxmlformats.org/spreadsheetml/2006/main" r="V280" s="18" t="str">
        <f t="shared" si="14"/>
        <v/>
      </c>
      <c r="W280" s="22"/>
      <c r="X280" s="22"/>
      <c xmlns="http://schemas.openxmlformats.org/spreadsheetml/2006/main" r="Y280">
        <f>IF($C280="",0,IF(COUNTIF($C$5:$C280,$C280)=1,1,0))</f>
        <v>0.0</v>
      </c>
      <c xmlns="http://schemas.openxmlformats.org/spreadsheetml/2006/main" r="Z280" t="str">
        <f>IF(Y280=1,SUM($Y$5:$Y280),"")</f>
        <v/>
      </c>
    </row>
    <row r="281" spans="1:26">
      <c r="A281" s="22"/>
      <c r="B281" s="22"/>
      <c r="C281" s="22"/>
      <c r="D281" s="22"/>
      <c r="E281" s="23"/>
      <c r="F281" s="23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6"/>
      <c xmlns="http://schemas.openxmlformats.org/spreadsheetml/2006/main" r="T281" s="23" t="str">
        <f t="shared" si="12"/>
        <v/>
      </c>
      <c xmlns="http://schemas.openxmlformats.org/spreadsheetml/2006/main" r="U281" s="22" t="str">
        <f t="shared" si="13"/>
        <v/>
      </c>
      <c xmlns="http://schemas.openxmlformats.org/spreadsheetml/2006/main" r="V281" s="18" t="str">
        <f t="shared" si="14"/>
        <v/>
      </c>
      <c r="W281" s="22"/>
      <c r="X281" s="22"/>
      <c xmlns="http://schemas.openxmlformats.org/spreadsheetml/2006/main" r="Y281">
        <f>IF($C281="",0,IF(COUNTIF($C$5:$C281,$C281)=1,1,0))</f>
        <v>0.0</v>
      </c>
      <c xmlns="http://schemas.openxmlformats.org/spreadsheetml/2006/main" r="Z281" t="str">
        <f>IF(Y281=1,SUM($Y$5:$Y281),"")</f>
        <v/>
      </c>
    </row>
    <row r="282" spans="1:26">
      <c r="A282" s="22"/>
      <c r="B282" s="22"/>
      <c r="C282" s="22"/>
      <c r="D282" s="22"/>
      <c r="E282" s="23"/>
      <c r="F282" s="23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6"/>
      <c xmlns="http://schemas.openxmlformats.org/spreadsheetml/2006/main" r="T282" s="23" t="str">
        <f t="shared" si="12"/>
        <v/>
      </c>
      <c xmlns="http://schemas.openxmlformats.org/spreadsheetml/2006/main" r="U282" s="22" t="str">
        <f t="shared" si="13"/>
        <v/>
      </c>
      <c xmlns="http://schemas.openxmlformats.org/spreadsheetml/2006/main" r="V282" s="18" t="str">
        <f t="shared" si="14"/>
        <v/>
      </c>
      <c r="W282" s="22"/>
      <c r="X282" s="22"/>
      <c xmlns="http://schemas.openxmlformats.org/spreadsheetml/2006/main" r="Y282">
        <f>IF($C282="",0,IF(COUNTIF($C$5:$C282,$C282)=1,1,0))</f>
        <v>0.0</v>
      </c>
      <c xmlns="http://schemas.openxmlformats.org/spreadsheetml/2006/main" r="Z282" t="str">
        <f>IF(Y282=1,SUM($Y$5:$Y282),"")</f>
        <v/>
      </c>
    </row>
    <row r="283" spans="1:26">
      <c r="A283" s="22"/>
      <c r="B283" s="22"/>
      <c r="C283" s="22"/>
      <c r="D283" s="22"/>
      <c r="E283" s="23"/>
      <c r="F283" s="23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6"/>
      <c xmlns="http://schemas.openxmlformats.org/spreadsheetml/2006/main" r="T283" s="23" t="str">
        <f t="shared" si="12"/>
        <v/>
      </c>
      <c xmlns="http://schemas.openxmlformats.org/spreadsheetml/2006/main" r="U283" s="22" t="str">
        <f t="shared" si="13"/>
        <v/>
      </c>
      <c xmlns="http://schemas.openxmlformats.org/spreadsheetml/2006/main" r="V283" s="18" t="str">
        <f t="shared" si="14"/>
        <v/>
      </c>
      <c r="W283" s="22"/>
      <c r="X283" s="22"/>
      <c xmlns="http://schemas.openxmlformats.org/spreadsheetml/2006/main" r="Y283">
        <f>IF($C283="",0,IF(COUNTIF($C$5:$C283,$C283)=1,1,0))</f>
        <v>0.0</v>
      </c>
      <c xmlns="http://schemas.openxmlformats.org/spreadsheetml/2006/main" r="Z283" t="str">
        <f>IF(Y283=1,SUM($Y$5:$Y283),"")</f>
        <v/>
      </c>
    </row>
    <row r="284" spans="1:26">
      <c r="A284" s="22"/>
      <c r="B284" s="22"/>
      <c r="C284" s="22"/>
      <c r="D284" s="22"/>
      <c r="E284" s="23"/>
      <c r="F284" s="23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6"/>
      <c xmlns="http://schemas.openxmlformats.org/spreadsheetml/2006/main" r="T284" s="23" t="str">
        <f t="shared" si="12"/>
        <v/>
      </c>
      <c xmlns="http://schemas.openxmlformats.org/spreadsheetml/2006/main" r="U284" s="22" t="str">
        <f t="shared" si="13"/>
        <v/>
      </c>
      <c xmlns="http://schemas.openxmlformats.org/spreadsheetml/2006/main" r="V284" s="18" t="str">
        <f t="shared" si="14"/>
        <v/>
      </c>
      <c r="W284" s="22"/>
      <c r="X284" s="22"/>
      <c xmlns="http://schemas.openxmlformats.org/spreadsheetml/2006/main" r="Y284">
        <f>IF($C284="",0,IF(COUNTIF($C$5:$C284,$C284)=1,1,0))</f>
        <v>0.0</v>
      </c>
      <c xmlns="http://schemas.openxmlformats.org/spreadsheetml/2006/main" r="Z284" t="str">
        <f>IF(Y284=1,SUM($Y$5:$Y284),"")</f>
        <v/>
      </c>
    </row>
    <row r="285" spans="1:26">
      <c r="A285" s="22"/>
      <c r="B285" s="22"/>
      <c r="C285" s="22"/>
      <c r="D285" s="22"/>
      <c r="E285" s="23"/>
      <c r="F285" s="23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xmlns="http://schemas.openxmlformats.org/spreadsheetml/2006/main" r="T285" s="23" t="str">
        <f t="shared" si="12"/>
        <v/>
      </c>
      <c xmlns="http://schemas.openxmlformats.org/spreadsheetml/2006/main" r="U285" s="22" t="str">
        <f t="shared" si="13"/>
        <v/>
      </c>
      <c xmlns="http://schemas.openxmlformats.org/spreadsheetml/2006/main" r="V285" s="18" t="str">
        <f t="shared" si="14"/>
        <v/>
      </c>
      <c r="W285" s="22"/>
      <c r="X285" s="22"/>
      <c xmlns="http://schemas.openxmlformats.org/spreadsheetml/2006/main" r="Y285">
        <f>IF($C285="",0,IF(COUNTIF($C$5:$C285,$C285)=1,1,0))</f>
        <v>0.0</v>
      </c>
      <c xmlns="http://schemas.openxmlformats.org/spreadsheetml/2006/main" r="Z285" t="str">
        <f>IF(Y285=1,SUM($Y$5:$Y285),"")</f>
        <v/>
      </c>
    </row>
    <row r="286" spans="1:26">
      <c r="A286" s="22"/>
      <c r="B286" s="22"/>
      <c r="C286" s="22"/>
      <c r="D286" s="22"/>
      <c r="E286" s="23"/>
      <c r="F286" s="23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6"/>
      <c xmlns="http://schemas.openxmlformats.org/spreadsheetml/2006/main" r="T286" s="23" t="str">
        <f t="shared" si="12"/>
        <v/>
      </c>
      <c xmlns="http://schemas.openxmlformats.org/spreadsheetml/2006/main" r="U286" s="22" t="str">
        <f t="shared" si="13"/>
        <v/>
      </c>
      <c xmlns="http://schemas.openxmlformats.org/spreadsheetml/2006/main" r="V286" s="18" t="str">
        <f t="shared" si="14"/>
        <v/>
      </c>
      <c r="W286" s="22"/>
      <c r="X286" s="22"/>
      <c xmlns="http://schemas.openxmlformats.org/spreadsheetml/2006/main" r="Y286">
        <f>IF($C286="",0,IF(COUNTIF($C$5:$C286,$C286)=1,1,0))</f>
        <v>0.0</v>
      </c>
      <c xmlns="http://schemas.openxmlformats.org/spreadsheetml/2006/main" r="Z286" t="str">
        <f>IF(Y286=1,SUM($Y$5:$Y286),"")</f>
        <v/>
      </c>
    </row>
    <row r="287" spans="1:26">
      <c r="A287" s="22"/>
      <c r="B287" s="22"/>
      <c r="C287" s="22"/>
      <c r="D287" s="22"/>
      <c r="E287" s="23"/>
      <c r="F287" s="23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6"/>
      <c xmlns="http://schemas.openxmlformats.org/spreadsheetml/2006/main" r="T287" s="23" t="str">
        <f t="shared" si="12"/>
        <v/>
      </c>
      <c xmlns="http://schemas.openxmlformats.org/spreadsheetml/2006/main" r="U287" s="22" t="str">
        <f t="shared" si="13"/>
        <v/>
      </c>
      <c xmlns="http://schemas.openxmlformats.org/spreadsheetml/2006/main" r="V287" s="18" t="str">
        <f t="shared" si="14"/>
        <v/>
      </c>
      <c r="W287" s="22"/>
      <c r="X287" s="22"/>
      <c xmlns="http://schemas.openxmlformats.org/spreadsheetml/2006/main" r="Y287">
        <f>IF($C287="",0,IF(COUNTIF($C$5:$C287,$C287)=1,1,0))</f>
        <v>0.0</v>
      </c>
      <c xmlns="http://schemas.openxmlformats.org/spreadsheetml/2006/main" r="Z287" t="str">
        <f>IF(Y287=1,SUM($Y$5:$Y287),"")</f>
        <v/>
      </c>
    </row>
    <row r="288" spans="1:26">
      <c r="A288" s="22"/>
      <c r="B288" s="22"/>
      <c r="C288" s="22"/>
      <c r="D288" s="22"/>
      <c r="E288" s="23"/>
      <c r="F288" s="23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6"/>
      <c xmlns="http://schemas.openxmlformats.org/spreadsheetml/2006/main" r="T288" s="23" t="str">
        <f t="shared" si="12"/>
        <v/>
      </c>
      <c xmlns="http://schemas.openxmlformats.org/spreadsheetml/2006/main" r="U288" s="22" t="str">
        <f t="shared" si="13"/>
        <v/>
      </c>
      <c xmlns="http://schemas.openxmlformats.org/spreadsheetml/2006/main" r="V288" s="18" t="str">
        <f t="shared" si="14"/>
        <v/>
      </c>
      <c r="W288" s="22"/>
      <c r="X288" s="22"/>
      <c xmlns="http://schemas.openxmlformats.org/spreadsheetml/2006/main" r="Y288">
        <f>IF($C288="",0,IF(COUNTIF($C$5:$C288,$C288)=1,1,0))</f>
        <v>0.0</v>
      </c>
      <c xmlns="http://schemas.openxmlformats.org/spreadsheetml/2006/main" r="Z288" t="str">
        <f>IF(Y288=1,SUM($Y$5:$Y288),"")</f>
        <v/>
      </c>
    </row>
    <row r="289" spans="1:26">
      <c r="A289" s="22"/>
      <c r="B289" s="22"/>
      <c r="C289" s="22"/>
      <c r="D289" s="22"/>
      <c r="E289" s="23"/>
      <c r="F289" s="23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6"/>
      <c xmlns="http://schemas.openxmlformats.org/spreadsheetml/2006/main" r="T289" s="23" t="str">
        <f t="shared" si="12"/>
        <v/>
      </c>
      <c xmlns="http://schemas.openxmlformats.org/spreadsheetml/2006/main" r="U289" s="22" t="str">
        <f t="shared" si="13"/>
        <v/>
      </c>
      <c xmlns="http://schemas.openxmlformats.org/spreadsheetml/2006/main" r="V289" s="18" t="str">
        <f t="shared" si="14"/>
        <v/>
      </c>
      <c r="W289" s="22"/>
      <c r="X289" s="22"/>
      <c xmlns="http://schemas.openxmlformats.org/spreadsheetml/2006/main" r="Y289">
        <f>IF($C289="",0,IF(COUNTIF($C$5:$C289,$C289)=1,1,0))</f>
        <v>0.0</v>
      </c>
      <c xmlns="http://schemas.openxmlformats.org/spreadsheetml/2006/main" r="Z289" t="str">
        <f>IF(Y289=1,SUM($Y$5:$Y289),"")</f>
        <v/>
      </c>
    </row>
    <row r="290" spans="1:26">
      <c r="A290" s="22"/>
      <c r="B290" s="22"/>
      <c r="C290" s="22"/>
      <c r="D290" s="22"/>
      <c r="E290" s="23"/>
      <c r="F290" s="23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  <c xmlns="http://schemas.openxmlformats.org/spreadsheetml/2006/main" r="T290" s="23" t="str">
        <f t="shared" si="12"/>
        <v/>
      </c>
      <c xmlns="http://schemas.openxmlformats.org/spreadsheetml/2006/main" r="U290" s="22" t="str">
        <f t="shared" si="13"/>
        <v/>
      </c>
      <c xmlns="http://schemas.openxmlformats.org/spreadsheetml/2006/main" r="V290" s="18" t="str">
        <f t="shared" si="14"/>
        <v/>
      </c>
      <c r="W290" s="22"/>
      <c r="X290" s="22"/>
      <c xmlns="http://schemas.openxmlformats.org/spreadsheetml/2006/main" r="Y290">
        <f>IF($C290="",0,IF(COUNTIF($C$5:$C290,$C290)=1,1,0))</f>
        <v>0.0</v>
      </c>
      <c xmlns="http://schemas.openxmlformats.org/spreadsheetml/2006/main" r="Z290" t="str">
        <f>IF(Y290=1,SUM($Y$5:$Y290),"")</f>
        <v/>
      </c>
    </row>
    <row r="291" spans="1:26">
      <c r="A291" s="22"/>
      <c r="B291" s="22"/>
      <c r="C291" s="22"/>
      <c r="D291" s="22"/>
      <c r="E291" s="23"/>
      <c r="F291" s="23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6"/>
      <c xmlns="http://schemas.openxmlformats.org/spreadsheetml/2006/main" r="T291" s="23" t="str">
        <f t="shared" si="12"/>
        <v/>
      </c>
      <c xmlns="http://schemas.openxmlformats.org/spreadsheetml/2006/main" r="U291" s="22" t="str">
        <f t="shared" si="13"/>
        <v/>
      </c>
      <c xmlns="http://schemas.openxmlformats.org/spreadsheetml/2006/main" r="V291" s="18" t="str">
        <f t="shared" si="14"/>
        <v/>
      </c>
      <c r="W291" s="22"/>
      <c r="X291" s="22"/>
      <c xmlns="http://schemas.openxmlformats.org/spreadsheetml/2006/main" r="Y291">
        <f>IF($C291="",0,IF(COUNTIF($C$5:$C291,$C291)=1,1,0))</f>
        <v>0.0</v>
      </c>
      <c xmlns="http://schemas.openxmlformats.org/spreadsheetml/2006/main" r="Z291" t="str">
        <f>IF(Y291=1,SUM($Y$5:$Y291),"")</f>
        <v/>
      </c>
    </row>
    <row r="292" spans="1:26">
      <c r="A292" s="22"/>
      <c r="B292" s="22"/>
      <c r="C292" s="22"/>
      <c r="D292" s="22"/>
      <c r="E292" s="23"/>
      <c r="F292" s="23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6"/>
      <c xmlns="http://schemas.openxmlformats.org/spreadsheetml/2006/main" r="T292" s="23" t="str">
        <f t="shared" si="12"/>
        <v/>
      </c>
      <c xmlns="http://schemas.openxmlformats.org/spreadsheetml/2006/main" r="U292" s="22" t="str">
        <f t="shared" si="13"/>
        <v/>
      </c>
      <c xmlns="http://schemas.openxmlformats.org/spreadsheetml/2006/main" r="V292" s="18" t="str">
        <f t="shared" si="14"/>
        <v/>
      </c>
      <c r="W292" s="22"/>
      <c r="X292" s="22"/>
      <c xmlns="http://schemas.openxmlformats.org/spreadsheetml/2006/main" r="Y292">
        <f>IF($C292="",0,IF(COUNTIF($C$5:$C292,$C292)=1,1,0))</f>
        <v>0.0</v>
      </c>
      <c xmlns="http://schemas.openxmlformats.org/spreadsheetml/2006/main" r="Z292" t="str">
        <f>IF(Y292=1,SUM($Y$5:$Y292),"")</f>
        <v/>
      </c>
    </row>
    <row r="293" spans="1:26">
      <c r="A293" s="22"/>
      <c r="B293" s="22"/>
      <c r="C293" s="22"/>
      <c r="D293" s="22"/>
      <c r="E293" s="23"/>
      <c r="F293" s="23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6"/>
      <c xmlns="http://schemas.openxmlformats.org/spreadsheetml/2006/main" r="T293" s="23" t="str">
        <f t="shared" si="12"/>
        <v/>
      </c>
      <c xmlns="http://schemas.openxmlformats.org/spreadsheetml/2006/main" r="U293" s="22" t="str">
        <f t="shared" si="13"/>
        <v/>
      </c>
      <c xmlns="http://schemas.openxmlformats.org/spreadsheetml/2006/main" r="V293" s="18" t="str">
        <f t="shared" si="14"/>
        <v/>
      </c>
      <c r="W293" s="22"/>
      <c r="X293" s="22"/>
      <c xmlns="http://schemas.openxmlformats.org/spreadsheetml/2006/main" r="Y293">
        <f>IF($C293="",0,IF(COUNTIF($C$5:$C293,$C293)=1,1,0))</f>
        <v>0.0</v>
      </c>
      <c xmlns="http://schemas.openxmlformats.org/spreadsheetml/2006/main" r="Z293" t="str">
        <f>IF(Y293=1,SUM($Y$5:$Y293),"")</f>
        <v/>
      </c>
    </row>
    <row r="294" spans="1:26">
      <c r="A294" s="22"/>
      <c r="B294" s="22"/>
      <c r="C294" s="22"/>
      <c r="D294" s="22"/>
      <c r="E294" s="23"/>
      <c r="F294" s="23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6"/>
      <c xmlns="http://schemas.openxmlformats.org/spreadsheetml/2006/main" r="T294" s="23" t="str">
        <f t="shared" si="12"/>
        <v/>
      </c>
      <c xmlns="http://schemas.openxmlformats.org/spreadsheetml/2006/main" r="U294" s="22" t="str">
        <f t="shared" si="13"/>
        <v/>
      </c>
      <c xmlns="http://schemas.openxmlformats.org/spreadsheetml/2006/main" r="V294" s="18" t="str">
        <f t="shared" si="14"/>
        <v/>
      </c>
      <c r="W294" s="22"/>
      <c r="X294" s="22"/>
      <c xmlns="http://schemas.openxmlformats.org/spreadsheetml/2006/main" r="Y294">
        <f>IF($C294="",0,IF(COUNTIF($C$5:$C294,$C294)=1,1,0))</f>
        <v>0.0</v>
      </c>
      <c xmlns="http://schemas.openxmlformats.org/spreadsheetml/2006/main" r="Z294" t="str">
        <f>IF(Y294=1,SUM($Y$5:$Y294),"")</f>
        <v/>
      </c>
    </row>
    <row r="295" spans="1:26">
      <c r="A295" s="22"/>
      <c r="B295" s="22"/>
      <c r="C295" s="22"/>
      <c r="D295" s="22"/>
      <c r="E295" s="23"/>
      <c r="F295" s="23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6"/>
      <c xmlns="http://schemas.openxmlformats.org/spreadsheetml/2006/main" r="T295" s="23" t="str">
        <f t="shared" si="12"/>
        <v/>
      </c>
      <c xmlns="http://schemas.openxmlformats.org/spreadsheetml/2006/main" r="U295" s="22" t="str">
        <f t="shared" si="13"/>
        <v/>
      </c>
      <c xmlns="http://schemas.openxmlformats.org/spreadsheetml/2006/main" r="V295" s="18" t="str">
        <f t="shared" si="14"/>
        <v/>
      </c>
      <c r="W295" s="22"/>
      <c r="X295" s="22"/>
      <c xmlns="http://schemas.openxmlformats.org/spreadsheetml/2006/main" r="Y295">
        <f>IF($C295="",0,IF(COUNTIF($C$5:$C295,$C295)=1,1,0))</f>
        <v>0.0</v>
      </c>
      <c xmlns="http://schemas.openxmlformats.org/spreadsheetml/2006/main" r="Z295" t="str">
        <f>IF(Y295=1,SUM($Y$5:$Y295),"")</f>
        <v/>
      </c>
    </row>
    <row r="296" spans="1:26">
      <c r="A296" s="22"/>
      <c r="B296" s="22"/>
      <c r="C296" s="22"/>
      <c r="D296" s="22"/>
      <c r="E296" s="23"/>
      <c r="F296" s="23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6"/>
      <c xmlns="http://schemas.openxmlformats.org/spreadsheetml/2006/main" r="T296" s="23" t="str">
        <f t="shared" si="12"/>
        <v/>
      </c>
      <c xmlns="http://schemas.openxmlformats.org/spreadsheetml/2006/main" r="U296" s="22" t="str">
        <f t="shared" si="13"/>
        <v/>
      </c>
      <c xmlns="http://schemas.openxmlformats.org/spreadsheetml/2006/main" r="V296" s="18" t="str">
        <f t="shared" si="14"/>
        <v/>
      </c>
      <c r="W296" s="22"/>
      <c r="X296" s="22"/>
      <c xmlns="http://schemas.openxmlformats.org/spreadsheetml/2006/main" r="Y296">
        <f>IF($C296="",0,IF(COUNTIF($C$5:$C296,$C296)=1,1,0))</f>
        <v>0.0</v>
      </c>
      <c xmlns="http://schemas.openxmlformats.org/spreadsheetml/2006/main" r="Z296" t="str">
        <f>IF(Y296=1,SUM($Y$5:$Y296),"")</f>
        <v/>
      </c>
    </row>
    <row r="297" spans="1:26">
      <c r="A297" s="22"/>
      <c r="B297" s="22"/>
      <c r="C297" s="22"/>
      <c r="D297" s="22"/>
      <c r="E297" s="23"/>
      <c r="F297" s="23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6"/>
      <c xmlns="http://schemas.openxmlformats.org/spreadsheetml/2006/main" r="T297" s="23" t="str">
        <f t="shared" si="12"/>
        <v/>
      </c>
      <c xmlns="http://schemas.openxmlformats.org/spreadsheetml/2006/main" r="U297" s="22" t="str">
        <f t="shared" si="13"/>
        <v/>
      </c>
      <c xmlns="http://schemas.openxmlformats.org/spreadsheetml/2006/main" r="V297" s="18" t="str">
        <f t="shared" si="14"/>
        <v/>
      </c>
      <c r="W297" s="22"/>
      <c r="X297" s="22"/>
      <c xmlns="http://schemas.openxmlformats.org/spreadsheetml/2006/main" r="Y297">
        <f>IF($C297="",0,IF(COUNTIF($C$5:$C297,$C297)=1,1,0))</f>
        <v>0.0</v>
      </c>
      <c xmlns="http://schemas.openxmlformats.org/spreadsheetml/2006/main" r="Z297" t="str">
        <f>IF(Y297=1,SUM($Y$5:$Y297),"")</f>
        <v/>
      </c>
    </row>
    <row r="298" spans="1:26">
      <c r="A298" s="22"/>
      <c r="B298" s="22"/>
      <c r="C298" s="22"/>
      <c r="D298" s="22"/>
      <c r="E298" s="23"/>
      <c r="F298" s="23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6"/>
      <c xmlns="http://schemas.openxmlformats.org/spreadsheetml/2006/main" r="T298" s="23" t="str">
        <f t="shared" si="12"/>
        <v/>
      </c>
      <c xmlns="http://schemas.openxmlformats.org/spreadsheetml/2006/main" r="U298" s="22" t="str">
        <f t="shared" si="13"/>
        <v/>
      </c>
      <c xmlns="http://schemas.openxmlformats.org/spreadsheetml/2006/main" r="V298" s="18" t="str">
        <f t="shared" si="14"/>
        <v/>
      </c>
      <c r="W298" s="22"/>
      <c r="X298" s="22"/>
      <c xmlns="http://schemas.openxmlformats.org/spreadsheetml/2006/main" r="Y298">
        <f>IF($C298="",0,IF(COUNTIF($C$5:$C298,$C298)=1,1,0))</f>
        <v>0.0</v>
      </c>
      <c xmlns="http://schemas.openxmlformats.org/spreadsheetml/2006/main" r="Z298" t="str">
        <f>IF(Y298=1,SUM($Y$5:$Y298),"")</f>
        <v/>
      </c>
    </row>
    <row r="299" spans="1:26">
      <c r="A299" s="22"/>
      <c r="B299" s="22"/>
      <c r="C299" s="22"/>
      <c r="D299" s="22"/>
      <c r="E299" s="23"/>
      <c r="F299" s="23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6"/>
      <c xmlns="http://schemas.openxmlformats.org/spreadsheetml/2006/main" r="T299" s="23" t="str">
        <f t="shared" si="12"/>
        <v/>
      </c>
      <c xmlns="http://schemas.openxmlformats.org/spreadsheetml/2006/main" r="U299" s="22" t="str">
        <f t="shared" si="13"/>
        <v/>
      </c>
      <c xmlns="http://schemas.openxmlformats.org/spreadsheetml/2006/main" r="V299" s="18" t="str">
        <f t="shared" si="14"/>
        <v/>
      </c>
      <c r="W299" s="22"/>
      <c r="X299" s="22"/>
      <c xmlns="http://schemas.openxmlformats.org/spreadsheetml/2006/main" r="Y299">
        <f>IF($C299="",0,IF(COUNTIF($C$5:$C299,$C299)=1,1,0))</f>
        <v>0.0</v>
      </c>
      <c xmlns="http://schemas.openxmlformats.org/spreadsheetml/2006/main" r="Z299" t="str">
        <f>IF(Y299=1,SUM($Y$5:$Y299),"")</f>
        <v/>
      </c>
    </row>
    <row r="300" spans="1:26">
      <c r="A300" s="22"/>
      <c r="B300" s="22"/>
      <c r="C300" s="22"/>
      <c r="D300" s="22"/>
      <c r="E300" s="23"/>
      <c r="F300" s="23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6"/>
      <c xmlns="http://schemas.openxmlformats.org/spreadsheetml/2006/main" r="T300" s="23" t="str">
        <f t="shared" si="12"/>
        <v/>
      </c>
      <c xmlns="http://schemas.openxmlformats.org/spreadsheetml/2006/main" r="U300" s="22" t="str">
        <f t="shared" si="13"/>
        <v/>
      </c>
      <c xmlns="http://schemas.openxmlformats.org/spreadsheetml/2006/main" r="V300" s="18" t="str">
        <f t="shared" si="14"/>
        <v/>
      </c>
      <c r="W300" s="22"/>
      <c r="X300" s="22"/>
      <c xmlns="http://schemas.openxmlformats.org/spreadsheetml/2006/main" r="Y300">
        <f>IF($C300="",0,IF(COUNTIF($C$5:$C300,$C300)=1,1,0))</f>
        <v>0.0</v>
      </c>
      <c xmlns="http://schemas.openxmlformats.org/spreadsheetml/2006/main" r="Z300" t="str">
        <f>IF(Y300=1,SUM($Y$5:$Y300),"")</f>
        <v/>
      </c>
    </row>
    <row r="301" spans="1:26">
      <c r="A301" s="22"/>
      <c r="B301" s="22"/>
      <c r="C301" s="22"/>
      <c r="D301" s="22"/>
      <c r="E301" s="23"/>
      <c r="F301" s="23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6"/>
      <c xmlns="http://schemas.openxmlformats.org/spreadsheetml/2006/main" r="T301" s="23" t="str">
        <f t="shared" si="12"/>
        <v/>
      </c>
      <c xmlns="http://schemas.openxmlformats.org/spreadsheetml/2006/main" r="U301" s="22" t="str">
        <f t="shared" si="13"/>
        <v/>
      </c>
      <c xmlns="http://schemas.openxmlformats.org/spreadsheetml/2006/main" r="V301" s="18" t="str">
        <f t="shared" si="14"/>
        <v/>
      </c>
      <c r="W301" s="22"/>
      <c r="X301" s="22"/>
      <c xmlns="http://schemas.openxmlformats.org/spreadsheetml/2006/main" r="Y301">
        <f>IF($C301="",0,IF(COUNTIF($C$5:$C301,$C301)=1,1,0))</f>
        <v>0.0</v>
      </c>
      <c xmlns="http://schemas.openxmlformats.org/spreadsheetml/2006/main" r="Z301" t="str">
        <f>IF(Y301=1,SUM($Y$5:$Y301),"")</f>
        <v/>
      </c>
    </row>
    <row r="302" spans="1:26">
      <c r="A302" s="22"/>
      <c r="B302" s="22"/>
      <c r="C302" s="22"/>
      <c r="D302" s="22"/>
      <c r="E302" s="23"/>
      <c r="F302" s="23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6"/>
      <c xmlns="http://schemas.openxmlformats.org/spreadsheetml/2006/main" r="T302" s="23" t="str">
        <f t="shared" si="12"/>
        <v/>
      </c>
      <c xmlns="http://schemas.openxmlformats.org/spreadsheetml/2006/main" r="U302" s="22" t="str">
        <f t="shared" si="13"/>
        <v/>
      </c>
      <c xmlns="http://schemas.openxmlformats.org/spreadsheetml/2006/main" r="V302" s="18" t="str">
        <f t="shared" si="14"/>
        <v/>
      </c>
      <c r="W302" s="22"/>
      <c r="X302" s="22"/>
      <c xmlns="http://schemas.openxmlformats.org/spreadsheetml/2006/main" r="Y302">
        <f>IF($C302="",0,IF(COUNTIF($C$5:$C302,$C302)=1,1,0))</f>
        <v>0.0</v>
      </c>
      <c xmlns="http://schemas.openxmlformats.org/spreadsheetml/2006/main" r="Z302" t="str">
        <f>IF(Y302=1,SUM($Y$5:$Y302),"")</f>
        <v/>
      </c>
    </row>
    <row r="303" spans="1:26">
      <c r="A303" s="22"/>
      <c r="B303" s="22"/>
      <c r="C303" s="22"/>
      <c r="D303" s="22"/>
      <c r="E303" s="23"/>
      <c r="F303" s="23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6"/>
      <c xmlns="http://schemas.openxmlformats.org/spreadsheetml/2006/main" r="T303" s="23" t="str">
        <f t="shared" si="12"/>
        <v/>
      </c>
      <c xmlns="http://schemas.openxmlformats.org/spreadsheetml/2006/main" r="U303" s="22" t="str">
        <f t="shared" si="13"/>
        <v/>
      </c>
      <c xmlns="http://schemas.openxmlformats.org/spreadsheetml/2006/main" r="V303" s="18" t="str">
        <f t="shared" si="14"/>
        <v/>
      </c>
      <c r="W303" s="22"/>
      <c r="X303" s="22"/>
      <c xmlns="http://schemas.openxmlformats.org/spreadsheetml/2006/main" r="Y303">
        <f>IF($C303="",0,IF(COUNTIF($C$5:$C303,$C303)=1,1,0))</f>
        <v>0.0</v>
      </c>
      <c xmlns="http://schemas.openxmlformats.org/spreadsheetml/2006/main" r="Z303" t="str">
        <f>IF(Y303=1,SUM($Y$5:$Y303),"")</f>
        <v/>
      </c>
    </row>
    <row r="304" spans="1:26">
      <c r="A304" s="22"/>
      <c r="B304" s="22"/>
      <c r="C304" s="22"/>
      <c r="D304" s="22"/>
      <c r="E304" s="23"/>
      <c r="F304" s="23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6"/>
      <c xmlns="http://schemas.openxmlformats.org/spreadsheetml/2006/main" r="T304" s="23" t="str">
        <f t="shared" si="12"/>
        <v/>
      </c>
      <c xmlns="http://schemas.openxmlformats.org/spreadsheetml/2006/main" r="U304" s="22" t="str">
        <f t="shared" si="13"/>
        <v/>
      </c>
      <c xmlns="http://schemas.openxmlformats.org/spreadsheetml/2006/main" r="V304" s="18" t="str">
        <f t="shared" si="14"/>
        <v/>
      </c>
      <c r="W304" s="22"/>
      <c r="X304" s="22"/>
      <c xmlns="http://schemas.openxmlformats.org/spreadsheetml/2006/main" r="Y304">
        <f>IF($C304="",0,IF(COUNTIF($C$5:$C304,$C304)=1,1,0))</f>
        <v>0.0</v>
      </c>
      <c xmlns="http://schemas.openxmlformats.org/spreadsheetml/2006/main" r="Z304" t="str">
        <f>IF(Y304=1,SUM($Y$5:$Y304),"")</f>
        <v/>
      </c>
    </row>
  </sheetData>
  <autoFilter ref="A4:X304"/>
  <mergeCells count="28">
    <mergeCell ref="A1:X1"/>
    <mergeCell ref="A2:G2"/>
    <mergeCell ref="H2:S2"/>
    <mergeCell ref="T2:V2"/>
    <mergeCell ref="W2:X2"/>
    <mergeCell ref="A3:A4"/>
    <mergeCell ref="B3:B4"/>
    <mergeCell ref="C3:C4"/>
    <mergeCell ref="D3:D4"/>
    <mergeCell ref="E3:F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V3:V4"/>
    <mergeCell ref="W3:W4"/>
    <mergeCell ref="X3:X4"/>
    <mergeCell ref="Q3:Q4"/>
    <mergeCell ref="R3:R4"/>
    <mergeCell ref="S3:S4"/>
    <mergeCell ref="T3:T4"/>
    <mergeCell ref="U3:U4"/>
  </mergeCells>
  <phoneticPr fontId="26" type="noConversion"/>
  <conditionalFormatting sqref="A5:E10">
    <cfRule type="expression" dxfId="33" priority="3">
      <formula>$Q5="⚠ 資料缺漏"</formula>
    </cfRule>
  </conditionalFormatting>
  <conditionalFormatting sqref="F5:G10 A11:G304">
    <cfRule type="expression" dxfId="32" priority="10">
      <formula>ISNUMBER(SEARCH("⚠",$U5))</formula>
    </cfRule>
  </conditionalFormatting>
  <conditionalFormatting sqref="U5:U304">
    <cfRule type="expression" dxfId="31" priority="6">
      <formula>ISNUMBER(SEARCH("⚠",$U5))</formula>
    </cfRule>
    <cfRule type="expression" dxfId="30" priority="7">
      <formula>$U5="▲ 單一設備依賴"</formula>
    </cfRule>
    <cfRule type="expression" dxfId="29" priority="8">
      <formula>$U5="○ 免調理"</formula>
    </cfRule>
    <cfRule type="expression" dxfId="28" priority="9">
      <formula>$U5="OK"</formula>
    </cfRule>
  </conditionalFormatting>
  <conditionalFormatting xmlns="http://schemas.openxmlformats.org/spreadsheetml/2006/main" sqref="X5:X304">
    <cfRule type="expression" dxfId="34" priority="1" stopIfTrue="1">
      <formula>AND($D5&lt;&gt;"",$X5="")</formula>
    </cfRule>
  </conditionalFormatting>
  <conditionalFormatting xmlns="http://schemas.openxmlformats.org/spreadsheetml/2006/main" sqref="F5:F304">
    <cfRule type="expression" dxfId="34" priority="2" stopIfTrue="1">
      <formula>AND($D5&lt;&gt;"",$E5&lt;&gt;"",$F5="")</formula>
    </cfRule>
  </conditionalFormatting>
  <dataValidations xmlns="http://schemas.openxmlformats.org/spreadsheetml/2006/main" count="3">
    <dataValidation type="list" allowBlank="1" sqref="A5:A304" showDropDown="0" showErrorMessage="1" errorStyle="stop" errorTitle="請使用下拉選單" error="請選擇選單中的項目，或清除儲存格。">
      <formula1>"大溪,新豐,長家,晉欣"</formula1>
    </dataValidation>
    <dataValidation type="list" allowBlank="1" sqref="F5:F304" showDropDown="0" showErrorMessage="1" errorStyle="stop" errorTitle="請使用下拉選單" error="請選擇選單中的項目，或清除儲存格。">
      <formula1>"公克,個"</formula1>
    </dataValidation>
    <dataValidation type="list" allowBlank="1" sqref="H5:S304" showDropDown="0" showErrorMessage="1" errorStyle="stop" errorTitle="請使用下拉選單" error="請選擇選單中的項目，或清除儲存格。">
      <formula1>"V"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44A"/>
  </sheetPr>
  <dimension ref="A1:Z304"/>
  <sheetViews xmlns="http://schemas.openxmlformats.org/spreadsheetml/2006/main">
    <sheetView showGridLines="0" zoomScaleNormal="100" workbookViewId="0" topLeftCell="A1">
      <pane xSplit="4" ySplit="4" topLeftCell="E5" activePane="bottomRight" state="frozen"/>
      <selection pane="bottomRight" activeCell="E5" sqref="E5"/>
    </sheetView>
  </sheetViews>
  <sheetFormatPr defaultColWidth="8.6328125" defaultRowHeight="14.5"/>
  <cols xmlns="http://schemas.openxmlformats.org/spreadsheetml/2006/main">
    <col min="1" max="1" width="9" customWidth="1"/>
    <col min="2" max="2" width="12" customWidth="1"/>
    <col min="3" max="3" width="22" customWidth="1"/>
    <col min="4" max="4" width="26" customWidth="1"/>
    <col min="5" max="6" width="8" customWidth="1"/>
    <col min="7" max="7" width="9" customWidth="1"/>
    <col min="8" max="18" width="7" customWidth="1"/>
    <col min="19" max="19" width="9" customWidth="1"/>
    <col min="20" max="20" width="7" customWidth="1"/>
    <col min="21" max="21" width="13" customWidth="1"/>
    <col min="22" max="22" width="30" customWidth="1"/>
    <col min="23" max="23" width="20" customWidth="1"/>
    <col min="24" max="24" width="12" customWidth="1"/>
    <col min="25" max="25" width="13" hidden="1" customWidth="1"/>
    <col min="26" max="26" width="13" hidden="1" customWidth="1"/>
  </cols>
  <sheetData>
    <row r="1" spans="1:26" ht="30" customHeight="1">
      <c r="A1" s="47" t="s">
        <v>74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6" ht="19.5" customHeight="1">
      <c r="A2" s="53" t="s">
        <v>43</v>
      </c>
      <c r="B2" s="53"/>
      <c r="C2" s="53"/>
      <c r="D2" s="53"/>
      <c r="E2" s="53"/>
      <c r="F2" s="53"/>
      <c r="G2" s="53"/>
      <c r="H2" s="53" t="s">
        <v>44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 t="s">
        <v>45</v>
      </c>
      <c r="U2" s="53"/>
      <c r="V2" s="53"/>
      <c r="W2" s="53" t="s">
        <v>46</v>
      </c>
      <c r="X2" s="53"/>
    </row>
    <row r="3" spans="1:26" ht="24" customHeight="1">
      <c r="A3" s="48" t="s">
        <v>47</v>
      </c>
      <c r="B3" s="48" t="s">
        <v>48</v>
      </c>
      <c r="C3" s="48" t="s">
        <v>49</v>
      </c>
      <c r="D3" s="48" t="s">
        <v>50</v>
      </c>
      <c r="E3" s="51" t="s">
        <v>51</v>
      </c>
      <c r="F3" s="51"/>
      <c r="G3" s="48" t="s">
        <v>52</v>
      </c>
      <c r="H3" s="49" t="s">
        <v>53</v>
      </c>
      <c r="I3" s="49" t="s">
        <v>54</v>
      </c>
      <c r="J3" s="49" t="s">
        <v>55</v>
      </c>
      <c r="K3" s="49" t="s">
        <v>56</v>
      </c>
      <c r="L3" s="49" t="s">
        <v>57</v>
      </c>
      <c r="M3" s="49" t="s">
        <v>58</v>
      </c>
      <c r="N3" s="49" t="s">
        <v>59</v>
      </c>
      <c r="O3" s="49" t="s">
        <v>60</v>
      </c>
      <c r="P3" s="49" t="s">
        <v>61</v>
      </c>
      <c r="Q3" s="49" t="s">
        <v>62</v>
      </c>
      <c r="R3" s="49" t="s">
        <v>63</v>
      </c>
      <c r="S3" s="50" t="s">
        <v>64</v>
      </c>
      <c r="T3" s="48" t="s">
        <v>65</v>
      </c>
      <c r="U3" s="48" t="s">
        <v>66</v>
      </c>
      <c r="V3" s="48" t="s">
        <v>67</v>
      </c>
      <c r="W3" s="48" t="s">
        <v>68</v>
      </c>
      <c r="X3" s="48" t="s">
        <v>69</v>
      </c>
      <c r="Y3" s="20" t="s">
        <v>70</v>
      </c>
      <c r="Z3" s="20" t="s">
        <v>71</v>
      </c>
    </row>
    <row r="4" spans="1:26" ht="18" customHeight="1">
      <c r="A4" s="48"/>
      <c r="B4" s="48"/>
      <c r="C4" s="48"/>
      <c r="D4" s="48"/>
      <c r="E4" s="21" t="s">
        <v>72</v>
      </c>
      <c r="F4" s="21" t="s">
        <v>73</v>
      </c>
      <c r="G4" s="48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48"/>
      <c r="U4" s="48"/>
      <c r="V4" s="48"/>
      <c r="W4" s="48"/>
      <c r="X4" s="48"/>
    </row>
    <row r="5" spans="1:26">
      <c r="A5" s="27"/>
      <c r="B5" s="27"/>
      <c r="C5" s="27"/>
      <c r="D5" s="27"/>
      <c r="E5" s="23"/>
      <c r="F5" s="28"/>
      <c r="G5" s="24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xmlns="http://schemas.openxmlformats.org/spreadsheetml/2006/main" r="T5" s="23" t="str">
        <f t="shared" ref="T5:T68" si="0">IF($D5="","",COUNTIF($H5:$R5,"V"))</f>
        <v/>
      </c>
      <c xmlns="http://schemas.openxmlformats.org/spreadsheetml/2006/main" r="U5" s="22" t="str">
        <f t="shared" ref="U5:U68" si="1">IF($D5="","",IF(AND($S5="V",$T5&gt;0),"⚠ 勾選矛盾",IF($S5="V","○ 免調理",IF($T5=0,"⚠ 資料缺漏",IF($T5=1,"▲ 單一設備依賴","OK")))))</f>
        <v/>
      </c>
      <c xmlns="http://schemas.openxmlformats.org/spreadsheetml/2006/main" r="V5" s="18" t="str">
        <f t="shared" ref="V5:V68" si="2">IF($D5="","",IF(AND($S5="V",$T5&gt;0),"「無使用調理設備」不可與設備欄同時勾選，請擇一修正",IF($S5="V","免調理半成品（外購/僅切配等），不列入設備風險評估",IF($T5=0,"未勾選任何設備，請補填或勾選「無使用調理設備」",IF($T5=1,"僅依賴1台設備，須確認故障/排修時之備援製程","無異常")))))</f>
        <v/>
      </c>
      <c r="W5" s="22" t="s">
        <v>126</v>
      </c>
      <c r="X5" s="27" t="s">
        <v>77</v>
      </c>
      <c xmlns="http://schemas.openxmlformats.org/spreadsheetml/2006/main" r="Y5">
        <f>IF($C5="",0,IF(COUNTIF($C$5:$C5,$C5)=1,1,0))</f>
        <v>0.0</v>
      </c>
      <c xmlns="http://schemas.openxmlformats.org/spreadsheetml/2006/main" r="Z5" t="str">
        <f>IF(Y5=1,SUM($Y$5:$Y5),"")</f>
        <v/>
      </c>
    </row>
    <row r="6" spans="1:26">
      <c r="A6" s="27"/>
      <c r="B6" s="27"/>
      <c r="C6" s="27"/>
      <c r="D6" s="27"/>
      <c r="E6" s="23"/>
      <c r="F6" s="28"/>
      <c r="G6" s="24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6"/>
      <c xmlns="http://schemas.openxmlformats.org/spreadsheetml/2006/main" r="T6" s="23" t="str">
        <f t="shared" si="0"/>
        <v/>
      </c>
      <c xmlns="http://schemas.openxmlformats.org/spreadsheetml/2006/main" r="U6" s="22" t="str">
        <f t="shared" si="1"/>
        <v/>
      </c>
      <c xmlns="http://schemas.openxmlformats.org/spreadsheetml/2006/main" r="V6" s="18" t="str">
        <f t="shared" si="2"/>
        <v/>
      </c>
      <c r="W6" s="22" t="s">
        <v>126</v>
      </c>
      <c r="X6" s="27" t="s">
        <v>77</v>
      </c>
      <c xmlns="http://schemas.openxmlformats.org/spreadsheetml/2006/main" r="Y6">
        <f>IF($C6="",0,IF(COUNTIF($C$5:$C6,$C6)=1,1,0))</f>
        <v>0.0</v>
      </c>
      <c xmlns="http://schemas.openxmlformats.org/spreadsheetml/2006/main" r="Z6" t="str">
        <f>IF(Y6=1,SUM($Y$5:$Y6),"")</f>
        <v/>
      </c>
    </row>
    <row r="7" spans="1:26">
      <c r="A7" s="27"/>
      <c r="B7" s="27"/>
      <c r="C7" s="27"/>
      <c r="D7" s="27"/>
      <c r="E7" s="23"/>
      <c r="F7" s="28"/>
      <c r="G7" s="24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6"/>
      <c xmlns="http://schemas.openxmlformats.org/spreadsheetml/2006/main" r="T7" s="23" t="str">
        <f t="shared" si="0"/>
        <v/>
      </c>
      <c xmlns="http://schemas.openxmlformats.org/spreadsheetml/2006/main" r="U7" s="22" t="str">
        <f t="shared" si="1"/>
        <v/>
      </c>
      <c xmlns="http://schemas.openxmlformats.org/spreadsheetml/2006/main" r="V7" s="18" t="str">
        <f t="shared" si="2"/>
        <v/>
      </c>
      <c r="W7" s="22" t="s">
        <v>126</v>
      </c>
      <c r="X7" s="27" t="s">
        <v>77</v>
      </c>
      <c xmlns="http://schemas.openxmlformats.org/spreadsheetml/2006/main" r="Y7">
        <f>IF($C7="",0,IF(COUNTIF($C$5:$C7,$C7)=1,1,0))</f>
        <v>0.0</v>
      </c>
      <c xmlns="http://schemas.openxmlformats.org/spreadsheetml/2006/main" r="Z7" t="str">
        <f>IF(Y7=1,SUM($Y$5:$Y7),"")</f>
        <v/>
      </c>
    </row>
    <row r="8" spans="1:26">
      <c r="A8" s="27"/>
      <c r="B8" s="27"/>
      <c r="C8" s="27"/>
      <c r="D8" s="27"/>
      <c r="E8" s="23"/>
      <c r="F8" s="28"/>
      <c r="G8" s="24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xmlns="http://schemas.openxmlformats.org/spreadsheetml/2006/main" r="T8" s="23" t="str">
        <f t="shared" si="0"/>
        <v/>
      </c>
      <c xmlns="http://schemas.openxmlformats.org/spreadsheetml/2006/main" r="U8" s="22" t="str">
        <f t="shared" si="1"/>
        <v/>
      </c>
      <c xmlns="http://schemas.openxmlformats.org/spreadsheetml/2006/main" r="V8" s="18" t="str">
        <f t="shared" si="2"/>
        <v/>
      </c>
      <c r="W8" s="22" t="s">
        <v>126</v>
      </c>
      <c r="X8" s="27" t="s">
        <v>77</v>
      </c>
      <c xmlns="http://schemas.openxmlformats.org/spreadsheetml/2006/main" r="Y8">
        <f>IF($C8="",0,IF(COUNTIF($C$5:$C8,$C8)=1,1,0))</f>
        <v>0.0</v>
      </c>
      <c xmlns="http://schemas.openxmlformats.org/spreadsheetml/2006/main" r="Z8" t="str">
        <f>IF(Y8=1,SUM($Y$5:$Y8),"")</f>
        <v/>
      </c>
    </row>
    <row r="9" spans="1:26">
      <c r="A9" s="22"/>
      <c r="B9" s="42"/>
      <c r="C9" s="22"/>
      <c r="D9" s="22"/>
      <c r="E9" s="23"/>
      <c r="F9" s="28"/>
      <c r="G9" s="24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6"/>
      <c xmlns="http://schemas.openxmlformats.org/spreadsheetml/2006/main" r="T9" s="23" t="str">
        <f t="shared" si="0"/>
        <v/>
      </c>
      <c xmlns="http://schemas.openxmlformats.org/spreadsheetml/2006/main" r="U9" s="22" t="str">
        <f t="shared" si="1"/>
        <v/>
      </c>
      <c xmlns="http://schemas.openxmlformats.org/spreadsheetml/2006/main" r="V9" s="18" t="str">
        <f t="shared" si="2"/>
        <v/>
      </c>
      <c r="W9" s="22"/>
      <c r="X9" s="22"/>
      <c xmlns="http://schemas.openxmlformats.org/spreadsheetml/2006/main" r="Y9">
        <f>IF($C9="",0,IF(COUNTIF($C$5:$C9,$C9)=1,1,0))</f>
        <v>0.0</v>
      </c>
      <c xmlns="http://schemas.openxmlformats.org/spreadsheetml/2006/main" r="Z9" t="str">
        <f>IF(Y9=1,SUM($Y$5:$Y9),"")</f>
        <v/>
      </c>
    </row>
    <row r="10" spans="1:26">
      <c r="A10" s="22"/>
      <c r="B10" s="42"/>
      <c r="C10" s="22"/>
      <c r="D10" s="22"/>
      <c r="E10" s="23"/>
      <c r="F10" s="28"/>
      <c r="G10" s="24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  <c xmlns="http://schemas.openxmlformats.org/spreadsheetml/2006/main" r="T10" s="23" t="str">
        <f t="shared" si="0"/>
        <v/>
      </c>
      <c xmlns="http://schemas.openxmlformats.org/spreadsheetml/2006/main" r="U10" s="22" t="str">
        <f t="shared" si="1"/>
        <v/>
      </c>
      <c xmlns="http://schemas.openxmlformats.org/spreadsheetml/2006/main" r="V10" s="18" t="str">
        <f t="shared" si="2"/>
        <v/>
      </c>
      <c r="W10" s="22"/>
      <c r="X10" s="22"/>
      <c xmlns="http://schemas.openxmlformats.org/spreadsheetml/2006/main" r="Y10">
        <f>IF($C10="",0,IF(COUNTIF($C$5:$C10,$C10)=1,1,0))</f>
        <v>0.0</v>
      </c>
      <c xmlns="http://schemas.openxmlformats.org/spreadsheetml/2006/main" r="Z10" t="str">
        <f>IF(Y10=1,SUM($Y$5:$Y10),"")</f>
        <v/>
      </c>
    </row>
    <row r="11" spans="1:26">
      <c r="A11" s="22"/>
      <c r="B11" s="42"/>
      <c r="C11" s="22"/>
      <c r="D11" s="22"/>
      <c r="E11" s="23"/>
      <c r="F11" s="28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6"/>
      <c xmlns="http://schemas.openxmlformats.org/spreadsheetml/2006/main" r="T11" s="23" t="str">
        <f t="shared" si="0"/>
        <v/>
      </c>
      <c xmlns="http://schemas.openxmlformats.org/spreadsheetml/2006/main" r="U11" s="22" t="str">
        <f t="shared" si="1"/>
        <v/>
      </c>
      <c xmlns="http://schemas.openxmlformats.org/spreadsheetml/2006/main" r="V11" s="18" t="str">
        <f t="shared" si="2"/>
        <v/>
      </c>
      <c r="W11" s="22"/>
      <c r="X11" s="22"/>
      <c xmlns="http://schemas.openxmlformats.org/spreadsheetml/2006/main" r="Y11">
        <f>IF($C11="",0,IF(COUNTIF($C$5:$C11,$C11)=1,1,0))</f>
        <v>0.0</v>
      </c>
      <c xmlns="http://schemas.openxmlformats.org/spreadsheetml/2006/main" r="Z11" t="str">
        <f>IF(Y11=1,SUM($Y$5:$Y11),"")</f>
        <v/>
      </c>
    </row>
    <row r="12" spans="1:26">
      <c r="A12" s="22"/>
      <c r="B12" s="42"/>
      <c r="C12" s="22"/>
      <c r="D12" s="22"/>
      <c r="E12" s="23"/>
      <c r="F12" s="28"/>
      <c r="G12" s="24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6"/>
      <c xmlns="http://schemas.openxmlformats.org/spreadsheetml/2006/main" r="T12" s="23" t="str">
        <f t="shared" si="0"/>
        <v/>
      </c>
      <c xmlns="http://schemas.openxmlformats.org/spreadsheetml/2006/main" r="U12" s="22" t="str">
        <f t="shared" si="1"/>
        <v/>
      </c>
      <c xmlns="http://schemas.openxmlformats.org/spreadsheetml/2006/main" r="V12" s="18" t="str">
        <f t="shared" si="2"/>
        <v/>
      </c>
      <c r="W12" s="22"/>
      <c r="X12" s="22"/>
      <c xmlns="http://schemas.openxmlformats.org/spreadsheetml/2006/main" r="Y12">
        <f>IF($C12="",0,IF(COUNTIF($C$5:$C12,$C12)=1,1,0))</f>
        <v>0.0</v>
      </c>
      <c xmlns="http://schemas.openxmlformats.org/spreadsheetml/2006/main" r="Z12" t="str">
        <f>IF(Y12=1,SUM($Y$5:$Y12),"")</f>
        <v/>
      </c>
    </row>
    <row r="13" spans="1:26">
      <c r="A13" s="22"/>
      <c r="B13" s="42"/>
      <c r="C13" s="22"/>
      <c r="D13" s="22"/>
      <c r="E13" s="23"/>
      <c r="F13" s="28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6"/>
      <c xmlns="http://schemas.openxmlformats.org/spreadsheetml/2006/main" r="T13" s="23" t="str">
        <f t="shared" si="0"/>
        <v/>
      </c>
      <c xmlns="http://schemas.openxmlformats.org/spreadsheetml/2006/main" r="U13" s="22" t="str">
        <f t="shared" si="1"/>
        <v/>
      </c>
      <c xmlns="http://schemas.openxmlformats.org/spreadsheetml/2006/main" r="V13" s="18" t="str">
        <f t="shared" si="2"/>
        <v/>
      </c>
      <c r="W13" s="22"/>
      <c r="X13" s="22"/>
      <c xmlns="http://schemas.openxmlformats.org/spreadsheetml/2006/main" r="Y13">
        <f>IF($C13="",0,IF(COUNTIF($C$5:$C13,$C13)=1,1,0))</f>
        <v>0.0</v>
      </c>
      <c xmlns="http://schemas.openxmlformats.org/spreadsheetml/2006/main" r="Z13" t="str">
        <f>IF(Y13=1,SUM($Y$5:$Y13),"")</f>
        <v/>
      </c>
    </row>
    <row r="14" spans="1:26">
      <c r="A14" s="22"/>
      <c r="B14" s="42"/>
      <c r="C14" s="22"/>
      <c r="D14" s="22"/>
      <c r="E14" s="23"/>
      <c r="F14" s="28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/>
      <c xmlns="http://schemas.openxmlformats.org/spreadsheetml/2006/main" r="T14" s="23" t="str">
        <f t="shared" si="0"/>
        <v/>
      </c>
      <c xmlns="http://schemas.openxmlformats.org/spreadsheetml/2006/main" r="U14" s="22" t="str">
        <f t="shared" si="1"/>
        <v/>
      </c>
      <c xmlns="http://schemas.openxmlformats.org/spreadsheetml/2006/main" r="V14" s="18" t="str">
        <f t="shared" si="2"/>
        <v/>
      </c>
      <c r="W14" s="22"/>
      <c r="X14" s="22"/>
      <c xmlns="http://schemas.openxmlformats.org/spreadsheetml/2006/main" r="Y14">
        <f>IF($C14="",0,IF(COUNTIF($C$5:$C14,$C14)=1,1,0))</f>
        <v>0.0</v>
      </c>
      <c xmlns="http://schemas.openxmlformats.org/spreadsheetml/2006/main" r="Z14" t="str">
        <f>IF(Y14=1,SUM($Y$5:$Y14),"")</f>
        <v/>
      </c>
    </row>
    <row r="15" spans="1:26">
      <c r="A15" s="42"/>
      <c r="B15" s="22"/>
      <c r="C15" s="22"/>
      <c r="D15" s="22"/>
      <c r="E15" s="23"/>
      <c r="F15" s="28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6"/>
      <c xmlns="http://schemas.openxmlformats.org/spreadsheetml/2006/main" r="T15" s="23" t="str">
        <f t="shared" si="0"/>
        <v/>
      </c>
      <c xmlns="http://schemas.openxmlformats.org/spreadsheetml/2006/main" r="U15" s="22" t="str">
        <f t="shared" si="1"/>
        <v/>
      </c>
      <c xmlns="http://schemas.openxmlformats.org/spreadsheetml/2006/main" r="V15" s="18" t="str">
        <f t="shared" si="2"/>
        <v/>
      </c>
      <c r="W15" s="22"/>
      <c r="X15" s="22"/>
      <c xmlns="http://schemas.openxmlformats.org/spreadsheetml/2006/main" r="Y15">
        <f>IF($C15="",0,IF(COUNTIF($C$5:$C15,$C15)=1,1,0))</f>
        <v>0.0</v>
      </c>
      <c xmlns="http://schemas.openxmlformats.org/spreadsheetml/2006/main" r="Z15" t="str">
        <f>IF(Y15=1,SUM($Y$5:$Y15),"")</f>
        <v/>
      </c>
    </row>
    <row r="16" spans="1:26">
      <c r="A16" s="42"/>
      <c r="B16" s="22"/>
      <c r="C16" s="22"/>
      <c r="D16" s="22"/>
      <c r="E16" s="23"/>
      <c r="F16" s="28"/>
      <c r="G16" s="24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6"/>
      <c xmlns="http://schemas.openxmlformats.org/spreadsheetml/2006/main" r="T16" s="23" t="str">
        <f t="shared" si="0"/>
        <v/>
      </c>
      <c xmlns="http://schemas.openxmlformats.org/spreadsheetml/2006/main" r="U16" s="22" t="str">
        <f t="shared" si="1"/>
        <v/>
      </c>
      <c xmlns="http://schemas.openxmlformats.org/spreadsheetml/2006/main" r="V16" s="18" t="str">
        <f t="shared" si="2"/>
        <v/>
      </c>
      <c r="W16" s="22"/>
      <c r="X16" s="22"/>
      <c xmlns="http://schemas.openxmlformats.org/spreadsheetml/2006/main" r="Y16">
        <f>IF($C16="",0,IF(COUNTIF($C$5:$C16,$C16)=1,1,0))</f>
        <v>0.0</v>
      </c>
      <c xmlns="http://schemas.openxmlformats.org/spreadsheetml/2006/main" r="Z16" t="str">
        <f>IF(Y16=1,SUM($Y$5:$Y16),"")</f>
        <v/>
      </c>
    </row>
    <row r="17" spans="1:26">
      <c r="A17" s="42"/>
      <c r="B17" s="22"/>
      <c r="C17" s="22"/>
      <c r="D17" s="22"/>
      <c r="E17" s="23"/>
      <c r="F17" s="28"/>
      <c r="G17" s="24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6"/>
      <c xmlns="http://schemas.openxmlformats.org/spreadsheetml/2006/main" r="T17" s="23" t="str">
        <f t="shared" si="0"/>
        <v/>
      </c>
      <c xmlns="http://schemas.openxmlformats.org/spreadsheetml/2006/main" r="U17" s="22" t="str">
        <f t="shared" si="1"/>
        <v/>
      </c>
      <c xmlns="http://schemas.openxmlformats.org/spreadsheetml/2006/main" r="V17" s="18" t="str">
        <f t="shared" si="2"/>
        <v/>
      </c>
      <c r="W17" s="22"/>
      <c r="X17" s="22"/>
      <c xmlns="http://schemas.openxmlformats.org/spreadsheetml/2006/main" r="Y17">
        <f>IF($C17="",0,IF(COUNTIF($C$5:$C17,$C17)=1,1,0))</f>
        <v>0.0</v>
      </c>
      <c xmlns="http://schemas.openxmlformats.org/spreadsheetml/2006/main" r="Z17" t="str">
        <f>IF(Y17=1,SUM($Y$5:$Y17),"")</f>
        <v/>
      </c>
    </row>
    <row r="18" spans="1:26">
      <c r="A18" s="42"/>
      <c r="B18" s="22"/>
      <c r="C18" s="22"/>
      <c r="D18" s="22"/>
      <c r="E18" s="23"/>
      <c r="F18" s="28"/>
      <c r="G18" s="24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6"/>
      <c xmlns="http://schemas.openxmlformats.org/spreadsheetml/2006/main" r="T18" s="23" t="str">
        <f t="shared" si="0"/>
        <v/>
      </c>
      <c xmlns="http://schemas.openxmlformats.org/spreadsheetml/2006/main" r="U18" s="22" t="str">
        <f t="shared" si="1"/>
        <v/>
      </c>
      <c xmlns="http://schemas.openxmlformats.org/spreadsheetml/2006/main" r="V18" s="18" t="str">
        <f t="shared" si="2"/>
        <v/>
      </c>
      <c r="W18" s="22"/>
      <c r="X18" s="22"/>
      <c xmlns="http://schemas.openxmlformats.org/spreadsheetml/2006/main" r="Y18">
        <f>IF($C18="",0,IF(COUNTIF($C$5:$C18,$C18)=1,1,0))</f>
        <v>0.0</v>
      </c>
      <c xmlns="http://schemas.openxmlformats.org/spreadsheetml/2006/main" r="Z18" t="str">
        <f>IF(Y18=1,SUM($Y$5:$Y18),"")</f>
        <v/>
      </c>
    </row>
    <row r="19" spans="1:26">
      <c r="A19" s="42"/>
      <c r="B19" s="22"/>
      <c r="C19" s="22"/>
      <c r="D19" s="22"/>
      <c r="E19" s="23"/>
      <c r="F19" s="28"/>
      <c r="G19" s="24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6"/>
      <c xmlns="http://schemas.openxmlformats.org/spreadsheetml/2006/main" r="T19" s="23" t="str">
        <f t="shared" si="0"/>
        <v/>
      </c>
      <c xmlns="http://schemas.openxmlformats.org/spreadsheetml/2006/main" r="U19" s="22" t="str">
        <f t="shared" si="1"/>
        <v/>
      </c>
      <c xmlns="http://schemas.openxmlformats.org/spreadsheetml/2006/main" r="V19" s="18" t="str">
        <f t="shared" si="2"/>
        <v/>
      </c>
      <c r="W19" s="22"/>
      <c r="X19" s="22"/>
      <c xmlns="http://schemas.openxmlformats.org/spreadsheetml/2006/main" r="Y19">
        <f>IF($C19="",0,IF(COUNTIF($C$5:$C19,$C19)=1,1,0))</f>
        <v>0.0</v>
      </c>
      <c xmlns="http://schemas.openxmlformats.org/spreadsheetml/2006/main" r="Z19" t="str">
        <f>IF(Y19=1,SUM($Y$5:$Y19),"")</f>
        <v/>
      </c>
    </row>
    <row r="20" spans="1:26">
      <c r="A20" s="27"/>
      <c r="B20" s="22"/>
      <c r="C20" s="22"/>
      <c r="D20" s="22"/>
      <c r="E20" s="23"/>
      <c r="F20" s="28"/>
      <c r="G20" s="24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6"/>
      <c xmlns="http://schemas.openxmlformats.org/spreadsheetml/2006/main" r="T20" s="23" t="str">
        <f t="shared" si="0"/>
        <v/>
      </c>
      <c xmlns="http://schemas.openxmlformats.org/spreadsheetml/2006/main" r="U20" s="22" t="str">
        <f t="shared" si="1"/>
        <v/>
      </c>
      <c xmlns="http://schemas.openxmlformats.org/spreadsheetml/2006/main" r="V20" s="18" t="str">
        <f t="shared" si="2"/>
        <v/>
      </c>
      <c r="W20" s="22"/>
      <c r="X20" s="22"/>
      <c xmlns="http://schemas.openxmlformats.org/spreadsheetml/2006/main" r="Y20">
        <f>IF($C20="",0,IF(COUNTIF($C$5:$C20,$C20)=1,1,0))</f>
        <v>0.0</v>
      </c>
      <c xmlns="http://schemas.openxmlformats.org/spreadsheetml/2006/main" r="Z20" t="str">
        <f>IF(Y20=1,SUM($Y$5:$Y20),"")</f>
        <v/>
      </c>
    </row>
    <row r="21" spans="1:26">
      <c r="A21" s="27"/>
      <c r="B21" s="22"/>
      <c r="C21" s="22"/>
      <c r="D21" s="22"/>
      <c r="E21" s="23"/>
      <c r="F21" s="28"/>
      <c r="G21" s="24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6"/>
      <c xmlns="http://schemas.openxmlformats.org/spreadsheetml/2006/main" r="T21" s="23" t="str">
        <f t="shared" si="0"/>
        <v/>
      </c>
      <c xmlns="http://schemas.openxmlformats.org/spreadsheetml/2006/main" r="U21" s="22" t="str">
        <f t="shared" si="1"/>
        <v/>
      </c>
      <c xmlns="http://schemas.openxmlformats.org/spreadsheetml/2006/main" r="V21" s="18" t="str">
        <f t="shared" si="2"/>
        <v/>
      </c>
      <c r="W21" s="22"/>
      <c r="X21" s="22"/>
      <c xmlns="http://schemas.openxmlformats.org/spreadsheetml/2006/main" r="Y21">
        <f>IF($C21="",0,IF(COUNTIF($C$5:$C21,$C21)=1,1,0))</f>
        <v>0.0</v>
      </c>
      <c xmlns="http://schemas.openxmlformats.org/spreadsheetml/2006/main" r="Z21" t="str">
        <f>IF(Y21=1,SUM($Y$5:$Y21),"")</f>
        <v/>
      </c>
    </row>
    <row r="22" spans="1:26">
      <c r="A22" s="27"/>
      <c r="B22" s="22"/>
      <c r="C22" s="22"/>
      <c r="D22" s="22"/>
      <c r="E22" s="23"/>
      <c r="F22" s="28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6"/>
      <c xmlns="http://schemas.openxmlformats.org/spreadsheetml/2006/main" r="T22" s="23" t="str">
        <f t="shared" si="0"/>
        <v/>
      </c>
      <c xmlns="http://schemas.openxmlformats.org/spreadsheetml/2006/main" r="U22" s="22" t="str">
        <f t="shared" si="1"/>
        <v/>
      </c>
      <c xmlns="http://schemas.openxmlformats.org/spreadsheetml/2006/main" r="V22" s="18" t="str">
        <f t="shared" si="2"/>
        <v/>
      </c>
      <c r="W22" s="22"/>
      <c r="X22" s="22"/>
      <c xmlns="http://schemas.openxmlformats.org/spreadsheetml/2006/main" r="Y22">
        <f>IF($C22="",0,IF(COUNTIF($C$5:$C22,$C22)=1,1,0))</f>
        <v>0.0</v>
      </c>
      <c xmlns="http://schemas.openxmlformats.org/spreadsheetml/2006/main" r="Z22" t="str">
        <f>IF(Y22=1,SUM($Y$5:$Y22),"")</f>
        <v/>
      </c>
    </row>
    <row r="23" spans="1:26">
      <c r="A23" s="27"/>
      <c r="B23" s="22"/>
      <c r="C23" s="22"/>
      <c r="D23" s="22"/>
      <c r="E23" s="23"/>
      <c r="F23" s="28"/>
      <c r="G23" s="24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6"/>
      <c xmlns="http://schemas.openxmlformats.org/spreadsheetml/2006/main" r="T23" s="23" t="str">
        <f t="shared" si="0"/>
        <v/>
      </c>
      <c xmlns="http://schemas.openxmlformats.org/spreadsheetml/2006/main" r="U23" s="22" t="str">
        <f t="shared" si="1"/>
        <v/>
      </c>
      <c xmlns="http://schemas.openxmlformats.org/spreadsheetml/2006/main" r="V23" s="18" t="str">
        <f t="shared" si="2"/>
        <v/>
      </c>
      <c r="W23" s="22"/>
      <c r="X23" s="22"/>
      <c xmlns="http://schemas.openxmlformats.org/spreadsheetml/2006/main" r="Y23">
        <f>IF($C23="",0,IF(COUNTIF($C$5:$C23,$C23)=1,1,0))</f>
        <v>0.0</v>
      </c>
      <c xmlns="http://schemas.openxmlformats.org/spreadsheetml/2006/main" r="Z23" t="str">
        <f>IF(Y23=1,SUM($Y$5:$Y23),"")</f>
        <v/>
      </c>
    </row>
    <row r="24" spans="1:26">
      <c r="A24" s="27"/>
      <c r="B24" s="22"/>
      <c r="C24" s="22"/>
      <c r="D24" s="22"/>
      <c r="E24" s="23"/>
      <c r="F24" s="28"/>
      <c r="G24" s="24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6"/>
      <c xmlns="http://schemas.openxmlformats.org/spreadsheetml/2006/main" r="T24" s="23" t="str">
        <f t="shared" si="0"/>
        <v/>
      </c>
      <c xmlns="http://schemas.openxmlformats.org/spreadsheetml/2006/main" r="U24" s="22" t="str">
        <f t="shared" si="1"/>
        <v/>
      </c>
      <c xmlns="http://schemas.openxmlformats.org/spreadsheetml/2006/main" r="V24" s="18" t="str">
        <f t="shared" si="2"/>
        <v/>
      </c>
      <c r="W24" s="22"/>
      <c r="X24" s="22"/>
      <c xmlns="http://schemas.openxmlformats.org/spreadsheetml/2006/main" r="Y24">
        <f>IF($C24="",0,IF(COUNTIF($C$5:$C24,$C24)=1,1,0))</f>
        <v>0.0</v>
      </c>
      <c xmlns="http://schemas.openxmlformats.org/spreadsheetml/2006/main" r="Z24" t="str">
        <f>IF(Y24=1,SUM($Y$5:$Y24),"")</f>
        <v/>
      </c>
    </row>
    <row r="25" spans="1:26">
      <c r="A25" s="27"/>
      <c r="B25" s="22"/>
      <c r="C25" s="22"/>
      <c r="D25" s="22"/>
      <c r="E25" s="23"/>
      <c r="F25" s="28"/>
      <c r="G25" s="24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6"/>
      <c xmlns="http://schemas.openxmlformats.org/spreadsheetml/2006/main" r="T25" s="23" t="str">
        <f t="shared" si="0"/>
        <v/>
      </c>
      <c xmlns="http://schemas.openxmlformats.org/spreadsheetml/2006/main" r="U25" s="22" t="str">
        <f t="shared" si="1"/>
        <v/>
      </c>
      <c xmlns="http://schemas.openxmlformats.org/spreadsheetml/2006/main" r="V25" s="18" t="str">
        <f t="shared" si="2"/>
        <v/>
      </c>
      <c r="W25" s="22"/>
      <c r="X25" s="22"/>
      <c xmlns="http://schemas.openxmlformats.org/spreadsheetml/2006/main" r="Y25">
        <f>IF($C25="",0,IF(COUNTIF($C$5:$C25,$C25)=1,1,0))</f>
        <v>0.0</v>
      </c>
      <c xmlns="http://schemas.openxmlformats.org/spreadsheetml/2006/main" r="Z25" t="str">
        <f>IF(Y25=1,SUM($Y$5:$Y25),"")</f>
        <v/>
      </c>
    </row>
    <row r="26" spans="1:26">
      <c r="A26" s="27"/>
      <c r="B26" s="22"/>
      <c r="C26" s="22"/>
      <c r="D26" s="22"/>
      <c r="E26" s="23"/>
      <c r="F26" s="28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6"/>
      <c xmlns="http://schemas.openxmlformats.org/spreadsheetml/2006/main" r="T26" s="23" t="str">
        <f t="shared" si="0"/>
        <v/>
      </c>
      <c xmlns="http://schemas.openxmlformats.org/spreadsheetml/2006/main" r="U26" s="22" t="str">
        <f t="shared" si="1"/>
        <v/>
      </c>
      <c xmlns="http://schemas.openxmlformats.org/spreadsheetml/2006/main" r="V26" s="18" t="str">
        <f t="shared" si="2"/>
        <v/>
      </c>
      <c r="W26" s="22"/>
      <c r="X26" s="22"/>
      <c xmlns="http://schemas.openxmlformats.org/spreadsheetml/2006/main" r="Y26">
        <f>IF($C26="",0,IF(COUNTIF($C$5:$C26,$C26)=1,1,0))</f>
        <v>0.0</v>
      </c>
      <c xmlns="http://schemas.openxmlformats.org/spreadsheetml/2006/main" r="Z26" t="str">
        <f>IF(Y26=1,SUM($Y$5:$Y26),"")</f>
        <v/>
      </c>
    </row>
    <row r="27" spans="1:26">
      <c r="A27" s="27"/>
      <c r="B27" s="22"/>
      <c r="C27" s="22"/>
      <c r="D27" s="22"/>
      <c r="E27" s="23"/>
      <c r="F27" s="28"/>
      <c r="G27" s="24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6"/>
      <c xmlns="http://schemas.openxmlformats.org/spreadsheetml/2006/main" r="T27" s="23" t="str">
        <f t="shared" si="0"/>
        <v/>
      </c>
      <c xmlns="http://schemas.openxmlformats.org/spreadsheetml/2006/main" r="U27" s="22" t="str">
        <f t="shared" si="1"/>
        <v/>
      </c>
      <c xmlns="http://schemas.openxmlformats.org/spreadsheetml/2006/main" r="V27" s="18" t="str">
        <f t="shared" si="2"/>
        <v/>
      </c>
      <c r="W27" s="22"/>
      <c r="X27" s="22"/>
      <c xmlns="http://schemas.openxmlformats.org/spreadsheetml/2006/main" r="Y27">
        <f>IF($C27="",0,IF(COUNTIF($C$5:$C27,$C27)=1,1,0))</f>
        <v>0.0</v>
      </c>
      <c xmlns="http://schemas.openxmlformats.org/spreadsheetml/2006/main" r="Z27" t="str">
        <f>IF(Y27=1,SUM($Y$5:$Y27),"")</f>
        <v/>
      </c>
    </row>
    <row r="28" spans="1:26">
      <c r="A28" s="27"/>
      <c r="B28" s="22"/>
      <c r="C28" s="22"/>
      <c r="D28" s="22"/>
      <c r="E28" s="23"/>
      <c r="F28" s="28"/>
      <c r="G28" s="24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6"/>
      <c xmlns="http://schemas.openxmlformats.org/spreadsheetml/2006/main" r="T28" s="23" t="str">
        <f t="shared" si="0"/>
        <v/>
      </c>
      <c xmlns="http://schemas.openxmlformats.org/spreadsheetml/2006/main" r="U28" s="22" t="str">
        <f t="shared" si="1"/>
        <v/>
      </c>
      <c xmlns="http://schemas.openxmlformats.org/spreadsheetml/2006/main" r="V28" s="18" t="str">
        <f t="shared" si="2"/>
        <v/>
      </c>
      <c r="W28" s="22"/>
      <c r="X28" s="22"/>
      <c xmlns="http://schemas.openxmlformats.org/spreadsheetml/2006/main" r="Y28">
        <f>IF($C28="",0,IF(COUNTIF($C$5:$C28,$C28)=1,1,0))</f>
        <v>0.0</v>
      </c>
      <c xmlns="http://schemas.openxmlformats.org/spreadsheetml/2006/main" r="Z28" t="str">
        <f>IF(Y28=1,SUM($Y$5:$Y28),"")</f>
        <v/>
      </c>
    </row>
    <row r="29" spans="1:26">
      <c r="A29" s="27"/>
      <c r="B29" s="22"/>
      <c r="C29" s="22"/>
      <c r="D29" s="22"/>
      <c r="E29" s="23"/>
      <c r="F29" s="28"/>
      <c r="G29" s="24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6"/>
      <c xmlns="http://schemas.openxmlformats.org/spreadsheetml/2006/main" r="T29" s="23" t="str">
        <f t="shared" si="0"/>
        <v/>
      </c>
      <c xmlns="http://schemas.openxmlformats.org/spreadsheetml/2006/main" r="U29" s="22" t="str">
        <f t="shared" si="1"/>
        <v/>
      </c>
      <c xmlns="http://schemas.openxmlformats.org/spreadsheetml/2006/main" r="V29" s="18" t="str">
        <f t="shared" si="2"/>
        <v/>
      </c>
      <c r="W29" s="22"/>
      <c r="X29" s="22"/>
      <c xmlns="http://schemas.openxmlformats.org/spreadsheetml/2006/main" r="Y29">
        <f>IF($C29="",0,IF(COUNTIF($C$5:$C29,$C29)=1,1,0))</f>
        <v>0.0</v>
      </c>
      <c xmlns="http://schemas.openxmlformats.org/spreadsheetml/2006/main" r="Z29" t="str">
        <f>IF(Y29=1,SUM($Y$5:$Y29),"")</f>
        <v/>
      </c>
    </row>
    <row r="30" spans="1:26">
      <c r="A30" s="27"/>
      <c r="B30" s="22"/>
      <c r="C30" s="22"/>
      <c r="D30" s="22"/>
      <c r="E30" s="23"/>
      <c r="F30" s="28"/>
      <c r="G30" s="24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6"/>
      <c xmlns="http://schemas.openxmlformats.org/spreadsheetml/2006/main" r="T30" s="23" t="str">
        <f t="shared" si="0"/>
        <v/>
      </c>
      <c xmlns="http://schemas.openxmlformats.org/spreadsheetml/2006/main" r="U30" s="22" t="str">
        <f t="shared" si="1"/>
        <v/>
      </c>
      <c xmlns="http://schemas.openxmlformats.org/spreadsheetml/2006/main" r="V30" s="18" t="str">
        <f t="shared" si="2"/>
        <v/>
      </c>
      <c r="W30" s="22"/>
      <c r="X30" s="22"/>
      <c xmlns="http://schemas.openxmlformats.org/spreadsheetml/2006/main" r="Y30">
        <f>IF($C30="",0,IF(COUNTIF($C$5:$C30,$C30)=1,1,0))</f>
        <v>0.0</v>
      </c>
      <c xmlns="http://schemas.openxmlformats.org/spreadsheetml/2006/main" r="Z30" t="str">
        <f>IF(Y30=1,SUM($Y$5:$Y30),"")</f>
        <v/>
      </c>
    </row>
    <row r="31" spans="1:26">
      <c r="A31" s="27"/>
      <c r="B31" s="22"/>
      <c r="C31" s="22"/>
      <c r="D31" s="22"/>
      <c r="E31" s="23"/>
      <c r="F31" s="28"/>
      <c r="G31" s="24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6"/>
      <c xmlns="http://schemas.openxmlformats.org/spreadsheetml/2006/main" r="T31" s="23" t="str">
        <f t="shared" si="0"/>
        <v/>
      </c>
      <c xmlns="http://schemas.openxmlformats.org/spreadsheetml/2006/main" r="U31" s="22" t="str">
        <f t="shared" si="1"/>
        <v/>
      </c>
      <c xmlns="http://schemas.openxmlformats.org/spreadsheetml/2006/main" r="V31" s="18" t="str">
        <f t="shared" si="2"/>
        <v/>
      </c>
      <c r="W31" s="22"/>
      <c r="X31" s="22"/>
      <c xmlns="http://schemas.openxmlformats.org/spreadsheetml/2006/main" r="Y31">
        <f>IF($C31="",0,IF(COUNTIF($C$5:$C31,$C31)=1,1,0))</f>
        <v>0.0</v>
      </c>
      <c xmlns="http://schemas.openxmlformats.org/spreadsheetml/2006/main" r="Z31" t="str">
        <f>IF(Y31=1,SUM($Y$5:$Y31),"")</f>
        <v/>
      </c>
    </row>
    <row r="32" spans="1:26">
      <c r="A32" s="27"/>
      <c r="B32" s="22"/>
      <c r="C32" s="22"/>
      <c r="D32" s="22"/>
      <c r="E32" s="23"/>
      <c r="F32" s="28"/>
      <c r="G32" s="24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6"/>
      <c xmlns="http://schemas.openxmlformats.org/spreadsheetml/2006/main" r="T32" s="23" t="str">
        <f t="shared" si="0"/>
        <v/>
      </c>
      <c xmlns="http://schemas.openxmlformats.org/spreadsheetml/2006/main" r="U32" s="22" t="str">
        <f t="shared" si="1"/>
        <v/>
      </c>
      <c xmlns="http://schemas.openxmlformats.org/spreadsheetml/2006/main" r="V32" s="18" t="str">
        <f t="shared" si="2"/>
        <v/>
      </c>
      <c r="W32" s="22"/>
      <c r="X32" s="22"/>
      <c xmlns="http://schemas.openxmlformats.org/spreadsheetml/2006/main" r="Y32">
        <f>IF($C32="",0,IF(COUNTIF($C$5:$C32,$C32)=1,1,0))</f>
        <v>0.0</v>
      </c>
      <c xmlns="http://schemas.openxmlformats.org/spreadsheetml/2006/main" r="Z32" t="str">
        <f>IF(Y32=1,SUM($Y$5:$Y32),"")</f>
        <v/>
      </c>
    </row>
    <row r="33" spans="1:26">
      <c r="A33" s="27"/>
      <c r="B33" s="22"/>
      <c r="C33" s="22"/>
      <c r="D33" s="22"/>
      <c r="E33" s="23"/>
      <c r="F33" s="28"/>
      <c r="G33" s="24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6"/>
      <c xmlns="http://schemas.openxmlformats.org/spreadsheetml/2006/main" r="T33" s="23" t="str">
        <f t="shared" si="0"/>
        <v/>
      </c>
      <c xmlns="http://schemas.openxmlformats.org/spreadsheetml/2006/main" r="U33" s="22" t="str">
        <f t="shared" si="1"/>
        <v/>
      </c>
      <c xmlns="http://schemas.openxmlformats.org/spreadsheetml/2006/main" r="V33" s="18" t="str">
        <f t="shared" si="2"/>
        <v/>
      </c>
      <c r="W33" s="22"/>
      <c r="X33" s="22"/>
      <c xmlns="http://schemas.openxmlformats.org/spreadsheetml/2006/main" r="Y33">
        <f>IF($C33="",0,IF(COUNTIF($C$5:$C33,$C33)=1,1,0))</f>
        <v>0.0</v>
      </c>
      <c xmlns="http://schemas.openxmlformats.org/spreadsheetml/2006/main" r="Z33" t="str">
        <f>IF(Y33=1,SUM($Y$5:$Y33),"")</f>
        <v/>
      </c>
    </row>
    <row r="34" spans="1:26">
      <c r="A34" s="27"/>
      <c r="B34" s="22"/>
      <c r="C34" s="22"/>
      <c r="D34" s="22"/>
      <c r="E34" s="23"/>
      <c r="F34" s="28"/>
      <c r="G34" s="24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6"/>
      <c xmlns="http://schemas.openxmlformats.org/spreadsheetml/2006/main" r="T34" s="23" t="str">
        <f t="shared" si="0"/>
        <v/>
      </c>
      <c xmlns="http://schemas.openxmlformats.org/spreadsheetml/2006/main" r="U34" s="22" t="str">
        <f t="shared" si="1"/>
        <v/>
      </c>
      <c xmlns="http://schemas.openxmlformats.org/spreadsheetml/2006/main" r="V34" s="18" t="str">
        <f t="shared" si="2"/>
        <v/>
      </c>
      <c r="W34" s="22"/>
      <c r="X34" s="22"/>
      <c xmlns="http://schemas.openxmlformats.org/spreadsheetml/2006/main" r="Y34">
        <f>IF($C34="",0,IF(COUNTIF($C$5:$C34,$C34)=1,1,0))</f>
        <v>0.0</v>
      </c>
      <c xmlns="http://schemas.openxmlformats.org/spreadsheetml/2006/main" r="Z34" t="str">
        <f>IF(Y34=1,SUM($Y$5:$Y34),"")</f>
        <v/>
      </c>
    </row>
    <row r="35" spans="1:26">
      <c r="A35" s="27"/>
      <c r="B35" s="22"/>
      <c r="C35" s="22"/>
      <c r="D35" s="22"/>
      <c r="E35" s="23"/>
      <c r="F35" s="28"/>
      <c r="G35" s="24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6"/>
      <c xmlns="http://schemas.openxmlformats.org/spreadsheetml/2006/main" r="T35" s="23" t="str">
        <f t="shared" si="0"/>
        <v/>
      </c>
      <c xmlns="http://schemas.openxmlformats.org/spreadsheetml/2006/main" r="U35" s="22" t="str">
        <f t="shared" si="1"/>
        <v/>
      </c>
      <c xmlns="http://schemas.openxmlformats.org/spreadsheetml/2006/main" r="V35" s="18" t="str">
        <f t="shared" si="2"/>
        <v/>
      </c>
      <c r="W35" s="22"/>
      <c r="X35" s="22"/>
      <c xmlns="http://schemas.openxmlformats.org/spreadsheetml/2006/main" r="Y35">
        <f>IF($C35="",0,IF(COUNTIF($C$5:$C35,$C35)=1,1,0))</f>
        <v>0.0</v>
      </c>
      <c xmlns="http://schemas.openxmlformats.org/spreadsheetml/2006/main" r="Z35" t="str">
        <f>IF(Y35=1,SUM($Y$5:$Y35),"")</f>
        <v/>
      </c>
    </row>
    <row r="36" spans="1:26">
      <c r="A36" s="27"/>
      <c r="B36" s="22"/>
      <c r="C36" s="22"/>
      <c r="D36" s="22"/>
      <c r="E36" s="23"/>
      <c r="F36" s="28"/>
      <c r="G36" s="24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6"/>
      <c xmlns="http://schemas.openxmlformats.org/spreadsheetml/2006/main" r="T36" s="23" t="str">
        <f t="shared" si="0"/>
        <v/>
      </c>
      <c xmlns="http://schemas.openxmlformats.org/spreadsheetml/2006/main" r="U36" s="22" t="str">
        <f t="shared" si="1"/>
        <v/>
      </c>
      <c xmlns="http://schemas.openxmlformats.org/spreadsheetml/2006/main" r="V36" s="18" t="str">
        <f t="shared" si="2"/>
        <v/>
      </c>
      <c r="W36" s="22"/>
      <c r="X36" s="22"/>
      <c xmlns="http://schemas.openxmlformats.org/spreadsheetml/2006/main" r="Y36">
        <f>IF($C36="",0,IF(COUNTIF($C$5:$C36,$C36)=1,1,0))</f>
        <v>0.0</v>
      </c>
      <c xmlns="http://schemas.openxmlformats.org/spreadsheetml/2006/main" r="Z36" t="str">
        <f>IF(Y36=1,SUM($Y$5:$Y36),"")</f>
        <v/>
      </c>
    </row>
    <row r="37" spans="1:26">
      <c r="A37" s="27"/>
      <c r="B37" s="22"/>
      <c r="C37" s="22"/>
      <c r="D37" s="22"/>
      <c r="E37" s="23"/>
      <c r="F37" s="28"/>
      <c r="G37" s="24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6"/>
      <c xmlns="http://schemas.openxmlformats.org/spreadsheetml/2006/main" r="T37" s="23" t="str">
        <f t="shared" si="0"/>
        <v/>
      </c>
      <c xmlns="http://schemas.openxmlformats.org/spreadsheetml/2006/main" r="U37" s="22" t="str">
        <f t="shared" si="1"/>
        <v/>
      </c>
      <c xmlns="http://schemas.openxmlformats.org/spreadsheetml/2006/main" r="V37" s="18" t="str">
        <f t="shared" si="2"/>
        <v/>
      </c>
      <c r="W37" s="22"/>
      <c r="X37" s="22"/>
      <c xmlns="http://schemas.openxmlformats.org/spreadsheetml/2006/main" r="Y37">
        <f>IF($C37="",0,IF(COUNTIF($C$5:$C37,$C37)=1,1,0))</f>
        <v>0.0</v>
      </c>
      <c xmlns="http://schemas.openxmlformats.org/spreadsheetml/2006/main" r="Z37" t="str">
        <f>IF(Y37=1,SUM($Y$5:$Y37),"")</f>
        <v/>
      </c>
    </row>
    <row r="38" spans="1:26">
      <c r="A38" s="27"/>
      <c r="B38" s="22"/>
      <c r="C38" s="22"/>
      <c r="D38" s="22"/>
      <c r="E38" s="23"/>
      <c r="F38" s="28"/>
      <c r="G38" s="24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6"/>
      <c xmlns="http://schemas.openxmlformats.org/spreadsheetml/2006/main" r="T38" s="23" t="str">
        <f t="shared" si="0"/>
        <v/>
      </c>
      <c xmlns="http://schemas.openxmlformats.org/spreadsheetml/2006/main" r="U38" s="22" t="str">
        <f t="shared" si="1"/>
        <v/>
      </c>
      <c xmlns="http://schemas.openxmlformats.org/spreadsheetml/2006/main" r="V38" s="18" t="str">
        <f t="shared" si="2"/>
        <v/>
      </c>
      <c r="W38" s="22"/>
      <c r="X38" s="22"/>
      <c xmlns="http://schemas.openxmlformats.org/spreadsheetml/2006/main" r="Y38">
        <f>IF($C38="",0,IF(COUNTIF($C$5:$C38,$C38)=1,1,0))</f>
        <v>0.0</v>
      </c>
      <c xmlns="http://schemas.openxmlformats.org/spreadsheetml/2006/main" r="Z38" t="str">
        <f>IF(Y38=1,SUM($Y$5:$Y38),"")</f>
        <v/>
      </c>
    </row>
    <row r="39" spans="1:26">
      <c r="A39" s="27"/>
      <c r="B39" s="22"/>
      <c r="C39" s="22"/>
      <c r="D39" s="22"/>
      <c r="E39" s="23"/>
      <c r="F39" s="28"/>
      <c r="G39" s="24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6"/>
      <c xmlns="http://schemas.openxmlformats.org/spreadsheetml/2006/main" r="T39" s="23" t="str">
        <f t="shared" si="0"/>
        <v/>
      </c>
      <c xmlns="http://schemas.openxmlformats.org/spreadsheetml/2006/main" r="U39" s="22" t="str">
        <f t="shared" si="1"/>
        <v/>
      </c>
      <c xmlns="http://schemas.openxmlformats.org/spreadsheetml/2006/main" r="V39" s="18" t="str">
        <f t="shared" si="2"/>
        <v/>
      </c>
      <c r="W39" s="22"/>
      <c r="X39" s="22"/>
      <c xmlns="http://schemas.openxmlformats.org/spreadsheetml/2006/main" r="Y39">
        <f>IF($C39="",0,IF(COUNTIF($C$5:$C39,$C39)=1,1,0))</f>
        <v>0.0</v>
      </c>
      <c xmlns="http://schemas.openxmlformats.org/spreadsheetml/2006/main" r="Z39" t="str">
        <f>IF(Y39=1,SUM($Y$5:$Y39),"")</f>
        <v/>
      </c>
    </row>
    <row r="40" spans="1:26">
      <c r="A40" s="27"/>
      <c r="B40" s="22"/>
      <c r="C40" s="22"/>
      <c r="D40" s="22"/>
      <c r="E40" s="23"/>
      <c r="F40" s="28"/>
      <c r="G40" s="24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6"/>
      <c xmlns="http://schemas.openxmlformats.org/spreadsheetml/2006/main" r="T40" s="23" t="str">
        <f t="shared" si="0"/>
        <v/>
      </c>
      <c xmlns="http://schemas.openxmlformats.org/spreadsheetml/2006/main" r="U40" s="22" t="str">
        <f t="shared" si="1"/>
        <v/>
      </c>
      <c xmlns="http://schemas.openxmlformats.org/spreadsheetml/2006/main" r="V40" s="18" t="str">
        <f t="shared" si="2"/>
        <v/>
      </c>
      <c r="W40" s="22"/>
      <c r="X40" s="22"/>
      <c xmlns="http://schemas.openxmlformats.org/spreadsheetml/2006/main" r="Y40">
        <f>IF($C40="",0,IF(COUNTIF($C$5:$C40,$C40)=1,1,0))</f>
        <v>0.0</v>
      </c>
      <c xmlns="http://schemas.openxmlformats.org/spreadsheetml/2006/main" r="Z40" t="str">
        <f>IF(Y40=1,SUM($Y$5:$Y40),"")</f>
        <v/>
      </c>
    </row>
    <row r="41" spans="1:26">
      <c r="A41" s="27"/>
      <c r="B41" s="22"/>
      <c r="C41" s="22"/>
      <c r="D41" s="22"/>
      <c r="E41" s="23"/>
      <c r="F41" s="28"/>
      <c r="G41" s="24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6"/>
      <c xmlns="http://schemas.openxmlformats.org/spreadsheetml/2006/main" r="T41" s="23" t="str">
        <f t="shared" si="0"/>
        <v/>
      </c>
      <c xmlns="http://schemas.openxmlformats.org/spreadsheetml/2006/main" r="U41" s="22" t="str">
        <f t="shared" si="1"/>
        <v/>
      </c>
      <c xmlns="http://schemas.openxmlformats.org/spreadsheetml/2006/main" r="V41" s="18" t="str">
        <f t="shared" si="2"/>
        <v/>
      </c>
      <c r="W41" s="22"/>
      <c r="X41" s="22"/>
      <c xmlns="http://schemas.openxmlformats.org/spreadsheetml/2006/main" r="Y41">
        <f>IF($C41="",0,IF(COUNTIF($C$5:$C41,$C41)=1,1,0))</f>
        <v>0.0</v>
      </c>
      <c xmlns="http://schemas.openxmlformats.org/spreadsheetml/2006/main" r="Z41" t="str">
        <f>IF(Y41=1,SUM($Y$5:$Y41),"")</f>
        <v/>
      </c>
    </row>
    <row r="42" spans="1:26">
      <c r="A42" s="27"/>
      <c r="B42" s="22"/>
      <c r="C42" s="22"/>
      <c r="D42" s="22"/>
      <c r="E42" s="23"/>
      <c r="F42" s="28"/>
      <c r="G42" s="24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6"/>
      <c xmlns="http://schemas.openxmlformats.org/spreadsheetml/2006/main" r="T42" s="23" t="str">
        <f t="shared" si="0"/>
        <v/>
      </c>
      <c xmlns="http://schemas.openxmlformats.org/spreadsheetml/2006/main" r="U42" s="22" t="str">
        <f t="shared" si="1"/>
        <v/>
      </c>
      <c xmlns="http://schemas.openxmlformats.org/spreadsheetml/2006/main" r="V42" s="18" t="str">
        <f t="shared" si="2"/>
        <v/>
      </c>
      <c r="W42" s="22"/>
      <c r="X42" s="22"/>
      <c xmlns="http://schemas.openxmlformats.org/spreadsheetml/2006/main" r="Y42">
        <f>IF($C42="",0,IF(COUNTIF($C$5:$C42,$C42)=1,1,0))</f>
        <v>0.0</v>
      </c>
      <c xmlns="http://schemas.openxmlformats.org/spreadsheetml/2006/main" r="Z42" t="str">
        <f>IF(Y42=1,SUM($Y$5:$Y42),"")</f>
        <v/>
      </c>
    </row>
    <row r="43" spans="1:26">
      <c r="A43" s="27"/>
      <c r="B43" s="22"/>
      <c r="C43" s="22"/>
      <c r="D43" s="22"/>
      <c r="E43" s="23"/>
      <c r="F43" s="28"/>
      <c r="G43" s="2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6"/>
      <c xmlns="http://schemas.openxmlformats.org/spreadsheetml/2006/main" r="T43" s="23" t="str">
        <f t="shared" si="0"/>
        <v/>
      </c>
      <c xmlns="http://schemas.openxmlformats.org/spreadsheetml/2006/main" r="U43" s="22" t="str">
        <f t="shared" si="1"/>
        <v/>
      </c>
      <c xmlns="http://schemas.openxmlformats.org/spreadsheetml/2006/main" r="V43" s="18" t="str">
        <f t="shared" si="2"/>
        <v/>
      </c>
      <c r="W43" s="22"/>
      <c r="X43" s="22"/>
      <c xmlns="http://schemas.openxmlformats.org/spreadsheetml/2006/main" r="Y43">
        <f>IF($C43="",0,IF(COUNTIF($C$5:$C43,$C43)=1,1,0))</f>
        <v>0.0</v>
      </c>
      <c xmlns="http://schemas.openxmlformats.org/spreadsheetml/2006/main" r="Z43" t="str">
        <f>IF(Y43=1,SUM($Y$5:$Y43),"")</f>
        <v/>
      </c>
    </row>
    <row r="44" spans="1:26">
      <c r="A44" s="27"/>
      <c r="B44" s="22"/>
      <c r="C44" s="22"/>
      <c r="D44" s="22"/>
      <c r="E44" s="23"/>
      <c r="F44" s="28"/>
      <c r="G44" s="24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6"/>
      <c xmlns="http://schemas.openxmlformats.org/spreadsheetml/2006/main" r="T44" s="23" t="str">
        <f t="shared" si="0"/>
        <v/>
      </c>
      <c xmlns="http://schemas.openxmlformats.org/spreadsheetml/2006/main" r="U44" s="22" t="str">
        <f t="shared" si="1"/>
        <v/>
      </c>
      <c xmlns="http://schemas.openxmlformats.org/spreadsheetml/2006/main" r="V44" s="18" t="str">
        <f t="shared" si="2"/>
        <v/>
      </c>
      <c r="W44" s="22"/>
      <c r="X44" s="22"/>
      <c xmlns="http://schemas.openxmlformats.org/spreadsheetml/2006/main" r="Y44">
        <f>IF($C44="",0,IF(COUNTIF($C$5:$C44,$C44)=1,1,0))</f>
        <v>0.0</v>
      </c>
      <c xmlns="http://schemas.openxmlformats.org/spreadsheetml/2006/main" r="Z44" t="str">
        <f>IF(Y44=1,SUM($Y$5:$Y44),"")</f>
        <v/>
      </c>
    </row>
    <row r="45" spans="1:26">
      <c r="A45" s="27"/>
      <c r="B45" s="22"/>
      <c r="C45" s="22"/>
      <c r="D45" s="22"/>
      <c r="E45" s="23"/>
      <c r="F45" s="28"/>
      <c r="G45" s="24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6"/>
      <c xmlns="http://schemas.openxmlformats.org/spreadsheetml/2006/main" r="T45" s="23" t="str">
        <f t="shared" si="0"/>
        <v/>
      </c>
      <c xmlns="http://schemas.openxmlformats.org/spreadsheetml/2006/main" r="U45" s="22" t="str">
        <f t="shared" si="1"/>
        <v/>
      </c>
      <c xmlns="http://schemas.openxmlformats.org/spreadsheetml/2006/main" r="V45" s="18" t="str">
        <f t="shared" si="2"/>
        <v/>
      </c>
      <c r="W45" s="22"/>
      <c r="X45" s="22"/>
      <c xmlns="http://schemas.openxmlformats.org/spreadsheetml/2006/main" r="Y45">
        <f>IF($C45="",0,IF(COUNTIF($C$5:$C45,$C45)=1,1,0))</f>
        <v>0.0</v>
      </c>
      <c xmlns="http://schemas.openxmlformats.org/spreadsheetml/2006/main" r="Z45" t="str">
        <f>IF(Y45=1,SUM($Y$5:$Y45),"")</f>
        <v/>
      </c>
    </row>
    <row r="46" spans="1:26">
      <c r="A46" s="27"/>
      <c r="B46" s="22"/>
      <c r="C46" s="22"/>
      <c r="D46" s="22"/>
      <c r="E46" s="23"/>
      <c r="F46" s="28"/>
      <c r="G46" s="24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6"/>
      <c xmlns="http://schemas.openxmlformats.org/spreadsheetml/2006/main" r="T46" s="23" t="str">
        <f t="shared" si="0"/>
        <v/>
      </c>
      <c xmlns="http://schemas.openxmlformats.org/spreadsheetml/2006/main" r="U46" s="22" t="str">
        <f t="shared" si="1"/>
        <v/>
      </c>
      <c xmlns="http://schemas.openxmlformats.org/spreadsheetml/2006/main" r="V46" s="18" t="str">
        <f t="shared" si="2"/>
        <v/>
      </c>
      <c r="W46" s="22"/>
      <c r="X46" s="22"/>
      <c xmlns="http://schemas.openxmlformats.org/spreadsheetml/2006/main" r="Y46">
        <f>IF($C46="",0,IF(COUNTIF($C$5:$C46,$C46)=1,1,0))</f>
        <v>0.0</v>
      </c>
      <c xmlns="http://schemas.openxmlformats.org/spreadsheetml/2006/main" r="Z46" t="str">
        <f>IF(Y46=1,SUM($Y$5:$Y46),"")</f>
        <v/>
      </c>
    </row>
    <row r="47" spans="1:26">
      <c r="A47" s="27"/>
      <c r="B47" s="22"/>
      <c r="C47" s="22"/>
      <c r="D47" s="22"/>
      <c r="E47" s="23"/>
      <c r="F47" s="28"/>
      <c r="G47" s="24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6"/>
      <c xmlns="http://schemas.openxmlformats.org/spreadsheetml/2006/main" r="T47" s="23" t="str">
        <f t="shared" si="0"/>
        <v/>
      </c>
      <c xmlns="http://schemas.openxmlformats.org/spreadsheetml/2006/main" r="U47" s="22" t="str">
        <f t="shared" si="1"/>
        <v/>
      </c>
      <c xmlns="http://schemas.openxmlformats.org/spreadsheetml/2006/main" r="V47" s="18" t="str">
        <f t="shared" si="2"/>
        <v/>
      </c>
      <c r="W47" s="22"/>
      <c r="X47" s="22"/>
      <c xmlns="http://schemas.openxmlformats.org/spreadsheetml/2006/main" r="Y47">
        <f>IF($C47="",0,IF(COUNTIF($C$5:$C47,$C47)=1,1,0))</f>
        <v>0.0</v>
      </c>
      <c xmlns="http://schemas.openxmlformats.org/spreadsheetml/2006/main" r="Z47" t="str">
        <f>IF(Y47=1,SUM($Y$5:$Y47),"")</f>
        <v/>
      </c>
    </row>
    <row r="48" spans="1:26">
      <c r="A48" s="27"/>
      <c r="B48" s="22"/>
      <c r="C48" s="22"/>
      <c r="D48" s="22"/>
      <c r="E48" s="23"/>
      <c r="F48" s="28"/>
      <c r="G48" s="24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6"/>
      <c xmlns="http://schemas.openxmlformats.org/spreadsheetml/2006/main" r="T48" s="23" t="str">
        <f t="shared" si="0"/>
        <v/>
      </c>
      <c xmlns="http://schemas.openxmlformats.org/spreadsheetml/2006/main" r="U48" s="22" t="str">
        <f t="shared" si="1"/>
        <v/>
      </c>
      <c xmlns="http://schemas.openxmlformats.org/spreadsheetml/2006/main" r="V48" s="18" t="str">
        <f t="shared" si="2"/>
        <v/>
      </c>
      <c r="W48" s="22"/>
      <c r="X48" s="22"/>
      <c xmlns="http://schemas.openxmlformats.org/spreadsheetml/2006/main" r="Y48">
        <f>IF($C48="",0,IF(COUNTIF($C$5:$C48,$C48)=1,1,0))</f>
        <v>0.0</v>
      </c>
      <c xmlns="http://schemas.openxmlformats.org/spreadsheetml/2006/main" r="Z48" t="str">
        <f>IF(Y48=1,SUM($Y$5:$Y48),"")</f>
        <v/>
      </c>
    </row>
    <row r="49" spans="1:26">
      <c r="A49" s="27"/>
      <c r="B49" s="22"/>
      <c r="C49" s="22"/>
      <c r="D49" s="22"/>
      <c r="E49" s="23"/>
      <c r="F49" s="28"/>
      <c r="G49" s="24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6"/>
      <c xmlns="http://schemas.openxmlformats.org/spreadsheetml/2006/main" r="T49" s="23" t="str">
        <f t="shared" si="0"/>
        <v/>
      </c>
      <c xmlns="http://schemas.openxmlformats.org/spreadsheetml/2006/main" r="U49" s="22" t="str">
        <f t="shared" si="1"/>
        <v/>
      </c>
      <c xmlns="http://schemas.openxmlformats.org/spreadsheetml/2006/main" r="V49" s="18" t="str">
        <f t="shared" si="2"/>
        <v/>
      </c>
      <c r="W49" s="22"/>
      <c r="X49" s="22"/>
      <c xmlns="http://schemas.openxmlformats.org/spreadsheetml/2006/main" r="Y49">
        <f>IF($C49="",0,IF(COUNTIF($C$5:$C49,$C49)=1,1,0))</f>
        <v>0.0</v>
      </c>
      <c xmlns="http://schemas.openxmlformats.org/spreadsheetml/2006/main" r="Z49" t="str">
        <f>IF(Y49=1,SUM($Y$5:$Y49),"")</f>
        <v/>
      </c>
    </row>
    <row r="50" spans="1:26">
      <c r="A50" s="27"/>
      <c r="B50" s="22"/>
      <c r="C50" s="22"/>
      <c r="D50" s="22"/>
      <c r="E50" s="23"/>
      <c r="F50" s="28"/>
      <c r="G50" s="24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6"/>
      <c xmlns="http://schemas.openxmlformats.org/spreadsheetml/2006/main" r="T50" s="23" t="str">
        <f t="shared" si="0"/>
        <v/>
      </c>
      <c xmlns="http://schemas.openxmlformats.org/spreadsheetml/2006/main" r="U50" s="22" t="str">
        <f t="shared" si="1"/>
        <v/>
      </c>
      <c xmlns="http://schemas.openxmlformats.org/spreadsheetml/2006/main" r="V50" s="18" t="str">
        <f t="shared" si="2"/>
        <v/>
      </c>
      <c r="W50" s="22"/>
      <c r="X50" s="22"/>
      <c xmlns="http://schemas.openxmlformats.org/spreadsheetml/2006/main" r="Y50">
        <f>IF($C50="",0,IF(COUNTIF($C$5:$C50,$C50)=1,1,0))</f>
        <v>0.0</v>
      </c>
      <c xmlns="http://schemas.openxmlformats.org/spreadsheetml/2006/main" r="Z50" t="str">
        <f>IF(Y50=1,SUM($Y$5:$Y50),"")</f>
        <v/>
      </c>
    </row>
    <row r="51" spans="1:26">
      <c r="A51" s="27"/>
      <c r="B51" s="22"/>
      <c r="C51" s="22"/>
      <c r="D51" s="22"/>
      <c r="E51" s="23"/>
      <c r="F51" s="28"/>
      <c r="G51" s="24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6"/>
      <c xmlns="http://schemas.openxmlformats.org/spreadsheetml/2006/main" r="T51" s="23" t="str">
        <f t="shared" si="0"/>
        <v/>
      </c>
      <c xmlns="http://schemas.openxmlformats.org/spreadsheetml/2006/main" r="U51" s="22" t="str">
        <f t="shared" si="1"/>
        <v/>
      </c>
      <c xmlns="http://schemas.openxmlformats.org/spreadsheetml/2006/main" r="V51" s="18" t="str">
        <f t="shared" si="2"/>
        <v/>
      </c>
      <c r="W51" s="22"/>
      <c r="X51" s="22"/>
      <c xmlns="http://schemas.openxmlformats.org/spreadsheetml/2006/main" r="Y51">
        <f>IF($C51="",0,IF(COUNTIF($C$5:$C51,$C51)=1,1,0))</f>
        <v>0.0</v>
      </c>
      <c xmlns="http://schemas.openxmlformats.org/spreadsheetml/2006/main" r="Z51" t="str">
        <f>IF(Y51=1,SUM($Y$5:$Y51),"")</f>
        <v/>
      </c>
    </row>
    <row r="52" spans="1:26">
      <c r="A52" s="27"/>
      <c r="B52" s="22"/>
      <c r="C52" s="22"/>
      <c r="D52" s="22"/>
      <c r="E52" s="23"/>
      <c r="F52" s="28"/>
      <c r="G52" s="24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6"/>
      <c xmlns="http://schemas.openxmlformats.org/spreadsheetml/2006/main" r="T52" s="23" t="str">
        <f t="shared" si="0"/>
        <v/>
      </c>
      <c xmlns="http://schemas.openxmlformats.org/spreadsheetml/2006/main" r="U52" s="22" t="str">
        <f t="shared" si="1"/>
        <v/>
      </c>
      <c xmlns="http://schemas.openxmlformats.org/spreadsheetml/2006/main" r="V52" s="18" t="str">
        <f t="shared" si="2"/>
        <v/>
      </c>
      <c r="W52" s="22"/>
      <c r="X52" s="22"/>
      <c xmlns="http://schemas.openxmlformats.org/spreadsheetml/2006/main" r="Y52">
        <f>IF($C52="",0,IF(COUNTIF($C$5:$C52,$C52)=1,1,0))</f>
        <v>0.0</v>
      </c>
      <c xmlns="http://schemas.openxmlformats.org/spreadsheetml/2006/main" r="Z52" t="str">
        <f>IF(Y52=1,SUM($Y$5:$Y52),"")</f>
        <v/>
      </c>
    </row>
    <row r="53" spans="1:26">
      <c r="A53" s="27"/>
      <c r="B53" s="22"/>
      <c r="C53" s="22"/>
      <c r="D53" s="22"/>
      <c r="E53" s="23"/>
      <c r="F53" s="28"/>
      <c r="G53" s="24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6"/>
      <c xmlns="http://schemas.openxmlformats.org/spreadsheetml/2006/main" r="T53" s="23" t="str">
        <f t="shared" si="0"/>
        <v/>
      </c>
      <c xmlns="http://schemas.openxmlformats.org/spreadsheetml/2006/main" r="U53" s="22" t="str">
        <f t="shared" si="1"/>
        <v/>
      </c>
      <c xmlns="http://schemas.openxmlformats.org/spreadsheetml/2006/main" r="V53" s="18" t="str">
        <f t="shared" si="2"/>
        <v/>
      </c>
      <c r="W53" s="22"/>
      <c r="X53" s="22"/>
      <c xmlns="http://schemas.openxmlformats.org/spreadsheetml/2006/main" r="Y53">
        <f>IF($C53="",0,IF(COUNTIF($C$5:$C53,$C53)=1,1,0))</f>
        <v>0.0</v>
      </c>
      <c xmlns="http://schemas.openxmlformats.org/spreadsheetml/2006/main" r="Z53" t="str">
        <f>IF(Y53=1,SUM($Y$5:$Y53),"")</f>
        <v/>
      </c>
    </row>
    <row r="54" spans="1:26">
      <c r="A54" s="27"/>
      <c r="B54" s="22"/>
      <c r="C54" s="22"/>
      <c r="D54" s="22"/>
      <c r="E54" s="23"/>
      <c r="F54" s="28"/>
      <c r="G54" s="24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6"/>
      <c xmlns="http://schemas.openxmlformats.org/spreadsheetml/2006/main" r="T54" s="23" t="str">
        <f t="shared" si="0"/>
        <v/>
      </c>
      <c xmlns="http://schemas.openxmlformats.org/spreadsheetml/2006/main" r="U54" s="22" t="str">
        <f t="shared" si="1"/>
        <v/>
      </c>
      <c xmlns="http://schemas.openxmlformats.org/spreadsheetml/2006/main" r="V54" s="18" t="str">
        <f t="shared" si="2"/>
        <v/>
      </c>
      <c r="W54" s="22"/>
      <c r="X54" s="22"/>
      <c xmlns="http://schemas.openxmlformats.org/spreadsheetml/2006/main" r="Y54">
        <f>IF($C54="",0,IF(COUNTIF($C$5:$C54,$C54)=1,1,0))</f>
        <v>0.0</v>
      </c>
      <c xmlns="http://schemas.openxmlformats.org/spreadsheetml/2006/main" r="Z54" t="str">
        <f>IF(Y54=1,SUM($Y$5:$Y54),"")</f>
        <v/>
      </c>
    </row>
    <row r="55" spans="1:26">
      <c r="A55" s="27"/>
      <c r="B55" s="22"/>
      <c r="C55" s="22"/>
      <c r="D55" s="22"/>
      <c r="E55" s="23"/>
      <c r="F55" s="28"/>
      <c r="G55" s="24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6"/>
      <c xmlns="http://schemas.openxmlformats.org/spreadsheetml/2006/main" r="T55" s="23" t="str">
        <f t="shared" si="0"/>
        <v/>
      </c>
      <c xmlns="http://schemas.openxmlformats.org/spreadsheetml/2006/main" r="U55" s="22" t="str">
        <f t="shared" si="1"/>
        <v/>
      </c>
      <c xmlns="http://schemas.openxmlformats.org/spreadsheetml/2006/main" r="V55" s="18" t="str">
        <f t="shared" si="2"/>
        <v/>
      </c>
      <c r="W55" s="22"/>
      <c r="X55" s="22"/>
      <c xmlns="http://schemas.openxmlformats.org/spreadsheetml/2006/main" r="Y55">
        <f>IF($C55="",0,IF(COUNTIF($C$5:$C55,$C55)=1,1,0))</f>
        <v>0.0</v>
      </c>
      <c xmlns="http://schemas.openxmlformats.org/spreadsheetml/2006/main" r="Z55" t="str">
        <f>IF(Y55=1,SUM($Y$5:$Y55),"")</f>
        <v/>
      </c>
    </row>
    <row r="56" spans="1:26">
      <c r="A56" s="27"/>
      <c r="B56" s="22"/>
      <c r="C56" s="22"/>
      <c r="D56" s="22"/>
      <c r="E56" s="23"/>
      <c r="F56" s="28"/>
      <c r="G56" s="24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6"/>
      <c xmlns="http://schemas.openxmlformats.org/spreadsheetml/2006/main" r="T56" s="23" t="str">
        <f t="shared" si="0"/>
        <v/>
      </c>
      <c xmlns="http://schemas.openxmlformats.org/spreadsheetml/2006/main" r="U56" s="22" t="str">
        <f t="shared" si="1"/>
        <v/>
      </c>
      <c xmlns="http://schemas.openxmlformats.org/spreadsheetml/2006/main" r="V56" s="18" t="str">
        <f t="shared" si="2"/>
        <v/>
      </c>
      <c r="W56" s="22"/>
      <c r="X56" s="22"/>
      <c xmlns="http://schemas.openxmlformats.org/spreadsheetml/2006/main" r="Y56">
        <f>IF($C56="",0,IF(COUNTIF($C$5:$C56,$C56)=1,1,0))</f>
        <v>0.0</v>
      </c>
      <c xmlns="http://schemas.openxmlformats.org/spreadsheetml/2006/main" r="Z56" t="str">
        <f>IF(Y56=1,SUM($Y$5:$Y56),"")</f>
        <v/>
      </c>
    </row>
    <row r="57" spans="1:26">
      <c r="A57" s="27"/>
      <c r="B57" s="22"/>
      <c r="C57" s="22"/>
      <c r="D57" s="22"/>
      <c r="E57" s="23"/>
      <c r="F57" s="28"/>
      <c r="G57" s="24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6"/>
      <c xmlns="http://schemas.openxmlformats.org/spreadsheetml/2006/main" r="T57" s="23" t="str">
        <f t="shared" si="0"/>
        <v/>
      </c>
      <c xmlns="http://schemas.openxmlformats.org/spreadsheetml/2006/main" r="U57" s="22" t="str">
        <f t="shared" si="1"/>
        <v/>
      </c>
      <c xmlns="http://schemas.openxmlformats.org/spreadsheetml/2006/main" r="V57" s="18" t="str">
        <f t="shared" si="2"/>
        <v/>
      </c>
      <c r="W57" s="22"/>
      <c r="X57" s="22"/>
      <c xmlns="http://schemas.openxmlformats.org/spreadsheetml/2006/main" r="Y57">
        <f>IF($C57="",0,IF(COUNTIF($C$5:$C57,$C57)=1,1,0))</f>
        <v>0.0</v>
      </c>
      <c xmlns="http://schemas.openxmlformats.org/spreadsheetml/2006/main" r="Z57" t="str">
        <f>IF(Y57=1,SUM($Y$5:$Y57),"")</f>
        <v/>
      </c>
    </row>
    <row r="58" spans="1:26">
      <c r="A58" s="27"/>
      <c r="B58" s="22"/>
      <c r="C58" s="22"/>
      <c r="D58" s="22"/>
      <c r="E58" s="23"/>
      <c r="F58" s="28"/>
      <c r="G58" s="24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6"/>
      <c xmlns="http://schemas.openxmlformats.org/spreadsheetml/2006/main" r="T58" s="23" t="str">
        <f t="shared" si="0"/>
        <v/>
      </c>
      <c xmlns="http://schemas.openxmlformats.org/spreadsheetml/2006/main" r="U58" s="22" t="str">
        <f t="shared" si="1"/>
        <v/>
      </c>
      <c xmlns="http://schemas.openxmlformats.org/spreadsheetml/2006/main" r="V58" s="18" t="str">
        <f t="shared" si="2"/>
        <v/>
      </c>
      <c r="W58" s="22"/>
      <c r="X58" s="22"/>
      <c xmlns="http://schemas.openxmlformats.org/spreadsheetml/2006/main" r="Y58">
        <f>IF($C58="",0,IF(COUNTIF($C$5:$C58,$C58)=1,1,0))</f>
        <v>0.0</v>
      </c>
      <c xmlns="http://schemas.openxmlformats.org/spreadsheetml/2006/main" r="Z58" t="str">
        <f>IF(Y58=1,SUM($Y$5:$Y58),"")</f>
        <v/>
      </c>
    </row>
    <row r="59" spans="1:26">
      <c r="A59" s="27"/>
      <c r="B59" s="22"/>
      <c r="C59" s="22"/>
      <c r="D59" s="22"/>
      <c r="E59" s="23"/>
      <c r="F59" s="28"/>
      <c r="G59" s="24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6"/>
      <c xmlns="http://schemas.openxmlformats.org/spreadsheetml/2006/main" r="T59" s="23" t="str">
        <f t="shared" si="0"/>
        <v/>
      </c>
      <c xmlns="http://schemas.openxmlformats.org/spreadsheetml/2006/main" r="U59" s="22" t="str">
        <f t="shared" si="1"/>
        <v/>
      </c>
      <c xmlns="http://schemas.openxmlformats.org/spreadsheetml/2006/main" r="V59" s="18" t="str">
        <f t="shared" si="2"/>
        <v/>
      </c>
      <c r="W59" s="22"/>
      <c r="X59" s="22"/>
      <c xmlns="http://schemas.openxmlformats.org/spreadsheetml/2006/main" r="Y59">
        <f>IF($C59="",0,IF(COUNTIF($C$5:$C59,$C59)=1,1,0))</f>
        <v>0.0</v>
      </c>
      <c xmlns="http://schemas.openxmlformats.org/spreadsheetml/2006/main" r="Z59" t="str">
        <f>IF(Y59=1,SUM($Y$5:$Y59),"")</f>
        <v/>
      </c>
    </row>
    <row r="60" spans="1:26">
      <c r="A60" s="27"/>
      <c r="B60" s="22"/>
      <c r="C60" s="22"/>
      <c r="D60" s="22"/>
      <c r="E60" s="23"/>
      <c r="F60" s="28"/>
      <c r="G60" s="24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6"/>
      <c xmlns="http://schemas.openxmlformats.org/spreadsheetml/2006/main" r="T60" s="23" t="str">
        <f t="shared" si="0"/>
        <v/>
      </c>
      <c xmlns="http://schemas.openxmlformats.org/spreadsheetml/2006/main" r="U60" s="22" t="str">
        <f t="shared" si="1"/>
        <v/>
      </c>
      <c xmlns="http://schemas.openxmlformats.org/spreadsheetml/2006/main" r="V60" s="18" t="str">
        <f t="shared" si="2"/>
        <v/>
      </c>
      <c r="W60" s="22"/>
      <c r="X60" s="22"/>
      <c xmlns="http://schemas.openxmlformats.org/spreadsheetml/2006/main" r="Y60">
        <f>IF($C60="",0,IF(COUNTIF($C$5:$C60,$C60)=1,1,0))</f>
        <v>0.0</v>
      </c>
      <c xmlns="http://schemas.openxmlformats.org/spreadsheetml/2006/main" r="Z60" t="str">
        <f>IF(Y60=1,SUM($Y$5:$Y60),"")</f>
        <v/>
      </c>
    </row>
    <row r="61" spans="1:26">
      <c r="A61" s="27"/>
      <c r="B61" s="22"/>
      <c r="C61" s="22"/>
      <c r="D61" s="22"/>
      <c r="E61" s="23"/>
      <c r="F61" s="28"/>
      <c r="G61" s="24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6"/>
      <c xmlns="http://schemas.openxmlformats.org/spreadsheetml/2006/main" r="T61" s="23" t="str">
        <f t="shared" si="0"/>
        <v/>
      </c>
      <c xmlns="http://schemas.openxmlformats.org/spreadsheetml/2006/main" r="U61" s="22" t="str">
        <f t="shared" si="1"/>
        <v/>
      </c>
      <c xmlns="http://schemas.openxmlformats.org/spreadsheetml/2006/main" r="V61" s="18" t="str">
        <f t="shared" si="2"/>
        <v/>
      </c>
      <c r="W61" s="22"/>
      <c r="X61" s="22"/>
      <c xmlns="http://schemas.openxmlformats.org/spreadsheetml/2006/main" r="Y61">
        <f>IF($C61="",0,IF(COUNTIF($C$5:$C61,$C61)=1,1,0))</f>
        <v>0.0</v>
      </c>
      <c xmlns="http://schemas.openxmlformats.org/spreadsheetml/2006/main" r="Z61" t="str">
        <f>IF(Y61=1,SUM($Y$5:$Y61),"")</f>
        <v/>
      </c>
    </row>
    <row r="62" spans="1:26">
      <c r="A62" s="27"/>
      <c r="B62" s="22"/>
      <c r="C62" s="22"/>
      <c r="D62" s="22"/>
      <c r="E62" s="23"/>
      <c r="F62" s="28"/>
      <c r="G62" s="24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6"/>
      <c xmlns="http://schemas.openxmlformats.org/spreadsheetml/2006/main" r="T62" s="23" t="str">
        <f t="shared" si="0"/>
        <v/>
      </c>
      <c xmlns="http://schemas.openxmlformats.org/spreadsheetml/2006/main" r="U62" s="22" t="str">
        <f t="shared" si="1"/>
        <v/>
      </c>
      <c xmlns="http://schemas.openxmlformats.org/spreadsheetml/2006/main" r="V62" s="18" t="str">
        <f t="shared" si="2"/>
        <v/>
      </c>
      <c r="W62" s="22"/>
      <c r="X62" s="22"/>
      <c xmlns="http://schemas.openxmlformats.org/spreadsheetml/2006/main" r="Y62">
        <f>IF($C62="",0,IF(COUNTIF($C$5:$C62,$C62)=1,1,0))</f>
        <v>0.0</v>
      </c>
      <c xmlns="http://schemas.openxmlformats.org/spreadsheetml/2006/main" r="Z62" t="str">
        <f>IF(Y62=1,SUM($Y$5:$Y62),"")</f>
        <v/>
      </c>
    </row>
    <row r="63" spans="1:26">
      <c r="A63" s="27"/>
      <c r="B63" s="22"/>
      <c r="C63" s="22"/>
      <c r="D63" s="22"/>
      <c r="E63" s="23"/>
      <c r="F63" s="28"/>
      <c r="G63" s="24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6"/>
      <c xmlns="http://schemas.openxmlformats.org/spreadsheetml/2006/main" r="T63" s="23" t="str">
        <f t="shared" si="0"/>
        <v/>
      </c>
      <c xmlns="http://schemas.openxmlformats.org/spreadsheetml/2006/main" r="U63" s="22" t="str">
        <f t="shared" si="1"/>
        <v/>
      </c>
      <c xmlns="http://schemas.openxmlformats.org/spreadsheetml/2006/main" r="V63" s="18" t="str">
        <f t="shared" si="2"/>
        <v/>
      </c>
      <c r="W63" s="22"/>
      <c r="X63" s="22"/>
      <c xmlns="http://schemas.openxmlformats.org/spreadsheetml/2006/main" r="Y63">
        <f>IF($C63="",0,IF(COUNTIF($C$5:$C63,$C63)=1,1,0))</f>
        <v>0.0</v>
      </c>
      <c xmlns="http://schemas.openxmlformats.org/spreadsheetml/2006/main" r="Z63" t="str">
        <f>IF(Y63=1,SUM($Y$5:$Y63),"")</f>
        <v/>
      </c>
    </row>
    <row r="64" spans="1:26">
      <c r="A64" s="27"/>
      <c r="B64" s="22"/>
      <c r="C64" s="22"/>
      <c r="D64" s="22"/>
      <c r="E64" s="23"/>
      <c r="F64" s="28"/>
      <c r="G64" s="24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6"/>
      <c xmlns="http://schemas.openxmlformats.org/spreadsheetml/2006/main" r="T64" s="23" t="str">
        <f t="shared" si="0"/>
        <v/>
      </c>
      <c xmlns="http://schemas.openxmlformats.org/spreadsheetml/2006/main" r="U64" s="22" t="str">
        <f t="shared" si="1"/>
        <v/>
      </c>
      <c xmlns="http://schemas.openxmlformats.org/spreadsheetml/2006/main" r="V64" s="18" t="str">
        <f t="shared" si="2"/>
        <v/>
      </c>
      <c r="W64" s="22"/>
      <c r="X64" s="22"/>
      <c xmlns="http://schemas.openxmlformats.org/spreadsheetml/2006/main" r="Y64">
        <f>IF($C64="",0,IF(COUNTIF($C$5:$C64,$C64)=1,1,0))</f>
        <v>0.0</v>
      </c>
      <c xmlns="http://schemas.openxmlformats.org/spreadsheetml/2006/main" r="Z64" t="str">
        <f>IF(Y64=1,SUM($Y$5:$Y64),"")</f>
        <v/>
      </c>
    </row>
    <row r="65" spans="1:26">
      <c r="A65" s="27"/>
      <c r="B65" s="22"/>
      <c r="C65" s="22"/>
      <c r="D65" s="22"/>
      <c r="E65" s="23"/>
      <c r="F65" s="28"/>
      <c r="G65" s="24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6"/>
      <c xmlns="http://schemas.openxmlformats.org/spreadsheetml/2006/main" r="T65" s="23" t="str">
        <f t="shared" si="0"/>
        <v/>
      </c>
      <c xmlns="http://schemas.openxmlformats.org/spreadsheetml/2006/main" r="U65" s="22" t="str">
        <f t="shared" si="1"/>
        <v/>
      </c>
      <c xmlns="http://schemas.openxmlformats.org/spreadsheetml/2006/main" r="V65" s="18" t="str">
        <f t="shared" si="2"/>
        <v/>
      </c>
      <c r="W65" s="22"/>
      <c r="X65" s="22"/>
      <c xmlns="http://schemas.openxmlformats.org/spreadsheetml/2006/main" r="Y65">
        <f>IF($C65="",0,IF(COUNTIF($C$5:$C65,$C65)=1,1,0))</f>
        <v>0.0</v>
      </c>
      <c xmlns="http://schemas.openxmlformats.org/spreadsheetml/2006/main" r="Z65" t="str">
        <f>IF(Y65=1,SUM($Y$5:$Y65),"")</f>
        <v/>
      </c>
    </row>
    <row r="66" spans="1:26">
      <c r="A66" s="27"/>
      <c r="B66" s="22"/>
      <c r="C66" s="22"/>
      <c r="D66" s="22"/>
      <c r="E66" s="23"/>
      <c r="F66" s="28"/>
      <c r="G66" s="24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6"/>
      <c xmlns="http://schemas.openxmlformats.org/spreadsheetml/2006/main" r="T66" s="23" t="str">
        <f t="shared" si="0"/>
        <v/>
      </c>
      <c xmlns="http://schemas.openxmlformats.org/spreadsheetml/2006/main" r="U66" s="22" t="str">
        <f t="shared" si="1"/>
        <v/>
      </c>
      <c xmlns="http://schemas.openxmlformats.org/spreadsheetml/2006/main" r="V66" s="18" t="str">
        <f t="shared" si="2"/>
        <v/>
      </c>
      <c r="W66" s="22"/>
      <c r="X66" s="22"/>
      <c xmlns="http://schemas.openxmlformats.org/spreadsheetml/2006/main" r="Y66">
        <f>IF($C66="",0,IF(COUNTIF($C$5:$C66,$C66)=1,1,0))</f>
        <v>0.0</v>
      </c>
      <c xmlns="http://schemas.openxmlformats.org/spreadsheetml/2006/main" r="Z66" t="str">
        <f>IF(Y66=1,SUM($Y$5:$Y66),"")</f>
        <v/>
      </c>
    </row>
    <row r="67" spans="1:26">
      <c r="A67" s="27"/>
      <c r="B67" s="22"/>
      <c r="C67" s="22"/>
      <c r="D67" s="22"/>
      <c r="E67" s="23"/>
      <c r="F67" s="28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6"/>
      <c xmlns="http://schemas.openxmlformats.org/spreadsheetml/2006/main" r="T67" s="23" t="str">
        <f t="shared" si="0"/>
        <v/>
      </c>
      <c xmlns="http://schemas.openxmlformats.org/spreadsheetml/2006/main" r="U67" s="22" t="str">
        <f t="shared" si="1"/>
        <v/>
      </c>
      <c xmlns="http://schemas.openxmlformats.org/spreadsheetml/2006/main" r="V67" s="18" t="str">
        <f t="shared" si="2"/>
        <v/>
      </c>
      <c r="W67" s="22"/>
      <c r="X67" s="22"/>
      <c xmlns="http://schemas.openxmlformats.org/spreadsheetml/2006/main" r="Y67">
        <f>IF($C67="",0,IF(COUNTIF($C$5:$C67,$C67)=1,1,0))</f>
        <v>0.0</v>
      </c>
      <c xmlns="http://schemas.openxmlformats.org/spreadsheetml/2006/main" r="Z67" t="str">
        <f>IF(Y67=1,SUM($Y$5:$Y67),"")</f>
        <v/>
      </c>
    </row>
    <row r="68" spans="1:26">
      <c r="A68" s="27"/>
      <c r="B68" s="22"/>
      <c r="C68" s="22"/>
      <c r="D68" s="22"/>
      <c r="E68" s="23"/>
      <c r="F68" s="28"/>
      <c r="G68" s="24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6"/>
      <c xmlns="http://schemas.openxmlformats.org/spreadsheetml/2006/main" r="T68" s="23" t="str">
        <f t="shared" si="0"/>
        <v/>
      </c>
      <c xmlns="http://schemas.openxmlformats.org/spreadsheetml/2006/main" r="U68" s="22" t="str">
        <f t="shared" si="1"/>
        <v/>
      </c>
      <c xmlns="http://schemas.openxmlformats.org/spreadsheetml/2006/main" r="V68" s="18" t="str">
        <f t="shared" si="2"/>
        <v/>
      </c>
      <c r="W68" s="22"/>
      <c r="X68" s="22"/>
      <c xmlns="http://schemas.openxmlformats.org/spreadsheetml/2006/main" r="Y68">
        <f>IF($C68="",0,IF(COUNTIF($C$5:$C68,$C68)=1,1,0))</f>
        <v>0.0</v>
      </c>
      <c xmlns="http://schemas.openxmlformats.org/spreadsheetml/2006/main" r="Z68" t="str">
        <f>IF(Y68=1,SUM($Y$5:$Y68),"")</f>
        <v/>
      </c>
    </row>
    <row r="69" spans="1:26">
      <c r="A69" s="27"/>
      <c r="B69" s="22"/>
      <c r="C69" s="22"/>
      <c r="D69" s="22"/>
      <c r="E69" s="23"/>
      <c r="F69" s="28"/>
      <c r="G69" s="24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6"/>
      <c xmlns="http://schemas.openxmlformats.org/spreadsheetml/2006/main" r="T69" s="23" t="str">
        <f t="shared" ref="T69:T132" si="3">IF($D69="","",COUNTIF($H69:$R69,"V"))</f>
        <v/>
      </c>
      <c xmlns="http://schemas.openxmlformats.org/spreadsheetml/2006/main" r="U69" s="22" t="str">
        <f t="shared" ref="U69:U132" si="4">IF($D69="","",IF(AND($S69="V",$T69&gt;0),"⚠ 勾選矛盾",IF($S69="V","○ 免調理",IF($T69=0,"⚠ 資料缺漏",IF($T69=1,"▲ 單一設備依賴","OK")))))</f>
        <v/>
      </c>
      <c xmlns="http://schemas.openxmlformats.org/spreadsheetml/2006/main" r="V69" s="18" t="str">
        <f t="shared" ref="V69:V132" si="5">IF($D69="","",IF(AND($S69="V",$T69&gt;0),"「無使用調理設備」不可與設備欄同時勾選，請擇一修正",IF($S69="V","免調理半成品（外購/僅切配等），不列入設備風險評估",IF($T69=0,"未勾選任何設備，請補填或勾選「無使用調理設備」",IF($T69=1,"僅依賴1台設備，須確認故障/排修時之備援製程","無異常")))))</f>
        <v/>
      </c>
      <c r="W69" s="22"/>
      <c r="X69" s="22"/>
      <c xmlns="http://schemas.openxmlformats.org/spreadsheetml/2006/main" r="Y69">
        <f>IF($C69="",0,IF(COUNTIF($C$5:$C69,$C69)=1,1,0))</f>
        <v>0.0</v>
      </c>
      <c xmlns="http://schemas.openxmlformats.org/spreadsheetml/2006/main" r="Z69" t="str">
        <f>IF(Y69=1,SUM($Y$5:$Y69),"")</f>
        <v/>
      </c>
    </row>
    <row r="70" spans="1:26">
      <c r="A70" s="27"/>
      <c r="B70" s="22"/>
      <c r="C70" s="22"/>
      <c r="D70" s="22"/>
      <c r="E70" s="23"/>
      <c r="F70" s="28"/>
      <c r="G70" s="24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6"/>
      <c xmlns="http://schemas.openxmlformats.org/spreadsheetml/2006/main" r="T70" s="23" t="str">
        <f t="shared" si="3"/>
        <v/>
      </c>
      <c xmlns="http://schemas.openxmlformats.org/spreadsheetml/2006/main" r="U70" s="22" t="str">
        <f t="shared" si="4"/>
        <v/>
      </c>
      <c xmlns="http://schemas.openxmlformats.org/spreadsheetml/2006/main" r="V70" s="18" t="str">
        <f t="shared" si="5"/>
        <v/>
      </c>
      <c r="W70" s="22"/>
      <c r="X70" s="22"/>
      <c xmlns="http://schemas.openxmlformats.org/spreadsheetml/2006/main" r="Y70">
        <f>IF($C70="",0,IF(COUNTIF($C$5:$C70,$C70)=1,1,0))</f>
        <v>0.0</v>
      </c>
      <c xmlns="http://schemas.openxmlformats.org/spreadsheetml/2006/main" r="Z70" t="str">
        <f>IF(Y70=1,SUM($Y$5:$Y70),"")</f>
        <v/>
      </c>
    </row>
    <row r="71" spans="1:26">
      <c r="A71" s="27"/>
      <c r="B71" s="22"/>
      <c r="C71" s="22"/>
      <c r="D71" s="22"/>
      <c r="E71" s="23"/>
      <c r="F71" s="28"/>
      <c r="G71" s="24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  <c xmlns="http://schemas.openxmlformats.org/spreadsheetml/2006/main" r="T71" s="23" t="str">
        <f t="shared" si="3"/>
        <v/>
      </c>
      <c xmlns="http://schemas.openxmlformats.org/spreadsheetml/2006/main" r="U71" s="22" t="str">
        <f t="shared" si="4"/>
        <v/>
      </c>
      <c xmlns="http://schemas.openxmlformats.org/spreadsheetml/2006/main" r="V71" s="18" t="str">
        <f t="shared" si="5"/>
        <v/>
      </c>
      <c r="W71" s="22"/>
      <c r="X71" s="22"/>
      <c xmlns="http://schemas.openxmlformats.org/spreadsheetml/2006/main" r="Y71">
        <f>IF($C71="",0,IF(COUNTIF($C$5:$C71,$C71)=1,1,0))</f>
        <v>0.0</v>
      </c>
      <c xmlns="http://schemas.openxmlformats.org/spreadsheetml/2006/main" r="Z71" t="str">
        <f>IF(Y71=1,SUM($Y$5:$Y71),"")</f>
        <v/>
      </c>
    </row>
    <row r="72" spans="1:26">
      <c r="A72" s="27"/>
      <c r="B72" s="22"/>
      <c r="C72" s="22"/>
      <c r="D72" s="22"/>
      <c r="E72" s="23"/>
      <c r="F72" s="28"/>
      <c r="G72" s="24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6"/>
      <c xmlns="http://schemas.openxmlformats.org/spreadsheetml/2006/main" r="T72" s="23" t="str">
        <f t="shared" si="3"/>
        <v/>
      </c>
      <c xmlns="http://schemas.openxmlformats.org/spreadsheetml/2006/main" r="U72" s="22" t="str">
        <f t="shared" si="4"/>
        <v/>
      </c>
      <c xmlns="http://schemas.openxmlformats.org/spreadsheetml/2006/main" r="V72" s="18" t="str">
        <f t="shared" si="5"/>
        <v/>
      </c>
      <c r="W72" s="22"/>
      <c r="X72" s="22"/>
      <c xmlns="http://schemas.openxmlformats.org/spreadsheetml/2006/main" r="Y72">
        <f>IF($C72="",0,IF(COUNTIF($C$5:$C72,$C72)=1,1,0))</f>
        <v>0.0</v>
      </c>
      <c xmlns="http://schemas.openxmlformats.org/spreadsheetml/2006/main" r="Z72" t="str">
        <f>IF(Y72=1,SUM($Y$5:$Y72),"")</f>
        <v/>
      </c>
    </row>
    <row r="73" spans="1:26">
      <c r="A73" s="27"/>
      <c r="B73" s="22"/>
      <c r="C73" s="22"/>
      <c r="D73" s="22"/>
      <c r="E73" s="23"/>
      <c r="F73" s="28"/>
      <c r="G73" s="24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6"/>
      <c xmlns="http://schemas.openxmlformats.org/spreadsheetml/2006/main" r="T73" s="23" t="str">
        <f t="shared" si="3"/>
        <v/>
      </c>
      <c xmlns="http://schemas.openxmlformats.org/spreadsheetml/2006/main" r="U73" s="22" t="str">
        <f t="shared" si="4"/>
        <v/>
      </c>
      <c xmlns="http://schemas.openxmlformats.org/spreadsheetml/2006/main" r="V73" s="18" t="str">
        <f t="shared" si="5"/>
        <v/>
      </c>
      <c r="W73" s="22"/>
      <c r="X73" s="22"/>
      <c xmlns="http://schemas.openxmlformats.org/spreadsheetml/2006/main" r="Y73">
        <f>IF($C73="",0,IF(COUNTIF($C$5:$C73,$C73)=1,1,0))</f>
        <v>0.0</v>
      </c>
      <c xmlns="http://schemas.openxmlformats.org/spreadsheetml/2006/main" r="Z73" t="str">
        <f>IF(Y73=1,SUM($Y$5:$Y73),"")</f>
        <v/>
      </c>
    </row>
    <row r="74" spans="1:26">
      <c r="A74" s="27"/>
      <c r="B74" s="22"/>
      <c r="C74" s="22"/>
      <c r="D74" s="22"/>
      <c r="E74" s="23"/>
      <c r="F74" s="28"/>
      <c r="G74" s="24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6"/>
      <c xmlns="http://schemas.openxmlformats.org/spreadsheetml/2006/main" r="T74" s="23" t="str">
        <f t="shared" si="3"/>
        <v/>
      </c>
      <c xmlns="http://schemas.openxmlformats.org/spreadsheetml/2006/main" r="U74" s="22" t="str">
        <f t="shared" si="4"/>
        <v/>
      </c>
      <c xmlns="http://schemas.openxmlformats.org/spreadsheetml/2006/main" r="V74" s="18" t="str">
        <f t="shared" si="5"/>
        <v/>
      </c>
      <c r="W74" s="22"/>
      <c r="X74" s="22"/>
      <c xmlns="http://schemas.openxmlformats.org/spreadsheetml/2006/main" r="Y74">
        <f>IF($C74="",0,IF(COUNTIF($C$5:$C74,$C74)=1,1,0))</f>
        <v>0.0</v>
      </c>
      <c xmlns="http://schemas.openxmlformats.org/spreadsheetml/2006/main" r="Z74" t="str">
        <f>IF(Y74=1,SUM($Y$5:$Y74),"")</f>
        <v/>
      </c>
    </row>
    <row r="75" spans="1:26">
      <c r="A75" s="27"/>
      <c r="B75" s="22"/>
      <c r="C75" s="22"/>
      <c r="D75" s="22"/>
      <c r="E75" s="23"/>
      <c r="F75" s="28"/>
      <c r="G75" s="24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6"/>
      <c xmlns="http://schemas.openxmlformats.org/spreadsheetml/2006/main" r="T75" s="23" t="str">
        <f t="shared" si="3"/>
        <v/>
      </c>
      <c xmlns="http://schemas.openxmlformats.org/spreadsheetml/2006/main" r="U75" s="22" t="str">
        <f t="shared" si="4"/>
        <v/>
      </c>
      <c xmlns="http://schemas.openxmlformats.org/spreadsheetml/2006/main" r="V75" s="18" t="str">
        <f t="shared" si="5"/>
        <v/>
      </c>
      <c r="W75" s="22"/>
      <c r="X75" s="22"/>
      <c xmlns="http://schemas.openxmlformats.org/spreadsheetml/2006/main" r="Y75">
        <f>IF($C75="",0,IF(COUNTIF($C$5:$C75,$C75)=1,1,0))</f>
        <v>0.0</v>
      </c>
      <c xmlns="http://schemas.openxmlformats.org/spreadsheetml/2006/main" r="Z75" t="str">
        <f>IF(Y75=1,SUM($Y$5:$Y75),"")</f>
        <v/>
      </c>
    </row>
    <row r="76" spans="1:26">
      <c r="A76" s="27"/>
      <c r="B76" s="22"/>
      <c r="C76" s="22"/>
      <c r="D76" s="22"/>
      <c r="E76" s="23"/>
      <c r="F76" s="28"/>
      <c r="G76" s="24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6"/>
      <c xmlns="http://schemas.openxmlformats.org/spreadsheetml/2006/main" r="T76" s="23" t="str">
        <f t="shared" si="3"/>
        <v/>
      </c>
      <c xmlns="http://schemas.openxmlformats.org/spreadsheetml/2006/main" r="U76" s="22" t="str">
        <f t="shared" si="4"/>
        <v/>
      </c>
      <c xmlns="http://schemas.openxmlformats.org/spreadsheetml/2006/main" r="V76" s="18" t="str">
        <f t="shared" si="5"/>
        <v/>
      </c>
      <c r="W76" s="22"/>
      <c r="X76" s="22"/>
      <c xmlns="http://schemas.openxmlformats.org/spreadsheetml/2006/main" r="Y76">
        <f>IF($C76="",0,IF(COUNTIF($C$5:$C76,$C76)=1,1,0))</f>
        <v>0.0</v>
      </c>
      <c xmlns="http://schemas.openxmlformats.org/spreadsheetml/2006/main" r="Z76" t="str">
        <f>IF(Y76=1,SUM($Y$5:$Y76),"")</f>
        <v/>
      </c>
    </row>
    <row r="77" spans="1:26">
      <c r="A77" s="27"/>
      <c r="B77" s="22"/>
      <c r="C77" s="22"/>
      <c r="D77" s="22"/>
      <c r="E77" s="23"/>
      <c r="F77" s="28"/>
      <c r="G77" s="24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6"/>
      <c xmlns="http://schemas.openxmlformats.org/spreadsheetml/2006/main" r="T77" s="23" t="str">
        <f t="shared" si="3"/>
        <v/>
      </c>
      <c xmlns="http://schemas.openxmlformats.org/spreadsheetml/2006/main" r="U77" s="22" t="str">
        <f t="shared" si="4"/>
        <v/>
      </c>
      <c xmlns="http://schemas.openxmlformats.org/spreadsheetml/2006/main" r="V77" s="18" t="str">
        <f t="shared" si="5"/>
        <v/>
      </c>
      <c r="W77" s="22"/>
      <c r="X77" s="22"/>
      <c xmlns="http://schemas.openxmlformats.org/spreadsheetml/2006/main" r="Y77">
        <f>IF($C77="",0,IF(COUNTIF($C$5:$C77,$C77)=1,1,0))</f>
        <v>0.0</v>
      </c>
      <c xmlns="http://schemas.openxmlformats.org/spreadsheetml/2006/main" r="Z77" t="str">
        <f>IF(Y77=1,SUM($Y$5:$Y77),"")</f>
        <v/>
      </c>
    </row>
    <row r="78" spans="1:26">
      <c r="A78" s="27"/>
      <c r="B78" s="22"/>
      <c r="C78" s="22"/>
      <c r="D78" s="22"/>
      <c r="E78" s="23"/>
      <c r="F78" s="28"/>
      <c r="G78" s="24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6"/>
      <c xmlns="http://schemas.openxmlformats.org/spreadsheetml/2006/main" r="T78" s="23" t="str">
        <f t="shared" si="3"/>
        <v/>
      </c>
      <c xmlns="http://schemas.openxmlformats.org/spreadsheetml/2006/main" r="U78" s="22" t="str">
        <f t="shared" si="4"/>
        <v/>
      </c>
      <c xmlns="http://schemas.openxmlformats.org/spreadsheetml/2006/main" r="V78" s="18" t="str">
        <f t="shared" si="5"/>
        <v/>
      </c>
      <c r="W78" s="22"/>
      <c r="X78" s="22"/>
      <c xmlns="http://schemas.openxmlformats.org/spreadsheetml/2006/main" r="Y78">
        <f>IF($C78="",0,IF(COUNTIF($C$5:$C78,$C78)=1,1,0))</f>
        <v>0.0</v>
      </c>
      <c xmlns="http://schemas.openxmlformats.org/spreadsheetml/2006/main" r="Z78" t="str">
        <f>IF(Y78=1,SUM($Y$5:$Y78),"")</f>
        <v/>
      </c>
    </row>
    <row r="79" spans="1:26">
      <c r="A79" s="27"/>
      <c r="B79" s="22"/>
      <c r="C79" s="22"/>
      <c r="D79" s="22"/>
      <c r="E79" s="23"/>
      <c r="F79" s="28"/>
      <c r="G79" s="24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6"/>
      <c xmlns="http://schemas.openxmlformats.org/spreadsheetml/2006/main" r="T79" s="23" t="str">
        <f t="shared" si="3"/>
        <v/>
      </c>
      <c xmlns="http://schemas.openxmlformats.org/spreadsheetml/2006/main" r="U79" s="22" t="str">
        <f t="shared" si="4"/>
        <v/>
      </c>
      <c xmlns="http://schemas.openxmlformats.org/spreadsheetml/2006/main" r="V79" s="18" t="str">
        <f t="shared" si="5"/>
        <v/>
      </c>
      <c r="W79" s="22"/>
      <c r="X79" s="22"/>
      <c xmlns="http://schemas.openxmlformats.org/spreadsheetml/2006/main" r="Y79">
        <f>IF($C79="",0,IF(COUNTIF($C$5:$C79,$C79)=1,1,0))</f>
        <v>0.0</v>
      </c>
      <c xmlns="http://schemas.openxmlformats.org/spreadsheetml/2006/main" r="Z79" t="str">
        <f>IF(Y79=1,SUM($Y$5:$Y79),"")</f>
        <v/>
      </c>
    </row>
    <row r="80" spans="1:26">
      <c r="A80" s="27"/>
      <c r="B80" s="22"/>
      <c r="C80" s="22"/>
      <c r="D80" s="22"/>
      <c r="E80" s="23"/>
      <c r="F80" s="28"/>
      <c r="G80" s="24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6"/>
      <c xmlns="http://schemas.openxmlformats.org/spreadsheetml/2006/main" r="T80" s="23" t="str">
        <f t="shared" si="3"/>
        <v/>
      </c>
      <c xmlns="http://schemas.openxmlformats.org/spreadsheetml/2006/main" r="U80" s="22" t="str">
        <f t="shared" si="4"/>
        <v/>
      </c>
      <c xmlns="http://schemas.openxmlformats.org/spreadsheetml/2006/main" r="V80" s="18" t="str">
        <f t="shared" si="5"/>
        <v/>
      </c>
      <c r="W80" s="22"/>
      <c r="X80" s="22"/>
      <c xmlns="http://schemas.openxmlformats.org/spreadsheetml/2006/main" r="Y80">
        <f>IF($C80="",0,IF(COUNTIF($C$5:$C80,$C80)=1,1,0))</f>
        <v>0.0</v>
      </c>
      <c xmlns="http://schemas.openxmlformats.org/spreadsheetml/2006/main" r="Z80" t="str">
        <f>IF(Y80=1,SUM($Y$5:$Y80),"")</f>
        <v/>
      </c>
    </row>
    <row r="81" spans="1:26">
      <c r="A81" s="27"/>
      <c r="B81" s="22"/>
      <c r="C81" s="22"/>
      <c r="D81" s="22"/>
      <c r="E81" s="23"/>
      <c r="F81" s="28"/>
      <c r="G81" s="24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6"/>
      <c xmlns="http://schemas.openxmlformats.org/spreadsheetml/2006/main" r="T81" s="23" t="str">
        <f t="shared" si="3"/>
        <v/>
      </c>
      <c xmlns="http://schemas.openxmlformats.org/spreadsheetml/2006/main" r="U81" s="22" t="str">
        <f t="shared" si="4"/>
        <v/>
      </c>
      <c xmlns="http://schemas.openxmlformats.org/spreadsheetml/2006/main" r="V81" s="18" t="str">
        <f t="shared" si="5"/>
        <v/>
      </c>
      <c r="W81" s="22"/>
      <c r="X81" s="22"/>
      <c xmlns="http://schemas.openxmlformats.org/spreadsheetml/2006/main" r="Y81">
        <f>IF($C81="",0,IF(COUNTIF($C$5:$C81,$C81)=1,1,0))</f>
        <v>0.0</v>
      </c>
      <c xmlns="http://schemas.openxmlformats.org/spreadsheetml/2006/main" r="Z81" t="str">
        <f>IF(Y81=1,SUM($Y$5:$Y81),"")</f>
        <v/>
      </c>
    </row>
    <row r="82" spans="1:26">
      <c r="A82" s="27"/>
      <c r="B82" s="22"/>
      <c r="C82" s="22"/>
      <c r="D82" s="22"/>
      <c r="E82" s="23"/>
      <c r="F82" s="28"/>
      <c r="G82" s="24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6"/>
      <c xmlns="http://schemas.openxmlformats.org/spreadsheetml/2006/main" r="T82" s="23" t="str">
        <f t="shared" si="3"/>
        <v/>
      </c>
      <c xmlns="http://schemas.openxmlformats.org/spreadsheetml/2006/main" r="U82" s="22" t="str">
        <f t="shared" si="4"/>
        <v/>
      </c>
      <c xmlns="http://schemas.openxmlformats.org/spreadsheetml/2006/main" r="V82" s="18" t="str">
        <f t="shared" si="5"/>
        <v/>
      </c>
      <c r="W82" s="22"/>
      <c r="X82" s="22"/>
      <c xmlns="http://schemas.openxmlformats.org/spreadsheetml/2006/main" r="Y82">
        <f>IF($C82="",0,IF(COUNTIF($C$5:$C82,$C82)=1,1,0))</f>
        <v>0.0</v>
      </c>
      <c xmlns="http://schemas.openxmlformats.org/spreadsheetml/2006/main" r="Z82" t="str">
        <f>IF(Y82=1,SUM($Y$5:$Y82),"")</f>
        <v/>
      </c>
    </row>
    <row r="83" spans="1:26">
      <c r="A83" s="27"/>
      <c r="B83" s="22"/>
      <c r="C83" s="22"/>
      <c r="D83" s="22"/>
      <c r="E83" s="23"/>
      <c r="F83" s="28"/>
      <c r="G83" s="24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6"/>
      <c xmlns="http://schemas.openxmlformats.org/spreadsheetml/2006/main" r="T83" s="23" t="str">
        <f t="shared" si="3"/>
        <v/>
      </c>
      <c xmlns="http://schemas.openxmlformats.org/spreadsheetml/2006/main" r="U83" s="22" t="str">
        <f t="shared" si="4"/>
        <v/>
      </c>
      <c xmlns="http://schemas.openxmlformats.org/spreadsheetml/2006/main" r="V83" s="18" t="str">
        <f t="shared" si="5"/>
        <v/>
      </c>
      <c r="W83" s="22"/>
      <c r="X83" s="22"/>
      <c xmlns="http://schemas.openxmlformats.org/spreadsheetml/2006/main" r="Y83">
        <f>IF($C83="",0,IF(COUNTIF($C$5:$C83,$C83)=1,1,0))</f>
        <v>0.0</v>
      </c>
      <c xmlns="http://schemas.openxmlformats.org/spreadsheetml/2006/main" r="Z83" t="str">
        <f>IF(Y83=1,SUM($Y$5:$Y83),"")</f>
        <v/>
      </c>
    </row>
    <row r="84" spans="1:26">
      <c r="A84" s="27"/>
      <c r="B84" s="22"/>
      <c r="C84" s="22"/>
      <c r="D84" s="22"/>
      <c r="E84" s="23"/>
      <c r="F84" s="28"/>
      <c r="G84" s="24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6"/>
      <c xmlns="http://schemas.openxmlformats.org/spreadsheetml/2006/main" r="T84" s="23" t="str">
        <f t="shared" si="3"/>
        <v/>
      </c>
      <c xmlns="http://schemas.openxmlformats.org/spreadsheetml/2006/main" r="U84" s="22" t="str">
        <f t="shared" si="4"/>
        <v/>
      </c>
      <c xmlns="http://schemas.openxmlformats.org/spreadsheetml/2006/main" r="V84" s="18" t="str">
        <f t="shared" si="5"/>
        <v/>
      </c>
      <c r="W84" s="22"/>
      <c r="X84" s="22"/>
      <c xmlns="http://schemas.openxmlformats.org/spreadsheetml/2006/main" r="Y84">
        <f>IF($C84="",0,IF(COUNTIF($C$5:$C84,$C84)=1,1,0))</f>
        <v>0.0</v>
      </c>
      <c xmlns="http://schemas.openxmlformats.org/spreadsheetml/2006/main" r="Z84" t="str">
        <f>IF(Y84=1,SUM($Y$5:$Y84),"")</f>
        <v/>
      </c>
    </row>
    <row r="85" spans="1:26">
      <c r="A85" s="27"/>
      <c r="B85" s="22"/>
      <c r="C85" s="22"/>
      <c r="D85" s="22"/>
      <c r="E85" s="23"/>
      <c r="F85" s="28"/>
      <c r="G85" s="24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6"/>
      <c xmlns="http://schemas.openxmlformats.org/spreadsheetml/2006/main" r="T85" s="23" t="str">
        <f t="shared" si="3"/>
        <v/>
      </c>
      <c xmlns="http://schemas.openxmlformats.org/spreadsheetml/2006/main" r="U85" s="22" t="str">
        <f t="shared" si="4"/>
        <v/>
      </c>
      <c xmlns="http://schemas.openxmlformats.org/spreadsheetml/2006/main" r="V85" s="18" t="str">
        <f t="shared" si="5"/>
        <v/>
      </c>
      <c r="W85" s="22"/>
      <c r="X85" s="22"/>
      <c xmlns="http://schemas.openxmlformats.org/spreadsheetml/2006/main" r="Y85">
        <f>IF($C85="",0,IF(COUNTIF($C$5:$C85,$C85)=1,1,0))</f>
        <v>0.0</v>
      </c>
      <c xmlns="http://schemas.openxmlformats.org/spreadsheetml/2006/main" r="Z85" t="str">
        <f>IF(Y85=1,SUM($Y$5:$Y85),"")</f>
        <v/>
      </c>
    </row>
    <row r="86" spans="1:26">
      <c r="A86" s="27"/>
      <c r="B86" s="22"/>
      <c r="C86" s="22"/>
      <c r="D86" s="22"/>
      <c r="E86" s="23"/>
      <c r="F86" s="28"/>
      <c r="G86" s="24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6"/>
      <c xmlns="http://schemas.openxmlformats.org/spreadsheetml/2006/main" r="T86" s="23" t="str">
        <f t="shared" si="3"/>
        <v/>
      </c>
      <c xmlns="http://schemas.openxmlformats.org/spreadsheetml/2006/main" r="U86" s="22" t="str">
        <f t="shared" si="4"/>
        <v/>
      </c>
      <c xmlns="http://schemas.openxmlformats.org/spreadsheetml/2006/main" r="V86" s="18" t="str">
        <f t="shared" si="5"/>
        <v/>
      </c>
      <c r="W86" s="22"/>
      <c r="X86" s="22"/>
      <c xmlns="http://schemas.openxmlformats.org/spreadsheetml/2006/main" r="Y86">
        <f>IF($C86="",0,IF(COUNTIF($C$5:$C86,$C86)=1,1,0))</f>
        <v>0.0</v>
      </c>
      <c xmlns="http://schemas.openxmlformats.org/spreadsheetml/2006/main" r="Z86" t="str">
        <f>IF(Y86=1,SUM($Y$5:$Y86),"")</f>
        <v/>
      </c>
    </row>
    <row r="87" spans="1:26">
      <c r="A87" s="27"/>
      <c r="B87" s="22"/>
      <c r="C87" s="22"/>
      <c r="D87" s="22"/>
      <c r="E87" s="23"/>
      <c r="F87" s="28"/>
      <c r="G87" s="24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6"/>
      <c xmlns="http://schemas.openxmlformats.org/spreadsheetml/2006/main" r="T87" s="23" t="str">
        <f t="shared" si="3"/>
        <v/>
      </c>
      <c xmlns="http://schemas.openxmlformats.org/spreadsheetml/2006/main" r="U87" s="22" t="str">
        <f t="shared" si="4"/>
        <v/>
      </c>
      <c xmlns="http://schemas.openxmlformats.org/spreadsheetml/2006/main" r="V87" s="18" t="str">
        <f t="shared" si="5"/>
        <v/>
      </c>
      <c r="W87" s="22"/>
      <c r="X87" s="22"/>
      <c xmlns="http://schemas.openxmlformats.org/spreadsheetml/2006/main" r="Y87">
        <f>IF($C87="",0,IF(COUNTIF($C$5:$C87,$C87)=1,1,0))</f>
        <v>0.0</v>
      </c>
      <c xmlns="http://schemas.openxmlformats.org/spreadsheetml/2006/main" r="Z87" t="str">
        <f>IF(Y87=1,SUM($Y$5:$Y87),"")</f>
        <v/>
      </c>
    </row>
    <row r="88" spans="1:26">
      <c r="A88" s="27"/>
      <c r="B88" s="22"/>
      <c r="C88" s="22"/>
      <c r="D88" s="22"/>
      <c r="E88" s="23"/>
      <c r="F88" s="28"/>
      <c r="G88" s="24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6"/>
      <c xmlns="http://schemas.openxmlformats.org/spreadsheetml/2006/main" r="T88" s="23" t="str">
        <f t="shared" si="3"/>
        <v/>
      </c>
      <c xmlns="http://schemas.openxmlformats.org/spreadsheetml/2006/main" r="U88" s="22" t="str">
        <f t="shared" si="4"/>
        <v/>
      </c>
      <c xmlns="http://schemas.openxmlformats.org/spreadsheetml/2006/main" r="V88" s="18" t="str">
        <f t="shared" si="5"/>
        <v/>
      </c>
      <c r="W88" s="22"/>
      <c r="X88" s="22"/>
      <c xmlns="http://schemas.openxmlformats.org/spreadsheetml/2006/main" r="Y88">
        <f>IF($C88="",0,IF(COUNTIF($C$5:$C88,$C88)=1,1,0))</f>
        <v>0.0</v>
      </c>
      <c xmlns="http://schemas.openxmlformats.org/spreadsheetml/2006/main" r="Z88" t="str">
        <f>IF(Y88=1,SUM($Y$5:$Y88),"")</f>
        <v/>
      </c>
    </row>
    <row r="89" spans="1:26">
      <c r="A89" s="27"/>
      <c r="B89" s="22"/>
      <c r="C89" s="22"/>
      <c r="D89" s="22"/>
      <c r="E89" s="23"/>
      <c r="F89" s="28"/>
      <c r="G89" s="24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6"/>
      <c xmlns="http://schemas.openxmlformats.org/spreadsheetml/2006/main" r="T89" s="23" t="str">
        <f t="shared" si="3"/>
        <v/>
      </c>
      <c xmlns="http://schemas.openxmlformats.org/spreadsheetml/2006/main" r="U89" s="22" t="str">
        <f t="shared" si="4"/>
        <v/>
      </c>
      <c xmlns="http://schemas.openxmlformats.org/spreadsheetml/2006/main" r="V89" s="18" t="str">
        <f t="shared" si="5"/>
        <v/>
      </c>
      <c r="W89" s="22"/>
      <c r="X89" s="22"/>
      <c xmlns="http://schemas.openxmlformats.org/spreadsheetml/2006/main" r="Y89">
        <f>IF($C89="",0,IF(COUNTIF($C$5:$C89,$C89)=1,1,0))</f>
        <v>0.0</v>
      </c>
      <c xmlns="http://schemas.openxmlformats.org/spreadsheetml/2006/main" r="Z89" t="str">
        <f>IF(Y89=1,SUM($Y$5:$Y89),"")</f>
        <v/>
      </c>
    </row>
    <row r="90" spans="1:26">
      <c r="A90" s="27"/>
      <c r="B90" s="22"/>
      <c r="C90" s="22"/>
      <c r="D90" s="22"/>
      <c r="E90" s="23"/>
      <c r="F90" s="28"/>
      <c r="G90" s="24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6"/>
      <c xmlns="http://schemas.openxmlformats.org/spreadsheetml/2006/main" r="T90" s="23" t="str">
        <f t="shared" si="3"/>
        <v/>
      </c>
      <c xmlns="http://schemas.openxmlformats.org/spreadsheetml/2006/main" r="U90" s="22" t="str">
        <f t="shared" si="4"/>
        <v/>
      </c>
      <c xmlns="http://schemas.openxmlformats.org/spreadsheetml/2006/main" r="V90" s="18" t="str">
        <f t="shared" si="5"/>
        <v/>
      </c>
      <c r="W90" s="22"/>
      <c r="X90" s="22"/>
      <c xmlns="http://schemas.openxmlformats.org/spreadsheetml/2006/main" r="Y90">
        <f>IF($C90="",0,IF(COUNTIF($C$5:$C90,$C90)=1,1,0))</f>
        <v>0.0</v>
      </c>
      <c xmlns="http://schemas.openxmlformats.org/spreadsheetml/2006/main" r="Z90" t="str">
        <f>IF(Y90=1,SUM($Y$5:$Y90),"")</f>
        <v/>
      </c>
    </row>
    <row r="91" spans="1:26">
      <c r="A91" s="27"/>
      <c r="B91" s="22"/>
      <c r="C91" s="22"/>
      <c r="D91" s="22"/>
      <c r="E91" s="23"/>
      <c r="F91" s="28"/>
      <c r="G91" s="24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6"/>
      <c xmlns="http://schemas.openxmlformats.org/spreadsheetml/2006/main" r="T91" s="23" t="str">
        <f t="shared" si="3"/>
        <v/>
      </c>
      <c xmlns="http://schemas.openxmlformats.org/spreadsheetml/2006/main" r="U91" s="22" t="str">
        <f t="shared" si="4"/>
        <v/>
      </c>
      <c xmlns="http://schemas.openxmlformats.org/spreadsheetml/2006/main" r="V91" s="18" t="str">
        <f t="shared" si="5"/>
        <v/>
      </c>
      <c r="W91" s="22"/>
      <c r="X91" s="22"/>
      <c xmlns="http://schemas.openxmlformats.org/spreadsheetml/2006/main" r="Y91">
        <f>IF($C91="",0,IF(COUNTIF($C$5:$C91,$C91)=1,1,0))</f>
        <v>0.0</v>
      </c>
      <c xmlns="http://schemas.openxmlformats.org/spreadsheetml/2006/main" r="Z91" t="str">
        <f>IF(Y91=1,SUM($Y$5:$Y91),"")</f>
        <v/>
      </c>
    </row>
    <row r="92" spans="1:26">
      <c r="A92" s="27"/>
      <c r="B92" s="22"/>
      <c r="C92" s="22"/>
      <c r="D92" s="22"/>
      <c r="E92" s="23"/>
      <c r="F92" s="28"/>
      <c r="G92" s="24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6"/>
      <c xmlns="http://schemas.openxmlformats.org/spreadsheetml/2006/main" r="T92" s="23" t="str">
        <f t="shared" si="3"/>
        <v/>
      </c>
      <c xmlns="http://schemas.openxmlformats.org/spreadsheetml/2006/main" r="U92" s="22" t="str">
        <f t="shared" si="4"/>
        <v/>
      </c>
      <c xmlns="http://schemas.openxmlformats.org/spreadsheetml/2006/main" r="V92" s="18" t="str">
        <f t="shared" si="5"/>
        <v/>
      </c>
      <c r="W92" s="22"/>
      <c r="X92" s="22"/>
      <c xmlns="http://schemas.openxmlformats.org/spreadsheetml/2006/main" r="Y92">
        <f>IF($C92="",0,IF(COUNTIF($C$5:$C92,$C92)=1,1,0))</f>
        <v>0.0</v>
      </c>
      <c xmlns="http://schemas.openxmlformats.org/spreadsheetml/2006/main" r="Z92" t="str">
        <f>IF(Y92=1,SUM($Y$5:$Y92),"")</f>
        <v/>
      </c>
    </row>
    <row r="93" spans="1:26">
      <c r="A93" s="27"/>
      <c r="B93" s="22"/>
      <c r="C93" s="22"/>
      <c r="D93" s="22"/>
      <c r="E93" s="23"/>
      <c r="F93" s="28"/>
      <c r="G93" s="24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6"/>
      <c xmlns="http://schemas.openxmlformats.org/spreadsheetml/2006/main" r="T93" s="23" t="str">
        <f t="shared" si="3"/>
        <v/>
      </c>
      <c xmlns="http://schemas.openxmlformats.org/spreadsheetml/2006/main" r="U93" s="22" t="str">
        <f t="shared" si="4"/>
        <v/>
      </c>
      <c xmlns="http://schemas.openxmlformats.org/spreadsheetml/2006/main" r="V93" s="18" t="str">
        <f t="shared" si="5"/>
        <v/>
      </c>
      <c r="W93" s="22"/>
      <c r="X93" s="22"/>
      <c xmlns="http://schemas.openxmlformats.org/spreadsheetml/2006/main" r="Y93">
        <f>IF($C93="",0,IF(COUNTIF($C$5:$C93,$C93)=1,1,0))</f>
        <v>0.0</v>
      </c>
      <c xmlns="http://schemas.openxmlformats.org/spreadsheetml/2006/main" r="Z93" t="str">
        <f>IF(Y93=1,SUM($Y$5:$Y93),"")</f>
        <v/>
      </c>
    </row>
    <row r="94" spans="1:26">
      <c r="A94" s="27"/>
      <c r="B94" s="22"/>
      <c r="C94" s="22"/>
      <c r="D94" s="22"/>
      <c r="E94" s="23"/>
      <c r="F94" s="28"/>
      <c r="G94" s="24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6"/>
      <c xmlns="http://schemas.openxmlformats.org/spreadsheetml/2006/main" r="T94" s="23" t="str">
        <f t="shared" si="3"/>
        <v/>
      </c>
      <c xmlns="http://schemas.openxmlformats.org/spreadsheetml/2006/main" r="U94" s="22" t="str">
        <f t="shared" si="4"/>
        <v/>
      </c>
      <c xmlns="http://schemas.openxmlformats.org/spreadsheetml/2006/main" r="V94" s="18" t="str">
        <f t="shared" si="5"/>
        <v/>
      </c>
      <c r="W94" s="22"/>
      <c r="X94" s="22"/>
      <c xmlns="http://schemas.openxmlformats.org/spreadsheetml/2006/main" r="Y94">
        <f>IF($C94="",0,IF(COUNTIF($C$5:$C94,$C94)=1,1,0))</f>
        <v>0.0</v>
      </c>
      <c xmlns="http://schemas.openxmlformats.org/spreadsheetml/2006/main" r="Z94" t="str">
        <f>IF(Y94=1,SUM($Y$5:$Y94),"")</f>
        <v/>
      </c>
    </row>
    <row r="95" spans="1:26">
      <c r="A95" s="27"/>
      <c r="B95" s="22"/>
      <c r="C95" s="22"/>
      <c r="D95" s="22"/>
      <c r="E95" s="23"/>
      <c r="F95" s="28"/>
      <c r="G95" s="24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6"/>
      <c xmlns="http://schemas.openxmlformats.org/spreadsheetml/2006/main" r="T95" s="23" t="str">
        <f t="shared" si="3"/>
        <v/>
      </c>
      <c xmlns="http://schemas.openxmlformats.org/spreadsheetml/2006/main" r="U95" s="22" t="str">
        <f t="shared" si="4"/>
        <v/>
      </c>
      <c xmlns="http://schemas.openxmlformats.org/spreadsheetml/2006/main" r="V95" s="18" t="str">
        <f t="shared" si="5"/>
        <v/>
      </c>
      <c r="W95" s="22"/>
      <c r="X95" s="22"/>
      <c xmlns="http://schemas.openxmlformats.org/spreadsheetml/2006/main" r="Y95">
        <f>IF($C95="",0,IF(COUNTIF($C$5:$C95,$C95)=1,1,0))</f>
        <v>0.0</v>
      </c>
      <c xmlns="http://schemas.openxmlformats.org/spreadsheetml/2006/main" r="Z95" t="str">
        <f>IF(Y95=1,SUM($Y$5:$Y95),"")</f>
        <v/>
      </c>
    </row>
    <row r="96" spans="1:26">
      <c r="A96" s="27"/>
      <c r="B96" s="22"/>
      <c r="C96" s="22"/>
      <c r="D96" s="22"/>
      <c r="E96" s="23"/>
      <c r="F96" s="28"/>
      <c r="G96" s="24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6"/>
      <c xmlns="http://schemas.openxmlformats.org/spreadsheetml/2006/main" r="T96" s="23" t="str">
        <f t="shared" si="3"/>
        <v/>
      </c>
      <c xmlns="http://schemas.openxmlformats.org/spreadsheetml/2006/main" r="U96" s="22" t="str">
        <f t="shared" si="4"/>
        <v/>
      </c>
      <c xmlns="http://schemas.openxmlformats.org/spreadsheetml/2006/main" r="V96" s="18" t="str">
        <f t="shared" si="5"/>
        <v/>
      </c>
      <c r="W96" s="22"/>
      <c r="X96" s="22"/>
      <c xmlns="http://schemas.openxmlformats.org/spreadsheetml/2006/main" r="Y96">
        <f>IF($C96="",0,IF(COUNTIF($C$5:$C96,$C96)=1,1,0))</f>
        <v>0.0</v>
      </c>
      <c xmlns="http://schemas.openxmlformats.org/spreadsheetml/2006/main" r="Z96" t="str">
        <f>IF(Y96=1,SUM($Y$5:$Y96),"")</f>
        <v/>
      </c>
    </row>
    <row r="97" spans="1:26">
      <c r="A97" s="27"/>
      <c r="B97" s="22"/>
      <c r="C97" s="22"/>
      <c r="D97" s="22"/>
      <c r="E97" s="23"/>
      <c r="F97" s="28"/>
      <c r="G97" s="24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6"/>
      <c xmlns="http://schemas.openxmlformats.org/spreadsheetml/2006/main" r="T97" s="23" t="str">
        <f t="shared" si="3"/>
        <v/>
      </c>
      <c xmlns="http://schemas.openxmlformats.org/spreadsheetml/2006/main" r="U97" s="22" t="str">
        <f t="shared" si="4"/>
        <v/>
      </c>
      <c xmlns="http://schemas.openxmlformats.org/spreadsheetml/2006/main" r="V97" s="18" t="str">
        <f t="shared" si="5"/>
        <v/>
      </c>
      <c r="W97" s="22"/>
      <c r="X97" s="22"/>
      <c xmlns="http://schemas.openxmlformats.org/spreadsheetml/2006/main" r="Y97">
        <f>IF($C97="",0,IF(COUNTIF($C$5:$C97,$C97)=1,1,0))</f>
        <v>0.0</v>
      </c>
      <c xmlns="http://schemas.openxmlformats.org/spreadsheetml/2006/main" r="Z97" t="str">
        <f>IF(Y97=1,SUM($Y$5:$Y97),"")</f>
        <v/>
      </c>
    </row>
    <row r="98" spans="1:26">
      <c r="A98" s="27"/>
      <c r="B98" s="22"/>
      <c r="C98" s="22"/>
      <c r="D98" s="22"/>
      <c r="E98" s="23"/>
      <c r="F98" s="28"/>
      <c r="G98" s="24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6"/>
      <c xmlns="http://schemas.openxmlformats.org/spreadsheetml/2006/main" r="T98" s="23" t="str">
        <f t="shared" si="3"/>
        <v/>
      </c>
      <c xmlns="http://schemas.openxmlformats.org/spreadsheetml/2006/main" r="U98" s="22" t="str">
        <f t="shared" si="4"/>
        <v/>
      </c>
      <c xmlns="http://schemas.openxmlformats.org/spreadsheetml/2006/main" r="V98" s="18" t="str">
        <f t="shared" si="5"/>
        <v/>
      </c>
      <c r="W98" s="22"/>
      <c r="X98" s="22"/>
      <c xmlns="http://schemas.openxmlformats.org/spreadsheetml/2006/main" r="Y98">
        <f>IF($C98="",0,IF(COUNTIF($C$5:$C98,$C98)=1,1,0))</f>
        <v>0.0</v>
      </c>
      <c xmlns="http://schemas.openxmlformats.org/spreadsheetml/2006/main" r="Z98" t="str">
        <f>IF(Y98=1,SUM($Y$5:$Y98),"")</f>
        <v/>
      </c>
    </row>
    <row r="99" spans="1:26">
      <c r="A99" s="27"/>
      <c r="B99" s="22"/>
      <c r="C99" s="22"/>
      <c r="D99" s="22"/>
      <c r="E99" s="23"/>
      <c r="F99" s="28"/>
      <c r="G99" s="24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6"/>
      <c xmlns="http://schemas.openxmlformats.org/spreadsheetml/2006/main" r="T99" s="23" t="str">
        <f t="shared" si="3"/>
        <v/>
      </c>
      <c xmlns="http://schemas.openxmlformats.org/spreadsheetml/2006/main" r="U99" s="22" t="str">
        <f t="shared" si="4"/>
        <v/>
      </c>
      <c xmlns="http://schemas.openxmlformats.org/spreadsheetml/2006/main" r="V99" s="18" t="str">
        <f t="shared" si="5"/>
        <v/>
      </c>
      <c r="W99" s="22"/>
      <c r="X99" s="22"/>
      <c xmlns="http://schemas.openxmlformats.org/spreadsheetml/2006/main" r="Y99">
        <f>IF($C99="",0,IF(COUNTIF($C$5:$C99,$C99)=1,1,0))</f>
        <v>0.0</v>
      </c>
      <c xmlns="http://schemas.openxmlformats.org/spreadsheetml/2006/main" r="Z99" t="str">
        <f>IF(Y99=1,SUM($Y$5:$Y99),"")</f>
        <v/>
      </c>
    </row>
    <row r="100" spans="1:26">
      <c r="A100" s="27"/>
      <c r="B100" s="22"/>
      <c r="C100" s="22"/>
      <c r="D100" s="22"/>
      <c r="E100" s="23"/>
      <c r="F100" s="28"/>
      <c r="G100" s="24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6"/>
      <c xmlns="http://schemas.openxmlformats.org/spreadsheetml/2006/main" r="T100" s="23" t="str">
        <f t="shared" si="3"/>
        <v/>
      </c>
      <c xmlns="http://schemas.openxmlformats.org/spreadsheetml/2006/main" r="U100" s="22" t="str">
        <f t="shared" si="4"/>
        <v/>
      </c>
      <c xmlns="http://schemas.openxmlformats.org/spreadsheetml/2006/main" r="V100" s="18" t="str">
        <f t="shared" si="5"/>
        <v/>
      </c>
      <c r="W100" s="22"/>
      <c r="X100" s="22"/>
      <c xmlns="http://schemas.openxmlformats.org/spreadsheetml/2006/main" r="Y100">
        <f>IF($C100="",0,IF(COUNTIF($C$5:$C100,$C100)=1,1,0))</f>
        <v>0.0</v>
      </c>
      <c xmlns="http://schemas.openxmlformats.org/spreadsheetml/2006/main" r="Z100" t="str">
        <f>IF(Y100=1,SUM($Y$5:$Y100),"")</f>
        <v/>
      </c>
    </row>
    <row r="101" spans="1:26">
      <c r="A101" s="27"/>
      <c r="B101" s="22"/>
      <c r="C101" s="22"/>
      <c r="D101" s="22"/>
      <c r="E101" s="23"/>
      <c r="F101" s="28"/>
      <c r="G101" s="24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6"/>
      <c xmlns="http://schemas.openxmlformats.org/spreadsheetml/2006/main" r="T101" s="23" t="str">
        <f t="shared" si="3"/>
        <v/>
      </c>
      <c xmlns="http://schemas.openxmlformats.org/spreadsheetml/2006/main" r="U101" s="22" t="str">
        <f t="shared" si="4"/>
        <v/>
      </c>
      <c xmlns="http://schemas.openxmlformats.org/spreadsheetml/2006/main" r="V101" s="18" t="str">
        <f t="shared" si="5"/>
        <v/>
      </c>
      <c r="W101" s="22"/>
      <c r="X101" s="22"/>
      <c xmlns="http://schemas.openxmlformats.org/spreadsheetml/2006/main" r="Y101">
        <f>IF($C101="",0,IF(COUNTIF($C$5:$C101,$C101)=1,1,0))</f>
        <v>0.0</v>
      </c>
      <c xmlns="http://schemas.openxmlformats.org/spreadsheetml/2006/main" r="Z101" t="str">
        <f>IF(Y101=1,SUM($Y$5:$Y101),"")</f>
        <v/>
      </c>
    </row>
    <row r="102" spans="1:26">
      <c r="A102" s="27"/>
      <c r="B102" s="22"/>
      <c r="C102" s="22"/>
      <c r="D102" s="22"/>
      <c r="E102" s="23"/>
      <c r="F102" s="28"/>
      <c r="G102" s="24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6"/>
      <c xmlns="http://schemas.openxmlformats.org/spreadsheetml/2006/main" r="T102" s="23" t="str">
        <f t="shared" si="3"/>
        <v/>
      </c>
      <c xmlns="http://schemas.openxmlformats.org/spreadsheetml/2006/main" r="U102" s="22" t="str">
        <f t="shared" si="4"/>
        <v/>
      </c>
      <c xmlns="http://schemas.openxmlformats.org/spreadsheetml/2006/main" r="V102" s="18" t="str">
        <f t="shared" si="5"/>
        <v/>
      </c>
      <c r="W102" s="22"/>
      <c r="X102" s="22"/>
      <c xmlns="http://schemas.openxmlformats.org/spreadsheetml/2006/main" r="Y102">
        <f>IF($C102="",0,IF(COUNTIF($C$5:$C102,$C102)=1,1,0))</f>
        <v>0.0</v>
      </c>
      <c xmlns="http://schemas.openxmlformats.org/spreadsheetml/2006/main" r="Z102" t="str">
        <f>IF(Y102=1,SUM($Y$5:$Y102),"")</f>
        <v/>
      </c>
    </row>
    <row r="103" spans="1:26">
      <c r="A103" s="27"/>
      <c r="B103" s="22"/>
      <c r="C103" s="22"/>
      <c r="D103" s="22"/>
      <c r="E103" s="23"/>
      <c r="F103" s="28"/>
      <c r="G103" s="24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6"/>
      <c xmlns="http://schemas.openxmlformats.org/spreadsheetml/2006/main" r="T103" s="23" t="str">
        <f t="shared" si="3"/>
        <v/>
      </c>
      <c xmlns="http://schemas.openxmlformats.org/spreadsheetml/2006/main" r="U103" s="22" t="str">
        <f t="shared" si="4"/>
        <v/>
      </c>
      <c xmlns="http://schemas.openxmlformats.org/spreadsheetml/2006/main" r="V103" s="18" t="str">
        <f t="shared" si="5"/>
        <v/>
      </c>
      <c r="W103" s="22"/>
      <c r="X103" s="22"/>
      <c xmlns="http://schemas.openxmlformats.org/spreadsheetml/2006/main" r="Y103">
        <f>IF($C103="",0,IF(COUNTIF($C$5:$C103,$C103)=1,1,0))</f>
        <v>0.0</v>
      </c>
      <c xmlns="http://schemas.openxmlformats.org/spreadsheetml/2006/main" r="Z103" t="str">
        <f>IF(Y103=1,SUM($Y$5:$Y103),"")</f>
        <v/>
      </c>
    </row>
    <row r="104" spans="1:26">
      <c r="A104" s="27"/>
      <c r="B104" s="22"/>
      <c r="C104" s="22"/>
      <c r="D104" s="22"/>
      <c r="E104" s="23"/>
      <c r="F104" s="28"/>
      <c r="G104" s="24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6"/>
      <c xmlns="http://schemas.openxmlformats.org/spreadsheetml/2006/main" r="T104" s="23" t="str">
        <f t="shared" si="3"/>
        <v/>
      </c>
      <c xmlns="http://schemas.openxmlformats.org/spreadsheetml/2006/main" r="U104" s="22" t="str">
        <f t="shared" si="4"/>
        <v/>
      </c>
      <c xmlns="http://schemas.openxmlformats.org/spreadsheetml/2006/main" r="V104" s="18" t="str">
        <f t="shared" si="5"/>
        <v/>
      </c>
      <c r="W104" s="22"/>
      <c r="X104" s="22"/>
      <c xmlns="http://schemas.openxmlformats.org/spreadsheetml/2006/main" r="Y104">
        <f>IF($C104="",0,IF(COUNTIF($C$5:$C104,$C104)=1,1,0))</f>
        <v>0.0</v>
      </c>
      <c xmlns="http://schemas.openxmlformats.org/spreadsheetml/2006/main" r="Z104" t="str">
        <f>IF(Y104=1,SUM($Y$5:$Y104),"")</f>
        <v/>
      </c>
    </row>
    <row r="105" spans="1:26">
      <c r="A105" s="27"/>
      <c r="B105" s="22"/>
      <c r="C105" s="22"/>
      <c r="D105" s="22"/>
      <c r="E105" s="23"/>
      <c r="F105" s="28"/>
      <c r="G105" s="24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6"/>
      <c xmlns="http://schemas.openxmlformats.org/spreadsheetml/2006/main" r="T105" s="23" t="str">
        <f t="shared" si="3"/>
        <v/>
      </c>
      <c xmlns="http://schemas.openxmlformats.org/spreadsheetml/2006/main" r="U105" s="22" t="str">
        <f t="shared" si="4"/>
        <v/>
      </c>
      <c xmlns="http://schemas.openxmlformats.org/spreadsheetml/2006/main" r="V105" s="18" t="str">
        <f t="shared" si="5"/>
        <v/>
      </c>
      <c r="W105" s="22"/>
      <c r="X105" s="22"/>
      <c xmlns="http://schemas.openxmlformats.org/spreadsheetml/2006/main" r="Y105">
        <f>IF($C105="",0,IF(COUNTIF($C$5:$C105,$C105)=1,1,0))</f>
        <v>0.0</v>
      </c>
      <c xmlns="http://schemas.openxmlformats.org/spreadsheetml/2006/main" r="Z105" t="str">
        <f>IF(Y105=1,SUM($Y$5:$Y105),"")</f>
        <v/>
      </c>
    </row>
    <row r="106" spans="1:26">
      <c r="A106" s="27"/>
      <c r="B106" s="22"/>
      <c r="C106" s="22"/>
      <c r="D106" s="22"/>
      <c r="E106" s="23"/>
      <c r="F106" s="28"/>
      <c r="G106" s="24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6"/>
      <c xmlns="http://schemas.openxmlformats.org/spreadsheetml/2006/main" r="T106" s="23" t="str">
        <f t="shared" si="3"/>
        <v/>
      </c>
      <c xmlns="http://schemas.openxmlformats.org/spreadsheetml/2006/main" r="U106" s="22" t="str">
        <f t="shared" si="4"/>
        <v/>
      </c>
      <c xmlns="http://schemas.openxmlformats.org/spreadsheetml/2006/main" r="V106" s="18" t="str">
        <f t="shared" si="5"/>
        <v/>
      </c>
      <c r="W106" s="22"/>
      <c r="X106" s="22"/>
      <c xmlns="http://schemas.openxmlformats.org/spreadsheetml/2006/main" r="Y106">
        <f>IF($C106="",0,IF(COUNTIF($C$5:$C106,$C106)=1,1,0))</f>
        <v>0.0</v>
      </c>
      <c xmlns="http://schemas.openxmlformats.org/spreadsheetml/2006/main" r="Z106" t="str">
        <f>IF(Y106=1,SUM($Y$5:$Y106),"")</f>
        <v/>
      </c>
    </row>
    <row r="107" spans="1:26">
      <c r="A107" s="27"/>
      <c r="B107" s="22"/>
      <c r="C107" s="22"/>
      <c r="D107" s="22"/>
      <c r="E107" s="23"/>
      <c r="F107" s="28"/>
      <c r="G107" s="24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6"/>
      <c xmlns="http://schemas.openxmlformats.org/spreadsheetml/2006/main" r="T107" s="23" t="str">
        <f t="shared" si="3"/>
        <v/>
      </c>
      <c xmlns="http://schemas.openxmlformats.org/spreadsheetml/2006/main" r="U107" s="22" t="str">
        <f t="shared" si="4"/>
        <v/>
      </c>
      <c xmlns="http://schemas.openxmlformats.org/spreadsheetml/2006/main" r="V107" s="18" t="str">
        <f t="shared" si="5"/>
        <v/>
      </c>
      <c r="W107" s="22"/>
      <c r="X107" s="22"/>
      <c xmlns="http://schemas.openxmlformats.org/spreadsheetml/2006/main" r="Y107">
        <f>IF($C107="",0,IF(COUNTIF($C$5:$C107,$C107)=1,1,0))</f>
        <v>0.0</v>
      </c>
      <c xmlns="http://schemas.openxmlformats.org/spreadsheetml/2006/main" r="Z107" t="str">
        <f>IF(Y107=1,SUM($Y$5:$Y107),"")</f>
        <v/>
      </c>
    </row>
    <row r="108" spans="1:26">
      <c r="A108" s="27"/>
      <c r="B108" s="22"/>
      <c r="C108" s="22"/>
      <c r="D108" s="22"/>
      <c r="E108" s="23"/>
      <c r="F108" s="28"/>
      <c r="G108" s="24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  <c xmlns="http://schemas.openxmlformats.org/spreadsheetml/2006/main" r="T108" s="23" t="str">
        <f t="shared" si="3"/>
        <v/>
      </c>
      <c xmlns="http://schemas.openxmlformats.org/spreadsheetml/2006/main" r="U108" s="22" t="str">
        <f t="shared" si="4"/>
        <v/>
      </c>
      <c xmlns="http://schemas.openxmlformats.org/spreadsheetml/2006/main" r="V108" s="18" t="str">
        <f t="shared" si="5"/>
        <v/>
      </c>
      <c r="W108" s="22"/>
      <c r="X108" s="22"/>
      <c xmlns="http://schemas.openxmlformats.org/spreadsheetml/2006/main" r="Y108">
        <f>IF($C108="",0,IF(COUNTIF($C$5:$C108,$C108)=1,1,0))</f>
        <v>0.0</v>
      </c>
      <c xmlns="http://schemas.openxmlformats.org/spreadsheetml/2006/main" r="Z108" t="str">
        <f>IF(Y108=1,SUM($Y$5:$Y108),"")</f>
        <v/>
      </c>
    </row>
    <row r="109" spans="1:26">
      <c r="A109" s="27"/>
      <c r="B109" s="22"/>
      <c r="C109" s="22"/>
      <c r="D109" s="22"/>
      <c r="E109" s="23"/>
      <c r="F109" s="28"/>
      <c r="G109" s="24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6"/>
      <c xmlns="http://schemas.openxmlformats.org/spreadsheetml/2006/main" r="T109" s="23" t="str">
        <f t="shared" si="3"/>
        <v/>
      </c>
      <c xmlns="http://schemas.openxmlformats.org/spreadsheetml/2006/main" r="U109" s="22" t="str">
        <f t="shared" si="4"/>
        <v/>
      </c>
      <c xmlns="http://schemas.openxmlformats.org/spreadsheetml/2006/main" r="V109" s="18" t="str">
        <f t="shared" si="5"/>
        <v/>
      </c>
      <c r="W109" s="22"/>
      <c r="X109" s="22"/>
      <c xmlns="http://schemas.openxmlformats.org/spreadsheetml/2006/main" r="Y109">
        <f>IF($C109="",0,IF(COUNTIF($C$5:$C109,$C109)=1,1,0))</f>
        <v>0.0</v>
      </c>
      <c xmlns="http://schemas.openxmlformats.org/spreadsheetml/2006/main" r="Z109" t="str">
        <f>IF(Y109=1,SUM($Y$5:$Y109),"")</f>
        <v/>
      </c>
    </row>
    <row r="110" spans="1:26">
      <c r="A110" s="27"/>
      <c r="B110" s="22"/>
      <c r="C110" s="22"/>
      <c r="D110" s="22"/>
      <c r="E110" s="23"/>
      <c r="F110" s="28"/>
      <c r="G110" s="24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6"/>
      <c xmlns="http://schemas.openxmlformats.org/spreadsheetml/2006/main" r="T110" s="23" t="str">
        <f t="shared" si="3"/>
        <v/>
      </c>
      <c xmlns="http://schemas.openxmlformats.org/spreadsheetml/2006/main" r="U110" s="22" t="str">
        <f t="shared" si="4"/>
        <v/>
      </c>
      <c xmlns="http://schemas.openxmlformats.org/spreadsheetml/2006/main" r="V110" s="18" t="str">
        <f t="shared" si="5"/>
        <v/>
      </c>
      <c r="W110" s="22"/>
      <c r="X110" s="22"/>
      <c xmlns="http://schemas.openxmlformats.org/spreadsheetml/2006/main" r="Y110">
        <f>IF($C110="",0,IF(COUNTIF($C$5:$C110,$C110)=1,1,0))</f>
        <v>0.0</v>
      </c>
      <c xmlns="http://schemas.openxmlformats.org/spreadsheetml/2006/main" r="Z110" t="str">
        <f>IF(Y110=1,SUM($Y$5:$Y110),"")</f>
        <v/>
      </c>
    </row>
    <row r="111" spans="1:26">
      <c r="A111" s="27"/>
      <c r="B111" s="22"/>
      <c r="C111" s="22"/>
      <c r="D111" s="22"/>
      <c r="E111" s="23"/>
      <c r="F111" s="28"/>
      <c r="G111" s="24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6"/>
      <c xmlns="http://schemas.openxmlformats.org/spreadsheetml/2006/main" r="T111" s="23" t="str">
        <f t="shared" si="3"/>
        <v/>
      </c>
      <c xmlns="http://schemas.openxmlformats.org/spreadsheetml/2006/main" r="U111" s="22" t="str">
        <f t="shared" si="4"/>
        <v/>
      </c>
      <c xmlns="http://schemas.openxmlformats.org/spreadsheetml/2006/main" r="V111" s="18" t="str">
        <f t="shared" si="5"/>
        <v/>
      </c>
      <c r="W111" s="22"/>
      <c r="X111" s="22"/>
      <c xmlns="http://schemas.openxmlformats.org/spreadsheetml/2006/main" r="Y111">
        <f>IF($C111="",0,IF(COUNTIF($C$5:$C111,$C111)=1,1,0))</f>
        <v>0.0</v>
      </c>
      <c xmlns="http://schemas.openxmlformats.org/spreadsheetml/2006/main" r="Z111" t="str">
        <f>IF(Y111=1,SUM($Y$5:$Y111),"")</f>
        <v/>
      </c>
    </row>
    <row r="112" spans="1:26">
      <c r="A112" s="27"/>
      <c r="B112" s="22"/>
      <c r="C112" s="22"/>
      <c r="D112" s="22"/>
      <c r="E112" s="23"/>
      <c r="F112" s="28"/>
      <c r="G112" s="24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6"/>
      <c xmlns="http://schemas.openxmlformats.org/spreadsheetml/2006/main" r="T112" s="23" t="str">
        <f t="shared" si="3"/>
        <v/>
      </c>
      <c xmlns="http://schemas.openxmlformats.org/spreadsheetml/2006/main" r="U112" s="22" t="str">
        <f t="shared" si="4"/>
        <v/>
      </c>
      <c xmlns="http://schemas.openxmlformats.org/spreadsheetml/2006/main" r="V112" s="18" t="str">
        <f t="shared" si="5"/>
        <v/>
      </c>
      <c r="W112" s="22"/>
      <c r="X112" s="22"/>
      <c xmlns="http://schemas.openxmlformats.org/spreadsheetml/2006/main" r="Y112">
        <f>IF($C112="",0,IF(COUNTIF($C$5:$C112,$C112)=1,1,0))</f>
        <v>0.0</v>
      </c>
      <c xmlns="http://schemas.openxmlformats.org/spreadsheetml/2006/main" r="Z112" t="str">
        <f>IF(Y112=1,SUM($Y$5:$Y112),"")</f>
        <v/>
      </c>
    </row>
    <row r="113" spans="1:26">
      <c r="A113" s="27"/>
      <c r="B113" s="22"/>
      <c r="C113" s="22"/>
      <c r="D113" s="22"/>
      <c r="E113" s="23"/>
      <c r="F113" s="28"/>
      <c r="G113" s="24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6"/>
      <c xmlns="http://schemas.openxmlformats.org/spreadsheetml/2006/main" r="T113" s="23" t="str">
        <f t="shared" si="3"/>
        <v/>
      </c>
      <c xmlns="http://schemas.openxmlformats.org/spreadsheetml/2006/main" r="U113" s="22" t="str">
        <f t="shared" si="4"/>
        <v/>
      </c>
      <c xmlns="http://schemas.openxmlformats.org/spreadsheetml/2006/main" r="V113" s="18" t="str">
        <f t="shared" si="5"/>
        <v/>
      </c>
      <c r="W113" s="22"/>
      <c r="X113" s="22"/>
      <c xmlns="http://schemas.openxmlformats.org/spreadsheetml/2006/main" r="Y113">
        <f>IF($C113="",0,IF(COUNTIF($C$5:$C113,$C113)=1,1,0))</f>
        <v>0.0</v>
      </c>
      <c xmlns="http://schemas.openxmlformats.org/spreadsheetml/2006/main" r="Z113" t="str">
        <f>IF(Y113=1,SUM($Y$5:$Y113),"")</f>
        <v/>
      </c>
    </row>
    <row r="114" spans="1:26">
      <c r="A114" s="27"/>
      <c r="B114" s="22"/>
      <c r="C114" s="22"/>
      <c r="D114" s="22"/>
      <c r="E114" s="23"/>
      <c r="F114" s="28"/>
      <c r="G114" s="24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6"/>
      <c xmlns="http://schemas.openxmlformats.org/spreadsheetml/2006/main" r="T114" s="23" t="str">
        <f t="shared" si="3"/>
        <v/>
      </c>
      <c xmlns="http://schemas.openxmlformats.org/spreadsheetml/2006/main" r="U114" s="22" t="str">
        <f t="shared" si="4"/>
        <v/>
      </c>
      <c xmlns="http://schemas.openxmlformats.org/spreadsheetml/2006/main" r="V114" s="18" t="str">
        <f t="shared" si="5"/>
        <v/>
      </c>
      <c r="W114" s="22"/>
      <c r="X114" s="22"/>
      <c xmlns="http://schemas.openxmlformats.org/spreadsheetml/2006/main" r="Y114">
        <f>IF($C114="",0,IF(COUNTIF($C$5:$C114,$C114)=1,1,0))</f>
        <v>0.0</v>
      </c>
      <c xmlns="http://schemas.openxmlformats.org/spreadsheetml/2006/main" r="Z114" t="str">
        <f>IF(Y114=1,SUM($Y$5:$Y114),"")</f>
        <v/>
      </c>
    </row>
    <row r="115" spans="1:26">
      <c r="A115" s="27"/>
      <c r="B115" s="22"/>
      <c r="C115" s="22"/>
      <c r="D115" s="22"/>
      <c r="E115" s="23"/>
      <c r="F115" s="28"/>
      <c r="G115" s="24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6"/>
      <c xmlns="http://schemas.openxmlformats.org/spreadsheetml/2006/main" r="T115" s="23" t="str">
        <f t="shared" si="3"/>
        <v/>
      </c>
      <c xmlns="http://schemas.openxmlformats.org/spreadsheetml/2006/main" r="U115" s="22" t="str">
        <f t="shared" si="4"/>
        <v/>
      </c>
      <c xmlns="http://schemas.openxmlformats.org/spreadsheetml/2006/main" r="V115" s="18" t="str">
        <f t="shared" si="5"/>
        <v/>
      </c>
      <c r="W115" s="22"/>
      <c r="X115" s="22"/>
      <c xmlns="http://schemas.openxmlformats.org/spreadsheetml/2006/main" r="Y115">
        <f>IF($C115="",0,IF(COUNTIF($C$5:$C115,$C115)=1,1,0))</f>
        <v>0.0</v>
      </c>
      <c xmlns="http://schemas.openxmlformats.org/spreadsheetml/2006/main" r="Z115" t="str">
        <f>IF(Y115=1,SUM($Y$5:$Y115),"")</f>
        <v/>
      </c>
    </row>
    <row r="116" spans="1:26">
      <c r="A116" s="27"/>
      <c r="B116" s="22"/>
      <c r="C116" s="22"/>
      <c r="D116" s="22"/>
      <c r="E116" s="23"/>
      <c r="F116" s="28"/>
      <c r="G116" s="24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6"/>
      <c xmlns="http://schemas.openxmlformats.org/spreadsheetml/2006/main" r="T116" s="23" t="str">
        <f t="shared" si="3"/>
        <v/>
      </c>
      <c xmlns="http://schemas.openxmlformats.org/spreadsheetml/2006/main" r="U116" s="22" t="str">
        <f t="shared" si="4"/>
        <v/>
      </c>
      <c xmlns="http://schemas.openxmlformats.org/spreadsheetml/2006/main" r="V116" s="18" t="str">
        <f t="shared" si="5"/>
        <v/>
      </c>
      <c r="W116" s="22"/>
      <c r="X116" s="22"/>
      <c xmlns="http://schemas.openxmlformats.org/spreadsheetml/2006/main" r="Y116">
        <f>IF($C116="",0,IF(COUNTIF($C$5:$C116,$C116)=1,1,0))</f>
        <v>0.0</v>
      </c>
      <c xmlns="http://schemas.openxmlformats.org/spreadsheetml/2006/main" r="Z116" t="str">
        <f>IF(Y116=1,SUM($Y$5:$Y116),"")</f>
        <v/>
      </c>
    </row>
    <row r="117" spans="1:26">
      <c r="A117" s="27"/>
      <c r="B117" s="22"/>
      <c r="C117" s="22"/>
      <c r="D117" s="22"/>
      <c r="E117" s="23"/>
      <c r="F117" s="28"/>
      <c r="G117" s="24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6"/>
      <c xmlns="http://schemas.openxmlformats.org/spreadsheetml/2006/main" r="T117" s="23" t="str">
        <f t="shared" si="3"/>
        <v/>
      </c>
      <c xmlns="http://schemas.openxmlformats.org/spreadsheetml/2006/main" r="U117" s="22" t="str">
        <f t="shared" si="4"/>
        <v/>
      </c>
      <c xmlns="http://schemas.openxmlformats.org/spreadsheetml/2006/main" r="V117" s="18" t="str">
        <f t="shared" si="5"/>
        <v/>
      </c>
      <c r="W117" s="22"/>
      <c r="X117" s="22"/>
      <c xmlns="http://schemas.openxmlformats.org/spreadsheetml/2006/main" r="Y117">
        <f>IF($C117="",0,IF(COUNTIF($C$5:$C117,$C117)=1,1,0))</f>
        <v>0.0</v>
      </c>
      <c xmlns="http://schemas.openxmlformats.org/spreadsheetml/2006/main" r="Z117" t="str">
        <f>IF(Y117=1,SUM($Y$5:$Y117),"")</f>
        <v/>
      </c>
    </row>
    <row r="118" spans="1:26">
      <c r="A118" s="27"/>
      <c r="B118" s="22"/>
      <c r="C118" s="22"/>
      <c r="D118" s="22"/>
      <c r="E118" s="23"/>
      <c r="F118" s="28"/>
      <c r="G118" s="24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6"/>
      <c xmlns="http://schemas.openxmlformats.org/spreadsheetml/2006/main" r="T118" s="23" t="str">
        <f t="shared" si="3"/>
        <v/>
      </c>
      <c xmlns="http://schemas.openxmlformats.org/spreadsheetml/2006/main" r="U118" s="22" t="str">
        <f t="shared" si="4"/>
        <v/>
      </c>
      <c xmlns="http://schemas.openxmlformats.org/spreadsheetml/2006/main" r="V118" s="18" t="str">
        <f t="shared" si="5"/>
        <v/>
      </c>
      <c r="W118" s="22"/>
      <c r="X118" s="22"/>
      <c xmlns="http://schemas.openxmlformats.org/spreadsheetml/2006/main" r="Y118">
        <f>IF($C118="",0,IF(COUNTIF($C$5:$C118,$C118)=1,1,0))</f>
        <v>0.0</v>
      </c>
      <c xmlns="http://schemas.openxmlformats.org/spreadsheetml/2006/main" r="Z118" t="str">
        <f>IF(Y118=1,SUM($Y$5:$Y118),"")</f>
        <v/>
      </c>
    </row>
    <row r="119" spans="1:26">
      <c r="A119" s="27"/>
      <c r="B119" s="22"/>
      <c r="C119" s="22"/>
      <c r="D119" s="22"/>
      <c r="E119" s="23"/>
      <c r="F119" s="28"/>
      <c r="G119" s="24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6"/>
      <c xmlns="http://schemas.openxmlformats.org/spreadsheetml/2006/main" r="T119" s="23" t="str">
        <f t="shared" si="3"/>
        <v/>
      </c>
      <c xmlns="http://schemas.openxmlformats.org/spreadsheetml/2006/main" r="U119" s="22" t="str">
        <f t="shared" si="4"/>
        <v/>
      </c>
      <c xmlns="http://schemas.openxmlformats.org/spreadsheetml/2006/main" r="V119" s="18" t="str">
        <f t="shared" si="5"/>
        <v/>
      </c>
      <c r="W119" s="22"/>
      <c r="X119" s="22"/>
      <c xmlns="http://schemas.openxmlformats.org/spreadsheetml/2006/main" r="Y119">
        <f>IF($C119="",0,IF(COUNTIF($C$5:$C119,$C119)=1,1,0))</f>
        <v>0.0</v>
      </c>
      <c xmlns="http://schemas.openxmlformats.org/spreadsheetml/2006/main" r="Z119" t="str">
        <f>IF(Y119=1,SUM($Y$5:$Y119),"")</f>
        <v/>
      </c>
    </row>
    <row r="120" spans="1:26">
      <c r="A120" s="27"/>
      <c r="B120" s="22"/>
      <c r="C120" s="22"/>
      <c r="D120" s="22"/>
      <c r="E120" s="23"/>
      <c r="F120" s="28"/>
      <c r="G120" s="24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6"/>
      <c xmlns="http://schemas.openxmlformats.org/spreadsheetml/2006/main" r="T120" s="23" t="str">
        <f t="shared" si="3"/>
        <v/>
      </c>
      <c xmlns="http://schemas.openxmlformats.org/spreadsheetml/2006/main" r="U120" s="22" t="str">
        <f t="shared" si="4"/>
        <v/>
      </c>
      <c xmlns="http://schemas.openxmlformats.org/spreadsheetml/2006/main" r="V120" s="18" t="str">
        <f t="shared" si="5"/>
        <v/>
      </c>
      <c r="W120" s="22"/>
      <c r="X120" s="22"/>
      <c xmlns="http://schemas.openxmlformats.org/spreadsheetml/2006/main" r="Y120">
        <f>IF($C120="",0,IF(COUNTIF($C$5:$C120,$C120)=1,1,0))</f>
        <v>0.0</v>
      </c>
      <c xmlns="http://schemas.openxmlformats.org/spreadsheetml/2006/main" r="Z120" t="str">
        <f>IF(Y120=1,SUM($Y$5:$Y120),"")</f>
        <v/>
      </c>
    </row>
    <row r="121" spans="1:26">
      <c r="A121" s="27"/>
      <c r="B121" s="22"/>
      <c r="C121" s="22"/>
      <c r="D121" s="22"/>
      <c r="E121" s="23"/>
      <c r="F121" s="28"/>
      <c r="G121" s="24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6"/>
      <c xmlns="http://schemas.openxmlformats.org/spreadsheetml/2006/main" r="T121" s="23" t="str">
        <f t="shared" si="3"/>
        <v/>
      </c>
      <c xmlns="http://schemas.openxmlformats.org/spreadsheetml/2006/main" r="U121" s="22" t="str">
        <f t="shared" si="4"/>
        <v/>
      </c>
      <c xmlns="http://schemas.openxmlformats.org/spreadsheetml/2006/main" r="V121" s="18" t="str">
        <f t="shared" si="5"/>
        <v/>
      </c>
      <c r="W121" s="22"/>
      <c r="X121" s="22"/>
      <c xmlns="http://schemas.openxmlformats.org/spreadsheetml/2006/main" r="Y121">
        <f>IF($C121="",0,IF(COUNTIF($C$5:$C121,$C121)=1,1,0))</f>
        <v>0.0</v>
      </c>
      <c xmlns="http://schemas.openxmlformats.org/spreadsheetml/2006/main" r="Z121" t="str">
        <f>IF(Y121=1,SUM($Y$5:$Y121),"")</f>
        <v/>
      </c>
    </row>
    <row r="122" spans="1:26">
      <c r="A122" s="27"/>
      <c r="B122" s="22"/>
      <c r="C122" s="22"/>
      <c r="D122" s="22"/>
      <c r="E122" s="23"/>
      <c r="F122" s="28"/>
      <c r="G122" s="24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6"/>
      <c xmlns="http://schemas.openxmlformats.org/spreadsheetml/2006/main" r="T122" s="23" t="str">
        <f t="shared" si="3"/>
        <v/>
      </c>
      <c xmlns="http://schemas.openxmlformats.org/spreadsheetml/2006/main" r="U122" s="22" t="str">
        <f t="shared" si="4"/>
        <v/>
      </c>
      <c xmlns="http://schemas.openxmlformats.org/spreadsheetml/2006/main" r="V122" s="18" t="str">
        <f t="shared" si="5"/>
        <v/>
      </c>
      <c r="W122" s="22"/>
      <c r="X122" s="22"/>
      <c xmlns="http://schemas.openxmlformats.org/spreadsheetml/2006/main" r="Y122">
        <f>IF($C122="",0,IF(COUNTIF($C$5:$C122,$C122)=1,1,0))</f>
        <v>0.0</v>
      </c>
      <c xmlns="http://schemas.openxmlformats.org/spreadsheetml/2006/main" r="Z122" t="str">
        <f>IF(Y122=1,SUM($Y$5:$Y122),"")</f>
        <v/>
      </c>
    </row>
    <row r="123" spans="1:26">
      <c r="A123" s="27"/>
      <c r="B123" s="22"/>
      <c r="C123" s="22"/>
      <c r="D123" s="22"/>
      <c r="E123" s="23"/>
      <c r="F123" s="28"/>
      <c r="G123" s="24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6"/>
      <c xmlns="http://schemas.openxmlformats.org/spreadsheetml/2006/main" r="T123" s="23" t="str">
        <f t="shared" si="3"/>
        <v/>
      </c>
      <c xmlns="http://schemas.openxmlformats.org/spreadsheetml/2006/main" r="U123" s="22" t="str">
        <f t="shared" si="4"/>
        <v/>
      </c>
      <c xmlns="http://schemas.openxmlformats.org/spreadsheetml/2006/main" r="V123" s="18" t="str">
        <f t="shared" si="5"/>
        <v/>
      </c>
      <c r="W123" s="22"/>
      <c r="X123" s="22"/>
      <c xmlns="http://schemas.openxmlformats.org/spreadsheetml/2006/main" r="Y123">
        <f>IF($C123="",0,IF(COUNTIF($C$5:$C123,$C123)=1,1,0))</f>
        <v>0.0</v>
      </c>
      <c xmlns="http://schemas.openxmlformats.org/spreadsheetml/2006/main" r="Z123" t="str">
        <f>IF(Y123=1,SUM($Y$5:$Y123),"")</f>
        <v/>
      </c>
    </row>
    <row r="124" spans="1:26">
      <c r="A124" s="27"/>
      <c r="B124" s="22"/>
      <c r="C124" s="22"/>
      <c r="D124" s="22"/>
      <c r="E124" s="23"/>
      <c r="F124" s="28"/>
      <c r="G124" s="24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6"/>
      <c xmlns="http://schemas.openxmlformats.org/spreadsheetml/2006/main" r="T124" s="23" t="str">
        <f t="shared" si="3"/>
        <v/>
      </c>
      <c xmlns="http://schemas.openxmlformats.org/spreadsheetml/2006/main" r="U124" s="22" t="str">
        <f t="shared" si="4"/>
        <v/>
      </c>
      <c xmlns="http://schemas.openxmlformats.org/spreadsheetml/2006/main" r="V124" s="18" t="str">
        <f t="shared" si="5"/>
        <v/>
      </c>
      <c r="W124" s="22"/>
      <c r="X124" s="22"/>
      <c xmlns="http://schemas.openxmlformats.org/spreadsheetml/2006/main" r="Y124">
        <f>IF($C124="",0,IF(COUNTIF($C$5:$C124,$C124)=1,1,0))</f>
        <v>0.0</v>
      </c>
      <c xmlns="http://schemas.openxmlformats.org/spreadsheetml/2006/main" r="Z124" t="str">
        <f>IF(Y124=1,SUM($Y$5:$Y124),"")</f>
        <v/>
      </c>
    </row>
    <row r="125" spans="1:26">
      <c r="A125" s="27"/>
      <c r="B125" s="22"/>
      <c r="C125" s="22"/>
      <c r="D125" s="22"/>
      <c r="E125" s="23"/>
      <c r="F125" s="28"/>
      <c r="G125" s="24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6"/>
      <c xmlns="http://schemas.openxmlformats.org/spreadsheetml/2006/main" r="T125" s="23" t="str">
        <f t="shared" si="3"/>
        <v/>
      </c>
      <c xmlns="http://schemas.openxmlformats.org/spreadsheetml/2006/main" r="U125" s="22" t="str">
        <f t="shared" si="4"/>
        <v/>
      </c>
      <c xmlns="http://schemas.openxmlformats.org/spreadsheetml/2006/main" r="V125" s="18" t="str">
        <f t="shared" si="5"/>
        <v/>
      </c>
      <c r="W125" s="22"/>
      <c r="X125" s="22"/>
      <c xmlns="http://schemas.openxmlformats.org/spreadsheetml/2006/main" r="Y125">
        <f>IF($C125="",0,IF(COUNTIF($C$5:$C125,$C125)=1,1,0))</f>
        <v>0.0</v>
      </c>
      <c xmlns="http://schemas.openxmlformats.org/spreadsheetml/2006/main" r="Z125" t="str">
        <f>IF(Y125=1,SUM($Y$5:$Y125),"")</f>
        <v/>
      </c>
    </row>
    <row r="126" spans="1:26">
      <c r="A126" s="27"/>
      <c r="B126" s="22"/>
      <c r="C126" s="22"/>
      <c r="D126" s="22"/>
      <c r="E126" s="23"/>
      <c r="F126" s="28"/>
      <c r="G126" s="24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6"/>
      <c xmlns="http://schemas.openxmlformats.org/spreadsheetml/2006/main" r="T126" s="23" t="str">
        <f t="shared" si="3"/>
        <v/>
      </c>
      <c xmlns="http://schemas.openxmlformats.org/spreadsheetml/2006/main" r="U126" s="22" t="str">
        <f t="shared" si="4"/>
        <v/>
      </c>
      <c xmlns="http://schemas.openxmlformats.org/spreadsheetml/2006/main" r="V126" s="18" t="str">
        <f t="shared" si="5"/>
        <v/>
      </c>
      <c r="W126" s="22"/>
      <c r="X126" s="22"/>
      <c xmlns="http://schemas.openxmlformats.org/spreadsheetml/2006/main" r="Y126">
        <f>IF($C126="",0,IF(COUNTIF($C$5:$C126,$C126)=1,1,0))</f>
        <v>0.0</v>
      </c>
      <c xmlns="http://schemas.openxmlformats.org/spreadsheetml/2006/main" r="Z126" t="str">
        <f>IF(Y126=1,SUM($Y$5:$Y126),"")</f>
        <v/>
      </c>
    </row>
    <row r="127" spans="1:26">
      <c r="A127" s="27"/>
      <c r="B127" s="22"/>
      <c r="C127" s="22"/>
      <c r="D127" s="22"/>
      <c r="E127" s="23"/>
      <c r="F127" s="28"/>
      <c r="G127" s="24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6"/>
      <c xmlns="http://schemas.openxmlformats.org/spreadsheetml/2006/main" r="T127" s="23" t="str">
        <f t="shared" si="3"/>
        <v/>
      </c>
      <c xmlns="http://schemas.openxmlformats.org/spreadsheetml/2006/main" r="U127" s="22" t="str">
        <f t="shared" si="4"/>
        <v/>
      </c>
      <c xmlns="http://schemas.openxmlformats.org/spreadsheetml/2006/main" r="V127" s="18" t="str">
        <f t="shared" si="5"/>
        <v/>
      </c>
      <c r="W127" s="22"/>
      <c r="X127" s="22"/>
      <c xmlns="http://schemas.openxmlformats.org/spreadsheetml/2006/main" r="Y127">
        <f>IF($C127="",0,IF(COUNTIF($C$5:$C127,$C127)=1,1,0))</f>
        <v>0.0</v>
      </c>
      <c xmlns="http://schemas.openxmlformats.org/spreadsheetml/2006/main" r="Z127" t="str">
        <f>IF(Y127=1,SUM($Y$5:$Y127),"")</f>
        <v/>
      </c>
    </row>
    <row r="128" spans="1:26">
      <c r="A128" s="27"/>
      <c r="B128" s="22"/>
      <c r="C128" s="22"/>
      <c r="D128" s="22"/>
      <c r="E128" s="23"/>
      <c r="F128" s="28"/>
      <c r="G128" s="24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6"/>
      <c xmlns="http://schemas.openxmlformats.org/spreadsheetml/2006/main" r="T128" s="23" t="str">
        <f t="shared" si="3"/>
        <v/>
      </c>
      <c xmlns="http://schemas.openxmlformats.org/spreadsheetml/2006/main" r="U128" s="22" t="str">
        <f t="shared" si="4"/>
        <v/>
      </c>
      <c xmlns="http://schemas.openxmlformats.org/spreadsheetml/2006/main" r="V128" s="18" t="str">
        <f t="shared" si="5"/>
        <v/>
      </c>
      <c r="W128" s="22"/>
      <c r="X128" s="22"/>
      <c xmlns="http://schemas.openxmlformats.org/spreadsheetml/2006/main" r="Y128">
        <f>IF($C128="",0,IF(COUNTIF($C$5:$C128,$C128)=1,1,0))</f>
        <v>0.0</v>
      </c>
      <c xmlns="http://schemas.openxmlformats.org/spreadsheetml/2006/main" r="Z128" t="str">
        <f>IF(Y128=1,SUM($Y$5:$Y128),"")</f>
        <v/>
      </c>
    </row>
    <row r="129" spans="1:26">
      <c r="A129" s="27"/>
      <c r="B129" s="22"/>
      <c r="C129" s="22"/>
      <c r="D129" s="22"/>
      <c r="E129" s="23"/>
      <c r="F129" s="28"/>
      <c r="G129" s="24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6"/>
      <c xmlns="http://schemas.openxmlformats.org/spreadsheetml/2006/main" r="T129" s="23" t="str">
        <f t="shared" si="3"/>
        <v/>
      </c>
      <c xmlns="http://schemas.openxmlformats.org/spreadsheetml/2006/main" r="U129" s="22" t="str">
        <f t="shared" si="4"/>
        <v/>
      </c>
      <c xmlns="http://schemas.openxmlformats.org/spreadsheetml/2006/main" r="V129" s="18" t="str">
        <f t="shared" si="5"/>
        <v/>
      </c>
      <c r="W129" s="22"/>
      <c r="X129" s="22"/>
      <c xmlns="http://schemas.openxmlformats.org/spreadsheetml/2006/main" r="Y129">
        <f>IF($C129="",0,IF(COUNTIF($C$5:$C129,$C129)=1,1,0))</f>
        <v>0.0</v>
      </c>
      <c xmlns="http://schemas.openxmlformats.org/spreadsheetml/2006/main" r="Z129" t="str">
        <f>IF(Y129=1,SUM($Y$5:$Y129),"")</f>
        <v/>
      </c>
    </row>
    <row r="130" spans="1:26">
      <c r="A130" s="27"/>
      <c r="B130" s="22"/>
      <c r="C130" s="22"/>
      <c r="D130" s="22"/>
      <c r="E130" s="23"/>
      <c r="F130" s="28"/>
      <c r="G130" s="24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6"/>
      <c xmlns="http://schemas.openxmlformats.org/spreadsheetml/2006/main" r="T130" s="23" t="str">
        <f t="shared" si="3"/>
        <v/>
      </c>
      <c xmlns="http://schemas.openxmlformats.org/spreadsheetml/2006/main" r="U130" s="22" t="str">
        <f t="shared" si="4"/>
        <v/>
      </c>
      <c xmlns="http://schemas.openxmlformats.org/spreadsheetml/2006/main" r="V130" s="18" t="str">
        <f t="shared" si="5"/>
        <v/>
      </c>
      <c r="W130" s="22"/>
      <c r="X130" s="22"/>
      <c xmlns="http://schemas.openxmlformats.org/spreadsheetml/2006/main" r="Y130">
        <f>IF($C130="",0,IF(COUNTIF($C$5:$C130,$C130)=1,1,0))</f>
        <v>0.0</v>
      </c>
      <c xmlns="http://schemas.openxmlformats.org/spreadsheetml/2006/main" r="Z130" t="str">
        <f>IF(Y130=1,SUM($Y$5:$Y130),"")</f>
        <v/>
      </c>
    </row>
    <row r="131" spans="1:26">
      <c r="A131" s="27"/>
      <c r="B131" s="22"/>
      <c r="C131" s="22"/>
      <c r="D131" s="22"/>
      <c r="E131" s="23"/>
      <c r="F131" s="28"/>
      <c r="G131" s="24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6"/>
      <c xmlns="http://schemas.openxmlformats.org/spreadsheetml/2006/main" r="T131" s="23" t="str">
        <f t="shared" si="3"/>
        <v/>
      </c>
      <c xmlns="http://schemas.openxmlformats.org/spreadsheetml/2006/main" r="U131" s="22" t="str">
        <f t="shared" si="4"/>
        <v/>
      </c>
      <c xmlns="http://schemas.openxmlformats.org/spreadsheetml/2006/main" r="V131" s="18" t="str">
        <f t="shared" si="5"/>
        <v/>
      </c>
      <c r="W131" s="22"/>
      <c r="X131" s="22"/>
      <c xmlns="http://schemas.openxmlformats.org/spreadsheetml/2006/main" r="Y131">
        <f>IF($C131="",0,IF(COUNTIF($C$5:$C131,$C131)=1,1,0))</f>
        <v>0.0</v>
      </c>
      <c xmlns="http://schemas.openxmlformats.org/spreadsheetml/2006/main" r="Z131" t="str">
        <f>IF(Y131=1,SUM($Y$5:$Y131),"")</f>
        <v/>
      </c>
    </row>
    <row r="132" spans="1:26">
      <c r="A132" s="27"/>
      <c r="B132" s="22"/>
      <c r="C132" s="22"/>
      <c r="D132" s="22"/>
      <c r="E132" s="23"/>
      <c r="F132" s="28"/>
      <c r="G132" s="24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6"/>
      <c xmlns="http://schemas.openxmlformats.org/spreadsheetml/2006/main" r="T132" s="23" t="str">
        <f t="shared" si="3"/>
        <v/>
      </c>
      <c xmlns="http://schemas.openxmlformats.org/spreadsheetml/2006/main" r="U132" s="22" t="str">
        <f t="shared" si="4"/>
        <v/>
      </c>
      <c xmlns="http://schemas.openxmlformats.org/spreadsheetml/2006/main" r="V132" s="18" t="str">
        <f t="shared" si="5"/>
        <v/>
      </c>
      <c r="W132" s="22"/>
      <c r="X132" s="22"/>
      <c xmlns="http://schemas.openxmlformats.org/spreadsheetml/2006/main" r="Y132">
        <f>IF($C132="",0,IF(COUNTIF($C$5:$C132,$C132)=1,1,0))</f>
        <v>0.0</v>
      </c>
      <c xmlns="http://schemas.openxmlformats.org/spreadsheetml/2006/main" r="Z132" t="str">
        <f>IF(Y132=1,SUM($Y$5:$Y132),"")</f>
        <v/>
      </c>
    </row>
    <row r="133" spans="1:26">
      <c r="A133" s="27"/>
      <c r="B133" s="22"/>
      <c r="C133" s="22"/>
      <c r="D133" s="22"/>
      <c r="E133" s="23"/>
      <c r="F133" s="28"/>
      <c r="G133" s="24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6"/>
      <c xmlns="http://schemas.openxmlformats.org/spreadsheetml/2006/main" r="T133" s="23" t="str">
        <f t="shared" ref="T133:T196" si="6">IF($D133="","",COUNTIF($H133:$R133,"V"))</f>
        <v/>
      </c>
      <c xmlns="http://schemas.openxmlformats.org/spreadsheetml/2006/main" r="U133" s="22" t="str">
        <f t="shared" ref="U133:U196" si="7">IF($D133="","",IF(AND($S133="V",$T133&gt;0),"⚠ 勾選矛盾",IF($S133="V","○ 免調理",IF($T133=0,"⚠ 資料缺漏",IF($T133=1,"▲ 單一設備依賴","OK")))))</f>
        <v/>
      </c>
      <c xmlns="http://schemas.openxmlformats.org/spreadsheetml/2006/main" r="V133" s="18" t="str">
        <f t="shared" ref="V133:V196" si="8">IF($D133="","",IF(AND($S133="V",$T133&gt;0),"「無使用調理設備」不可與設備欄同時勾選，請擇一修正",IF($S133="V","免調理半成品（外購/僅切配等），不列入設備風險評估",IF($T133=0,"未勾選任何設備，請補填或勾選「無使用調理設備」",IF($T133=1,"僅依賴1台設備，須確認故障/排修時之備援製程","無異常")))))</f>
        <v/>
      </c>
      <c r="W133" s="22"/>
      <c r="X133" s="22"/>
      <c xmlns="http://schemas.openxmlformats.org/spreadsheetml/2006/main" r="Y133">
        <f>IF($C133="",0,IF(COUNTIF($C$5:$C133,$C133)=1,1,0))</f>
        <v>0.0</v>
      </c>
      <c xmlns="http://schemas.openxmlformats.org/spreadsheetml/2006/main" r="Z133" t="str">
        <f>IF(Y133=1,SUM($Y$5:$Y133),"")</f>
        <v/>
      </c>
    </row>
    <row r="134" spans="1:26">
      <c r="A134" s="27"/>
      <c r="B134" s="22"/>
      <c r="C134" s="22"/>
      <c r="D134" s="22"/>
      <c r="E134" s="23"/>
      <c r="F134" s="28"/>
      <c r="G134" s="24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  <c xmlns="http://schemas.openxmlformats.org/spreadsheetml/2006/main" r="T134" s="23" t="str">
        <f t="shared" si="6"/>
        <v/>
      </c>
      <c xmlns="http://schemas.openxmlformats.org/spreadsheetml/2006/main" r="U134" s="22" t="str">
        <f t="shared" si="7"/>
        <v/>
      </c>
      <c xmlns="http://schemas.openxmlformats.org/spreadsheetml/2006/main" r="V134" s="18" t="str">
        <f t="shared" si="8"/>
        <v/>
      </c>
      <c r="W134" s="22"/>
      <c r="X134" s="22"/>
      <c xmlns="http://schemas.openxmlformats.org/spreadsheetml/2006/main" r="Y134">
        <f>IF($C134="",0,IF(COUNTIF($C$5:$C134,$C134)=1,1,0))</f>
        <v>0.0</v>
      </c>
      <c xmlns="http://schemas.openxmlformats.org/spreadsheetml/2006/main" r="Z134" t="str">
        <f>IF(Y134=1,SUM($Y$5:$Y134),"")</f>
        <v/>
      </c>
    </row>
    <row r="135" spans="1:26">
      <c r="A135" s="27"/>
      <c r="B135" s="22"/>
      <c r="C135" s="22"/>
      <c r="D135" s="22"/>
      <c r="E135" s="23"/>
      <c r="F135" s="28"/>
      <c r="G135" s="24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6"/>
      <c xmlns="http://schemas.openxmlformats.org/spreadsheetml/2006/main" r="T135" s="23" t="str">
        <f t="shared" si="6"/>
        <v/>
      </c>
      <c xmlns="http://schemas.openxmlformats.org/spreadsheetml/2006/main" r="U135" s="22" t="str">
        <f t="shared" si="7"/>
        <v/>
      </c>
      <c xmlns="http://schemas.openxmlformats.org/spreadsheetml/2006/main" r="V135" s="18" t="str">
        <f t="shared" si="8"/>
        <v/>
      </c>
      <c r="W135" s="22"/>
      <c r="X135" s="22"/>
      <c xmlns="http://schemas.openxmlformats.org/spreadsheetml/2006/main" r="Y135">
        <f>IF($C135="",0,IF(COUNTIF($C$5:$C135,$C135)=1,1,0))</f>
        <v>0.0</v>
      </c>
      <c xmlns="http://schemas.openxmlformats.org/spreadsheetml/2006/main" r="Z135" t="str">
        <f>IF(Y135=1,SUM($Y$5:$Y135),"")</f>
        <v/>
      </c>
    </row>
    <row r="136" spans="1:26">
      <c r="A136" s="27"/>
      <c r="B136" s="22"/>
      <c r="C136" s="22"/>
      <c r="D136" s="22"/>
      <c r="E136" s="23"/>
      <c r="F136" s="28"/>
      <c r="G136" s="24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6"/>
      <c xmlns="http://schemas.openxmlformats.org/spreadsheetml/2006/main" r="T136" s="23" t="str">
        <f t="shared" si="6"/>
        <v/>
      </c>
      <c xmlns="http://schemas.openxmlformats.org/spreadsheetml/2006/main" r="U136" s="22" t="str">
        <f t="shared" si="7"/>
        <v/>
      </c>
      <c xmlns="http://schemas.openxmlformats.org/spreadsheetml/2006/main" r="V136" s="18" t="str">
        <f t="shared" si="8"/>
        <v/>
      </c>
      <c r="W136" s="22"/>
      <c r="X136" s="22"/>
      <c xmlns="http://schemas.openxmlformats.org/spreadsheetml/2006/main" r="Y136">
        <f>IF($C136="",0,IF(COUNTIF($C$5:$C136,$C136)=1,1,0))</f>
        <v>0.0</v>
      </c>
      <c xmlns="http://schemas.openxmlformats.org/spreadsheetml/2006/main" r="Z136" t="str">
        <f>IF(Y136=1,SUM($Y$5:$Y136),"")</f>
        <v/>
      </c>
    </row>
    <row r="137" spans="1:26">
      <c r="A137" s="27"/>
      <c r="B137" s="22"/>
      <c r="C137" s="22"/>
      <c r="D137" s="22"/>
      <c r="E137" s="23"/>
      <c r="F137" s="28"/>
      <c r="G137" s="24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6"/>
      <c xmlns="http://schemas.openxmlformats.org/spreadsheetml/2006/main" r="T137" s="23" t="str">
        <f t="shared" si="6"/>
        <v/>
      </c>
      <c xmlns="http://schemas.openxmlformats.org/spreadsheetml/2006/main" r="U137" s="22" t="str">
        <f t="shared" si="7"/>
        <v/>
      </c>
      <c xmlns="http://schemas.openxmlformats.org/spreadsheetml/2006/main" r="V137" s="18" t="str">
        <f t="shared" si="8"/>
        <v/>
      </c>
      <c r="W137" s="22"/>
      <c r="X137" s="22"/>
      <c xmlns="http://schemas.openxmlformats.org/spreadsheetml/2006/main" r="Y137">
        <f>IF($C137="",0,IF(COUNTIF($C$5:$C137,$C137)=1,1,0))</f>
        <v>0.0</v>
      </c>
      <c xmlns="http://schemas.openxmlformats.org/spreadsheetml/2006/main" r="Z137" t="str">
        <f>IF(Y137=1,SUM($Y$5:$Y137),"")</f>
        <v/>
      </c>
    </row>
    <row r="138" spans="1:26">
      <c r="A138" s="27"/>
      <c r="B138" s="22"/>
      <c r="C138" s="22"/>
      <c r="D138" s="22"/>
      <c r="E138" s="23"/>
      <c r="F138" s="28"/>
      <c r="G138" s="24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6"/>
      <c xmlns="http://schemas.openxmlformats.org/spreadsheetml/2006/main" r="T138" s="23" t="str">
        <f t="shared" si="6"/>
        <v/>
      </c>
      <c xmlns="http://schemas.openxmlformats.org/spreadsheetml/2006/main" r="U138" s="22" t="str">
        <f t="shared" si="7"/>
        <v/>
      </c>
      <c xmlns="http://schemas.openxmlformats.org/spreadsheetml/2006/main" r="V138" s="18" t="str">
        <f t="shared" si="8"/>
        <v/>
      </c>
      <c r="W138" s="22"/>
      <c r="X138" s="22"/>
      <c xmlns="http://schemas.openxmlformats.org/spreadsheetml/2006/main" r="Y138">
        <f>IF($C138="",0,IF(COUNTIF($C$5:$C138,$C138)=1,1,0))</f>
        <v>0.0</v>
      </c>
      <c xmlns="http://schemas.openxmlformats.org/spreadsheetml/2006/main" r="Z138" t="str">
        <f>IF(Y138=1,SUM($Y$5:$Y138),"")</f>
        <v/>
      </c>
    </row>
    <row r="139" spans="1:26">
      <c r="A139" s="27"/>
      <c r="B139" s="22"/>
      <c r="C139" s="22"/>
      <c r="D139" s="22"/>
      <c r="E139" s="23"/>
      <c r="F139" s="28"/>
      <c r="G139" s="24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6"/>
      <c xmlns="http://schemas.openxmlformats.org/spreadsheetml/2006/main" r="T139" s="23" t="str">
        <f t="shared" si="6"/>
        <v/>
      </c>
      <c xmlns="http://schemas.openxmlformats.org/spreadsheetml/2006/main" r="U139" s="22" t="str">
        <f t="shared" si="7"/>
        <v/>
      </c>
      <c xmlns="http://schemas.openxmlformats.org/spreadsheetml/2006/main" r="V139" s="18" t="str">
        <f t="shared" si="8"/>
        <v/>
      </c>
      <c r="W139" s="22"/>
      <c r="X139" s="22"/>
      <c xmlns="http://schemas.openxmlformats.org/spreadsheetml/2006/main" r="Y139">
        <f>IF($C139="",0,IF(COUNTIF($C$5:$C139,$C139)=1,1,0))</f>
        <v>0.0</v>
      </c>
      <c xmlns="http://schemas.openxmlformats.org/spreadsheetml/2006/main" r="Z139" t="str">
        <f>IF(Y139=1,SUM($Y$5:$Y139),"")</f>
        <v/>
      </c>
    </row>
    <row r="140" spans="1:26">
      <c r="A140" s="27"/>
      <c r="B140" s="22"/>
      <c r="C140" s="22"/>
      <c r="D140" s="22"/>
      <c r="E140" s="23"/>
      <c r="F140" s="28"/>
      <c r="G140" s="24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6"/>
      <c xmlns="http://schemas.openxmlformats.org/spreadsheetml/2006/main" r="T140" s="23" t="str">
        <f t="shared" si="6"/>
        <v/>
      </c>
      <c xmlns="http://schemas.openxmlformats.org/spreadsheetml/2006/main" r="U140" s="22" t="str">
        <f t="shared" si="7"/>
        <v/>
      </c>
      <c xmlns="http://schemas.openxmlformats.org/spreadsheetml/2006/main" r="V140" s="18" t="str">
        <f t="shared" si="8"/>
        <v/>
      </c>
      <c r="W140" s="22"/>
      <c r="X140" s="22"/>
      <c xmlns="http://schemas.openxmlformats.org/spreadsheetml/2006/main" r="Y140">
        <f>IF($C140="",0,IF(COUNTIF($C$5:$C140,$C140)=1,1,0))</f>
        <v>0.0</v>
      </c>
      <c xmlns="http://schemas.openxmlformats.org/spreadsheetml/2006/main" r="Z140" t="str">
        <f>IF(Y140=1,SUM($Y$5:$Y140),"")</f>
        <v/>
      </c>
    </row>
    <row r="141" spans="1:26">
      <c r="A141" s="27"/>
      <c r="B141" s="22"/>
      <c r="C141" s="22"/>
      <c r="D141" s="22"/>
      <c r="E141" s="23"/>
      <c r="F141" s="28"/>
      <c r="G141" s="24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6"/>
      <c xmlns="http://schemas.openxmlformats.org/spreadsheetml/2006/main" r="T141" s="23" t="str">
        <f t="shared" si="6"/>
        <v/>
      </c>
      <c xmlns="http://schemas.openxmlformats.org/spreadsheetml/2006/main" r="U141" s="22" t="str">
        <f t="shared" si="7"/>
        <v/>
      </c>
      <c xmlns="http://schemas.openxmlformats.org/spreadsheetml/2006/main" r="V141" s="18" t="str">
        <f t="shared" si="8"/>
        <v/>
      </c>
      <c r="W141" s="22"/>
      <c r="X141" s="22"/>
      <c xmlns="http://schemas.openxmlformats.org/spreadsheetml/2006/main" r="Y141">
        <f>IF($C141="",0,IF(COUNTIF($C$5:$C141,$C141)=1,1,0))</f>
        <v>0.0</v>
      </c>
      <c xmlns="http://schemas.openxmlformats.org/spreadsheetml/2006/main" r="Z141" t="str">
        <f>IF(Y141=1,SUM($Y$5:$Y141),"")</f>
        <v/>
      </c>
    </row>
    <row r="142" spans="1:26">
      <c r="A142" s="27"/>
      <c r="B142" s="22"/>
      <c r="C142" s="22"/>
      <c r="D142" s="22"/>
      <c r="E142" s="23"/>
      <c r="F142" s="28"/>
      <c r="G142" s="24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6"/>
      <c xmlns="http://schemas.openxmlformats.org/spreadsheetml/2006/main" r="T142" s="23" t="str">
        <f t="shared" si="6"/>
        <v/>
      </c>
      <c xmlns="http://schemas.openxmlformats.org/spreadsheetml/2006/main" r="U142" s="22" t="str">
        <f t="shared" si="7"/>
        <v/>
      </c>
      <c xmlns="http://schemas.openxmlformats.org/spreadsheetml/2006/main" r="V142" s="18" t="str">
        <f t="shared" si="8"/>
        <v/>
      </c>
      <c r="W142" s="22"/>
      <c r="X142" s="22"/>
      <c xmlns="http://schemas.openxmlformats.org/spreadsheetml/2006/main" r="Y142">
        <f>IF($C142="",0,IF(COUNTIF($C$5:$C142,$C142)=1,1,0))</f>
        <v>0.0</v>
      </c>
      <c xmlns="http://schemas.openxmlformats.org/spreadsheetml/2006/main" r="Z142" t="str">
        <f>IF(Y142=1,SUM($Y$5:$Y142),"")</f>
        <v/>
      </c>
    </row>
    <row r="143" spans="1:26">
      <c r="A143" s="27"/>
      <c r="B143" s="22"/>
      <c r="C143" s="22"/>
      <c r="D143" s="22"/>
      <c r="E143" s="23"/>
      <c r="F143" s="28"/>
      <c r="G143" s="24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6"/>
      <c xmlns="http://schemas.openxmlformats.org/spreadsheetml/2006/main" r="T143" s="23" t="str">
        <f t="shared" si="6"/>
        <v/>
      </c>
      <c xmlns="http://schemas.openxmlformats.org/spreadsheetml/2006/main" r="U143" s="22" t="str">
        <f t="shared" si="7"/>
        <v/>
      </c>
      <c xmlns="http://schemas.openxmlformats.org/spreadsheetml/2006/main" r="V143" s="18" t="str">
        <f t="shared" si="8"/>
        <v/>
      </c>
      <c r="W143" s="22"/>
      <c r="X143" s="22"/>
      <c xmlns="http://schemas.openxmlformats.org/spreadsheetml/2006/main" r="Y143">
        <f>IF($C143="",0,IF(COUNTIF($C$5:$C143,$C143)=1,1,0))</f>
        <v>0.0</v>
      </c>
      <c xmlns="http://schemas.openxmlformats.org/spreadsheetml/2006/main" r="Z143" t="str">
        <f>IF(Y143=1,SUM($Y$5:$Y143),"")</f>
        <v/>
      </c>
    </row>
    <row r="144" spans="1:26">
      <c r="A144" s="27"/>
      <c r="B144" s="22"/>
      <c r="C144" s="22"/>
      <c r="D144" s="22"/>
      <c r="E144" s="23"/>
      <c r="F144" s="28"/>
      <c r="G144" s="24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6"/>
      <c xmlns="http://schemas.openxmlformats.org/spreadsheetml/2006/main" r="T144" s="23" t="str">
        <f t="shared" si="6"/>
        <v/>
      </c>
      <c xmlns="http://schemas.openxmlformats.org/spreadsheetml/2006/main" r="U144" s="22" t="str">
        <f t="shared" si="7"/>
        <v/>
      </c>
      <c xmlns="http://schemas.openxmlformats.org/spreadsheetml/2006/main" r="V144" s="18" t="str">
        <f t="shared" si="8"/>
        <v/>
      </c>
      <c r="W144" s="22"/>
      <c r="X144" s="22"/>
      <c xmlns="http://schemas.openxmlformats.org/spreadsheetml/2006/main" r="Y144">
        <f>IF($C144="",0,IF(COUNTIF($C$5:$C144,$C144)=1,1,0))</f>
        <v>0.0</v>
      </c>
      <c xmlns="http://schemas.openxmlformats.org/spreadsheetml/2006/main" r="Z144" t="str">
        <f>IF(Y144=1,SUM($Y$5:$Y144),"")</f>
        <v/>
      </c>
    </row>
    <row r="145" spans="1:26">
      <c r="A145" s="27"/>
      <c r="B145" s="22"/>
      <c r="C145" s="22"/>
      <c r="D145" s="22"/>
      <c r="E145" s="23"/>
      <c r="F145" s="28"/>
      <c r="G145" s="24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6"/>
      <c xmlns="http://schemas.openxmlformats.org/spreadsheetml/2006/main" r="T145" s="23" t="str">
        <f t="shared" si="6"/>
        <v/>
      </c>
      <c xmlns="http://schemas.openxmlformats.org/spreadsheetml/2006/main" r="U145" s="22" t="str">
        <f t="shared" si="7"/>
        <v/>
      </c>
      <c xmlns="http://schemas.openxmlformats.org/spreadsheetml/2006/main" r="V145" s="18" t="str">
        <f t="shared" si="8"/>
        <v/>
      </c>
      <c r="W145" s="22"/>
      <c r="X145" s="22"/>
      <c xmlns="http://schemas.openxmlformats.org/spreadsheetml/2006/main" r="Y145">
        <f>IF($C145="",0,IF(COUNTIF($C$5:$C145,$C145)=1,1,0))</f>
        <v>0.0</v>
      </c>
      <c xmlns="http://schemas.openxmlformats.org/spreadsheetml/2006/main" r="Z145" t="str">
        <f>IF(Y145=1,SUM($Y$5:$Y145),"")</f>
        <v/>
      </c>
    </row>
    <row r="146" spans="1:26">
      <c r="A146" s="27"/>
      <c r="B146" s="22"/>
      <c r="C146" s="22"/>
      <c r="D146" s="22"/>
      <c r="E146" s="23"/>
      <c r="F146" s="28"/>
      <c r="G146" s="24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6"/>
      <c xmlns="http://schemas.openxmlformats.org/spreadsheetml/2006/main" r="T146" s="23" t="str">
        <f t="shared" si="6"/>
        <v/>
      </c>
      <c xmlns="http://schemas.openxmlformats.org/spreadsheetml/2006/main" r="U146" s="22" t="str">
        <f t="shared" si="7"/>
        <v/>
      </c>
      <c xmlns="http://schemas.openxmlformats.org/spreadsheetml/2006/main" r="V146" s="18" t="str">
        <f t="shared" si="8"/>
        <v/>
      </c>
      <c r="W146" s="22"/>
      <c r="X146" s="22"/>
      <c xmlns="http://schemas.openxmlformats.org/spreadsheetml/2006/main" r="Y146">
        <f>IF($C146="",0,IF(COUNTIF($C$5:$C146,$C146)=1,1,0))</f>
        <v>0.0</v>
      </c>
      <c xmlns="http://schemas.openxmlformats.org/spreadsheetml/2006/main" r="Z146" t="str">
        <f>IF(Y146=1,SUM($Y$5:$Y146),"")</f>
        <v/>
      </c>
    </row>
    <row r="147" spans="1:26">
      <c r="A147" s="27"/>
      <c r="B147" s="22"/>
      <c r="C147" s="22"/>
      <c r="D147" s="22"/>
      <c r="E147" s="23"/>
      <c r="F147" s="28"/>
      <c r="G147" s="24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6"/>
      <c xmlns="http://schemas.openxmlformats.org/spreadsheetml/2006/main" r="T147" s="23" t="str">
        <f t="shared" si="6"/>
        <v/>
      </c>
      <c xmlns="http://schemas.openxmlformats.org/spreadsheetml/2006/main" r="U147" s="22" t="str">
        <f t="shared" si="7"/>
        <v/>
      </c>
      <c xmlns="http://schemas.openxmlformats.org/spreadsheetml/2006/main" r="V147" s="18" t="str">
        <f t="shared" si="8"/>
        <v/>
      </c>
      <c r="W147" s="22"/>
      <c r="X147" s="22"/>
      <c xmlns="http://schemas.openxmlformats.org/spreadsheetml/2006/main" r="Y147">
        <f>IF($C147="",0,IF(COUNTIF($C$5:$C147,$C147)=1,1,0))</f>
        <v>0.0</v>
      </c>
      <c xmlns="http://schemas.openxmlformats.org/spreadsheetml/2006/main" r="Z147" t="str">
        <f>IF(Y147=1,SUM($Y$5:$Y147),"")</f>
        <v/>
      </c>
    </row>
    <row r="148" spans="1:26">
      <c r="A148" s="27"/>
      <c r="B148" s="22"/>
      <c r="C148" s="22"/>
      <c r="D148" s="22"/>
      <c r="E148" s="23"/>
      <c r="F148" s="28"/>
      <c r="G148" s="24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6"/>
      <c xmlns="http://schemas.openxmlformats.org/spreadsheetml/2006/main" r="T148" s="23" t="str">
        <f t="shared" si="6"/>
        <v/>
      </c>
      <c xmlns="http://schemas.openxmlformats.org/spreadsheetml/2006/main" r="U148" s="22" t="str">
        <f t="shared" si="7"/>
        <v/>
      </c>
      <c xmlns="http://schemas.openxmlformats.org/spreadsheetml/2006/main" r="V148" s="18" t="str">
        <f t="shared" si="8"/>
        <v/>
      </c>
      <c r="W148" s="22"/>
      <c r="X148" s="22"/>
      <c xmlns="http://schemas.openxmlformats.org/spreadsheetml/2006/main" r="Y148">
        <f>IF($C148="",0,IF(COUNTIF($C$5:$C148,$C148)=1,1,0))</f>
        <v>0.0</v>
      </c>
      <c xmlns="http://schemas.openxmlformats.org/spreadsheetml/2006/main" r="Z148" t="str">
        <f>IF(Y148=1,SUM($Y$5:$Y148),"")</f>
        <v/>
      </c>
    </row>
    <row r="149" spans="1:26">
      <c r="A149" s="27"/>
      <c r="B149" s="22"/>
      <c r="C149" s="22"/>
      <c r="D149" s="22"/>
      <c r="E149" s="23"/>
      <c r="F149" s="28"/>
      <c r="G149" s="24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6"/>
      <c xmlns="http://schemas.openxmlformats.org/spreadsheetml/2006/main" r="T149" s="23" t="str">
        <f t="shared" si="6"/>
        <v/>
      </c>
      <c xmlns="http://schemas.openxmlformats.org/spreadsheetml/2006/main" r="U149" s="22" t="str">
        <f t="shared" si="7"/>
        <v/>
      </c>
      <c xmlns="http://schemas.openxmlformats.org/spreadsheetml/2006/main" r="V149" s="18" t="str">
        <f t="shared" si="8"/>
        <v/>
      </c>
      <c r="W149" s="22"/>
      <c r="X149" s="22"/>
      <c xmlns="http://schemas.openxmlformats.org/spreadsheetml/2006/main" r="Y149">
        <f>IF($C149="",0,IF(COUNTIF($C$5:$C149,$C149)=1,1,0))</f>
        <v>0.0</v>
      </c>
      <c xmlns="http://schemas.openxmlformats.org/spreadsheetml/2006/main" r="Z149" t="str">
        <f>IF(Y149=1,SUM($Y$5:$Y149),"")</f>
        <v/>
      </c>
    </row>
    <row r="150" spans="1:26">
      <c r="A150" s="27"/>
      <c r="B150" s="22"/>
      <c r="C150" s="22"/>
      <c r="D150" s="22"/>
      <c r="E150" s="23"/>
      <c r="F150" s="28"/>
      <c r="G150" s="24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6"/>
      <c xmlns="http://schemas.openxmlformats.org/spreadsheetml/2006/main" r="T150" s="23" t="str">
        <f t="shared" si="6"/>
        <v/>
      </c>
      <c xmlns="http://schemas.openxmlformats.org/spreadsheetml/2006/main" r="U150" s="22" t="str">
        <f t="shared" si="7"/>
        <v/>
      </c>
      <c xmlns="http://schemas.openxmlformats.org/spreadsheetml/2006/main" r="V150" s="18" t="str">
        <f t="shared" si="8"/>
        <v/>
      </c>
      <c r="W150" s="22"/>
      <c r="X150" s="22"/>
      <c xmlns="http://schemas.openxmlformats.org/spreadsheetml/2006/main" r="Y150">
        <f>IF($C150="",0,IF(COUNTIF($C$5:$C150,$C150)=1,1,0))</f>
        <v>0.0</v>
      </c>
      <c xmlns="http://schemas.openxmlformats.org/spreadsheetml/2006/main" r="Z150" t="str">
        <f>IF(Y150=1,SUM($Y$5:$Y150),"")</f>
        <v/>
      </c>
    </row>
    <row r="151" spans="1:26">
      <c r="A151" s="27"/>
      <c r="B151" s="22"/>
      <c r="C151" s="22"/>
      <c r="D151" s="22"/>
      <c r="E151" s="23"/>
      <c r="F151" s="28"/>
      <c r="G151" s="24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6"/>
      <c xmlns="http://schemas.openxmlformats.org/spreadsheetml/2006/main" r="T151" s="23" t="str">
        <f t="shared" si="6"/>
        <v/>
      </c>
      <c xmlns="http://schemas.openxmlformats.org/spreadsheetml/2006/main" r="U151" s="22" t="str">
        <f t="shared" si="7"/>
        <v/>
      </c>
      <c xmlns="http://schemas.openxmlformats.org/spreadsheetml/2006/main" r="V151" s="18" t="str">
        <f t="shared" si="8"/>
        <v/>
      </c>
      <c r="W151" s="22"/>
      <c r="X151" s="22"/>
      <c xmlns="http://schemas.openxmlformats.org/spreadsheetml/2006/main" r="Y151">
        <f>IF($C151="",0,IF(COUNTIF($C$5:$C151,$C151)=1,1,0))</f>
        <v>0.0</v>
      </c>
      <c xmlns="http://schemas.openxmlformats.org/spreadsheetml/2006/main" r="Z151" t="str">
        <f>IF(Y151=1,SUM($Y$5:$Y151),"")</f>
        <v/>
      </c>
    </row>
    <row r="152" spans="1:26">
      <c r="A152" s="27"/>
      <c r="B152" s="22"/>
      <c r="C152" s="22"/>
      <c r="D152" s="22"/>
      <c r="E152" s="23"/>
      <c r="F152" s="28"/>
      <c r="G152" s="24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6"/>
      <c xmlns="http://schemas.openxmlformats.org/spreadsheetml/2006/main" r="T152" s="23" t="str">
        <f t="shared" si="6"/>
        <v/>
      </c>
      <c xmlns="http://schemas.openxmlformats.org/spreadsheetml/2006/main" r="U152" s="22" t="str">
        <f t="shared" si="7"/>
        <v/>
      </c>
      <c xmlns="http://schemas.openxmlformats.org/spreadsheetml/2006/main" r="V152" s="18" t="str">
        <f t="shared" si="8"/>
        <v/>
      </c>
      <c r="W152" s="22"/>
      <c r="X152" s="22"/>
      <c xmlns="http://schemas.openxmlformats.org/spreadsheetml/2006/main" r="Y152">
        <f>IF($C152="",0,IF(COUNTIF($C$5:$C152,$C152)=1,1,0))</f>
        <v>0.0</v>
      </c>
      <c xmlns="http://schemas.openxmlformats.org/spreadsheetml/2006/main" r="Z152" t="str">
        <f>IF(Y152=1,SUM($Y$5:$Y152),"")</f>
        <v/>
      </c>
    </row>
    <row r="153" spans="1:26">
      <c r="A153" s="27"/>
      <c r="B153" s="22"/>
      <c r="C153" s="22"/>
      <c r="D153" s="22"/>
      <c r="E153" s="23"/>
      <c r="F153" s="28"/>
      <c r="G153" s="24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6"/>
      <c xmlns="http://schemas.openxmlformats.org/spreadsheetml/2006/main" r="T153" s="23" t="str">
        <f t="shared" si="6"/>
        <v/>
      </c>
      <c xmlns="http://schemas.openxmlformats.org/spreadsheetml/2006/main" r="U153" s="22" t="str">
        <f t="shared" si="7"/>
        <v/>
      </c>
      <c xmlns="http://schemas.openxmlformats.org/spreadsheetml/2006/main" r="V153" s="18" t="str">
        <f t="shared" si="8"/>
        <v/>
      </c>
      <c r="W153" s="22"/>
      <c r="X153" s="22"/>
      <c xmlns="http://schemas.openxmlformats.org/spreadsheetml/2006/main" r="Y153">
        <f>IF($C153="",0,IF(COUNTIF($C$5:$C153,$C153)=1,1,0))</f>
        <v>0.0</v>
      </c>
      <c xmlns="http://schemas.openxmlformats.org/spreadsheetml/2006/main" r="Z153" t="str">
        <f>IF(Y153=1,SUM($Y$5:$Y153),"")</f>
        <v/>
      </c>
    </row>
    <row r="154" spans="1:26">
      <c r="A154" s="27"/>
      <c r="B154" s="22"/>
      <c r="C154" s="22"/>
      <c r="D154" s="22"/>
      <c r="E154" s="23"/>
      <c r="F154" s="28"/>
      <c r="G154" s="24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6"/>
      <c xmlns="http://schemas.openxmlformats.org/spreadsheetml/2006/main" r="T154" s="23" t="str">
        <f t="shared" si="6"/>
        <v/>
      </c>
      <c xmlns="http://schemas.openxmlformats.org/spreadsheetml/2006/main" r="U154" s="22" t="str">
        <f t="shared" si="7"/>
        <v/>
      </c>
      <c xmlns="http://schemas.openxmlformats.org/spreadsheetml/2006/main" r="V154" s="18" t="str">
        <f t="shared" si="8"/>
        <v/>
      </c>
      <c r="W154" s="22"/>
      <c r="X154" s="22"/>
      <c xmlns="http://schemas.openxmlformats.org/spreadsheetml/2006/main" r="Y154">
        <f>IF($C154="",0,IF(COUNTIF($C$5:$C154,$C154)=1,1,0))</f>
        <v>0.0</v>
      </c>
      <c xmlns="http://schemas.openxmlformats.org/spreadsheetml/2006/main" r="Z154" t="str">
        <f>IF(Y154=1,SUM($Y$5:$Y154),"")</f>
        <v/>
      </c>
    </row>
    <row r="155" spans="1:26">
      <c r="A155" s="27"/>
      <c r="B155" s="22"/>
      <c r="C155" s="22"/>
      <c r="D155" s="22"/>
      <c r="E155" s="23"/>
      <c r="F155" s="28"/>
      <c r="G155" s="24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6"/>
      <c xmlns="http://schemas.openxmlformats.org/spreadsheetml/2006/main" r="T155" s="23" t="str">
        <f t="shared" si="6"/>
        <v/>
      </c>
      <c xmlns="http://schemas.openxmlformats.org/spreadsheetml/2006/main" r="U155" s="22" t="str">
        <f t="shared" si="7"/>
        <v/>
      </c>
      <c xmlns="http://schemas.openxmlformats.org/spreadsheetml/2006/main" r="V155" s="18" t="str">
        <f t="shared" si="8"/>
        <v/>
      </c>
      <c r="W155" s="22"/>
      <c r="X155" s="22"/>
      <c xmlns="http://schemas.openxmlformats.org/spreadsheetml/2006/main" r="Y155">
        <f>IF($C155="",0,IF(COUNTIF($C$5:$C155,$C155)=1,1,0))</f>
        <v>0.0</v>
      </c>
      <c xmlns="http://schemas.openxmlformats.org/spreadsheetml/2006/main" r="Z155" t="str">
        <f>IF(Y155=1,SUM($Y$5:$Y155),"")</f>
        <v/>
      </c>
    </row>
    <row r="156" spans="1:26">
      <c r="A156" s="27"/>
      <c r="B156" s="22"/>
      <c r="C156" s="22"/>
      <c r="D156" s="22"/>
      <c r="E156" s="23"/>
      <c r="F156" s="28"/>
      <c r="G156" s="24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6"/>
      <c xmlns="http://schemas.openxmlformats.org/spreadsheetml/2006/main" r="T156" s="23" t="str">
        <f t="shared" si="6"/>
        <v/>
      </c>
      <c xmlns="http://schemas.openxmlformats.org/spreadsheetml/2006/main" r="U156" s="22" t="str">
        <f t="shared" si="7"/>
        <v/>
      </c>
      <c xmlns="http://schemas.openxmlformats.org/spreadsheetml/2006/main" r="V156" s="18" t="str">
        <f t="shared" si="8"/>
        <v/>
      </c>
      <c r="W156" s="22"/>
      <c r="X156" s="22"/>
      <c xmlns="http://schemas.openxmlformats.org/spreadsheetml/2006/main" r="Y156">
        <f>IF($C156="",0,IF(COUNTIF($C$5:$C156,$C156)=1,1,0))</f>
        <v>0.0</v>
      </c>
      <c xmlns="http://schemas.openxmlformats.org/spreadsheetml/2006/main" r="Z156" t="str">
        <f>IF(Y156=1,SUM($Y$5:$Y156),"")</f>
        <v/>
      </c>
    </row>
    <row r="157" spans="1:26">
      <c r="A157" s="27"/>
      <c r="B157" s="22"/>
      <c r="C157" s="22"/>
      <c r="D157" s="22"/>
      <c r="E157" s="23"/>
      <c r="F157" s="28"/>
      <c r="G157" s="24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6"/>
      <c xmlns="http://schemas.openxmlformats.org/spreadsheetml/2006/main" r="T157" s="23" t="str">
        <f t="shared" si="6"/>
        <v/>
      </c>
      <c xmlns="http://schemas.openxmlformats.org/spreadsheetml/2006/main" r="U157" s="22" t="str">
        <f t="shared" si="7"/>
        <v/>
      </c>
      <c xmlns="http://schemas.openxmlformats.org/spreadsheetml/2006/main" r="V157" s="18" t="str">
        <f t="shared" si="8"/>
        <v/>
      </c>
      <c r="W157" s="22"/>
      <c r="X157" s="22"/>
      <c xmlns="http://schemas.openxmlformats.org/spreadsheetml/2006/main" r="Y157">
        <f>IF($C157="",0,IF(COUNTIF($C$5:$C157,$C157)=1,1,0))</f>
        <v>0.0</v>
      </c>
      <c xmlns="http://schemas.openxmlformats.org/spreadsheetml/2006/main" r="Z157" t="str">
        <f>IF(Y157=1,SUM($Y$5:$Y157),"")</f>
        <v/>
      </c>
    </row>
    <row r="158" spans="1:26">
      <c r="A158" s="27"/>
      <c r="B158" s="22"/>
      <c r="C158" s="22"/>
      <c r="D158" s="22"/>
      <c r="E158" s="23"/>
      <c r="F158" s="28"/>
      <c r="G158" s="24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6"/>
      <c xmlns="http://schemas.openxmlformats.org/spreadsheetml/2006/main" r="T158" s="23" t="str">
        <f t="shared" si="6"/>
        <v/>
      </c>
      <c xmlns="http://schemas.openxmlformats.org/spreadsheetml/2006/main" r="U158" s="22" t="str">
        <f t="shared" si="7"/>
        <v/>
      </c>
      <c xmlns="http://schemas.openxmlformats.org/spreadsheetml/2006/main" r="V158" s="18" t="str">
        <f t="shared" si="8"/>
        <v/>
      </c>
      <c r="W158" s="22"/>
      <c r="X158" s="22"/>
      <c xmlns="http://schemas.openxmlformats.org/spreadsheetml/2006/main" r="Y158">
        <f>IF($C158="",0,IF(COUNTIF($C$5:$C158,$C158)=1,1,0))</f>
        <v>0.0</v>
      </c>
      <c xmlns="http://schemas.openxmlformats.org/spreadsheetml/2006/main" r="Z158" t="str">
        <f>IF(Y158=1,SUM($Y$5:$Y158),"")</f>
        <v/>
      </c>
    </row>
    <row r="159" spans="1:26">
      <c r="A159" s="27"/>
      <c r="B159" s="22"/>
      <c r="C159" s="22"/>
      <c r="D159" s="22"/>
      <c r="E159" s="23"/>
      <c r="F159" s="28"/>
      <c r="G159" s="24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6"/>
      <c xmlns="http://schemas.openxmlformats.org/spreadsheetml/2006/main" r="T159" s="23" t="str">
        <f t="shared" si="6"/>
        <v/>
      </c>
      <c xmlns="http://schemas.openxmlformats.org/spreadsheetml/2006/main" r="U159" s="22" t="str">
        <f t="shared" si="7"/>
        <v/>
      </c>
      <c xmlns="http://schemas.openxmlformats.org/spreadsheetml/2006/main" r="V159" s="18" t="str">
        <f t="shared" si="8"/>
        <v/>
      </c>
      <c r="W159" s="22"/>
      <c r="X159" s="22"/>
      <c xmlns="http://schemas.openxmlformats.org/spreadsheetml/2006/main" r="Y159">
        <f>IF($C159="",0,IF(COUNTIF($C$5:$C159,$C159)=1,1,0))</f>
        <v>0.0</v>
      </c>
      <c xmlns="http://schemas.openxmlformats.org/spreadsheetml/2006/main" r="Z159" t="str">
        <f>IF(Y159=1,SUM($Y$5:$Y159),"")</f>
        <v/>
      </c>
    </row>
    <row r="160" spans="1:26">
      <c r="A160" s="27"/>
      <c r="B160" s="22"/>
      <c r="C160" s="22"/>
      <c r="D160" s="22"/>
      <c r="E160" s="23"/>
      <c r="F160" s="28"/>
      <c r="G160" s="24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  <c xmlns="http://schemas.openxmlformats.org/spreadsheetml/2006/main" r="T160" s="23" t="str">
        <f t="shared" si="6"/>
        <v/>
      </c>
      <c xmlns="http://schemas.openxmlformats.org/spreadsheetml/2006/main" r="U160" s="22" t="str">
        <f t="shared" si="7"/>
        <v/>
      </c>
      <c xmlns="http://schemas.openxmlformats.org/spreadsheetml/2006/main" r="V160" s="18" t="str">
        <f t="shared" si="8"/>
        <v/>
      </c>
      <c r="W160" s="22"/>
      <c r="X160" s="22"/>
      <c xmlns="http://schemas.openxmlformats.org/spreadsheetml/2006/main" r="Y160">
        <f>IF($C160="",0,IF(COUNTIF($C$5:$C160,$C160)=1,1,0))</f>
        <v>0.0</v>
      </c>
      <c xmlns="http://schemas.openxmlformats.org/spreadsheetml/2006/main" r="Z160" t="str">
        <f>IF(Y160=1,SUM($Y$5:$Y160),"")</f>
        <v/>
      </c>
    </row>
    <row r="161" spans="1:26">
      <c r="A161" s="27"/>
      <c r="B161" s="22"/>
      <c r="C161" s="22"/>
      <c r="D161" s="22"/>
      <c r="E161" s="23"/>
      <c r="F161" s="28"/>
      <c r="G161" s="24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6"/>
      <c xmlns="http://schemas.openxmlformats.org/spreadsheetml/2006/main" r="T161" s="23" t="str">
        <f t="shared" si="6"/>
        <v/>
      </c>
      <c xmlns="http://schemas.openxmlformats.org/spreadsheetml/2006/main" r="U161" s="22" t="str">
        <f t="shared" si="7"/>
        <v/>
      </c>
      <c xmlns="http://schemas.openxmlformats.org/spreadsheetml/2006/main" r="V161" s="18" t="str">
        <f t="shared" si="8"/>
        <v/>
      </c>
      <c r="W161" s="22"/>
      <c r="X161" s="22"/>
      <c xmlns="http://schemas.openxmlformats.org/spreadsheetml/2006/main" r="Y161">
        <f>IF($C161="",0,IF(COUNTIF($C$5:$C161,$C161)=1,1,0))</f>
        <v>0.0</v>
      </c>
      <c xmlns="http://schemas.openxmlformats.org/spreadsheetml/2006/main" r="Z161" t="str">
        <f>IF(Y161=1,SUM($Y$5:$Y161),"")</f>
        <v/>
      </c>
    </row>
    <row r="162" spans="1:26">
      <c r="A162" s="27"/>
      <c r="B162" s="22"/>
      <c r="C162" s="22"/>
      <c r="D162" s="22"/>
      <c r="E162" s="23"/>
      <c r="F162" s="28"/>
      <c r="G162" s="24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6"/>
      <c xmlns="http://schemas.openxmlformats.org/spreadsheetml/2006/main" r="T162" s="23" t="str">
        <f t="shared" si="6"/>
        <v/>
      </c>
      <c xmlns="http://schemas.openxmlformats.org/spreadsheetml/2006/main" r="U162" s="22" t="str">
        <f t="shared" si="7"/>
        <v/>
      </c>
      <c xmlns="http://schemas.openxmlformats.org/spreadsheetml/2006/main" r="V162" s="18" t="str">
        <f t="shared" si="8"/>
        <v/>
      </c>
      <c r="W162" s="22"/>
      <c r="X162" s="22"/>
      <c xmlns="http://schemas.openxmlformats.org/spreadsheetml/2006/main" r="Y162">
        <f>IF($C162="",0,IF(COUNTIF($C$5:$C162,$C162)=1,1,0))</f>
        <v>0.0</v>
      </c>
      <c xmlns="http://schemas.openxmlformats.org/spreadsheetml/2006/main" r="Z162" t="str">
        <f>IF(Y162=1,SUM($Y$5:$Y162),"")</f>
        <v/>
      </c>
    </row>
    <row r="163" spans="1:26">
      <c r="A163" s="27"/>
      <c r="B163" s="22"/>
      <c r="C163" s="22"/>
      <c r="D163" s="22"/>
      <c r="E163" s="23"/>
      <c r="F163" s="28"/>
      <c r="G163" s="24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6"/>
      <c xmlns="http://schemas.openxmlformats.org/spreadsheetml/2006/main" r="T163" s="23" t="str">
        <f t="shared" si="6"/>
        <v/>
      </c>
      <c xmlns="http://schemas.openxmlformats.org/spreadsheetml/2006/main" r="U163" s="22" t="str">
        <f t="shared" si="7"/>
        <v/>
      </c>
      <c xmlns="http://schemas.openxmlformats.org/spreadsheetml/2006/main" r="V163" s="18" t="str">
        <f t="shared" si="8"/>
        <v/>
      </c>
      <c r="W163" s="22"/>
      <c r="X163" s="22"/>
      <c xmlns="http://schemas.openxmlformats.org/spreadsheetml/2006/main" r="Y163">
        <f>IF($C163="",0,IF(COUNTIF($C$5:$C163,$C163)=1,1,0))</f>
        <v>0.0</v>
      </c>
      <c xmlns="http://schemas.openxmlformats.org/spreadsheetml/2006/main" r="Z163" t="str">
        <f>IF(Y163=1,SUM($Y$5:$Y163),"")</f>
        <v/>
      </c>
    </row>
    <row r="164" spans="1:26">
      <c r="A164" s="27"/>
      <c r="B164" s="22"/>
      <c r="C164" s="22"/>
      <c r="D164" s="22"/>
      <c r="E164" s="23"/>
      <c r="F164" s="28"/>
      <c r="G164" s="24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6"/>
      <c xmlns="http://schemas.openxmlformats.org/spreadsheetml/2006/main" r="T164" s="23" t="str">
        <f t="shared" si="6"/>
        <v/>
      </c>
      <c xmlns="http://schemas.openxmlformats.org/spreadsheetml/2006/main" r="U164" s="22" t="str">
        <f t="shared" si="7"/>
        <v/>
      </c>
      <c xmlns="http://schemas.openxmlformats.org/spreadsheetml/2006/main" r="V164" s="18" t="str">
        <f t="shared" si="8"/>
        <v/>
      </c>
      <c r="W164" s="22"/>
      <c r="X164" s="22"/>
      <c xmlns="http://schemas.openxmlformats.org/spreadsheetml/2006/main" r="Y164">
        <f>IF($C164="",0,IF(COUNTIF($C$5:$C164,$C164)=1,1,0))</f>
        <v>0.0</v>
      </c>
      <c xmlns="http://schemas.openxmlformats.org/spreadsheetml/2006/main" r="Z164" t="str">
        <f>IF(Y164=1,SUM($Y$5:$Y164),"")</f>
        <v/>
      </c>
    </row>
    <row r="165" spans="1:26">
      <c r="A165" s="27"/>
      <c r="B165" s="22"/>
      <c r="C165" s="22"/>
      <c r="D165" s="22"/>
      <c r="E165" s="23"/>
      <c r="F165" s="28"/>
      <c r="G165" s="24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6"/>
      <c xmlns="http://schemas.openxmlformats.org/spreadsheetml/2006/main" r="T165" s="23" t="str">
        <f t="shared" si="6"/>
        <v/>
      </c>
      <c xmlns="http://schemas.openxmlformats.org/spreadsheetml/2006/main" r="U165" s="22" t="str">
        <f t="shared" si="7"/>
        <v/>
      </c>
      <c xmlns="http://schemas.openxmlformats.org/spreadsheetml/2006/main" r="V165" s="18" t="str">
        <f t="shared" si="8"/>
        <v/>
      </c>
      <c r="W165" s="22"/>
      <c r="X165" s="22"/>
      <c xmlns="http://schemas.openxmlformats.org/spreadsheetml/2006/main" r="Y165">
        <f>IF($C165="",0,IF(COUNTIF($C$5:$C165,$C165)=1,1,0))</f>
        <v>0.0</v>
      </c>
      <c xmlns="http://schemas.openxmlformats.org/spreadsheetml/2006/main" r="Z165" t="str">
        <f>IF(Y165=1,SUM($Y$5:$Y165),"")</f>
        <v/>
      </c>
    </row>
    <row r="166" spans="1:26">
      <c r="A166" s="27"/>
      <c r="B166" s="22"/>
      <c r="C166" s="22"/>
      <c r="D166" s="22"/>
      <c r="E166" s="23"/>
      <c r="F166" s="28"/>
      <c r="G166" s="24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6"/>
      <c xmlns="http://schemas.openxmlformats.org/spreadsheetml/2006/main" r="T166" s="23" t="str">
        <f t="shared" si="6"/>
        <v/>
      </c>
      <c xmlns="http://schemas.openxmlformats.org/spreadsheetml/2006/main" r="U166" s="22" t="str">
        <f t="shared" si="7"/>
        <v/>
      </c>
      <c xmlns="http://schemas.openxmlformats.org/spreadsheetml/2006/main" r="V166" s="18" t="str">
        <f t="shared" si="8"/>
        <v/>
      </c>
      <c r="W166" s="22"/>
      <c r="X166" s="22"/>
      <c xmlns="http://schemas.openxmlformats.org/spreadsheetml/2006/main" r="Y166">
        <f>IF($C166="",0,IF(COUNTIF($C$5:$C166,$C166)=1,1,0))</f>
        <v>0.0</v>
      </c>
      <c xmlns="http://schemas.openxmlformats.org/spreadsheetml/2006/main" r="Z166" t="str">
        <f>IF(Y166=1,SUM($Y$5:$Y166),"")</f>
        <v/>
      </c>
    </row>
    <row r="167" spans="1:26">
      <c r="A167" s="27"/>
      <c r="B167" s="22"/>
      <c r="C167" s="22"/>
      <c r="D167" s="22"/>
      <c r="E167" s="23"/>
      <c r="F167" s="28"/>
      <c r="G167" s="24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6"/>
      <c xmlns="http://schemas.openxmlformats.org/spreadsheetml/2006/main" r="T167" s="23" t="str">
        <f t="shared" si="6"/>
        <v/>
      </c>
      <c xmlns="http://schemas.openxmlformats.org/spreadsheetml/2006/main" r="U167" s="22" t="str">
        <f t="shared" si="7"/>
        <v/>
      </c>
      <c xmlns="http://schemas.openxmlformats.org/spreadsheetml/2006/main" r="V167" s="18" t="str">
        <f t="shared" si="8"/>
        <v/>
      </c>
      <c r="W167" s="22"/>
      <c r="X167" s="22"/>
      <c xmlns="http://schemas.openxmlformats.org/spreadsheetml/2006/main" r="Y167">
        <f>IF($C167="",0,IF(COUNTIF($C$5:$C167,$C167)=1,1,0))</f>
        <v>0.0</v>
      </c>
      <c xmlns="http://schemas.openxmlformats.org/spreadsheetml/2006/main" r="Z167" t="str">
        <f>IF(Y167=1,SUM($Y$5:$Y167),"")</f>
        <v/>
      </c>
    </row>
    <row r="168" spans="1:26">
      <c r="A168" s="27"/>
      <c r="B168" s="22"/>
      <c r="C168" s="22"/>
      <c r="D168" s="22"/>
      <c r="E168" s="23"/>
      <c r="F168" s="28"/>
      <c r="G168" s="24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6"/>
      <c xmlns="http://schemas.openxmlformats.org/spreadsheetml/2006/main" r="T168" s="23" t="str">
        <f t="shared" si="6"/>
        <v/>
      </c>
      <c xmlns="http://schemas.openxmlformats.org/spreadsheetml/2006/main" r="U168" s="22" t="str">
        <f t="shared" si="7"/>
        <v/>
      </c>
      <c xmlns="http://schemas.openxmlformats.org/spreadsheetml/2006/main" r="V168" s="18" t="str">
        <f t="shared" si="8"/>
        <v/>
      </c>
      <c r="W168" s="22"/>
      <c r="X168" s="22"/>
      <c xmlns="http://schemas.openxmlformats.org/spreadsheetml/2006/main" r="Y168">
        <f>IF($C168="",0,IF(COUNTIF($C$5:$C168,$C168)=1,1,0))</f>
        <v>0.0</v>
      </c>
      <c xmlns="http://schemas.openxmlformats.org/spreadsheetml/2006/main" r="Z168" t="str">
        <f>IF(Y168=1,SUM($Y$5:$Y168),"")</f>
        <v/>
      </c>
    </row>
    <row r="169" spans="1:26">
      <c r="A169" s="27"/>
      <c r="B169" s="22"/>
      <c r="C169" s="22"/>
      <c r="D169" s="22"/>
      <c r="E169" s="23"/>
      <c r="F169" s="28"/>
      <c r="G169" s="24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6"/>
      <c xmlns="http://schemas.openxmlformats.org/spreadsheetml/2006/main" r="T169" s="23" t="str">
        <f t="shared" si="6"/>
        <v/>
      </c>
      <c xmlns="http://schemas.openxmlformats.org/spreadsheetml/2006/main" r="U169" s="22" t="str">
        <f t="shared" si="7"/>
        <v/>
      </c>
      <c xmlns="http://schemas.openxmlformats.org/spreadsheetml/2006/main" r="V169" s="18" t="str">
        <f t="shared" si="8"/>
        <v/>
      </c>
      <c r="W169" s="22"/>
      <c r="X169" s="22"/>
      <c xmlns="http://schemas.openxmlformats.org/spreadsheetml/2006/main" r="Y169">
        <f>IF($C169="",0,IF(COUNTIF($C$5:$C169,$C169)=1,1,0))</f>
        <v>0.0</v>
      </c>
      <c xmlns="http://schemas.openxmlformats.org/spreadsheetml/2006/main" r="Z169" t="str">
        <f>IF(Y169=1,SUM($Y$5:$Y169),"")</f>
        <v/>
      </c>
    </row>
    <row r="170" spans="1:26">
      <c r="A170" s="27"/>
      <c r="B170" s="22"/>
      <c r="C170" s="22"/>
      <c r="D170" s="22"/>
      <c r="E170" s="23"/>
      <c r="F170" s="28"/>
      <c r="G170" s="24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6"/>
      <c xmlns="http://schemas.openxmlformats.org/spreadsheetml/2006/main" r="T170" s="23" t="str">
        <f t="shared" si="6"/>
        <v/>
      </c>
      <c xmlns="http://schemas.openxmlformats.org/spreadsheetml/2006/main" r="U170" s="22" t="str">
        <f t="shared" si="7"/>
        <v/>
      </c>
      <c xmlns="http://schemas.openxmlformats.org/spreadsheetml/2006/main" r="V170" s="18" t="str">
        <f t="shared" si="8"/>
        <v/>
      </c>
      <c r="W170" s="22"/>
      <c r="X170" s="22"/>
      <c xmlns="http://schemas.openxmlformats.org/spreadsheetml/2006/main" r="Y170">
        <f>IF($C170="",0,IF(COUNTIF($C$5:$C170,$C170)=1,1,0))</f>
        <v>0.0</v>
      </c>
      <c xmlns="http://schemas.openxmlformats.org/spreadsheetml/2006/main" r="Z170" t="str">
        <f>IF(Y170=1,SUM($Y$5:$Y170),"")</f>
        <v/>
      </c>
    </row>
    <row r="171" spans="1:26">
      <c r="A171" s="27"/>
      <c r="B171" s="22"/>
      <c r="C171" s="22"/>
      <c r="D171" s="22"/>
      <c r="E171" s="23"/>
      <c r="F171" s="28"/>
      <c r="G171" s="24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6"/>
      <c xmlns="http://schemas.openxmlformats.org/spreadsheetml/2006/main" r="T171" s="23" t="str">
        <f t="shared" si="6"/>
        <v/>
      </c>
      <c xmlns="http://schemas.openxmlformats.org/spreadsheetml/2006/main" r="U171" s="22" t="str">
        <f t="shared" si="7"/>
        <v/>
      </c>
      <c xmlns="http://schemas.openxmlformats.org/spreadsheetml/2006/main" r="V171" s="18" t="str">
        <f t="shared" si="8"/>
        <v/>
      </c>
      <c r="W171" s="22"/>
      <c r="X171" s="22"/>
      <c xmlns="http://schemas.openxmlformats.org/spreadsheetml/2006/main" r="Y171">
        <f>IF($C171="",0,IF(COUNTIF($C$5:$C171,$C171)=1,1,0))</f>
        <v>0.0</v>
      </c>
      <c xmlns="http://schemas.openxmlformats.org/spreadsheetml/2006/main" r="Z171" t="str">
        <f>IF(Y171=1,SUM($Y$5:$Y171),"")</f>
        <v/>
      </c>
    </row>
    <row r="172" spans="1:26">
      <c r="A172" s="27"/>
      <c r="B172" s="22"/>
      <c r="C172" s="22"/>
      <c r="D172" s="22"/>
      <c r="E172" s="23"/>
      <c r="F172" s="28"/>
      <c r="G172" s="24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6"/>
      <c xmlns="http://schemas.openxmlformats.org/spreadsheetml/2006/main" r="T172" s="23" t="str">
        <f t="shared" si="6"/>
        <v/>
      </c>
      <c xmlns="http://schemas.openxmlformats.org/spreadsheetml/2006/main" r="U172" s="22" t="str">
        <f t="shared" si="7"/>
        <v/>
      </c>
      <c xmlns="http://schemas.openxmlformats.org/spreadsheetml/2006/main" r="V172" s="18" t="str">
        <f t="shared" si="8"/>
        <v/>
      </c>
      <c r="W172" s="22"/>
      <c r="X172" s="22"/>
      <c xmlns="http://schemas.openxmlformats.org/spreadsheetml/2006/main" r="Y172">
        <f>IF($C172="",0,IF(COUNTIF($C$5:$C172,$C172)=1,1,0))</f>
        <v>0.0</v>
      </c>
      <c xmlns="http://schemas.openxmlformats.org/spreadsheetml/2006/main" r="Z172" t="str">
        <f>IF(Y172=1,SUM($Y$5:$Y172),"")</f>
        <v/>
      </c>
    </row>
    <row r="173" spans="1:26">
      <c r="A173" s="27"/>
      <c r="B173" s="22"/>
      <c r="C173" s="22"/>
      <c r="D173" s="22"/>
      <c r="E173" s="23"/>
      <c r="F173" s="28"/>
      <c r="G173" s="24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6"/>
      <c xmlns="http://schemas.openxmlformats.org/spreadsheetml/2006/main" r="T173" s="23" t="str">
        <f t="shared" si="6"/>
        <v/>
      </c>
      <c xmlns="http://schemas.openxmlformats.org/spreadsheetml/2006/main" r="U173" s="22" t="str">
        <f t="shared" si="7"/>
        <v/>
      </c>
      <c xmlns="http://schemas.openxmlformats.org/spreadsheetml/2006/main" r="V173" s="18" t="str">
        <f t="shared" si="8"/>
        <v/>
      </c>
      <c r="W173" s="22"/>
      <c r="X173" s="22"/>
      <c xmlns="http://schemas.openxmlformats.org/spreadsheetml/2006/main" r="Y173">
        <f>IF($C173="",0,IF(COUNTIF($C$5:$C173,$C173)=1,1,0))</f>
        <v>0.0</v>
      </c>
      <c xmlns="http://schemas.openxmlformats.org/spreadsheetml/2006/main" r="Z173" t="str">
        <f>IF(Y173=1,SUM($Y$5:$Y173),"")</f>
        <v/>
      </c>
    </row>
    <row r="174" spans="1:26">
      <c r="A174" s="27"/>
      <c r="B174" s="22"/>
      <c r="C174" s="22"/>
      <c r="D174" s="22"/>
      <c r="E174" s="23"/>
      <c r="F174" s="28"/>
      <c r="G174" s="24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6"/>
      <c xmlns="http://schemas.openxmlformats.org/spreadsheetml/2006/main" r="T174" s="23" t="str">
        <f t="shared" si="6"/>
        <v/>
      </c>
      <c xmlns="http://schemas.openxmlformats.org/spreadsheetml/2006/main" r="U174" s="22" t="str">
        <f t="shared" si="7"/>
        <v/>
      </c>
      <c xmlns="http://schemas.openxmlformats.org/spreadsheetml/2006/main" r="V174" s="18" t="str">
        <f t="shared" si="8"/>
        <v/>
      </c>
      <c r="W174" s="22"/>
      <c r="X174" s="22"/>
      <c xmlns="http://schemas.openxmlformats.org/spreadsheetml/2006/main" r="Y174">
        <f>IF($C174="",0,IF(COUNTIF($C$5:$C174,$C174)=1,1,0))</f>
        <v>0.0</v>
      </c>
      <c xmlns="http://schemas.openxmlformats.org/spreadsheetml/2006/main" r="Z174" t="str">
        <f>IF(Y174=1,SUM($Y$5:$Y174),"")</f>
        <v/>
      </c>
    </row>
    <row r="175" spans="1:26">
      <c r="A175" s="27"/>
      <c r="B175" s="22"/>
      <c r="C175" s="22"/>
      <c r="D175" s="22"/>
      <c r="E175" s="23"/>
      <c r="F175" s="28"/>
      <c r="G175" s="24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6"/>
      <c xmlns="http://schemas.openxmlformats.org/spreadsheetml/2006/main" r="T175" s="23" t="str">
        <f t="shared" si="6"/>
        <v/>
      </c>
      <c xmlns="http://schemas.openxmlformats.org/spreadsheetml/2006/main" r="U175" s="22" t="str">
        <f t="shared" si="7"/>
        <v/>
      </c>
      <c xmlns="http://schemas.openxmlformats.org/spreadsheetml/2006/main" r="V175" s="18" t="str">
        <f t="shared" si="8"/>
        <v/>
      </c>
      <c r="W175" s="22"/>
      <c r="X175" s="22"/>
      <c xmlns="http://schemas.openxmlformats.org/spreadsheetml/2006/main" r="Y175">
        <f>IF($C175="",0,IF(COUNTIF($C$5:$C175,$C175)=1,1,0))</f>
        <v>0.0</v>
      </c>
      <c xmlns="http://schemas.openxmlformats.org/spreadsheetml/2006/main" r="Z175" t="str">
        <f>IF(Y175=1,SUM($Y$5:$Y175),"")</f>
        <v/>
      </c>
    </row>
    <row r="176" spans="1:26">
      <c r="A176" s="27"/>
      <c r="B176" s="22"/>
      <c r="C176" s="22"/>
      <c r="D176" s="22"/>
      <c r="E176" s="23"/>
      <c r="F176" s="28"/>
      <c r="G176" s="24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6"/>
      <c xmlns="http://schemas.openxmlformats.org/spreadsheetml/2006/main" r="T176" s="23" t="str">
        <f t="shared" si="6"/>
        <v/>
      </c>
      <c xmlns="http://schemas.openxmlformats.org/spreadsheetml/2006/main" r="U176" s="22" t="str">
        <f t="shared" si="7"/>
        <v/>
      </c>
      <c xmlns="http://schemas.openxmlformats.org/spreadsheetml/2006/main" r="V176" s="18" t="str">
        <f t="shared" si="8"/>
        <v/>
      </c>
      <c r="W176" s="22"/>
      <c r="X176" s="22"/>
      <c xmlns="http://schemas.openxmlformats.org/spreadsheetml/2006/main" r="Y176">
        <f>IF($C176="",0,IF(COUNTIF($C$5:$C176,$C176)=1,1,0))</f>
        <v>0.0</v>
      </c>
      <c xmlns="http://schemas.openxmlformats.org/spreadsheetml/2006/main" r="Z176" t="str">
        <f>IF(Y176=1,SUM($Y$5:$Y176),"")</f>
        <v/>
      </c>
    </row>
    <row r="177" spans="1:26">
      <c r="A177" s="27"/>
      <c r="B177" s="22"/>
      <c r="C177" s="22"/>
      <c r="D177" s="22"/>
      <c r="E177" s="23"/>
      <c r="F177" s="28"/>
      <c r="G177" s="24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6"/>
      <c xmlns="http://schemas.openxmlformats.org/spreadsheetml/2006/main" r="T177" s="23" t="str">
        <f t="shared" si="6"/>
        <v/>
      </c>
      <c xmlns="http://schemas.openxmlformats.org/spreadsheetml/2006/main" r="U177" s="22" t="str">
        <f t="shared" si="7"/>
        <v/>
      </c>
      <c xmlns="http://schemas.openxmlformats.org/spreadsheetml/2006/main" r="V177" s="18" t="str">
        <f t="shared" si="8"/>
        <v/>
      </c>
      <c r="W177" s="22"/>
      <c r="X177" s="22"/>
      <c xmlns="http://schemas.openxmlformats.org/spreadsheetml/2006/main" r="Y177">
        <f>IF($C177="",0,IF(COUNTIF($C$5:$C177,$C177)=1,1,0))</f>
        <v>0.0</v>
      </c>
      <c xmlns="http://schemas.openxmlformats.org/spreadsheetml/2006/main" r="Z177" t="str">
        <f>IF(Y177=1,SUM($Y$5:$Y177),"")</f>
        <v/>
      </c>
    </row>
    <row r="178" spans="1:26">
      <c r="A178" s="27"/>
      <c r="B178" s="22"/>
      <c r="C178" s="22"/>
      <c r="D178" s="22"/>
      <c r="E178" s="23"/>
      <c r="F178" s="28"/>
      <c r="G178" s="24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6"/>
      <c xmlns="http://schemas.openxmlformats.org/spreadsheetml/2006/main" r="T178" s="23" t="str">
        <f t="shared" si="6"/>
        <v/>
      </c>
      <c xmlns="http://schemas.openxmlformats.org/spreadsheetml/2006/main" r="U178" s="22" t="str">
        <f t="shared" si="7"/>
        <v/>
      </c>
      <c xmlns="http://schemas.openxmlformats.org/spreadsheetml/2006/main" r="V178" s="18" t="str">
        <f t="shared" si="8"/>
        <v/>
      </c>
      <c r="W178" s="22"/>
      <c r="X178" s="22"/>
      <c xmlns="http://schemas.openxmlformats.org/spreadsheetml/2006/main" r="Y178">
        <f>IF($C178="",0,IF(COUNTIF($C$5:$C178,$C178)=1,1,0))</f>
        <v>0.0</v>
      </c>
      <c xmlns="http://schemas.openxmlformats.org/spreadsheetml/2006/main" r="Z178" t="str">
        <f>IF(Y178=1,SUM($Y$5:$Y178),"")</f>
        <v/>
      </c>
    </row>
    <row r="179" spans="1:26">
      <c r="A179" s="27"/>
      <c r="B179" s="22"/>
      <c r="C179" s="22"/>
      <c r="D179" s="22"/>
      <c r="E179" s="23"/>
      <c r="F179" s="28"/>
      <c r="G179" s="24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6"/>
      <c xmlns="http://schemas.openxmlformats.org/spreadsheetml/2006/main" r="T179" s="23" t="str">
        <f t="shared" si="6"/>
        <v/>
      </c>
      <c xmlns="http://schemas.openxmlformats.org/spreadsheetml/2006/main" r="U179" s="22" t="str">
        <f t="shared" si="7"/>
        <v/>
      </c>
      <c xmlns="http://schemas.openxmlformats.org/spreadsheetml/2006/main" r="V179" s="18" t="str">
        <f t="shared" si="8"/>
        <v/>
      </c>
      <c r="W179" s="22"/>
      <c r="X179" s="22"/>
      <c xmlns="http://schemas.openxmlformats.org/spreadsheetml/2006/main" r="Y179">
        <f>IF($C179="",0,IF(COUNTIF($C$5:$C179,$C179)=1,1,0))</f>
        <v>0.0</v>
      </c>
      <c xmlns="http://schemas.openxmlformats.org/spreadsheetml/2006/main" r="Z179" t="str">
        <f>IF(Y179=1,SUM($Y$5:$Y179),"")</f>
        <v/>
      </c>
    </row>
    <row r="180" spans="1:26">
      <c r="A180" s="27"/>
      <c r="B180" s="22"/>
      <c r="C180" s="22"/>
      <c r="D180" s="22"/>
      <c r="E180" s="23"/>
      <c r="F180" s="28"/>
      <c r="G180" s="24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6"/>
      <c xmlns="http://schemas.openxmlformats.org/spreadsheetml/2006/main" r="T180" s="23" t="str">
        <f t="shared" si="6"/>
        <v/>
      </c>
      <c xmlns="http://schemas.openxmlformats.org/spreadsheetml/2006/main" r="U180" s="22" t="str">
        <f t="shared" si="7"/>
        <v/>
      </c>
      <c xmlns="http://schemas.openxmlformats.org/spreadsheetml/2006/main" r="V180" s="18" t="str">
        <f t="shared" si="8"/>
        <v/>
      </c>
      <c r="W180" s="22"/>
      <c r="X180" s="22"/>
      <c xmlns="http://schemas.openxmlformats.org/spreadsheetml/2006/main" r="Y180">
        <f>IF($C180="",0,IF(COUNTIF($C$5:$C180,$C180)=1,1,0))</f>
        <v>0.0</v>
      </c>
      <c xmlns="http://schemas.openxmlformats.org/spreadsheetml/2006/main" r="Z180" t="str">
        <f>IF(Y180=1,SUM($Y$5:$Y180),"")</f>
        <v/>
      </c>
    </row>
    <row r="181" spans="1:26">
      <c r="A181" s="27"/>
      <c r="B181" s="22"/>
      <c r="C181" s="22"/>
      <c r="D181" s="22"/>
      <c r="E181" s="23"/>
      <c r="F181" s="28"/>
      <c r="G181" s="24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6"/>
      <c xmlns="http://schemas.openxmlformats.org/spreadsheetml/2006/main" r="T181" s="23" t="str">
        <f t="shared" si="6"/>
        <v/>
      </c>
      <c xmlns="http://schemas.openxmlformats.org/spreadsheetml/2006/main" r="U181" s="22" t="str">
        <f t="shared" si="7"/>
        <v/>
      </c>
      <c xmlns="http://schemas.openxmlformats.org/spreadsheetml/2006/main" r="V181" s="18" t="str">
        <f t="shared" si="8"/>
        <v/>
      </c>
      <c r="W181" s="22"/>
      <c r="X181" s="22"/>
      <c xmlns="http://schemas.openxmlformats.org/spreadsheetml/2006/main" r="Y181">
        <f>IF($C181="",0,IF(COUNTIF($C$5:$C181,$C181)=1,1,0))</f>
        <v>0.0</v>
      </c>
      <c xmlns="http://schemas.openxmlformats.org/spreadsheetml/2006/main" r="Z181" t="str">
        <f>IF(Y181=1,SUM($Y$5:$Y181),"")</f>
        <v/>
      </c>
    </row>
    <row r="182" spans="1:26">
      <c r="A182" s="27"/>
      <c r="B182" s="22"/>
      <c r="C182" s="22"/>
      <c r="D182" s="22"/>
      <c r="E182" s="23"/>
      <c r="F182" s="28"/>
      <c r="G182" s="24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6"/>
      <c xmlns="http://schemas.openxmlformats.org/spreadsheetml/2006/main" r="T182" s="23" t="str">
        <f t="shared" si="6"/>
        <v/>
      </c>
      <c xmlns="http://schemas.openxmlformats.org/spreadsheetml/2006/main" r="U182" s="22" t="str">
        <f t="shared" si="7"/>
        <v/>
      </c>
      <c xmlns="http://schemas.openxmlformats.org/spreadsheetml/2006/main" r="V182" s="18" t="str">
        <f t="shared" si="8"/>
        <v/>
      </c>
      <c r="W182" s="22"/>
      <c r="X182" s="22"/>
      <c xmlns="http://schemas.openxmlformats.org/spreadsheetml/2006/main" r="Y182">
        <f>IF($C182="",0,IF(COUNTIF($C$5:$C182,$C182)=1,1,0))</f>
        <v>0.0</v>
      </c>
      <c xmlns="http://schemas.openxmlformats.org/spreadsheetml/2006/main" r="Z182" t="str">
        <f>IF(Y182=1,SUM($Y$5:$Y182),"")</f>
        <v/>
      </c>
    </row>
    <row r="183" spans="1:26">
      <c r="A183" s="27"/>
      <c r="B183" s="22"/>
      <c r="C183" s="22"/>
      <c r="D183" s="22"/>
      <c r="E183" s="23"/>
      <c r="F183" s="28"/>
      <c r="G183" s="24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6"/>
      <c xmlns="http://schemas.openxmlformats.org/spreadsheetml/2006/main" r="T183" s="23" t="str">
        <f t="shared" si="6"/>
        <v/>
      </c>
      <c xmlns="http://schemas.openxmlformats.org/spreadsheetml/2006/main" r="U183" s="22" t="str">
        <f t="shared" si="7"/>
        <v/>
      </c>
      <c xmlns="http://schemas.openxmlformats.org/spreadsheetml/2006/main" r="V183" s="18" t="str">
        <f t="shared" si="8"/>
        <v/>
      </c>
      <c r="W183" s="22"/>
      <c r="X183" s="22"/>
      <c xmlns="http://schemas.openxmlformats.org/spreadsheetml/2006/main" r="Y183">
        <f>IF($C183="",0,IF(COUNTIF($C$5:$C183,$C183)=1,1,0))</f>
        <v>0.0</v>
      </c>
      <c xmlns="http://schemas.openxmlformats.org/spreadsheetml/2006/main" r="Z183" t="str">
        <f>IF(Y183=1,SUM($Y$5:$Y183),"")</f>
        <v/>
      </c>
    </row>
    <row r="184" spans="1:26">
      <c r="A184" s="27"/>
      <c r="B184" s="22"/>
      <c r="C184" s="22"/>
      <c r="D184" s="22"/>
      <c r="E184" s="23"/>
      <c r="F184" s="28"/>
      <c r="G184" s="24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6"/>
      <c xmlns="http://schemas.openxmlformats.org/spreadsheetml/2006/main" r="T184" s="23" t="str">
        <f t="shared" si="6"/>
        <v/>
      </c>
      <c xmlns="http://schemas.openxmlformats.org/spreadsheetml/2006/main" r="U184" s="22" t="str">
        <f t="shared" si="7"/>
        <v/>
      </c>
      <c xmlns="http://schemas.openxmlformats.org/spreadsheetml/2006/main" r="V184" s="18" t="str">
        <f t="shared" si="8"/>
        <v/>
      </c>
      <c r="W184" s="22"/>
      <c r="X184" s="22"/>
      <c xmlns="http://schemas.openxmlformats.org/spreadsheetml/2006/main" r="Y184">
        <f>IF($C184="",0,IF(COUNTIF($C$5:$C184,$C184)=1,1,0))</f>
        <v>0.0</v>
      </c>
      <c xmlns="http://schemas.openxmlformats.org/spreadsheetml/2006/main" r="Z184" t="str">
        <f>IF(Y184=1,SUM($Y$5:$Y184),"")</f>
        <v/>
      </c>
    </row>
    <row r="185" spans="1:26">
      <c r="A185" s="27"/>
      <c r="B185" s="22"/>
      <c r="C185" s="22"/>
      <c r="D185" s="22"/>
      <c r="E185" s="23"/>
      <c r="F185" s="28"/>
      <c r="G185" s="24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6"/>
      <c xmlns="http://schemas.openxmlformats.org/spreadsheetml/2006/main" r="T185" s="23" t="str">
        <f t="shared" si="6"/>
        <v/>
      </c>
      <c xmlns="http://schemas.openxmlformats.org/spreadsheetml/2006/main" r="U185" s="22" t="str">
        <f t="shared" si="7"/>
        <v/>
      </c>
      <c xmlns="http://schemas.openxmlformats.org/spreadsheetml/2006/main" r="V185" s="18" t="str">
        <f t="shared" si="8"/>
        <v/>
      </c>
      <c r="W185" s="22"/>
      <c r="X185" s="22"/>
      <c xmlns="http://schemas.openxmlformats.org/spreadsheetml/2006/main" r="Y185">
        <f>IF($C185="",0,IF(COUNTIF($C$5:$C185,$C185)=1,1,0))</f>
        <v>0.0</v>
      </c>
      <c xmlns="http://schemas.openxmlformats.org/spreadsheetml/2006/main" r="Z185" t="str">
        <f>IF(Y185=1,SUM($Y$5:$Y185),"")</f>
        <v/>
      </c>
    </row>
    <row r="186" spans="1:26">
      <c r="A186" s="27"/>
      <c r="B186" s="22"/>
      <c r="C186" s="22"/>
      <c r="D186" s="22"/>
      <c r="E186" s="23"/>
      <c r="F186" s="28"/>
      <c r="G186" s="24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  <c xmlns="http://schemas.openxmlformats.org/spreadsheetml/2006/main" r="T186" s="23" t="str">
        <f t="shared" si="6"/>
        <v/>
      </c>
      <c xmlns="http://schemas.openxmlformats.org/spreadsheetml/2006/main" r="U186" s="22" t="str">
        <f t="shared" si="7"/>
        <v/>
      </c>
      <c xmlns="http://schemas.openxmlformats.org/spreadsheetml/2006/main" r="V186" s="18" t="str">
        <f t="shared" si="8"/>
        <v/>
      </c>
      <c r="W186" s="22"/>
      <c r="X186" s="22"/>
      <c xmlns="http://schemas.openxmlformats.org/spreadsheetml/2006/main" r="Y186">
        <f>IF($C186="",0,IF(COUNTIF($C$5:$C186,$C186)=1,1,0))</f>
        <v>0.0</v>
      </c>
      <c xmlns="http://schemas.openxmlformats.org/spreadsheetml/2006/main" r="Z186" t="str">
        <f>IF(Y186=1,SUM($Y$5:$Y186),"")</f>
        <v/>
      </c>
    </row>
    <row r="187" spans="1:26">
      <c r="A187" s="27"/>
      <c r="B187" s="22"/>
      <c r="C187" s="22"/>
      <c r="D187" s="22"/>
      <c r="E187" s="23"/>
      <c r="F187" s="28"/>
      <c r="G187" s="24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6"/>
      <c xmlns="http://schemas.openxmlformats.org/spreadsheetml/2006/main" r="T187" s="23" t="str">
        <f t="shared" si="6"/>
        <v/>
      </c>
      <c xmlns="http://schemas.openxmlformats.org/spreadsheetml/2006/main" r="U187" s="22" t="str">
        <f t="shared" si="7"/>
        <v/>
      </c>
      <c xmlns="http://schemas.openxmlformats.org/spreadsheetml/2006/main" r="V187" s="18" t="str">
        <f t="shared" si="8"/>
        <v/>
      </c>
      <c r="W187" s="22"/>
      <c r="X187" s="22"/>
      <c xmlns="http://schemas.openxmlformats.org/spreadsheetml/2006/main" r="Y187">
        <f>IF($C187="",0,IF(COUNTIF($C$5:$C187,$C187)=1,1,0))</f>
        <v>0.0</v>
      </c>
      <c xmlns="http://schemas.openxmlformats.org/spreadsheetml/2006/main" r="Z187" t="str">
        <f>IF(Y187=1,SUM($Y$5:$Y187),"")</f>
        <v/>
      </c>
    </row>
    <row r="188" spans="1:26">
      <c r="A188" s="27"/>
      <c r="B188" s="22"/>
      <c r="C188" s="22"/>
      <c r="D188" s="22"/>
      <c r="E188" s="23"/>
      <c r="F188" s="28"/>
      <c r="G188" s="24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6"/>
      <c xmlns="http://schemas.openxmlformats.org/spreadsheetml/2006/main" r="T188" s="23" t="str">
        <f t="shared" si="6"/>
        <v/>
      </c>
      <c xmlns="http://schemas.openxmlformats.org/spreadsheetml/2006/main" r="U188" s="22" t="str">
        <f t="shared" si="7"/>
        <v/>
      </c>
      <c xmlns="http://schemas.openxmlformats.org/spreadsheetml/2006/main" r="V188" s="18" t="str">
        <f t="shared" si="8"/>
        <v/>
      </c>
      <c r="W188" s="22"/>
      <c r="X188" s="22"/>
      <c xmlns="http://schemas.openxmlformats.org/spreadsheetml/2006/main" r="Y188">
        <f>IF($C188="",0,IF(COUNTIF($C$5:$C188,$C188)=1,1,0))</f>
        <v>0.0</v>
      </c>
      <c xmlns="http://schemas.openxmlformats.org/spreadsheetml/2006/main" r="Z188" t="str">
        <f>IF(Y188=1,SUM($Y$5:$Y188),"")</f>
        <v/>
      </c>
    </row>
    <row r="189" spans="1:26">
      <c r="A189" s="27"/>
      <c r="B189" s="22"/>
      <c r="C189" s="22"/>
      <c r="D189" s="22"/>
      <c r="E189" s="23"/>
      <c r="F189" s="28"/>
      <c r="G189" s="24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6"/>
      <c xmlns="http://schemas.openxmlformats.org/spreadsheetml/2006/main" r="T189" s="23" t="str">
        <f t="shared" si="6"/>
        <v/>
      </c>
      <c xmlns="http://schemas.openxmlformats.org/spreadsheetml/2006/main" r="U189" s="22" t="str">
        <f t="shared" si="7"/>
        <v/>
      </c>
      <c xmlns="http://schemas.openxmlformats.org/spreadsheetml/2006/main" r="V189" s="18" t="str">
        <f t="shared" si="8"/>
        <v/>
      </c>
      <c r="W189" s="22"/>
      <c r="X189" s="22"/>
      <c xmlns="http://schemas.openxmlformats.org/spreadsheetml/2006/main" r="Y189">
        <f>IF($C189="",0,IF(COUNTIF($C$5:$C189,$C189)=1,1,0))</f>
        <v>0.0</v>
      </c>
      <c xmlns="http://schemas.openxmlformats.org/spreadsheetml/2006/main" r="Z189" t="str">
        <f>IF(Y189=1,SUM($Y$5:$Y189),"")</f>
        <v/>
      </c>
    </row>
    <row r="190" spans="1:26">
      <c r="A190" s="27"/>
      <c r="B190" s="22"/>
      <c r="C190" s="22"/>
      <c r="D190" s="22"/>
      <c r="E190" s="23"/>
      <c r="F190" s="28"/>
      <c r="G190" s="24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6"/>
      <c xmlns="http://schemas.openxmlformats.org/spreadsheetml/2006/main" r="T190" s="23" t="str">
        <f t="shared" si="6"/>
        <v/>
      </c>
      <c xmlns="http://schemas.openxmlformats.org/spreadsheetml/2006/main" r="U190" s="22" t="str">
        <f t="shared" si="7"/>
        <v/>
      </c>
      <c xmlns="http://schemas.openxmlformats.org/spreadsheetml/2006/main" r="V190" s="18" t="str">
        <f t="shared" si="8"/>
        <v/>
      </c>
      <c r="W190" s="22"/>
      <c r="X190" s="22"/>
      <c xmlns="http://schemas.openxmlformats.org/spreadsheetml/2006/main" r="Y190">
        <f>IF($C190="",0,IF(COUNTIF($C$5:$C190,$C190)=1,1,0))</f>
        <v>0.0</v>
      </c>
      <c xmlns="http://schemas.openxmlformats.org/spreadsheetml/2006/main" r="Z190" t="str">
        <f>IF(Y190=1,SUM($Y$5:$Y190),"")</f>
        <v/>
      </c>
    </row>
    <row r="191" spans="1:26">
      <c r="A191" s="27"/>
      <c r="B191" s="22"/>
      <c r="C191" s="22"/>
      <c r="D191" s="22"/>
      <c r="E191" s="23"/>
      <c r="F191" s="28"/>
      <c r="G191" s="24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6"/>
      <c xmlns="http://schemas.openxmlformats.org/spreadsheetml/2006/main" r="T191" s="23" t="str">
        <f t="shared" si="6"/>
        <v/>
      </c>
      <c xmlns="http://schemas.openxmlformats.org/spreadsheetml/2006/main" r="U191" s="22" t="str">
        <f t="shared" si="7"/>
        <v/>
      </c>
      <c xmlns="http://schemas.openxmlformats.org/spreadsheetml/2006/main" r="V191" s="18" t="str">
        <f t="shared" si="8"/>
        <v/>
      </c>
      <c r="W191" s="22"/>
      <c r="X191" s="22"/>
      <c xmlns="http://schemas.openxmlformats.org/spreadsheetml/2006/main" r="Y191">
        <f>IF($C191="",0,IF(COUNTIF($C$5:$C191,$C191)=1,1,0))</f>
        <v>0.0</v>
      </c>
      <c xmlns="http://schemas.openxmlformats.org/spreadsheetml/2006/main" r="Z191" t="str">
        <f>IF(Y191=1,SUM($Y$5:$Y191),"")</f>
        <v/>
      </c>
    </row>
    <row r="192" spans="1:26">
      <c r="A192" s="27"/>
      <c r="B192" s="22"/>
      <c r="C192" s="22"/>
      <c r="D192" s="22"/>
      <c r="E192" s="23"/>
      <c r="F192" s="28"/>
      <c r="G192" s="24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6"/>
      <c xmlns="http://schemas.openxmlformats.org/spreadsheetml/2006/main" r="T192" s="23" t="str">
        <f t="shared" si="6"/>
        <v/>
      </c>
      <c xmlns="http://schemas.openxmlformats.org/spreadsheetml/2006/main" r="U192" s="22" t="str">
        <f t="shared" si="7"/>
        <v/>
      </c>
      <c xmlns="http://schemas.openxmlformats.org/spreadsheetml/2006/main" r="V192" s="18" t="str">
        <f t="shared" si="8"/>
        <v/>
      </c>
      <c r="W192" s="22"/>
      <c r="X192" s="22"/>
      <c xmlns="http://schemas.openxmlformats.org/spreadsheetml/2006/main" r="Y192">
        <f>IF($C192="",0,IF(COUNTIF($C$5:$C192,$C192)=1,1,0))</f>
        <v>0.0</v>
      </c>
      <c xmlns="http://schemas.openxmlformats.org/spreadsheetml/2006/main" r="Z192" t="str">
        <f>IF(Y192=1,SUM($Y$5:$Y192),"")</f>
        <v/>
      </c>
    </row>
    <row r="193" spans="1:26">
      <c r="A193" s="27"/>
      <c r="B193" s="22"/>
      <c r="C193" s="22"/>
      <c r="D193" s="22"/>
      <c r="E193" s="23"/>
      <c r="F193" s="28"/>
      <c r="G193" s="24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6"/>
      <c xmlns="http://schemas.openxmlformats.org/spreadsheetml/2006/main" r="T193" s="23" t="str">
        <f t="shared" si="6"/>
        <v/>
      </c>
      <c xmlns="http://schemas.openxmlformats.org/spreadsheetml/2006/main" r="U193" s="22" t="str">
        <f t="shared" si="7"/>
        <v/>
      </c>
      <c xmlns="http://schemas.openxmlformats.org/spreadsheetml/2006/main" r="V193" s="18" t="str">
        <f t="shared" si="8"/>
        <v/>
      </c>
      <c r="W193" s="22"/>
      <c r="X193" s="22"/>
      <c xmlns="http://schemas.openxmlformats.org/spreadsheetml/2006/main" r="Y193">
        <f>IF($C193="",0,IF(COUNTIF($C$5:$C193,$C193)=1,1,0))</f>
        <v>0.0</v>
      </c>
      <c xmlns="http://schemas.openxmlformats.org/spreadsheetml/2006/main" r="Z193" t="str">
        <f>IF(Y193=1,SUM($Y$5:$Y193),"")</f>
        <v/>
      </c>
    </row>
    <row r="194" spans="1:26">
      <c r="A194" s="27"/>
      <c r="B194" s="22"/>
      <c r="C194" s="22"/>
      <c r="D194" s="22"/>
      <c r="E194" s="23"/>
      <c r="F194" s="28"/>
      <c r="G194" s="24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6"/>
      <c xmlns="http://schemas.openxmlformats.org/spreadsheetml/2006/main" r="T194" s="23" t="str">
        <f t="shared" si="6"/>
        <v/>
      </c>
      <c xmlns="http://schemas.openxmlformats.org/spreadsheetml/2006/main" r="U194" s="22" t="str">
        <f t="shared" si="7"/>
        <v/>
      </c>
      <c xmlns="http://schemas.openxmlformats.org/spreadsheetml/2006/main" r="V194" s="18" t="str">
        <f t="shared" si="8"/>
        <v/>
      </c>
      <c r="W194" s="22"/>
      <c r="X194" s="22"/>
      <c xmlns="http://schemas.openxmlformats.org/spreadsheetml/2006/main" r="Y194">
        <f>IF($C194="",0,IF(COUNTIF($C$5:$C194,$C194)=1,1,0))</f>
        <v>0.0</v>
      </c>
      <c xmlns="http://schemas.openxmlformats.org/spreadsheetml/2006/main" r="Z194" t="str">
        <f>IF(Y194=1,SUM($Y$5:$Y194),"")</f>
        <v/>
      </c>
    </row>
    <row r="195" spans="1:26">
      <c r="A195" s="27"/>
      <c r="B195" s="22"/>
      <c r="C195" s="22"/>
      <c r="D195" s="22"/>
      <c r="E195" s="23"/>
      <c r="F195" s="28"/>
      <c r="G195" s="24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6"/>
      <c xmlns="http://schemas.openxmlformats.org/spreadsheetml/2006/main" r="T195" s="23" t="str">
        <f t="shared" si="6"/>
        <v/>
      </c>
      <c xmlns="http://schemas.openxmlformats.org/spreadsheetml/2006/main" r="U195" s="22" t="str">
        <f t="shared" si="7"/>
        <v/>
      </c>
      <c xmlns="http://schemas.openxmlformats.org/spreadsheetml/2006/main" r="V195" s="18" t="str">
        <f t="shared" si="8"/>
        <v/>
      </c>
      <c r="W195" s="22"/>
      <c r="X195" s="22"/>
      <c xmlns="http://schemas.openxmlformats.org/spreadsheetml/2006/main" r="Y195">
        <f>IF($C195="",0,IF(COUNTIF($C$5:$C195,$C195)=1,1,0))</f>
        <v>0.0</v>
      </c>
      <c xmlns="http://schemas.openxmlformats.org/spreadsheetml/2006/main" r="Z195" t="str">
        <f>IF(Y195=1,SUM($Y$5:$Y195),"")</f>
        <v/>
      </c>
    </row>
    <row r="196" spans="1:26">
      <c r="A196" s="27"/>
      <c r="B196" s="22"/>
      <c r="C196" s="22"/>
      <c r="D196" s="22"/>
      <c r="E196" s="23"/>
      <c r="F196" s="28"/>
      <c r="G196" s="24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6"/>
      <c xmlns="http://schemas.openxmlformats.org/spreadsheetml/2006/main" r="T196" s="23" t="str">
        <f t="shared" si="6"/>
        <v/>
      </c>
      <c xmlns="http://schemas.openxmlformats.org/spreadsheetml/2006/main" r="U196" s="22" t="str">
        <f t="shared" si="7"/>
        <v/>
      </c>
      <c xmlns="http://schemas.openxmlformats.org/spreadsheetml/2006/main" r="V196" s="18" t="str">
        <f t="shared" si="8"/>
        <v/>
      </c>
      <c r="W196" s="22"/>
      <c r="X196" s="22"/>
      <c xmlns="http://schemas.openxmlformats.org/spreadsheetml/2006/main" r="Y196">
        <f>IF($C196="",0,IF(COUNTIF($C$5:$C196,$C196)=1,1,0))</f>
        <v>0.0</v>
      </c>
      <c xmlns="http://schemas.openxmlformats.org/spreadsheetml/2006/main" r="Z196" t="str">
        <f>IF(Y196=1,SUM($Y$5:$Y196),"")</f>
        <v/>
      </c>
    </row>
    <row r="197" spans="1:26">
      <c r="A197" s="27"/>
      <c r="B197" s="22"/>
      <c r="C197" s="22"/>
      <c r="D197" s="22"/>
      <c r="E197" s="23"/>
      <c r="F197" s="28"/>
      <c r="G197" s="24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6"/>
      <c xmlns="http://schemas.openxmlformats.org/spreadsheetml/2006/main" r="T197" s="23" t="str">
        <f t="shared" ref="T197:T260" si="9">IF($D197="","",COUNTIF($H197:$R197,"V"))</f>
        <v/>
      </c>
      <c xmlns="http://schemas.openxmlformats.org/spreadsheetml/2006/main" r="U197" s="22" t="str">
        <f t="shared" ref="U197:U260" si="10">IF($D197="","",IF(AND($S197="V",$T197&gt;0),"⚠ 勾選矛盾",IF($S197="V","○ 免調理",IF($T197=0,"⚠ 資料缺漏",IF($T197=1,"▲ 單一設備依賴","OK")))))</f>
        <v/>
      </c>
      <c xmlns="http://schemas.openxmlformats.org/spreadsheetml/2006/main" r="V197" s="18" t="str">
        <f t="shared" ref="V197:V260" si="11">IF($D197="","",IF(AND($S197="V",$T197&gt;0),"「無使用調理設備」不可與設備欄同時勾選，請擇一修正",IF($S197="V","免調理半成品（外購/僅切配等），不列入設備風險評估",IF($T197=0,"未勾選任何設備，請補填或勾選「無使用調理設備」",IF($T197=1,"僅依賴1台設備，須確認故障/排修時之備援製程","無異常")))))</f>
        <v/>
      </c>
      <c r="W197" s="22"/>
      <c r="X197" s="22"/>
      <c xmlns="http://schemas.openxmlformats.org/spreadsheetml/2006/main" r="Y197">
        <f>IF($C197="",0,IF(COUNTIF($C$5:$C197,$C197)=1,1,0))</f>
        <v>0.0</v>
      </c>
      <c xmlns="http://schemas.openxmlformats.org/spreadsheetml/2006/main" r="Z197" t="str">
        <f>IF(Y197=1,SUM($Y$5:$Y197),"")</f>
        <v/>
      </c>
    </row>
    <row r="198" spans="1:26">
      <c r="A198" s="27"/>
      <c r="B198" s="22"/>
      <c r="C198" s="22"/>
      <c r="D198" s="22"/>
      <c r="E198" s="23"/>
      <c r="F198" s="28"/>
      <c r="G198" s="24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6"/>
      <c xmlns="http://schemas.openxmlformats.org/spreadsheetml/2006/main" r="T198" s="23" t="str">
        <f t="shared" si="9"/>
        <v/>
      </c>
      <c xmlns="http://schemas.openxmlformats.org/spreadsheetml/2006/main" r="U198" s="22" t="str">
        <f t="shared" si="10"/>
        <v/>
      </c>
      <c xmlns="http://schemas.openxmlformats.org/spreadsheetml/2006/main" r="V198" s="18" t="str">
        <f t="shared" si="11"/>
        <v/>
      </c>
      <c r="W198" s="22"/>
      <c r="X198" s="22"/>
      <c xmlns="http://schemas.openxmlformats.org/spreadsheetml/2006/main" r="Y198">
        <f>IF($C198="",0,IF(COUNTIF($C$5:$C198,$C198)=1,1,0))</f>
        <v>0.0</v>
      </c>
      <c xmlns="http://schemas.openxmlformats.org/spreadsheetml/2006/main" r="Z198" t="str">
        <f>IF(Y198=1,SUM($Y$5:$Y198),"")</f>
        <v/>
      </c>
    </row>
    <row r="199" spans="1:26">
      <c r="A199" s="27"/>
      <c r="B199" s="22"/>
      <c r="C199" s="22"/>
      <c r="D199" s="22"/>
      <c r="E199" s="23"/>
      <c r="F199" s="28"/>
      <c r="G199" s="24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6"/>
      <c xmlns="http://schemas.openxmlformats.org/spreadsheetml/2006/main" r="T199" s="23" t="str">
        <f t="shared" si="9"/>
        <v/>
      </c>
      <c xmlns="http://schemas.openxmlformats.org/spreadsheetml/2006/main" r="U199" s="22" t="str">
        <f t="shared" si="10"/>
        <v/>
      </c>
      <c xmlns="http://schemas.openxmlformats.org/spreadsheetml/2006/main" r="V199" s="18" t="str">
        <f t="shared" si="11"/>
        <v/>
      </c>
      <c r="W199" s="22"/>
      <c r="X199" s="22"/>
      <c xmlns="http://schemas.openxmlformats.org/spreadsheetml/2006/main" r="Y199">
        <f>IF($C199="",0,IF(COUNTIF($C$5:$C199,$C199)=1,1,0))</f>
        <v>0.0</v>
      </c>
      <c xmlns="http://schemas.openxmlformats.org/spreadsheetml/2006/main" r="Z199" t="str">
        <f>IF(Y199=1,SUM($Y$5:$Y199),"")</f>
        <v/>
      </c>
    </row>
    <row r="200" spans="1:26">
      <c r="A200" s="27"/>
      <c r="B200" s="22"/>
      <c r="C200" s="22"/>
      <c r="D200" s="22"/>
      <c r="E200" s="23"/>
      <c r="F200" s="28"/>
      <c r="G200" s="24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6"/>
      <c xmlns="http://schemas.openxmlformats.org/spreadsheetml/2006/main" r="T200" s="23" t="str">
        <f t="shared" si="9"/>
        <v/>
      </c>
      <c xmlns="http://schemas.openxmlformats.org/spreadsheetml/2006/main" r="U200" s="22" t="str">
        <f t="shared" si="10"/>
        <v/>
      </c>
      <c xmlns="http://schemas.openxmlformats.org/spreadsheetml/2006/main" r="V200" s="18" t="str">
        <f t="shared" si="11"/>
        <v/>
      </c>
      <c r="W200" s="22"/>
      <c r="X200" s="22"/>
      <c xmlns="http://schemas.openxmlformats.org/spreadsheetml/2006/main" r="Y200">
        <f>IF($C200="",0,IF(COUNTIF($C$5:$C200,$C200)=1,1,0))</f>
        <v>0.0</v>
      </c>
      <c xmlns="http://schemas.openxmlformats.org/spreadsheetml/2006/main" r="Z200" t="str">
        <f>IF(Y200=1,SUM($Y$5:$Y200),"")</f>
        <v/>
      </c>
    </row>
    <row r="201" spans="1:26">
      <c r="A201" s="27"/>
      <c r="B201" s="22"/>
      <c r="C201" s="22"/>
      <c r="D201" s="22"/>
      <c r="E201" s="23"/>
      <c r="F201" s="28"/>
      <c r="G201" s="24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6"/>
      <c xmlns="http://schemas.openxmlformats.org/spreadsheetml/2006/main" r="T201" s="23" t="str">
        <f t="shared" si="9"/>
        <v/>
      </c>
      <c xmlns="http://schemas.openxmlformats.org/spreadsheetml/2006/main" r="U201" s="22" t="str">
        <f t="shared" si="10"/>
        <v/>
      </c>
      <c xmlns="http://schemas.openxmlformats.org/spreadsheetml/2006/main" r="V201" s="18" t="str">
        <f t="shared" si="11"/>
        <v/>
      </c>
      <c r="W201" s="22"/>
      <c r="X201" s="22"/>
      <c xmlns="http://schemas.openxmlformats.org/spreadsheetml/2006/main" r="Y201">
        <f>IF($C201="",0,IF(COUNTIF($C$5:$C201,$C201)=1,1,0))</f>
        <v>0.0</v>
      </c>
      <c xmlns="http://schemas.openxmlformats.org/spreadsheetml/2006/main" r="Z201" t="str">
        <f>IF(Y201=1,SUM($Y$5:$Y201),"")</f>
        <v/>
      </c>
    </row>
    <row r="202" spans="1:26">
      <c r="A202" s="27"/>
      <c r="B202" s="22"/>
      <c r="C202" s="22"/>
      <c r="D202" s="22"/>
      <c r="E202" s="23"/>
      <c r="F202" s="28"/>
      <c r="G202" s="24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6"/>
      <c xmlns="http://schemas.openxmlformats.org/spreadsheetml/2006/main" r="T202" s="23" t="str">
        <f t="shared" si="9"/>
        <v/>
      </c>
      <c xmlns="http://schemas.openxmlformats.org/spreadsheetml/2006/main" r="U202" s="22" t="str">
        <f t="shared" si="10"/>
        <v/>
      </c>
      <c xmlns="http://schemas.openxmlformats.org/spreadsheetml/2006/main" r="V202" s="18" t="str">
        <f t="shared" si="11"/>
        <v/>
      </c>
      <c r="W202" s="22"/>
      <c r="X202" s="22"/>
      <c xmlns="http://schemas.openxmlformats.org/spreadsheetml/2006/main" r="Y202">
        <f>IF($C202="",0,IF(COUNTIF($C$5:$C202,$C202)=1,1,0))</f>
        <v>0.0</v>
      </c>
      <c xmlns="http://schemas.openxmlformats.org/spreadsheetml/2006/main" r="Z202" t="str">
        <f>IF(Y202=1,SUM($Y$5:$Y202),"")</f>
        <v/>
      </c>
    </row>
    <row r="203" spans="1:26">
      <c r="A203" s="27"/>
      <c r="B203" s="22"/>
      <c r="C203" s="22"/>
      <c r="D203" s="22"/>
      <c r="E203" s="23"/>
      <c r="F203" s="28"/>
      <c r="G203" s="24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6"/>
      <c xmlns="http://schemas.openxmlformats.org/spreadsheetml/2006/main" r="T203" s="23" t="str">
        <f t="shared" si="9"/>
        <v/>
      </c>
      <c xmlns="http://schemas.openxmlformats.org/spreadsheetml/2006/main" r="U203" s="22" t="str">
        <f t="shared" si="10"/>
        <v/>
      </c>
      <c xmlns="http://schemas.openxmlformats.org/spreadsheetml/2006/main" r="V203" s="18" t="str">
        <f t="shared" si="11"/>
        <v/>
      </c>
      <c r="W203" s="22"/>
      <c r="X203" s="22"/>
      <c xmlns="http://schemas.openxmlformats.org/spreadsheetml/2006/main" r="Y203">
        <f>IF($C203="",0,IF(COUNTIF($C$5:$C203,$C203)=1,1,0))</f>
        <v>0.0</v>
      </c>
      <c xmlns="http://schemas.openxmlformats.org/spreadsheetml/2006/main" r="Z203" t="str">
        <f>IF(Y203=1,SUM($Y$5:$Y203),"")</f>
        <v/>
      </c>
    </row>
    <row r="204" spans="1:26">
      <c r="A204" s="27"/>
      <c r="B204" s="22"/>
      <c r="C204" s="22"/>
      <c r="D204" s="22"/>
      <c r="E204" s="23"/>
      <c r="F204" s="28"/>
      <c r="G204" s="24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6"/>
      <c xmlns="http://schemas.openxmlformats.org/spreadsheetml/2006/main" r="T204" s="23" t="str">
        <f t="shared" si="9"/>
        <v/>
      </c>
      <c xmlns="http://schemas.openxmlformats.org/spreadsheetml/2006/main" r="U204" s="22" t="str">
        <f t="shared" si="10"/>
        <v/>
      </c>
      <c xmlns="http://schemas.openxmlformats.org/spreadsheetml/2006/main" r="V204" s="18" t="str">
        <f t="shared" si="11"/>
        <v/>
      </c>
      <c r="W204" s="22"/>
      <c r="X204" s="22"/>
      <c xmlns="http://schemas.openxmlformats.org/spreadsheetml/2006/main" r="Y204">
        <f>IF($C204="",0,IF(COUNTIF($C$5:$C204,$C204)=1,1,0))</f>
        <v>0.0</v>
      </c>
      <c xmlns="http://schemas.openxmlformats.org/spreadsheetml/2006/main" r="Z204" t="str">
        <f>IF(Y204=1,SUM($Y$5:$Y204),"")</f>
        <v/>
      </c>
    </row>
    <row r="205" spans="1:26">
      <c r="A205" s="27"/>
      <c r="B205" s="22"/>
      <c r="C205" s="22"/>
      <c r="D205" s="22"/>
      <c r="E205" s="23"/>
      <c r="F205" s="28"/>
      <c r="G205" s="24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6"/>
      <c xmlns="http://schemas.openxmlformats.org/spreadsheetml/2006/main" r="T205" s="23" t="str">
        <f t="shared" si="9"/>
        <v/>
      </c>
      <c xmlns="http://schemas.openxmlformats.org/spreadsheetml/2006/main" r="U205" s="22" t="str">
        <f t="shared" si="10"/>
        <v/>
      </c>
      <c xmlns="http://schemas.openxmlformats.org/spreadsheetml/2006/main" r="V205" s="18" t="str">
        <f t="shared" si="11"/>
        <v/>
      </c>
      <c r="W205" s="22"/>
      <c r="X205" s="22"/>
      <c xmlns="http://schemas.openxmlformats.org/spreadsheetml/2006/main" r="Y205">
        <f>IF($C205="",0,IF(COUNTIF($C$5:$C205,$C205)=1,1,0))</f>
        <v>0.0</v>
      </c>
      <c xmlns="http://schemas.openxmlformats.org/spreadsheetml/2006/main" r="Z205" t="str">
        <f>IF(Y205=1,SUM($Y$5:$Y205),"")</f>
        <v/>
      </c>
    </row>
    <row r="206" spans="1:26">
      <c r="A206" s="27"/>
      <c r="B206" s="22"/>
      <c r="C206" s="22"/>
      <c r="D206" s="22"/>
      <c r="E206" s="23"/>
      <c r="F206" s="28"/>
      <c r="G206" s="24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6"/>
      <c xmlns="http://schemas.openxmlformats.org/spreadsheetml/2006/main" r="T206" s="23" t="str">
        <f t="shared" si="9"/>
        <v/>
      </c>
      <c xmlns="http://schemas.openxmlformats.org/spreadsheetml/2006/main" r="U206" s="22" t="str">
        <f t="shared" si="10"/>
        <v/>
      </c>
      <c xmlns="http://schemas.openxmlformats.org/spreadsheetml/2006/main" r="V206" s="18" t="str">
        <f t="shared" si="11"/>
        <v/>
      </c>
      <c r="W206" s="22"/>
      <c r="X206" s="22"/>
      <c xmlns="http://schemas.openxmlformats.org/spreadsheetml/2006/main" r="Y206">
        <f>IF($C206="",0,IF(COUNTIF($C$5:$C206,$C206)=1,1,0))</f>
        <v>0.0</v>
      </c>
      <c xmlns="http://schemas.openxmlformats.org/spreadsheetml/2006/main" r="Z206" t="str">
        <f>IF(Y206=1,SUM($Y$5:$Y206),"")</f>
        <v/>
      </c>
    </row>
    <row r="207" spans="1:26">
      <c r="A207" s="27"/>
      <c r="B207" s="22"/>
      <c r="C207" s="22"/>
      <c r="D207" s="22"/>
      <c r="E207" s="23"/>
      <c r="F207" s="28"/>
      <c r="G207" s="24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6"/>
      <c xmlns="http://schemas.openxmlformats.org/spreadsheetml/2006/main" r="T207" s="23" t="str">
        <f t="shared" si="9"/>
        <v/>
      </c>
      <c xmlns="http://schemas.openxmlformats.org/spreadsheetml/2006/main" r="U207" s="22" t="str">
        <f t="shared" si="10"/>
        <v/>
      </c>
      <c xmlns="http://schemas.openxmlformats.org/spreadsheetml/2006/main" r="V207" s="18" t="str">
        <f t="shared" si="11"/>
        <v/>
      </c>
      <c r="W207" s="22"/>
      <c r="X207" s="22"/>
      <c xmlns="http://schemas.openxmlformats.org/spreadsheetml/2006/main" r="Y207">
        <f>IF($C207="",0,IF(COUNTIF($C$5:$C207,$C207)=1,1,0))</f>
        <v>0.0</v>
      </c>
      <c xmlns="http://schemas.openxmlformats.org/spreadsheetml/2006/main" r="Z207" t="str">
        <f>IF(Y207=1,SUM($Y$5:$Y207),"")</f>
        <v/>
      </c>
    </row>
    <row r="208" spans="1:26">
      <c r="A208" s="27"/>
      <c r="B208" s="22"/>
      <c r="C208" s="22"/>
      <c r="D208" s="22"/>
      <c r="E208" s="23"/>
      <c r="F208" s="28"/>
      <c r="G208" s="24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6"/>
      <c xmlns="http://schemas.openxmlformats.org/spreadsheetml/2006/main" r="T208" s="23" t="str">
        <f t="shared" si="9"/>
        <v/>
      </c>
      <c xmlns="http://schemas.openxmlformats.org/spreadsheetml/2006/main" r="U208" s="22" t="str">
        <f t="shared" si="10"/>
        <v/>
      </c>
      <c xmlns="http://schemas.openxmlformats.org/spreadsheetml/2006/main" r="V208" s="18" t="str">
        <f t="shared" si="11"/>
        <v/>
      </c>
      <c r="W208" s="22"/>
      <c r="X208" s="22"/>
      <c xmlns="http://schemas.openxmlformats.org/spreadsheetml/2006/main" r="Y208">
        <f>IF($C208="",0,IF(COUNTIF($C$5:$C208,$C208)=1,1,0))</f>
        <v>0.0</v>
      </c>
      <c xmlns="http://schemas.openxmlformats.org/spreadsheetml/2006/main" r="Z208" t="str">
        <f>IF(Y208=1,SUM($Y$5:$Y208),"")</f>
        <v/>
      </c>
    </row>
    <row r="209" spans="1:26">
      <c r="A209" s="27"/>
      <c r="B209" s="22"/>
      <c r="C209" s="22"/>
      <c r="D209" s="22"/>
      <c r="E209" s="23"/>
      <c r="F209" s="28"/>
      <c r="G209" s="24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6"/>
      <c xmlns="http://schemas.openxmlformats.org/spreadsheetml/2006/main" r="T209" s="23" t="str">
        <f t="shared" si="9"/>
        <v/>
      </c>
      <c xmlns="http://schemas.openxmlformats.org/spreadsheetml/2006/main" r="U209" s="22" t="str">
        <f t="shared" si="10"/>
        <v/>
      </c>
      <c xmlns="http://schemas.openxmlformats.org/spreadsheetml/2006/main" r="V209" s="18" t="str">
        <f t="shared" si="11"/>
        <v/>
      </c>
      <c r="W209" s="22"/>
      <c r="X209" s="22"/>
      <c xmlns="http://schemas.openxmlformats.org/spreadsheetml/2006/main" r="Y209">
        <f>IF($C209="",0,IF(COUNTIF($C$5:$C209,$C209)=1,1,0))</f>
        <v>0.0</v>
      </c>
      <c xmlns="http://schemas.openxmlformats.org/spreadsheetml/2006/main" r="Z209" t="str">
        <f>IF(Y209=1,SUM($Y$5:$Y209),"")</f>
        <v/>
      </c>
    </row>
    <row r="210" spans="1:26">
      <c r="A210" s="27"/>
      <c r="B210" s="22"/>
      <c r="C210" s="22"/>
      <c r="D210" s="22"/>
      <c r="E210" s="23"/>
      <c r="F210" s="28"/>
      <c r="G210" s="24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6"/>
      <c xmlns="http://schemas.openxmlformats.org/spreadsheetml/2006/main" r="T210" s="23" t="str">
        <f t="shared" si="9"/>
        <v/>
      </c>
      <c xmlns="http://schemas.openxmlformats.org/spreadsheetml/2006/main" r="U210" s="22" t="str">
        <f t="shared" si="10"/>
        <v/>
      </c>
      <c xmlns="http://schemas.openxmlformats.org/spreadsheetml/2006/main" r="V210" s="18" t="str">
        <f t="shared" si="11"/>
        <v/>
      </c>
      <c r="W210" s="22"/>
      <c r="X210" s="22"/>
      <c xmlns="http://schemas.openxmlformats.org/spreadsheetml/2006/main" r="Y210">
        <f>IF($C210="",0,IF(COUNTIF($C$5:$C210,$C210)=1,1,0))</f>
        <v>0.0</v>
      </c>
      <c xmlns="http://schemas.openxmlformats.org/spreadsheetml/2006/main" r="Z210" t="str">
        <f>IF(Y210=1,SUM($Y$5:$Y210),"")</f>
        <v/>
      </c>
    </row>
    <row r="211" spans="1:26">
      <c r="A211" s="27"/>
      <c r="B211" s="22"/>
      <c r="C211" s="22"/>
      <c r="D211" s="22"/>
      <c r="E211" s="23"/>
      <c r="F211" s="28"/>
      <c r="G211" s="24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6"/>
      <c xmlns="http://schemas.openxmlformats.org/spreadsheetml/2006/main" r="T211" s="23" t="str">
        <f t="shared" si="9"/>
        <v/>
      </c>
      <c xmlns="http://schemas.openxmlformats.org/spreadsheetml/2006/main" r="U211" s="22" t="str">
        <f t="shared" si="10"/>
        <v/>
      </c>
      <c xmlns="http://schemas.openxmlformats.org/spreadsheetml/2006/main" r="V211" s="18" t="str">
        <f t="shared" si="11"/>
        <v/>
      </c>
      <c r="W211" s="22"/>
      <c r="X211" s="22"/>
      <c xmlns="http://schemas.openxmlformats.org/spreadsheetml/2006/main" r="Y211">
        <f>IF($C211="",0,IF(COUNTIF($C$5:$C211,$C211)=1,1,0))</f>
        <v>0.0</v>
      </c>
      <c xmlns="http://schemas.openxmlformats.org/spreadsheetml/2006/main" r="Z211" t="str">
        <f>IF(Y211=1,SUM($Y$5:$Y211),"")</f>
        <v/>
      </c>
    </row>
    <row r="212" spans="1:26">
      <c r="A212" s="27"/>
      <c r="B212" s="22"/>
      <c r="C212" s="22"/>
      <c r="D212" s="22"/>
      <c r="E212" s="23"/>
      <c r="F212" s="28"/>
      <c r="G212" s="24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  <c xmlns="http://schemas.openxmlformats.org/spreadsheetml/2006/main" r="T212" s="23" t="str">
        <f t="shared" si="9"/>
        <v/>
      </c>
      <c xmlns="http://schemas.openxmlformats.org/spreadsheetml/2006/main" r="U212" s="22" t="str">
        <f t="shared" si="10"/>
        <v/>
      </c>
      <c xmlns="http://schemas.openxmlformats.org/spreadsheetml/2006/main" r="V212" s="18" t="str">
        <f t="shared" si="11"/>
        <v/>
      </c>
      <c r="W212" s="22"/>
      <c r="X212" s="22"/>
      <c xmlns="http://schemas.openxmlformats.org/spreadsheetml/2006/main" r="Y212">
        <f>IF($C212="",0,IF(COUNTIF($C$5:$C212,$C212)=1,1,0))</f>
        <v>0.0</v>
      </c>
      <c xmlns="http://schemas.openxmlformats.org/spreadsheetml/2006/main" r="Z212" t="str">
        <f>IF(Y212=1,SUM($Y$5:$Y212),"")</f>
        <v/>
      </c>
    </row>
    <row r="213" spans="1:26">
      <c r="A213" s="27"/>
      <c r="B213" s="22"/>
      <c r="C213" s="22"/>
      <c r="D213" s="22"/>
      <c r="E213" s="23"/>
      <c r="F213" s="28"/>
      <c r="G213" s="24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6"/>
      <c xmlns="http://schemas.openxmlformats.org/spreadsheetml/2006/main" r="T213" s="23" t="str">
        <f t="shared" si="9"/>
        <v/>
      </c>
      <c xmlns="http://schemas.openxmlformats.org/spreadsheetml/2006/main" r="U213" s="22" t="str">
        <f t="shared" si="10"/>
        <v/>
      </c>
      <c xmlns="http://schemas.openxmlformats.org/spreadsheetml/2006/main" r="V213" s="18" t="str">
        <f t="shared" si="11"/>
        <v/>
      </c>
      <c r="W213" s="22"/>
      <c r="X213" s="22"/>
      <c xmlns="http://schemas.openxmlformats.org/spreadsheetml/2006/main" r="Y213">
        <f>IF($C213="",0,IF(COUNTIF($C$5:$C213,$C213)=1,1,0))</f>
        <v>0.0</v>
      </c>
      <c xmlns="http://schemas.openxmlformats.org/spreadsheetml/2006/main" r="Z213" t="str">
        <f>IF(Y213=1,SUM($Y$5:$Y213),"")</f>
        <v/>
      </c>
    </row>
    <row r="214" spans="1:26">
      <c r="A214" s="27"/>
      <c r="B214" s="22"/>
      <c r="C214" s="22"/>
      <c r="D214" s="22"/>
      <c r="E214" s="23"/>
      <c r="F214" s="28"/>
      <c r="G214" s="24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6"/>
      <c xmlns="http://schemas.openxmlformats.org/spreadsheetml/2006/main" r="T214" s="23" t="str">
        <f t="shared" si="9"/>
        <v/>
      </c>
      <c xmlns="http://schemas.openxmlformats.org/spreadsheetml/2006/main" r="U214" s="22" t="str">
        <f t="shared" si="10"/>
        <v/>
      </c>
      <c xmlns="http://schemas.openxmlformats.org/spreadsheetml/2006/main" r="V214" s="18" t="str">
        <f t="shared" si="11"/>
        <v/>
      </c>
      <c r="W214" s="22"/>
      <c r="X214" s="22"/>
      <c xmlns="http://schemas.openxmlformats.org/spreadsheetml/2006/main" r="Y214">
        <f>IF($C214="",0,IF(COUNTIF($C$5:$C214,$C214)=1,1,0))</f>
        <v>0.0</v>
      </c>
      <c xmlns="http://schemas.openxmlformats.org/spreadsheetml/2006/main" r="Z214" t="str">
        <f>IF(Y214=1,SUM($Y$5:$Y214),"")</f>
        <v/>
      </c>
    </row>
    <row r="215" spans="1:26">
      <c r="A215" s="27"/>
      <c r="B215" s="22"/>
      <c r="C215" s="22"/>
      <c r="D215" s="22"/>
      <c r="E215" s="23"/>
      <c r="F215" s="28"/>
      <c r="G215" s="24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6"/>
      <c xmlns="http://schemas.openxmlformats.org/spreadsheetml/2006/main" r="T215" s="23" t="str">
        <f t="shared" si="9"/>
        <v/>
      </c>
      <c xmlns="http://schemas.openxmlformats.org/spreadsheetml/2006/main" r="U215" s="22" t="str">
        <f t="shared" si="10"/>
        <v/>
      </c>
      <c xmlns="http://schemas.openxmlformats.org/spreadsheetml/2006/main" r="V215" s="18" t="str">
        <f t="shared" si="11"/>
        <v/>
      </c>
      <c r="W215" s="22"/>
      <c r="X215" s="22"/>
      <c xmlns="http://schemas.openxmlformats.org/spreadsheetml/2006/main" r="Y215">
        <f>IF($C215="",0,IF(COUNTIF($C$5:$C215,$C215)=1,1,0))</f>
        <v>0.0</v>
      </c>
      <c xmlns="http://schemas.openxmlformats.org/spreadsheetml/2006/main" r="Z215" t="str">
        <f>IF(Y215=1,SUM($Y$5:$Y215),"")</f>
        <v/>
      </c>
    </row>
    <row r="216" spans="1:26">
      <c r="A216" s="27"/>
      <c r="B216" s="22"/>
      <c r="C216" s="22"/>
      <c r="D216" s="22"/>
      <c r="E216" s="23"/>
      <c r="F216" s="28"/>
      <c r="G216" s="24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6"/>
      <c xmlns="http://schemas.openxmlformats.org/spreadsheetml/2006/main" r="T216" s="23" t="str">
        <f t="shared" si="9"/>
        <v/>
      </c>
      <c xmlns="http://schemas.openxmlformats.org/spreadsheetml/2006/main" r="U216" s="22" t="str">
        <f t="shared" si="10"/>
        <v/>
      </c>
      <c xmlns="http://schemas.openxmlformats.org/spreadsheetml/2006/main" r="V216" s="18" t="str">
        <f t="shared" si="11"/>
        <v/>
      </c>
      <c r="W216" s="22"/>
      <c r="X216" s="22"/>
      <c xmlns="http://schemas.openxmlformats.org/spreadsheetml/2006/main" r="Y216">
        <f>IF($C216="",0,IF(COUNTIF($C$5:$C216,$C216)=1,1,0))</f>
        <v>0.0</v>
      </c>
      <c xmlns="http://schemas.openxmlformats.org/spreadsheetml/2006/main" r="Z216" t="str">
        <f>IF(Y216=1,SUM($Y$5:$Y216),"")</f>
        <v/>
      </c>
    </row>
    <row r="217" spans="1:26">
      <c r="A217" s="27"/>
      <c r="B217" s="22"/>
      <c r="C217" s="22"/>
      <c r="D217" s="22"/>
      <c r="E217" s="23"/>
      <c r="F217" s="28"/>
      <c r="G217" s="24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6"/>
      <c xmlns="http://schemas.openxmlformats.org/spreadsheetml/2006/main" r="T217" s="23" t="str">
        <f t="shared" si="9"/>
        <v/>
      </c>
      <c xmlns="http://schemas.openxmlformats.org/spreadsheetml/2006/main" r="U217" s="22" t="str">
        <f t="shared" si="10"/>
        <v/>
      </c>
      <c xmlns="http://schemas.openxmlformats.org/spreadsheetml/2006/main" r="V217" s="18" t="str">
        <f t="shared" si="11"/>
        <v/>
      </c>
      <c r="W217" s="22"/>
      <c r="X217" s="22"/>
      <c xmlns="http://schemas.openxmlformats.org/spreadsheetml/2006/main" r="Y217">
        <f>IF($C217="",0,IF(COUNTIF($C$5:$C217,$C217)=1,1,0))</f>
        <v>0.0</v>
      </c>
      <c xmlns="http://schemas.openxmlformats.org/spreadsheetml/2006/main" r="Z217" t="str">
        <f>IF(Y217=1,SUM($Y$5:$Y217),"")</f>
        <v/>
      </c>
    </row>
    <row r="218" spans="1:26">
      <c r="A218" s="27"/>
      <c r="B218" s="22"/>
      <c r="C218" s="22"/>
      <c r="D218" s="22"/>
      <c r="E218" s="23"/>
      <c r="F218" s="28"/>
      <c r="G218" s="24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6"/>
      <c xmlns="http://schemas.openxmlformats.org/spreadsheetml/2006/main" r="T218" s="23" t="str">
        <f t="shared" si="9"/>
        <v/>
      </c>
      <c xmlns="http://schemas.openxmlformats.org/spreadsheetml/2006/main" r="U218" s="22" t="str">
        <f t="shared" si="10"/>
        <v/>
      </c>
      <c xmlns="http://schemas.openxmlformats.org/spreadsheetml/2006/main" r="V218" s="18" t="str">
        <f t="shared" si="11"/>
        <v/>
      </c>
      <c r="W218" s="22"/>
      <c r="X218" s="22"/>
      <c xmlns="http://schemas.openxmlformats.org/spreadsheetml/2006/main" r="Y218">
        <f>IF($C218="",0,IF(COUNTIF($C$5:$C218,$C218)=1,1,0))</f>
        <v>0.0</v>
      </c>
      <c xmlns="http://schemas.openxmlformats.org/spreadsheetml/2006/main" r="Z218" t="str">
        <f>IF(Y218=1,SUM($Y$5:$Y218),"")</f>
        <v/>
      </c>
    </row>
    <row r="219" spans="1:26">
      <c r="A219" s="27"/>
      <c r="B219" s="22"/>
      <c r="C219" s="22"/>
      <c r="D219" s="22"/>
      <c r="E219" s="23"/>
      <c r="F219" s="28"/>
      <c r="G219" s="24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6"/>
      <c xmlns="http://schemas.openxmlformats.org/spreadsheetml/2006/main" r="T219" s="23" t="str">
        <f t="shared" si="9"/>
        <v/>
      </c>
      <c xmlns="http://schemas.openxmlformats.org/spreadsheetml/2006/main" r="U219" s="22" t="str">
        <f t="shared" si="10"/>
        <v/>
      </c>
      <c xmlns="http://schemas.openxmlformats.org/spreadsheetml/2006/main" r="V219" s="18" t="str">
        <f t="shared" si="11"/>
        <v/>
      </c>
      <c r="W219" s="22"/>
      <c r="X219" s="22"/>
      <c xmlns="http://schemas.openxmlformats.org/spreadsheetml/2006/main" r="Y219">
        <f>IF($C219="",0,IF(COUNTIF($C$5:$C219,$C219)=1,1,0))</f>
        <v>0.0</v>
      </c>
      <c xmlns="http://schemas.openxmlformats.org/spreadsheetml/2006/main" r="Z219" t="str">
        <f>IF(Y219=1,SUM($Y$5:$Y219),"")</f>
        <v/>
      </c>
    </row>
    <row r="220" spans="1:26">
      <c r="A220" s="27"/>
      <c r="B220" s="22"/>
      <c r="C220" s="22"/>
      <c r="D220" s="22"/>
      <c r="E220" s="23"/>
      <c r="F220" s="28"/>
      <c r="G220" s="24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6"/>
      <c xmlns="http://schemas.openxmlformats.org/spreadsheetml/2006/main" r="T220" s="23" t="str">
        <f t="shared" si="9"/>
        <v/>
      </c>
      <c xmlns="http://schemas.openxmlformats.org/spreadsheetml/2006/main" r="U220" s="22" t="str">
        <f t="shared" si="10"/>
        <v/>
      </c>
      <c xmlns="http://schemas.openxmlformats.org/spreadsheetml/2006/main" r="V220" s="18" t="str">
        <f t="shared" si="11"/>
        <v/>
      </c>
      <c r="W220" s="22"/>
      <c r="X220" s="22"/>
      <c xmlns="http://schemas.openxmlformats.org/spreadsheetml/2006/main" r="Y220">
        <f>IF($C220="",0,IF(COUNTIF($C$5:$C220,$C220)=1,1,0))</f>
        <v>0.0</v>
      </c>
      <c xmlns="http://schemas.openxmlformats.org/spreadsheetml/2006/main" r="Z220" t="str">
        <f>IF(Y220=1,SUM($Y$5:$Y220),"")</f>
        <v/>
      </c>
    </row>
    <row r="221" spans="1:26">
      <c r="A221" s="27"/>
      <c r="B221" s="22"/>
      <c r="C221" s="22"/>
      <c r="D221" s="22"/>
      <c r="E221" s="23"/>
      <c r="F221" s="28"/>
      <c r="G221" s="24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6"/>
      <c xmlns="http://schemas.openxmlformats.org/spreadsheetml/2006/main" r="T221" s="23" t="str">
        <f t="shared" si="9"/>
        <v/>
      </c>
      <c xmlns="http://schemas.openxmlformats.org/spreadsheetml/2006/main" r="U221" s="22" t="str">
        <f t="shared" si="10"/>
        <v/>
      </c>
      <c xmlns="http://schemas.openxmlformats.org/spreadsheetml/2006/main" r="V221" s="18" t="str">
        <f t="shared" si="11"/>
        <v/>
      </c>
      <c r="W221" s="22"/>
      <c r="X221" s="22"/>
      <c xmlns="http://schemas.openxmlformats.org/spreadsheetml/2006/main" r="Y221">
        <f>IF($C221="",0,IF(COUNTIF($C$5:$C221,$C221)=1,1,0))</f>
        <v>0.0</v>
      </c>
      <c xmlns="http://schemas.openxmlformats.org/spreadsheetml/2006/main" r="Z221" t="str">
        <f>IF(Y221=1,SUM($Y$5:$Y221),"")</f>
        <v/>
      </c>
    </row>
    <row r="222" spans="1:26">
      <c r="A222" s="27"/>
      <c r="B222" s="22"/>
      <c r="C222" s="22"/>
      <c r="D222" s="22"/>
      <c r="E222" s="23"/>
      <c r="F222" s="28"/>
      <c r="G222" s="24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6"/>
      <c xmlns="http://schemas.openxmlformats.org/spreadsheetml/2006/main" r="T222" s="23" t="str">
        <f t="shared" si="9"/>
        <v/>
      </c>
      <c xmlns="http://schemas.openxmlformats.org/spreadsheetml/2006/main" r="U222" s="22" t="str">
        <f t="shared" si="10"/>
        <v/>
      </c>
      <c xmlns="http://schemas.openxmlformats.org/spreadsheetml/2006/main" r="V222" s="18" t="str">
        <f t="shared" si="11"/>
        <v/>
      </c>
      <c r="W222" s="22"/>
      <c r="X222" s="22"/>
      <c xmlns="http://schemas.openxmlformats.org/spreadsheetml/2006/main" r="Y222">
        <f>IF($C222="",0,IF(COUNTIF($C$5:$C222,$C222)=1,1,0))</f>
        <v>0.0</v>
      </c>
      <c xmlns="http://schemas.openxmlformats.org/spreadsheetml/2006/main" r="Z222" t="str">
        <f>IF(Y222=1,SUM($Y$5:$Y222),"")</f>
        <v/>
      </c>
    </row>
    <row r="223" spans="1:26">
      <c r="A223" s="27"/>
      <c r="B223" s="22"/>
      <c r="C223" s="22"/>
      <c r="D223" s="22"/>
      <c r="E223" s="23"/>
      <c r="F223" s="28"/>
      <c r="G223" s="24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6"/>
      <c xmlns="http://schemas.openxmlformats.org/spreadsheetml/2006/main" r="T223" s="23" t="str">
        <f t="shared" si="9"/>
        <v/>
      </c>
      <c xmlns="http://schemas.openxmlformats.org/spreadsheetml/2006/main" r="U223" s="22" t="str">
        <f t="shared" si="10"/>
        <v/>
      </c>
      <c xmlns="http://schemas.openxmlformats.org/spreadsheetml/2006/main" r="V223" s="18" t="str">
        <f t="shared" si="11"/>
        <v/>
      </c>
      <c r="W223" s="22"/>
      <c r="X223" s="22"/>
      <c xmlns="http://schemas.openxmlformats.org/spreadsheetml/2006/main" r="Y223">
        <f>IF($C223="",0,IF(COUNTIF($C$5:$C223,$C223)=1,1,0))</f>
        <v>0.0</v>
      </c>
      <c xmlns="http://schemas.openxmlformats.org/spreadsheetml/2006/main" r="Z223" t="str">
        <f>IF(Y223=1,SUM($Y$5:$Y223),"")</f>
        <v/>
      </c>
    </row>
    <row r="224" spans="1:26">
      <c r="A224" s="27"/>
      <c r="B224" s="22"/>
      <c r="C224" s="22"/>
      <c r="D224" s="22"/>
      <c r="E224" s="23"/>
      <c r="F224" s="28"/>
      <c r="G224" s="24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6"/>
      <c xmlns="http://schemas.openxmlformats.org/spreadsheetml/2006/main" r="T224" s="23" t="str">
        <f t="shared" si="9"/>
        <v/>
      </c>
      <c xmlns="http://schemas.openxmlformats.org/spreadsheetml/2006/main" r="U224" s="22" t="str">
        <f t="shared" si="10"/>
        <v/>
      </c>
      <c xmlns="http://schemas.openxmlformats.org/spreadsheetml/2006/main" r="V224" s="18" t="str">
        <f t="shared" si="11"/>
        <v/>
      </c>
      <c r="W224" s="22"/>
      <c r="X224" s="22"/>
      <c xmlns="http://schemas.openxmlformats.org/spreadsheetml/2006/main" r="Y224">
        <f>IF($C224="",0,IF(COUNTIF($C$5:$C224,$C224)=1,1,0))</f>
        <v>0.0</v>
      </c>
      <c xmlns="http://schemas.openxmlformats.org/spreadsheetml/2006/main" r="Z224" t="str">
        <f>IF(Y224=1,SUM($Y$5:$Y224),"")</f>
        <v/>
      </c>
    </row>
    <row r="225" spans="1:26">
      <c r="A225" s="27"/>
      <c r="B225" s="22"/>
      <c r="C225" s="22"/>
      <c r="D225" s="22"/>
      <c r="E225" s="23"/>
      <c r="F225" s="28"/>
      <c r="G225" s="24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6"/>
      <c xmlns="http://schemas.openxmlformats.org/spreadsheetml/2006/main" r="T225" s="23" t="str">
        <f t="shared" si="9"/>
        <v/>
      </c>
      <c xmlns="http://schemas.openxmlformats.org/spreadsheetml/2006/main" r="U225" s="22" t="str">
        <f t="shared" si="10"/>
        <v/>
      </c>
      <c xmlns="http://schemas.openxmlformats.org/spreadsheetml/2006/main" r="V225" s="18" t="str">
        <f t="shared" si="11"/>
        <v/>
      </c>
      <c r="W225" s="22"/>
      <c r="X225" s="22"/>
      <c xmlns="http://schemas.openxmlformats.org/spreadsheetml/2006/main" r="Y225">
        <f>IF($C225="",0,IF(COUNTIF($C$5:$C225,$C225)=1,1,0))</f>
        <v>0.0</v>
      </c>
      <c xmlns="http://schemas.openxmlformats.org/spreadsheetml/2006/main" r="Z225" t="str">
        <f>IF(Y225=1,SUM($Y$5:$Y225),"")</f>
        <v/>
      </c>
    </row>
    <row r="226" spans="1:26">
      <c r="A226" s="27"/>
      <c r="B226" s="22"/>
      <c r="C226" s="22"/>
      <c r="D226" s="22"/>
      <c r="E226" s="23"/>
      <c r="F226" s="28"/>
      <c r="G226" s="24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6"/>
      <c xmlns="http://schemas.openxmlformats.org/spreadsheetml/2006/main" r="T226" s="23" t="str">
        <f t="shared" si="9"/>
        <v/>
      </c>
      <c xmlns="http://schemas.openxmlformats.org/spreadsheetml/2006/main" r="U226" s="22" t="str">
        <f t="shared" si="10"/>
        <v/>
      </c>
      <c xmlns="http://schemas.openxmlformats.org/spreadsheetml/2006/main" r="V226" s="18" t="str">
        <f t="shared" si="11"/>
        <v/>
      </c>
      <c r="W226" s="22"/>
      <c r="X226" s="22"/>
      <c xmlns="http://schemas.openxmlformats.org/spreadsheetml/2006/main" r="Y226">
        <f>IF($C226="",0,IF(COUNTIF($C$5:$C226,$C226)=1,1,0))</f>
        <v>0.0</v>
      </c>
      <c xmlns="http://schemas.openxmlformats.org/spreadsheetml/2006/main" r="Z226" t="str">
        <f>IF(Y226=1,SUM($Y$5:$Y226),"")</f>
        <v/>
      </c>
    </row>
    <row r="227" spans="1:26">
      <c r="A227" s="27"/>
      <c r="B227" s="22"/>
      <c r="C227" s="22"/>
      <c r="D227" s="22"/>
      <c r="E227" s="23"/>
      <c r="F227" s="28"/>
      <c r="G227" s="24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6"/>
      <c xmlns="http://schemas.openxmlformats.org/spreadsheetml/2006/main" r="T227" s="23" t="str">
        <f t="shared" si="9"/>
        <v/>
      </c>
      <c xmlns="http://schemas.openxmlformats.org/spreadsheetml/2006/main" r="U227" s="22" t="str">
        <f t="shared" si="10"/>
        <v/>
      </c>
      <c xmlns="http://schemas.openxmlformats.org/spreadsheetml/2006/main" r="V227" s="18" t="str">
        <f t="shared" si="11"/>
        <v/>
      </c>
      <c r="W227" s="22"/>
      <c r="X227" s="22"/>
      <c xmlns="http://schemas.openxmlformats.org/spreadsheetml/2006/main" r="Y227">
        <f>IF($C227="",0,IF(COUNTIF($C$5:$C227,$C227)=1,1,0))</f>
        <v>0.0</v>
      </c>
      <c xmlns="http://schemas.openxmlformats.org/spreadsheetml/2006/main" r="Z227" t="str">
        <f>IF(Y227=1,SUM($Y$5:$Y227),"")</f>
        <v/>
      </c>
    </row>
    <row r="228" spans="1:26">
      <c r="A228" s="27"/>
      <c r="B228" s="22"/>
      <c r="C228" s="22"/>
      <c r="D228" s="22"/>
      <c r="E228" s="23"/>
      <c r="F228" s="28"/>
      <c r="G228" s="24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6"/>
      <c xmlns="http://schemas.openxmlformats.org/spreadsheetml/2006/main" r="T228" s="23" t="str">
        <f t="shared" si="9"/>
        <v/>
      </c>
      <c xmlns="http://schemas.openxmlformats.org/spreadsheetml/2006/main" r="U228" s="22" t="str">
        <f t="shared" si="10"/>
        <v/>
      </c>
      <c xmlns="http://schemas.openxmlformats.org/spreadsheetml/2006/main" r="V228" s="18" t="str">
        <f t="shared" si="11"/>
        <v/>
      </c>
      <c r="W228" s="22"/>
      <c r="X228" s="22"/>
      <c xmlns="http://schemas.openxmlformats.org/spreadsheetml/2006/main" r="Y228">
        <f>IF($C228="",0,IF(COUNTIF($C$5:$C228,$C228)=1,1,0))</f>
        <v>0.0</v>
      </c>
      <c xmlns="http://schemas.openxmlformats.org/spreadsheetml/2006/main" r="Z228" t="str">
        <f>IF(Y228=1,SUM($Y$5:$Y228),"")</f>
        <v/>
      </c>
    </row>
    <row r="229" spans="1:26">
      <c r="A229" s="27"/>
      <c r="B229" s="22"/>
      <c r="C229" s="22"/>
      <c r="D229" s="22"/>
      <c r="E229" s="23"/>
      <c r="F229" s="28"/>
      <c r="G229" s="24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6"/>
      <c xmlns="http://schemas.openxmlformats.org/spreadsheetml/2006/main" r="T229" s="23" t="str">
        <f t="shared" si="9"/>
        <v/>
      </c>
      <c xmlns="http://schemas.openxmlformats.org/spreadsheetml/2006/main" r="U229" s="22" t="str">
        <f t="shared" si="10"/>
        <v/>
      </c>
      <c xmlns="http://schemas.openxmlformats.org/spreadsheetml/2006/main" r="V229" s="18" t="str">
        <f t="shared" si="11"/>
        <v/>
      </c>
      <c r="W229" s="22"/>
      <c r="X229" s="22"/>
      <c xmlns="http://schemas.openxmlformats.org/spreadsheetml/2006/main" r="Y229">
        <f>IF($C229="",0,IF(COUNTIF($C$5:$C229,$C229)=1,1,0))</f>
        <v>0.0</v>
      </c>
      <c xmlns="http://schemas.openxmlformats.org/spreadsheetml/2006/main" r="Z229" t="str">
        <f>IF(Y229=1,SUM($Y$5:$Y229),"")</f>
        <v/>
      </c>
    </row>
    <row r="230" spans="1:26">
      <c r="A230" s="27"/>
      <c r="B230" s="22"/>
      <c r="C230" s="22"/>
      <c r="D230" s="22"/>
      <c r="E230" s="23"/>
      <c r="F230" s="28"/>
      <c r="G230" s="24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6"/>
      <c xmlns="http://schemas.openxmlformats.org/spreadsheetml/2006/main" r="T230" s="23" t="str">
        <f t="shared" si="9"/>
        <v/>
      </c>
      <c xmlns="http://schemas.openxmlformats.org/spreadsheetml/2006/main" r="U230" s="22" t="str">
        <f t="shared" si="10"/>
        <v/>
      </c>
      <c xmlns="http://schemas.openxmlformats.org/spreadsheetml/2006/main" r="V230" s="18" t="str">
        <f t="shared" si="11"/>
        <v/>
      </c>
      <c r="W230" s="22"/>
      <c r="X230" s="22"/>
      <c xmlns="http://schemas.openxmlformats.org/spreadsheetml/2006/main" r="Y230">
        <f>IF($C230="",0,IF(COUNTIF($C$5:$C230,$C230)=1,1,0))</f>
        <v>0.0</v>
      </c>
      <c xmlns="http://schemas.openxmlformats.org/spreadsheetml/2006/main" r="Z230" t="str">
        <f>IF(Y230=1,SUM($Y$5:$Y230),"")</f>
        <v/>
      </c>
    </row>
    <row r="231" spans="1:26">
      <c r="A231" s="27"/>
      <c r="B231" s="22"/>
      <c r="C231" s="22"/>
      <c r="D231" s="22"/>
      <c r="E231" s="23"/>
      <c r="F231" s="28"/>
      <c r="G231" s="24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6"/>
      <c xmlns="http://schemas.openxmlformats.org/spreadsheetml/2006/main" r="T231" s="23" t="str">
        <f t="shared" si="9"/>
        <v/>
      </c>
      <c xmlns="http://schemas.openxmlformats.org/spreadsheetml/2006/main" r="U231" s="22" t="str">
        <f t="shared" si="10"/>
        <v/>
      </c>
      <c xmlns="http://schemas.openxmlformats.org/spreadsheetml/2006/main" r="V231" s="18" t="str">
        <f t="shared" si="11"/>
        <v/>
      </c>
      <c r="W231" s="22"/>
      <c r="X231" s="22"/>
      <c xmlns="http://schemas.openxmlformats.org/spreadsheetml/2006/main" r="Y231">
        <f>IF($C231="",0,IF(COUNTIF($C$5:$C231,$C231)=1,1,0))</f>
        <v>0.0</v>
      </c>
      <c xmlns="http://schemas.openxmlformats.org/spreadsheetml/2006/main" r="Z231" t="str">
        <f>IF(Y231=1,SUM($Y$5:$Y231),"")</f>
        <v/>
      </c>
    </row>
    <row r="232" spans="1:26">
      <c r="A232" s="27"/>
      <c r="B232" s="22"/>
      <c r="C232" s="22"/>
      <c r="D232" s="22"/>
      <c r="E232" s="23"/>
      <c r="F232" s="28"/>
      <c r="G232" s="24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6"/>
      <c xmlns="http://schemas.openxmlformats.org/spreadsheetml/2006/main" r="T232" s="23" t="str">
        <f t="shared" si="9"/>
        <v/>
      </c>
      <c xmlns="http://schemas.openxmlformats.org/spreadsheetml/2006/main" r="U232" s="22" t="str">
        <f t="shared" si="10"/>
        <v/>
      </c>
      <c xmlns="http://schemas.openxmlformats.org/spreadsheetml/2006/main" r="V232" s="18" t="str">
        <f t="shared" si="11"/>
        <v/>
      </c>
      <c r="W232" s="22"/>
      <c r="X232" s="22"/>
      <c xmlns="http://schemas.openxmlformats.org/spreadsheetml/2006/main" r="Y232">
        <f>IF($C232="",0,IF(COUNTIF($C$5:$C232,$C232)=1,1,0))</f>
        <v>0.0</v>
      </c>
      <c xmlns="http://schemas.openxmlformats.org/spreadsheetml/2006/main" r="Z232" t="str">
        <f>IF(Y232=1,SUM($Y$5:$Y232),"")</f>
        <v/>
      </c>
    </row>
    <row r="233" spans="1:26">
      <c r="A233" s="27"/>
      <c r="B233" s="22"/>
      <c r="C233" s="22"/>
      <c r="D233" s="22"/>
      <c r="E233" s="23"/>
      <c r="F233" s="28"/>
      <c r="G233" s="24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6"/>
      <c xmlns="http://schemas.openxmlformats.org/spreadsheetml/2006/main" r="T233" s="23" t="str">
        <f t="shared" si="9"/>
        <v/>
      </c>
      <c xmlns="http://schemas.openxmlformats.org/spreadsheetml/2006/main" r="U233" s="22" t="str">
        <f t="shared" si="10"/>
        <v/>
      </c>
      <c xmlns="http://schemas.openxmlformats.org/spreadsheetml/2006/main" r="V233" s="18" t="str">
        <f t="shared" si="11"/>
        <v/>
      </c>
      <c r="W233" s="22"/>
      <c r="X233" s="22"/>
      <c xmlns="http://schemas.openxmlformats.org/spreadsheetml/2006/main" r="Y233">
        <f>IF($C233="",0,IF(COUNTIF($C$5:$C233,$C233)=1,1,0))</f>
        <v>0.0</v>
      </c>
      <c xmlns="http://schemas.openxmlformats.org/spreadsheetml/2006/main" r="Z233" t="str">
        <f>IF(Y233=1,SUM($Y$5:$Y233),"")</f>
        <v/>
      </c>
    </row>
    <row r="234" spans="1:26">
      <c r="A234" s="27"/>
      <c r="B234" s="22"/>
      <c r="C234" s="22"/>
      <c r="D234" s="22"/>
      <c r="E234" s="23"/>
      <c r="F234" s="28"/>
      <c r="G234" s="24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6"/>
      <c xmlns="http://schemas.openxmlformats.org/spreadsheetml/2006/main" r="T234" s="23" t="str">
        <f t="shared" si="9"/>
        <v/>
      </c>
      <c xmlns="http://schemas.openxmlformats.org/spreadsheetml/2006/main" r="U234" s="22" t="str">
        <f t="shared" si="10"/>
        <v/>
      </c>
      <c xmlns="http://schemas.openxmlformats.org/spreadsheetml/2006/main" r="V234" s="18" t="str">
        <f t="shared" si="11"/>
        <v/>
      </c>
      <c r="W234" s="22"/>
      <c r="X234" s="22"/>
      <c xmlns="http://schemas.openxmlformats.org/spreadsheetml/2006/main" r="Y234">
        <f>IF($C234="",0,IF(COUNTIF($C$5:$C234,$C234)=1,1,0))</f>
        <v>0.0</v>
      </c>
      <c xmlns="http://schemas.openxmlformats.org/spreadsheetml/2006/main" r="Z234" t="str">
        <f>IF(Y234=1,SUM($Y$5:$Y234),"")</f>
        <v/>
      </c>
    </row>
    <row r="235" spans="1:26">
      <c r="A235" s="27"/>
      <c r="B235" s="22"/>
      <c r="C235" s="22"/>
      <c r="D235" s="22"/>
      <c r="E235" s="23"/>
      <c r="F235" s="28"/>
      <c r="G235" s="24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6"/>
      <c xmlns="http://schemas.openxmlformats.org/spreadsheetml/2006/main" r="T235" s="23" t="str">
        <f t="shared" si="9"/>
        <v/>
      </c>
      <c xmlns="http://schemas.openxmlformats.org/spreadsheetml/2006/main" r="U235" s="22" t="str">
        <f t="shared" si="10"/>
        <v/>
      </c>
      <c xmlns="http://schemas.openxmlformats.org/spreadsheetml/2006/main" r="V235" s="18" t="str">
        <f t="shared" si="11"/>
        <v/>
      </c>
      <c r="W235" s="22"/>
      <c r="X235" s="22"/>
      <c xmlns="http://schemas.openxmlformats.org/spreadsheetml/2006/main" r="Y235">
        <f>IF($C235="",0,IF(COUNTIF($C$5:$C235,$C235)=1,1,0))</f>
        <v>0.0</v>
      </c>
      <c xmlns="http://schemas.openxmlformats.org/spreadsheetml/2006/main" r="Z235" t="str">
        <f>IF(Y235=1,SUM($Y$5:$Y235),"")</f>
        <v/>
      </c>
    </row>
    <row r="236" spans="1:26">
      <c r="A236" s="27"/>
      <c r="B236" s="22"/>
      <c r="C236" s="22"/>
      <c r="D236" s="22"/>
      <c r="E236" s="23"/>
      <c r="F236" s="28"/>
      <c r="G236" s="24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6"/>
      <c xmlns="http://schemas.openxmlformats.org/spreadsheetml/2006/main" r="T236" s="23" t="str">
        <f t="shared" si="9"/>
        <v/>
      </c>
      <c xmlns="http://schemas.openxmlformats.org/spreadsheetml/2006/main" r="U236" s="22" t="str">
        <f t="shared" si="10"/>
        <v/>
      </c>
      <c xmlns="http://schemas.openxmlformats.org/spreadsheetml/2006/main" r="V236" s="18" t="str">
        <f t="shared" si="11"/>
        <v/>
      </c>
      <c r="W236" s="22"/>
      <c r="X236" s="22"/>
      <c xmlns="http://schemas.openxmlformats.org/spreadsheetml/2006/main" r="Y236">
        <f>IF($C236="",0,IF(COUNTIF($C$5:$C236,$C236)=1,1,0))</f>
        <v>0.0</v>
      </c>
      <c xmlns="http://schemas.openxmlformats.org/spreadsheetml/2006/main" r="Z236" t="str">
        <f>IF(Y236=1,SUM($Y$5:$Y236),"")</f>
        <v/>
      </c>
    </row>
    <row r="237" spans="1:26">
      <c r="A237" s="27"/>
      <c r="B237" s="22"/>
      <c r="C237" s="22"/>
      <c r="D237" s="22"/>
      <c r="E237" s="23"/>
      <c r="F237" s="28"/>
      <c r="G237" s="24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6"/>
      <c xmlns="http://schemas.openxmlformats.org/spreadsheetml/2006/main" r="T237" s="23" t="str">
        <f t="shared" si="9"/>
        <v/>
      </c>
      <c xmlns="http://schemas.openxmlformats.org/spreadsheetml/2006/main" r="U237" s="22" t="str">
        <f t="shared" si="10"/>
        <v/>
      </c>
      <c xmlns="http://schemas.openxmlformats.org/spreadsheetml/2006/main" r="V237" s="18" t="str">
        <f t="shared" si="11"/>
        <v/>
      </c>
      <c r="W237" s="22"/>
      <c r="X237" s="22"/>
      <c xmlns="http://schemas.openxmlformats.org/spreadsheetml/2006/main" r="Y237">
        <f>IF($C237="",0,IF(COUNTIF($C$5:$C237,$C237)=1,1,0))</f>
        <v>0.0</v>
      </c>
      <c xmlns="http://schemas.openxmlformats.org/spreadsheetml/2006/main" r="Z237" t="str">
        <f>IF(Y237=1,SUM($Y$5:$Y237),"")</f>
        <v/>
      </c>
    </row>
    <row r="238" spans="1:26">
      <c r="A238" s="27"/>
      <c r="B238" s="22"/>
      <c r="C238" s="22"/>
      <c r="D238" s="22"/>
      <c r="E238" s="23"/>
      <c r="F238" s="28"/>
      <c r="G238" s="24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  <c xmlns="http://schemas.openxmlformats.org/spreadsheetml/2006/main" r="T238" s="23" t="str">
        <f t="shared" si="9"/>
        <v/>
      </c>
      <c xmlns="http://schemas.openxmlformats.org/spreadsheetml/2006/main" r="U238" s="22" t="str">
        <f t="shared" si="10"/>
        <v/>
      </c>
      <c xmlns="http://schemas.openxmlformats.org/spreadsheetml/2006/main" r="V238" s="18" t="str">
        <f t="shared" si="11"/>
        <v/>
      </c>
      <c r="W238" s="22"/>
      <c r="X238" s="22"/>
      <c xmlns="http://schemas.openxmlformats.org/spreadsheetml/2006/main" r="Y238">
        <f>IF($C238="",0,IF(COUNTIF($C$5:$C238,$C238)=1,1,0))</f>
        <v>0.0</v>
      </c>
      <c xmlns="http://schemas.openxmlformats.org/spreadsheetml/2006/main" r="Z238" t="str">
        <f>IF(Y238=1,SUM($Y$5:$Y238),"")</f>
        <v/>
      </c>
    </row>
    <row r="239" spans="1:26">
      <c r="A239" s="27"/>
      <c r="B239" s="22"/>
      <c r="C239" s="22"/>
      <c r="D239" s="22"/>
      <c r="E239" s="23"/>
      <c r="F239" s="28"/>
      <c r="G239" s="24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6"/>
      <c xmlns="http://schemas.openxmlformats.org/spreadsheetml/2006/main" r="T239" s="23" t="str">
        <f t="shared" si="9"/>
        <v/>
      </c>
      <c xmlns="http://schemas.openxmlformats.org/spreadsheetml/2006/main" r="U239" s="22" t="str">
        <f t="shared" si="10"/>
        <v/>
      </c>
      <c xmlns="http://schemas.openxmlformats.org/spreadsheetml/2006/main" r="V239" s="18" t="str">
        <f t="shared" si="11"/>
        <v/>
      </c>
      <c r="W239" s="22"/>
      <c r="X239" s="22"/>
      <c xmlns="http://schemas.openxmlformats.org/spreadsheetml/2006/main" r="Y239">
        <f>IF($C239="",0,IF(COUNTIF($C$5:$C239,$C239)=1,1,0))</f>
        <v>0.0</v>
      </c>
      <c xmlns="http://schemas.openxmlformats.org/spreadsheetml/2006/main" r="Z239" t="str">
        <f>IF(Y239=1,SUM($Y$5:$Y239),"")</f>
        <v/>
      </c>
    </row>
    <row r="240" spans="1:26">
      <c r="A240" s="27"/>
      <c r="B240" s="22"/>
      <c r="C240" s="22"/>
      <c r="D240" s="22"/>
      <c r="E240" s="23"/>
      <c r="F240" s="28"/>
      <c r="G240" s="24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6"/>
      <c xmlns="http://schemas.openxmlformats.org/spreadsheetml/2006/main" r="T240" s="23" t="str">
        <f t="shared" si="9"/>
        <v/>
      </c>
      <c xmlns="http://schemas.openxmlformats.org/spreadsheetml/2006/main" r="U240" s="22" t="str">
        <f t="shared" si="10"/>
        <v/>
      </c>
      <c xmlns="http://schemas.openxmlformats.org/spreadsheetml/2006/main" r="V240" s="18" t="str">
        <f t="shared" si="11"/>
        <v/>
      </c>
      <c r="W240" s="22"/>
      <c r="X240" s="22"/>
      <c xmlns="http://schemas.openxmlformats.org/spreadsheetml/2006/main" r="Y240">
        <f>IF($C240="",0,IF(COUNTIF($C$5:$C240,$C240)=1,1,0))</f>
        <v>0.0</v>
      </c>
      <c xmlns="http://schemas.openxmlformats.org/spreadsheetml/2006/main" r="Z240" t="str">
        <f>IF(Y240=1,SUM($Y$5:$Y240),"")</f>
        <v/>
      </c>
    </row>
    <row r="241" spans="1:26">
      <c r="A241" s="27"/>
      <c r="B241" s="22"/>
      <c r="C241" s="22"/>
      <c r="D241" s="22"/>
      <c r="E241" s="23"/>
      <c r="F241" s="28"/>
      <c r="G241" s="24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6"/>
      <c xmlns="http://schemas.openxmlformats.org/spreadsheetml/2006/main" r="T241" s="23" t="str">
        <f t="shared" si="9"/>
        <v/>
      </c>
      <c xmlns="http://schemas.openxmlformats.org/spreadsheetml/2006/main" r="U241" s="22" t="str">
        <f t="shared" si="10"/>
        <v/>
      </c>
      <c xmlns="http://schemas.openxmlformats.org/spreadsheetml/2006/main" r="V241" s="18" t="str">
        <f t="shared" si="11"/>
        <v/>
      </c>
      <c r="W241" s="22"/>
      <c r="X241" s="22"/>
      <c xmlns="http://schemas.openxmlformats.org/spreadsheetml/2006/main" r="Y241">
        <f>IF($C241="",0,IF(COUNTIF($C$5:$C241,$C241)=1,1,0))</f>
        <v>0.0</v>
      </c>
      <c xmlns="http://schemas.openxmlformats.org/spreadsheetml/2006/main" r="Z241" t="str">
        <f>IF(Y241=1,SUM($Y$5:$Y241),"")</f>
        <v/>
      </c>
    </row>
    <row r="242" spans="1:26">
      <c r="A242" s="27"/>
      <c r="B242" s="22"/>
      <c r="C242" s="22"/>
      <c r="D242" s="22"/>
      <c r="E242" s="23"/>
      <c r="F242" s="28"/>
      <c r="G242" s="24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6"/>
      <c xmlns="http://schemas.openxmlformats.org/spreadsheetml/2006/main" r="T242" s="23" t="str">
        <f t="shared" si="9"/>
        <v/>
      </c>
      <c xmlns="http://schemas.openxmlformats.org/spreadsheetml/2006/main" r="U242" s="22" t="str">
        <f t="shared" si="10"/>
        <v/>
      </c>
      <c xmlns="http://schemas.openxmlformats.org/spreadsheetml/2006/main" r="V242" s="18" t="str">
        <f t="shared" si="11"/>
        <v/>
      </c>
      <c r="W242" s="22"/>
      <c r="X242" s="22"/>
      <c xmlns="http://schemas.openxmlformats.org/spreadsheetml/2006/main" r="Y242">
        <f>IF($C242="",0,IF(COUNTIF($C$5:$C242,$C242)=1,1,0))</f>
        <v>0.0</v>
      </c>
      <c xmlns="http://schemas.openxmlformats.org/spreadsheetml/2006/main" r="Z242" t="str">
        <f>IF(Y242=1,SUM($Y$5:$Y242),"")</f>
        <v/>
      </c>
    </row>
    <row r="243" spans="1:26">
      <c r="A243" s="27"/>
      <c r="B243" s="22"/>
      <c r="C243" s="22"/>
      <c r="D243" s="22"/>
      <c r="E243" s="23"/>
      <c r="F243" s="28"/>
      <c r="G243" s="24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6"/>
      <c xmlns="http://schemas.openxmlformats.org/spreadsheetml/2006/main" r="T243" s="23" t="str">
        <f t="shared" si="9"/>
        <v/>
      </c>
      <c xmlns="http://schemas.openxmlformats.org/spreadsheetml/2006/main" r="U243" s="22" t="str">
        <f t="shared" si="10"/>
        <v/>
      </c>
      <c xmlns="http://schemas.openxmlformats.org/spreadsheetml/2006/main" r="V243" s="18" t="str">
        <f t="shared" si="11"/>
        <v/>
      </c>
      <c r="W243" s="22"/>
      <c r="X243" s="22"/>
      <c xmlns="http://schemas.openxmlformats.org/spreadsheetml/2006/main" r="Y243">
        <f>IF($C243="",0,IF(COUNTIF($C$5:$C243,$C243)=1,1,0))</f>
        <v>0.0</v>
      </c>
      <c xmlns="http://schemas.openxmlformats.org/spreadsheetml/2006/main" r="Z243" t="str">
        <f>IF(Y243=1,SUM($Y$5:$Y243),"")</f>
        <v/>
      </c>
    </row>
    <row r="244" spans="1:26">
      <c r="A244" s="27"/>
      <c r="B244" s="22"/>
      <c r="C244" s="22"/>
      <c r="D244" s="22"/>
      <c r="E244" s="23"/>
      <c r="F244" s="28"/>
      <c r="G244" s="24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6"/>
      <c xmlns="http://schemas.openxmlformats.org/spreadsheetml/2006/main" r="T244" s="23" t="str">
        <f t="shared" si="9"/>
        <v/>
      </c>
      <c xmlns="http://schemas.openxmlformats.org/spreadsheetml/2006/main" r="U244" s="22" t="str">
        <f t="shared" si="10"/>
        <v/>
      </c>
      <c xmlns="http://schemas.openxmlformats.org/spreadsheetml/2006/main" r="V244" s="18" t="str">
        <f t="shared" si="11"/>
        <v/>
      </c>
      <c r="W244" s="22"/>
      <c r="X244" s="22"/>
      <c xmlns="http://schemas.openxmlformats.org/spreadsheetml/2006/main" r="Y244">
        <f>IF($C244="",0,IF(COUNTIF($C$5:$C244,$C244)=1,1,0))</f>
        <v>0.0</v>
      </c>
      <c xmlns="http://schemas.openxmlformats.org/spreadsheetml/2006/main" r="Z244" t="str">
        <f>IF(Y244=1,SUM($Y$5:$Y244),"")</f>
        <v/>
      </c>
    </row>
    <row r="245" spans="1:26">
      <c r="A245" s="27"/>
      <c r="B245" s="22"/>
      <c r="C245" s="22"/>
      <c r="D245" s="22"/>
      <c r="E245" s="23"/>
      <c r="F245" s="28"/>
      <c r="G245" s="24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6"/>
      <c xmlns="http://schemas.openxmlformats.org/spreadsheetml/2006/main" r="T245" s="23" t="str">
        <f t="shared" si="9"/>
        <v/>
      </c>
      <c xmlns="http://schemas.openxmlformats.org/spreadsheetml/2006/main" r="U245" s="22" t="str">
        <f t="shared" si="10"/>
        <v/>
      </c>
      <c xmlns="http://schemas.openxmlformats.org/spreadsheetml/2006/main" r="V245" s="18" t="str">
        <f t="shared" si="11"/>
        <v/>
      </c>
      <c r="W245" s="22"/>
      <c r="X245" s="22"/>
      <c xmlns="http://schemas.openxmlformats.org/spreadsheetml/2006/main" r="Y245">
        <f>IF($C245="",0,IF(COUNTIF($C$5:$C245,$C245)=1,1,0))</f>
        <v>0.0</v>
      </c>
      <c xmlns="http://schemas.openxmlformats.org/spreadsheetml/2006/main" r="Z245" t="str">
        <f>IF(Y245=1,SUM($Y$5:$Y245),"")</f>
        <v/>
      </c>
    </row>
    <row r="246" spans="1:26">
      <c r="A246" s="27"/>
      <c r="B246" s="22"/>
      <c r="C246" s="22"/>
      <c r="D246" s="22"/>
      <c r="E246" s="23"/>
      <c r="F246" s="28"/>
      <c r="G246" s="24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6"/>
      <c xmlns="http://schemas.openxmlformats.org/spreadsheetml/2006/main" r="T246" s="23" t="str">
        <f t="shared" si="9"/>
        <v/>
      </c>
      <c xmlns="http://schemas.openxmlformats.org/spreadsheetml/2006/main" r="U246" s="22" t="str">
        <f t="shared" si="10"/>
        <v/>
      </c>
      <c xmlns="http://schemas.openxmlformats.org/spreadsheetml/2006/main" r="V246" s="18" t="str">
        <f t="shared" si="11"/>
        <v/>
      </c>
      <c r="W246" s="22"/>
      <c r="X246" s="22"/>
      <c xmlns="http://schemas.openxmlformats.org/spreadsheetml/2006/main" r="Y246">
        <f>IF($C246="",0,IF(COUNTIF($C$5:$C246,$C246)=1,1,0))</f>
        <v>0.0</v>
      </c>
      <c xmlns="http://schemas.openxmlformats.org/spreadsheetml/2006/main" r="Z246" t="str">
        <f>IF(Y246=1,SUM($Y$5:$Y246),"")</f>
        <v/>
      </c>
    </row>
    <row r="247" spans="1:26">
      <c r="A247" s="27"/>
      <c r="B247" s="22"/>
      <c r="C247" s="22"/>
      <c r="D247" s="22"/>
      <c r="E247" s="23"/>
      <c r="F247" s="28"/>
      <c r="G247" s="24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6"/>
      <c xmlns="http://schemas.openxmlformats.org/spreadsheetml/2006/main" r="T247" s="23" t="str">
        <f t="shared" si="9"/>
        <v/>
      </c>
      <c xmlns="http://schemas.openxmlformats.org/spreadsheetml/2006/main" r="U247" s="22" t="str">
        <f t="shared" si="10"/>
        <v/>
      </c>
      <c xmlns="http://schemas.openxmlformats.org/spreadsheetml/2006/main" r="V247" s="18" t="str">
        <f t="shared" si="11"/>
        <v/>
      </c>
      <c r="W247" s="22"/>
      <c r="X247" s="22"/>
      <c xmlns="http://schemas.openxmlformats.org/spreadsheetml/2006/main" r="Y247">
        <f>IF($C247="",0,IF(COUNTIF($C$5:$C247,$C247)=1,1,0))</f>
        <v>0.0</v>
      </c>
      <c xmlns="http://schemas.openxmlformats.org/spreadsheetml/2006/main" r="Z247" t="str">
        <f>IF(Y247=1,SUM($Y$5:$Y247),"")</f>
        <v/>
      </c>
    </row>
    <row r="248" spans="1:26">
      <c r="A248" s="27"/>
      <c r="B248" s="22"/>
      <c r="C248" s="22"/>
      <c r="D248" s="22"/>
      <c r="E248" s="23"/>
      <c r="F248" s="28"/>
      <c r="G248" s="24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6"/>
      <c xmlns="http://schemas.openxmlformats.org/spreadsheetml/2006/main" r="T248" s="23" t="str">
        <f t="shared" si="9"/>
        <v/>
      </c>
      <c xmlns="http://schemas.openxmlformats.org/spreadsheetml/2006/main" r="U248" s="22" t="str">
        <f t="shared" si="10"/>
        <v/>
      </c>
      <c xmlns="http://schemas.openxmlformats.org/spreadsheetml/2006/main" r="V248" s="18" t="str">
        <f t="shared" si="11"/>
        <v/>
      </c>
      <c r="W248" s="22"/>
      <c r="X248" s="22"/>
      <c xmlns="http://schemas.openxmlformats.org/spreadsheetml/2006/main" r="Y248">
        <f>IF($C248="",0,IF(COUNTIF($C$5:$C248,$C248)=1,1,0))</f>
        <v>0.0</v>
      </c>
      <c xmlns="http://schemas.openxmlformats.org/spreadsheetml/2006/main" r="Z248" t="str">
        <f>IF(Y248=1,SUM($Y$5:$Y248),"")</f>
        <v/>
      </c>
    </row>
    <row r="249" spans="1:26">
      <c r="A249" s="27"/>
      <c r="B249" s="22"/>
      <c r="C249" s="22"/>
      <c r="D249" s="22"/>
      <c r="E249" s="23"/>
      <c r="F249" s="28"/>
      <c r="G249" s="24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6"/>
      <c xmlns="http://schemas.openxmlformats.org/spreadsheetml/2006/main" r="T249" s="23" t="str">
        <f t="shared" si="9"/>
        <v/>
      </c>
      <c xmlns="http://schemas.openxmlformats.org/spreadsheetml/2006/main" r="U249" s="22" t="str">
        <f t="shared" si="10"/>
        <v/>
      </c>
      <c xmlns="http://schemas.openxmlformats.org/spreadsheetml/2006/main" r="V249" s="18" t="str">
        <f t="shared" si="11"/>
        <v/>
      </c>
      <c r="W249" s="22"/>
      <c r="X249" s="22"/>
      <c xmlns="http://schemas.openxmlformats.org/spreadsheetml/2006/main" r="Y249">
        <f>IF($C249="",0,IF(COUNTIF($C$5:$C249,$C249)=1,1,0))</f>
        <v>0.0</v>
      </c>
      <c xmlns="http://schemas.openxmlformats.org/spreadsheetml/2006/main" r="Z249" t="str">
        <f>IF(Y249=1,SUM($Y$5:$Y249),"")</f>
        <v/>
      </c>
    </row>
    <row r="250" spans="1:26">
      <c r="A250" s="27"/>
      <c r="B250" s="22"/>
      <c r="C250" s="22"/>
      <c r="D250" s="22"/>
      <c r="E250" s="23"/>
      <c r="F250" s="28"/>
      <c r="G250" s="24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6"/>
      <c xmlns="http://schemas.openxmlformats.org/spreadsheetml/2006/main" r="T250" s="23" t="str">
        <f t="shared" si="9"/>
        <v/>
      </c>
      <c xmlns="http://schemas.openxmlformats.org/spreadsheetml/2006/main" r="U250" s="22" t="str">
        <f t="shared" si="10"/>
        <v/>
      </c>
      <c xmlns="http://schemas.openxmlformats.org/spreadsheetml/2006/main" r="V250" s="18" t="str">
        <f t="shared" si="11"/>
        <v/>
      </c>
      <c r="W250" s="22"/>
      <c r="X250" s="22"/>
      <c xmlns="http://schemas.openxmlformats.org/spreadsheetml/2006/main" r="Y250">
        <f>IF($C250="",0,IF(COUNTIF($C$5:$C250,$C250)=1,1,0))</f>
        <v>0.0</v>
      </c>
      <c xmlns="http://schemas.openxmlformats.org/spreadsheetml/2006/main" r="Z250" t="str">
        <f>IF(Y250=1,SUM($Y$5:$Y250),"")</f>
        <v/>
      </c>
    </row>
    <row r="251" spans="1:26">
      <c r="A251" s="27"/>
      <c r="B251" s="22"/>
      <c r="C251" s="22"/>
      <c r="D251" s="22"/>
      <c r="E251" s="23"/>
      <c r="F251" s="28"/>
      <c r="G251" s="24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6"/>
      <c xmlns="http://schemas.openxmlformats.org/spreadsheetml/2006/main" r="T251" s="23" t="str">
        <f t="shared" si="9"/>
        <v/>
      </c>
      <c xmlns="http://schemas.openxmlformats.org/spreadsheetml/2006/main" r="U251" s="22" t="str">
        <f t="shared" si="10"/>
        <v/>
      </c>
      <c xmlns="http://schemas.openxmlformats.org/spreadsheetml/2006/main" r="V251" s="18" t="str">
        <f t="shared" si="11"/>
        <v/>
      </c>
      <c r="W251" s="22"/>
      <c r="X251" s="22"/>
      <c xmlns="http://schemas.openxmlformats.org/spreadsheetml/2006/main" r="Y251">
        <f>IF($C251="",0,IF(COUNTIF($C$5:$C251,$C251)=1,1,0))</f>
        <v>0.0</v>
      </c>
      <c xmlns="http://schemas.openxmlformats.org/spreadsheetml/2006/main" r="Z251" t="str">
        <f>IF(Y251=1,SUM($Y$5:$Y251),"")</f>
        <v/>
      </c>
    </row>
    <row r="252" spans="1:26">
      <c r="A252" s="27"/>
      <c r="B252" s="22"/>
      <c r="C252" s="22"/>
      <c r="D252" s="22"/>
      <c r="E252" s="23"/>
      <c r="F252" s="28"/>
      <c r="G252" s="24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6"/>
      <c xmlns="http://schemas.openxmlformats.org/spreadsheetml/2006/main" r="T252" s="23" t="str">
        <f t="shared" si="9"/>
        <v/>
      </c>
      <c xmlns="http://schemas.openxmlformats.org/spreadsheetml/2006/main" r="U252" s="22" t="str">
        <f t="shared" si="10"/>
        <v/>
      </c>
      <c xmlns="http://schemas.openxmlformats.org/spreadsheetml/2006/main" r="V252" s="18" t="str">
        <f t="shared" si="11"/>
        <v/>
      </c>
      <c r="W252" s="22"/>
      <c r="X252" s="22"/>
      <c xmlns="http://schemas.openxmlformats.org/spreadsheetml/2006/main" r="Y252">
        <f>IF($C252="",0,IF(COUNTIF($C$5:$C252,$C252)=1,1,0))</f>
        <v>0.0</v>
      </c>
      <c xmlns="http://schemas.openxmlformats.org/spreadsheetml/2006/main" r="Z252" t="str">
        <f>IF(Y252=1,SUM($Y$5:$Y252),"")</f>
        <v/>
      </c>
    </row>
    <row r="253" spans="1:26">
      <c r="A253" s="27"/>
      <c r="B253" s="22"/>
      <c r="C253" s="22"/>
      <c r="D253" s="22"/>
      <c r="E253" s="23"/>
      <c r="F253" s="28"/>
      <c r="G253" s="24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6"/>
      <c xmlns="http://schemas.openxmlformats.org/spreadsheetml/2006/main" r="T253" s="23" t="str">
        <f t="shared" si="9"/>
        <v/>
      </c>
      <c xmlns="http://schemas.openxmlformats.org/spreadsheetml/2006/main" r="U253" s="22" t="str">
        <f t="shared" si="10"/>
        <v/>
      </c>
      <c xmlns="http://schemas.openxmlformats.org/spreadsheetml/2006/main" r="V253" s="18" t="str">
        <f t="shared" si="11"/>
        <v/>
      </c>
      <c r="W253" s="22"/>
      <c r="X253" s="22"/>
      <c xmlns="http://schemas.openxmlformats.org/spreadsheetml/2006/main" r="Y253">
        <f>IF($C253="",0,IF(COUNTIF($C$5:$C253,$C253)=1,1,0))</f>
        <v>0.0</v>
      </c>
      <c xmlns="http://schemas.openxmlformats.org/spreadsheetml/2006/main" r="Z253" t="str">
        <f>IF(Y253=1,SUM($Y$5:$Y253),"")</f>
        <v/>
      </c>
    </row>
    <row r="254" spans="1:26">
      <c r="A254" s="27"/>
      <c r="B254" s="22"/>
      <c r="C254" s="22"/>
      <c r="D254" s="22"/>
      <c r="E254" s="23"/>
      <c r="F254" s="28"/>
      <c r="G254" s="24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6"/>
      <c xmlns="http://schemas.openxmlformats.org/spreadsheetml/2006/main" r="T254" s="23" t="str">
        <f t="shared" si="9"/>
        <v/>
      </c>
      <c xmlns="http://schemas.openxmlformats.org/spreadsheetml/2006/main" r="U254" s="22" t="str">
        <f t="shared" si="10"/>
        <v/>
      </c>
      <c xmlns="http://schemas.openxmlformats.org/spreadsheetml/2006/main" r="V254" s="18" t="str">
        <f t="shared" si="11"/>
        <v/>
      </c>
      <c r="W254" s="22"/>
      <c r="X254" s="22"/>
      <c xmlns="http://schemas.openxmlformats.org/spreadsheetml/2006/main" r="Y254">
        <f>IF($C254="",0,IF(COUNTIF($C$5:$C254,$C254)=1,1,0))</f>
        <v>0.0</v>
      </c>
      <c xmlns="http://schemas.openxmlformats.org/spreadsheetml/2006/main" r="Z254" t="str">
        <f>IF(Y254=1,SUM($Y$5:$Y254),"")</f>
        <v/>
      </c>
    </row>
    <row r="255" spans="1:26">
      <c r="A255" s="27"/>
      <c r="B255" s="22"/>
      <c r="C255" s="22"/>
      <c r="D255" s="22"/>
      <c r="E255" s="23"/>
      <c r="F255" s="28"/>
      <c r="G255" s="24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6"/>
      <c xmlns="http://schemas.openxmlformats.org/spreadsheetml/2006/main" r="T255" s="23" t="str">
        <f t="shared" si="9"/>
        <v/>
      </c>
      <c xmlns="http://schemas.openxmlformats.org/spreadsheetml/2006/main" r="U255" s="22" t="str">
        <f t="shared" si="10"/>
        <v/>
      </c>
      <c xmlns="http://schemas.openxmlformats.org/spreadsheetml/2006/main" r="V255" s="18" t="str">
        <f t="shared" si="11"/>
        <v/>
      </c>
      <c r="W255" s="22"/>
      <c r="X255" s="22"/>
      <c xmlns="http://schemas.openxmlformats.org/spreadsheetml/2006/main" r="Y255">
        <f>IF($C255="",0,IF(COUNTIF($C$5:$C255,$C255)=1,1,0))</f>
        <v>0.0</v>
      </c>
      <c xmlns="http://schemas.openxmlformats.org/spreadsheetml/2006/main" r="Z255" t="str">
        <f>IF(Y255=1,SUM($Y$5:$Y255),"")</f>
        <v/>
      </c>
    </row>
    <row r="256" spans="1:26">
      <c r="A256" s="27"/>
      <c r="B256" s="22"/>
      <c r="C256" s="22"/>
      <c r="D256" s="22"/>
      <c r="E256" s="23"/>
      <c r="F256" s="28"/>
      <c r="G256" s="24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6"/>
      <c xmlns="http://schemas.openxmlformats.org/spreadsheetml/2006/main" r="T256" s="23" t="str">
        <f t="shared" si="9"/>
        <v/>
      </c>
      <c xmlns="http://schemas.openxmlformats.org/spreadsheetml/2006/main" r="U256" s="22" t="str">
        <f t="shared" si="10"/>
        <v/>
      </c>
      <c xmlns="http://schemas.openxmlformats.org/spreadsheetml/2006/main" r="V256" s="18" t="str">
        <f t="shared" si="11"/>
        <v/>
      </c>
      <c r="W256" s="22"/>
      <c r="X256" s="22"/>
      <c xmlns="http://schemas.openxmlformats.org/spreadsheetml/2006/main" r="Y256">
        <f>IF($C256="",0,IF(COUNTIF($C$5:$C256,$C256)=1,1,0))</f>
        <v>0.0</v>
      </c>
      <c xmlns="http://schemas.openxmlformats.org/spreadsheetml/2006/main" r="Z256" t="str">
        <f>IF(Y256=1,SUM($Y$5:$Y256),"")</f>
        <v/>
      </c>
    </row>
    <row r="257" spans="1:26">
      <c r="A257" s="27"/>
      <c r="B257" s="22"/>
      <c r="C257" s="22"/>
      <c r="D257" s="22"/>
      <c r="E257" s="23"/>
      <c r="F257" s="28"/>
      <c r="G257" s="24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6"/>
      <c xmlns="http://schemas.openxmlformats.org/spreadsheetml/2006/main" r="T257" s="23" t="str">
        <f t="shared" si="9"/>
        <v/>
      </c>
      <c xmlns="http://schemas.openxmlformats.org/spreadsheetml/2006/main" r="U257" s="22" t="str">
        <f t="shared" si="10"/>
        <v/>
      </c>
      <c xmlns="http://schemas.openxmlformats.org/spreadsheetml/2006/main" r="V257" s="18" t="str">
        <f t="shared" si="11"/>
        <v/>
      </c>
      <c r="W257" s="22"/>
      <c r="X257" s="22"/>
      <c xmlns="http://schemas.openxmlformats.org/spreadsheetml/2006/main" r="Y257">
        <f>IF($C257="",0,IF(COUNTIF($C$5:$C257,$C257)=1,1,0))</f>
        <v>0.0</v>
      </c>
      <c xmlns="http://schemas.openxmlformats.org/spreadsheetml/2006/main" r="Z257" t="str">
        <f>IF(Y257=1,SUM($Y$5:$Y257),"")</f>
        <v/>
      </c>
    </row>
    <row r="258" spans="1:26">
      <c r="A258" s="27"/>
      <c r="B258" s="22"/>
      <c r="C258" s="22"/>
      <c r="D258" s="22"/>
      <c r="E258" s="23"/>
      <c r="F258" s="28"/>
      <c r="G258" s="24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6"/>
      <c xmlns="http://schemas.openxmlformats.org/spreadsheetml/2006/main" r="T258" s="23" t="str">
        <f t="shared" si="9"/>
        <v/>
      </c>
      <c xmlns="http://schemas.openxmlformats.org/spreadsheetml/2006/main" r="U258" s="22" t="str">
        <f t="shared" si="10"/>
        <v/>
      </c>
      <c xmlns="http://schemas.openxmlformats.org/spreadsheetml/2006/main" r="V258" s="18" t="str">
        <f t="shared" si="11"/>
        <v/>
      </c>
      <c r="W258" s="22"/>
      <c r="X258" s="22"/>
      <c xmlns="http://schemas.openxmlformats.org/spreadsheetml/2006/main" r="Y258">
        <f>IF($C258="",0,IF(COUNTIF($C$5:$C258,$C258)=1,1,0))</f>
        <v>0.0</v>
      </c>
      <c xmlns="http://schemas.openxmlformats.org/spreadsheetml/2006/main" r="Z258" t="str">
        <f>IF(Y258=1,SUM($Y$5:$Y258),"")</f>
        <v/>
      </c>
    </row>
    <row r="259" spans="1:26">
      <c r="A259" s="27"/>
      <c r="B259" s="22"/>
      <c r="C259" s="22"/>
      <c r="D259" s="22"/>
      <c r="E259" s="23"/>
      <c r="F259" s="28"/>
      <c r="G259" s="24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6"/>
      <c xmlns="http://schemas.openxmlformats.org/spreadsheetml/2006/main" r="T259" s="23" t="str">
        <f t="shared" si="9"/>
        <v/>
      </c>
      <c xmlns="http://schemas.openxmlformats.org/spreadsheetml/2006/main" r="U259" s="22" t="str">
        <f t="shared" si="10"/>
        <v/>
      </c>
      <c xmlns="http://schemas.openxmlformats.org/spreadsheetml/2006/main" r="V259" s="18" t="str">
        <f t="shared" si="11"/>
        <v/>
      </c>
      <c r="W259" s="22"/>
      <c r="X259" s="22"/>
      <c xmlns="http://schemas.openxmlformats.org/spreadsheetml/2006/main" r="Y259">
        <f>IF($C259="",0,IF(COUNTIF($C$5:$C259,$C259)=1,1,0))</f>
        <v>0.0</v>
      </c>
      <c xmlns="http://schemas.openxmlformats.org/spreadsheetml/2006/main" r="Z259" t="str">
        <f>IF(Y259=1,SUM($Y$5:$Y259),"")</f>
        <v/>
      </c>
    </row>
    <row r="260" spans="1:26">
      <c r="A260" s="27"/>
      <c r="B260" s="22"/>
      <c r="C260" s="22"/>
      <c r="D260" s="22"/>
      <c r="E260" s="23"/>
      <c r="F260" s="28"/>
      <c r="G260" s="24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6"/>
      <c xmlns="http://schemas.openxmlformats.org/spreadsheetml/2006/main" r="T260" s="23" t="str">
        <f t="shared" si="9"/>
        <v/>
      </c>
      <c xmlns="http://schemas.openxmlformats.org/spreadsheetml/2006/main" r="U260" s="22" t="str">
        <f t="shared" si="10"/>
        <v/>
      </c>
      <c xmlns="http://schemas.openxmlformats.org/spreadsheetml/2006/main" r="V260" s="18" t="str">
        <f t="shared" si="11"/>
        <v/>
      </c>
      <c r="W260" s="22"/>
      <c r="X260" s="22"/>
      <c xmlns="http://schemas.openxmlformats.org/spreadsheetml/2006/main" r="Y260">
        <f>IF($C260="",0,IF(COUNTIF($C$5:$C260,$C260)=1,1,0))</f>
        <v>0.0</v>
      </c>
      <c xmlns="http://schemas.openxmlformats.org/spreadsheetml/2006/main" r="Z260" t="str">
        <f>IF(Y260=1,SUM($Y$5:$Y260),"")</f>
        <v/>
      </c>
    </row>
    <row r="261" spans="1:26">
      <c r="A261" s="27"/>
      <c r="B261" s="22"/>
      <c r="C261" s="22"/>
      <c r="D261" s="22"/>
      <c r="E261" s="23"/>
      <c r="F261" s="28"/>
      <c r="G261" s="24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6"/>
      <c xmlns="http://schemas.openxmlformats.org/spreadsheetml/2006/main" r="T261" s="23" t="str">
        <f t="shared" ref="T261:T304" si="12">IF($D261="","",COUNTIF($H261:$R261,"V"))</f>
        <v/>
      </c>
      <c xmlns="http://schemas.openxmlformats.org/spreadsheetml/2006/main" r="U261" s="22" t="str">
        <f t="shared" ref="U261:U304" si="13">IF($D261="","",IF(AND($S261="V",$T261&gt;0),"⚠ 勾選矛盾",IF($S261="V","○ 免調理",IF($T261=0,"⚠ 資料缺漏",IF($T261=1,"▲ 單一設備依賴","OK")))))</f>
        <v/>
      </c>
      <c xmlns="http://schemas.openxmlformats.org/spreadsheetml/2006/main" r="V261" s="18" t="str">
        <f t="shared" ref="V261:V304" si="14">IF($D261="","",IF(AND($S261="V",$T261&gt;0),"「無使用調理設備」不可與設備欄同時勾選，請擇一修正",IF($S261="V","免調理半成品（外購/僅切配等），不列入設備風險評估",IF($T261=0,"未勾選任何設備，請補填或勾選「無使用調理設備」",IF($T261=1,"僅依賴1台設備，須確認故障/排修時之備援製程","無異常")))))</f>
        <v/>
      </c>
      <c r="W261" s="22"/>
      <c r="X261" s="22"/>
      <c xmlns="http://schemas.openxmlformats.org/spreadsheetml/2006/main" r="Y261">
        <f>IF($C261="",0,IF(COUNTIF($C$5:$C261,$C261)=1,1,0))</f>
        <v>0.0</v>
      </c>
      <c xmlns="http://schemas.openxmlformats.org/spreadsheetml/2006/main" r="Z261" t="str">
        <f>IF(Y261=1,SUM($Y$5:$Y261),"")</f>
        <v/>
      </c>
    </row>
    <row r="262" spans="1:26">
      <c r="A262" s="27"/>
      <c r="B262" s="22"/>
      <c r="C262" s="22"/>
      <c r="D262" s="22"/>
      <c r="E262" s="23"/>
      <c r="F262" s="28"/>
      <c r="G262" s="24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6"/>
      <c xmlns="http://schemas.openxmlformats.org/spreadsheetml/2006/main" r="T262" s="23" t="str">
        <f t="shared" si="12"/>
        <v/>
      </c>
      <c xmlns="http://schemas.openxmlformats.org/spreadsheetml/2006/main" r="U262" s="22" t="str">
        <f t="shared" si="13"/>
        <v/>
      </c>
      <c xmlns="http://schemas.openxmlformats.org/spreadsheetml/2006/main" r="V262" s="18" t="str">
        <f t="shared" si="14"/>
        <v/>
      </c>
      <c r="W262" s="22"/>
      <c r="X262" s="22"/>
      <c xmlns="http://schemas.openxmlformats.org/spreadsheetml/2006/main" r="Y262">
        <f>IF($C262="",0,IF(COUNTIF($C$5:$C262,$C262)=1,1,0))</f>
        <v>0.0</v>
      </c>
      <c xmlns="http://schemas.openxmlformats.org/spreadsheetml/2006/main" r="Z262" t="str">
        <f>IF(Y262=1,SUM($Y$5:$Y262),"")</f>
        <v/>
      </c>
    </row>
    <row r="263" spans="1:26">
      <c r="A263" s="27"/>
      <c r="B263" s="22"/>
      <c r="C263" s="22"/>
      <c r="D263" s="22"/>
      <c r="E263" s="23"/>
      <c r="F263" s="28"/>
      <c r="G263" s="24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6"/>
      <c xmlns="http://schemas.openxmlformats.org/spreadsheetml/2006/main" r="T263" s="23" t="str">
        <f t="shared" si="12"/>
        <v/>
      </c>
      <c xmlns="http://schemas.openxmlformats.org/spreadsheetml/2006/main" r="U263" s="22" t="str">
        <f t="shared" si="13"/>
        <v/>
      </c>
      <c xmlns="http://schemas.openxmlformats.org/spreadsheetml/2006/main" r="V263" s="18" t="str">
        <f t="shared" si="14"/>
        <v/>
      </c>
      <c r="W263" s="22"/>
      <c r="X263" s="22"/>
      <c xmlns="http://schemas.openxmlformats.org/spreadsheetml/2006/main" r="Y263">
        <f>IF($C263="",0,IF(COUNTIF($C$5:$C263,$C263)=1,1,0))</f>
        <v>0.0</v>
      </c>
      <c xmlns="http://schemas.openxmlformats.org/spreadsheetml/2006/main" r="Z263" t="str">
        <f>IF(Y263=1,SUM($Y$5:$Y263),"")</f>
        <v/>
      </c>
    </row>
    <row r="264" spans="1:26">
      <c r="A264" s="27"/>
      <c r="B264" s="22"/>
      <c r="C264" s="22"/>
      <c r="D264" s="22"/>
      <c r="E264" s="23"/>
      <c r="F264" s="28"/>
      <c r="G264" s="24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  <c xmlns="http://schemas.openxmlformats.org/spreadsheetml/2006/main" r="T264" s="23" t="str">
        <f t="shared" si="12"/>
        <v/>
      </c>
      <c xmlns="http://schemas.openxmlformats.org/spreadsheetml/2006/main" r="U264" s="22" t="str">
        <f t="shared" si="13"/>
        <v/>
      </c>
      <c xmlns="http://schemas.openxmlformats.org/spreadsheetml/2006/main" r="V264" s="18" t="str">
        <f t="shared" si="14"/>
        <v/>
      </c>
      <c r="W264" s="22"/>
      <c r="X264" s="22"/>
      <c xmlns="http://schemas.openxmlformats.org/spreadsheetml/2006/main" r="Y264">
        <f>IF($C264="",0,IF(COUNTIF($C$5:$C264,$C264)=1,1,0))</f>
        <v>0.0</v>
      </c>
      <c xmlns="http://schemas.openxmlformats.org/spreadsheetml/2006/main" r="Z264" t="str">
        <f>IF(Y264=1,SUM($Y$5:$Y264),"")</f>
        <v/>
      </c>
    </row>
    <row r="265" spans="1:26">
      <c r="A265" s="27"/>
      <c r="B265" s="22"/>
      <c r="C265" s="22"/>
      <c r="D265" s="22"/>
      <c r="E265" s="23"/>
      <c r="F265" s="28"/>
      <c r="G265" s="24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6"/>
      <c xmlns="http://schemas.openxmlformats.org/spreadsheetml/2006/main" r="T265" s="23" t="str">
        <f t="shared" si="12"/>
        <v/>
      </c>
      <c xmlns="http://schemas.openxmlformats.org/spreadsheetml/2006/main" r="U265" s="22" t="str">
        <f t="shared" si="13"/>
        <v/>
      </c>
      <c xmlns="http://schemas.openxmlformats.org/spreadsheetml/2006/main" r="V265" s="18" t="str">
        <f t="shared" si="14"/>
        <v/>
      </c>
      <c r="W265" s="22"/>
      <c r="X265" s="22"/>
      <c xmlns="http://schemas.openxmlformats.org/spreadsheetml/2006/main" r="Y265">
        <f>IF($C265="",0,IF(COUNTIF($C$5:$C265,$C265)=1,1,0))</f>
        <v>0.0</v>
      </c>
      <c xmlns="http://schemas.openxmlformats.org/spreadsheetml/2006/main" r="Z265" t="str">
        <f>IF(Y265=1,SUM($Y$5:$Y265),"")</f>
        <v/>
      </c>
    </row>
    <row r="266" spans="1:26">
      <c r="A266" s="27"/>
      <c r="B266" s="22"/>
      <c r="C266" s="22"/>
      <c r="D266" s="22"/>
      <c r="E266" s="23"/>
      <c r="F266" s="28"/>
      <c r="G266" s="24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6"/>
      <c xmlns="http://schemas.openxmlformats.org/spreadsheetml/2006/main" r="T266" s="23" t="str">
        <f t="shared" si="12"/>
        <v/>
      </c>
      <c xmlns="http://schemas.openxmlformats.org/spreadsheetml/2006/main" r="U266" s="22" t="str">
        <f t="shared" si="13"/>
        <v/>
      </c>
      <c xmlns="http://schemas.openxmlformats.org/spreadsheetml/2006/main" r="V266" s="18" t="str">
        <f t="shared" si="14"/>
        <v/>
      </c>
      <c r="W266" s="22"/>
      <c r="X266" s="22"/>
      <c xmlns="http://schemas.openxmlformats.org/spreadsheetml/2006/main" r="Y266">
        <f>IF($C266="",0,IF(COUNTIF($C$5:$C266,$C266)=1,1,0))</f>
        <v>0.0</v>
      </c>
      <c xmlns="http://schemas.openxmlformats.org/spreadsheetml/2006/main" r="Z266" t="str">
        <f>IF(Y266=1,SUM($Y$5:$Y266),"")</f>
        <v/>
      </c>
    </row>
    <row r="267" spans="1:26">
      <c r="A267" s="27"/>
      <c r="B267" s="22"/>
      <c r="C267" s="22"/>
      <c r="D267" s="22"/>
      <c r="E267" s="23"/>
      <c r="F267" s="28"/>
      <c r="G267" s="24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6"/>
      <c xmlns="http://schemas.openxmlformats.org/spreadsheetml/2006/main" r="T267" s="23" t="str">
        <f t="shared" si="12"/>
        <v/>
      </c>
      <c xmlns="http://schemas.openxmlformats.org/spreadsheetml/2006/main" r="U267" s="22" t="str">
        <f t="shared" si="13"/>
        <v/>
      </c>
      <c xmlns="http://schemas.openxmlformats.org/spreadsheetml/2006/main" r="V267" s="18" t="str">
        <f t="shared" si="14"/>
        <v/>
      </c>
      <c r="W267" s="22"/>
      <c r="X267" s="22"/>
      <c xmlns="http://schemas.openxmlformats.org/spreadsheetml/2006/main" r="Y267">
        <f>IF($C267="",0,IF(COUNTIF($C$5:$C267,$C267)=1,1,0))</f>
        <v>0.0</v>
      </c>
      <c xmlns="http://schemas.openxmlformats.org/spreadsheetml/2006/main" r="Z267" t="str">
        <f>IF(Y267=1,SUM($Y$5:$Y267),"")</f>
        <v/>
      </c>
    </row>
    <row r="268" spans="1:26">
      <c r="A268" s="27"/>
      <c r="B268" s="22"/>
      <c r="C268" s="22"/>
      <c r="D268" s="22"/>
      <c r="E268" s="23"/>
      <c r="F268" s="28"/>
      <c r="G268" s="24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6"/>
      <c xmlns="http://schemas.openxmlformats.org/spreadsheetml/2006/main" r="T268" s="23" t="str">
        <f t="shared" si="12"/>
        <v/>
      </c>
      <c xmlns="http://schemas.openxmlformats.org/spreadsheetml/2006/main" r="U268" s="22" t="str">
        <f t="shared" si="13"/>
        <v/>
      </c>
      <c xmlns="http://schemas.openxmlformats.org/spreadsheetml/2006/main" r="V268" s="18" t="str">
        <f t="shared" si="14"/>
        <v/>
      </c>
      <c r="W268" s="22"/>
      <c r="X268" s="22"/>
      <c xmlns="http://schemas.openxmlformats.org/spreadsheetml/2006/main" r="Y268">
        <f>IF($C268="",0,IF(COUNTIF($C$5:$C268,$C268)=1,1,0))</f>
        <v>0.0</v>
      </c>
      <c xmlns="http://schemas.openxmlformats.org/spreadsheetml/2006/main" r="Z268" t="str">
        <f>IF(Y268=1,SUM($Y$5:$Y268),"")</f>
        <v/>
      </c>
    </row>
    <row r="269" spans="1:26">
      <c r="A269" s="27"/>
      <c r="B269" s="22"/>
      <c r="C269" s="22"/>
      <c r="D269" s="22"/>
      <c r="E269" s="23"/>
      <c r="F269" s="28"/>
      <c r="G269" s="24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6"/>
      <c xmlns="http://schemas.openxmlformats.org/spreadsheetml/2006/main" r="T269" s="23" t="str">
        <f t="shared" si="12"/>
        <v/>
      </c>
      <c xmlns="http://schemas.openxmlformats.org/spreadsheetml/2006/main" r="U269" s="22" t="str">
        <f t="shared" si="13"/>
        <v/>
      </c>
      <c xmlns="http://schemas.openxmlformats.org/spreadsheetml/2006/main" r="V269" s="18" t="str">
        <f t="shared" si="14"/>
        <v/>
      </c>
      <c r="W269" s="22"/>
      <c r="X269" s="22"/>
      <c xmlns="http://schemas.openxmlformats.org/spreadsheetml/2006/main" r="Y269">
        <f>IF($C269="",0,IF(COUNTIF($C$5:$C269,$C269)=1,1,0))</f>
        <v>0.0</v>
      </c>
      <c xmlns="http://schemas.openxmlformats.org/spreadsheetml/2006/main" r="Z269" t="str">
        <f>IF(Y269=1,SUM($Y$5:$Y269),"")</f>
        <v/>
      </c>
    </row>
    <row r="270" spans="1:26">
      <c r="A270" s="27"/>
      <c r="B270" s="22"/>
      <c r="C270" s="22"/>
      <c r="D270" s="22"/>
      <c r="E270" s="23"/>
      <c r="F270" s="28"/>
      <c r="G270" s="24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6"/>
      <c xmlns="http://schemas.openxmlformats.org/spreadsheetml/2006/main" r="T270" s="23" t="str">
        <f t="shared" si="12"/>
        <v/>
      </c>
      <c xmlns="http://schemas.openxmlformats.org/spreadsheetml/2006/main" r="U270" s="22" t="str">
        <f t="shared" si="13"/>
        <v/>
      </c>
      <c xmlns="http://schemas.openxmlformats.org/spreadsheetml/2006/main" r="V270" s="18" t="str">
        <f t="shared" si="14"/>
        <v/>
      </c>
      <c r="W270" s="22"/>
      <c r="X270" s="22"/>
      <c xmlns="http://schemas.openxmlformats.org/spreadsheetml/2006/main" r="Y270">
        <f>IF($C270="",0,IF(COUNTIF($C$5:$C270,$C270)=1,1,0))</f>
        <v>0.0</v>
      </c>
      <c xmlns="http://schemas.openxmlformats.org/spreadsheetml/2006/main" r="Z270" t="str">
        <f>IF(Y270=1,SUM($Y$5:$Y270),"")</f>
        <v/>
      </c>
    </row>
    <row r="271" spans="1:26">
      <c r="A271" s="27"/>
      <c r="B271" s="22"/>
      <c r="C271" s="22"/>
      <c r="D271" s="22"/>
      <c r="E271" s="23"/>
      <c r="F271" s="28"/>
      <c r="G271" s="24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6"/>
      <c xmlns="http://schemas.openxmlformats.org/spreadsheetml/2006/main" r="T271" s="23" t="str">
        <f t="shared" si="12"/>
        <v/>
      </c>
      <c xmlns="http://schemas.openxmlformats.org/spreadsheetml/2006/main" r="U271" s="22" t="str">
        <f t="shared" si="13"/>
        <v/>
      </c>
      <c xmlns="http://schemas.openxmlformats.org/spreadsheetml/2006/main" r="V271" s="18" t="str">
        <f t="shared" si="14"/>
        <v/>
      </c>
      <c r="W271" s="22"/>
      <c r="X271" s="22"/>
      <c xmlns="http://schemas.openxmlformats.org/spreadsheetml/2006/main" r="Y271">
        <f>IF($C271="",0,IF(COUNTIF($C$5:$C271,$C271)=1,1,0))</f>
        <v>0.0</v>
      </c>
      <c xmlns="http://schemas.openxmlformats.org/spreadsheetml/2006/main" r="Z271" t="str">
        <f>IF(Y271=1,SUM($Y$5:$Y271),"")</f>
        <v/>
      </c>
    </row>
    <row r="272" spans="1:26">
      <c r="A272" s="27"/>
      <c r="B272" s="22"/>
      <c r="C272" s="22"/>
      <c r="D272" s="22"/>
      <c r="E272" s="23"/>
      <c r="F272" s="28"/>
      <c r="G272" s="24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6"/>
      <c xmlns="http://schemas.openxmlformats.org/spreadsheetml/2006/main" r="T272" s="23" t="str">
        <f t="shared" si="12"/>
        <v/>
      </c>
      <c xmlns="http://schemas.openxmlformats.org/spreadsheetml/2006/main" r="U272" s="22" t="str">
        <f t="shared" si="13"/>
        <v/>
      </c>
      <c xmlns="http://schemas.openxmlformats.org/spreadsheetml/2006/main" r="V272" s="18" t="str">
        <f t="shared" si="14"/>
        <v/>
      </c>
      <c r="W272" s="22"/>
      <c r="X272" s="22"/>
      <c xmlns="http://schemas.openxmlformats.org/spreadsheetml/2006/main" r="Y272">
        <f>IF($C272="",0,IF(COUNTIF($C$5:$C272,$C272)=1,1,0))</f>
        <v>0.0</v>
      </c>
      <c xmlns="http://schemas.openxmlformats.org/spreadsheetml/2006/main" r="Z272" t="str">
        <f>IF(Y272=1,SUM($Y$5:$Y272),"")</f>
        <v/>
      </c>
    </row>
    <row r="273" spans="1:26">
      <c r="A273" s="27"/>
      <c r="B273" s="22"/>
      <c r="C273" s="22"/>
      <c r="D273" s="22"/>
      <c r="E273" s="23"/>
      <c r="F273" s="28"/>
      <c r="G273" s="24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6"/>
      <c xmlns="http://schemas.openxmlformats.org/spreadsheetml/2006/main" r="T273" s="23" t="str">
        <f t="shared" si="12"/>
        <v/>
      </c>
      <c xmlns="http://schemas.openxmlformats.org/spreadsheetml/2006/main" r="U273" s="22" t="str">
        <f t="shared" si="13"/>
        <v/>
      </c>
      <c xmlns="http://schemas.openxmlformats.org/spreadsheetml/2006/main" r="V273" s="18" t="str">
        <f t="shared" si="14"/>
        <v/>
      </c>
      <c r="W273" s="22"/>
      <c r="X273" s="22"/>
      <c xmlns="http://schemas.openxmlformats.org/spreadsheetml/2006/main" r="Y273">
        <f>IF($C273="",0,IF(COUNTIF($C$5:$C273,$C273)=1,1,0))</f>
        <v>0.0</v>
      </c>
      <c xmlns="http://schemas.openxmlformats.org/spreadsheetml/2006/main" r="Z273" t="str">
        <f>IF(Y273=1,SUM($Y$5:$Y273),"")</f>
        <v/>
      </c>
    </row>
    <row r="274" spans="1:26">
      <c r="A274" s="27"/>
      <c r="B274" s="22"/>
      <c r="C274" s="22"/>
      <c r="D274" s="22"/>
      <c r="E274" s="23"/>
      <c r="F274" s="28"/>
      <c r="G274" s="24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6"/>
      <c xmlns="http://schemas.openxmlformats.org/spreadsheetml/2006/main" r="T274" s="23" t="str">
        <f t="shared" si="12"/>
        <v/>
      </c>
      <c xmlns="http://schemas.openxmlformats.org/spreadsheetml/2006/main" r="U274" s="22" t="str">
        <f t="shared" si="13"/>
        <v/>
      </c>
      <c xmlns="http://schemas.openxmlformats.org/spreadsheetml/2006/main" r="V274" s="18" t="str">
        <f t="shared" si="14"/>
        <v/>
      </c>
      <c r="W274" s="22"/>
      <c r="X274" s="22"/>
      <c xmlns="http://schemas.openxmlformats.org/spreadsheetml/2006/main" r="Y274">
        <f>IF($C274="",0,IF(COUNTIF($C$5:$C274,$C274)=1,1,0))</f>
        <v>0.0</v>
      </c>
      <c xmlns="http://schemas.openxmlformats.org/spreadsheetml/2006/main" r="Z274" t="str">
        <f>IF(Y274=1,SUM($Y$5:$Y274),"")</f>
        <v/>
      </c>
    </row>
    <row r="275" spans="1:26">
      <c r="A275" s="27"/>
      <c r="B275" s="22"/>
      <c r="C275" s="22"/>
      <c r="D275" s="22"/>
      <c r="E275" s="23"/>
      <c r="F275" s="28"/>
      <c r="G275" s="24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6"/>
      <c xmlns="http://schemas.openxmlformats.org/spreadsheetml/2006/main" r="T275" s="23" t="str">
        <f t="shared" si="12"/>
        <v/>
      </c>
      <c xmlns="http://schemas.openxmlformats.org/spreadsheetml/2006/main" r="U275" s="22" t="str">
        <f t="shared" si="13"/>
        <v/>
      </c>
      <c xmlns="http://schemas.openxmlformats.org/spreadsheetml/2006/main" r="V275" s="18" t="str">
        <f t="shared" si="14"/>
        <v/>
      </c>
      <c r="W275" s="22"/>
      <c r="X275" s="22"/>
      <c xmlns="http://schemas.openxmlformats.org/spreadsheetml/2006/main" r="Y275">
        <f>IF($C275="",0,IF(COUNTIF($C$5:$C275,$C275)=1,1,0))</f>
        <v>0.0</v>
      </c>
      <c xmlns="http://schemas.openxmlformats.org/spreadsheetml/2006/main" r="Z275" t="str">
        <f>IF(Y275=1,SUM($Y$5:$Y275),"")</f>
        <v/>
      </c>
    </row>
    <row r="276" spans="1:26">
      <c r="A276" s="27"/>
      <c r="B276" s="22"/>
      <c r="C276" s="22"/>
      <c r="D276" s="22"/>
      <c r="E276" s="23"/>
      <c r="F276" s="28"/>
      <c r="G276" s="24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6"/>
      <c xmlns="http://schemas.openxmlformats.org/spreadsheetml/2006/main" r="T276" s="23" t="str">
        <f t="shared" si="12"/>
        <v/>
      </c>
      <c xmlns="http://schemas.openxmlformats.org/spreadsheetml/2006/main" r="U276" s="22" t="str">
        <f t="shared" si="13"/>
        <v/>
      </c>
      <c xmlns="http://schemas.openxmlformats.org/spreadsheetml/2006/main" r="V276" s="18" t="str">
        <f t="shared" si="14"/>
        <v/>
      </c>
      <c r="W276" s="22"/>
      <c r="X276" s="22"/>
      <c xmlns="http://schemas.openxmlformats.org/spreadsheetml/2006/main" r="Y276">
        <f>IF($C276="",0,IF(COUNTIF($C$5:$C276,$C276)=1,1,0))</f>
        <v>0.0</v>
      </c>
      <c xmlns="http://schemas.openxmlformats.org/spreadsheetml/2006/main" r="Z276" t="str">
        <f>IF(Y276=1,SUM($Y$5:$Y276),"")</f>
        <v/>
      </c>
    </row>
    <row r="277" spans="1:26">
      <c r="A277" s="27"/>
      <c r="B277" s="22"/>
      <c r="C277" s="22"/>
      <c r="D277" s="22"/>
      <c r="E277" s="23"/>
      <c r="F277" s="28"/>
      <c r="G277" s="24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6"/>
      <c xmlns="http://schemas.openxmlformats.org/spreadsheetml/2006/main" r="T277" s="23" t="str">
        <f t="shared" si="12"/>
        <v/>
      </c>
      <c xmlns="http://schemas.openxmlformats.org/spreadsheetml/2006/main" r="U277" s="22" t="str">
        <f t="shared" si="13"/>
        <v/>
      </c>
      <c xmlns="http://schemas.openxmlformats.org/spreadsheetml/2006/main" r="V277" s="18" t="str">
        <f t="shared" si="14"/>
        <v/>
      </c>
      <c r="W277" s="22"/>
      <c r="X277" s="22"/>
      <c xmlns="http://schemas.openxmlformats.org/spreadsheetml/2006/main" r="Y277">
        <f>IF($C277="",0,IF(COUNTIF($C$5:$C277,$C277)=1,1,0))</f>
        <v>0.0</v>
      </c>
      <c xmlns="http://schemas.openxmlformats.org/spreadsheetml/2006/main" r="Z277" t="str">
        <f>IF(Y277=1,SUM($Y$5:$Y277),"")</f>
        <v/>
      </c>
    </row>
    <row r="278" spans="1:26">
      <c r="A278" s="27"/>
      <c r="B278" s="22"/>
      <c r="C278" s="22"/>
      <c r="D278" s="22"/>
      <c r="E278" s="23"/>
      <c r="F278" s="28"/>
      <c r="G278" s="24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6"/>
      <c xmlns="http://schemas.openxmlformats.org/spreadsheetml/2006/main" r="T278" s="23" t="str">
        <f t="shared" si="12"/>
        <v/>
      </c>
      <c xmlns="http://schemas.openxmlformats.org/spreadsheetml/2006/main" r="U278" s="22" t="str">
        <f t="shared" si="13"/>
        <v/>
      </c>
      <c xmlns="http://schemas.openxmlformats.org/spreadsheetml/2006/main" r="V278" s="18" t="str">
        <f t="shared" si="14"/>
        <v/>
      </c>
      <c r="W278" s="22"/>
      <c r="X278" s="22"/>
      <c xmlns="http://schemas.openxmlformats.org/spreadsheetml/2006/main" r="Y278">
        <f>IF($C278="",0,IF(COUNTIF($C$5:$C278,$C278)=1,1,0))</f>
        <v>0.0</v>
      </c>
      <c xmlns="http://schemas.openxmlformats.org/spreadsheetml/2006/main" r="Z278" t="str">
        <f>IF(Y278=1,SUM($Y$5:$Y278),"")</f>
        <v/>
      </c>
    </row>
    <row r="279" spans="1:26">
      <c r="A279" s="27"/>
      <c r="B279" s="22"/>
      <c r="C279" s="22"/>
      <c r="D279" s="22"/>
      <c r="E279" s="23"/>
      <c r="F279" s="28"/>
      <c r="G279" s="24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6"/>
      <c xmlns="http://schemas.openxmlformats.org/spreadsheetml/2006/main" r="T279" s="23" t="str">
        <f t="shared" si="12"/>
        <v/>
      </c>
      <c xmlns="http://schemas.openxmlformats.org/spreadsheetml/2006/main" r="U279" s="22" t="str">
        <f t="shared" si="13"/>
        <v/>
      </c>
      <c xmlns="http://schemas.openxmlformats.org/spreadsheetml/2006/main" r="V279" s="18" t="str">
        <f t="shared" si="14"/>
        <v/>
      </c>
      <c r="W279" s="22"/>
      <c r="X279" s="22"/>
      <c xmlns="http://schemas.openxmlformats.org/spreadsheetml/2006/main" r="Y279">
        <f>IF($C279="",0,IF(COUNTIF($C$5:$C279,$C279)=1,1,0))</f>
        <v>0.0</v>
      </c>
      <c xmlns="http://schemas.openxmlformats.org/spreadsheetml/2006/main" r="Z279" t="str">
        <f>IF(Y279=1,SUM($Y$5:$Y279),"")</f>
        <v/>
      </c>
    </row>
    <row r="280" spans="1:26">
      <c r="A280" s="27"/>
      <c r="B280" s="22"/>
      <c r="C280" s="22"/>
      <c r="D280" s="22"/>
      <c r="E280" s="23"/>
      <c r="F280" s="28"/>
      <c r="G280" s="24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6"/>
      <c xmlns="http://schemas.openxmlformats.org/spreadsheetml/2006/main" r="T280" s="23" t="str">
        <f t="shared" si="12"/>
        <v/>
      </c>
      <c xmlns="http://schemas.openxmlformats.org/spreadsheetml/2006/main" r="U280" s="22" t="str">
        <f t="shared" si="13"/>
        <v/>
      </c>
      <c xmlns="http://schemas.openxmlformats.org/spreadsheetml/2006/main" r="V280" s="18" t="str">
        <f t="shared" si="14"/>
        <v/>
      </c>
      <c r="W280" s="22"/>
      <c r="X280" s="22"/>
      <c xmlns="http://schemas.openxmlformats.org/spreadsheetml/2006/main" r="Y280">
        <f>IF($C280="",0,IF(COUNTIF($C$5:$C280,$C280)=1,1,0))</f>
        <v>0.0</v>
      </c>
      <c xmlns="http://schemas.openxmlformats.org/spreadsheetml/2006/main" r="Z280" t="str">
        <f>IF(Y280=1,SUM($Y$5:$Y280),"")</f>
        <v/>
      </c>
    </row>
    <row r="281" spans="1:26">
      <c r="A281" s="27"/>
      <c r="B281" s="22"/>
      <c r="C281" s="22"/>
      <c r="D281" s="22"/>
      <c r="E281" s="23"/>
      <c r="F281" s="28"/>
      <c r="G281" s="24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6"/>
      <c xmlns="http://schemas.openxmlformats.org/spreadsheetml/2006/main" r="T281" s="23" t="str">
        <f t="shared" si="12"/>
        <v/>
      </c>
      <c xmlns="http://schemas.openxmlformats.org/spreadsheetml/2006/main" r="U281" s="22" t="str">
        <f t="shared" si="13"/>
        <v/>
      </c>
      <c xmlns="http://schemas.openxmlformats.org/spreadsheetml/2006/main" r="V281" s="18" t="str">
        <f t="shared" si="14"/>
        <v/>
      </c>
      <c r="W281" s="22"/>
      <c r="X281" s="22"/>
      <c xmlns="http://schemas.openxmlformats.org/spreadsheetml/2006/main" r="Y281">
        <f>IF($C281="",0,IF(COUNTIF($C$5:$C281,$C281)=1,1,0))</f>
        <v>0.0</v>
      </c>
      <c xmlns="http://schemas.openxmlformats.org/spreadsheetml/2006/main" r="Z281" t="str">
        <f>IF(Y281=1,SUM($Y$5:$Y281),"")</f>
        <v/>
      </c>
    </row>
    <row r="282" spans="1:26">
      <c r="A282" s="27"/>
      <c r="B282" s="22"/>
      <c r="C282" s="22"/>
      <c r="D282" s="22"/>
      <c r="E282" s="23"/>
      <c r="F282" s="28"/>
      <c r="G282" s="24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6"/>
      <c xmlns="http://schemas.openxmlformats.org/spreadsheetml/2006/main" r="T282" s="23" t="str">
        <f t="shared" si="12"/>
        <v/>
      </c>
      <c xmlns="http://schemas.openxmlformats.org/spreadsheetml/2006/main" r="U282" s="22" t="str">
        <f t="shared" si="13"/>
        <v/>
      </c>
      <c xmlns="http://schemas.openxmlformats.org/spreadsheetml/2006/main" r="V282" s="18" t="str">
        <f t="shared" si="14"/>
        <v/>
      </c>
      <c r="W282" s="22"/>
      <c r="X282" s="22"/>
      <c xmlns="http://schemas.openxmlformats.org/spreadsheetml/2006/main" r="Y282">
        <f>IF($C282="",0,IF(COUNTIF($C$5:$C282,$C282)=1,1,0))</f>
        <v>0.0</v>
      </c>
      <c xmlns="http://schemas.openxmlformats.org/spreadsheetml/2006/main" r="Z282" t="str">
        <f>IF(Y282=1,SUM($Y$5:$Y282),"")</f>
        <v/>
      </c>
    </row>
    <row r="283" spans="1:26">
      <c r="A283" s="27"/>
      <c r="B283" s="22"/>
      <c r="C283" s="22"/>
      <c r="D283" s="22"/>
      <c r="E283" s="23"/>
      <c r="F283" s="28"/>
      <c r="G283" s="24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6"/>
      <c xmlns="http://schemas.openxmlformats.org/spreadsheetml/2006/main" r="T283" s="23" t="str">
        <f t="shared" si="12"/>
        <v/>
      </c>
      <c xmlns="http://schemas.openxmlformats.org/spreadsheetml/2006/main" r="U283" s="22" t="str">
        <f t="shared" si="13"/>
        <v/>
      </c>
      <c xmlns="http://schemas.openxmlformats.org/spreadsheetml/2006/main" r="V283" s="18" t="str">
        <f t="shared" si="14"/>
        <v/>
      </c>
      <c r="W283" s="22"/>
      <c r="X283" s="22"/>
      <c xmlns="http://schemas.openxmlformats.org/spreadsheetml/2006/main" r="Y283">
        <f>IF($C283="",0,IF(COUNTIF($C$5:$C283,$C283)=1,1,0))</f>
        <v>0.0</v>
      </c>
      <c xmlns="http://schemas.openxmlformats.org/spreadsheetml/2006/main" r="Z283" t="str">
        <f>IF(Y283=1,SUM($Y$5:$Y283),"")</f>
        <v/>
      </c>
    </row>
    <row r="284" spans="1:26">
      <c r="A284" s="27"/>
      <c r="B284" s="22"/>
      <c r="C284" s="22"/>
      <c r="D284" s="22"/>
      <c r="E284" s="23"/>
      <c r="F284" s="28"/>
      <c r="G284" s="24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6"/>
      <c xmlns="http://schemas.openxmlformats.org/spreadsheetml/2006/main" r="T284" s="23" t="str">
        <f t="shared" si="12"/>
        <v/>
      </c>
      <c xmlns="http://schemas.openxmlformats.org/spreadsheetml/2006/main" r="U284" s="22" t="str">
        <f t="shared" si="13"/>
        <v/>
      </c>
      <c xmlns="http://schemas.openxmlformats.org/spreadsheetml/2006/main" r="V284" s="18" t="str">
        <f t="shared" si="14"/>
        <v/>
      </c>
      <c r="W284" s="22"/>
      <c r="X284" s="22"/>
      <c xmlns="http://schemas.openxmlformats.org/spreadsheetml/2006/main" r="Y284">
        <f>IF($C284="",0,IF(COUNTIF($C$5:$C284,$C284)=1,1,0))</f>
        <v>0.0</v>
      </c>
      <c xmlns="http://schemas.openxmlformats.org/spreadsheetml/2006/main" r="Z284" t="str">
        <f>IF(Y284=1,SUM($Y$5:$Y284),"")</f>
        <v/>
      </c>
    </row>
    <row r="285" spans="1:26">
      <c r="A285" s="27"/>
      <c r="B285" s="22"/>
      <c r="C285" s="22"/>
      <c r="D285" s="22"/>
      <c r="E285" s="23"/>
      <c r="F285" s="28"/>
      <c r="G285" s="24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6"/>
      <c xmlns="http://schemas.openxmlformats.org/spreadsheetml/2006/main" r="T285" s="23" t="str">
        <f t="shared" si="12"/>
        <v/>
      </c>
      <c xmlns="http://schemas.openxmlformats.org/spreadsheetml/2006/main" r="U285" s="22" t="str">
        <f t="shared" si="13"/>
        <v/>
      </c>
      <c xmlns="http://schemas.openxmlformats.org/spreadsheetml/2006/main" r="V285" s="18" t="str">
        <f t="shared" si="14"/>
        <v/>
      </c>
      <c r="W285" s="22"/>
      <c r="X285" s="22"/>
      <c xmlns="http://schemas.openxmlformats.org/spreadsheetml/2006/main" r="Y285">
        <f>IF($C285="",0,IF(COUNTIF($C$5:$C285,$C285)=1,1,0))</f>
        <v>0.0</v>
      </c>
      <c xmlns="http://schemas.openxmlformats.org/spreadsheetml/2006/main" r="Z285" t="str">
        <f>IF(Y285=1,SUM($Y$5:$Y285),"")</f>
        <v/>
      </c>
    </row>
    <row r="286" spans="1:26">
      <c r="A286" s="27"/>
      <c r="B286" s="22"/>
      <c r="C286" s="22"/>
      <c r="D286" s="22"/>
      <c r="E286" s="23"/>
      <c r="F286" s="28"/>
      <c r="G286" s="24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6"/>
      <c xmlns="http://schemas.openxmlformats.org/spreadsheetml/2006/main" r="T286" s="23" t="str">
        <f t="shared" si="12"/>
        <v/>
      </c>
      <c xmlns="http://schemas.openxmlformats.org/spreadsheetml/2006/main" r="U286" s="22" t="str">
        <f t="shared" si="13"/>
        <v/>
      </c>
      <c xmlns="http://schemas.openxmlformats.org/spreadsheetml/2006/main" r="V286" s="18" t="str">
        <f t="shared" si="14"/>
        <v/>
      </c>
      <c r="W286" s="22"/>
      <c r="X286" s="22"/>
      <c xmlns="http://schemas.openxmlformats.org/spreadsheetml/2006/main" r="Y286">
        <f>IF($C286="",0,IF(COUNTIF($C$5:$C286,$C286)=1,1,0))</f>
        <v>0.0</v>
      </c>
      <c xmlns="http://schemas.openxmlformats.org/spreadsheetml/2006/main" r="Z286" t="str">
        <f>IF(Y286=1,SUM($Y$5:$Y286),"")</f>
        <v/>
      </c>
    </row>
    <row r="287" spans="1:26">
      <c r="A287" s="27"/>
      <c r="B287" s="22"/>
      <c r="C287" s="22"/>
      <c r="D287" s="22"/>
      <c r="E287" s="23"/>
      <c r="F287" s="28"/>
      <c r="G287" s="24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6"/>
      <c xmlns="http://schemas.openxmlformats.org/spreadsheetml/2006/main" r="T287" s="23" t="str">
        <f t="shared" si="12"/>
        <v/>
      </c>
      <c xmlns="http://schemas.openxmlformats.org/spreadsheetml/2006/main" r="U287" s="22" t="str">
        <f t="shared" si="13"/>
        <v/>
      </c>
      <c xmlns="http://schemas.openxmlformats.org/spreadsheetml/2006/main" r="V287" s="18" t="str">
        <f t="shared" si="14"/>
        <v/>
      </c>
      <c r="W287" s="22"/>
      <c r="X287" s="22"/>
      <c xmlns="http://schemas.openxmlformats.org/spreadsheetml/2006/main" r="Y287">
        <f>IF($C287="",0,IF(COUNTIF($C$5:$C287,$C287)=1,1,0))</f>
        <v>0.0</v>
      </c>
      <c xmlns="http://schemas.openxmlformats.org/spreadsheetml/2006/main" r="Z287" t="str">
        <f>IF(Y287=1,SUM($Y$5:$Y287),"")</f>
        <v/>
      </c>
    </row>
    <row r="288" spans="1:26">
      <c r="A288" s="27"/>
      <c r="B288" s="22"/>
      <c r="C288" s="22"/>
      <c r="D288" s="22"/>
      <c r="E288" s="23"/>
      <c r="F288" s="28"/>
      <c r="G288" s="24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6"/>
      <c xmlns="http://schemas.openxmlformats.org/spreadsheetml/2006/main" r="T288" s="23" t="str">
        <f t="shared" si="12"/>
        <v/>
      </c>
      <c xmlns="http://schemas.openxmlformats.org/spreadsheetml/2006/main" r="U288" s="22" t="str">
        <f t="shared" si="13"/>
        <v/>
      </c>
      <c xmlns="http://schemas.openxmlformats.org/spreadsheetml/2006/main" r="V288" s="18" t="str">
        <f t="shared" si="14"/>
        <v/>
      </c>
      <c r="W288" s="22"/>
      <c r="X288" s="22"/>
      <c xmlns="http://schemas.openxmlformats.org/spreadsheetml/2006/main" r="Y288">
        <f>IF($C288="",0,IF(COUNTIF($C$5:$C288,$C288)=1,1,0))</f>
        <v>0.0</v>
      </c>
      <c xmlns="http://schemas.openxmlformats.org/spreadsheetml/2006/main" r="Z288" t="str">
        <f>IF(Y288=1,SUM($Y$5:$Y288),"")</f>
        <v/>
      </c>
    </row>
    <row r="289" spans="1:26">
      <c r="A289" s="27"/>
      <c r="B289" s="22"/>
      <c r="C289" s="22"/>
      <c r="D289" s="22"/>
      <c r="E289" s="23"/>
      <c r="F289" s="28"/>
      <c r="G289" s="24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6"/>
      <c xmlns="http://schemas.openxmlformats.org/spreadsheetml/2006/main" r="T289" s="23" t="str">
        <f t="shared" si="12"/>
        <v/>
      </c>
      <c xmlns="http://schemas.openxmlformats.org/spreadsheetml/2006/main" r="U289" s="22" t="str">
        <f t="shared" si="13"/>
        <v/>
      </c>
      <c xmlns="http://schemas.openxmlformats.org/spreadsheetml/2006/main" r="V289" s="18" t="str">
        <f t="shared" si="14"/>
        <v/>
      </c>
      <c r="W289" s="22"/>
      <c r="X289" s="22"/>
      <c xmlns="http://schemas.openxmlformats.org/spreadsheetml/2006/main" r="Y289">
        <f>IF($C289="",0,IF(COUNTIF($C$5:$C289,$C289)=1,1,0))</f>
        <v>0.0</v>
      </c>
      <c xmlns="http://schemas.openxmlformats.org/spreadsheetml/2006/main" r="Z289" t="str">
        <f>IF(Y289=1,SUM($Y$5:$Y289),"")</f>
        <v/>
      </c>
    </row>
    <row r="290" spans="1:26">
      <c r="A290" s="27"/>
      <c r="B290" s="22"/>
      <c r="C290" s="22"/>
      <c r="D290" s="22"/>
      <c r="E290" s="23"/>
      <c r="F290" s="28"/>
      <c r="G290" s="24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  <c xmlns="http://schemas.openxmlformats.org/spreadsheetml/2006/main" r="T290" s="23" t="str">
        <f t="shared" si="12"/>
        <v/>
      </c>
      <c xmlns="http://schemas.openxmlformats.org/spreadsheetml/2006/main" r="U290" s="22" t="str">
        <f t="shared" si="13"/>
        <v/>
      </c>
      <c xmlns="http://schemas.openxmlformats.org/spreadsheetml/2006/main" r="V290" s="18" t="str">
        <f t="shared" si="14"/>
        <v/>
      </c>
      <c r="W290" s="22"/>
      <c r="X290" s="22"/>
      <c xmlns="http://schemas.openxmlformats.org/spreadsheetml/2006/main" r="Y290">
        <f>IF($C290="",0,IF(COUNTIF($C$5:$C290,$C290)=1,1,0))</f>
        <v>0.0</v>
      </c>
      <c xmlns="http://schemas.openxmlformats.org/spreadsheetml/2006/main" r="Z290" t="str">
        <f>IF(Y290=1,SUM($Y$5:$Y290),"")</f>
        <v/>
      </c>
    </row>
    <row r="291" spans="1:26">
      <c r="A291" s="27"/>
      <c r="B291" s="22"/>
      <c r="C291" s="22"/>
      <c r="D291" s="22"/>
      <c r="E291" s="23"/>
      <c r="F291" s="28"/>
      <c r="G291" s="24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6"/>
      <c xmlns="http://schemas.openxmlformats.org/spreadsheetml/2006/main" r="T291" s="23" t="str">
        <f t="shared" si="12"/>
        <v/>
      </c>
      <c xmlns="http://schemas.openxmlformats.org/spreadsheetml/2006/main" r="U291" s="22" t="str">
        <f t="shared" si="13"/>
        <v/>
      </c>
      <c xmlns="http://schemas.openxmlformats.org/spreadsheetml/2006/main" r="V291" s="18" t="str">
        <f t="shared" si="14"/>
        <v/>
      </c>
      <c r="W291" s="22"/>
      <c r="X291" s="22"/>
      <c xmlns="http://schemas.openxmlformats.org/spreadsheetml/2006/main" r="Y291">
        <f>IF($C291="",0,IF(COUNTIF($C$5:$C291,$C291)=1,1,0))</f>
        <v>0.0</v>
      </c>
      <c xmlns="http://schemas.openxmlformats.org/spreadsheetml/2006/main" r="Z291" t="str">
        <f>IF(Y291=1,SUM($Y$5:$Y291),"")</f>
        <v/>
      </c>
    </row>
    <row r="292" spans="1:26">
      <c r="A292" s="27"/>
      <c r="B292" s="22"/>
      <c r="C292" s="22"/>
      <c r="D292" s="22"/>
      <c r="E292" s="23"/>
      <c r="F292" s="28"/>
      <c r="G292" s="24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6"/>
      <c xmlns="http://schemas.openxmlformats.org/spreadsheetml/2006/main" r="T292" s="23" t="str">
        <f t="shared" si="12"/>
        <v/>
      </c>
      <c xmlns="http://schemas.openxmlformats.org/spreadsheetml/2006/main" r="U292" s="22" t="str">
        <f t="shared" si="13"/>
        <v/>
      </c>
      <c xmlns="http://schemas.openxmlformats.org/spreadsheetml/2006/main" r="V292" s="18" t="str">
        <f t="shared" si="14"/>
        <v/>
      </c>
      <c r="W292" s="22"/>
      <c r="X292" s="22"/>
      <c xmlns="http://schemas.openxmlformats.org/spreadsheetml/2006/main" r="Y292">
        <f>IF($C292="",0,IF(COUNTIF($C$5:$C292,$C292)=1,1,0))</f>
        <v>0.0</v>
      </c>
      <c xmlns="http://schemas.openxmlformats.org/spreadsheetml/2006/main" r="Z292" t="str">
        <f>IF(Y292=1,SUM($Y$5:$Y292),"")</f>
        <v/>
      </c>
    </row>
    <row r="293" spans="1:26">
      <c r="A293" s="27"/>
      <c r="B293" s="22"/>
      <c r="C293" s="22"/>
      <c r="D293" s="22"/>
      <c r="E293" s="23"/>
      <c r="F293" s="28"/>
      <c r="G293" s="24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6"/>
      <c xmlns="http://schemas.openxmlformats.org/spreadsheetml/2006/main" r="T293" s="23" t="str">
        <f t="shared" si="12"/>
        <v/>
      </c>
      <c xmlns="http://schemas.openxmlformats.org/spreadsheetml/2006/main" r="U293" s="22" t="str">
        <f t="shared" si="13"/>
        <v/>
      </c>
      <c xmlns="http://schemas.openxmlformats.org/spreadsheetml/2006/main" r="V293" s="18" t="str">
        <f t="shared" si="14"/>
        <v/>
      </c>
      <c r="W293" s="22"/>
      <c r="X293" s="22"/>
      <c xmlns="http://schemas.openxmlformats.org/spreadsheetml/2006/main" r="Y293">
        <f>IF($C293="",0,IF(COUNTIF($C$5:$C293,$C293)=1,1,0))</f>
        <v>0.0</v>
      </c>
      <c xmlns="http://schemas.openxmlformats.org/spreadsheetml/2006/main" r="Z293" t="str">
        <f>IF(Y293=1,SUM($Y$5:$Y293),"")</f>
        <v/>
      </c>
    </row>
    <row r="294" spans="1:26">
      <c r="A294" s="27"/>
      <c r="B294" s="22"/>
      <c r="C294" s="22"/>
      <c r="D294" s="22"/>
      <c r="E294" s="23"/>
      <c r="F294" s="28"/>
      <c r="G294" s="24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6"/>
      <c xmlns="http://schemas.openxmlformats.org/spreadsheetml/2006/main" r="T294" s="23" t="str">
        <f t="shared" si="12"/>
        <v/>
      </c>
      <c xmlns="http://schemas.openxmlformats.org/spreadsheetml/2006/main" r="U294" s="22" t="str">
        <f t="shared" si="13"/>
        <v/>
      </c>
      <c xmlns="http://schemas.openxmlformats.org/spreadsheetml/2006/main" r="V294" s="18" t="str">
        <f t="shared" si="14"/>
        <v/>
      </c>
      <c r="W294" s="22"/>
      <c r="X294" s="22"/>
      <c xmlns="http://schemas.openxmlformats.org/spreadsheetml/2006/main" r="Y294">
        <f>IF($C294="",0,IF(COUNTIF($C$5:$C294,$C294)=1,1,0))</f>
        <v>0.0</v>
      </c>
      <c xmlns="http://schemas.openxmlformats.org/spreadsheetml/2006/main" r="Z294" t="str">
        <f>IF(Y294=1,SUM($Y$5:$Y294),"")</f>
        <v/>
      </c>
    </row>
    <row r="295" spans="1:26">
      <c r="A295" s="27"/>
      <c r="B295" s="22"/>
      <c r="C295" s="22"/>
      <c r="D295" s="22"/>
      <c r="E295" s="23"/>
      <c r="F295" s="28"/>
      <c r="G295" s="24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6"/>
      <c xmlns="http://schemas.openxmlformats.org/spreadsheetml/2006/main" r="T295" s="23" t="str">
        <f t="shared" si="12"/>
        <v/>
      </c>
      <c xmlns="http://schemas.openxmlformats.org/spreadsheetml/2006/main" r="U295" s="22" t="str">
        <f t="shared" si="13"/>
        <v/>
      </c>
      <c xmlns="http://schemas.openxmlformats.org/spreadsheetml/2006/main" r="V295" s="18" t="str">
        <f t="shared" si="14"/>
        <v/>
      </c>
      <c r="W295" s="22"/>
      <c r="X295" s="22"/>
      <c xmlns="http://schemas.openxmlformats.org/spreadsheetml/2006/main" r="Y295">
        <f>IF($C295="",0,IF(COUNTIF($C$5:$C295,$C295)=1,1,0))</f>
        <v>0.0</v>
      </c>
      <c xmlns="http://schemas.openxmlformats.org/spreadsheetml/2006/main" r="Z295" t="str">
        <f>IF(Y295=1,SUM($Y$5:$Y295),"")</f>
        <v/>
      </c>
    </row>
    <row r="296" spans="1:26">
      <c r="A296" s="27"/>
      <c r="B296" s="22"/>
      <c r="C296" s="22"/>
      <c r="D296" s="22"/>
      <c r="E296" s="23"/>
      <c r="F296" s="28"/>
      <c r="G296" s="24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6"/>
      <c xmlns="http://schemas.openxmlformats.org/spreadsheetml/2006/main" r="T296" s="23" t="str">
        <f t="shared" si="12"/>
        <v/>
      </c>
      <c xmlns="http://schemas.openxmlformats.org/spreadsheetml/2006/main" r="U296" s="22" t="str">
        <f t="shared" si="13"/>
        <v/>
      </c>
      <c xmlns="http://schemas.openxmlformats.org/spreadsheetml/2006/main" r="V296" s="18" t="str">
        <f t="shared" si="14"/>
        <v/>
      </c>
      <c r="W296" s="22"/>
      <c r="X296" s="22"/>
      <c xmlns="http://schemas.openxmlformats.org/spreadsheetml/2006/main" r="Y296">
        <f>IF($C296="",0,IF(COUNTIF($C$5:$C296,$C296)=1,1,0))</f>
        <v>0.0</v>
      </c>
      <c xmlns="http://schemas.openxmlformats.org/spreadsheetml/2006/main" r="Z296" t="str">
        <f>IF(Y296=1,SUM($Y$5:$Y296),"")</f>
        <v/>
      </c>
    </row>
    <row r="297" spans="1:26">
      <c r="A297" s="27"/>
      <c r="B297" s="22"/>
      <c r="C297" s="22"/>
      <c r="D297" s="22"/>
      <c r="E297" s="23"/>
      <c r="F297" s="28"/>
      <c r="G297" s="24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6"/>
      <c xmlns="http://schemas.openxmlformats.org/spreadsheetml/2006/main" r="T297" s="23" t="str">
        <f t="shared" si="12"/>
        <v/>
      </c>
      <c xmlns="http://schemas.openxmlformats.org/spreadsheetml/2006/main" r="U297" s="22" t="str">
        <f t="shared" si="13"/>
        <v/>
      </c>
      <c xmlns="http://schemas.openxmlformats.org/spreadsheetml/2006/main" r="V297" s="18" t="str">
        <f t="shared" si="14"/>
        <v/>
      </c>
      <c r="W297" s="22"/>
      <c r="X297" s="22"/>
      <c xmlns="http://schemas.openxmlformats.org/spreadsheetml/2006/main" r="Y297">
        <f>IF($C297="",0,IF(COUNTIF($C$5:$C297,$C297)=1,1,0))</f>
        <v>0.0</v>
      </c>
      <c xmlns="http://schemas.openxmlformats.org/spreadsheetml/2006/main" r="Z297" t="str">
        <f>IF(Y297=1,SUM($Y$5:$Y297),"")</f>
        <v/>
      </c>
    </row>
    <row r="298" spans="1:26">
      <c r="A298" s="27"/>
      <c r="B298" s="22"/>
      <c r="C298" s="22"/>
      <c r="D298" s="22"/>
      <c r="E298" s="23"/>
      <c r="F298" s="28"/>
      <c r="G298" s="24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6"/>
      <c xmlns="http://schemas.openxmlformats.org/spreadsheetml/2006/main" r="T298" s="23" t="str">
        <f t="shared" si="12"/>
        <v/>
      </c>
      <c xmlns="http://schemas.openxmlformats.org/spreadsheetml/2006/main" r="U298" s="22" t="str">
        <f t="shared" si="13"/>
        <v/>
      </c>
      <c xmlns="http://schemas.openxmlformats.org/spreadsheetml/2006/main" r="V298" s="18" t="str">
        <f t="shared" si="14"/>
        <v/>
      </c>
      <c r="W298" s="22"/>
      <c r="X298" s="22"/>
      <c xmlns="http://schemas.openxmlformats.org/spreadsheetml/2006/main" r="Y298">
        <f>IF($C298="",0,IF(COUNTIF($C$5:$C298,$C298)=1,1,0))</f>
        <v>0.0</v>
      </c>
      <c xmlns="http://schemas.openxmlformats.org/spreadsheetml/2006/main" r="Z298" t="str">
        <f>IF(Y298=1,SUM($Y$5:$Y298),"")</f>
        <v/>
      </c>
    </row>
    <row r="299" spans="1:26">
      <c r="A299" s="27"/>
      <c r="B299" s="22"/>
      <c r="C299" s="22"/>
      <c r="D299" s="22"/>
      <c r="E299" s="23"/>
      <c r="F299" s="28"/>
      <c r="G299" s="24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6"/>
      <c xmlns="http://schemas.openxmlformats.org/spreadsheetml/2006/main" r="T299" s="23" t="str">
        <f t="shared" si="12"/>
        <v/>
      </c>
      <c xmlns="http://schemas.openxmlformats.org/spreadsheetml/2006/main" r="U299" s="22" t="str">
        <f t="shared" si="13"/>
        <v/>
      </c>
      <c xmlns="http://schemas.openxmlformats.org/spreadsheetml/2006/main" r="V299" s="18" t="str">
        <f t="shared" si="14"/>
        <v/>
      </c>
      <c r="W299" s="22"/>
      <c r="X299" s="22"/>
      <c xmlns="http://schemas.openxmlformats.org/spreadsheetml/2006/main" r="Y299">
        <f>IF($C299="",0,IF(COUNTIF($C$5:$C299,$C299)=1,1,0))</f>
        <v>0.0</v>
      </c>
      <c xmlns="http://schemas.openxmlformats.org/spreadsheetml/2006/main" r="Z299" t="str">
        <f>IF(Y299=1,SUM($Y$5:$Y299),"")</f>
        <v/>
      </c>
    </row>
    <row r="300" spans="1:26">
      <c r="A300" s="27"/>
      <c r="B300" s="22"/>
      <c r="C300" s="22"/>
      <c r="D300" s="22"/>
      <c r="E300" s="23"/>
      <c r="F300" s="28"/>
      <c r="G300" s="24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6"/>
      <c xmlns="http://schemas.openxmlformats.org/spreadsheetml/2006/main" r="T300" s="23" t="str">
        <f t="shared" si="12"/>
        <v/>
      </c>
      <c xmlns="http://schemas.openxmlformats.org/spreadsheetml/2006/main" r="U300" s="22" t="str">
        <f t="shared" si="13"/>
        <v/>
      </c>
      <c xmlns="http://schemas.openxmlformats.org/spreadsheetml/2006/main" r="V300" s="18" t="str">
        <f t="shared" si="14"/>
        <v/>
      </c>
      <c r="W300" s="22"/>
      <c r="X300" s="22"/>
      <c xmlns="http://schemas.openxmlformats.org/spreadsheetml/2006/main" r="Y300">
        <f>IF($C300="",0,IF(COUNTIF($C$5:$C300,$C300)=1,1,0))</f>
        <v>0.0</v>
      </c>
      <c xmlns="http://schemas.openxmlformats.org/spreadsheetml/2006/main" r="Z300" t="str">
        <f>IF(Y300=1,SUM($Y$5:$Y300),"")</f>
        <v/>
      </c>
    </row>
    <row r="301" spans="1:26">
      <c r="A301" s="27"/>
      <c r="B301" s="22"/>
      <c r="C301" s="22"/>
      <c r="D301" s="22"/>
      <c r="E301" s="23"/>
      <c r="F301" s="28"/>
      <c r="G301" s="24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6"/>
      <c xmlns="http://schemas.openxmlformats.org/spreadsheetml/2006/main" r="T301" s="23" t="str">
        <f t="shared" si="12"/>
        <v/>
      </c>
      <c xmlns="http://schemas.openxmlformats.org/spreadsheetml/2006/main" r="U301" s="22" t="str">
        <f t="shared" si="13"/>
        <v/>
      </c>
      <c xmlns="http://schemas.openxmlformats.org/spreadsheetml/2006/main" r="V301" s="18" t="str">
        <f t="shared" si="14"/>
        <v/>
      </c>
      <c r="W301" s="22"/>
      <c r="X301" s="22"/>
      <c xmlns="http://schemas.openxmlformats.org/spreadsheetml/2006/main" r="Y301">
        <f>IF($C301="",0,IF(COUNTIF($C$5:$C301,$C301)=1,1,0))</f>
        <v>0.0</v>
      </c>
      <c xmlns="http://schemas.openxmlformats.org/spreadsheetml/2006/main" r="Z301" t="str">
        <f>IF(Y301=1,SUM($Y$5:$Y301),"")</f>
        <v/>
      </c>
    </row>
    <row r="302" spans="1:26">
      <c r="A302" s="27"/>
      <c r="B302" s="22"/>
      <c r="C302" s="22"/>
      <c r="D302" s="22"/>
      <c r="E302" s="23"/>
      <c r="F302" s="28"/>
      <c r="G302" s="24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6"/>
      <c xmlns="http://schemas.openxmlformats.org/spreadsheetml/2006/main" r="T302" s="23" t="str">
        <f t="shared" si="12"/>
        <v/>
      </c>
      <c xmlns="http://schemas.openxmlformats.org/spreadsheetml/2006/main" r="U302" s="22" t="str">
        <f t="shared" si="13"/>
        <v/>
      </c>
      <c xmlns="http://schemas.openxmlformats.org/spreadsheetml/2006/main" r="V302" s="18" t="str">
        <f t="shared" si="14"/>
        <v/>
      </c>
      <c r="W302" s="22"/>
      <c r="X302" s="22"/>
      <c xmlns="http://schemas.openxmlformats.org/spreadsheetml/2006/main" r="Y302">
        <f>IF($C302="",0,IF(COUNTIF($C$5:$C302,$C302)=1,1,0))</f>
        <v>0.0</v>
      </c>
      <c xmlns="http://schemas.openxmlformats.org/spreadsheetml/2006/main" r="Z302" t="str">
        <f>IF(Y302=1,SUM($Y$5:$Y302),"")</f>
        <v/>
      </c>
    </row>
    <row r="303" spans="1:26">
      <c r="A303" s="27"/>
      <c r="B303" s="22"/>
      <c r="C303" s="22"/>
      <c r="D303" s="22"/>
      <c r="E303" s="23"/>
      <c r="F303" s="28"/>
      <c r="G303" s="24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6"/>
      <c xmlns="http://schemas.openxmlformats.org/spreadsheetml/2006/main" r="T303" s="23" t="str">
        <f t="shared" si="12"/>
        <v/>
      </c>
      <c xmlns="http://schemas.openxmlformats.org/spreadsheetml/2006/main" r="U303" s="22" t="str">
        <f t="shared" si="13"/>
        <v/>
      </c>
      <c xmlns="http://schemas.openxmlformats.org/spreadsheetml/2006/main" r="V303" s="18" t="str">
        <f t="shared" si="14"/>
        <v/>
      </c>
      <c r="W303" s="22"/>
      <c r="X303" s="22"/>
      <c xmlns="http://schemas.openxmlformats.org/spreadsheetml/2006/main" r="Y303">
        <f>IF($C303="",0,IF(COUNTIF($C$5:$C303,$C303)=1,1,0))</f>
        <v>0.0</v>
      </c>
      <c xmlns="http://schemas.openxmlformats.org/spreadsheetml/2006/main" r="Z303" t="str">
        <f>IF(Y303=1,SUM($Y$5:$Y303),"")</f>
        <v/>
      </c>
    </row>
    <row r="304" spans="1:26">
      <c r="A304" s="27"/>
      <c r="B304" s="22"/>
      <c r="C304" s="22"/>
      <c r="D304" s="22"/>
      <c r="E304" s="23"/>
      <c r="F304" s="28"/>
      <c r="G304" s="24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6"/>
      <c xmlns="http://schemas.openxmlformats.org/spreadsheetml/2006/main" r="T304" s="23" t="str">
        <f t="shared" si="12"/>
        <v/>
      </c>
      <c xmlns="http://schemas.openxmlformats.org/spreadsheetml/2006/main" r="U304" s="22" t="str">
        <f t="shared" si="13"/>
        <v/>
      </c>
      <c xmlns="http://schemas.openxmlformats.org/spreadsheetml/2006/main" r="V304" s="18" t="str">
        <f t="shared" si="14"/>
        <v/>
      </c>
      <c r="W304" s="22"/>
      <c r="X304" s="22"/>
      <c xmlns="http://schemas.openxmlformats.org/spreadsheetml/2006/main" r="Y304">
        <f>IF($C304="",0,IF(COUNTIF($C$5:$C304,$C304)=1,1,0))</f>
        <v>0.0</v>
      </c>
      <c xmlns="http://schemas.openxmlformats.org/spreadsheetml/2006/main" r="Z304" t="str">
        <f>IF(Y304=1,SUM($Y$5:$Y304),"")</f>
        <v/>
      </c>
    </row>
  </sheetData>
  <autoFilter ref="A4:X304"/>
  <mergeCells count="28">
    <mergeCell ref="A1:X1"/>
    <mergeCell ref="A2:G2"/>
    <mergeCell ref="H2:S2"/>
    <mergeCell ref="T2:V2"/>
    <mergeCell ref="W2:X2"/>
    <mergeCell ref="A3:A4"/>
    <mergeCell ref="B3:B4"/>
    <mergeCell ref="C3:C4"/>
    <mergeCell ref="D3:D4"/>
    <mergeCell ref="E3:F3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V3:V4"/>
    <mergeCell ref="W3:W4"/>
    <mergeCell ref="X3:X4"/>
    <mergeCell ref="Q3:Q4"/>
    <mergeCell ref="R3:R4"/>
    <mergeCell ref="S3:S4"/>
    <mergeCell ref="T3:T4"/>
    <mergeCell ref="U3:U4"/>
  </mergeCells>
  <phoneticPr fontId="26" type="noConversion"/>
  <conditionalFormatting sqref="A9:E19">
    <cfRule type="expression" dxfId="27" priority="3">
      <formula>$Q9="⚠ 資料缺漏"</formula>
    </cfRule>
  </conditionalFormatting>
  <conditionalFormatting sqref="A5:G8 F9:G19 A20:G304">
    <cfRule type="expression" dxfId="26" priority="12">
      <formula>ISNUMBER(SEARCH("⚠",$U5))</formula>
    </cfRule>
  </conditionalFormatting>
  <conditionalFormatting sqref="U5:U304">
    <cfRule type="expression" dxfId="25" priority="8">
      <formula>ISNUMBER(SEARCH("⚠",$U5))</formula>
    </cfRule>
    <cfRule type="expression" dxfId="24" priority="9">
      <formula>$U5="▲ 單一設備依賴"</formula>
    </cfRule>
    <cfRule type="expression" dxfId="23" priority="10">
      <formula>$U5="○ 免調理"</formula>
    </cfRule>
    <cfRule type="expression" dxfId="22" priority="11">
      <formula>$U5="OK"</formula>
    </cfRule>
  </conditionalFormatting>
  <conditionalFormatting xmlns="http://schemas.openxmlformats.org/spreadsheetml/2006/main" sqref="X5:X304">
    <cfRule type="expression" dxfId="34" priority="1" stopIfTrue="1">
      <formula>AND($D5&lt;&gt;"",$X5="")</formula>
    </cfRule>
  </conditionalFormatting>
  <conditionalFormatting xmlns="http://schemas.openxmlformats.org/spreadsheetml/2006/main" sqref="F5:F304">
    <cfRule type="expression" dxfId="34" priority="2" stopIfTrue="1">
      <formula>AND($D5&lt;&gt;"",$E5&lt;&gt;"",$F5="")</formula>
    </cfRule>
  </conditionalFormatting>
  <dataValidations xmlns="http://schemas.openxmlformats.org/spreadsheetml/2006/main" count="3">
    <dataValidation type="list" allowBlank="1" sqref="A5:A304" showDropDown="0" showErrorMessage="1" errorStyle="stop" errorTitle="請使用下拉選單" error="請選擇選單中的項目，或清除儲存格。">
      <formula1>"大溪,新豐,長家,晉欣"</formula1>
    </dataValidation>
    <dataValidation type="list" allowBlank="1" sqref="F5:F304" showDropDown="0" showErrorMessage="1" errorStyle="stop" errorTitle="請使用下拉選單" error="請選擇選單中的項目，或清除儲存格。">
      <formula1>"公克,個"</formula1>
    </dataValidation>
    <dataValidation type="list" allowBlank="1" sqref="H5:S304" showDropDown="0" showErrorMessage="1" errorStyle="stop" errorTitle="請使用下拉選單" error="請選擇選單中的項目，或清除儲存格。">
      <formula1>"V"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7B00"/>
  </sheetPr>
  <dimension ref="A1:AA292"/>
  <sheetViews xmlns="http://schemas.openxmlformats.org/spreadsheetml/2006/main">
    <sheetView showGridLines="0" tabSelected="1" zoomScaleNormal="100" workbookViewId="0" topLeftCell="A1">
      <pane xSplit="5" ySplit="4" topLeftCell="F5" activePane="bottomRight" state="frozen"/>
      <selection pane="bottomRight" activeCell="F5" sqref="F5"/>
    </sheetView>
  </sheetViews>
  <sheetFormatPr defaultColWidth="8.63281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0.7265625" customWidth="1" hidden="1"/>
    <col min="27" max="27" width="0.81640625" customWidth="1" hidden="1"/>
  </cols>
  <sheetData>
    <row r="1" spans="1:27" ht="30" customHeight="1">
      <c r="A1" s="55" t="s">
        <v>79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7" ht="19.5" customHeight="1">
      <c r="A2" s="56" t="s">
        <v>43</v>
      </c>
      <c r="B2" s="56"/>
      <c r="C2" s="56"/>
      <c r="D2" s="56"/>
      <c r="E2" s="56"/>
      <c r="F2" s="56"/>
      <c r="G2" s="56"/>
      <c r="H2" s="57"/>
      <c r="I2" s="53" t="s">
        <v>44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 t="s">
        <v>45</v>
      </c>
      <c r="V2" s="53"/>
      <c r="W2" s="53"/>
      <c r="X2" s="53" t="s">
        <v>46</v>
      </c>
      <c r="Y2" s="53"/>
    </row>
    <row r="3" spans="1:27" ht="24" customHeight="1">
      <c r="A3" s="54" t="s">
        <v>336</v>
      </c>
      <c r="B3" s="48" t="s">
        <v>47</v>
      </c>
      <c r="C3" s="48" t="s">
        <v>48</v>
      </c>
      <c r="D3" s="48" t="s">
        <v>49</v>
      </c>
      <c r="E3" s="48" t="s">
        <v>50</v>
      </c>
      <c r="F3" s="51" t="s">
        <v>51</v>
      </c>
      <c r="G3" s="51"/>
      <c r="H3" s="48" t="s">
        <v>52</v>
      </c>
      <c r="I3" s="49" t="s">
        <v>53</v>
      </c>
      <c r="J3" s="49" t="s">
        <v>54</v>
      </c>
      <c r="K3" s="49" t="s">
        <v>55</v>
      </c>
      <c r="L3" s="49" t="s">
        <v>56</v>
      </c>
      <c r="M3" s="49" t="s">
        <v>57</v>
      </c>
      <c r="N3" s="49" t="s">
        <v>58</v>
      </c>
      <c r="O3" s="49" t="s">
        <v>59</v>
      </c>
      <c r="P3" s="49" t="s">
        <v>60</v>
      </c>
      <c r="Q3" s="49" t="s">
        <v>61</v>
      </c>
      <c r="R3" s="49" t="s">
        <v>62</v>
      </c>
      <c r="S3" s="49" t="s">
        <v>63</v>
      </c>
      <c r="T3" s="50" t="s">
        <v>64</v>
      </c>
      <c r="U3" s="48" t="s">
        <v>65</v>
      </c>
      <c r="V3" s="48" t="s">
        <v>66</v>
      </c>
      <c r="W3" s="48" t="s">
        <v>67</v>
      </c>
      <c r="X3" s="48" t="s">
        <v>68</v>
      </c>
      <c r="Y3" s="48" t="s">
        <v>69</v>
      </c>
      <c r="Z3" s="20" t="s">
        <v>70</v>
      </c>
      <c r="AA3" s="20" t="s">
        <v>71</v>
      </c>
    </row>
    <row r="4" spans="1:27" ht="18" customHeight="1">
      <c r="A4" s="48"/>
      <c r="B4" s="48"/>
      <c r="C4" s="48"/>
      <c r="D4" s="48"/>
      <c r="E4" s="48"/>
      <c r="F4" s="21" t="s">
        <v>72</v>
      </c>
      <c r="G4" s="21" t="s">
        <v>73</v>
      </c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48"/>
      <c r="V4" s="48"/>
      <c r="W4" s="48"/>
      <c r="X4" s="48"/>
      <c r="Y4" s="48"/>
    </row>
    <row r="5" spans="1:27">
      <c r="A5" s="22" t="s">
        <v>337</v>
      </c>
      <c r="B5" s="22" t="s">
        <v>127</v>
      </c>
      <c r="C5" s="22" t="s">
        <v>308</v>
      </c>
      <c r="D5" s="22" t="s">
        <v>159</v>
      </c>
      <c r="E5" s="22" t="s">
        <v>154</v>
      </c>
      <c r="F5" s="23">
        <v>220</v>
      </c>
      <c r="G5" s="23" t="s">
        <v>75</v>
      </c>
      <c r="H5" s="24">
        <v>240</v>
      </c>
      <c r="I5" s="25"/>
      <c r="J5" s="25" t="s">
        <v>76</v>
      </c>
      <c r="K5" s="25"/>
      <c r="L5" s="25"/>
      <c r="M5" s="25"/>
      <c r="N5" s="25"/>
      <c r="O5" s="25"/>
      <c r="P5" s="25"/>
      <c r="Q5" s="25"/>
      <c r="R5" s="25"/>
      <c r="S5" s="25"/>
      <c r="T5" s="26"/>
      <c xmlns="http://schemas.openxmlformats.org/spreadsheetml/2006/main" r="U5" s="23">
        <f t="shared" ref="U5:U56" si="0">IF($E5="","",COUNTIF($I5:$S5,"V"))</f>
        <v>1.0</v>
      </c>
      <c xmlns="http://schemas.openxmlformats.org/spreadsheetml/2006/main" r="V5" s="22" t="str">
        <f t="shared" ref="V5:V56" si="1">IF($E5="","",IF(AND($T5="V",$U5&gt;0),"⚠ 勾選矛盾",IF($T5="V","○ 免調理",IF($U5=0,"⚠ 資料缺漏",IF($U5=1,"▲ 單一設備依賴","OK")))))</f>
        <v>▲ 單一設備依賴</v>
      </c>
      <c xmlns="http://schemas.openxmlformats.org/spreadsheetml/2006/main" r="W5" s="18" t="str">
        <f t="shared" ref="W5:W56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僅依賴1台設備，須確認故障/排修時之備援製程</v>
      </c>
      <c r="X5" s="22"/>
      <c r="Y5" s="22"/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337</v>
      </c>
      <c r="B6" s="22" t="s">
        <v>127</v>
      </c>
      <c r="C6" s="22" t="s">
        <v>308</v>
      </c>
      <c r="D6" s="22" t="s">
        <v>159</v>
      </c>
      <c r="E6" s="22" t="s">
        <v>155</v>
      </c>
      <c r="F6" s="23">
        <v>100</v>
      </c>
      <c r="G6" s="23" t="s">
        <v>75</v>
      </c>
      <c r="H6" s="24">
        <v>82</v>
      </c>
      <c r="I6" s="25"/>
      <c r="J6" s="25"/>
      <c r="K6" s="25"/>
      <c r="L6" s="25"/>
      <c r="M6" s="25"/>
      <c r="N6" s="25"/>
      <c r="O6" s="25" t="s">
        <v>76</v>
      </c>
      <c r="P6" s="25"/>
      <c r="Q6" s="25"/>
      <c r="R6" s="25"/>
      <c r="S6" s="25"/>
      <c r="T6" s="26"/>
      <c xmlns="http://schemas.openxmlformats.org/spreadsheetml/2006/main" r="U6" s="23">
        <f t="shared" si="0"/>
        <v>1.0</v>
      </c>
      <c xmlns="http://schemas.openxmlformats.org/spreadsheetml/2006/main" r="V6" s="22" t="str">
        <f t="shared" si="1"/>
        <v>▲ 單一設備依賴</v>
      </c>
      <c xmlns="http://schemas.openxmlformats.org/spreadsheetml/2006/main" r="W6" s="18" t="str">
        <f t="shared" si="2"/>
        <v>僅依賴1台設備，須確認故障/排修時之備援製程</v>
      </c>
      <c r="X6" s="22"/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337</v>
      </c>
      <c r="B7" s="22" t="s">
        <v>127</v>
      </c>
      <c r="C7" s="22" t="s">
        <v>308</v>
      </c>
      <c r="D7" s="22" t="s">
        <v>159</v>
      </c>
      <c r="E7" s="22" t="s">
        <v>156</v>
      </c>
      <c r="F7" s="23">
        <v>60</v>
      </c>
      <c r="G7" s="23" t="s">
        <v>75</v>
      </c>
      <c r="H7" s="24">
        <v>100</v>
      </c>
      <c r="I7" s="25"/>
      <c r="J7" s="25"/>
      <c r="K7" s="25" t="s">
        <v>76</v>
      </c>
      <c r="L7" s="25"/>
      <c r="M7" s="25"/>
      <c r="N7" s="25"/>
      <c r="O7" s="25"/>
      <c r="P7" s="25"/>
      <c r="Q7" s="25"/>
      <c r="R7" s="25"/>
      <c r="S7" s="25"/>
      <c r="T7" s="26"/>
      <c xmlns="http://schemas.openxmlformats.org/spreadsheetml/2006/main" r="U7" s="23">
        <f t="shared" si="0"/>
        <v>1.0</v>
      </c>
      <c xmlns="http://schemas.openxmlformats.org/spreadsheetml/2006/main" r="V7" s="22" t="str">
        <f t="shared" si="1"/>
        <v>▲ 單一設備依賴</v>
      </c>
      <c xmlns="http://schemas.openxmlformats.org/spreadsheetml/2006/main" r="W7" s="18" t="str">
        <f t="shared" si="2"/>
        <v>僅依賴1台設備，須確認故障/排修時之備援製程</v>
      </c>
      <c r="X7" s="22"/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337</v>
      </c>
      <c r="B8" s="22" t="s">
        <v>127</v>
      </c>
      <c r="C8" s="22" t="s">
        <v>308</v>
      </c>
      <c r="D8" s="22" t="s">
        <v>159</v>
      </c>
      <c r="E8" s="22" t="s">
        <v>157</v>
      </c>
      <c r="F8" s="23">
        <v>8</v>
      </c>
      <c r="G8" s="23" t="s">
        <v>75</v>
      </c>
      <c r="H8" s="24">
        <v>50</v>
      </c>
      <c r="I8" s="25"/>
      <c r="J8" s="25"/>
      <c r="K8" s="25" t="s">
        <v>76</v>
      </c>
      <c r="L8" s="25"/>
      <c r="M8" s="25"/>
      <c r="N8" s="25"/>
      <c r="O8" s="25"/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/>
      <c r="Y8" s="22"/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 t="s">
        <v>337</v>
      </c>
      <c r="B9" s="22" t="s">
        <v>127</v>
      </c>
      <c r="C9" s="22" t="s">
        <v>308</v>
      </c>
      <c r="D9" s="22" t="s">
        <v>159</v>
      </c>
      <c r="E9" s="22" t="s">
        <v>158</v>
      </c>
      <c r="F9" s="23">
        <v>3</v>
      </c>
      <c r="G9" s="23" t="s">
        <v>75</v>
      </c>
      <c r="H9" s="24">
        <v>91</v>
      </c>
      <c r="I9" s="25"/>
      <c r="J9" s="25"/>
      <c r="K9" s="25"/>
      <c r="L9" s="25"/>
      <c r="M9" s="25" t="s">
        <v>76</v>
      </c>
      <c r="N9" s="25"/>
      <c r="O9" s="25"/>
      <c r="P9" s="25"/>
      <c r="Q9" s="25"/>
      <c r="R9" s="25"/>
      <c r="S9" s="25"/>
      <c r="T9" s="26"/>
      <c xmlns="http://schemas.openxmlformats.org/spreadsheetml/2006/main" r="U9" s="23">
        <f t="shared" si="0"/>
        <v>1.0</v>
      </c>
      <c xmlns="http://schemas.openxmlformats.org/spreadsheetml/2006/main" r="V9" s="22" t="str">
        <f t="shared" si="1"/>
        <v>▲ 單一設備依賴</v>
      </c>
      <c xmlns="http://schemas.openxmlformats.org/spreadsheetml/2006/main" r="W9" s="18" t="str">
        <f t="shared" si="2"/>
        <v>僅依賴1台設備，須確認故障/排修時之備援製程</v>
      </c>
      <c r="X9" s="22"/>
      <c r="Y9" s="22"/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 t="s">
        <v>337</v>
      </c>
      <c r="B10" s="22" t="s">
        <v>127</v>
      </c>
      <c r="C10" s="22" t="s">
        <v>308</v>
      </c>
      <c r="D10" s="22" t="s">
        <v>159</v>
      </c>
      <c r="E10" s="22" t="s">
        <v>147</v>
      </c>
      <c r="F10" s="23">
        <v>0.2</v>
      </c>
      <c r="G10" s="23" t="s">
        <v>75</v>
      </c>
      <c r="H10" s="24">
        <v>100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6" t="s">
        <v>76</v>
      </c>
      <c xmlns="http://schemas.openxmlformats.org/spreadsheetml/2006/main" r="U10" s="23">
        <f t="shared" si="0"/>
        <v>0.0</v>
      </c>
      <c xmlns="http://schemas.openxmlformats.org/spreadsheetml/2006/main" r="V10" s="22" t="str">
        <f t="shared" si="1"/>
        <v>○ 免調理</v>
      </c>
      <c xmlns="http://schemas.openxmlformats.org/spreadsheetml/2006/main" r="W10" s="18" t="str">
        <f t="shared" si="2"/>
        <v>免調理半成品（外購/僅切配等），不列入設備風險評估</v>
      </c>
      <c r="X10" s="22"/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338</v>
      </c>
      <c r="B11" s="22" t="s">
        <v>127</v>
      </c>
      <c r="C11" s="22" t="s">
        <v>308</v>
      </c>
      <c r="D11" s="22" t="inlineStr">
        <is>
          <t>奶油培根義大利麵RN</t>
        </is>
      </c>
      <c r="E11" s="22" t="s">
        <v>154</v>
      </c>
      <c r="F11" s="23">
        <v>220</v>
      </c>
      <c r="G11" s="23" t="s">
        <v>75</v>
      </c>
      <c r="H11" s="24">
        <v>235</v>
      </c>
      <c r="I11" s="25"/>
      <c r="J11" s="25" t="s">
        <v>76</v>
      </c>
      <c r="K11" s="25"/>
      <c r="L11" s="25"/>
      <c r="M11" s="25"/>
      <c r="N11" s="25"/>
      <c r="O11" s="25"/>
      <c r="P11" s="25"/>
      <c r="Q11" s="25"/>
      <c r="R11" s="25"/>
      <c r="S11" s="25"/>
      <c r="T11" s="26"/>
      <c xmlns="http://schemas.openxmlformats.org/spreadsheetml/2006/main" r="U11" s="23">
        <f t="shared" si="0"/>
        <v>1.0</v>
      </c>
      <c xmlns="http://schemas.openxmlformats.org/spreadsheetml/2006/main" r="V11" s="22" t="str">
        <f t="shared" si="1"/>
        <v>▲ 單一設備依賴</v>
      </c>
      <c xmlns="http://schemas.openxmlformats.org/spreadsheetml/2006/main" r="W11" s="18" t="str">
        <f t="shared" si="2"/>
        <v>僅依賴1台設備，須確認故障/排修時之備援製程</v>
      </c>
      <c r="X11" s="22"/>
      <c r="Y11" s="22"/>
      <c xmlns="http://schemas.openxmlformats.org/spreadsheetml/2006/main" r="Z11">
        <f>IF($D11="",0,IF(COUNTIF($D$5:$D11,$D11)=1,1,0))</f>
        <v>1.0</v>
      </c>
      <c xmlns="http://schemas.openxmlformats.org/spreadsheetml/2006/main" r="AA11">
        <f>IF(Z11=1,SUM($Z$5:$Z11),"")</f>
        <v>2.0</v>
      </c>
    </row>
    <row r="12" spans="1:27">
      <c r="A12" s="22" t="s">
        <v>338</v>
      </c>
      <c r="B12" s="22" t="s">
        <v>127</v>
      </c>
      <c r="C12" s="22" t="s">
        <v>308</v>
      </c>
      <c r="D12" s="22" t="inlineStr">
        <is>
          <t>奶油培根義大利麵RN</t>
        </is>
      </c>
      <c r="E12" s="22" t="s">
        <v>145</v>
      </c>
      <c r="F12" s="23">
        <v>80</v>
      </c>
      <c r="G12" s="23" t="s">
        <v>75</v>
      </c>
      <c r="H12" s="24">
        <v>55</v>
      </c>
      <c r="I12" s="25"/>
      <c r="J12" s="25"/>
      <c r="K12" s="25"/>
      <c r="L12" s="25"/>
      <c r="M12" s="25"/>
      <c r="N12" s="25"/>
      <c r="O12" s="25" t="s">
        <v>76</v>
      </c>
      <c r="P12" s="25"/>
      <c r="Q12" s="25"/>
      <c r="R12" s="25"/>
      <c r="S12" s="25"/>
      <c r="T12" s="26"/>
      <c xmlns="http://schemas.openxmlformats.org/spreadsheetml/2006/main" r="U12" s="23">
        <f t="shared" si="0"/>
        <v>1.0</v>
      </c>
      <c xmlns="http://schemas.openxmlformats.org/spreadsheetml/2006/main" r="V12" s="22" t="str">
        <f t="shared" si="1"/>
        <v>▲ 單一設備依賴</v>
      </c>
      <c xmlns="http://schemas.openxmlformats.org/spreadsheetml/2006/main" r="W12" s="18" t="str">
        <f t="shared" si="2"/>
        <v>僅依賴1台設備，須確認故障/排修時之備援製程</v>
      </c>
      <c r="X12" s="22"/>
      <c r="Y12" s="22"/>
      <c xmlns="http://schemas.openxmlformats.org/spreadsheetml/2006/main" r="Z12">
        <f>IF($D12="",0,IF(COUNTIF($D$5:$D12,$D12)=1,1,0))</f>
        <v>0.0</v>
      </c>
      <c xmlns="http://schemas.openxmlformats.org/spreadsheetml/2006/main" r="AA12" t="str">
        <f>IF(Z12=1,SUM($Z$5:$Z12),"")</f>
        <v/>
      </c>
    </row>
    <row r="13" spans="1:27">
      <c r="A13" s="22" t="s">
        <v>338</v>
      </c>
      <c r="B13" s="22" t="s">
        <v>127</v>
      </c>
      <c r="C13" s="22" t="s">
        <v>308</v>
      </c>
      <c r="D13" s="22" t="inlineStr">
        <is>
          <t>奶油培根義大利麵RN</t>
        </is>
      </c>
      <c r="E13" s="22" t="s">
        <v>146</v>
      </c>
      <c r="F13" s="23">
        <v>20</v>
      </c>
      <c r="G13" s="23" t="s">
        <v>75</v>
      </c>
      <c r="H13" s="24">
        <v>60</v>
      </c>
      <c r="I13" s="25"/>
      <c r="J13" s="25"/>
      <c r="K13" s="25" t="s">
        <v>76</v>
      </c>
      <c r="L13" s="25"/>
      <c r="M13" s="25"/>
      <c r="N13" s="25"/>
      <c r="O13" s="25"/>
      <c r="P13" s="25"/>
      <c r="Q13" s="25"/>
      <c r="R13" s="25"/>
      <c r="S13" s="25"/>
      <c r="T13" s="26"/>
      <c xmlns="http://schemas.openxmlformats.org/spreadsheetml/2006/main" r="U13" s="23">
        <f t="shared" si="0"/>
        <v>1.0</v>
      </c>
      <c xmlns="http://schemas.openxmlformats.org/spreadsheetml/2006/main" r="V13" s="22" t="str">
        <f t="shared" si="1"/>
        <v>▲ 單一設備依賴</v>
      </c>
      <c xmlns="http://schemas.openxmlformats.org/spreadsheetml/2006/main" r="W13" s="18" t="str">
        <f t="shared" si="2"/>
        <v>僅依賴1台設備，須確認故障/排修時之備援製程</v>
      </c>
      <c r="X13" s="22"/>
      <c r="Y13" s="22"/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338</v>
      </c>
      <c r="B14" s="22" t="s">
        <v>127</v>
      </c>
      <c r="C14" s="22" t="s">
        <v>308</v>
      </c>
      <c r="D14" s="22" t="inlineStr">
        <is>
          <t>奶油培根義大利麵RN</t>
        </is>
      </c>
      <c r="E14" s="22" t="s">
        <v>160</v>
      </c>
      <c r="F14" s="23">
        <v>10</v>
      </c>
      <c r="G14" s="23" t="s">
        <v>75</v>
      </c>
      <c r="H14" s="24">
        <v>94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 t="s">
        <v>76</v>
      </c>
      <c xmlns="http://schemas.openxmlformats.org/spreadsheetml/2006/main" r="U14" s="23">
        <f t="shared" si="0"/>
        <v>0.0</v>
      </c>
      <c xmlns="http://schemas.openxmlformats.org/spreadsheetml/2006/main" r="V14" s="22" t="str">
        <f t="shared" si="1"/>
        <v>○ 免調理</v>
      </c>
      <c xmlns="http://schemas.openxmlformats.org/spreadsheetml/2006/main" r="W14" s="18" t="str">
        <f t="shared" si="2"/>
        <v>免調理半成品（外購/僅切配等），不列入設備風險評估</v>
      </c>
      <c r="X14" s="22"/>
      <c r="Y14" s="22"/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338</v>
      </c>
      <c r="B15" s="22" t="s">
        <v>127</v>
      </c>
      <c r="C15" s="22" t="s">
        <v>308</v>
      </c>
      <c r="D15" s="22" t="inlineStr">
        <is>
          <t>奶油培根義大利麵RN</t>
        </is>
      </c>
      <c r="E15" s="22" t="s">
        <v>147</v>
      </c>
      <c r="F15" s="23">
        <v>0.2</v>
      </c>
      <c r="G15" s="23" t="s">
        <v>75</v>
      </c>
      <c r="H15" s="24">
        <v>100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6" t="s">
        <v>76</v>
      </c>
      <c xmlns="http://schemas.openxmlformats.org/spreadsheetml/2006/main" r="U15" s="23">
        <f t="shared" si="0"/>
        <v>0.0</v>
      </c>
      <c xmlns="http://schemas.openxmlformats.org/spreadsheetml/2006/main" r="V15" s="22" t="str">
        <f t="shared" si="1"/>
        <v>○ 免調理</v>
      </c>
      <c xmlns="http://schemas.openxmlformats.org/spreadsheetml/2006/main" r="W15" s="18" t="str">
        <f t="shared" si="2"/>
        <v>免調理半成品（外購/僅切配等），不列入設備風險評估</v>
      </c>
      <c r="X15" s="22"/>
      <c r="Y15" s="22"/>
      <c xmlns="http://schemas.openxmlformats.org/spreadsheetml/2006/main" r="Z15">
        <f>IF($D15="",0,IF(COUNTIF($D$5:$D15,$D15)=1,1,0))</f>
        <v>0.0</v>
      </c>
      <c xmlns="http://schemas.openxmlformats.org/spreadsheetml/2006/main" r="AA15" t="str">
        <f>IF(Z15=1,SUM($Z$5:$Z15),"")</f>
        <v/>
      </c>
    </row>
    <row r="16" spans="1:27">
      <c r="A16" s="22" t="s">
        <v>338</v>
      </c>
      <c r="B16" s="22" t="s">
        <v>127</v>
      </c>
      <c r="C16" s="22" t="s">
        <v>308</v>
      </c>
      <c r="D16" s="22" t="inlineStr">
        <is>
          <t>奶油培根義大利麵RN</t>
        </is>
      </c>
      <c r="E16" s="22" t="s">
        <v>148</v>
      </c>
      <c r="F16" s="23">
        <v>3</v>
      </c>
      <c r="G16" s="23" t="s">
        <v>75</v>
      </c>
      <c r="H16" s="24">
        <v>100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6" t="s">
        <v>76</v>
      </c>
      <c xmlns="http://schemas.openxmlformats.org/spreadsheetml/2006/main" r="U16" s="23">
        <f t="shared" si="0"/>
        <v>0.0</v>
      </c>
      <c xmlns="http://schemas.openxmlformats.org/spreadsheetml/2006/main" r="V16" s="22" t="str">
        <f t="shared" si="1"/>
        <v>○ 免調理</v>
      </c>
      <c xmlns="http://schemas.openxmlformats.org/spreadsheetml/2006/main" r="W16" s="18" t="str">
        <f t="shared" si="2"/>
        <v>免調理半成品（外購/僅切配等），不列入設備風險評估</v>
      </c>
      <c r="X16" s="22"/>
      <c r="Y16" s="22"/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337</v>
      </c>
      <c r="B17" s="22" t="s">
        <v>127</v>
      </c>
      <c r="C17" s="22" t="s">
        <v>308</v>
      </c>
      <c r="D17" s="22" t="s">
        <v>167</v>
      </c>
      <c r="E17" s="22" t="s">
        <v>161</v>
      </c>
      <c r="F17" s="23">
        <v>220</v>
      </c>
      <c r="G17" s="23" t="s">
        <v>75</v>
      </c>
      <c r="H17" s="24">
        <v>215</v>
      </c>
      <c r="I17" s="25"/>
      <c r="J17" s="25" t="s">
        <v>76</v>
      </c>
      <c r="K17" s="25"/>
      <c r="L17" s="25"/>
      <c r="M17" s="25"/>
      <c r="N17" s="25"/>
      <c r="O17" s="25"/>
      <c r="P17" s="25"/>
      <c r="Q17" s="25"/>
      <c r="R17" s="25"/>
      <c r="S17" s="25"/>
      <c r="T17" s="26"/>
      <c xmlns="http://schemas.openxmlformats.org/spreadsheetml/2006/main" r="U17" s="23">
        <f t="shared" si="0"/>
        <v>1.0</v>
      </c>
      <c xmlns="http://schemas.openxmlformats.org/spreadsheetml/2006/main" r="V17" s="22" t="str">
        <f t="shared" si="1"/>
        <v>▲ 單一設備依賴</v>
      </c>
      <c xmlns="http://schemas.openxmlformats.org/spreadsheetml/2006/main" r="W17" s="18" t="str">
        <f t="shared" si="2"/>
        <v>僅依賴1台設備，須確認故障/排修時之備援製程</v>
      </c>
      <c r="X17" s="22"/>
      <c r="Y17" s="22"/>
      <c xmlns="http://schemas.openxmlformats.org/spreadsheetml/2006/main" r="Z17">
        <f>IF($D17="",0,IF(COUNTIF($D$5:$D17,$D17)=1,1,0))</f>
        <v>1.0</v>
      </c>
      <c xmlns="http://schemas.openxmlformats.org/spreadsheetml/2006/main" r="AA17">
        <f>IF(Z17=1,SUM($Z$5:$Z17),"")</f>
        <v>3.0</v>
      </c>
    </row>
    <row r="18" spans="1:27">
      <c r="A18" s="22" t="s">
        <v>337</v>
      </c>
      <c r="B18" s="22" t="s">
        <v>127</v>
      </c>
      <c r="C18" s="22" t="s">
        <v>308</v>
      </c>
      <c r="D18" s="22" t="s">
        <v>167</v>
      </c>
      <c r="E18" s="22" t="s">
        <v>162</v>
      </c>
      <c r="F18" s="23">
        <v>80</v>
      </c>
      <c r="G18" s="23" t="s">
        <v>75</v>
      </c>
      <c r="H18" s="24">
        <v>73</v>
      </c>
      <c r="I18" s="25"/>
      <c r="J18" s="25"/>
      <c r="K18" s="25"/>
      <c r="L18" s="25"/>
      <c r="M18" s="25"/>
      <c r="N18" s="25"/>
      <c r="O18" s="25" t="s">
        <v>76</v>
      </c>
      <c r="P18" s="25"/>
      <c r="Q18" s="25"/>
      <c r="R18" s="25"/>
      <c r="S18" s="25"/>
      <c r="T18" s="26"/>
      <c xmlns="http://schemas.openxmlformats.org/spreadsheetml/2006/main" r="U18" s="23">
        <f t="shared" si="0"/>
        <v>1.0</v>
      </c>
      <c xmlns="http://schemas.openxmlformats.org/spreadsheetml/2006/main" r="V18" s="22" t="str">
        <f t="shared" si="1"/>
        <v>▲ 單一設備依賴</v>
      </c>
      <c xmlns="http://schemas.openxmlformats.org/spreadsheetml/2006/main" r="W18" s="18" t="str">
        <f t="shared" si="2"/>
        <v>僅依賴1台設備，須確認故障/排修時之備援製程</v>
      </c>
      <c r="X18" s="22"/>
      <c r="Y18" s="22"/>
      <c xmlns="http://schemas.openxmlformats.org/spreadsheetml/2006/main" r="Z18">
        <f>IF($D18="",0,IF(COUNTIF($D$5:$D18,$D18)=1,1,0))</f>
        <v>0.0</v>
      </c>
      <c xmlns="http://schemas.openxmlformats.org/spreadsheetml/2006/main" r="AA18" t="str">
        <f>IF(Z18=1,SUM($Z$5:$Z18),"")</f>
        <v/>
      </c>
    </row>
    <row r="19" spans="1:27">
      <c r="A19" s="22" t="s">
        <v>337</v>
      </c>
      <c r="B19" s="22" t="s">
        <v>127</v>
      </c>
      <c r="C19" s="22" t="s">
        <v>308</v>
      </c>
      <c r="D19" s="22" t="s">
        <v>167</v>
      </c>
      <c r="E19" s="22" t="s">
        <v>163</v>
      </c>
      <c r="F19" s="23">
        <v>5</v>
      </c>
      <c r="G19" s="23" t="s">
        <v>75</v>
      </c>
      <c r="H19" s="24">
        <v>100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 t="s">
        <v>76</v>
      </c>
      <c xmlns="http://schemas.openxmlformats.org/spreadsheetml/2006/main" r="U19" s="23">
        <f t="shared" si="0"/>
        <v>0.0</v>
      </c>
      <c xmlns="http://schemas.openxmlformats.org/spreadsheetml/2006/main" r="V19" s="22" t="str">
        <f t="shared" si="1"/>
        <v>○ 免調理</v>
      </c>
      <c xmlns="http://schemas.openxmlformats.org/spreadsheetml/2006/main" r="W19" s="18" t="str">
        <f t="shared" si="2"/>
        <v>免調理半成品（外購/僅切配等），不列入設備風險評估</v>
      </c>
      <c r="X19" s="22"/>
      <c r="Y19" s="22"/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337</v>
      </c>
      <c r="B20" s="22" t="s">
        <v>127</v>
      </c>
      <c r="C20" s="22" t="s">
        <v>308</v>
      </c>
      <c r="D20" s="22" t="s">
        <v>167</v>
      </c>
      <c r="E20" s="22" t="s">
        <v>164</v>
      </c>
      <c r="F20" s="23">
        <v>20</v>
      </c>
      <c r="G20" s="23" t="s">
        <v>75</v>
      </c>
      <c r="H20" s="24">
        <v>50</v>
      </c>
      <c r="I20" s="25"/>
      <c r="J20" s="25"/>
      <c r="K20" s="25"/>
      <c r="L20" s="25"/>
      <c r="M20" s="25"/>
      <c r="N20" s="25"/>
      <c r="O20" s="25" t="s">
        <v>76</v>
      </c>
      <c r="P20" s="25"/>
      <c r="Q20" s="25"/>
      <c r="R20" s="25"/>
      <c r="S20" s="25"/>
      <c r="T20" s="26"/>
      <c xmlns="http://schemas.openxmlformats.org/spreadsheetml/2006/main" r="U20" s="23">
        <f t="shared" si="0"/>
        <v>1.0</v>
      </c>
      <c xmlns="http://schemas.openxmlformats.org/spreadsheetml/2006/main" r="V20" s="22" t="str">
        <f t="shared" si="1"/>
        <v>▲ 單一設備依賴</v>
      </c>
      <c xmlns="http://schemas.openxmlformats.org/spreadsheetml/2006/main" r="W20" s="18" t="str">
        <f t="shared" si="2"/>
        <v>僅依賴1台設備，須確認故障/排修時之備援製程</v>
      </c>
      <c r="X20" s="22"/>
      <c r="Y20" s="22"/>
      <c xmlns="http://schemas.openxmlformats.org/spreadsheetml/2006/main" r="Z20">
        <f>IF($D20="",0,IF(COUNTIF($D$5:$D20,$D20)=1,1,0))</f>
        <v>0.0</v>
      </c>
      <c xmlns="http://schemas.openxmlformats.org/spreadsheetml/2006/main" r="AA20" t="str">
        <f>IF(Z20=1,SUM($Z$5:$Z20),"")</f>
        <v/>
      </c>
    </row>
    <row r="21" spans="1:27">
      <c r="A21" s="22" t="s">
        <v>337</v>
      </c>
      <c r="B21" s="22" t="s">
        <v>127</v>
      </c>
      <c r="C21" s="22" t="s">
        <v>308</v>
      </c>
      <c r="D21" s="22" t="s">
        <v>167</v>
      </c>
      <c r="E21" s="22" t="s">
        <v>165</v>
      </c>
      <c r="F21" s="23">
        <v>12</v>
      </c>
      <c r="G21" s="23" t="s">
        <v>75</v>
      </c>
      <c r="H21" s="24">
        <v>100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">
        <v>76</v>
      </c>
      <c xmlns="http://schemas.openxmlformats.org/spreadsheetml/2006/main" r="U21" s="23">
        <f t="shared" si="0"/>
        <v>0.0</v>
      </c>
      <c xmlns="http://schemas.openxmlformats.org/spreadsheetml/2006/main" r="V21" s="22" t="str">
        <f t="shared" si="1"/>
        <v>○ 免調理</v>
      </c>
      <c xmlns="http://schemas.openxmlformats.org/spreadsheetml/2006/main" r="W21" s="18" t="str">
        <f t="shared" si="2"/>
        <v>免調理半成品（外購/僅切配等），不列入設備風險評估</v>
      </c>
      <c r="X21" s="22"/>
      <c r="Y21" s="22"/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337</v>
      </c>
      <c r="B22" s="22" t="s">
        <v>127</v>
      </c>
      <c r="C22" s="22" t="s">
        <v>308</v>
      </c>
      <c r="D22" s="22" t="s">
        <v>167</v>
      </c>
      <c r="E22" s="22" t="s">
        <v>166</v>
      </c>
      <c r="F22" s="23">
        <v>3</v>
      </c>
      <c r="G22" s="23" t="s">
        <v>75</v>
      </c>
      <c r="H22" s="24">
        <v>95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6" t="s">
        <v>76</v>
      </c>
      <c xmlns="http://schemas.openxmlformats.org/spreadsheetml/2006/main" r="U22" s="23">
        <f t="shared" si="0"/>
        <v>0.0</v>
      </c>
      <c xmlns="http://schemas.openxmlformats.org/spreadsheetml/2006/main" r="V22" s="22" t="str">
        <f t="shared" si="1"/>
        <v>○ 免調理</v>
      </c>
      <c xmlns="http://schemas.openxmlformats.org/spreadsheetml/2006/main" r="W22" s="18" t="str">
        <f t="shared" si="2"/>
        <v>免調理半成品（外購/僅切配等），不列入設備風險評估</v>
      </c>
      <c r="X22" s="22"/>
      <c r="Y22" s="22"/>
      <c xmlns="http://schemas.openxmlformats.org/spreadsheetml/2006/main" r="Z22">
        <f>IF($D22="",0,IF(COUNTIF($D$5:$D22,$D22)=1,1,0))</f>
        <v>0.0</v>
      </c>
      <c xmlns="http://schemas.openxmlformats.org/spreadsheetml/2006/main" r="AA22" t="str">
        <f>IF(Z22=1,SUM($Z$5:$Z22),"")</f>
        <v/>
      </c>
    </row>
    <row r="23" spans="1:27">
      <c r="A23" s="22" t="s">
        <v>338</v>
      </c>
      <c r="B23" s="22" t="s">
        <v>127</v>
      </c>
      <c r="C23" s="22" t="s">
        <v>308</v>
      </c>
      <c r="D23" s="22" t="s">
        <v>172</v>
      </c>
      <c r="E23" s="22" t="s">
        <v>154</v>
      </c>
      <c r="F23" s="23">
        <v>220</v>
      </c>
      <c r="G23" s="23" t="s">
        <v>75</v>
      </c>
      <c r="H23" s="24">
        <v>240</v>
      </c>
      <c r="I23" s="25"/>
      <c r="J23" s="25" t="s">
        <v>76</v>
      </c>
      <c r="K23" s="25"/>
      <c r="L23" s="25"/>
      <c r="M23" s="25"/>
      <c r="N23" s="25"/>
      <c r="O23" s="25"/>
      <c r="P23" s="25"/>
      <c r="Q23" s="25"/>
      <c r="R23" s="25"/>
      <c r="S23" s="25"/>
      <c r="T23" s="26"/>
      <c xmlns="http://schemas.openxmlformats.org/spreadsheetml/2006/main" r="U23" s="23">
        <f t="shared" si="0"/>
        <v>1.0</v>
      </c>
      <c xmlns="http://schemas.openxmlformats.org/spreadsheetml/2006/main" r="V23" s="22" t="str">
        <f t="shared" si="1"/>
        <v>▲ 單一設備依賴</v>
      </c>
      <c xmlns="http://schemas.openxmlformats.org/spreadsheetml/2006/main" r="W23" s="18" t="str">
        <f t="shared" si="2"/>
        <v>僅依賴1台設備，須確認故障/排修時之備援製程</v>
      </c>
      <c r="X23" s="22"/>
      <c r="Y23" s="22"/>
      <c xmlns="http://schemas.openxmlformats.org/spreadsheetml/2006/main" r="Z23">
        <f>IF($D23="",0,IF(COUNTIF($D$5:$D23,$D23)=1,1,0))</f>
        <v>1.0</v>
      </c>
      <c xmlns="http://schemas.openxmlformats.org/spreadsheetml/2006/main" r="AA23">
        <f>IF(Z23=1,SUM($Z$5:$Z23),"")</f>
        <v>4.0</v>
      </c>
    </row>
    <row r="24" spans="1:27">
      <c r="A24" s="22" t="s">
        <v>338</v>
      </c>
      <c r="B24" s="22" t="s">
        <v>127</v>
      </c>
      <c r="C24" s="22" t="s">
        <v>308</v>
      </c>
      <c r="D24" s="22" t="s">
        <v>172</v>
      </c>
      <c r="E24" s="22" t="s">
        <v>168</v>
      </c>
      <c r="F24" s="23">
        <v>75</v>
      </c>
      <c r="G24" s="23" t="s">
        <v>75</v>
      </c>
      <c r="H24" s="24">
        <v>82</v>
      </c>
      <c r="I24" s="25"/>
      <c r="J24" s="25"/>
      <c r="K24" s="25"/>
      <c r="L24" s="25"/>
      <c r="M24" s="25"/>
      <c r="N24" s="25"/>
      <c r="O24" s="25" t="s">
        <v>76</v>
      </c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1"/>
        <v>▲ 單一設備依賴</v>
      </c>
      <c xmlns="http://schemas.openxmlformats.org/spreadsheetml/2006/main" r="W24" s="18" t="str">
        <f t="shared" si="2"/>
        <v>僅依賴1台設備，須確認故障/排修時之備援製程</v>
      </c>
      <c r="X24" s="22"/>
      <c r="Y24" s="22"/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338</v>
      </c>
      <c r="B25" s="22" t="s">
        <v>127</v>
      </c>
      <c r="C25" s="22" t="s">
        <v>308</v>
      </c>
      <c r="D25" s="22" t="s">
        <v>172</v>
      </c>
      <c r="E25" s="22" t="s">
        <v>169</v>
      </c>
      <c r="F25" s="23">
        <v>40</v>
      </c>
      <c r="G25" s="23" t="s">
        <v>75</v>
      </c>
      <c r="H25" s="24">
        <v>50</v>
      </c>
      <c r="I25" s="25"/>
      <c r="J25" s="25"/>
      <c r="K25" s="25"/>
      <c r="L25" s="25"/>
      <c r="M25" s="25" t="s">
        <v>76</v>
      </c>
      <c r="N25" s="25"/>
      <c r="O25" s="25"/>
      <c r="P25" s="25"/>
      <c r="Q25" s="25"/>
      <c r="R25" s="25"/>
      <c r="S25" s="25"/>
      <c r="T25" s="26"/>
      <c xmlns="http://schemas.openxmlformats.org/spreadsheetml/2006/main" r="U25" s="23">
        <f t="shared" si="0"/>
        <v>1.0</v>
      </c>
      <c xmlns="http://schemas.openxmlformats.org/spreadsheetml/2006/main" r="V25" s="22" t="str">
        <f t="shared" si="1"/>
        <v>▲ 單一設備依賴</v>
      </c>
      <c xmlns="http://schemas.openxmlformats.org/spreadsheetml/2006/main" r="W25" s="18" t="str">
        <f t="shared" si="2"/>
        <v>僅依賴1台設備，須確認故障/排修時之備援製程</v>
      </c>
      <c r="X25" s="22"/>
      <c r="Y25" s="22"/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338</v>
      </c>
      <c r="B26" s="22" t="s">
        <v>127</v>
      </c>
      <c r="C26" s="22" t="s">
        <v>308</v>
      </c>
      <c r="D26" s="22" t="s">
        <v>172</v>
      </c>
      <c r="E26" s="22" t="s">
        <v>170</v>
      </c>
      <c r="F26" s="23">
        <v>8</v>
      </c>
      <c r="G26" s="23" t="s">
        <v>75</v>
      </c>
      <c r="H26" s="24">
        <v>68</v>
      </c>
      <c r="I26" s="25"/>
      <c r="J26" s="25"/>
      <c r="K26" s="25"/>
      <c r="L26" s="25"/>
      <c r="M26" s="25"/>
      <c r="N26" s="25"/>
      <c r="O26" s="25" t="s">
        <v>76</v>
      </c>
      <c r="P26" s="25"/>
      <c r="Q26" s="25"/>
      <c r="R26" s="25"/>
      <c r="S26" s="25"/>
      <c r="T26" s="26"/>
      <c xmlns="http://schemas.openxmlformats.org/spreadsheetml/2006/main" r="U26" s="23">
        <f t="shared" si="0"/>
        <v>1.0</v>
      </c>
      <c xmlns="http://schemas.openxmlformats.org/spreadsheetml/2006/main" r="V26" s="22" t="str">
        <f t="shared" si="1"/>
        <v>▲ 單一設備依賴</v>
      </c>
      <c xmlns="http://schemas.openxmlformats.org/spreadsheetml/2006/main" r="W26" s="18" t="str">
        <f t="shared" si="2"/>
        <v>僅依賴1台設備，須確認故障/排修時之備援製程</v>
      </c>
      <c r="X26" s="22"/>
      <c r="Y26" s="22"/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 t="s">
        <v>338</v>
      </c>
      <c r="B27" s="22" t="s">
        <v>127</v>
      </c>
      <c r="C27" s="22" t="s">
        <v>308</v>
      </c>
      <c r="D27" s="22" t="s">
        <v>172</v>
      </c>
      <c r="E27" s="22" t="s">
        <v>171</v>
      </c>
      <c r="F27" s="23">
        <v>0.3</v>
      </c>
      <c r="G27" s="23" t="s">
        <v>75</v>
      </c>
      <c r="H27" s="24">
        <v>100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 t="s">
        <v>76</v>
      </c>
      <c xmlns="http://schemas.openxmlformats.org/spreadsheetml/2006/main" r="U27" s="23">
        <f t="shared" si="0"/>
        <v>0.0</v>
      </c>
      <c xmlns="http://schemas.openxmlformats.org/spreadsheetml/2006/main" r="V27" s="22" t="str">
        <f t="shared" si="1"/>
        <v>○ 免調理</v>
      </c>
      <c xmlns="http://schemas.openxmlformats.org/spreadsheetml/2006/main" r="W27" s="18" t="str">
        <f t="shared" si="2"/>
        <v>免調理半成品（外購/僅切配等），不列入設備風險評估</v>
      </c>
      <c r="X27" s="22"/>
      <c r="Y27" s="22"/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337</v>
      </c>
      <c r="B28" s="22" t="s">
        <v>127</v>
      </c>
      <c r="C28" s="22" t="s">
        <v>308</v>
      </c>
      <c r="D28" s="22" t="s">
        <v>173</v>
      </c>
      <c r="E28" s="22" t="s">
        <v>174</v>
      </c>
      <c r="F28" s="23">
        <v>18</v>
      </c>
      <c r="G28" s="23" t="s">
        <v>75</v>
      </c>
      <c r="H28" s="24">
        <v>69</v>
      </c>
      <c r="I28" s="25"/>
      <c r="J28" s="25"/>
      <c r="K28" s="25"/>
      <c r="L28" s="25"/>
      <c r="M28" s="25"/>
      <c r="N28" s="25"/>
      <c r="O28" s="25" t="s">
        <v>76</v>
      </c>
      <c r="P28" s="25"/>
      <c r="Q28" s="25"/>
      <c r="R28" s="25"/>
      <c r="S28" s="25"/>
      <c r="T28" s="26"/>
      <c xmlns="http://schemas.openxmlformats.org/spreadsheetml/2006/main" r="U28" s="23">
        <f t="shared" si="0"/>
        <v>1.0</v>
      </c>
      <c xmlns="http://schemas.openxmlformats.org/spreadsheetml/2006/main" r="V28" s="22" t="str">
        <f t="shared" si="1"/>
        <v>▲ 單一設備依賴</v>
      </c>
      <c xmlns="http://schemas.openxmlformats.org/spreadsheetml/2006/main" r="W28" s="18" t="str">
        <f t="shared" si="2"/>
        <v>僅依賴1台設備，須確認故障/排修時之備援製程</v>
      </c>
      <c r="X28" s="22"/>
      <c r="Y28" s="22"/>
      <c xmlns="http://schemas.openxmlformats.org/spreadsheetml/2006/main" r="Z28">
        <f>IF($D28="",0,IF(COUNTIF($D$5:$D28,$D28)=1,1,0))</f>
        <v>1.0</v>
      </c>
      <c xmlns="http://schemas.openxmlformats.org/spreadsheetml/2006/main" r="AA28">
        <f>IF(Z28=1,SUM($Z$5:$Z28),"")</f>
        <v>5.0</v>
      </c>
    </row>
    <row r="29" spans="1:27">
      <c r="A29" s="22" t="s">
        <v>337</v>
      </c>
      <c r="B29" s="22" t="s">
        <v>127</v>
      </c>
      <c r="C29" s="22" t="s">
        <v>308</v>
      </c>
      <c r="D29" s="22" t="s">
        <v>173</v>
      </c>
      <c r="E29" s="22" t="s">
        <v>175</v>
      </c>
      <c r="F29" s="23">
        <v>234</v>
      </c>
      <c r="G29" s="23" t="s">
        <v>75</v>
      </c>
      <c r="H29" s="24">
        <v>80</v>
      </c>
      <c r="I29" s="25"/>
      <c r="J29" s="25" t="s">
        <v>76</v>
      </c>
      <c r="K29" s="25"/>
      <c r="L29" s="25"/>
      <c r="M29" s="25"/>
      <c r="N29" s="25"/>
      <c r="O29" s="25"/>
      <c r="P29" s="25" t="s">
        <v>76</v>
      </c>
      <c r="Q29" s="25"/>
      <c r="R29" s="25"/>
      <c r="S29" s="25"/>
      <c r="T29" s="26"/>
      <c xmlns="http://schemas.openxmlformats.org/spreadsheetml/2006/main" r="U29" s="23">
        <f t="shared" si="0"/>
        <v>2.0</v>
      </c>
      <c xmlns="http://schemas.openxmlformats.org/spreadsheetml/2006/main" r="V29" s="22" t="str">
        <f t="shared" si="1"/>
        <v>OK</v>
      </c>
      <c xmlns="http://schemas.openxmlformats.org/spreadsheetml/2006/main" r="W29" s="18" t="str">
        <f t="shared" si="2"/>
        <v>無異常</v>
      </c>
      <c r="X29" s="22"/>
      <c r="Y29" s="22"/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 t="s">
        <v>337</v>
      </c>
      <c r="B30" s="22" t="s">
        <v>127</v>
      </c>
      <c r="C30" s="22" t="s">
        <v>308</v>
      </c>
      <c r="D30" s="22" t="s">
        <v>173</v>
      </c>
      <c r="E30" s="22" t="s">
        <v>176</v>
      </c>
      <c r="F30" s="23">
        <v>42</v>
      </c>
      <c r="G30" s="23" t="s">
        <v>75</v>
      </c>
      <c r="H30" s="24">
        <v>70</v>
      </c>
      <c r="I30" s="25"/>
      <c r="J30" s="25"/>
      <c r="K30" s="25"/>
      <c r="L30" s="25"/>
      <c r="M30" s="25"/>
      <c r="N30" s="25"/>
      <c r="O30" s="25" t="s">
        <v>76</v>
      </c>
      <c r="P30" s="25"/>
      <c r="Q30" s="25"/>
      <c r="R30" s="25"/>
      <c r="S30" s="25"/>
      <c r="T30" s="26"/>
      <c xmlns="http://schemas.openxmlformats.org/spreadsheetml/2006/main" r="U30" s="23">
        <f t="shared" si="0"/>
        <v>1.0</v>
      </c>
      <c xmlns="http://schemas.openxmlformats.org/spreadsheetml/2006/main" r="V30" s="22" t="str">
        <f t="shared" si="1"/>
        <v>▲ 單一設備依賴</v>
      </c>
      <c xmlns="http://schemas.openxmlformats.org/spreadsheetml/2006/main" r="W30" s="18" t="str">
        <f t="shared" si="2"/>
        <v>僅依賴1台設備，須確認故障/排修時之備援製程</v>
      </c>
      <c r="X30" s="22"/>
      <c r="Y30" s="22"/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 t="s">
        <v>337</v>
      </c>
      <c r="B31" s="22" t="s">
        <v>127</v>
      </c>
      <c r="C31" s="22" t="s">
        <v>308</v>
      </c>
      <c r="D31" s="22" t="s">
        <v>173</v>
      </c>
      <c r="E31" s="22" t="s">
        <v>177</v>
      </c>
      <c r="F31" s="23">
        <v>25</v>
      </c>
      <c r="G31" s="23" t="s">
        <v>75</v>
      </c>
      <c r="H31" s="24">
        <v>60</v>
      </c>
      <c r="I31" s="25"/>
      <c r="J31" s="25"/>
      <c r="K31" s="25"/>
      <c r="L31" s="25"/>
      <c r="M31" s="25"/>
      <c r="N31" s="25"/>
      <c r="O31" s="25" t="s">
        <v>76</v>
      </c>
      <c r="P31" s="25"/>
      <c r="Q31" s="25"/>
      <c r="R31" s="25"/>
      <c r="S31" s="25"/>
      <c r="T31" s="26"/>
      <c xmlns="http://schemas.openxmlformats.org/spreadsheetml/2006/main" r="U31" s="23">
        <f t="shared" si="0"/>
        <v>1.0</v>
      </c>
      <c xmlns="http://schemas.openxmlformats.org/spreadsheetml/2006/main" r="V31" s="22" t="str">
        <f t="shared" si="1"/>
        <v>▲ 單一設備依賴</v>
      </c>
      <c xmlns="http://schemas.openxmlformats.org/spreadsheetml/2006/main" r="W31" s="18" t="str">
        <f t="shared" si="2"/>
        <v>僅依賴1台設備，須確認故障/排修時之備援製程</v>
      </c>
      <c r="X31" s="22"/>
      <c r="Y31" s="22"/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337</v>
      </c>
      <c r="B32" s="22" t="s">
        <v>127</v>
      </c>
      <c r="C32" s="22" t="s">
        <v>308</v>
      </c>
      <c r="D32" s="22" t="s">
        <v>173</v>
      </c>
      <c r="E32" s="22" t="s">
        <v>178</v>
      </c>
      <c r="F32" s="23">
        <v>12</v>
      </c>
      <c r="G32" s="23" t="s">
        <v>75</v>
      </c>
      <c r="H32" s="24">
        <v>68</v>
      </c>
      <c r="I32" s="25"/>
      <c r="J32" s="25"/>
      <c r="K32" s="25"/>
      <c r="L32" s="25"/>
      <c r="M32" s="25"/>
      <c r="N32" s="25"/>
      <c r="O32" s="25" t="s">
        <v>76</v>
      </c>
      <c r="P32" s="25"/>
      <c r="Q32" s="25"/>
      <c r="R32" s="25"/>
      <c r="S32" s="25"/>
      <c r="T32" s="26"/>
      <c xmlns="http://schemas.openxmlformats.org/spreadsheetml/2006/main" r="U32" s="23">
        <f t="shared" si="0"/>
        <v>1.0</v>
      </c>
      <c xmlns="http://schemas.openxmlformats.org/spreadsheetml/2006/main" r="V32" s="22" t="str">
        <f t="shared" si="1"/>
        <v>▲ 單一設備依賴</v>
      </c>
      <c xmlns="http://schemas.openxmlformats.org/spreadsheetml/2006/main" r="W32" s="18" t="str">
        <f t="shared" si="2"/>
        <v>僅依賴1台設備，須確認故障/排修時之備援製程</v>
      </c>
      <c r="X32" s="22"/>
      <c r="Y32" s="22"/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 t="s">
        <v>337</v>
      </c>
      <c r="B33" s="22" t="s">
        <v>127</v>
      </c>
      <c r="C33" s="22" t="s">
        <v>308</v>
      </c>
      <c r="D33" s="22" t="s">
        <v>173</v>
      </c>
      <c r="E33" s="22" t="s">
        <v>179</v>
      </c>
      <c r="F33" s="23">
        <v>5</v>
      </c>
      <c r="G33" s="23" t="s">
        <v>75</v>
      </c>
      <c r="H33" s="24">
        <v>80</v>
      </c>
      <c r="I33" s="25"/>
      <c r="J33" s="25"/>
      <c r="K33" s="25"/>
      <c r="L33" s="25"/>
      <c r="M33" s="25"/>
      <c r="N33" s="25"/>
      <c r="O33" s="25" t="s">
        <v>76</v>
      </c>
      <c r="P33" s="25"/>
      <c r="Q33" s="25"/>
      <c r="R33" s="25"/>
      <c r="S33" s="25"/>
      <c r="T33" s="26"/>
      <c xmlns="http://schemas.openxmlformats.org/spreadsheetml/2006/main" r="U33" s="23">
        <f>IF($E33="","",COUNTIF($I33:$S33,"V"))</f>
        <v>1.0</v>
      </c>
      <c xmlns="http://schemas.openxmlformats.org/spreadsheetml/2006/main" r="V33" s="22" t="str">
        <f>IF($E33="","",IF(AND($T33="V",$U33&gt;0),"⚠ 勾選矛盾",IF($T33="V","○ 免調理",IF($U33=0,"⚠ 資料缺漏",IF($U33=1,"▲ 單一設備依賴","OK")))))</f>
        <v>▲ 單一設備依賴</v>
      </c>
      <c xmlns="http://schemas.openxmlformats.org/spreadsheetml/2006/main" r="W33" s="18" t="str">
        <f>IF($E33="","",IF(AND($T33="V",$U33&gt;0),"「無使用調理設備」不可與設備欄同時勾選，請擇一修正",IF($T33="V","免調理半成品（外購/僅切配等），不列入設備風險評估",IF($U33=0,"未勾選任何設備，請補填或勾選「無使用調理設備」",IF($U33=1,"僅依賴1台設備，須確認故障/排修時之備援製程","無異常")))))</f>
        <v>僅依賴1台設備，須確認故障/排修時之備援製程</v>
      </c>
      <c r="X33" s="22"/>
      <c r="Y33" s="22"/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 t="s">
        <v>337</v>
      </c>
      <c r="B34" s="22" t="s">
        <v>127</v>
      </c>
      <c r="C34" s="22" t="s">
        <v>308</v>
      </c>
      <c r="D34" s="22" t="s">
        <v>173</v>
      </c>
      <c r="E34" s="22" t="s">
        <v>180</v>
      </c>
      <c r="F34" s="23">
        <v>1</v>
      </c>
      <c r="G34" s="23" t="s">
        <v>75</v>
      </c>
      <c r="H34" s="24">
        <v>74</v>
      </c>
      <c r="I34" s="25"/>
      <c r="J34" s="25"/>
      <c r="K34" s="25"/>
      <c r="L34" s="25"/>
      <c r="M34" s="25"/>
      <c r="N34" s="25"/>
      <c r="O34" s="25" t="s">
        <v>76</v>
      </c>
      <c r="P34" s="25"/>
      <c r="Q34" s="25"/>
      <c r="R34" s="25"/>
      <c r="S34" s="25"/>
      <c r="T34" s="26"/>
      <c xmlns="http://schemas.openxmlformats.org/spreadsheetml/2006/main" r="U34" s="23">
        <f>IF($E34="","",COUNTIF($I34:$S34,"V"))</f>
        <v>1.0</v>
      </c>
      <c xmlns="http://schemas.openxmlformats.org/spreadsheetml/2006/main" r="V34" s="22" t="str">
        <f>IF($E34="","",IF(AND($T34="V",$U34&gt;0),"⚠ 勾選矛盾",IF($T34="V","○ 免調理",IF($U34=0,"⚠ 資料缺漏",IF($U34=1,"▲ 單一設備依賴","OK")))))</f>
        <v>▲ 單一設備依賴</v>
      </c>
      <c xmlns="http://schemas.openxmlformats.org/spreadsheetml/2006/main" r="W34" s="18" t="str">
        <f>IF($E34="","",IF(AND($T34="V",$U34&gt;0),"「無使用調理設備」不可與設備欄同時勾選，請擇一修正",IF($T34="V","免調理半成品（外購/僅切配等），不列入設備風險評估",IF($U34=0,"未勾選任何設備，請補填或勾選「無使用調理設備」",IF($U34=1,"僅依賴1台設備，須確認故障/排修時之備援製程","無異常")))))</f>
        <v>僅依賴1台設備，須確認故障/排修時之備援製程</v>
      </c>
      <c r="X34" s="22"/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 t="s">
        <v>338</v>
      </c>
      <c r="B35" s="22" t="s">
        <v>127</v>
      </c>
      <c r="C35" s="22" t="s">
        <v>308</v>
      </c>
      <c r="D35" s="22" t="s">
        <v>187</v>
      </c>
      <c r="E35" s="22" t="s">
        <v>181</v>
      </c>
      <c r="F35" s="23">
        <v>230</v>
      </c>
      <c r="G35" s="23" t="s">
        <v>75</v>
      </c>
      <c r="H35" s="24">
        <v>160</v>
      </c>
      <c r="I35" s="25"/>
      <c r="J35" s="25" t="s">
        <v>76</v>
      </c>
      <c r="K35" s="25"/>
      <c r="L35" s="25"/>
      <c r="M35" s="25"/>
      <c r="N35" s="25"/>
      <c r="O35" s="25"/>
      <c r="P35" s="25"/>
      <c r="Q35" s="25"/>
      <c r="R35" s="25"/>
      <c r="S35" s="25"/>
      <c r="T35" s="26"/>
      <c xmlns="http://schemas.openxmlformats.org/spreadsheetml/2006/main" r="U35" s="23">
        <f>IF($E35="","",COUNTIF($I35:$S35,"V"))</f>
        <v>1.0</v>
      </c>
      <c xmlns="http://schemas.openxmlformats.org/spreadsheetml/2006/main" r="V35" s="22" t="str">
        <f>IF($E35="","",IF(AND($T35="V",$U35&gt;0),"⚠ 勾選矛盾",IF($T35="V","○ 免調理",IF($U35=0,"⚠ 資料缺漏",IF($U35=1,"▲ 單一設備依賴","OK")))))</f>
        <v>▲ 單一設備依賴</v>
      </c>
      <c xmlns="http://schemas.openxmlformats.org/spreadsheetml/2006/main" r="W35" s="18" t="str">
        <f>IF($E35="","",IF(AND($T35="V",$U35&gt;0),"「無使用調理設備」不可與設備欄同時勾選，請擇一修正",IF($T35="V","免調理半成品（外購/僅切配等），不列入設備風險評估",IF($U35=0,"未勾選任何設備，請補填或勾選「無使用調理設備」",IF($U35=1,"僅依賴1台設備，須確認故障/排修時之備援製程","無異常")))))</f>
        <v>僅依賴1台設備，須確認故障/排修時之備援製程</v>
      </c>
      <c r="X35" s="22"/>
      <c r="Y35" s="22"/>
      <c xmlns="http://schemas.openxmlformats.org/spreadsheetml/2006/main" r="Z35">
        <f>IF($D35="",0,IF(COUNTIF($D$5:$D35,$D35)=1,1,0))</f>
        <v>1.0</v>
      </c>
      <c xmlns="http://schemas.openxmlformats.org/spreadsheetml/2006/main" r="AA35">
        <f>IF(Z35=1,SUM($Z$5:$Z35),"")</f>
        <v>6.0</v>
      </c>
    </row>
    <row r="36" spans="1:27">
      <c r="A36" s="22" t="s">
        <v>338</v>
      </c>
      <c r="B36" s="22" t="s">
        <v>127</v>
      </c>
      <c r="C36" s="22" t="s">
        <v>308</v>
      </c>
      <c r="D36" s="22" t="s">
        <v>187</v>
      </c>
      <c r="E36" s="22" t="s">
        <v>182</v>
      </c>
      <c r="F36" s="23">
        <v>70</v>
      </c>
      <c r="G36" s="23" t="s">
        <v>75</v>
      </c>
      <c r="H36" s="24">
        <v>53</v>
      </c>
      <c r="I36" s="25"/>
      <c r="J36" s="25"/>
      <c r="K36" s="25"/>
      <c r="L36" s="25"/>
      <c r="M36" s="25"/>
      <c r="N36" s="25"/>
      <c r="O36" s="25" t="s">
        <v>76</v>
      </c>
      <c r="P36" s="25"/>
      <c r="Q36" s="25"/>
      <c r="R36" s="25"/>
      <c r="S36" s="25"/>
      <c r="T36" s="26"/>
      <c xmlns="http://schemas.openxmlformats.org/spreadsheetml/2006/main" r="U36" s="23">
        <f t="shared" si="0"/>
        <v>1.0</v>
      </c>
      <c xmlns="http://schemas.openxmlformats.org/spreadsheetml/2006/main" r="V36" s="22" t="str">
        <f t="shared" si="1"/>
        <v>▲ 單一設備依賴</v>
      </c>
      <c xmlns="http://schemas.openxmlformats.org/spreadsheetml/2006/main" r="W36" s="18" t="str">
        <f t="shared" si="2"/>
        <v>僅依賴1台設備，須確認故障/排修時之備援製程</v>
      </c>
      <c r="X36" s="22"/>
      <c r="Y36" s="22"/>
      <c xmlns="http://schemas.openxmlformats.org/spreadsheetml/2006/main" r="Z36">
        <f>IF($D36="",0,IF(COUNTIF($D$5:$D36,$D36)=1,1,0))</f>
        <v>0.0</v>
      </c>
      <c xmlns="http://schemas.openxmlformats.org/spreadsheetml/2006/main" r="AA36" t="str">
        <f>IF(Z36=1,SUM($Z$5:$Z36),"")</f>
        <v/>
      </c>
    </row>
    <row r="37" spans="1:27">
      <c r="A37" s="22" t="s">
        <v>338</v>
      </c>
      <c r="B37" s="22" t="s">
        <v>127</v>
      </c>
      <c r="C37" s="22" t="s">
        <v>308</v>
      </c>
      <c r="D37" s="22" t="s">
        <v>187</v>
      </c>
      <c r="E37" s="22" t="s">
        <v>183</v>
      </c>
      <c r="F37" s="23">
        <v>8</v>
      </c>
      <c r="G37" s="23" t="s">
        <v>75</v>
      </c>
      <c r="H37" s="24">
        <v>66</v>
      </c>
      <c r="I37" s="25"/>
      <c r="J37" s="25"/>
      <c r="K37" s="25"/>
      <c r="L37" s="25"/>
      <c r="M37" s="25" t="s">
        <v>76</v>
      </c>
      <c r="N37" s="25"/>
      <c r="O37" s="25"/>
      <c r="P37" s="25"/>
      <c r="Q37" s="25"/>
      <c r="R37" s="25"/>
      <c r="S37" s="25"/>
      <c r="T37" s="26"/>
      <c xmlns="http://schemas.openxmlformats.org/spreadsheetml/2006/main" r="U37" s="23">
        <f t="shared" si="0"/>
        <v>1.0</v>
      </c>
      <c xmlns="http://schemas.openxmlformats.org/spreadsheetml/2006/main" r="V37" s="22" t="str">
        <f t="shared" si="1"/>
        <v>▲ 單一設備依賴</v>
      </c>
      <c xmlns="http://schemas.openxmlformats.org/spreadsheetml/2006/main" r="W37" s="18" t="str">
        <f t="shared" si="2"/>
        <v>僅依賴1台設備，須確認故障/排修時之備援製程</v>
      </c>
      <c r="X37" s="22"/>
      <c r="Y37" s="22"/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 t="s">
        <v>338</v>
      </c>
      <c r="B38" s="22" t="s">
        <v>127</v>
      </c>
      <c r="C38" s="22" t="s">
        <v>308</v>
      </c>
      <c r="D38" s="22" t="s">
        <v>187</v>
      </c>
      <c r="E38" s="22" t="s">
        <v>184</v>
      </c>
      <c r="F38" s="23">
        <v>20</v>
      </c>
      <c r="G38" s="23" t="s">
        <v>75</v>
      </c>
      <c r="H38" s="24">
        <v>200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 t="s">
        <v>76</v>
      </c>
      <c xmlns="http://schemas.openxmlformats.org/spreadsheetml/2006/main" r="U38" s="23">
        <f t="shared" si="0"/>
        <v>0.0</v>
      </c>
      <c xmlns="http://schemas.openxmlformats.org/spreadsheetml/2006/main" r="V38" s="22" t="str">
        <f t="shared" si="1"/>
        <v>○ 免調理</v>
      </c>
      <c xmlns="http://schemas.openxmlformats.org/spreadsheetml/2006/main" r="W38" s="18" t="str">
        <f t="shared" si="2"/>
        <v>免調理半成品（外購/僅切配等），不列入設備風險評估</v>
      </c>
      <c r="X38" s="22"/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 t="s">
        <v>338</v>
      </c>
      <c r="B39" s="22" t="s">
        <v>127</v>
      </c>
      <c r="C39" s="22" t="s">
        <v>308</v>
      </c>
      <c r="D39" s="22" t="s">
        <v>187</v>
      </c>
      <c r="E39" s="22" t="s">
        <v>185</v>
      </c>
      <c r="F39" s="23">
        <v>14</v>
      </c>
      <c r="G39" s="23" t="s">
        <v>75</v>
      </c>
      <c r="H39" s="24">
        <v>100</v>
      </c>
      <c r="I39" s="25"/>
      <c r="J39" s="25"/>
      <c r="K39" s="25"/>
      <c r="L39" s="25"/>
      <c r="M39" s="25" t="s">
        <v>76</v>
      </c>
      <c r="N39" s="25"/>
      <c r="O39" s="25"/>
      <c r="P39" s="25"/>
      <c r="Q39" s="25"/>
      <c r="R39" s="25"/>
      <c r="S39" s="25"/>
      <c r="T39" s="26"/>
      <c xmlns="http://schemas.openxmlformats.org/spreadsheetml/2006/main" r="U39" s="23">
        <f t="shared" si="0"/>
        <v>1.0</v>
      </c>
      <c xmlns="http://schemas.openxmlformats.org/spreadsheetml/2006/main" r="V39" s="22" t="str">
        <f t="shared" si="1"/>
        <v>▲ 單一設備依賴</v>
      </c>
      <c xmlns="http://schemas.openxmlformats.org/spreadsheetml/2006/main" r="W39" s="18" t="str">
        <f t="shared" si="2"/>
        <v>僅依賴1台設備，須確認故障/排修時之備援製程</v>
      </c>
      <c r="X39" s="22"/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 t="s">
        <v>338</v>
      </c>
      <c r="B40" s="22" t="s">
        <v>127</v>
      </c>
      <c r="C40" s="22" t="s">
        <v>308</v>
      </c>
      <c r="D40" s="22" t="s">
        <v>187</v>
      </c>
      <c r="E40" s="22" t="s">
        <v>151</v>
      </c>
      <c r="F40" s="23">
        <v>10</v>
      </c>
      <c r="G40" s="23" t="s">
        <v>75</v>
      </c>
      <c r="H40" s="24">
        <v>67</v>
      </c>
      <c r="I40" s="25"/>
      <c r="J40" s="25"/>
      <c r="K40" s="25"/>
      <c r="L40" s="25"/>
      <c r="M40" s="25"/>
      <c r="N40" s="25"/>
      <c r="O40" s="25" t="s">
        <v>76</v>
      </c>
      <c r="P40" s="25"/>
      <c r="Q40" s="25"/>
      <c r="R40" s="25"/>
      <c r="S40" s="25"/>
      <c r="T40" s="26"/>
      <c xmlns="http://schemas.openxmlformats.org/spreadsheetml/2006/main" r="U40" s="23">
        <f t="shared" si="0"/>
        <v>1.0</v>
      </c>
      <c xmlns="http://schemas.openxmlformats.org/spreadsheetml/2006/main" r="V40" s="22" t="str">
        <f t="shared" si="1"/>
        <v>▲ 單一設備依賴</v>
      </c>
      <c xmlns="http://schemas.openxmlformats.org/spreadsheetml/2006/main" r="W40" s="18" t="str">
        <f t="shared" si="2"/>
        <v>僅依賴1台設備，須確認故障/排修時之備援製程</v>
      </c>
      <c r="X40" s="22"/>
      <c r="Y40" s="22"/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 t="s">
        <v>338</v>
      </c>
      <c r="B41" s="22" t="s">
        <v>127</v>
      </c>
      <c r="C41" s="22" t="s">
        <v>308</v>
      </c>
      <c r="D41" s="22" t="s">
        <v>149</v>
      </c>
      <c r="E41" s="22" t="s">
        <v>186</v>
      </c>
      <c r="F41" s="23">
        <v>187</v>
      </c>
      <c r="G41" s="23" t="s">
        <v>75</v>
      </c>
      <c r="H41" s="24">
        <v>83</v>
      </c>
      <c r="I41" s="25"/>
      <c r="J41" s="25" t="s">
        <v>76</v>
      </c>
      <c r="K41" s="25"/>
      <c r="L41" s="25"/>
      <c r="M41" s="25"/>
      <c r="N41" s="25"/>
      <c r="O41" s="25"/>
      <c r="P41" s="25"/>
      <c r="Q41" s="25"/>
      <c r="R41" s="25"/>
      <c r="S41" s="25"/>
      <c r="T41" s="26"/>
      <c xmlns="http://schemas.openxmlformats.org/spreadsheetml/2006/main" r="U41" s="23">
        <f t="shared" ref="U41:U46" si="3">IF($E41="","",COUNTIF($I41:$S41,"V"))</f>
        <v>1.0</v>
      </c>
      <c xmlns="http://schemas.openxmlformats.org/spreadsheetml/2006/main" r="V41" s="22" t="str">
        <f t="shared" ref="V41:V46" si="4">IF($E41="","",IF(AND($T41="V",$U41&gt;0),"⚠ 勾選矛盾",IF($T41="V","○ 免調理",IF($U41=0,"⚠ 資料缺漏",IF($U41=1,"▲ 單一設備依賴","OK")))))</f>
        <v>▲ 單一設備依賴</v>
      </c>
      <c xmlns="http://schemas.openxmlformats.org/spreadsheetml/2006/main" r="W41" s="18" t="str">
        <f t="shared" ref="W41:W46" si="5">IF($E41="","",IF(AND($T41="V",$U41&gt;0),"「無使用調理設備」不可與設備欄同時勾選，請擇一修正",IF($T41="V","免調理半成品（外購/僅切配等），不列入設備風險評估",IF($U41=0,"未勾選任何設備，請補填或勾選「無使用調理設備」",IF($U41=1,"僅依賴1台設備，須確認故障/排修時之備援製程","無異常")))))</f>
        <v>僅依賴1台設備，須確認故障/排修時之備援製程</v>
      </c>
      <c r="X41" s="22"/>
      <c r="Y41" s="22"/>
      <c xmlns="http://schemas.openxmlformats.org/spreadsheetml/2006/main" r="Z41">
        <f>IF($D41="",0,IF(COUNTIF($D$5:$D41,$D41)=1,1,0))</f>
        <v>1.0</v>
      </c>
      <c xmlns="http://schemas.openxmlformats.org/spreadsheetml/2006/main" r="AA41">
        <f>IF(Z41=1,SUM($Z$5:$Z41),"")</f>
        <v>7.0</v>
      </c>
    </row>
    <row r="42" spans="1:27">
      <c r="A42" s="22" t="s">
        <v>338</v>
      </c>
      <c r="B42" s="22" t="s">
        <v>127</v>
      </c>
      <c r="C42" s="22" t="s">
        <v>308</v>
      </c>
      <c r="D42" s="22" t="s">
        <v>149</v>
      </c>
      <c r="E42" s="22" t="s">
        <v>150</v>
      </c>
      <c r="F42" s="23">
        <v>60</v>
      </c>
      <c r="G42" s="23" t="s">
        <v>75</v>
      </c>
      <c r="H42" s="24">
        <v>50</v>
      </c>
      <c r="I42" s="25"/>
      <c r="J42" s="25"/>
      <c r="K42" s="25"/>
      <c r="L42" s="25"/>
      <c r="M42" s="25"/>
      <c r="N42" s="25"/>
      <c r="O42" s="25" t="s">
        <v>76</v>
      </c>
      <c r="P42" s="25"/>
      <c r="Q42" s="25"/>
      <c r="R42" s="25"/>
      <c r="S42" s="25"/>
      <c r="T42" s="26"/>
      <c xmlns="http://schemas.openxmlformats.org/spreadsheetml/2006/main" r="U42" s="23">
        <f t="shared" si="3"/>
        <v>1.0</v>
      </c>
      <c xmlns="http://schemas.openxmlformats.org/spreadsheetml/2006/main" r="V42" s="22" t="str">
        <f t="shared" si="4"/>
        <v>▲ 單一設備依賴</v>
      </c>
      <c xmlns="http://schemas.openxmlformats.org/spreadsheetml/2006/main" r="W42" s="18" t="str">
        <f t="shared" si="5"/>
        <v>僅依賴1台設備，須確認故障/排修時之備援製程</v>
      </c>
      <c r="X42" s="22"/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 t="s">
        <v>338</v>
      </c>
      <c r="B43" s="22" t="s">
        <v>127</v>
      </c>
      <c r="C43" s="22" t="s">
        <v>308</v>
      </c>
      <c r="D43" s="22" t="s">
        <v>149</v>
      </c>
      <c r="E43" s="22" t="s">
        <v>151</v>
      </c>
      <c r="F43" s="23">
        <v>15</v>
      </c>
      <c r="G43" s="23" t="s">
        <v>75</v>
      </c>
      <c r="H43" s="24">
        <v>64</v>
      </c>
      <c r="I43" s="25"/>
      <c r="J43" s="25"/>
      <c r="K43" s="25"/>
      <c r="L43" s="25"/>
      <c r="M43" s="25"/>
      <c r="N43" s="25"/>
      <c r="O43" s="25" t="s">
        <v>76</v>
      </c>
      <c r="P43" s="25"/>
      <c r="Q43" s="25"/>
      <c r="R43" s="25"/>
      <c r="S43" s="25"/>
      <c r="T43" s="26"/>
      <c xmlns="http://schemas.openxmlformats.org/spreadsheetml/2006/main" r="U43" s="23">
        <f t="shared" si="3"/>
        <v>1.0</v>
      </c>
      <c xmlns="http://schemas.openxmlformats.org/spreadsheetml/2006/main" r="V43" s="22" t="str">
        <f t="shared" si="4"/>
        <v>▲ 單一設備依賴</v>
      </c>
      <c xmlns="http://schemas.openxmlformats.org/spreadsheetml/2006/main" r="W43" s="18" t="str">
        <f t="shared" si="5"/>
        <v>僅依賴1台設備，須確認故障/排修時之備援製程</v>
      </c>
      <c r="X43" s="22"/>
      <c r="Y43" s="22"/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 t="s">
        <v>338</v>
      </c>
      <c r="B44" s="22" t="s">
        <v>127</v>
      </c>
      <c r="C44" s="22" t="s">
        <v>308</v>
      </c>
      <c r="D44" s="22" t="s">
        <v>149</v>
      </c>
      <c r="E44" s="22" t="s">
        <v>152</v>
      </c>
      <c r="F44" s="23">
        <v>3</v>
      </c>
      <c r="G44" s="23" t="s">
        <v>78</v>
      </c>
      <c r="H44" s="24">
        <v>600</v>
      </c>
      <c r="I44" s="25"/>
      <c r="J44" s="25"/>
      <c r="K44" s="25" t="s">
        <v>76</v>
      </c>
      <c r="L44" s="25"/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>
        <f t="shared" si="3"/>
        <v>1.0</v>
      </c>
      <c xmlns="http://schemas.openxmlformats.org/spreadsheetml/2006/main" r="V44" s="22" t="str">
        <f t="shared" si="4"/>
        <v>▲ 單一設備依賴</v>
      </c>
      <c xmlns="http://schemas.openxmlformats.org/spreadsheetml/2006/main" r="W44" s="18" t="str">
        <f t="shared" si="5"/>
        <v>僅依賴1台設備，須確認故障/排修時之備援製程</v>
      </c>
      <c r="X44" s="22"/>
      <c r="Y44" s="22"/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 t="s">
        <v>338</v>
      </c>
      <c r="B45" s="22" t="s">
        <v>127</v>
      </c>
      <c r="C45" s="22" t="s">
        <v>308</v>
      </c>
      <c r="D45" s="22" t="s">
        <v>149</v>
      </c>
      <c r="E45" s="22" t="s">
        <v>153</v>
      </c>
      <c r="F45" s="23">
        <v>2</v>
      </c>
      <c r="G45" s="23" t="s">
        <v>75</v>
      </c>
      <c r="H45" s="24">
        <v>59</v>
      </c>
      <c r="I45" s="25"/>
      <c r="J45" s="25"/>
      <c r="K45" s="25"/>
      <c r="L45" s="25"/>
      <c r="M45" s="25"/>
      <c r="N45" s="25"/>
      <c r="O45" s="25" t="s">
        <v>76</v>
      </c>
      <c r="P45" s="25"/>
      <c r="Q45" s="25"/>
      <c r="R45" s="25"/>
      <c r="S45" s="25"/>
      <c r="T45" s="26"/>
      <c xmlns="http://schemas.openxmlformats.org/spreadsheetml/2006/main" r="U45" s="23">
        <f t="shared" si="3"/>
        <v>1.0</v>
      </c>
      <c xmlns="http://schemas.openxmlformats.org/spreadsheetml/2006/main" r="V45" s="22" t="str">
        <f t="shared" si="4"/>
        <v>▲ 單一設備依賴</v>
      </c>
      <c xmlns="http://schemas.openxmlformats.org/spreadsheetml/2006/main" r="W45" s="18" t="str">
        <f t="shared" si="5"/>
        <v>僅依賴1台設備，須確認故障/排修時之備援製程</v>
      </c>
      <c r="X45" s="22"/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 t="s">
        <v>338</v>
      </c>
      <c r="B46" s="22" t="s">
        <v>127</v>
      </c>
      <c r="C46" s="22" t="s">
        <v>308</v>
      </c>
      <c r="D46" s="22" t="inlineStr">
        <is>
          <t>青醬蛤蜊義大利麵RN</t>
        </is>
      </c>
      <c r="E46" s="22" t="s">
        <v>189</v>
      </c>
      <c r="F46" s="23">
        <v>220</v>
      </c>
      <c r="G46" s="23" t="s">
        <v>75</v>
      </c>
      <c r="H46" s="24">
        <v>235</v>
      </c>
      <c r="I46" s="25"/>
      <c r="J46" s="25" t="s">
        <v>76</v>
      </c>
      <c r="K46" s="25"/>
      <c r="L46" s="25"/>
      <c r="M46" s="25"/>
      <c r="N46" s="25"/>
      <c r="O46" s="25"/>
      <c r="P46" s="25"/>
      <c r="Q46" s="25"/>
      <c r="R46" s="25"/>
      <c r="S46" s="25"/>
      <c r="T46" s="26"/>
      <c xmlns="http://schemas.openxmlformats.org/spreadsheetml/2006/main" r="U46" s="23">
        <f t="shared" si="3"/>
        <v>1.0</v>
      </c>
      <c xmlns="http://schemas.openxmlformats.org/spreadsheetml/2006/main" r="V46" s="22" t="str">
        <f t="shared" si="4"/>
        <v>▲ 單一設備依賴</v>
      </c>
      <c xmlns="http://schemas.openxmlformats.org/spreadsheetml/2006/main" r="W46" s="18" t="str">
        <f t="shared" si="5"/>
        <v>僅依賴1台設備，須確認故障/排修時之備援製程</v>
      </c>
      <c r="X46" s="22"/>
      <c r="Y46" s="22"/>
      <c xmlns="http://schemas.openxmlformats.org/spreadsheetml/2006/main" r="Z46">
        <f>IF($D46="",0,IF(COUNTIF($D$5:$D46,$D46)=1,1,0))</f>
        <v>1.0</v>
      </c>
      <c xmlns="http://schemas.openxmlformats.org/spreadsheetml/2006/main" r="AA46">
        <f>IF(Z46=1,SUM($Z$5:$Z46),"")</f>
        <v>8.0</v>
      </c>
    </row>
    <row r="47" spans="1:27">
      <c r="A47" s="22" t="s">
        <v>338</v>
      </c>
      <c r="B47" s="22" t="s">
        <v>127</v>
      </c>
      <c r="C47" s="22" t="s">
        <v>308</v>
      </c>
      <c r="D47" s="22" t="inlineStr">
        <is>
          <t>青醬蛤蜊義大利麵RN</t>
        </is>
      </c>
      <c r="E47" s="22" t="s">
        <v>190</v>
      </c>
      <c r="F47" s="23">
        <v>90</v>
      </c>
      <c r="G47" s="23" t="s">
        <v>75</v>
      </c>
      <c r="H47" s="24">
        <v>68</v>
      </c>
      <c r="I47" s="25"/>
      <c r="J47" s="25"/>
      <c r="K47" s="25"/>
      <c r="L47" s="25"/>
      <c r="M47" s="25"/>
      <c r="N47" s="25"/>
      <c r="O47" s="25" t="s">
        <v>76</v>
      </c>
      <c r="P47" s="25"/>
      <c r="Q47" s="25"/>
      <c r="R47" s="25"/>
      <c r="S47" s="25"/>
      <c r="T47" s="26"/>
      <c xmlns="http://schemas.openxmlformats.org/spreadsheetml/2006/main" r="U47" s="23">
        <f t="shared" si="0"/>
        <v>1.0</v>
      </c>
      <c xmlns="http://schemas.openxmlformats.org/spreadsheetml/2006/main" r="V47" s="22" t="str">
        <f t="shared" si="1"/>
        <v>▲ 單一設備依賴</v>
      </c>
      <c xmlns="http://schemas.openxmlformats.org/spreadsheetml/2006/main" r="W47" s="18" t="str">
        <f t="shared" si="2"/>
        <v>僅依賴1台設備，須確認故障/排修時之備援製程</v>
      </c>
      <c r="X47" s="22"/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 t="s">
        <v>338</v>
      </c>
      <c r="B48" s="22" t="s">
        <v>127</v>
      </c>
      <c r="C48" s="22" t="s">
        <v>308</v>
      </c>
      <c r="D48" s="22" t="inlineStr">
        <is>
          <t>青醬蛤蜊義大利麵RN</t>
        </is>
      </c>
      <c r="E48" s="22" t="s">
        <v>191</v>
      </c>
      <c r="F48" s="23">
        <v>26</v>
      </c>
      <c r="G48" s="23" t="s">
        <v>75</v>
      </c>
      <c r="H48" s="24">
        <v>39</v>
      </c>
      <c r="I48" s="25"/>
      <c r="J48" s="25"/>
      <c r="K48" s="25"/>
      <c r="L48" s="25"/>
      <c r="M48" s="25" t="s">
        <v>76</v>
      </c>
      <c r="N48" s="25"/>
      <c r="O48" s="25"/>
      <c r="P48" s="25"/>
      <c r="Q48" s="25"/>
      <c r="R48" s="25"/>
      <c r="S48" s="25"/>
      <c r="T48" s="26"/>
      <c xmlns="http://schemas.openxmlformats.org/spreadsheetml/2006/main" r="U48" s="23">
        <f t="shared" si="0"/>
        <v>1.0</v>
      </c>
      <c xmlns="http://schemas.openxmlformats.org/spreadsheetml/2006/main" r="V48" s="22" t="str">
        <f t="shared" si="1"/>
        <v>▲ 單一設備依賴</v>
      </c>
      <c xmlns="http://schemas.openxmlformats.org/spreadsheetml/2006/main" r="W48" s="18" t="str">
        <f t="shared" si="2"/>
        <v>僅依賴1台設備，須確認故障/排修時之備援製程</v>
      </c>
      <c r="X48" s="22"/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 t="s">
        <v>338</v>
      </c>
      <c r="B49" s="22" t="s">
        <v>127</v>
      </c>
      <c r="C49" s="22" t="s">
        <v>308</v>
      </c>
      <c r="D49" s="22" t="inlineStr">
        <is>
          <t>青醬蛤蜊義大利麵RN</t>
        </is>
      </c>
      <c r="E49" s="22" t="s">
        <v>148</v>
      </c>
      <c r="F49" s="23">
        <v>3</v>
      </c>
      <c r="G49" s="23" t="s">
        <v>75</v>
      </c>
      <c r="H49" s="24">
        <v>100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 t="s">
        <v>76</v>
      </c>
      <c xmlns="http://schemas.openxmlformats.org/spreadsheetml/2006/main" r="U49" s="23">
        <f t="shared" si="0"/>
        <v>0.0</v>
      </c>
      <c xmlns="http://schemas.openxmlformats.org/spreadsheetml/2006/main" r="V49" s="22" t="str">
        <f t="shared" si="1"/>
        <v>○ 免調理</v>
      </c>
      <c xmlns="http://schemas.openxmlformats.org/spreadsheetml/2006/main" r="W49" s="18" t="str">
        <f t="shared" si="2"/>
        <v>免調理半成品（外購/僅切配等），不列入設備風險評估</v>
      </c>
      <c r="X49" s="22"/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 t="s">
        <v>338</v>
      </c>
      <c r="B50" s="22" t="s">
        <v>127</v>
      </c>
      <c r="C50" s="22" t="s">
        <v>308</v>
      </c>
      <c r="D50" s="22" t="s">
        <v>192</v>
      </c>
      <c r="E50" s="22" t="s">
        <v>154</v>
      </c>
      <c r="F50" s="23">
        <v>220</v>
      </c>
      <c r="G50" s="23" t="s">
        <v>75</v>
      </c>
      <c r="H50" s="24">
        <v>243</v>
      </c>
      <c r="I50" s="25"/>
      <c r="J50" s="25" t="s">
        <v>76</v>
      </c>
      <c r="K50" s="25"/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>
        <f t="shared" si="0"/>
        <v>1.0</v>
      </c>
      <c xmlns="http://schemas.openxmlformats.org/spreadsheetml/2006/main" r="V50" s="22" t="str">
        <f t="shared" si="1"/>
        <v>▲ 單一設備依賴</v>
      </c>
      <c xmlns="http://schemas.openxmlformats.org/spreadsheetml/2006/main" r="W50" s="18" t="str">
        <f t="shared" si="2"/>
        <v>僅依賴1台設備，須確認故障/排修時之備援製程</v>
      </c>
      <c r="X50" s="22"/>
      <c r="Y50" s="22"/>
      <c xmlns="http://schemas.openxmlformats.org/spreadsheetml/2006/main" r="Z50">
        <f>IF($D50="",0,IF(COUNTIF($D$5:$D50,$D50)=1,1,0))</f>
        <v>1.0</v>
      </c>
      <c xmlns="http://schemas.openxmlformats.org/spreadsheetml/2006/main" r="AA50">
        <f>IF(Z50=1,SUM($Z$5:$Z50),"")</f>
        <v>9.0</v>
      </c>
    </row>
    <row r="51" spans="1:27">
      <c r="A51" s="22" t="s">
        <v>338</v>
      </c>
      <c r="B51" s="22" t="s">
        <v>127</v>
      </c>
      <c r="C51" s="22" t="s">
        <v>308</v>
      </c>
      <c r="D51" s="22" t="s">
        <v>192</v>
      </c>
      <c r="E51" s="22" t="s">
        <v>145</v>
      </c>
      <c r="F51" s="23">
        <v>55</v>
      </c>
      <c r="G51" s="23" t="s">
        <v>75</v>
      </c>
      <c r="H51" s="24">
        <v>76</v>
      </c>
      <c r="I51" s="25"/>
      <c r="J51" s="25"/>
      <c r="K51" s="25"/>
      <c r="L51" s="25"/>
      <c r="M51" s="25"/>
      <c r="N51" s="25"/>
      <c r="O51" s="25" t="s">
        <v>76</v>
      </c>
      <c r="P51" s="25"/>
      <c r="Q51" s="25"/>
      <c r="R51" s="25"/>
      <c r="S51" s="25"/>
      <c r="T51" s="26"/>
      <c xmlns="http://schemas.openxmlformats.org/spreadsheetml/2006/main" r="U51" s="23">
        <f t="shared" si="0"/>
        <v>1.0</v>
      </c>
      <c xmlns="http://schemas.openxmlformats.org/spreadsheetml/2006/main" r="V51" s="22" t="str">
        <f t="shared" si="1"/>
        <v>▲ 單一設備依賴</v>
      </c>
      <c xmlns="http://schemas.openxmlformats.org/spreadsheetml/2006/main" r="W51" s="18" t="str">
        <f t="shared" si="2"/>
        <v>僅依賴1台設備，須確認故障/排修時之備援製程</v>
      </c>
      <c r="X51" s="22"/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 t="s">
        <v>338</v>
      </c>
      <c r="B52" s="22" t="s">
        <v>127</v>
      </c>
      <c r="C52" s="22" t="s">
        <v>308</v>
      </c>
      <c r="D52" s="22" t="s">
        <v>192</v>
      </c>
      <c r="E52" s="22" t="s">
        <v>193</v>
      </c>
      <c r="F52" s="23">
        <v>10</v>
      </c>
      <c r="G52" s="23" t="s">
        <v>75</v>
      </c>
      <c r="H52" s="24">
        <v>75</v>
      </c>
      <c r="I52" s="25"/>
      <c r="J52" s="25"/>
      <c r="K52" s="25"/>
      <c r="L52" s="25"/>
      <c r="M52" s="25"/>
      <c r="N52" s="25"/>
      <c r="O52" s="25" t="s">
        <v>76</v>
      </c>
      <c r="P52" s="25"/>
      <c r="Q52" s="25"/>
      <c r="R52" s="25"/>
      <c r="S52" s="25"/>
      <c r="T52" s="26"/>
      <c xmlns="http://schemas.openxmlformats.org/spreadsheetml/2006/main" r="U52" s="23">
        <f t="shared" si="0"/>
        <v>1.0</v>
      </c>
      <c xmlns="http://schemas.openxmlformats.org/spreadsheetml/2006/main" r="V52" s="22" t="str">
        <f t="shared" si="1"/>
        <v>▲ 單一設備依賴</v>
      </c>
      <c xmlns="http://schemas.openxmlformats.org/spreadsheetml/2006/main" r="W52" s="18" t="str">
        <f t="shared" si="2"/>
        <v>僅依賴1台設備，須確認故障/排修時之備援製程</v>
      </c>
      <c r="X52" s="22"/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 t="s">
        <v>338</v>
      </c>
      <c r="B53" s="22" t="s">
        <v>127</v>
      </c>
      <c r="C53" s="22" t="s">
        <v>308</v>
      </c>
      <c r="D53" s="22" t="s">
        <v>192</v>
      </c>
      <c r="E53" s="22" t="s">
        <v>142</v>
      </c>
      <c r="F53" s="23">
        <v>10</v>
      </c>
      <c r="G53" s="23" t="s">
        <v>75</v>
      </c>
      <c r="H53" s="24">
        <v>100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 t="s">
        <v>76</v>
      </c>
      <c xmlns="http://schemas.openxmlformats.org/spreadsheetml/2006/main" r="U53" s="23">
        <f t="shared" si="0"/>
        <v>0.0</v>
      </c>
      <c xmlns="http://schemas.openxmlformats.org/spreadsheetml/2006/main" r="V53" s="22" t="str">
        <f t="shared" si="1"/>
        <v>○ 免調理</v>
      </c>
      <c xmlns="http://schemas.openxmlformats.org/spreadsheetml/2006/main" r="W53" s="18" t="str">
        <f t="shared" si="2"/>
        <v>免調理半成品（外購/僅切配等），不列入設備風險評估</v>
      </c>
      <c r="X53" s="22"/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 t="s">
        <v>338</v>
      </c>
      <c r="B54" s="22" t="s">
        <v>127</v>
      </c>
      <c r="C54" s="22" t="s">
        <v>308</v>
      </c>
      <c r="D54" s="22" t="s">
        <v>192</v>
      </c>
      <c r="E54" s="22" t="s">
        <v>194</v>
      </c>
      <c r="F54" s="23">
        <v>60</v>
      </c>
      <c r="G54" s="23" t="s">
        <v>78</v>
      </c>
      <c r="H54" s="24">
        <v>100</v>
      </c>
      <c r="I54" s="25"/>
      <c r="J54" s="25"/>
      <c r="K54" s="25" t="s">
        <v>76</v>
      </c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>
        <f t="shared" si="0"/>
        <v>1.0</v>
      </c>
      <c xmlns="http://schemas.openxmlformats.org/spreadsheetml/2006/main" r="V54" s="22" t="str">
        <f t="shared" si="1"/>
        <v>▲ 單一設備依賴</v>
      </c>
      <c xmlns="http://schemas.openxmlformats.org/spreadsheetml/2006/main" r="W54" s="18" t="str">
        <f t="shared" si="2"/>
        <v>僅依賴1台設備，須確認故障/排修時之備援製程</v>
      </c>
      <c r="X54" s="22"/>
      <c r="Y54" s="22"/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 t="s">
        <v>338</v>
      </c>
      <c r="B55" s="22" t="s">
        <v>127</v>
      </c>
      <c r="C55" s="22" t="s">
        <v>308</v>
      </c>
      <c r="D55" s="22" t="s">
        <v>192</v>
      </c>
      <c r="E55" s="22" t="s">
        <v>147</v>
      </c>
      <c r="F55" s="23">
        <v>0.1</v>
      </c>
      <c r="G55" s="23" t="s">
        <v>75</v>
      </c>
      <c r="H55" s="24">
        <v>100</v>
      </c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 t="s">
        <v>76</v>
      </c>
      <c xmlns="http://schemas.openxmlformats.org/spreadsheetml/2006/main" r="U55" s="23">
        <f t="shared" si="0"/>
        <v>0.0</v>
      </c>
      <c xmlns="http://schemas.openxmlformats.org/spreadsheetml/2006/main" r="V55" s="22" t="str">
        <f t="shared" si="1"/>
        <v>○ 免調理</v>
      </c>
      <c xmlns="http://schemas.openxmlformats.org/spreadsheetml/2006/main" r="W55" s="18" t="str">
        <f t="shared" si="2"/>
        <v>免調理半成品（外購/僅切配等），不列入設備風險評估</v>
      </c>
      <c r="X55" s="22"/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 t="s">
        <v>338</v>
      </c>
      <c r="B56" s="22" t="s">
        <v>127</v>
      </c>
      <c r="C56" s="22" t="s">
        <v>308</v>
      </c>
      <c r="D56" s="22" t="s">
        <v>137</v>
      </c>
      <c r="E56" s="22" t="s">
        <v>195</v>
      </c>
      <c r="F56" s="23">
        <v>200</v>
      </c>
      <c r="G56" s="23" t="s">
        <v>75</v>
      </c>
      <c r="H56" s="24">
        <v>170</v>
      </c>
      <c r="I56" s="25"/>
      <c r="J56" s="25" t="s">
        <v>76</v>
      </c>
      <c r="K56" s="25"/>
      <c r="L56" s="25"/>
      <c r="M56" s="25"/>
      <c r="N56" s="25"/>
      <c r="O56" s="25"/>
      <c r="P56" s="25"/>
      <c r="Q56" s="25"/>
      <c r="R56" s="25"/>
      <c r="S56" s="25"/>
      <c r="T56" s="26"/>
      <c xmlns="http://schemas.openxmlformats.org/spreadsheetml/2006/main" r="U56" s="23">
        <f t="shared" si="0"/>
        <v>1.0</v>
      </c>
      <c xmlns="http://schemas.openxmlformats.org/spreadsheetml/2006/main" r="V56" s="22" t="str">
        <f t="shared" si="1"/>
        <v>▲ 單一設備依賴</v>
      </c>
      <c xmlns="http://schemas.openxmlformats.org/spreadsheetml/2006/main" r="W56" s="18" t="str">
        <f t="shared" si="2"/>
        <v>僅依賴1台設備，須確認故障/排修時之備援製程</v>
      </c>
      <c r="X56" s="22"/>
      <c r="Y56" s="22"/>
      <c xmlns="http://schemas.openxmlformats.org/spreadsheetml/2006/main" r="Z56">
        <f>IF($D56="",0,IF(COUNTIF($D$5:$D56,$D56)=1,1,0))</f>
        <v>1.0</v>
      </c>
      <c xmlns="http://schemas.openxmlformats.org/spreadsheetml/2006/main" r="AA56">
        <f>IF(Z56=1,SUM($Z$5:$Z56),"")</f>
        <v>10.0</v>
      </c>
    </row>
    <row r="57" spans="1:27">
      <c r="A57" s="22" t="s">
        <v>338</v>
      </c>
      <c r="B57" s="22" t="s">
        <v>127</v>
      </c>
      <c r="C57" s="22" t="s">
        <v>308</v>
      </c>
      <c r="D57" s="22" t="s">
        <v>137</v>
      </c>
      <c r="E57" s="22" t="s">
        <v>138</v>
      </c>
      <c r="F57" s="23">
        <v>120</v>
      </c>
      <c r="G57" s="23" t="s">
        <v>75</v>
      </c>
      <c r="H57" s="24">
        <v>50</v>
      </c>
      <c r="I57" s="25"/>
      <c r="J57" s="25"/>
      <c r="K57" s="25"/>
      <c r="L57" s="25"/>
      <c r="M57" s="25"/>
      <c r="N57" s="25"/>
      <c r="O57" s="25" t="s">
        <v>76</v>
      </c>
      <c r="P57" s="25"/>
      <c r="Q57" s="25"/>
      <c r="R57" s="25"/>
      <c r="S57" s="25"/>
      <c r="T57" s="26"/>
      <c xmlns="http://schemas.openxmlformats.org/spreadsheetml/2006/main" r="U57" s="23">
        <f t="shared" ref="U57:U120" si="6">IF($E57="","",COUNTIF($I57:$S57,"V"))</f>
        <v>1.0</v>
      </c>
      <c xmlns="http://schemas.openxmlformats.org/spreadsheetml/2006/main" r="V57" s="22" t="str">
        <f t="shared" ref="V57:V120" si="7">IF($E57="","",IF(AND($T57="V",$U57&gt;0),"⚠ 勾選矛盾",IF($T57="V","○ 免調理",IF($U57=0,"⚠ 資料缺漏",IF($U57=1,"▲ 單一設備依賴","OK")))))</f>
        <v>▲ 單一設備依賴</v>
      </c>
      <c xmlns="http://schemas.openxmlformats.org/spreadsheetml/2006/main" r="W57" s="18" t="str">
        <f t="shared" ref="W57:W120" si="8">IF($E57="","",IF(AND($T57="V",$U57&gt;0),"「無使用調理設備」不可與設備欄同時勾選，請擇一修正",IF($T57="V","免調理半成品（外購/僅切配等），不列入設備風險評估",IF($U57=0,"未勾選任何設備，請補填或勾選「無使用調理設備」",IF($U57=1,"僅依賴1台設備，須確認故障/排修時之備援製程","無異常")))))</f>
        <v>僅依賴1台設備，須確認故障/排修時之備援製程</v>
      </c>
      <c r="X57" s="22"/>
      <c r="Y57" s="22"/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 t="s">
        <v>338</v>
      </c>
      <c r="B58" s="22" t="s">
        <v>127</v>
      </c>
      <c r="C58" s="22" t="s">
        <v>308</v>
      </c>
      <c r="D58" s="22" t="s">
        <v>137</v>
      </c>
      <c r="E58" s="22" t="s">
        <v>142</v>
      </c>
      <c r="F58" s="23">
        <v>28</v>
      </c>
      <c r="G58" s="23" t="s">
        <v>75</v>
      </c>
      <c r="H58" s="24">
        <v>100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 t="s">
        <v>76</v>
      </c>
      <c xmlns="http://schemas.openxmlformats.org/spreadsheetml/2006/main" r="U58" s="23">
        <f t="shared" si="6"/>
        <v>0.0</v>
      </c>
      <c xmlns="http://schemas.openxmlformats.org/spreadsheetml/2006/main" r="V58" s="22" t="str">
        <f t="shared" si="7"/>
        <v>○ 免調理</v>
      </c>
      <c xmlns="http://schemas.openxmlformats.org/spreadsheetml/2006/main" r="W58" s="18" t="str">
        <f t="shared" si="8"/>
        <v>免調理半成品（外購/僅切配等），不列入設備風險評估</v>
      </c>
      <c r="X58" s="22"/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 t="s">
        <v>338</v>
      </c>
      <c r="B59" s="22" t="s">
        <v>127</v>
      </c>
      <c r="C59" s="22" t="s">
        <v>308</v>
      </c>
      <c r="D59" s="22" t="s">
        <v>137</v>
      </c>
      <c r="E59" s="22" t="s">
        <v>196</v>
      </c>
      <c r="F59" s="23">
        <v>12</v>
      </c>
      <c r="G59" s="23" t="s">
        <v>75</v>
      </c>
      <c r="H59" s="24">
        <v>93</v>
      </c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 t="s">
        <v>76</v>
      </c>
      <c xmlns="http://schemas.openxmlformats.org/spreadsheetml/2006/main" r="U59" s="23">
        <f t="shared" si="6"/>
        <v>0.0</v>
      </c>
      <c xmlns="http://schemas.openxmlformats.org/spreadsheetml/2006/main" r="V59" s="22" t="str">
        <f t="shared" si="7"/>
        <v>○ 免調理</v>
      </c>
      <c xmlns="http://schemas.openxmlformats.org/spreadsheetml/2006/main" r="W59" s="18" t="str">
        <f t="shared" si="8"/>
        <v>免調理半成品（外購/僅切配等），不列入設備風險評估</v>
      </c>
      <c r="X59" s="22"/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 t="s">
        <v>338</v>
      </c>
      <c r="B60" s="22" t="s">
        <v>127</v>
      </c>
      <c r="C60" s="22" t="s">
        <v>308</v>
      </c>
      <c r="D60" s="22" t="s">
        <v>137</v>
      </c>
      <c r="E60" s="22" t="s">
        <v>197</v>
      </c>
      <c r="F60" s="23">
        <v>10</v>
      </c>
      <c r="G60" s="23" t="s">
        <v>75</v>
      </c>
      <c r="H60" s="24">
        <v>58</v>
      </c>
      <c r="I60" s="25"/>
      <c r="J60" s="25"/>
      <c r="K60" s="25" t="s">
        <v>76</v>
      </c>
      <c r="L60" s="25"/>
      <c r="M60" s="25"/>
      <c r="N60" s="25"/>
      <c r="O60" s="25"/>
      <c r="P60" s="25"/>
      <c r="Q60" s="25"/>
      <c r="R60" s="25"/>
      <c r="S60" s="25"/>
      <c r="T60" s="26"/>
      <c xmlns="http://schemas.openxmlformats.org/spreadsheetml/2006/main" r="U60" s="23">
        <f t="shared" si="6"/>
        <v>1.0</v>
      </c>
      <c xmlns="http://schemas.openxmlformats.org/spreadsheetml/2006/main" r="V60" s="22" t="str">
        <f t="shared" si="7"/>
        <v>▲ 單一設備依賴</v>
      </c>
      <c xmlns="http://schemas.openxmlformats.org/spreadsheetml/2006/main" r="W60" s="18" t="str">
        <f t="shared" si="8"/>
        <v>僅依賴1台設備，須確認故障/排修時之備援製程</v>
      </c>
      <c r="X60" s="22"/>
      <c r="Y60" s="22"/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 t="s">
        <v>338</v>
      </c>
      <c r="B61" s="22" t="s">
        <v>127</v>
      </c>
      <c r="C61" s="22" t="s">
        <v>308</v>
      </c>
      <c r="D61" s="22" t="s">
        <v>137</v>
      </c>
      <c r="E61" s="22" t="s">
        <v>139</v>
      </c>
      <c r="F61" s="23">
        <v>0.2</v>
      </c>
      <c r="G61" s="23" t="s">
        <v>75</v>
      </c>
      <c r="H61" s="24">
        <v>99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 t="s">
        <v>76</v>
      </c>
      <c xmlns="http://schemas.openxmlformats.org/spreadsheetml/2006/main" r="U61" s="23">
        <f t="shared" si="6"/>
        <v>0.0</v>
      </c>
      <c xmlns="http://schemas.openxmlformats.org/spreadsheetml/2006/main" r="V61" s="22" t="str">
        <f t="shared" si="7"/>
        <v>○ 免調理</v>
      </c>
      <c xmlns="http://schemas.openxmlformats.org/spreadsheetml/2006/main" r="W61" s="18" t="str">
        <f t="shared" si="8"/>
        <v>免調理半成品（外購/僅切配等），不列入設備風險評估</v>
      </c>
      <c r="X61" s="22"/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 t="s">
        <v>338</v>
      </c>
      <c r="B62" s="22" t="s">
        <v>127</v>
      </c>
      <c r="C62" s="22" t="s">
        <v>308</v>
      </c>
      <c r="D62" s="22" t="s">
        <v>137</v>
      </c>
      <c r="E62" s="22" t="s">
        <v>198</v>
      </c>
      <c r="F62" s="23">
        <v>12</v>
      </c>
      <c r="G62" s="23" t="s">
        <v>75</v>
      </c>
      <c r="H62" s="24">
        <v>65</v>
      </c>
      <c r="I62" s="25"/>
      <c r="J62" s="25"/>
      <c r="K62" s="25" t="s">
        <v>76</v>
      </c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>
        <f t="shared" si="6"/>
        <v>1.0</v>
      </c>
      <c xmlns="http://schemas.openxmlformats.org/spreadsheetml/2006/main" r="V62" s="22" t="str">
        <f t="shared" si="7"/>
        <v>▲ 單一設備依賴</v>
      </c>
      <c xmlns="http://schemas.openxmlformats.org/spreadsheetml/2006/main" r="W62" s="18" t="str">
        <f t="shared" si="8"/>
        <v>僅依賴1台設備，須確認故障/排修時之備援製程</v>
      </c>
      <c r="X62" s="22"/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 t="s">
        <v>337</v>
      </c>
      <c r="B63" s="22" t="s">
        <v>127</v>
      </c>
      <c r="C63" s="22" t="s">
        <v>308</v>
      </c>
      <c r="D63" s="22" t="s">
        <v>333</v>
      </c>
      <c r="E63" s="22" t="s">
        <v>154</v>
      </c>
      <c r="F63" s="23">
        <v>180</v>
      </c>
      <c r="G63" s="23" t="s">
        <v>75</v>
      </c>
      <c r="H63" s="24">
        <v>229</v>
      </c>
      <c r="I63" s="25"/>
      <c r="J63" s="25" t="s">
        <v>76</v>
      </c>
      <c r="K63" s="25"/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>
        <f t="shared" si="6"/>
        <v>1.0</v>
      </c>
      <c xmlns="http://schemas.openxmlformats.org/spreadsheetml/2006/main" r="V63" s="22" t="str">
        <f t="shared" si="7"/>
        <v>▲ 單一設備依賴</v>
      </c>
      <c xmlns="http://schemas.openxmlformats.org/spreadsheetml/2006/main" r="W63" s="18" t="str">
        <f t="shared" si="8"/>
        <v>僅依賴1台設備，須確認故障/排修時之備援製程</v>
      </c>
      <c r="X63" s="22"/>
      <c r="Y63" s="22"/>
      <c xmlns="http://schemas.openxmlformats.org/spreadsheetml/2006/main" r="Z63">
        <f>IF($D63="",0,IF(COUNTIF($D$5:$D63,$D63)=1,1,0))</f>
        <v>1.0</v>
      </c>
      <c xmlns="http://schemas.openxmlformats.org/spreadsheetml/2006/main" r="AA63">
        <f>IF(Z63=1,SUM($Z$5:$Z63),"")</f>
        <v>11.0</v>
      </c>
    </row>
    <row r="64" spans="1:27">
      <c r="A64" s="22" t="s">
        <v>337</v>
      </c>
      <c r="B64" s="22" t="s">
        <v>127</v>
      </c>
      <c r="C64" s="22" t="s">
        <v>308</v>
      </c>
      <c r="D64" s="22" t="s">
        <v>333</v>
      </c>
      <c r="E64" s="22" t="s">
        <v>199</v>
      </c>
      <c r="F64" s="23">
        <v>110</v>
      </c>
      <c r="G64" s="23" t="s">
        <v>75</v>
      </c>
      <c r="H64" s="24">
        <v>84</v>
      </c>
      <c r="I64" s="25"/>
      <c r="J64" s="25"/>
      <c r="K64" s="25"/>
      <c r="L64" s="25"/>
      <c r="M64" s="25"/>
      <c r="N64" s="25"/>
      <c r="O64" s="25" t="s">
        <v>76</v>
      </c>
      <c r="P64" s="25"/>
      <c r="Q64" s="25"/>
      <c r="R64" s="25"/>
      <c r="S64" s="25"/>
      <c r="T64" s="26"/>
      <c xmlns="http://schemas.openxmlformats.org/spreadsheetml/2006/main" r="U64" s="23">
        <f t="shared" si="6"/>
        <v>1.0</v>
      </c>
      <c xmlns="http://schemas.openxmlformats.org/spreadsheetml/2006/main" r="V64" s="22" t="str">
        <f t="shared" si="7"/>
        <v>▲ 單一設備依賴</v>
      </c>
      <c xmlns="http://schemas.openxmlformats.org/spreadsheetml/2006/main" r="W64" s="18" t="str">
        <f t="shared" si="8"/>
        <v>僅依賴1台設備，須確認故障/排修時之備援製程</v>
      </c>
      <c r="X64" s="22"/>
      <c r="Y64" s="22"/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 t="s">
        <v>337</v>
      </c>
      <c r="B65" s="22" t="s">
        <v>127</v>
      </c>
      <c r="C65" s="22" t="s">
        <v>308</v>
      </c>
      <c r="D65" s="22" t="s">
        <v>333</v>
      </c>
      <c r="E65" s="22" t="s">
        <v>200</v>
      </c>
      <c r="F65" s="23">
        <v>20</v>
      </c>
      <c r="G65" s="23" t="s">
        <v>75</v>
      </c>
      <c r="H65" s="24">
        <v>68</v>
      </c>
      <c r="I65" s="25"/>
      <c r="J65" s="25"/>
      <c r="K65" s="25"/>
      <c r="L65" s="25"/>
      <c r="M65" s="25"/>
      <c r="N65" s="25"/>
      <c r="O65" s="25" t="s">
        <v>76</v>
      </c>
      <c r="P65" s="25"/>
      <c r="Q65" s="25"/>
      <c r="R65" s="25"/>
      <c r="S65" s="25"/>
      <c r="T65" s="26"/>
      <c xmlns="http://schemas.openxmlformats.org/spreadsheetml/2006/main" r="U65" s="23">
        <f t="shared" si="6"/>
        <v>1.0</v>
      </c>
      <c xmlns="http://schemas.openxmlformats.org/spreadsheetml/2006/main" r="V65" s="22" t="str">
        <f t="shared" si="7"/>
        <v>▲ 單一設備依賴</v>
      </c>
      <c xmlns="http://schemas.openxmlformats.org/spreadsheetml/2006/main" r="W65" s="18" t="str">
        <f t="shared" si="8"/>
        <v>僅依賴1台設備，須確認故障/排修時之備援製程</v>
      </c>
      <c r="X65" s="22"/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 t="s">
        <v>337</v>
      </c>
      <c r="B66" s="22" t="s">
        <v>127</v>
      </c>
      <c r="C66" s="22" t="s">
        <v>308</v>
      </c>
      <c r="D66" s="22" t="s">
        <v>333</v>
      </c>
      <c r="E66" s="22" t="s">
        <v>201</v>
      </c>
      <c r="F66" s="23">
        <v>20</v>
      </c>
      <c r="G66" s="23" t="s">
        <v>75</v>
      </c>
      <c r="H66" s="24">
        <v>74</v>
      </c>
      <c r="I66" s="25"/>
      <c r="J66" s="25"/>
      <c r="K66" s="25"/>
      <c r="L66" s="25"/>
      <c r="M66" s="25"/>
      <c r="N66" s="25"/>
      <c r="O66" s="25" t="s">
        <v>76</v>
      </c>
      <c r="P66" s="25"/>
      <c r="Q66" s="25"/>
      <c r="R66" s="25"/>
      <c r="S66" s="25"/>
      <c r="T66" s="26"/>
      <c xmlns="http://schemas.openxmlformats.org/spreadsheetml/2006/main" r="U66" s="23">
        <f t="shared" si="6"/>
        <v>1.0</v>
      </c>
      <c xmlns="http://schemas.openxmlformats.org/spreadsheetml/2006/main" r="V66" s="22" t="str">
        <f t="shared" si="7"/>
        <v>▲ 單一設備依賴</v>
      </c>
      <c xmlns="http://schemas.openxmlformats.org/spreadsheetml/2006/main" r="W66" s="18" t="str">
        <f t="shared" si="8"/>
        <v>僅依賴1台設備，須確認故障/排修時之備援製程</v>
      </c>
      <c r="X66" s="22"/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 t="s">
        <v>337</v>
      </c>
      <c r="B67" s="22" t="s">
        <v>127</v>
      </c>
      <c r="C67" s="22" t="s">
        <v>308</v>
      </c>
      <c r="D67" s="22" t="s">
        <v>333</v>
      </c>
      <c r="E67" s="22" t="s">
        <v>202</v>
      </c>
      <c r="F67" s="23">
        <v>7</v>
      </c>
      <c r="G67" s="23" t="s">
        <v>75</v>
      </c>
      <c r="H67" s="24">
        <v>79</v>
      </c>
      <c r="I67" s="25"/>
      <c r="J67" s="25"/>
      <c r="K67" s="25"/>
      <c r="L67" s="25"/>
      <c r="M67" s="25"/>
      <c r="N67" s="25"/>
      <c r="O67" s="25" t="s">
        <v>76</v>
      </c>
      <c r="P67" s="25"/>
      <c r="Q67" s="25"/>
      <c r="R67" s="25"/>
      <c r="S67" s="25"/>
      <c r="T67" s="26"/>
      <c xmlns="http://schemas.openxmlformats.org/spreadsheetml/2006/main" r="U67" s="23">
        <f t="shared" si="6"/>
        <v>1.0</v>
      </c>
      <c xmlns="http://schemas.openxmlformats.org/spreadsheetml/2006/main" r="V67" s="22" t="str">
        <f t="shared" si="7"/>
        <v>▲ 單一設備依賴</v>
      </c>
      <c xmlns="http://schemas.openxmlformats.org/spreadsheetml/2006/main" r="W67" s="18" t="str">
        <f t="shared" si="8"/>
        <v>僅依賴1台設備，須確認故障/排修時之備援製程</v>
      </c>
      <c r="X67" s="22"/>
      <c r="Y67" s="22"/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 t="s">
        <v>337</v>
      </c>
      <c r="B68" s="22" t="s">
        <v>127</v>
      </c>
      <c r="C68" s="22" t="s">
        <v>308</v>
      </c>
      <c r="D68" s="22" t="s">
        <v>333</v>
      </c>
      <c r="E68" s="22" t="s">
        <v>203</v>
      </c>
      <c r="F68" s="23">
        <v>3</v>
      </c>
      <c r="G68" s="23" t="s">
        <v>75</v>
      </c>
      <c r="H68" s="24">
        <v>73</v>
      </c>
      <c r="I68" s="25"/>
      <c r="J68" s="25"/>
      <c r="K68" s="25"/>
      <c r="L68" s="25"/>
      <c r="M68" s="25"/>
      <c r="N68" s="25"/>
      <c r="O68" s="25" t="s">
        <v>76</v>
      </c>
      <c r="P68" s="25"/>
      <c r="Q68" s="25"/>
      <c r="R68" s="25"/>
      <c r="S68" s="25"/>
      <c r="T68" s="26"/>
      <c xmlns="http://schemas.openxmlformats.org/spreadsheetml/2006/main" r="U68" s="23">
        <f t="shared" si="6"/>
        <v>1.0</v>
      </c>
      <c xmlns="http://schemas.openxmlformats.org/spreadsheetml/2006/main" r="V68" s="22" t="str">
        <f t="shared" si="7"/>
        <v>▲ 單一設備依賴</v>
      </c>
      <c xmlns="http://schemas.openxmlformats.org/spreadsheetml/2006/main" r="W68" s="18" t="str">
        <f t="shared" si="8"/>
        <v>僅依賴1台設備，須確認故障/排修時之備援製程</v>
      </c>
      <c r="X68" s="22"/>
      <c r="Y68" s="22"/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 t="s">
        <v>337</v>
      </c>
      <c r="B69" s="22" t="s">
        <v>127</v>
      </c>
      <c r="C69" s="22" t="s">
        <v>308</v>
      </c>
      <c r="D69" s="22" t="s">
        <v>333</v>
      </c>
      <c r="E69" s="22" t="s">
        <v>204</v>
      </c>
      <c r="F69" s="23">
        <v>5</v>
      </c>
      <c r="G69" s="23" t="s">
        <v>75</v>
      </c>
      <c r="H69" s="24">
        <v>90</v>
      </c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 t="s">
        <v>76</v>
      </c>
      <c xmlns="http://schemas.openxmlformats.org/spreadsheetml/2006/main" r="U69" s="23">
        <f t="shared" si="6"/>
        <v>0.0</v>
      </c>
      <c xmlns="http://schemas.openxmlformats.org/spreadsheetml/2006/main" r="V69" s="22" t="str">
        <f t="shared" si="7"/>
        <v>○ 免調理</v>
      </c>
      <c xmlns="http://schemas.openxmlformats.org/spreadsheetml/2006/main" r="W69" s="18" t="str">
        <f t="shared" si="8"/>
        <v>免調理半成品（外購/僅切配等），不列入設備風險評估</v>
      </c>
      <c r="X69" s="22"/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 t="s">
        <v>337</v>
      </c>
      <c r="B70" s="22" t="s">
        <v>127</v>
      </c>
      <c r="C70" s="22" t="s">
        <v>308</v>
      </c>
      <c r="D70" s="22" t="s">
        <v>333</v>
      </c>
      <c r="E70" s="22" t="s">
        <v>147</v>
      </c>
      <c r="F70" s="23">
        <v>0.2</v>
      </c>
      <c r="G70" s="23" t="s">
        <v>75</v>
      </c>
      <c r="H70" s="24">
        <v>100</v>
      </c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 t="s">
        <v>76</v>
      </c>
      <c xmlns="http://schemas.openxmlformats.org/spreadsheetml/2006/main" r="U70" s="23">
        <f t="shared" si="6"/>
        <v>0.0</v>
      </c>
      <c xmlns="http://schemas.openxmlformats.org/spreadsheetml/2006/main" r="V70" s="22" t="str">
        <f t="shared" si="7"/>
        <v>○ 免調理</v>
      </c>
      <c xmlns="http://schemas.openxmlformats.org/spreadsheetml/2006/main" r="W70" s="18" t="str">
        <f t="shared" si="8"/>
        <v>免調理半成品（外購/僅切配等），不列入設備風險評估</v>
      </c>
      <c r="X70" s="22"/>
      <c r="Y70" s="22"/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 t="s">
        <v>337</v>
      </c>
      <c r="B71" s="22" t="s">
        <v>127</v>
      </c>
      <c r="C71" s="22" t="s">
        <v>308</v>
      </c>
      <c r="D71" s="22" t="s">
        <v>211</v>
      </c>
      <c r="E71" s="22" t="s">
        <v>205</v>
      </c>
      <c r="F71" s="23">
        <v>60</v>
      </c>
      <c r="G71" s="23" t="s">
        <v>75</v>
      </c>
      <c r="H71" s="24">
        <v>72</v>
      </c>
      <c r="I71" s="25"/>
      <c r="J71" s="25"/>
      <c r="K71" s="25"/>
      <c r="L71" s="25"/>
      <c r="M71" s="25"/>
      <c r="N71" s="25"/>
      <c r="O71" s="25" t="s">
        <v>76</v>
      </c>
      <c r="P71" s="25"/>
      <c r="Q71" s="25"/>
      <c r="R71" s="25"/>
      <c r="S71" s="25"/>
      <c r="T71" s="26"/>
      <c xmlns="http://schemas.openxmlformats.org/spreadsheetml/2006/main" r="U71" s="23">
        <f t="shared" si="6"/>
        <v>1.0</v>
      </c>
      <c xmlns="http://schemas.openxmlformats.org/spreadsheetml/2006/main" r="V71" s="22" t="str">
        <f t="shared" si="7"/>
        <v>▲ 單一設備依賴</v>
      </c>
      <c xmlns="http://schemas.openxmlformats.org/spreadsheetml/2006/main" r="W71" s="18" t="str">
        <f t="shared" si="8"/>
        <v>僅依賴1台設備，須確認故障/排修時之備援製程</v>
      </c>
      <c r="X71" s="22"/>
      <c r="Y71" s="22"/>
      <c xmlns="http://schemas.openxmlformats.org/spreadsheetml/2006/main" r="Z71">
        <f>IF($D71="",0,IF(COUNTIF($D$5:$D71,$D71)=1,1,0))</f>
        <v>1.0</v>
      </c>
      <c xmlns="http://schemas.openxmlformats.org/spreadsheetml/2006/main" r="AA71">
        <f>IF(Z71=1,SUM($Z$5:$Z71),"")</f>
        <v>12.0</v>
      </c>
    </row>
    <row r="72" spans="1:27">
      <c r="A72" s="22" t="s">
        <v>337</v>
      </c>
      <c r="B72" s="22" t="s">
        <v>127</v>
      </c>
      <c r="C72" s="22" t="s">
        <v>308</v>
      </c>
      <c r="D72" s="22" t="s">
        <v>211</v>
      </c>
      <c r="E72" s="22" t="s">
        <v>206</v>
      </c>
      <c r="F72" s="23">
        <v>160</v>
      </c>
      <c r="G72" s="23" t="s">
        <v>75</v>
      </c>
      <c r="H72" s="24">
        <v>90</v>
      </c>
      <c r="I72" s="25"/>
      <c r="J72" s="25" t="s">
        <v>76</v>
      </c>
      <c r="K72" s="25"/>
      <c r="L72" s="25"/>
      <c r="M72" s="25"/>
      <c r="N72" s="25"/>
      <c r="O72" s="25"/>
      <c r="P72" s="25"/>
      <c r="Q72" s="25"/>
      <c r="R72" s="25"/>
      <c r="S72" s="25"/>
      <c r="T72" s="26"/>
      <c xmlns="http://schemas.openxmlformats.org/spreadsheetml/2006/main" r="U72" s="23">
        <f t="shared" si="6"/>
        <v>1.0</v>
      </c>
      <c xmlns="http://schemas.openxmlformats.org/spreadsheetml/2006/main" r="V72" s="22" t="str">
        <f t="shared" si="7"/>
        <v>▲ 單一設備依賴</v>
      </c>
      <c xmlns="http://schemas.openxmlformats.org/spreadsheetml/2006/main" r="W72" s="18" t="str">
        <f t="shared" si="8"/>
        <v>僅依賴1台設備，須確認故障/排修時之備援製程</v>
      </c>
      <c r="X72" s="22"/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 t="s">
        <v>337</v>
      </c>
      <c r="B73" s="22" t="s">
        <v>127</v>
      </c>
      <c r="C73" s="22" t="s">
        <v>308</v>
      </c>
      <c r="D73" s="22" t="s">
        <v>211</v>
      </c>
      <c r="E73" s="22" t="s">
        <v>207</v>
      </c>
      <c r="F73" s="23">
        <v>8</v>
      </c>
      <c r="G73" s="23" t="s">
        <v>75</v>
      </c>
      <c r="H73" s="24">
        <v>90</v>
      </c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 t="s">
        <v>76</v>
      </c>
      <c xmlns="http://schemas.openxmlformats.org/spreadsheetml/2006/main" r="U73" s="23">
        <f t="shared" si="6"/>
        <v>0.0</v>
      </c>
      <c xmlns="http://schemas.openxmlformats.org/spreadsheetml/2006/main" r="V73" s="22" t="str">
        <f t="shared" si="7"/>
        <v>○ 免調理</v>
      </c>
      <c xmlns="http://schemas.openxmlformats.org/spreadsheetml/2006/main" r="W73" s="18" t="str">
        <f t="shared" si="8"/>
        <v>免調理半成品（外購/僅切配等），不列入設備風險評估</v>
      </c>
      <c r="X73" s="22"/>
      <c r="Y73" s="22"/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 t="s">
        <v>337</v>
      </c>
      <c r="B74" s="22" t="s">
        <v>127</v>
      </c>
      <c r="C74" s="22" t="s">
        <v>308</v>
      </c>
      <c r="D74" s="22" t="s">
        <v>211</v>
      </c>
      <c r="E74" s="22" t="s">
        <v>208</v>
      </c>
      <c r="F74" s="23">
        <v>8</v>
      </c>
      <c r="G74" s="23" t="s">
        <v>75</v>
      </c>
      <c r="H74" s="24">
        <v>90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 t="s">
        <v>76</v>
      </c>
      <c xmlns="http://schemas.openxmlformats.org/spreadsheetml/2006/main" r="U74" s="23">
        <f t="shared" si="6"/>
        <v>0.0</v>
      </c>
      <c xmlns="http://schemas.openxmlformats.org/spreadsheetml/2006/main" r="V74" s="22" t="str">
        <f t="shared" si="7"/>
        <v>○ 免調理</v>
      </c>
      <c xmlns="http://schemas.openxmlformats.org/spreadsheetml/2006/main" r="W74" s="18" t="str">
        <f t="shared" si="8"/>
        <v>免調理半成品（外購/僅切配等），不列入設備風險評估</v>
      </c>
      <c r="X74" s="22"/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 t="s">
        <v>337</v>
      </c>
      <c r="B75" s="22" t="s">
        <v>127</v>
      </c>
      <c r="C75" s="22" t="s">
        <v>308</v>
      </c>
      <c r="D75" s="22" t="s">
        <v>211</v>
      </c>
      <c r="E75" s="22" t="s">
        <v>209</v>
      </c>
      <c r="F75" s="23">
        <v>35</v>
      </c>
      <c r="G75" s="23" t="s">
        <v>75</v>
      </c>
      <c r="H75" s="24">
        <v>92</v>
      </c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 t="s">
        <v>76</v>
      </c>
      <c xmlns="http://schemas.openxmlformats.org/spreadsheetml/2006/main" r="U75" s="23">
        <f t="shared" si="6"/>
        <v>0.0</v>
      </c>
      <c xmlns="http://schemas.openxmlformats.org/spreadsheetml/2006/main" r="V75" s="22" t="str">
        <f t="shared" si="7"/>
        <v>○ 免調理</v>
      </c>
      <c xmlns="http://schemas.openxmlformats.org/spreadsheetml/2006/main" r="W75" s="18" t="str">
        <f t="shared" si="8"/>
        <v>免調理半成品（外購/僅切配等），不列入設備風險評估</v>
      </c>
      <c r="X75" s="22"/>
      <c r="Y75" s="22"/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 t="s">
        <v>337</v>
      </c>
      <c r="B76" s="22" t="s">
        <v>127</v>
      </c>
      <c r="C76" s="22" t="s">
        <v>308</v>
      </c>
      <c r="D76" s="22" t="s">
        <v>211</v>
      </c>
      <c r="E76" s="22" t="s">
        <v>210</v>
      </c>
      <c r="F76" s="23">
        <v>10</v>
      </c>
      <c r="G76" s="23" t="s">
        <v>75</v>
      </c>
      <c r="H76" s="24">
        <v>68</v>
      </c>
      <c r="I76" s="25"/>
      <c r="J76" s="25"/>
      <c r="K76" s="25"/>
      <c r="L76" s="25"/>
      <c r="M76" s="25"/>
      <c r="N76" s="25"/>
      <c r="O76" s="25" t="s">
        <v>76</v>
      </c>
      <c r="P76" s="25"/>
      <c r="Q76" s="25"/>
      <c r="R76" s="25"/>
      <c r="S76" s="25"/>
      <c r="T76" s="26"/>
      <c xmlns="http://schemas.openxmlformats.org/spreadsheetml/2006/main" r="U76" s="23">
        <f t="shared" si="6"/>
        <v>1.0</v>
      </c>
      <c xmlns="http://schemas.openxmlformats.org/spreadsheetml/2006/main" r="V76" s="22" t="str">
        <f t="shared" si="7"/>
        <v>▲ 單一設備依賴</v>
      </c>
      <c xmlns="http://schemas.openxmlformats.org/spreadsheetml/2006/main" r="W76" s="18" t="str">
        <f t="shared" si="8"/>
        <v>僅依賴1台設備，須確認故障/排修時之備援製程</v>
      </c>
      <c r="X76" s="22"/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 t="s">
        <v>337</v>
      </c>
      <c r="B77" s="22" t="s">
        <v>127</v>
      </c>
      <c r="C77" s="22" t="s">
        <v>308</v>
      </c>
      <c r="D77" s="22" t="s">
        <v>211</v>
      </c>
      <c r="E77" s="22" t="s">
        <v>311</v>
      </c>
      <c r="F77" s="23">
        <v>1</v>
      </c>
      <c r="G77" s="23" t="s">
        <v>78</v>
      </c>
      <c r="H77" s="24">
        <v>500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 t="s">
        <v>76</v>
      </c>
      <c xmlns="http://schemas.openxmlformats.org/spreadsheetml/2006/main" r="U77" s="23">
        <f t="shared" si="6"/>
        <v>0.0</v>
      </c>
      <c xmlns="http://schemas.openxmlformats.org/spreadsheetml/2006/main" r="V77" s="22" t="str">
        <f t="shared" si="7"/>
        <v>○ 免調理</v>
      </c>
      <c xmlns="http://schemas.openxmlformats.org/spreadsheetml/2006/main" r="W77" s="18" t="str">
        <f t="shared" si="8"/>
        <v>免調理半成品（外購/僅切配等），不列入設備風險評估</v>
      </c>
      <c r="X77" s="22"/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 t="s">
        <v>338</v>
      </c>
      <c r="B78" s="22" t="s">
        <v>127</v>
      </c>
      <c r="C78" s="22" t="s">
        <v>308</v>
      </c>
      <c r="D78" s="22" t="s">
        <v>140</v>
      </c>
      <c r="E78" s="22" t="s">
        <v>189</v>
      </c>
      <c r="F78" s="23">
        <v>220</v>
      </c>
      <c r="G78" s="23" t="s">
        <v>75</v>
      </c>
      <c r="H78" s="24">
        <v>235</v>
      </c>
      <c r="I78" s="25"/>
      <c r="J78" s="25" t="s">
        <v>76</v>
      </c>
      <c r="K78" s="25"/>
      <c r="L78" s="25"/>
      <c r="M78" s="25"/>
      <c r="N78" s="25"/>
      <c r="O78" s="25"/>
      <c r="P78" s="25"/>
      <c r="Q78" s="25"/>
      <c r="R78" s="25"/>
      <c r="S78" s="25"/>
      <c r="T78" s="26"/>
      <c xmlns="http://schemas.openxmlformats.org/spreadsheetml/2006/main" r="U78" s="23">
        <f t="shared" si="6"/>
        <v>1.0</v>
      </c>
      <c xmlns="http://schemas.openxmlformats.org/spreadsheetml/2006/main" r="V78" s="22" t="str">
        <f t="shared" si="7"/>
        <v>▲ 單一設備依賴</v>
      </c>
      <c xmlns="http://schemas.openxmlformats.org/spreadsheetml/2006/main" r="W78" s="18" t="str">
        <f t="shared" si="8"/>
        <v>僅依賴1台設備，須確認故障/排修時之備援製程</v>
      </c>
      <c r="X78" s="22"/>
      <c r="Y78" s="22"/>
      <c xmlns="http://schemas.openxmlformats.org/spreadsheetml/2006/main" r="Z78">
        <f>IF($D78="",0,IF(COUNTIF($D$5:$D78,$D78)=1,1,0))</f>
        <v>1.0</v>
      </c>
      <c xmlns="http://schemas.openxmlformats.org/spreadsheetml/2006/main" r="AA78">
        <f>IF(Z78=1,SUM($Z$5:$Z78),"")</f>
        <v>13.0</v>
      </c>
    </row>
    <row r="79" spans="1:27">
      <c r="A79" s="22" t="s">
        <v>338</v>
      </c>
      <c r="B79" s="22" t="s">
        <v>127</v>
      </c>
      <c r="C79" s="22" t="s">
        <v>308</v>
      </c>
      <c r="D79" s="22" t="s">
        <v>140</v>
      </c>
      <c r="E79" s="22" t="s">
        <v>141</v>
      </c>
      <c r="F79" s="23">
        <v>135</v>
      </c>
      <c r="G79" s="23" t="s">
        <v>75</v>
      </c>
      <c r="H79" s="24">
        <v>53</v>
      </c>
      <c r="I79" s="25"/>
      <c r="J79" s="25"/>
      <c r="K79" s="25"/>
      <c r="L79" s="25"/>
      <c r="M79" s="25"/>
      <c r="N79" s="25"/>
      <c r="O79" s="25" t="s">
        <v>76</v>
      </c>
      <c r="P79" s="25"/>
      <c r="Q79" s="25"/>
      <c r="R79" s="25"/>
      <c r="S79" s="25"/>
      <c r="T79" s="26"/>
      <c xmlns="http://schemas.openxmlformats.org/spreadsheetml/2006/main" r="U79" s="23">
        <f t="shared" si="6"/>
        <v>1.0</v>
      </c>
      <c xmlns="http://schemas.openxmlformats.org/spreadsheetml/2006/main" r="V79" s="22" t="str">
        <f t="shared" si="7"/>
        <v>▲ 單一設備依賴</v>
      </c>
      <c xmlns="http://schemas.openxmlformats.org/spreadsheetml/2006/main" r="W79" s="18" t="str">
        <f t="shared" si="8"/>
        <v>僅依賴1台設備，須確認故障/排修時之備援製程</v>
      </c>
      <c r="X79" s="22"/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 t="s">
        <v>338</v>
      </c>
      <c r="B80" s="22" t="s">
        <v>127</v>
      </c>
      <c r="C80" s="22" t="s">
        <v>308</v>
      </c>
      <c r="D80" s="22" t="s">
        <v>140</v>
      </c>
      <c r="E80" s="22" t="s">
        <v>212</v>
      </c>
      <c r="F80" s="23">
        <v>16</v>
      </c>
      <c r="G80" s="23" t="s">
        <v>75</v>
      </c>
      <c r="H80" s="24">
        <v>100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 t="s">
        <v>76</v>
      </c>
      <c xmlns="http://schemas.openxmlformats.org/spreadsheetml/2006/main" r="U80" s="23">
        <f t="shared" si="6"/>
        <v>0.0</v>
      </c>
      <c xmlns="http://schemas.openxmlformats.org/spreadsheetml/2006/main" r="V80" s="22" t="str">
        <f t="shared" si="7"/>
        <v>○ 免調理</v>
      </c>
      <c xmlns="http://schemas.openxmlformats.org/spreadsheetml/2006/main" r="W80" s="18" t="str">
        <f t="shared" si="8"/>
        <v>免調理半成品（外購/僅切配等），不列入設備風險評估</v>
      </c>
      <c r="X80" s="22"/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 t="s">
        <v>338</v>
      </c>
      <c r="B81" s="22" t="s">
        <v>127</v>
      </c>
      <c r="C81" s="22" t="s">
        <v>308</v>
      </c>
      <c r="D81" s="22" t="s">
        <v>140</v>
      </c>
      <c r="E81" s="22" t="s">
        <v>213</v>
      </c>
      <c r="F81" s="23">
        <v>10</v>
      </c>
      <c r="G81" s="23" t="s">
        <v>75</v>
      </c>
      <c r="H81" s="24">
        <v>40</v>
      </c>
      <c r="I81" s="25"/>
      <c r="J81" s="25"/>
      <c r="K81" s="25"/>
      <c r="L81" s="25"/>
      <c r="M81" s="25"/>
      <c r="N81" s="25"/>
      <c r="O81" s="25" t="s">
        <v>76</v>
      </c>
      <c r="P81" s="25"/>
      <c r="Q81" s="25"/>
      <c r="R81" s="25"/>
      <c r="S81" s="25"/>
      <c r="T81" s="26"/>
      <c xmlns="http://schemas.openxmlformats.org/spreadsheetml/2006/main" r="U81" s="23">
        <f t="shared" si="6"/>
        <v>1.0</v>
      </c>
      <c xmlns="http://schemas.openxmlformats.org/spreadsheetml/2006/main" r="V81" s="22" t="str">
        <f t="shared" si="7"/>
        <v>▲ 單一設備依賴</v>
      </c>
      <c xmlns="http://schemas.openxmlformats.org/spreadsheetml/2006/main" r="W81" s="18" t="str">
        <f t="shared" si="8"/>
        <v>僅依賴1台設備，須確認故障/排修時之備援製程</v>
      </c>
      <c r="X81" s="22"/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 t="s">
        <v>338</v>
      </c>
      <c r="B82" s="22" t="s">
        <v>127</v>
      </c>
      <c r="C82" s="22" t="s">
        <v>308</v>
      </c>
      <c r="D82" s="22" t="s">
        <v>140</v>
      </c>
      <c r="E82" s="22" t="s">
        <v>143</v>
      </c>
      <c r="F82" s="23">
        <v>0.2</v>
      </c>
      <c r="G82" s="23" t="s">
        <v>75</v>
      </c>
      <c r="H82" s="24">
        <v>100</v>
      </c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 t="s">
        <v>76</v>
      </c>
      <c xmlns="http://schemas.openxmlformats.org/spreadsheetml/2006/main" r="U82" s="23">
        <f t="shared" si="6"/>
        <v>0.0</v>
      </c>
      <c xmlns="http://schemas.openxmlformats.org/spreadsheetml/2006/main" r="V82" s="22" t="str">
        <f t="shared" si="7"/>
        <v>○ 免調理</v>
      </c>
      <c xmlns="http://schemas.openxmlformats.org/spreadsheetml/2006/main" r="W82" s="18" t="str">
        <f t="shared" si="8"/>
        <v>免調理半成品（外購/僅切配等），不列入設備風險評估</v>
      </c>
      <c r="X82" s="22"/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 t="s">
        <v>337</v>
      </c>
      <c r="B83" s="22" t="s">
        <v>127</v>
      </c>
      <c r="C83" s="22" t="s">
        <v>308</v>
      </c>
      <c r="D83" s="22" t="s">
        <v>214</v>
      </c>
      <c r="E83" s="22" t="s">
        <v>189</v>
      </c>
      <c r="F83" s="23">
        <v>220</v>
      </c>
      <c r="G83" s="23" t="s">
        <v>75</v>
      </c>
      <c r="H83" s="24">
        <v>238</v>
      </c>
      <c r="I83" s="25"/>
      <c r="J83" s="25" t="s">
        <v>76</v>
      </c>
      <c r="K83" s="25"/>
      <c r="L83" s="25"/>
      <c r="M83" s="25"/>
      <c r="N83" s="25"/>
      <c r="O83" s="25"/>
      <c r="P83" s="25"/>
      <c r="Q83" s="25"/>
      <c r="R83" s="25"/>
      <c r="S83" s="25"/>
      <c r="T83" s="26"/>
      <c xmlns="http://schemas.openxmlformats.org/spreadsheetml/2006/main" r="U83" s="23">
        <f t="shared" si="6"/>
        <v>1.0</v>
      </c>
      <c xmlns="http://schemas.openxmlformats.org/spreadsheetml/2006/main" r="V83" s="22" t="str">
        <f t="shared" si="7"/>
        <v>▲ 單一設備依賴</v>
      </c>
      <c xmlns="http://schemas.openxmlformats.org/spreadsheetml/2006/main" r="W83" s="18" t="str">
        <f t="shared" si="8"/>
        <v>僅依賴1台設備，須確認故障/排修時之備援製程</v>
      </c>
      <c r="X83" s="22"/>
      <c r="Y83" s="22"/>
      <c xmlns="http://schemas.openxmlformats.org/spreadsheetml/2006/main" r="Z83">
        <f>IF($D83="",0,IF(COUNTIF($D$5:$D83,$D83)=1,1,0))</f>
        <v>1.0</v>
      </c>
      <c xmlns="http://schemas.openxmlformats.org/spreadsheetml/2006/main" r="AA83">
        <f>IF(Z83=1,SUM($Z$5:$Z83),"")</f>
        <v>14.0</v>
      </c>
    </row>
    <row r="84" spans="1:27">
      <c r="A84" s="22" t="s">
        <v>337</v>
      </c>
      <c r="B84" s="22" t="s">
        <v>127</v>
      </c>
      <c r="C84" s="22" t="s">
        <v>308</v>
      </c>
      <c r="D84" s="22" t="s">
        <v>214</v>
      </c>
      <c r="E84" s="22" t="s">
        <v>215</v>
      </c>
      <c r="F84" s="23">
        <v>70</v>
      </c>
      <c r="G84" s="23" t="s">
        <v>75</v>
      </c>
      <c r="H84" s="24">
        <v>58</v>
      </c>
      <c r="I84" s="25"/>
      <c r="J84" s="25"/>
      <c r="K84" s="25"/>
      <c r="L84" s="25"/>
      <c r="M84" s="25"/>
      <c r="N84" s="25"/>
      <c r="O84" s="25" t="s">
        <v>76</v>
      </c>
      <c r="P84" s="25"/>
      <c r="Q84" s="25"/>
      <c r="R84" s="25"/>
      <c r="S84" s="25"/>
      <c r="T84" s="26"/>
      <c xmlns="http://schemas.openxmlformats.org/spreadsheetml/2006/main" r="U84" s="23">
        <f t="shared" si="6"/>
        <v>1.0</v>
      </c>
      <c xmlns="http://schemas.openxmlformats.org/spreadsheetml/2006/main" r="V84" s="22" t="str">
        <f t="shared" si="7"/>
        <v>▲ 單一設備依賴</v>
      </c>
      <c xmlns="http://schemas.openxmlformats.org/spreadsheetml/2006/main" r="W84" s="18" t="str">
        <f t="shared" si="8"/>
        <v>僅依賴1台設備，須確認故障/排修時之備援製程</v>
      </c>
      <c r="X84" s="22"/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 t="s">
        <v>337</v>
      </c>
      <c r="B85" s="22" t="s">
        <v>127</v>
      </c>
      <c r="C85" s="22" t="s">
        <v>308</v>
      </c>
      <c r="D85" s="22" t="s">
        <v>214</v>
      </c>
      <c r="E85" s="22" t="s">
        <v>216</v>
      </c>
      <c r="F85" s="23">
        <v>5</v>
      </c>
      <c r="G85" s="23" t="s">
        <v>75</v>
      </c>
      <c r="H85" s="24">
        <v>98</v>
      </c>
      <c r="I85" s="25"/>
      <c r="J85" s="25"/>
      <c r="K85" s="25"/>
      <c r="L85" s="25"/>
      <c r="M85" s="25"/>
      <c r="N85" s="25"/>
      <c r="O85" s="25" t="s">
        <v>76</v>
      </c>
      <c r="P85" s="25"/>
      <c r="Q85" s="25"/>
      <c r="R85" s="25"/>
      <c r="S85" s="25"/>
      <c r="T85" s="26"/>
      <c xmlns="http://schemas.openxmlformats.org/spreadsheetml/2006/main" r="U85" s="23">
        <f t="shared" si="6"/>
        <v>1.0</v>
      </c>
      <c xmlns="http://schemas.openxmlformats.org/spreadsheetml/2006/main" r="V85" s="22" t="str">
        <f t="shared" si="7"/>
        <v>▲ 單一設備依賴</v>
      </c>
      <c xmlns="http://schemas.openxmlformats.org/spreadsheetml/2006/main" r="W85" s="18" t="str">
        <f t="shared" si="8"/>
        <v>僅依賴1台設備，須確認故障/排修時之備援製程</v>
      </c>
      <c r="X85" s="22"/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 t="s">
        <v>337</v>
      </c>
      <c r="B86" s="22" t="s">
        <v>127</v>
      </c>
      <c r="C86" s="22" t="s">
        <v>308</v>
      </c>
      <c r="D86" s="22" t="s">
        <v>214</v>
      </c>
      <c r="E86" s="22" t="s">
        <v>217</v>
      </c>
      <c r="F86" s="23">
        <v>28</v>
      </c>
      <c r="G86" s="23" t="s">
        <v>75</v>
      </c>
      <c r="H86" s="24">
        <v>42</v>
      </c>
      <c r="I86" s="25"/>
      <c r="J86" s="25"/>
      <c r="K86" s="25"/>
      <c r="L86" s="25"/>
      <c r="M86" s="25"/>
      <c r="N86" s="25"/>
      <c r="O86" s="25" t="s">
        <v>76</v>
      </c>
      <c r="P86" s="25"/>
      <c r="Q86" s="25"/>
      <c r="R86" s="25"/>
      <c r="S86" s="25"/>
      <c r="T86" s="26"/>
      <c xmlns="http://schemas.openxmlformats.org/spreadsheetml/2006/main" r="U86" s="23">
        <f t="shared" si="6"/>
        <v>1.0</v>
      </c>
      <c xmlns="http://schemas.openxmlformats.org/spreadsheetml/2006/main" r="V86" s="22" t="str">
        <f t="shared" si="7"/>
        <v>▲ 單一設備依賴</v>
      </c>
      <c xmlns="http://schemas.openxmlformats.org/spreadsheetml/2006/main" r="W86" s="18" t="str">
        <f t="shared" si="8"/>
        <v>僅依賴1台設備，須確認故障/排修時之備援製程</v>
      </c>
      <c r="X86" s="22"/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 t="s">
        <v>337</v>
      </c>
      <c r="B87" s="22" t="s">
        <v>127</v>
      </c>
      <c r="C87" s="22" t="s">
        <v>308</v>
      </c>
      <c r="D87" s="22" t="s">
        <v>214</v>
      </c>
      <c r="E87" s="22" t="s">
        <v>171</v>
      </c>
      <c r="F87" s="23">
        <v>0.3</v>
      </c>
      <c r="G87" s="23" t="s">
        <v>75</v>
      </c>
      <c r="H87" s="24">
        <v>100</v>
      </c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 t="s">
        <v>76</v>
      </c>
      <c xmlns="http://schemas.openxmlformats.org/spreadsheetml/2006/main" r="U87" s="23">
        <f t="shared" si="6"/>
        <v>0.0</v>
      </c>
      <c xmlns="http://schemas.openxmlformats.org/spreadsheetml/2006/main" r="V87" s="22" t="str">
        <f t="shared" si="7"/>
        <v>○ 免調理</v>
      </c>
      <c xmlns="http://schemas.openxmlformats.org/spreadsheetml/2006/main" r="W87" s="18" t="str">
        <f t="shared" si="8"/>
        <v>免調理半成品（外購/僅切配等），不列入設備風險評估</v>
      </c>
      <c r="X87" s="22"/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 t="inlineStr">
        <is>
          <t>下架</t>
        </is>
      </c>
      <c r="B88" s="22" t="s">
        <v>127</v>
      </c>
      <c r="C88" s="22" t="s">
        <v>309</v>
      </c>
      <c r="D88" s="22" t="s">
        <v>218</v>
      </c>
      <c r="E88" s="22" t="s">
        <v>219</v>
      </c>
      <c r="F88" s="23">
        <v>60</v>
      </c>
      <c r="G88" s="23" t="s">
        <v>75</v>
      </c>
      <c r="H88" s="24">
        <v>78</v>
      </c>
      <c r="I88" s="25"/>
      <c r="J88" s="25"/>
      <c r="K88" s="25"/>
      <c r="L88" s="25"/>
      <c r="M88" s="25"/>
      <c r="N88" s="25"/>
      <c r="O88" s="25" t="s">
        <v>76</v>
      </c>
      <c r="P88" s="25"/>
      <c r="Q88" s="25"/>
      <c r="R88" s="25"/>
      <c r="S88" s="25"/>
      <c r="T88" s="26"/>
      <c xmlns="http://schemas.openxmlformats.org/spreadsheetml/2006/main" r="U88" s="23">
        <f t="shared" si="6"/>
        <v>1.0</v>
      </c>
      <c xmlns="http://schemas.openxmlformats.org/spreadsheetml/2006/main" r="V88" s="22" t="str">
        <f t="shared" si="7"/>
        <v>▲ 單一設備依賴</v>
      </c>
      <c xmlns="http://schemas.openxmlformats.org/spreadsheetml/2006/main" r="W88" s="18" t="str">
        <f t="shared" si="8"/>
        <v>僅依賴1台設備，須確認故障/排修時之備援製程</v>
      </c>
      <c r="X88" s="22"/>
      <c r="Y88" s="22"/>
      <c xmlns="http://schemas.openxmlformats.org/spreadsheetml/2006/main" r="Z88">
        <f>IF($D88="",0,IF(COUNTIF($D$5:$D88,$D88)=1,1,0))</f>
        <v>1.0</v>
      </c>
      <c xmlns="http://schemas.openxmlformats.org/spreadsheetml/2006/main" r="AA88">
        <f>IF(Z88=1,SUM($Z$5:$Z88),"")</f>
        <v>15.0</v>
      </c>
    </row>
    <row r="89" spans="1:27">
      <c r="A89" s="22" t="inlineStr">
        <is>
          <t>下架</t>
        </is>
      </c>
      <c r="B89" s="22" t="s">
        <v>127</v>
      </c>
      <c r="C89" s="22" t="s">
        <v>309</v>
      </c>
      <c r="D89" s="22" t="s">
        <v>218</v>
      </c>
      <c r="E89" s="22" t="s">
        <v>220</v>
      </c>
      <c r="F89" s="23">
        <v>160</v>
      </c>
      <c r="G89" s="23" t="s">
        <v>75</v>
      </c>
      <c r="H89" s="24">
        <v>200</v>
      </c>
      <c r="I89" s="25"/>
      <c r="J89" s="25" t="s">
        <v>76</v>
      </c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>
        <f t="shared" si="6"/>
        <v>1.0</v>
      </c>
      <c xmlns="http://schemas.openxmlformats.org/spreadsheetml/2006/main" r="V89" s="22" t="str">
        <f t="shared" si="7"/>
        <v>▲ 單一設備依賴</v>
      </c>
      <c xmlns="http://schemas.openxmlformats.org/spreadsheetml/2006/main" r="W89" s="18" t="str">
        <f t="shared" si="8"/>
        <v>僅依賴1台設備，須確認故障/排修時之備援製程</v>
      </c>
      <c r="X89" s="22"/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 t="inlineStr">
        <is>
          <t>下架</t>
        </is>
      </c>
      <c r="B90" s="22" t="s">
        <v>127</v>
      </c>
      <c r="C90" s="22" t="s">
        <v>309</v>
      </c>
      <c r="D90" s="22" t="s">
        <v>218</v>
      </c>
      <c r="E90" s="22" t="s">
        <v>132</v>
      </c>
      <c r="F90" s="23">
        <v>6</v>
      </c>
      <c r="G90" s="23" t="s">
        <v>75</v>
      </c>
      <c r="H90" s="24">
        <v>90</v>
      </c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 t="s">
        <v>76</v>
      </c>
      <c xmlns="http://schemas.openxmlformats.org/spreadsheetml/2006/main" r="U90" s="23">
        <f t="shared" si="6"/>
        <v>0.0</v>
      </c>
      <c xmlns="http://schemas.openxmlformats.org/spreadsheetml/2006/main" r="V90" s="22" t="str">
        <f t="shared" si="7"/>
        <v>○ 免調理</v>
      </c>
      <c xmlns="http://schemas.openxmlformats.org/spreadsheetml/2006/main" r="W90" s="18" t="str">
        <f t="shared" si="8"/>
        <v>免調理半成品（外購/僅切配等），不列入設備風險評估</v>
      </c>
      <c r="X90" s="22"/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 t="inlineStr">
        <is>
          <t>下架</t>
        </is>
      </c>
      <c r="B91" s="22" t="s">
        <v>127</v>
      </c>
      <c r="C91" s="22" t="s">
        <v>309</v>
      </c>
      <c r="D91" s="22" t="s">
        <v>218</v>
      </c>
      <c r="E91" s="22" t="s">
        <v>221</v>
      </c>
      <c r="F91" s="23">
        <v>8</v>
      </c>
      <c r="G91" s="23" t="s">
        <v>75</v>
      </c>
      <c r="H91" s="24">
        <v>77</v>
      </c>
      <c r="I91" s="25"/>
      <c r="J91" s="25"/>
      <c r="K91" s="25"/>
      <c r="L91" s="25"/>
      <c r="M91" s="25"/>
      <c r="N91" s="25"/>
      <c r="O91" s="25" t="s">
        <v>76</v>
      </c>
      <c r="P91" s="25"/>
      <c r="Q91" s="25"/>
      <c r="R91" s="25"/>
      <c r="S91" s="25"/>
      <c r="T91" s="26"/>
      <c xmlns="http://schemas.openxmlformats.org/spreadsheetml/2006/main" r="U91" s="23">
        <f t="shared" si="6"/>
        <v>1.0</v>
      </c>
      <c xmlns="http://schemas.openxmlformats.org/spreadsheetml/2006/main" r="V91" s="22" t="str">
        <f t="shared" si="7"/>
        <v>▲ 單一設備依賴</v>
      </c>
      <c xmlns="http://schemas.openxmlformats.org/spreadsheetml/2006/main" r="W91" s="18" t="str">
        <f t="shared" si="8"/>
        <v>僅依賴1台設備，須確認故障/排修時之備援製程</v>
      </c>
      <c r="X91" s="22"/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 t="inlineStr">
        <is>
          <t>下架</t>
        </is>
      </c>
      <c r="B92" s="22" t="s">
        <v>127</v>
      </c>
      <c r="C92" s="22" t="s">
        <v>309</v>
      </c>
      <c r="D92" s="22" t="s">
        <v>218</v>
      </c>
      <c r="E92" s="22" t="s">
        <v>222</v>
      </c>
      <c r="F92" s="23">
        <v>12</v>
      </c>
      <c r="G92" s="23" t="s">
        <v>75</v>
      </c>
      <c r="H92" s="24">
        <v>55</v>
      </c>
      <c r="I92" s="25"/>
      <c r="J92" s="25"/>
      <c r="K92" s="25"/>
      <c r="L92" s="25"/>
      <c r="M92" s="25"/>
      <c r="N92" s="25"/>
      <c r="O92" s="25" t="s">
        <v>76</v>
      </c>
      <c r="P92" s="25"/>
      <c r="Q92" s="25"/>
      <c r="R92" s="25"/>
      <c r="S92" s="25"/>
      <c r="T92" s="26"/>
      <c xmlns="http://schemas.openxmlformats.org/spreadsheetml/2006/main" r="U92" s="23">
        <f t="shared" si="6"/>
        <v>1.0</v>
      </c>
      <c xmlns="http://schemas.openxmlformats.org/spreadsheetml/2006/main" r="V92" s="22" t="str">
        <f t="shared" si="7"/>
        <v>▲ 單一設備依賴</v>
      </c>
      <c xmlns="http://schemas.openxmlformats.org/spreadsheetml/2006/main" r="W92" s="18" t="str">
        <f t="shared" si="8"/>
        <v>僅依賴1台設備，須確認故障/排修時之備援製程</v>
      </c>
      <c r="X92" s="22"/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 t="inlineStr">
        <is>
          <t>下架</t>
        </is>
      </c>
      <c r="B93" s="22" t="s">
        <v>127</v>
      </c>
      <c r="C93" s="22" t="s">
        <v>309</v>
      </c>
      <c r="D93" s="22" t="s">
        <v>218</v>
      </c>
      <c r="E93" s="22" t="s">
        <v>133</v>
      </c>
      <c r="F93" s="23">
        <v>17</v>
      </c>
      <c r="G93" s="23" t="s">
        <v>75</v>
      </c>
      <c r="H93" s="24">
        <v>78</v>
      </c>
      <c r="I93" s="25"/>
      <c r="J93" s="25"/>
      <c r="K93" s="25"/>
      <c r="L93" s="25"/>
      <c r="M93" s="25"/>
      <c r="N93" s="25"/>
      <c r="O93" s="25" t="s">
        <v>76</v>
      </c>
      <c r="P93" s="25"/>
      <c r="Q93" s="25"/>
      <c r="R93" s="25"/>
      <c r="S93" s="25"/>
      <c r="T93" s="26"/>
      <c xmlns="http://schemas.openxmlformats.org/spreadsheetml/2006/main" r="U93" s="23">
        <f t="shared" si="6"/>
        <v>1.0</v>
      </c>
      <c xmlns="http://schemas.openxmlformats.org/spreadsheetml/2006/main" r="V93" s="22" t="str">
        <f t="shared" si="7"/>
        <v>▲ 單一設備依賴</v>
      </c>
      <c xmlns="http://schemas.openxmlformats.org/spreadsheetml/2006/main" r="W93" s="18" t="str">
        <f t="shared" si="8"/>
        <v>僅依賴1台設備，須確認故障/排修時之備援製程</v>
      </c>
      <c r="X93" s="22"/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 t="inlineStr">
        <is>
          <t>下架</t>
        </is>
      </c>
      <c r="B94" s="22" t="s">
        <v>127</v>
      </c>
      <c r="C94" s="22" t="s">
        <v>309</v>
      </c>
      <c r="D94" s="22" t="s">
        <v>218</v>
      </c>
      <c r="E94" s="22" t="s">
        <v>210</v>
      </c>
      <c r="F94" s="23">
        <v>11</v>
      </c>
      <c r="G94" s="23" t="s">
        <v>75</v>
      </c>
      <c r="H94" s="24">
        <v>68</v>
      </c>
      <c r="I94" s="25"/>
      <c r="J94" s="25"/>
      <c r="K94" s="25"/>
      <c r="L94" s="25"/>
      <c r="M94" s="25"/>
      <c r="N94" s="25"/>
      <c r="O94" s="25" t="s">
        <v>76</v>
      </c>
      <c r="P94" s="25"/>
      <c r="Q94" s="25"/>
      <c r="R94" s="25"/>
      <c r="S94" s="25"/>
      <c r="T94" s="26"/>
      <c xmlns="http://schemas.openxmlformats.org/spreadsheetml/2006/main" r="U94" s="23">
        <f t="shared" si="6"/>
        <v>1.0</v>
      </c>
      <c xmlns="http://schemas.openxmlformats.org/spreadsheetml/2006/main" r="V94" s="22" t="str">
        <f t="shared" si="7"/>
        <v>▲ 單一設備依賴</v>
      </c>
      <c xmlns="http://schemas.openxmlformats.org/spreadsheetml/2006/main" r="W94" s="18" t="str">
        <f t="shared" si="8"/>
        <v>僅依賴1台設備，須確認故障/排修時之備援製程</v>
      </c>
      <c r="X94" s="22"/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 t="inlineStr">
        <is>
          <t>下架</t>
        </is>
      </c>
      <c r="B95" s="22" t="s">
        <v>127</v>
      </c>
      <c r="C95" s="22" t="s">
        <v>309</v>
      </c>
      <c r="D95" s="22" t="s">
        <v>218</v>
      </c>
      <c r="E95" s="22" t="s">
        <v>223</v>
      </c>
      <c r="F95" s="23">
        <v>8</v>
      </c>
      <c r="G95" s="23" t="s">
        <v>75</v>
      </c>
      <c r="H95" s="24">
        <v>80</v>
      </c>
      <c r="I95" s="25"/>
      <c r="J95" s="25"/>
      <c r="K95" s="25"/>
      <c r="L95" s="25"/>
      <c r="M95" s="25"/>
      <c r="N95" s="25"/>
      <c r="O95" s="25" t="s">
        <v>76</v>
      </c>
      <c r="P95" s="25"/>
      <c r="Q95" s="25"/>
      <c r="R95" s="25"/>
      <c r="S95" s="25"/>
      <c r="T95" s="26"/>
      <c xmlns="http://schemas.openxmlformats.org/spreadsheetml/2006/main" r="U95" s="23">
        <f t="shared" si="6"/>
        <v>1.0</v>
      </c>
      <c xmlns="http://schemas.openxmlformats.org/spreadsheetml/2006/main" r="V95" s="22" t="str">
        <f t="shared" si="7"/>
        <v>▲ 單一設備依賴</v>
      </c>
      <c xmlns="http://schemas.openxmlformats.org/spreadsheetml/2006/main" r="W95" s="18" t="str">
        <f t="shared" si="8"/>
        <v>僅依賴1台設備，須確認故障/排修時之備援製程</v>
      </c>
      <c r="X95" s="22"/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 t="s">
        <v>337</v>
      </c>
      <c r="B96" s="22" t="s">
        <v>127</v>
      </c>
      <c r="C96" s="22" t="s">
        <v>308</v>
      </c>
      <c r="D96" s="22" t="s">
        <v>224</v>
      </c>
      <c r="E96" s="22" t="s">
        <v>154</v>
      </c>
      <c r="F96" s="23">
        <v>220</v>
      </c>
      <c r="G96" s="23" t="s">
        <v>75</v>
      </c>
      <c r="H96" s="24">
        <v>240</v>
      </c>
      <c r="I96" s="25"/>
      <c r="J96" s="25" t="s">
        <v>76</v>
      </c>
      <c r="K96" s="25"/>
      <c r="L96" s="25"/>
      <c r="M96" s="25"/>
      <c r="N96" s="25"/>
      <c r="O96" s="25"/>
      <c r="P96" s="25"/>
      <c r="Q96" s="25"/>
      <c r="R96" s="25"/>
      <c r="S96" s="25"/>
      <c r="T96" s="26"/>
      <c xmlns="http://schemas.openxmlformats.org/spreadsheetml/2006/main" r="U96" s="23">
        <f t="shared" si="6"/>
        <v>1.0</v>
      </c>
      <c xmlns="http://schemas.openxmlformats.org/spreadsheetml/2006/main" r="V96" s="22" t="str">
        <f t="shared" si="7"/>
        <v>▲ 單一設備依賴</v>
      </c>
      <c xmlns="http://schemas.openxmlformats.org/spreadsheetml/2006/main" r="W96" s="18" t="str">
        <f t="shared" si="8"/>
        <v>僅依賴1台設備，須確認故障/排修時之備援製程</v>
      </c>
      <c r="X96" s="22"/>
      <c r="Y96" s="22"/>
      <c xmlns="http://schemas.openxmlformats.org/spreadsheetml/2006/main" r="Z96">
        <f>IF($D96="",0,IF(COUNTIF($D$5:$D96,$D96)=1,1,0))</f>
        <v>1.0</v>
      </c>
      <c xmlns="http://schemas.openxmlformats.org/spreadsheetml/2006/main" r="AA96">
        <f>IF(Z96=1,SUM($Z$5:$Z96),"")</f>
        <v>16.0</v>
      </c>
    </row>
    <row r="97" spans="1:27">
      <c r="A97" s="22" t="s">
        <v>337</v>
      </c>
      <c r="B97" s="22" t="s">
        <v>127</v>
      </c>
      <c r="C97" s="22" t="s">
        <v>308</v>
      </c>
      <c r="D97" s="22" t="s">
        <v>224</v>
      </c>
      <c r="E97" s="22" t="s">
        <v>225</v>
      </c>
      <c r="F97" s="23">
        <v>100</v>
      </c>
      <c r="G97" s="23" t="s">
        <v>75</v>
      </c>
      <c r="H97" s="24">
        <v>75</v>
      </c>
      <c r="I97" s="25"/>
      <c r="J97" s="25"/>
      <c r="K97" s="25"/>
      <c r="L97" s="25"/>
      <c r="M97" s="25"/>
      <c r="N97" s="25"/>
      <c r="O97" s="25" t="s">
        <v>76</v>
      </c>
      <c r="P97" s="25"/>
      <c r="Q97" s="25"/>
      <c r="R97" s="25"/>
      <c r="S97" s="25"/>
      <c r="T97" s="26"/>
      <c xmlns="http://schemas.openxmlformats.org/spreadsheetml/2006/main" r="U97" s="23">
        <f t="shared" si="6"/>
        <v>1.0</v>
      </c>
      <c xmlns="http://schemas.openxmlformats.org/spreadsheetml/2006/main" r="V97" s="22" t="str">
        <f t="shared" si="7"/>
        <v>▲ 單一設備依賴</v>
      </c>
      <c xmlns="http://schemas.openxmlformats.org/spreadsheetml/2006/main" r="W97" s="18" t="str">
        <f t="shared" si="8"/>
        <v>僅依賴1台設備，須確認故障/排修時之備援製程</v>
      </c>
      <c r="X97" s="22"/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 t="s">
        <v>337</v>
      </c>
      <c r="B98" s="22" t="s">
        <v>127</v>
      </c>
      <c r="C98" s="22" t="s">
        <v>308</v>
      </c>
      <c r="D98" s="22" t="s">
        <v>224</v>
      </c>
      <c r="E98" s="22" t="s">
        <v>163</v>
      </c>
      <c r="F98" s="23">
        <v>2</v>
      </c>
      <c r="G98" s="23" t="s">
        <v>75</v>
      </c>
      <c r="H98" s="24">
        <v>100</v>
      </c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 t="s">
        <v>76</v>
      </c>
      <c xmlns="http://schemas.openxmlformats.org/spreadsheetml/2006/main" r="U98" s="23">
        <f t="shared" si="6"/>
        <v>0.0</v>
      </c>
      <c xmlns="http://schemas.openxmlformats.org/spreadsheetml/2006/main" r="V98" s="22" t="str">
        <f t="shared" si="7"/>
        <v>○ 免調理</v>
      </c>
      <c xmlns="http://schemas.openxmlformats.org/spreadsheetml/2006/main" r="W98" s="18" t="str">
        <f t="shared" si="8"/>
        <v>免調理半成品（外購/僅切配等），不列入設備風險評估</v>
      </c>
      <c r="X98" s="22"/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 t="s">
        <v>337</v>
      </c>
      <c r="B99" s="22" t="s">
        <v>127</v>
      </c>
      <c r="C99" s="22" t="s">
        <v>308</v>
      </c>
      <c r="D99" s="22" t="s">
        <v>224</v>
      </c>
      <c r="E99" s="22" t="s">
        <v>197</v>
      </c>
      <c r="F99" s="23">
        <v>10</v>
      </c>
      <c r="G99" s="23" t="s">
        <v>75</v>
      </c>
      <c r="H99" s="24">
        <v>60</v>
      </c>
      <c r="I99" s="25"/>
      <c r="J99" s="25"/>
      <c r="K99" s="25" t="s">
        <v>76</v>
      </c>
      <c r="L99" s="25"/>
      <c r="M99" s="25"/>
      <c r="N99" s="25"/>
      <c r="O99" s="25"/>
      <c r="P99" s="25"/>
      <c r="Q99" s="25"/>
      <c r="R99" s="25"/>
      <c r="S99" s="25"/>
      <c r="T99" s="26"/>
      <c xmlns="http://schemas.openxmlformats.org/spreadsheetml/2006/main" r="U99" s="23">
        <f t="shared" si="6"/>
        <v>1.0</v>
      </c>
      <c xmlns="http://schemas.openxmlformats.org/spreadsheetml/2006/main" r="V99" s="22" t="str">
        <f t="shared" si="7"/>
        <v>▲ 單一設備依賴</v>
      </c>
      <c xmlns="http://schemas.openxmlformats.org/spreadsheetml/2006/main" r="W99" s="18" t="str">
        <f t="shared" si="8"/>
        <v>僅依賴1台設備，須確認故障/排修時之備援製程</v>
      </c>
      <c r="X99" s="22"/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 t="s">
        <v>337</v>
      </c>
      <c r="B100" s="22" t="s">
        <v>127</v>
      </c>
      <c r="C100" s="22" t="s">
        <v>308</v>
      </c>
      <c r="D100" s="22" t="s">
        <v>224</v>
      </c>
      <c r="E100" s="22" t="s">
        <v>226</v>
      </c>
      <c r="F100" s="23">
        <v>6</v>
      </c>
      <c r="G100" s="23" t="s">
        <v>75</v>
      </c>
      <c r="H100" s="24">
        <v>100</v>
      </c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 t="s">
        <v>76</v>
      </c>
      <c xmlns="http://schemas.openxmlformats.org/spreadsheetml/2006/main" r="U100" s="23">
        <f t="shared" si="6"/>
        <v>0.0</v>
      </c>
      <c xmlns="http://schemas.openxmlformats.org/spreadsheetml/2006/main" r="V100" s="22" t="str">
        <f t="shared" si="7"/>
        <v>○ 免調理</v>
      </c>
      <c xmlns="http://schemas.openxmlformats.org/spreadsheetml/2006/main" r="W100" s="18" t="str">
        <f t="shared" si="8"/>
        <v>免調理半成品（外購/僅切配等），不列入設備風險評估</v>
      </c>
      <c r="X100" s="22"/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 t="s">
        <v>337</v>
      </c>
      <c r="B101" s="22" t="s">
        <v>127</v>
      </c>
      <c r="C101" s="22" t="s">
        <v>308</v>
      </c>
      <c r="D101" s="22" t="s">
        <v>224</v>
      </c>
      <c r="E101" s="22" t="s">
        <v>227</v>
      </c>
      <c r="F101" s="23">
        <v>0.4</v>
      </c>
      <c r="G101" s="23" t="s">
        <v>75</v>
      </c>
      <c r="H101" s="24">
        <v>100</v>
      </c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 t="s">
        <v>76</v>
      </c>
      <c xmlns="http://schemas.openxmlformats.org/spreadsheetml/2006/main" r="U101" s="23">
        <f t="shared" si="6"/>
        <v>0.0</v>
      </c>
      <c xmlns="http://schemas.openxmlformats.org/spreadsheetml/2006/main" r="V101" s="22" t="str">
        <f t="shared" si="7"/>
        <v>○ 免調理</v>
      </c>
      <c xmlns="http://schemas.openxmlformats.org/spreadsheetml/2006/main" r="W101" s="18" t="str">
        <f t="shared" si="8"/>
        <v>免調理半成品（外購/僅切配等），不列入設備風險評估</v>
      </c>
      <c r="X101" s="22"/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 t="s">
        <v>337</v>
      </c>
      <c r="B102" s="22" t="s">
        <v>127</v>
      </c>
      <c r="C102" s="22" t="s">
        <v>308</v>
      </c>
      <c r="D102" s="22" t="s">
        <v>228</v>
      </c>
      <c r="E102" s="22" t="s">
        <v>229</v>
      </c>
      <c r="F102" s="23">
        <v>180</v>
      </c>
      <c r="G102" s="23" t="s">
        <v>75</v>
      </c>
      <c r="H102" s="24">
        <v>164</v>
      </c>
      <c r="I102" s="25"/>
      <c r="J102" s="25" t="s">
        <v>76</v>
      </c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>
        <f t="shared" si="6"/>
        <v>1.0</v>
      </c>
      <c xmlns="http://schemas.openxmlformats.org/spreadsheetml/2006/main" r="V102" s="22" t="str">
        <f t="shared" si="7"/>
        <v>▲ 單一設備依賴</v>
      </c>
      <c xmlns="http://schemas.openxmlformats.org/spreadsheetml/2006/main" r="W102" s="18" t="str">
        <f t="shared" si="8"/>
        <v>僅依賴1台設備，須確認故障/排修時之備援製程</v>
      </c>
      <c r="X102" s="22"/>
      <c r="Y102" s="22"/>
      <c xmlns="http://schemas.openxmlformats.org/spreadsheetml/2006/main" r="Z102">
        <f>IF($D102="",0,IF(COUNTIF($D$5:$D102,$D102)=1,1,0))</f>
        <v>1.0</v>
      </c>
      <c xmlns="http://schemas.openxmlformats.org/spreadsheetml/2006/main" r="AA102">
        <f>IF(Z102=1,SUM($Z$5:$Z102),"")</f>
        <v>17.0</v>
      </c>
    </row>
    <row r="103" spans="1:27">
      <c r="A103" s="22" t="s">
        <v>337</v>
      </c>
      <c r="B103" s="22" t="s">
        <v>127</v>
      </c>
      <c r="C103" s="22" t="s">
        <v>308</v>
      </c>
      <c r="D103" s="22" t="s">
        <v>228</v>
      </c>
      <c r="E103" s="22" t="s">
        <v>230</v>
      </c>
      <c r="F103" s="23">
        <v>90</v>
      </c>
      <c r="G103" s="23" t="s">
        <v>75</v>
      </c>
      <c r="H103" s="24">
        <v>75</v>
      </c>
      <c r="I103" s="25"/>
      <c r="J103" s="25"/>
      <c r="K103" s="25"/>
      <c r="L103" s="25"/>
      <c r="M103" s="25"/>
      <c r="N103" s="25"/>
      <c r="O103" s="25" t="s">
        <v>76</v>
      </c>
      <c r="P103" s="25"/>
      <c r="Q103" s="25"/>
      <c r="R103" s="25"/>
      <c r="S103" s="25"/>
      <c r="T103" s="26"/>
      <c xmlns="http://schemas.openxmlformats.org/spreadsheetml/2006/main" r="U103" s="23">
        <f t="shared" si="6"/>
        <v>1.0</v>
      </c>
      <c xmlns="http://schemas.openxmlformats.org/spreadsheetml/2006/main" r="V103" s="22" t="str">
        <f t="shared" si="7"/>
        <v>▲ 單一設備依賴</v>
      </c>
      <c xmlns="http://schemas.openxmlformats.org/spreadsheetml/2006/main" r="W103" s="18" t="str">
        <f t="shared" si="8"/>
        <v>僅依賴1台設備，須確認故障/排修時之備援製程</v>
      </c>
      <c r="X103" s="22"/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 t="s">
        <v>337</v>
      </c>
      <c r="B104" s="22" t="s">
        <v>127</v>
      </c>
      <c r="C104" s="22" t="s">
        <v>308</v>
      </c>
      <c r="D104" s="22" t="s">
        <v>228</v>
      </c>
      <c r="E104" s="22" t="s">
        <v>231</v>
      </c>
      <c r="F104" s="23">
        <v>8</v>
      </c>
      <c r="G104" s="23" t="s">
        <v>75</v>
      </c>
      <c r="H104" s="24">
        <v>90</v>
      </c>
      <c r="I104" s="25"/>
      <c r="J104" s="25"/>
      <c r="K104" s="25"/>
      <c r="L104" s="25"/>
      <c r="M104" s="25"/>
      <c r="N104" s="25"/>
      <c r="O104" s="25" t="s">
        <v>76</v>
      </c>
      <c r="P104" s="25"/>
      <c r="Q104" s="25"/>
      <c r="R104" s="25"/>
      <c r="S104" s="25"/>
      <c r="T104" s="26"/>
      <c xmlns="http://schemas.openxmlformats.org/spreadsheetml/2006/main" r="U104" s="23">
        <f t="shared" si="6"/>
        <v>1.0</v>
      </c>
      <c xmlns="http://schemas.openxmlformats.org/spreadsheetml/2006/main" r="V104" s="22" t="str">
        <f t="shared" si="7"/>
        <v>▲ 單一設備依賴</v>
      </c>
      <c xmlns="http://schemas.openxmlformats.org/spreadsheetml/2006/main" r="W104" s="18" t="str">
        <f t="shared" si="8"/>
        <v>僅依賴1台設備，須確認故障/排修時之備援製程</v>
      </c>
      <c r="X104" s="22"/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 t="s">
        <v>337</v>
      </c>
      <c r="B105" s="22" t="s">
        <v>127</v>
      </c>
      <c r="C105" s="22" t="s">
        <v>308</v>
      </c>
      <c r="D105" s="22" t="s">
        <v>228</v>
      </c>
      <c r="E105" s="22" t="s">
        <v>232</v>
      </c>
      <c r="F105" s="23">
        <v>26</v>
      </c>
      <c r="G105" s="23" t="s">
        <v>75</v>
      </c>
      <c r="H105" s="24">
        <v>74</v>
      </c>
      <c r="I105" s="25"/>
      <c r="J105" s="25"/>
      <c r="K105" s="25"/>
      <c r="L105" s="25"/>
      <c r="M105" s="25" t="s">
        <v>76</v>
      </c>
      <c r="N105" s="25"/>
      <c r="O105" s="25"/>
      <c r="P105" s="25"/>
      <c r="Q105" s="25"/>
      <c r="R105" s="25"/>
      <c r="S105" s="25"/>
      <c r="T105" s="26"/>
      <c xmlns="http://schemas.openxmlformats.org/spreadsheetml/2006/main" r="U105" s="23">
        <f t="shared" si="6"/>
        <v>1.0</v>
      </c>
      <c xmlns="http://schemas.openxmlformats.org/spreadsheetml/2006/main" r="V105" s="22" t="str">
        <f t="shared" si="7"/>
        <v>▲ 單一設備依賴</v>
      </c>
      <c xmlns="http://schemas.openxmlformats.org/spreadsheetml/2006/main" r="W105" s="18" t="str">
        <f t="shared" si="8"/>
        <v>僅依賴1台設備，須確認故障/排修時之備援製程</v>
      </c>
      <c r="X105" s="22"/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 t="s">
        <v>338</v>
      </c>
      <c r="B106" s="22" t="s">
        <v>127</v>
      </c>
      <c r="C106" s="22" t="s">
        <v>308</v>
      </c>
      <c r="D106" s="22" t="s">
        <v>276</v>
      </c>
      <c r="E106" s="22" t="s">
        <v>271</v>
      </c>
      <c r="F106" s="23">
        <v>220</v>
      </c>
      <c r="G106" s="23" t="s">
        <v>75</v>
      </c>
      <c r="H106" s="24">
        <v>210</v>
      </c>
      <c r="I106" s="25"/>
      <c r="J106" s="25" t="s">
        <v>76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>
        <f t="shared" si="6"/>
        <v>1.0</v>
      </c>
      <c xmlns="http://schemas.openxmlformats.org/spreadsheetml/2006/main" r="V106" s="22" t="str">
        <f t="shared" si="7"/>
        <v>▲ 單一設備依賴</v>
      </c>
      <c xmlns="http://schemas.openxmlformats.org/spreadsheetml/2006/main" r="W106" s="18" t="str">
        <f t="shared" si="8"/>
        <v>僅依賴1台設備，須確認故障/排修時之備援製程</v>
      </c>
      <c r="X106" s="22" t="s">
        <v>277</v>
      </c>
      <c r="Y106" s="22" t="s">
        <v>278</v>
      </c>
      <c xmlns="http://schemas.openxmlformats.org/spreadsheetml/2006/main" r="Z106">
        <f>IF($D106="",0,IF(COUNTIF($D$5:$D106,$D106)=1,1,0))</f>
        <v>1.0</v>
      </c>
      <c xmlns="http://schemas.openxmlformats.org/spreadsheetml/2006/main" r="AA106">
        <f>IF(Z106=1,SUM($Z$5:$Z106),"")</f>
        <v>18.0</v>
      </c>
    </row>
    <row r="107" spans="1:27">
      <c r="A107" s="22" t="s">
        <v>338</v>
      </c>
      <c r="B107" s="22" t="s">
        <v>127</v>
      </c>
      <c r="C107" s="22" t="s">
        <v>308</v>
      </c>
      <c r="D107" s="22" t="s">
        <v>276</v>
      </c>
      <c r="E107" s="22" t="s">
        <v>272</v>
      </c>
      <c r="F107" s="23">
        <v>80</v>
      </c>
      <c r="G107" s="23" t="s">
        <v>75</v>
      </c>
      <c r="H107" s="24">
        <v>73</v>
      </c>
      <c r="I107" s="25"/>
      <c r="J107" s="25"/>
      <c r="K107" s="25"/>
      <c r="L107" s="25"/>
      <c r="M107" s="25"/>
      <c r="N107" s="25"/>
      <c r="O107" s="25" t="s">
        <v>76</v>
      </c>
      <c r="P107" s="25"/>
      <c r="Q107" s="25"/>
      <c r="R107" s="25"/>
      <c r="S107" s="25"/>
      <c r="T107" s="26"/>
      <c xmlns="http://schemas.openxmlformats.org/spreadsheetml/2006/main" r="U107" s="23">
        <f t="shared" si="6"/>
        <v>1.0</v>
      </c>
      <c xmlns="http://schemas.openxmlformats.org/spreadsheetml/2006/main" r="V107" s="22" t="str">
        <f t="shared" si="7"/>
        <v>▲ 單一設備依賴</v>
      </c>
      <c xmlns="http://schemas.openxmlformats.org/spreadsheetml/2006/main" r="W107" s="18" t="str">
        <f t="shared" si="8"/>
        <v>僅依賴1台設備，須確認故障/排修時之備援製程</v>
      </c>
      <c r="X107" s="22" t="s">
        <v>277</v>
      </c>
      <c r="Y107" s="22" t="s">
        <v>278</v>
      </c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 t="s">
        <v>338</v>
      </c>
      <c r="B108" s="22" t="s">
        <v>127</v>
      </c>
      <c r="C108" s="22" t="s">
        <v>308</v>
      </c>
      <c r="D108" s="22" t="s">
        <v>276</v>
      </c>
      <c r="E108" s="22" t="s">
        <v>273</v>
      </c>
      <c r="F108" s="23">
        <v>15</v>
      </c>
      <c r="G108" s="23" t="s">
        <v>75</v>
      </c>
      <c r="H108" s="24">
        <v>60</v>
      </c>
      <c r="I108" s="25"/>
      <c r="J108" s="25"/>
      <c r="K108" s="25"/>
      <c r="L108" s="25"/>
      <c r="M108" s="25"/>
      <c r="N108" s="25"/>
      <c r="O108" s="25" t="s">
        <v>76</v>
      </c>
      <c r="P108" s="25"/>
      <c r="Q108" s="25"/>
      <c r="R108" s="25"/>
      <c r="S108" s="25"/>
      <c r="T108" s="26"/>
      <c xmlns="http://schemas.openxmlformats.org/spreadsheetml/2006/main" r="U108" s="23">
        <f t="shared" si="6"/>
        <v>1.0</v>
      </c>
      <c xmlns="http://schemas.openxmlformats.org/spreadsheetml/2006/main" r="V108" s="22" t="str">
        <f t="shared" si="7"/>
        <v>▲ 單一設備依賴</v>
      </c>
      <c xmlns="http://schemas.openxmlformats.org/spreadsheetml/2006/main" r="W108" s="18" t="str">
        <f t="shared" si="8"/>
        <v>僅依賴1台設備，須確認故障/排修時之備援製程</v>
      </c>
      <c r="X108" s="22" t="s">
        <v>277</v>
      </c>
      <c r="Y108" s="22" t="s">
        <v>278</v>
      </c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 t="s">
        <v>338</v>
      </c>
      <c r="B109" s="22" t="s">
        <v>127</v>
      </c>
      <c r="C109" s="22" t="s">
        <v>308</v>
      </c>
      <c r="D109" s="22" t="s">
        <v>276</v>
      </c>
      <c r="E109" s="22" t="s">
        <v>274</v>
      </c>
      <c r="F109" s="23">
        <v>24</v>
      </c>
      <c r="G109" s="23" t="s">
        <v>75</v>
      </c>
      <c r="H109" s="24">
        <v>90</v>
      </c>
      <c r="I109" s="25"/>
      <c r="J109" s="25"/>
      <c r="K109" s="25"/>
      <c r="L109" s="25"/>
      <c r="M109" s="25" t="s">
        <v>76</v>
      </c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>
        <f t="shared" si="6"/>
        <v>1.0</v>
      </c>
      <c xmlns="http://schemas.openxmlformats.org/spreadsheetml/2006/main" r="V109" s="22" t="str">
        <f t="shared" si="7"/>
        <v>▲ 單一設備依賴</v>
      </c>
      <c xmlns="http://schemas.openxmlformats.org/spreadsheetml/2006/main" r="W109" s="18" t="str">
        <f t="shared" si="8"/>
        <v>僅依賴1台設備，須確認故障/排修時之備援製程</v>
      </c>
      <c r="X109" s="22" t="s">
        <v>277</v>
      </c>
      <c r="Y109" s="22" t="s">
        <v>278</v>
      </c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 t="s">
        <v>338</v>
      </c>
      <c r="B110" s="22" t="s">
        <v>127</v>
      </c>
      <c r="C110" s="22" t="s">
        <v>308</v>
      </c>
      <c r="D110" s="22" t="s">
        <v>276</v>
      </c>
      <c r="E110" s="22" t="s">
        <v>147</v>
      </c>
      <c r="F110" s="23">
        <v>0.2</v>
      </c>
      <c r="G110" s="23" t="s">
        <v>75</v>
      </c>
      <c r="H110" s="24">
        <v>100</v>
      </c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 t="s">
        <v>76</v>
      </c>
      <c xmlns="http://schemas.openxmlformats.org/spreadsheetml/2006/main" r="U110" s="23">
        <f t="shared" si="6"/>
        <v>0.0</v>
      </c>
      <c xmlns="http://schemas.openxmlformats.org/spreadsheetml/2006/main" r="V110" s="22" t="str">
        <f t="shared" si="7"/>
        <v>○ 免調理</v>
      </c>
      <c xmlns="http://schemas.openxmlformats.org/spreadsheetml/2006/main" r="W110" s="18" t="str">
        <f t="shared" si="8"/>
        <v>免調理半成品（外購/僅切配等），不列入設備風險評估</v>
      </c>
      <c r="X110" s="22" t="s">
        <v>277</v>
      </c>
      <c r="Y110" s="22" t="s">
        <v>278</v>
      </c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 t="s">
        <v>338</v>
      </c>
      <c r="B111" s="22" t="s">
        <v>127</v>
      </c>
      <c r="C111" s="22" t="s">
        <v>308</v>
      </c>
      <c r="D111" s="22" t="s">
        <v>276</v>
      </c>
      <c r="E111" s="22" t="s">
        <v>275</v>
      </c>
      <c r="F111" s="23">
        <v>0.3</v>
      </c>
      <c r="G111" s="23" t="s">
        <v>75</v>
      </c>
      <c r="H111" s="24">
        <v>100</v>
      </c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 t="s">
        <v>76</v>
      </c>
      <c xmlns="http://schemas.openxmlformats.org/spreadsheetml/2006/main" r="U111" s="23">
        <f t="shared" si="6"/>
        <v>0.0</v>
      </c>
      <c xmlns="http://schemas.openxmlformats.org/spreadsheetml/2006/main" r="V111" s="22" t="str">
        <f t="shared" si="7"/>
        <v>○ 免調理</v>
      </c>
      <c xmlns="http://schemas.openxmlformats.org/spreadsheetml/2006/main" r="W111" s="18" t="str">
        <f t="shared" si="8"/>
        <v>免調理半成品（外購/僅切配等），不列入設備風險評估</v>
      </c>
      <c r="X111" s="22" t="s">
        <v>277</v>
      </c>
      <c r="Y111" s="22" t="s">
        <v>278</v>
      </c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 t="s">
        <v>338</v>
      </c>
      <c r="B112" s="22" t="s">
        <v>127</v>
      </c>
      <c r="C112" s="22" t="s">
        <v>308</v>
      </c>
      <c r="D112" s="22" t="s">
        <v>279</v>
      </c>
      <c r="E112" s="22" t="s">
        <v>280</v>
      </c>
      <c r="F112" s="23">
        <v>260</v>
      </c>
      <c r="G112" s="23" t="s">
        <v>75</v>
      </c>
      <c r="H112" s="24">
        <v>83</v>
      </c>
      <c r="I112" s="25"/>
      <c r="J112" s="25" t="s">
        <v>76</v>
      </c>
      <c r="K112" s="25"/>
      <c r="L112" s="25"/>
      <c r="M112" s="25"/>
      <c r="N112" s="25"/>
      <c r="O112" s="25" t="s">
        <v>76</v>
      </c>
      <c r="P112" s="25"/>
      <c r="Q112" s="25" t="s">
        <v>76</v>
      </c>
      <c r="R112" s="25"/>
      <c r="S112" s="25"/>
      <c r="T112" s="26"/>
      <c xmlns="http://schemas.openxmlformats.org/spreadsheetml/2006/main" r="U112" s="23">
        <f t="shared" si="6"/>
        <v>3.0</v>
      </c>
      <c xmlns="http://schemas.openxmlformats.org/spreadsheetml/2006/main" r="V112" s="22" t="str">
        <f t="shared" si="7"/>
        <v>OK</v>
      </c>
      <c xmlns="http://schemas.openxmlformats.org/spreadsheetml/2006/main" r="W112" s="18" t="str">
        <f t="shared" si="8"/>
        <v>無異常</v>
      </c>
      <c r="X112" s="22" t="s">
        <v>284</v>
      </c>
      <c r="Y112" s="22" t="s">
        <v>278</v>
      </c>
      <c xmlns="http://schemas.openxmlformats.org/spreadsheetml/2006/main" r="Z112">
        <f>IF($D112="",0,IF(COUNTIF($D$5:$D112,$D112)=1,1,0))</f>
        <v>1.0</v>
      </c>
      <c xmlns="http://schemas.openxmlformats.org/spreadsheetml/2006/main" r="AA112">
        <f>IF(Z112=1,SUM($Z$5:$Z112),"")</f>
        <v>19.0</v>
      </c>
    </row>
    <row r="113" spans="1:27">
      <c r="A113" s="22" t="s">
        <v>338</v>
      </c>
      <c r="B113" s="22" t="s">
        <v>127</v>
      </c>
      <c r="C113" s="22" t="s">
        <v>308</v>
      </c>
      <c r="D113" s="22" t="s">
        <v>279</v>
      </c>
      <c r="E113" s="22" t="s">
        <v>281</v>
      </c>
      <c r="F113" s="23">
        <v>60</v>
      </c>
      <c r="G113" s="23" t="s">
        <v>75</v>
      </c>
      <c r="H113" s="24">
        <v>100</v>
      </c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 t="s">
        <v>76</v>
      </c>
      <c xmlns="http://schemas.openxmlformats.org/spreadsheetml/2006/main" r="U113" s="23">
        <f t="shared" si="6"/>
        <v>0.0</v>
      </c>
      <c xmlns="http://schemas.openxmlformats.org/spreadsheetml/2006/main" r="V113" s="22" t="str">
        <f t="shared" si="7"/>
        <v>○ 免調理</v>
      </c>
      <c xmlns="http://schemas.openxmlformats.org/spreadsheetml/2006/main" r="W113" s="18" t="str">
        <f t="shared" si="8"/>
        <v>免調理半成品（外購/僅切配等），不列入設備風險評估</v>
      </c>
      <c r="X113" s="22" t="s">
        <v>284</v>
      </c>
      <c r="Y113" s="22" t="s">
        <v>278</v>
      </c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 t="s">
        <v>338</v>
      </c>
      <c r="B114" s="22" t="s">
        <v>127</v>
      </c>
      <c r="C114" s="22" t="s">
        <v>308</v>
      </c>
      <c r="D114" s="22" t="s">
        <v>279</v>
      </c>
      <c r="E114" s="22" t="s">
        <v>163</v>
      </c>
      <c r="F114" s="23">
        <v>3</v>
      </c>
      <c r="G114" s="23" t="s">
        <v>75</v>
      </c>
      <c r="H114" s="24">
        <v>100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 t="s">
        <v>76</v>
      </c>
      <c xmlns="http://schemas.openxmlformats.org/spreadsheetml/2006/main" r="U114" s="23">
        <f t="shared" si="6"/>
        <v>0.0</v>
      </c>
      <c xmlns="http://schemas.openxmlformats.org/spreadsheetml/2006/main" r="V114" s="22" t="str">
        <f t="shared" si="7"/>
        <v>○ 免調理</v>
      </c>
      <c xmlns="http://schemas.openxmlformats.org/spreadsheetml/2006/main" r="W114" s="18" t="str">
        <f t="shared" si="8"/>
        <v>免調理半成品（外購/僅切配等），不列入設備風險評估</v>
      </c>
      <c r="X114" s="22" t="s">
        <v>284</v>
      </c>
      <c r="Y114" s="22" t="s">
        <v>278</v>
      </c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 t="s">
        <v>338</v>
      </c>
      <c r="B115" s="22" t="s">
        <v>127</v>
      </c>
      <c r="C115" s="22" t="s">
        <v>308</v>
      </c>
      <c r="D115" s="22" t="s">
        <v>279</v>
      </c>
      <c r="E115" s="22" t="s">
        <v>282</v>
      </c>
      <c r="F115" s="23">
        <v>8</v>
      </c>
      <c r="G115" s="23" t="s">
        <v>75</v>
      </c>
      <c r="H115" s="24">
        <v>100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 t="s">
        <v>76</v>
      </c>
      <c xmlns="http://schemas.openxmlformats.org/spreadsheetml/2006/main" r="U115" s="23">
        <f t="shared" si="6"/>
        <v>0.0</v>
      </c>
      <c xmlns="http://schemas.openxmlformats.org/spreadsheetml/2006/main" r="V115" s="22" t="str">
        <f t="shared" si="7"/>
        <v>○ 免調理</v>
      </c>
      <c xmlns="http://schemas.openxmlformats.org/spreadsheetml/2006/main" r="W115" s="18" t="str">
        <f t="shared" si="8"/>
        <v>免調理半成品（外購/僅切配等），不列入設備風險評估</v>
      </c>
      <c r="X115" s="22" t="s">
        <v>284</v>
      </c>
      <c r="Y115" s="22" t="s">
        <v>278</v>
      </c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 t="s">
        <v>338</v>
      </c>
      <c r="B116" s="22" t="s">
        <v>127</v>
      </c>
      <c r="C116" s="22" t="s">
        <v>308</v>
      </c>
      <c r="D116" s="22" t="s">
        <v>279</v>
      </c>
      <c r="E116" s="22" t="s">
        <v>283</v>
      </c>
      <c r="F116" s="23">
        <v>10</v>
      </c>
      <c r="G116" s="23" t="s">
        <v>78</v>
      </c>
      <c r="H116" s="24">
        <v>100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 t="s">
        <v>76</v>
      </c>
      <c xmlns="http://schemas.openxmlformats.org/spreadsheetml/2006/main" r="U116" s="23">
        <f t="shared" si="6"/>
        <v>0.0</v>
      </c>
      <c xmlns="http://schemas.openxmlformats.org/spreadsheetml/2006/main" r="V116" s="22" t="str">
        <f t="shared" si="7"/>
        <v>○ 免調理</v>
      </c>
      <c xmlns="http://schemas.openxmlformats.org/spreadsheetml/2006/main" r="W116" s="18" t="str">
        <f t="shared" si="8"/>
        <v>免調理半成品（外購/僅切配等），不列入設備風險評估</v>
      </c>
      <c r="X116" s="22" t="s">
        <v>284</v>
      </c>
      <c r="Y116" s="22" t="s">
        <v>278</v>
      </c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 t="inlineStr">
        <is>
          <t>架上</t>
        </is>
      </c>
      <c r="B117" s="22" t="s">
        <v>127</v>
      </c>
      <c r="C117" s="22" t="s">
        <v>308</v>
      </c>
      <c r="D117" s="22" t="s">
        <v>288</v>
      </c>
      <c r="E117" s="22" t="s">
        <v>285</v>
      </c>
      <c r="F117" s="23">
        <v>240</v>
      </c>
      <c r="G117" s="23" t="s">
        <v>75</v>
      </c>
      <c r="H117" s="24">
        <v>83</v>
      </c>
      <c r="I117" s="25"/>
      <c r="J117" s="25" t="s">
        <v>76</v>
      </c>
      <c r="K117" s="25"/>
      <c r="L117" s="25"/>
      <c r="M117" s="25"/>
      <c r="N117" s="25"/>
      <c r="O117" s="25" t="s">
        <v>76</v>
      </c>
      <c r="P117" s="25"/>
      <c r="Q117" s="25" t="s">
        <v>76</v>
      </c>
      <c r="R117" s="25"/>
      <c r="S117" s="25"/>
      <c r="T117" s="26"/>
      <c xmlns="http://schemas.openxmlformats.org/spreadsheetml/2006/main" r="U117" s="23">
        <f t="shared" si="6"/>
        <v>3.0</v>
      </c>
      <c xmlns="http://schemas.openxmlformats.org/spreadsheetml/2006/main" r="V117" s="22" t="str">
        <f t="shared" si="7"/>
        <v>OK</v>
      </c>
      <c xmlns="http://schemas.openxmlformats.org/spreadsheetml/2006/main" r="W117" s="18" t="str">
        <f t="shared" si="8"/>
        <v>無異常</v>
      </c>
      <c r="X117" s="22" t="s">
        <v>289</v>
      </c>
      <c r="Y117" s="22" t="s">
        <v>270</v>
      </c>
      <c xmlns="http://schemas.openxmlformats.org/spreadsheetml/2006/main" r="Z117">
        <f>IF($D117="",0,IF(COUNTIF($D$5:$D117,$D117)=1,1,0))</f>
        <v>1.0</v>
      </c>
      <c xmlns="http://schemas.openxmlformats.org/spreadsheetml/2006/main" r="AA117">
        <f>IF(Z117=1,SUM($Z$5:$Z117),"")</f>
        <v>20.0</v>
      </c>
    </row>
    <row r="118" spans="1:27">
      <c r="A118" s="22" t="inlineStr">
        <is>
          <t>架上</t>
        </is>
      </c>
      <c r="B118" s="22" t="s">
        <v>127</v>
      </c>
      <c r="C118" s="22" t="s">
        <v>308</v>
      </c>
      <c r="D118" s="22" t="s">
        <v>288</v>
      </c>
      <c r="E118" s="22" t="s">
        <v>286</v>
      </c>
      <c r="F118" s="23">
        <v>55</v>
      </c>
      <c r="G118" s="23" t="s">
        <v>75</v>
      </c>
      <c r="H118" s="24">
        <v>73</v>
      </c>
      <c r="I118" s="25"/>
      <c r="J118" s="25"/>
      <c r="K118" s="25"/>
      <c r="L118" s="25"/>
      <c r="M118" s="25"/>
      <c r="N118" s="25"/>
      <c r="O118" s="25" t="s">
        <v>76</v>
      </c>
      <c r="P118" s="25"/>
      <c r="Q118" s="25"/>
      <c r="R118" s="25"/>
      <c r="S118" s="25"/>
      <c r="T118" s="26"/>
      <c xmlns="http://schemas.openxmlformats.org/spreadsheetml/2006/main" r="U118" s="23">
        <f t="shared" si="6"/>
        <v>1.0</v>
      </c>
      <c xmlns="http://schemas.openxmlformats.org/spreadsheetml/2006/main" r="V118" s="22" t="str">
        <f t="shared" si="7"/>
        <v>▲ 單一設備依賴</v>
      </c>
      <c xmlns="http://schemas.openxmlformats.org/spreadsheetml/2006/main" r="W118" s="18" t="str">
        <f t="shared" si="8"/>
        <v>僅依賴1台設備，須確認故障/排修時之備援製程</v>
      </c>
      <c r="X118" s="22" t="s">
        <v>289</v>
      </c>
      <c r="Y118" s="22" t="s">
        <v>270</v>
      </c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 t="inlineStr">
        <is>
          <t>架上</t>
        </is>
      </c>
      <c r="B119" s="22" t="s">
        <v>127</v>
      </c>
      <c r="C119" s="22" t="s">
        <v>308</v>
      </c>
      <c r="D119" s="22" t="s">
        <v>288</v>
      </c>
      <c r="E119" s="22" t="s">
        <v>163</v>
      </c>
      <c r="F119" s="23">
        <v>1</v>
      </c>
      <c r="G119" s="23" t="s">
        <v>75</v>
      </c>
      <c r="H119" s="24">
        <v>100</v>
      </c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 t="s">
        <v>76</v>
      </c>
      <c xmlns="http://schemas.openxmlformats.org/spreadsheetml/2006/main" r="U119" s="23">
        <f t="shared" si="6"/>
        <v>0.0</v>
      </c>
      <c xmlns="http://schemas.openxmlformats.org/spreadsheetml/2006/main" r="V119" s="22" t="str">
        <f t="shared" si="7"/>
        <v>○ 免調理</v>
      </c>
      <c xmlns="http://schemas.openxmlformats.org/spreadsheetml/2006/main" r="W119" s="18" t="str">
        <f t="shared" si="8"/>
        <v>免調理半成品（外購/僅切配等），不列入設備風險評估</v>
      </c>
      <c r="X119" s="22" t="s">
        <v>289</v>
      </c>
      <c r="Y119" s="22" t="s">
        <v>270</v>
      </c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 t="inlineStr">
        <is>
          <t>架上</t>
        </is>
      </c>
      <c r="B120" s="22" t="s">
        <v>127</v>
      </c>
      <c r="C120" s="22" t="s">
        <v>308</v>
      </c>
      <c r="D120" s="22" t="s">
        <v>288</v>
      </c>
      <c r="E120" s="22" t="s">
        <v>227</v>
      </c>
      <c r="F120" s="23">
        <v>0.4</v>
      </c>
      <c r="G120" s="23" t="s">
        <v>75</v>
      </c>
      <c r="H120" s="24">
        <v>100</v>
      </c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 t="s">
        <v>76</v>
      </c>
      <c xmlns="http://schemas.openxmlformats.org/spreadsheetml/2006/main" r="U120" s="23">
        <f t="shared" si="6"/>
        <v>0.0</v>
      </c>
      <c xmlns="http://schemas.openxmlformats.org/spreadsheetml/2006/main" r="V120" s="22" t="str">
        <f t="shared" si="7"/>
        <v>○ 免調理</v>
      </c>
      <c xmlns="http://schemas.openxmlformats.org/spreadsheetml/2006/main" r="W120" s="18" t="str">
        <f t="shared" si="8"/>
        <v>免調理半成品（外購/僅切配等），不列入設備風險評估</v>
      </c>
      <c r="X120" s="22" t="s">
        <v>289</v>
      </c>
      <c r="Y120" s="22" t="s">
        <v>270</v>
      </c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 t="inlineStr">
        <is>
          <t>架上</t>
        </is>
      </c>
      <c r="B121" s="22" t="s">
        <v>127</v>
      </c>
      <c r="C121" s="22" t="s">
        <v>308</v>
      </c>
      <c r="D121" s="22" t="s">
        <v>288</v>
      </c>
      <c r="E121" s="22" t="s">
        <v>197</v>
      </c>
      <c r="F121" s="23">
        <v>6</v>
      </c>
      <c r="G121" s="23" t="s">
        <v>75</v>
      </c>
      <c r="H121" s="24">
        <v>60</v>
      </c>
      <c r="I121" s="25"/>
      <c r="J121" s="25"/>
      <c r="K121" s="25" t="s">
        <v>76</v>
      </c>
      <c r="L121" s="25"/>
      <c r="M121" s="25"/>
      <c r="N121" s="25"/>
      <c r="O121" s="25"/>
      <c r="P121" s="25"/>
      <c r="Q121" s="25"/>
      <c r="R121" s="25"/>
      <c r="S121" s="25"/>
      <c r="T121" s="26"/>
      <c xmlns="http://schemas.openxmlformats.org/spreadsheetml/2006/main" r="U121" s="23">
        <f t="shared" ref="U121:U184" si="9">IF($E121="","",COUNTIF($I121:$S121,"V"))</f>
        <v>1.0</v>
      </c>
      <c xmlns="http://schemas.openxmlformats.org/spreadsheetml/2006/main" r="V121" s="22" t="str">
        <f t="shared" ref="V121:V184" si="10">IF($E121="","",IF(AND($T121="V",$U121&gt;0),"⚠ 勾選矛盾",IF($T121="V","○ 免調理",IF($U121=0,"⚠ 資料缺漏",IF($U121=1,"▲ 單一設備依賴","OK")))))</f>
        <v>▲ 單一設備依賴</v>
      </c>
      <c xmlns="http://schemas.openxmlformats.org/spreadsheetml/2006/main" r="W121" s="18" t="str">
        <f t="shared" ref="W121:W184" si="11">IF($E121="","",IF(AND($T121="V",$U121&gt;0),"「無使用調理設備」不可與設備欄同時勾選，請擇一修正",IF($T121="V","免調理半成品（外購/僅切配等），不列入設備風險評估",IF($U121=0,"未勾選任何設備，請補填或勾選「無使用調理設備」",IF($U121=1,"僅依賴1台設備，須確認故障/排修時之備援製程","無異常")))))</f>
        <v>僅依賴1台設備，須確認故障/排修時之備援製程</v>
      </c>
      <c r="X121" s="22" t="s">
        <v>289</v>
      </c>
      <c r="Y121" s="22" t="s">
        <v>270</v>
      </c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 t="inlineStr">
        <is>
          <t>架上</t>
        </is>
      </c>
      <c r="B122" s="22" t="s">
        <v>127</v>
      </c>
      <c r="C122" s="22" t="s">
        <v>308</v>
      </c>
      <c r="D122" s="22" t="s">
        <v>288</v>
      </c>
      <c r="E122" s="22" t="s">
        <v>226</v>
      </c>
      <c r="F122" s="23">
        <v>5</v>
      </c>
      <c r="G122" s="23" t="s">
        <v>75</v>
      </c>
      <c r="H122" s="24">
        <v>100</v>
      </c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 t="s">
        <v>76</v>
      </c>
      <c xmlns="http://schemas.openxmlformats.org/spreadsheetml/2006/main" r="U122" s="23">
        <f t="shared" si="9"/>
        <v>0.0</v>
      </c>
      <c xmlns="http://schemas.openxmlformats.org/spreadsheetml/2006/main" r="V122" s="22" t="str">
        <f t="shared" si="10"/>
        <v>○ 免調理</v>
      </c>
      <c xmlns="http://schemas.openxmlformats.org/spreadsheetml/2006/main" r="W122" s="18" t="str">
        <f t="shared" si="11"/>
        <v>免調理半成品（外購/僅切配等），不列入設備風險評估</v>
      </c>
      <c r="X122" s="22" t="s">
        <v>289</v>
      </c>
      <c r="Y122" s="22" t="s">
        <v>270</v>
      </c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 t="inlineStr">
        <is>
          <t>架上</t>
        </is>
      </c>
      <c r="B123" s="22" t="s">
        <v>127</v>
      </c>
      <c r="C123" s="22" t="s">
        <v>308</v>
      </c>
      <c r="D123" s="22" t="s">
        <v>288</v>
      </c>
      <c r="E123" s="22" t="s">
        <v>287</v>
      </c>
      <c r="F123" s="23">
        <v>1</v>
      </c>
      <c r="G123" s="23" t="s">
        <v>78</v>
      </c>
      <c r="H123" s="24">
        <v>100</v>
      </c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 t="s">
        <v>76</v>
      </c>
      <c xmlns="http://schemas.openxmlformats.org/spreadsheetml/2006/main" r="U123" s="23">
        <f t="shared" si="9"/>
        <v>0.0</v>
      </c>
      <c xmlns="http://schemas.openxmlformats.org/spreadsheetml/2006/main" r="V123" s="22" t="str">
        <f t="shared" si="10"/>
        <v>○ 免調理</v>
      </c>
      <c xmlns="http://schemas.openxmlformats.org/spreadsheetml/2006/main" r="W123" s="18" t="str">
        <f t="shared" si="11"/>
        <v>免調理半成品（外購/僅切配等），不列入設備風險評估</v>
      </c>
      <c r="X123" s="22" t="s">
        <v>289</v>
      </c>
      <c r="Y123" s="22" t="s">
        <v>270</v>
      </c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 t="inlineStr">
        <is>
          <t>架上</t>
        </is>
      </c>
      <c r="B124" s="22" t="s">
        <v>127</v>
      </c>
      <c r="C124" s="22" t="s">
        <v>308</v>
      </c>
      <c r="D124" s="22" t="s">
        <v>295</v>
      </c>
      <c r="E124" s="22" t="s">
        <v>291</v>
      </c>
      <c r="F124" s="23">
        <v>230</v>
      </c>
      <c r="G124" s="23" t="s">
        <v>75</v>
      </c>
      <c r="H124" s="24">
        <v>87</v>
      </c>
      <c r="I124" s="25"/>
      <c r="J124" s="25" t="s">
        <v>76</v>
      </c>
      <c r="K124" s="25"/>
      <c r="L124" s="25"/>
      <c r="M124" s="25"/>
      <c r="N124" s="25"/>
      <c r="O124" s="25" t="s">
        <v>76</v>
      </c>
      <c r="P124" s="25"/>
      <c r="Q124" s="25" t="s">
        <v>76</v>
      </c>
      <c r="R124" s="25"/>
      <c r="S124" s="25"/>
      <c r="T124" s="26"/>
      <c xmlns="http://schemas.openxmlformats.org/spreadsheetml/2006/main" r="U124" s="23">
        <f t="shared" si="9"/>
        <v>3.0</v>
      </c>
      <c xmlns="http://schemas.openxmlformats.org/spreadsheetml/2006/main" r="V124" s="22" t="str">
        <f t="shared" si="10"/>
        <v>OK</v>
      </c>
      <c xmlns="http://schemas.openxmlformats.org/spreadsheetml/2006/main" r="W124" s="18" t="str">
        <f t="shared" si="11"/>
        <v>無異常</v>
      </c>
      <c r="X124" s="22" t="s">
        <v>290</v>
      </c>
      <c r="Y124" s="22" t="s">
        <v>270</v>
      </c>
      <c xmlns="http://schemas.openxmlformats.org/spreadsheetml/2006/main" r="Z124">
        <f>IF($D124="",0,IF(COUNTIF($D$5:$D124,$D124)=1,1,0))</f>
        <v>1.0</v>
      </c>
      <c xmlns="http://schemas.openxmlformats.org/spreadsheetml/2006/main" r="AA124">
        <f>IF(Z124=1,SUM($Z$5:$Z124),"")</f>
        <v>21.0</v>
      </c>
    </row>
    <row r="125" spans="1:27">
      <c r="A125" s="22" t="inlineStr">
        <is>
          <t>架上</t>
        </is>
      </c>
      <c r="B125" s="22" t="s">
        <v>127</v>
      </c>
      <c r="C125" s="22" t="s">
        <v>308</v>
      </c>
      <c r="D125" s="22" t="s">
        <v>295</v>
      </c>
      <c r="E125" s="22" t="s">
        <v>292</v>
      </c>
      <c r="F125" s="23">
        <v>50</v>
      </c>
      <c r="G125" s="23" t="s">
        <v>75</v>
      </c>
      <c r="H125" s="24">
        <v>73</v>
      </c>
      <c r="I125" s="25"/>
      <c r="J125" s="25"/>
      <c r="K125" s="25"/>
      <c r="L125" s="25"/>
      <c r="M125" s="25"/>
      <c r="N125" s="25"/>
      <c r="O125" s="25" t="s">
        <v>76</v>
      </c>
      <c r="P125" s="25"/>
      <c r="Q125" s="25"/>
      <c r="R125" s="25"/>
      <c r="S125" s="25"/>
      <c r="T125" s="26"/>
      <c xmlns="http://schemas.openxmlformats.org/spreadsheetml/2006/main" r="U125" s="23">
        <f t="shared" si="9"/>
        <v>1.0</v>
      </c>
      <c xmlns="http://schemas.openxmlformats.org/spreadsheetml/2006/main" r="V125" s="22" t="str">
        <f t="shared" si="10"/>
        <v>▲ 單一設備依賴</v>
      </c>
      <c xmlns="http://schemas.openxmlformats.org/spreadsheetml/2006/main" r="W125" s="18" t="str">
        <f t="shared" si="11"/>
        <v>僅依賴1台設備，須確認故障/排修時之備援製程</v>
      </c>
      <c r="X125" s="22" t="s">
        <v>290</v>
      </c>
      <c r="Y125" s="22" t="s">
        <v>270</v>
      </c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 t="inlineStr">
        <is>
          <t>架上</t>
        </is>
      </c>
      <c r="B126" s="22" t="s">
        <v>127</v>
      </c>
      <c r="C126" s="22" t="s">
        <v>308</v>
      </c>
      <c r="D126" s="22" t="s">
        <v>295</v>
      </c>
      <c r="E126" s="22" t="s">
        <v>293</v>
      </c>
      <c r="F126" s="23">
        <v>4</v>
      </c>
      <c r="G126" s="23" t="s">
        <v>78</v>
      </c>
      <c r="H126" s="24">
        <v>100</v>
      </c>
      <c r="I126" s="25"/>
      <c r="J126" s="25"/>
      <c r="K126" s="25"/>
      <c r="L126" s="25"/>
      <c r="M126" s="25"/>
      <c r="N126" s="25"/>
      <c r="O126" s="25" t="s">
        <v>76</v>
      </c>
      <c r="P126" s="25"/>
      <c r="Q126" s="25"/>
      <c r="R126" s="25"/>
      <c r="S126" s="25"/>
      <c r="T126" s="26"/>
      <c xmlns="http://schemas.openxmlformats.org/spreadsheetml/2006/main" r="U126" s="23">
        <f t="shared" si="9"/>
        <v>1.0</v>
      </c>
      <c xmlns="http://schemas.openxmlformats.org/spreadsheetml/2006/main" r="V126" s="22" t="str">
        <f t="shared" si="10"/>
        <v>▲ 單一設備依賴</v>
      </c>
      <c xmlns="http://schemas.openxmlformats.org/spreadsheetml/2006/main" r="W126" s="18" t="str">
        <f t="shared" si="11"/>
        <v>僅依賴1台設備，須確認故障/排修時之備援製程</v>
      </c>
      <c r="X126" s="22" t="s">
        <v>290</v>
      </c>
      <c r="Y126" s="22" t="s">
        <v>270</v>
      </c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 t="inlineStr">
        <is>
          <t>架上</t>
        </is>
      </c>
      <c r="B127" s="22" t="s">
        <v>127</v>
      </c>
      <c r="C127" s="22" t="s">
        <v>308</v>
      </c>
      <c r="D127" s="22" t="s">
        <v>295</v>
      </c>
      <c r="E127" s="22" t="s">
        <v>294</v>
      </c>
      <c r="F127" s="23">
        <v>3</v>
      </c>
      <c r="G127" s="23" t="s">
        <v>75</v>
      </c>
      <c r="H127" s="24">
        <v>45</v>
      </c>
      <c r="I127" s="25"/>
      <c r="J127" s="25"/>
      <c r="K127" s="25"/>
      <c r="L127" s="25"/>
      <c r="M127" s="25"/>
      <c r="N127" s="25"/>
      <c r="O127" s="25" t="s">
        <v>76</v>
      </c>
      <c r="P127" s="25"/>
      <c r="Q127" s="25"/>
      <c r="R127" s="25"/>
      <c r="S127" s="25"/>
      <c r="T127" s="26"/>
      <c xmlns="http://schemas.openxmlformats.org/spreadsheetml/2006/main" r="U127" s="23">
        <f t="shared" si="9"/>
        <v>1.0</v>
      </c>
      <c xmlns="http://schemas.openxmlformats.org/spreadsheetml/2006/main" r="V127" s="22" t="str">
        <f t="shared" si="10"/>
        <v>▲ 單一設備依賴</v>
      </c>
      <c xmlns="http://schemas.openxmlformats.org/spreadsheetml/2006/main" r="W127" s="18" t="str">
        <f t="shared" si="11"/>
        <v>僅依賴1台設備，須確認故障/排修時之備援製程</v>
      </c>
      <c r="X127" s="22" t="s">
        <v>290</v>
      </c>
      <c r="Y127" s="22" t="s">
        <v>270</v>
      </c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 t="inlineStr">
        <is>
          <t>架上</t>
        </is>
      </c>
      <c r="B128" s="22" t="s">
        <v>127</v>
      </c>
      <c r="C128" s="22" t="s">
        <v>308</v>
      </c>
      <c r="D128" s="22" t="s">
        <v>295</v>
      </c>
      <c r="E128" s="22" t="s">
        <v>171</v>
      </c>
      <c r="F128" s="23">
        <v>0.3</v>
      </c>
      <c r="G128" s="23" t="s">
        <v>75</v>
      </c>
      <c r="H128" s="24">
        <v>100</v>
      </c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 t="s">
        <v>76</v>
      </c>
      <c xmlns="http://schemas.openxmlformats.org/spreadsheetml/2006/main" r="U128" s="23">
        <f t="shared" si="9"/>
        <v>0.0</v>
      </c>
      <c xmlns="http://schemas.openxmlformats.org/spreadsheetml/2006/main" r="V128" s="22" t="str">
        <f t="shared" si="10"/>
        <v>○ 免調理</v>
      </c>
      <c xmlns="http://schemas.openxmlformats.org/spreadsheetml/2006/main" r="W128" s="18" t="str">
        <f t="shared" si="11"/>
        <v>免調理半成品（外購/僅切配等），不列入設備風險評估</v>
      </c>
      <c r="X128" s="22" t="s">
        <v>290</v>
      </c>
      <c r="Y128" s="22" t="s">
        <v>270</v>
      </c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 t="s">
        <v>339</v>
      </c>
      <c r="B129" s="22" t="s">
        <v>127</v>
      </c>
      <c r="C129" s="22" t="s">
        <v>308</v>
      </c>
      <c r="D129" s="22" t="s">
        <v>298</v>
      </c>
      <c r="E129" s="22" t="s">
        <v>296</v>
      </c>
      <c r="F129" s="23">
        <v>220</v>
      </c>
      <c r="G129" s="23" t="s">
        <v>75</v>
      </c>
      <c r="H129" s="24">
        <v>240</v>
      </c>
      <c r="I129" s="25"/>
      <c r="J129" s="25" t="s">
        <v>76</v>
      </c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>
        <f t="shared" si="9"/>
        <v>1.0</v>
      </c>
      <c xmlns="http://schemas.openxmlformats.org/spreadsheetml/2006/main" r="V129" s="22" t="str">
        <f t="shared" si="10"/>
        <v>▲ 單一設備依賴</v>
      </c>
      <c xmlns="http://schemas.openxmlformats.org/spreadsheetml/2006/main" r="W129" s="18" t="str">
        <f t="shared" si="11"/>
        <v>僅依賴1台設備，須確認故障/排修時之備援製程</v>
      </c>
      <c r="X129" s="22" t="s">
        <v>299</v>
      </c>
      <c r="Y129" s="22" t="s">
        <v>270</v>
      </c>
      <c xmlns="http://schemas.openxmlformats.org/spreadsheetml/2006/main" r="Z129">
        <f>IF($D129="",0,IF(COUNTIF($D$5:$D129,$D129)=1,1,0))</f>
        <v>1.0</v>
      </c>
      <c xmlns="http://schemas.openxmlformats.org/spreadsheetml/2006/main" r="AA129">
        <f>IF(Z129=1,SUM($Z$5:$Z129),"")</f>
        <v>22.0</v>
      </c>
    </row>
    <row r="130" spans="1:27">
      <c r="A130" s="22" t="s">
        <v>339</v>
      </c>
      <c r="B130" s="22" t="s">
        <v>127</v>
      </c>
      <c r="C130" s="22" t="s">
        <v>308</v>
      </c>
      <c r="D130" s="22" t="s">
        <v>298</v>
      </c>
      <c r="E130" s="22" t="s">
        <v>297</v>
      </c>
      <c r="F130" s="23">
        <v>165</v>
      </c>
      <c r="G130" s="23" t="s">
        <v>75</v>
      </c>
      <c r="H130" s="24">
        <v>68</v>
      </c>
      <c r="I130" s="25"/>
      <c r="J130" s="25"/>
      <c r="K130" s="25"/>
      <c r="L130" s="25"/>
      <c r="M130" s="25"/>
      <c r="N130" s="25"/>
      <c r="O130" s="25" t="s">
        <v>76</v>
      </c>
      <c r="P130" s="25"/>
      <c r="Q130" s="25"/>
      <c r="R130" s="25"/>
      <c r="S130" s="25"/>
      <c r="T130" s="26"/>
      <c xmlns="http://schemas.openxmlformats.org/spreadsheetml/2006/main" r="U130" s="23">
        <f t="shared" si="9"/>
        <v>1.0</v>
      </c>
      <c xmlns="http://schemas.openxmlformats.org/spreadsheetml/2006/main" r="V130" s="22" t="str">
        <f t="shared" si="10"/>
        <v>▲ 單一設備依賴</v>
      </c>
      <c xmlns="http://schemas.openxmlformats.org/spreadsheetml/2006/main" r="W130" s="18" t="str">
        <f t="shared" si="11"/>
        <v>僅依賴1台設備，須確認故障/排修時之備援製程</v>
      </c>
      <c r="X130" s="22" t="s">
        <v>299</v>
      </c>
      <c r="Y130" s="22" t="s">
        <v>270</v>
      </c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 t="s">
        <v>339</v>
      </c>
      <c r="B131" s="22" t="s">
        <v>127</v>
      </c>
      <c r="C131" s="22" t="s">
        <v>308</v>
      </c>
      <c r="D131" s="22" t="s">
        <v>298</v>
      </c>
      <c r="E131" s="22" t="s">
        <v>163</v>
      </c>
      <c r="F131" s="23">
        <v>3</v>
      </c>
      <c r="G131" s="23" t="s">
        <v>75</v>
      </c>
      <c r="H131" s="24">
        <v>100</v>
      </c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 t="s">
        <v>76</v>
      </c>
      <c xmlns="http://schemas.openxmlformats.org/spreadsheetml/2006/main" r="U131" s="23">
        <f t="shared" si="9"/>
        <v>0.0</v>
      </c>
      <c xmlns="http://schemas.openxmlformats.org/spreadsheetml/2006/main" r="V131" s="22" t="str">
        <f t="shared" si="10"/>
        <v>○ 免調理</v>
      </c>
      <c xmlns="http://schemas.openxmlformats.org/spreadsheetml/2006/main" r="W131" s="18" t="str">
        <f t="shared" si="11"/>
        <v>免調理半成品（外購/僅切配等），不列入設備風險評估</v>
      </c>
      <c r="X131" s="22" t="s">
        <v>299</v>
      </c>
      <c r="Y131" s="22" t="s">
        <v>270</v>
      </c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 t="s">
        <v>339</v>
      </c>
      <c r="B132" s="22" t="s">
        <v>127</v>
      </c>
      <c r="C132" s="22" t="s">
        <v>308</v>
      </c>
      <c r="D132" s="22" t="s">
        <v>307</v>
      </c>
      <c r="E132" s="22" t="s">
        <v>301</v>
      </c>
      <c r="F132" s="23">
        <v>200</v>
      </c>
      <c r="G132" s="23" t="s">
        <v>75</v>
      </c>
      <c r="H132" s="24">
        <v>140</v>
      </c>
      <c r="I132" s="25"/>
      <c r="J132" s="25" t="s">
        <v>76</v>
      </c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>
        <f t="shared" si="9"/>
        <v>1.0</v>
      </c>
      <c xmlns="http://schemas.openxmlformats.org/spreadsheetml/2006/main" r="V132" s="22" t="str">
        <f t="shared" si="10"/>
        <v>▲ 單一設備依賴</v>
      </c>
      <c xmlns="http://schemas.openxmlformats.org/spreadsheetml/2006/main" r="W132" s="18" t="str">
        <f t="shared" si="11"/>
        <v>僅依賴1台設備，須確認故障/排修時之備援製程</v>
      </c>
      <c r="X132" s="22" t="s">
        <v>300</v>
      </c>
      <c r="Y132" s="22" t="s">
        <v>270</v>
      </c>
      <c xmlns="http://schemas.openxmlformats.org/spreadsheetml/2006/main" r="Z132">
        <f>IF($D132="",0,IF(COUNTIF($D$5:$D132,$D132)=1,1,0))</f>
        <v>1.0</v>
      </c>
      <c xmlns="http://schemas.openxmlformats.org/spreadsheetml/2006/main" r="AA132">
        <f>IF(Z132=1,SUM($Z$5:$Z132),"")</f>
        <v>23.0</v>
      </c>
    </row>
    <row r="133" spans="1:27">
      <c r="A133" s="22" t="s">
        <v>339</v>
      </c>
      <c r="B133" s="22" t="s">
        <v>127</v>
      </c>
      <c r="C133" s="22" t="s">
        <v>308</v>
      </c>
      <c r="D133" s="22" t="s">
        <v>307</v>
      </c>
      <c r="E133" s="22" t="s">
        <v>302</v>
      </c>
      <c r="F133" s="23">
        <v>60</v>
      </c>
      <c r="G133" s="23" t="s">
        <v>75</v>
      </c>
      <c r="H133" s="24">
        <v>68</v>
      </c>
      <c r="I133" s="25"/>
      <c r="J133" s="25"/>
      <c r="K133" s="25"/>
      <c r="L133" s="25"/>
      <c r="M133" s="25"/>
      <c r="N133" s="25"/>
      <c r="O133" s="25" t="s">
        <v>76</v>
      </c>
      <c r="P133" s="25"/>
      <c r="Q133" s="25"/>
      <c r="R133" s="25"/>
      <c r="S133" s="25"/>
      <c r="T133" s="26"/>
      <c xmlns="http://schemas.openxmlformats.org/spreadsheetml/2006/main" r="U133" s="23">
        <f t="shared" si="9"/>
        <v>1.0</v>
      </c>
      <c xmlns="http://schemas.openxmlformats.org/spreadsheetml/2006/main" r="V133" s="22" t="str">
        <f t="shared" si="10"/>
        <v>▲ 單一設備依賴</v>
      </c>
      <c xmlns="http://schemas.openxmlformats.org/spreadsheetml/2006/main" r="W133" s="18" t="str">
        <f t="shared" si="11"/>
        <v>僅依賴1台設備，須確認故障/排修時之備援製程</v>
      </c>
      <c r="X133" s="22" t="s">
        <v>300</v>
      </c>
      <c r="Y133" s="22" t="s">
        <v>270</v>
      </c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 t="s">
        <v>339</v>
      </c>
      <c r="B134" s="22" t="s">
        <v>127</v>
      </c>
      <c r="C134" s="22" t="s">
        <v>308</v>
      </c>
      <c r="D134" s="22" t="s">
        <v>307</v>
      </c>
      <c r="E134" s="22" t="s">
        <v>303</v>
      </c>
      <c r="F134" s="23">
        <v>120</v>
      </c>
      <c r="G134" s="23" t="s">
        <v>75</v>
      </c>
      <c r="H134" s="24">
        <v>69</v>
      </c>
      <c r="I134" s="25"/>
      <c r="J134" s="25"/>
      <c r="K134" s="25"/>
      <c r="L134" s="25"/>
      <c r="M134" s="25"/>
      <c r="N134" s="25"/>
      <c r="O134" s="25" t="s">
        <v>76</v>
      </c>
      <c r="P134" s="25"/>
      <c r="Q134" s="25"/>
      <c r="R134" s="25"/>
      <c r="S134" s="25"/>
      <c r="T134" s="26"/>
      <c xmlns="http://schemas.openxmlformats.org/spreadsheetml/2006/main" r="U134" s="23">
        <f t="shared" si="9"/>
        <v>1.0</v>
      </c>
      <c xmlns="http://schemas.openxmlformats.org/spreadsheetml/2006/main" r="V134" s="22" t="str">
        <f t="shared" si="10"/>
        <v>▲ 單一設備依賴</v>
      </c>
      <c xmlns="http://schemas.openxmlformats.org/spreadsheetml/2006/main" r="W134" s="18" t="str">
        <f t="shared" si="11"/>
        <v>僅依賴1台設備，須確認故障/排修時之備援製程</v>
      </c>
      <c r="X134" s="22" t="s">
        <v>300</v>
      </c>
      <c r="Y134" s="22" t="s">
        <v>270</v>
      </c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 t="s">
        <v>339</v>
      </c>
      <c r="B135" s="22" t="s">
        <v>127</v>
      </c>
      <c r="C135" s="22" t="s">
        <v>308</v>
      </c>
      <c r="D135" s="22" t="s">
        <v>307</v>
      </c>
      <c r="E135" s="22" t="s">
        <v>304</v>
      </c>
      <c r="F135" s="23">
        <v>4</v>
      </c>
      <c r="G135" s="23" t="s">
        <v>75</v>
      </c>
      <c r="H135" s="24">
        <v>89</v>
      </c>
      <c r="I135" s="25"/>
      <c r="J135" s="25"/>
      <c r="K135" s="25"/>
      <c r="L135" s="25"/>
      <c r="M135" s="25"/>
      <c r="N135" s="25"/>
      <c r="O135" s="25" t="s">
        <v>76</v>
      </c>
      <c r="P135" s="25"/>
      <c r="Q135" s="25"/>
      <c r="R135" s="25"/>
      <c r="S135" s="25"/>
      <c r="T135" s="26"/>
      <c xmlns="http://schemas.openxmlformats.org/spreadsheetml/2006/main" r="U135" s="23">
        <f t="shared" si="9"/>
        <v>1.0</v>
      </c>
      <c xmlns="http://schemas.openxmlformats.org/spreadsheetml/2006/main" r="V135" s="22" t="str">
        <f t="shared" si="10"/>
        <v>▲ 單一設備依賴</v>
      </c>
      <c xmlns="http://schemas.openxmlformats.org/spreadsheetml/2006/main" r="W135" s="18" t="str">
        <f t="shared" si="11"/>
        <v>僅依賴1台設備，須確認故障/排修時之備援製程</v>
      </c>
      <c r="X135" s="22" t="s">
        <v>300</v>
      </c>
      <c r="Y135" s="22" t="s">
        <v>270</v>
      </c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 t="s">
        <v>339</v>
      </c>
      <c r="B136" s="22" t="s">
        <v>127</v>
      </c>
      <c r="C136" s="22" t="s">
        <v>308</v>
      </c>
      <c r="D136" s="22" t="s">
        <v>324</v>
      </c>
      <c r="E136" s="22" t="s">
        <v>305</v>
      </c>
      <c r="F136" s="23">
        <v>3</v>
      </c>
      <c r="G136" s="23" t="s">
        <v>75</v>
      </c>
      <c r="H136" s="24">
        <v>78</v>
      </c>
      <c r="I136" s="25"/>
      <c r="J136" s="25"/>
      <c r="K136" s="25"/>
      <c r="L136" s="25"/>
      <c r="M136" s="25"/>
      <c r="N136" s="25"/>
      <c r="O136" s="25" t="s">
        <v>76</v>
      </c>
      <c r="P136" s="25"/>
      <c r="Q136" s="25"/>
      <c r="R136" s="25"/>
      <c r="S136" s="25"/>
      <c r="T136" s="26"/>
      <c xmlns="http://schemas.openxmlformats.org/spreadsheetml/2006/main" r="U136" s="23">
        <f t="shared" si="9"/>
        <v>1.0</v>
      </c>
      <c xmlns="http://schemas.openxmlformats.org/spreadsheetml/2006/main" r="V136" s="22" t="str">
        <f t="shared" si="10"/>
        <v>▲ 單一設備依賴</v>
      </c>
      <c xmlns="http://schemas.openxmlformats.org/spreadsheetml/2006/main" r="W136" s="18" t="str">
        <f t="shared" si="11"/>
        <v>僅依賴1台設備，須確認故障/排修時之備援製程</v>
      </c>
      <c r="X136" s="22" t="s">
        <v>300</v>
      </c>
      <c r="Y136" s="22" t="s">
        <v>270</v>
      </c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 t="s">
        <v>339</v>
      </c>
      <c r="B137" s="22" t="s">
        <v>127</v>
      </c>
      <c r="C137" s="22" t="s">
        <v>308</v>
      </c>
      <c r="D137" s="22" t="s">
        <v>307</v>
      </c>
      <c r="E137" s="22" t="s">
        <v>306</v>
      </c>
      <c r="F137" s="23">
        <v>3</v>
      </c>
      <c r="G137" s="23" t="s">
        <v>75</v>
      </c>
      <c r="H137" s="24">
        <v>74</v>
      </c>
      <c r="I137" s="25"/>
      <c r="J137" s="25"/>
      <c r="K137" s="25"/>
      <c r="L137" s="25"/>
      <c r="M137" s="25"/>
      <c r="N137" s="25"/>
      <c r="O137" s="25" t="s">
        <v>76</v>
      </c>
      <c r="P137" s="25"/>
      <c r="Q137" s="25"/>
      <c r="R137" s="25"/>
      <c r="S137" s="25"/>
      <c r="T137" s="26"/>
      <c xmlns="http://schemas.openxmlformats.org/spreadsheetml/2006/main" r="U137" s="23">
        <f t="shared" si="9"/>
        <v>1.0</v>
      </c>
      <c xmlns="http://schemas.openxmlformats.org/spreadsheetml/2006/main" r="V137" s="22" t="str">
        <f t="shared" si="10"/>
        <v>▲ 單一設備依賴</v>
      </c>
      <c xmlns="http://schemas.openxmlformats.org/spreadsheetml/2006/main" r="W137" s="18" t="str">
        <f t="shared" si="11"/>
        <v>僅依賴1台設備，須確認故障/排修時之備援製程</v>
      </c>
      <c r="X137" s="22" t="s">
        <v>300</v>
      </c>
      <c r="Y137" s="22" t="s">
        <v>270</v>
      </c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 t="s">
        <v>339</v>
      </c>
      <c r="B138" s="22" t="s">
        <v>127</v>
      </c>
      <c r="C138" s="22" t="s">
        <v>308</v>
      </c>
      <c r="D138" s="22" t="s">
        <v>315</v>
      </c>
      <c r="E138" s="22" t="s">
        <v>229</v>
      </c>
      <c r="F138" s="23">
        <v>150</v>
      </c>
      <c r="G138" s="23" t="s">
        <v>75</v>
      </c>
      <c r="H138" s="24">
        <v>164</v>
      </c>
      <c r="I138" s="25"/>
      <c r="J138" s="25" t="s">
        <v>76</v>
      </c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>
        <f t="shared" si="9"/>
        <v>1.0</v>
      </c>
      <c xmlns="http://schemas.openxmlformats.org/spreadsheetml/2006/main" r="V138" s="22" t="str">
        <f t="shared" si="10"/>
        <v>▲ 單一設備依賴</v>
      </c>
      <c xmlns="http://schemas.openxmlformats.org/spreadsheetml/2006/main" r="W138" s="18" t="str">
        <f t="shared" si="11"/>
        <v>僅依賴1台設備，須確認故障/排修時之備援製程</v>
      </c>
      <c r="X138" s="22" t="s">
        <v>316</v>
      </c>
      <c r="Y138" s="22" t="s">
        <v>270</v>
      </c>
      <c xmlns="http://schemas.openxmlformats.org/spreadsheetml/2006/main" r="Z138">
        <f>IF($D138="",0,IF(COUNTIF($D$5:$D138,$D138)=1,1,0))</f>
        <v>1.0</v>
      </c>
      <c xmlns="http://schemas.openxmlformats.org/spreadsheetml/2006/main" r="AA138">
        <f>IF(Z138=1,SUM($Z$5:$Z138),"")</f>
        <v>24.0</v>
      </c>
    </row>
    <row r="139" spans="1:27">
      <c r="A139" s="22" t="s">
        <v>339</v>
      </c>
      <c r="B139" s="22" t="s">
        <v>127</v>
      </c>
      <c r="C139" s="22" t="s">
        <v>308</v>
      </c>
      <c r="D139" s="22" t="s">
        <v>315</v>
      </c>
      <c r="E139" s="22" t="s">
        <v>312</v>
      </c>
      <c r="F139" s="23">
        <v>100</v>
      </c>
      <c r="G139" s="23" t="s">
        <v>75</v>
      </c>
      <c r="H139" s="24">
        <v>70</v>
      </c>
      <c r="I139" s="25"/>
      <c r="J139" s="25"/>
      <c r="K139" s="25"/>
      <c r="L139" s="25"/>
      <c r="M139" s="25"/>
      <c r="N139" s="25"/>
      <c r="O139" s="25" t="s">
        <v>76</v>
      </c>
      <c r="P139" s="25"/>
      <c r="Q139" s="25"/>
      <c r="R139" s="25"/>
      <c r="S139" s="25"/>
      <c r="T139" s="26"/>
      <c xmlns="http://schemas.openxmlformats.org/spreadsheetml/2006/main" r="U139" s="23">
        <f t="shared" si="9"/>
        <v>1.0</v>
      </c>
      <c xmlns="http://schemas.openxmlformats.org/spreadsheetml/2006/main" r="V139" s="22" t="str">
        <f t="shared" si="10"/>
        <v>▲ 單一設備依賴</v>
      </c>
      <c xmlns="http://schemas.openxmlformats.org/spreadsheetml/2006/main" r="W139" s="18" t="str">
        <f t="shared" si="11"/>
        <v>僅依賴1台設備，須確認故障/排修時之備援製程</v>
      </c>
      <c r="X139" s="22" t="s">
        <v>316</v>
      </c>
      <c r="Y139" s="22" t="s">
        <v>270</v>
      </c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 t="s">
        <v>339</v>
      </c>
      <c r="B140" s="22" t="s">
        <v>127</v>
      </c>
      <c r="C140" s="22" t="s">
        <v>308</v>
      </c>
      <c r="D140" s="22" t="s">
        <v>315</v>
      </c>
      <c r="E140" s="22" t="s">
        <v>313</v>
      </c>
      <c r="F140" s="23">
        <v>1</v>
      </c>
      <c r="G140" s="23" t="s">
        <v>78</v>
      </c>
      <c r="H140" s="24">
        <v>87</v>
      </c>
      <c r="I140" s="25"/>
      <c r="J140" s="25"/>
      <c r="K140" s="25" t="s">
        <v>76</v>
      </c>
      <c r="L140" s="25"/>
      <c r="M140" s="25"/>
      <c r="N140" s="25"/>
      <c r="O140" s="25" t="s">
        <v>76</v>
      </c>
      <c r="P140" s="25"/>
      <c r="Q140" s="25"/>
      <c r="R140" s="25"/>
      <c r="S140" s="25"/>
      <c r="T140" s="26"/>
      <c xmlns="http://schemas.openxmlformats.org/spreadsheetml/2006/main" r="U140" s="23">
        <f t="shared" si="9"/>
        <v>2.0</v>
      </c>
      <c xmlns="http://schemas.openxmlformats.org/spreadsheetml/2006/main" r="V140" s="22" t="str">
        <f t="shared" si="10"/>
        <v>OK</v>
      </c>
      <c xmlns="http://schemas.openxmlformats.org/spreadsheetml/2006/main" r="W140" s="18" t="str">
        <f t="shared" si="11"/>
        <v>無異常</v>
      </c>
      <c r="X140" s="22" t="s">
        <v>316</v>
      </c>
      <c r="Y140" s="22" t="s">
        <v>270</v>
      </c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 t="s">
        <v>339</v>
      </c>
      <c r="B141" s="22" t="s">
        <v>127</v>
      </c>
      <c r="C141" s="22" t="s">
        <v>308</v>
      </c>
      <c r="D141" s="22" t="s">
        <v>315</v>
      </c>
      <c r="E141" s="22" t="s">
        <v>314</v>
      </c>
      <c r="F141" s="23">
        <v>30</v>
      </c>
      <c r="G141" s="23" t="s">
        <v>75</v>
      </c>
      <c r="H141" s="24">
        <v>65</v>
      </c>
      <c r="I141" s="25"/>
      <c r="J141" s="25"/>
      <c r="K141" s="25"/>
      <c r="L141" s="25"/>
      <c r="M141" s="25"/>
      <c r="N141" s="25"/>
      <c r="O141" s="25" t="s">
        <v>76</v>
      </c>
      <c r="P141" s="25"/>
      <c r="Q141" s="25"/>
      <c r="R141" s="25"/>
      <c r="S141" s="25"/>
      <c r="T141" s="26"/>
      <c xmlns="http://schemas.openxmlformats.org/spreadsheetml/2006/main" r="U141" s="23">
        <f t="shared" si="9"/>
        <v>1.0</v>
      </c>
      <c xmlns="http://schemas.openxmlformats.org/spreadsheetml/2006/main" r="V141" s="22" t="str">
        <f t="shared" si="10"/>
        <v>▲ 單一設備依賴</v>
      </c>
      <c xmlns="http://schemas.openxmlformats.org/spreadsheetml/2006/main" r="W141" s="18" t="str">
        <f t="shared" si="11"/>
        <v>僅依賴1台設備，須確認故障/排修時之備援製程</v>
      </c>
      <c r="X141" s="22" t="s">
        <v>316</v>
      </c>
      <c r="Y141" s="22" t="s">
        <v>270</v>
      </c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 t="s">
        <v>339</v>
      </c>
      <c r="B142" s="22" t="s">
        <v>127</v>
      </c>
      <c r="C142" s="22" t="s">
        <v>308</v>
      </c>
      <c r="D142" s="22" t="s">
        <v>315</v>
      </c>
      <c r="E142" s="22" t="s">
        <v>147</v>
      </c>
      <c r="F142" s="23">
        <v>0.1</v>
      </c>
      <c r="G142" s="23" t="s">
        <v>75</v>
      </c>
      <c r="H142" s="24">
        <v>100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 t="s">
        <v>76</v>
      </c>
      <c xmlns="http://schemas.openxmlformats.org/spreadsheetml/2006/main" r="U142" s="23">
        <f t="shared" si="9"/>
        <v>0.0</v>
      </c>
      <c xmlns="http://schemas.openxmlformats.org/spreadsheetml/2006/main" r="V142" s="22" t="str">
        <f t="shared" si="10"/>
        <v>○ 免調理</v>
      </c>
      <c xmlns="http://schemas.openxmlformats.org/spreadsheetml/2006/main" r="W142" s="18" t="str">
        <f t="shared" si="11"/>
        <v>免調理半成品（外購/僅切配等），不列入設備風險評估</v>
      </c>
      <c r="X142" s="22" t="s">
        <v>316</v>
      </c>
      <c r="Y142" s="22" t="s">
        <v>270</v>
      </c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 t="s">
        <v>337</v>
      </c>
      <c r="B143" s="22" t="s">
        <v>127</v>
      </c>
      <c r="C143" s="22" t="s">
        <v>308</v>
      </c>
      <c r="D143" s="22" t="s">
        <v>325</v>
      </c>
      <c r="E143" s="22" t="s">
        <v>326</v>
      </c>
      <c r="F143" s="23">
        <v>190</v>
      </c>
      <c r="G143" s="23" t="s">
        <v>75</v>
      </c>
      <c r="H143" s="24">
        <v>215</v>
      </c>
      <c r="I143" s="25"/>
      <c r="J143" s="25" t="s">
        <v>76</v>
      </c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xmlns="http://schemas.openxmlformats.org/spreadsheetml/2006/main" r="U143" s="23">
        <f t="shared" si="9"/>
        <v>1.0</v>
      </c>
      <c xmlns="http://schemas.openxmlformats.org/spreadsheetml/2006/main" r="V143" s="22" t="str">
        <f t="shared" si="10"/>
        <v>▲ 單一設備依賴</v>
      </c>
      <c xmlns="http://schemas.openxmlformats.org/spreadsheetml/2006/main" r="W143" s="18" t="str">
        <f t="shared" si="11"/>
        <v>僅依賴1台設備，須確認故障/排修時之備援製程</v>
      </c>
      <c r="X143" s="22" t="s">
        <v>329</v>
      </c>
      <c r="Y143" s="22" t="s">
        <v>270</v>
      </c>
      <c xmlns="http://schemas.openxmlformats.org/spreadsheetml/2006/main" r="Z143">
        <f>IF($D143="",0,IF(COUNTIF($D$5:$D143,$D143)=1,1,0))</f>
        <v>1.0</v>
      </c>
      <c xmlns="http://schemas.openxmlformats.org/spreadsheetml/2006/main" r="AA143">
        <f>IF(Z143=1,SUM($Z$5:$Z143),"")</f>
        <v>25.0</v>
      </c>
    </row>
    <row r="144" spans="1:27">
      <c r="A144" s="22" t="s">
        <v>337</v>
      </c>
      <c r="B144" s="22" t="s">
        <v>127</v>
      </c>
      <c r="C144" s="22" t="s">
        <v>308</v>
      </c>
      <c r="D144" s="22" t="s">
        <v>325</v>
      </c>
      <c r="E144" s="22" t="s">
        <v>327</v>
      </c>
      <c r="F144" s="23">
        <v>90</v>
      </c>
      <c r="G144" s="23" t="s">
        <v>75</v>
      </c>
      <c r="H144" s="24">
        <v>78</v>
      </c>
      <c r="I144" s="25"/>
      <c r="J144" s="25"/>
      <c r="K144" s="25"/>
      <c r="L144" s="25"/>
      <c r="M144" s="25"/>
      <c r="N144" s="25"/>
      <c r="O144" s="25" t="s">
        <v>76</v>
      </c>
      <c r="P144" s="25"/>
      <c r="Q144" s="25"/>
      <c r="R144" s="25"/>
      <c r="S144" s="25"/>
      <c r="T144" s="26"/>
      <c xmlns="http://schemas.openxmlformats.org/spreadsheetml/2006/main" r="U144" s="23">
        <f t="shared" si="9"/>
        <v>1.0</v>
      </c>
      <c xmlns="http://schemas.openxmlformats.org/spreadsheetml/2006/main" r="V144" s="22" t="str">
        <f t="shared" si="10"/>
        <v>▲ 單一設備依賴</v>
      </c>
      <c xmlns="http://schemas.openxmlformats.org/spreadsheetml/2006/main" r="W144" s="18" t="str">
        <f t="shared" si="11"/>
        <v>僅依賴1台設備，須確認故障/排修時之備援製程</v>
      </c>
      <c r="X144" s="22" t="s">
        <v>329</v>
      </c>
      <c r="Y144" s="22" t="s">
        <v>270</v>
      </c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 t="s">
        <v>337</v>
      </c>
      <c r="B145" s="22" t="s">
        <v>127</v>
      </c>
      <c r="C145" s="22" t="s">
        <v>308</v>
      </c>
      <c r="D145" s="22" t="s">
        <v>325</v>
      </c>
      <c r="E145" s="22" t="s">
        <v>347</v>
      </c>
      <c r="F145" s="23">
        <v>12</v>
      </c>
      <c r="G145" s="23" t="s">
        <v>75</v>
      </c>
      <c r="H145" s="24">
        <v>100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 t="s">
        <v>76</v>
      </c>
      <c xmlns="http://schemas.openxmlformats.org/spreadsheetml/2006/main" r="U145" s="23">
        <f t="shared" si="9"/>
        <v>0.0</v>
      </c>
      <c xmlns="http://schemas.openxmlformats.org/spreadsheetml/2006/main" r="V145" s="22" t="str">
        <f t="shared" si="10"/>
        <v>○ 免調理</v>
      </c>
      <c xmlns="http://schemas.openxmlformats.org/spreadsheetml/2006/main" r="W145" s="18" t="str">
        <f t="shared" si="11"/>
        <v>免調理半成品（外購/僅切配等），不列入設備風險評估</v>
      </c>
      <c r="X145" s="22" t="s">
        <v>329</v>
      </c>
      <c r="Y145" s="22" t="s">
        <v>270</v>
      </c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 t="s">
        <v>337</v>
      </c>
      <c r="B146" s="22" t="s">
        <v>127</v>
      </c>
      <c r="C146" s="22" t="s">
        <v>308</v>
      </c>
      <c r="D146" s="22" t="s">
        <v>325</v>
      </c>
      <c r="E146" s="22" t="s">
        <v>223</v>
      </c>
      <c r="F146" s="23">
        <v>8</v>
      </c>
      <c r="G146" s="23" t="s">
        <v>75</v>
      </c>
      <c r="H146" s="24">
        <v>80</v>
      </c>
      <c r="I146" s="25"/>
      <c r="J146" s="25"/>
      <c r="K146" s="25"/>
      <c r="L146" s="25"/>
      <c r="M146" s="25"/>
      <c r="N146" s="25"/>
      <c r="O146" s="25" t="s">
        <v>76</v>
      </c>
      <c r="P146" s="25"/>
      <c r="Q146" s="25"/>
      <c r="R146" s="25"/>
      <c r="S146" s="25"/>
      <c r="T146" s="26"/>
      <c xmlns="http://schemas.openxmlformats.org/spreadsheetml/2006/main" r="U146" s="23">
        <f t="shared" si="9"/>
        <v>1.0</v>
      </c>
      <c xmlns="http://schemas.openxmlformats.org/spreadsheetml/2006/main" r="V146" s="22" t="str">
        <f t="shared" si="10"/>
        <v>▲ 單一設備依賴</v>
      </c>
      <c xmlns="http://schemas.openxmlformats.org/spreadsheetml/2006/main" r="W146" s="18" t="str">
        <f t="shared" si="11"/>
        <v>僅依賴1台設備，須確認故障/排修時之備援製程</v>
      </c>
      <c r="X146" s="22" t="s">
        <v>329</v>
      </c>
      <c r="Y146" s="22" t="s">
        <v>270</v>
      </c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 t="s">
        <v>337</v>
      </c>
      <c r="B147" s="22" t="s">
        <v>127</v>
      </c>
      <c r="C147" s="22" t="s">
        <v>308</v>
      </c>
      <c r="D147" s="22" t="s">
        <v>325</v>
      </c>
      <c r="E147" s="22" t="s">
        <v>328</v>
      </c>
      <c r="F147" s="23">
        <v>3</v>
      </c>
      <c r="G147" s="23" t="s">
        <v>78</v>
      </c>
      <c r="H147" s="24">
        <v>500</v>
      </c>
      <c r="I147" s="25"/>
      <c r="J147" s="25"/>
      <c r="K147" s="25" t="s">
        <v>76</v>
      </c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>
        <f t="shared" si="9"/>
        <v>1.0</v>
      </c>
      <c xmlns="http://schemas.openxmlformats.org/spreadsheetml/2006/main" r="V147" s="22" t="str">
        <f t="shared" si="10"/>
        <v>▲ 單一設備依賴</v>
      </c>
      <c xmlns="http://schemas.openxmlformats.org/spreadsheetml/2006/main" r="W147" s="18" t="str">
        <f t="shared" si="11"/>
        <v>僅依賴1台設備，須確認故障/排修時之備援製程</v>
      </c>
      <c r="X147" s="22" t="s">
        <v>329</v>
      </c>
      <c r="Y147" s="22" t="s">
        <v>270</v>
      </c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 t="s">
        <v>339</v>
      </c>
      <c r="B148" s="22" t="s">
        <v>127</v>
      </c>
      <c r="C148" s="22" t="s">
        <v>308</v>
      </c>
      <c r="D148" s="22" t="s">
        <v>345</v>
      </c>
      <c r="E148" s="22" t="s">
        <v>229</v>
      </c>
      <c r="F148" s="23">
        <v>150</v>
      </c>
      <c r="G148" s="23" t="s">
        <v>75</v>
      </c>
      <c r="H148" s="24">
        <v>170</v>
      </c>
      <c r="I148" s="25"/>
      <c r="J148" s="25" t="s">
        <v>76</v>
      </c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xmlns="http://schemas.openxmlformats.org/spreadsheetml/2006/main" r="U148" s="23">
        <f t="shared" si="9"/>
        <v>1.0</v>
      </c>
      <c xmlns="http://schemas.openxmlformats.org/spreadsheetml/2006/main" r="V148" s="22" t="str">
        <f t="shared" si="10"/>
        <v>▲ 單一設備依賴</v>
      </c>
      <c xmlns="http://schemas.openxmlformats.org/spreadsheetml/2006/main" r="W148" s="18" t="str">
        <f t="shared" si="11"/>
        <v>僅依賴1台設備，須確認故障/排修時之備援製程</v>
      </c>
      <c r="X148" s="22" t="s">
        <v>346</v>
      </c>
      <c r="Y148" s="22" t="s">
        <v>270</v>
      </c>
      <c xmlns="http://schemas.openxmlformats.org/spreadsheetml/2006/main" r="Z148">
        <f>IF($D148="",0,IF(COUNTIF($D$5:$D148,$D148)=1,1,0))</f>
        <v>1.0</v>
      </c>
      <c xmlns="http://schemas.openxmlformats.org/spreadsheetml/2006/main" r="AA148">
        <f>IF(Z148=1,SUM($Z$5:$Z148),"")</f>
        <v>26.0</v>
      </c>
    </row>
    <row r="149" spans="1:27">
      <c r="A149" s="22" t="s">
        <v>339</v>
      </c>
      <c r="B149" s="22" t="s">
        <v>127</v>
      </c>
      <c r="C149" s="22" t="s">
        <v>308</v>
      </c>
      <c r="D149" s="22" t="s">
        <v>345</v>
      </c>
      <c r="E149" s="22" t="s">
        <v>341</v>
      </c>
      <c r="F149" s="23">
        <v>90</v>
      </c>
      <c r="G149" s="23" t="s">
        <v>75</v>
      </c>
      <c r="H149" s="24">
        <v>76</v>
      </c>
      <c r="I149" s="25"/>
      <c r="J149" s="25"/>
      <c r="K149" s="25"/>
      <c r="L149" s="25"/>
      <c r="M149" s="25"/>
      <c r="N149" s="25"/>
      <c r="O149" s="25" t="s">
        <v>76</v>
      </c>
      <c r="P149" s="25"/>
      <c r="Q149" s="25"/>
      <c r="R149" s="25"/>
      <c r="S149" s="25"/>
      <c r="T149" s="26"/>
      <c xmlns="http://schemas.openxmlformats.org/spreadsheetml/2006/main" r="U149" s="23">
        <f t="shared" si="9"/>
        <v>1.0</v>
      </c>
      <c xmlns="http://schemas.openxmlformats.org/spreadsheetml/2006/main" r="V149" s="22" t="str">
        <f t="shared" si="10"/>
        <v>▲ 單一設備依賴</v>
      </c>
      <c xmlns="http://schemas.openxmlformats.org/spreadsheetml/2006/main" r="W149" s="18" t="str">
        <f t="shared" si="11"/>
        <v>僅依賴1台設備，須確認故障/排修時之備援製程</v>
      </c>
      <c r="X149" s="22" t="s">
        <v>346</v>
      </c>
      <c r="Y149" s="22" t="s">
        <v>270</v>
      </c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 t="s">
        <v>339</v>
      </c>
      <c r="B150" s="22" t="s">
        <v>127</v>
      </c>
      <c r="C150" s="22" t="s">
        <v>308</v>
      </c>
      <c r="D150" s="22" t="s">
        <v>345</v>
      </c>
      <c r="E150" s="22" t="s">
        <v>342</v>
      </c>
      <c r="F150" s="23">
        <v>1</v>
      </c>
      <c r="G150" s="23" t="s">
        <v>78</v>
      </c>
      <c r="H150" s="24">
        <v>87</v>
      </c>
      <c r="I150" s="25"/>
      <c r="J150" s="25"/>
      <c r="K150" s="25" t="s">
        <v>76</v>
      </c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>
        <f t="shared" si="9"/>
        <v>1.0</v>
      </c>
      <c xmlns="http://schemas.openxmlformats.org/spreadsheetml/2006/main" r="V150" s="22" t="str">
        <f t="shared" si="10"/>
        <v>▲ 單一設備依賴</v>
      </c>
      <c xmlns="http://schemas.openxmlformats.org/spreadsheetml/2006/main" r="W150" s="18" t="str">
        <f t="shared" si="11"/>
        <v>僅依賴1台設備，須確認故障/排修時之備援製程</v>
      </c>
      <c r="X150" s="22" t="s">
        <v>346</v>
      </c>
      <c r="Y150" s="22" t="s">
        <v>270</v>
      </c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 t="s">
        <v>339</v>
      </c>
      <c r="B151" s="22" t="s">
        <v>127</v>
      </c>
      <c r="C151" s="22" t="s">
        <v>308</v>
      </c>
      <c r="D151" s="22" t="s">
        <v>345</v>
      </c>
      <c r="E151" s="22" t="s">
        <v>343</v>
      </c>
      <c r="F151" s="23">
        <v>6</v>
      </c>
      <c r="G151" s="23" t="s">
        <v>75</v>
      </c>
      <c r="H151" s="24">
        <v>100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 t="s">
        <v>76</v>
      </c>
      <c xmlns="http://schemas.openxmlformats.org/spreadsheetml/2006/main" r="U151" s="23">
        <f t="shared" si="9"/>
        <v>0.0</v>
      </c>
      <c xmlns="http://schemas.openxmlformats.org/spreadsheetml/2006/main" r="V151" s="22" t="str">
        <f t="shared" si="10"/>
        <v>○ 免調理</v>
      </c>
      <c xmlns="http://schemas.openxmlformats.org/spreadsheetml/2006/main" r="W151" s="18" t="str">
        <f t="shared" si="11"/>
        <v>免調理半成品（外購/僅切配等），不列入設備風險評估</v>
      </c>
      <c r="X151" s="22" t="s">
        <v>346</v>
      </c>
      <c r="Y151" s="22" t="s">
        <v>270</v>
      </c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 t="s">
        <v>339</v>
      </c>
      <c r="B152" s="22" t="s">
        <v>127</v>
      </c>
      <c r="C152" s="22" t="s">
        <v>308</v>
      </c>
      <c r="D152" s="22" t="s">
        <v>345</v>
      </c>
      <c r="E152" s="22" t="s">
        <v>344</v>
      </c>
      <c r="F152" s="23">
        <v>0.2</v>
      </c>
      <c r="G152" s="23" t="s">
        <v>75</v>
      </c>
      <c r="H152" s="24">
        <v>100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 t="s">
        <v>76</v>
      </c>
      <c xmlns="http://schemas.openxmlformats.org/spreadsheetml/2006/main" r="U152" s="23">
        <f t="shared" si="9"/>
        <v>0.0</v>
      </c>
      <c xmlns="http://schemas.openxmlformats.org/spreadsheetml/2006/main" r="V152" s="22" t="str">
        <f t="shared" si="10"/>
        <v>○ 免調理</v>
      </c>
      <c xmlns="http://schemas.openxmlformats.org/spreadsheetml/2006/main" r="W152" s="18" t="str">
        <f t="shared" si="11"/>
        <v>免調理半成品（外購/僅切配等），不列入設備風險評估</v>
      </c>
      <c r="X152" s="22" t="s">
        <v>346</v>
      </c>
      <c r="Y152" s="22" t="s">
        <v>270</v>
      </c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 t="str">
        <f t="shared" si="9"/>
        <v/>
      </c>
      <c xmlns="http://schemas.openxmlformats.org/spreadsheetml/2006/main" r="V153" s="22" t="str">
        <f t="shared" si="10"/>
        <v/>
      </c>
      <c xmlns="http://schemas.openxmlformats.org/spreadsheetml/2006/main" r="W153" s="18" t="str">
        <f t="shared" si="11"/>
        <v/>
      </c>
      <c r="X153" s="22"/>
      <c r="Y153" s="22"/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 t="str">
        <f t="shared" si="9"/>
        <v/>
      </c>
      <c xmlns="http://schemas.openxmlformats.org/spreadsheetml/2006/main" r="V154" s="22" t="str">
        <f t="shared" si="10"/>
        <v/>
      </c>
      <c xmlns="http://schemas.openxmlformats.org/spreadsheetml/2006/main" r="W154" s="18" t="str">
        <f t="shared" si="11"/>
        <v/>
      </c>
      <c r="X154" s="22"/>
      <c r="Y154" s="22"/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xmlns="http://schemas.openxmlformats.org/spreadsheetml/2006/main" r="U155" s="23" t="str">
        <f t="shared" si="9"/>
        <v/>
      </c>
      <c xmlns="http://schemas.openxmlformats.org/spreadsheetml/2006/main" r="V155" s="22" t="str">
        <f t="shared" si="10"/>
        <v/>
      </c>
      <c xmlns="http://schemas.openxmlformats.org/spreadsheetml/2006/main" r="W155" s="18" t="str">
        <f t="shared" si="11"/>
        <v/>
      </c>
      <c r="X155" s="22"/>
      <c r="Y155" s="22"/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 t="str">
        <f t="shared" si="9"/>
        <v/>
      </c>
      <c xmlns="http://schemas.openxmlformats.org/spreadsheetml/2006/main" r="V156" s="22" t="str">
        <f t="shared" si="10"/>
        <v/>
      </c>
      <c xmlns="http://schemas.openxmlformats.org/spreadsheetml/2006/main" r="W156" s="18" t="str">
        <f t="shared" si="11"/>
        <v/>
      </c>
      <c r="X156" s="22"/>
      <c r="Y156" s="22"/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 t="str">
        <f t="shared" si="9"/>
        <v/>
      </c>
      <c xmlns="http://schemas.openxmlformats.org/spreadsheetml/2006/main" r="V157" s="22" t="str">
        <f t="shared" si="10"/>
        <v/>
      </c>
      <c xmlns="http://schemas.openxmlformats.org/spreadsheetml/2006/main" r="W157" s="18" t="str">
        <f t="shared" si="11"/>
        <v/>
      </c>
      <c r="X157" s="22"/>
      <c r="Y157" s="22"/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 t="str">
        <f t="shared" si="9"/>
        <v/>
      </c>
      <c xmlns="http://schemas.openxmlformats.org/spreadsheetml/2006/main" r="V158" s="22" t="str">
        <f t="shared" si="10"/>
        <v/>
      </c>
      <c xmlns="http://schemas.openxmlformats.org/spreadsheetml/2006/main" r="W158" s="18" t="str">
        <f t="shared" si="11"/>
        <v/>
      </c>
      <c r="X158" s="22"/>
      <c r="Y158" s="22"/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xmlns="http://schemas.openxmlformats.org/spreadsheetml/2006/main" r="U159" s="23" t="str">
        <f t="shared" si="9"/>
        <v/>
      </c>
      <c xmlns="http://schemas.openxmlformats.org/spreadsheetml/2006/main" r="V159" s="22" t="str">
        <f t="shared" si="10"/>
        <v/>
      </c>
      <c xmlns="http://schemas.openxmlformats.org/spreadsheetml/2006/main" r="W159" s="18" t="str">
        <f t="shared" si="11"/>
        <v/>
      </c>
      <c r="X159" s="22"/>
      <c r="Y159" s="22"/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xmlns="http://schemas.openxmlformats.org/spreadsheetml/2006/main" r="U160" s="23" t="str">
        <f t="shared" si="9"/>
        <v/>
      </c>
      <c xmlns="http://schemas.openxmlformats.org/spreadsheetml/2006/main" r="V160" s="22" t="str">
        <f t="shared" si="10"/>
        <v/>
      </c>
      <c xmlns="http://schemas.openxmlformats.org/spreadsheetml/2006/main" r="W160" s="18" t="str">
        <f t="shared" si="11"/>
        <v/>
      </c>
      <c r="X160" s="22"/>
      <c r="Y160" s="22"/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 t="str">
        <f t="shared" si="9"/>
        <v/>
      </c>
      <c xmlns="http://schemas.openxmlformats.org/spreadsheetml/2006/main" r="V161" s="22" t="str">
        <f t="shared" si="10"/>
        <v/>
      </c>
      <c xmlns="http://schemas.openxmlformats.org/spreadsheetml/2006/main" r="W161" s="18" t="str">
        <f t="shared" si="11"/>
        <v/>
      </c>
      <c r="X161" s="22"/>
      <c r="Y161" s="22"/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xmlns="http://schemas.openxmlformats.org/spreadsheetml/2006/main" r="U162" s="23" t="str">
        <f t="shared" si="9"/>
        <v/>
      </c>
      <c xmlns="http://schemas.openxmlformats.org/spreadsheetml/2006/main" r="V162" s="22" t="str">
        <f t="shared" si="10"/>
        <v/>
      </c>
      <c xmlns="http://schemas.openxmlformats.org/spreadsheetml/2006/main" r="W162" s="18" t="str">
        <f t="shared" si="11"/>
        <v/>
      </c>
      <c r="X162" s="22"/>
      <c r="Y162" s="22"/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xmlns="http://schemas.openxmlformats.org/spreadsheetml/2006/main" r="U163" s="23" t="str">
        <f t="shared" si="9"/>
        <v/>
      </c>
      <c xmlns="http://schemas.openxmlformats.org/spreadsheetml/2006/main" r="V163" s="22" t="str">
        <f t="shared" si="10"/>
        <v/>
      </c>
      <c xmlns="http://schemas.openxmlformats.org/spreadsheetml/2006/main" r="W163" s="18" t="str">
        <f t="shared" si="11"/>
        <v/>
      </c>
      <c r="X163" s="22"/>
      <c r="Y163" s="22"/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xmlns="http://schemas.openxmlformats.org/spreadsheetml/2006/main" r="U164" s="23" t="str">
        <f t="shared" si="9"/>
        <v/>
      </c>
      <c xmlns="http://schemas.openxmlformats.org/spreadsheetml/2006/main" r="V164" s="22" t="str">
        <f t="shared" si="10"/>
        <v/>
      </c>
      <c xmlns="http://schemas.openxmlformats.org/spreadsheetml/2006/main" r="W164" s="18" t="str">
        <f t="shared" si="11"/>
        <v/>
      </c>
      <c r="X164" s="22"/>
      <c r="Y164" s="22"/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xmlns="http://schemas.openxmlformats.org/spreadsheetml/2006/main" r="U165" s="23" t="str">
        <f t="shared" si="9"/>
        <v/>
      </c>
      <c xmlns="http://schemas.openxmlformats.org/spreadsheetml/2006/main" r="V165" s="22" t="str">
        <f t="shared" si="10"/>
        <v/>
      </c>
      <c xmlns="http://schemas.openxmlformats.org/spreadsheetml/2006/main" r="W165" s="18" t="str">
        <f t="shared" si="11"/>
        <v/>
      </c>
      <c r="X165" s="22"/>
      <c r="Y165" s="22"/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xmlns="http://schemas.openxmlformats.org/spreadsheetml/2006/main" r="U166" s="23" t="str">
        <f t="shared" si="9"/>
        <v/>
      </c>
      <c xmlns="http://schemas.openxmlformats.org/spreadsheetml/2006/main" r="V166" s="22" t="str">
        <f t="shared" si="10"/>
        <v/>
      </c>
      <c xmlns="http://schemas.openxmlformats.org/spreadsheetml/2006/main" r="W166" s="18" t="str">
        <f t="shared" si="11"/>
        <v/>
      </c>
      <c r="X166" s="22"/>
      <c r="Y166" s="22"/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 t="str">
        <f t="shared" si="9"/>
        <v/>
      </c>
      <c xmlns="http://schemas.openxmlformats.org/spreadsheetml/2006/main" r="V167" s="22" t="str">
        <f t="shared" si="10"/>
        <v/>
      </c>
      <c xmlns="http://schemas.openxmlformats.org/spreadsheetml/2006/main" r="W167" s="18" t="str">
        <f t="shared" si="11"/>
        <v/>
      </c>
      <c r="X167" s="22"/>
      <c r="Y167" s="22"/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xmlns="http://schemas.openxmlformats.org/spreadsheetml/2006/main" r="U168" s="23" t="str">
        <f t="shared" si="9"/>
        <v/>
      </c>
      <c xmlns="http://schemas.openxmlformats.org/spreadsheetml/2006/main" r="V168" s="22" t="str">
        <f t="shared" si="10"/>
        <v/>
      </c>
      <c xmlns="http://schemas.openxmlformats.org/spreadsheetml/2006/main" r="W168" s="18" t="str">
        <f t="shared" si="11"/>
        <v/>
      </c>
      <c r="X168" s="22"/>
      <c r="Y168" s="22"/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xmlns="http://schemas.openxmlformats.org/spreadsheetml/2006/main" r="U169" s="23" t="str">
        <f t="shared" si="9"/>
        <v/>
      </c>
      <c xmlns="http://schemas.openxmlformats.org/spreadsheetml/2006/main" r="V169" s="22" t="str">
        <f t="shared" si="10"/>
        <v/>
      </c>
      <c xmlns="http://schemas.openxmlformats.org/spreadsheetml/2006/main" r="W169" s="18" t="str">
        <f t="shared" si="11"/>
        <v/>
      </c>
      <c r="X169" s="22"/>
      <c r="Y169" s="22"/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9"/>
        <v/>
      </c>
      <c xmlns="http://schemas.openxmlformats.org/spreadsheetml/2006/main" r="V170" s="22" t="str">
        <f t="shared" si="10"/>
        <v/>
      </c>
      <c xmlns="http://schemas.openxmlformats.org/spreadsheetml/2006/main" r="W170" s="18" t="str">
        <f t="shared" si="11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9"/>
        <v/>
      </c>
      <c xmlns="http://schemas.openxmlformats.org/spreadsheetml/2006/main" r="V171" s="22" t="str">
        <f t="shared" si="10"/>
        <v/>
      </c>
      <c xmlns="http://schemas.openxmlformats.org/spreadsheetml/2006/main" r="W171" s="18" t="str">
        <f t="shared" si="11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9"/>
        <v/>
      </c>
      <c xmlns="http://schemas.openxmlformats.org/spreadsheetml/2006/main" r="V172" s="22" t="str">
        <f t="shared" si="10"/>
        <v/>
      </c>
      <c xmlns="http://schemas.openxmlformats.org/spreadsheetml/2006/main" r="W172" s="18" t="str">
        <f t="shared" si="11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9"/>
        <v/>
      </c>
      <c xmlns="http://schemas.openxmlformats.org/spreadsheetml/2006/main" r="V173" s="22" t="str">
        <f t="shared" si="10"/>
        <v/>
      </c>
      <c xmlns="http://schemas.openxmlformats.org/spreadsheetml/2006/main" r="W173" s="18" t="str">
        <f t="shared" si="11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9"/>
        <v/>
      </c>
      <c xmlns="http://schemas.openxmlformats.org/spreadsheetml/2006/main" r="V174" s="22" t="str">
        <f t="shared" si="10"/>
        <v/>
      </c>
      <c xmlns="http://schemas.openxmlformats.org/spreadsheetml/2006/main" r="W174" s="18" t="str">
        <f t="shared" si="11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9"/>
        <v/>
      </c>
      <c xmlns="http://schemas.openxmlformats.org/spreadsheetml/2006/main" r="V175" s="22" t="str">
        <f t="shared" si="10"/>
        <v/>
      </c>
      <c xmlns="http://schemas.openxmlformats.org/spreadsheetml/2006/main" r="W175" s="18" t="str">
        <f t="shared" si="11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9"/>
        <v/>
      </c>
      <c xmlns="http://schemas.openxmlformats.org/spreadsheetml/2006/main" r="V176" s="22" t="str">
        <f t="shared" si="10"/>
        <v/>
      </c>
      <c xmlns="http://schemas.openxmlformats.org/spreadsheetml/2006/main" r="W176" s="18" t="str">
        <f t="shared" si="11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9"/>
        <v/>
      </c>
      <c xmlns="http://schemas.openxmlformats.org/spreadsheetml/2006/main" r="V177" s="22" t="str">
        <f t="shared" si="10"/>
        <v/>
      </c>
      <c xmlns="http://schemas.openxmlformats.org/spreadsheetml/2006/main" r="W177" s="18" t="str">
        <f t="shared" si="11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9"/>
        <v/>
      </c>
      <c xmlns="http://schemas.openxmlformats.org/spreadsheetml/2006/main" r="V178" s="22" t="str">
        <f t="shared" si="10"/>
        <v/>
      </c>
      <c xmlns="http://schemas.openxmlformats.org/spreadsheetml/2006/main" r="W178" s="18" t="str">
        <f t="shared" si="11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9"/>
        <v/>
      </c>
      <c xmlns="http://schemas.openxmlformats.org/spreadsheetml/2006/main" r="V179" s="22" t="str">
        <f t="shared" si="10"/>
        <v/>
      </c>
      <c xmlns="http://schemas.openxmlformats.org/spreadsheetml/2006/main" r="W179" s="18" t="str">
        <f t="shared" si="11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9"/>
        <v/>
      </c>
      <c xmlns="http://schemas.openxmlformats.org/spreadsheetml/2006/main" r="V180" s="22" t="str">
        <f t="shared" si="10"/>
        <v/>
      </c>
      <c xmlns="http://schemas.openxmlformats.org/spreadsheetml/2006/main" r="W180" s="18" t="str">
        <f t="shared" si="11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9"/>
        <v/>
      </c>
      <c xmlns="http://schemas.openxmlformats.org/spreadsheetml/2006/main" r="V181" s="22" t="str">
        <f t="shared" si="10"/>
        <v/>
      </c>
      <c xmlns="http://schemas.openxmlformats.org/spreadsheetml/2006/main" r="W181" s="18" t="str">
        <f t="shared" si="11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9"/>
        <v/>
      </c>
      <c xmlns="http://schemas.openxmlformats.org/spreadsheetml/2006/main" r="V182" s="22" t="str">
        <f t="shared" si="10"/>
        <v/>
      </c>
      <c xmlns="http://schemas.openxmlformats.org/spreadsheetml/2006/main" r="W182" s="18" t="str">
        <f t="shared" si="11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9"/>
        <v/>
      </c>
      <c xmlns="http://schemas.openxmlformats.org/spreadsheetml/2006/main" r="V183" s="22" t="str">
        <f t="shared" si="10"/>
        <v/>
      </c>
      <c xmlns="http://schemas.openxmlformats.org/spreadsheetml/2006/main" r="W183" s="18" t="str">
        <f t="shared" si="11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9"/>
        <v/>
      </c>
      <c xmlns="http://schemas.openxmlformats.org/spreadsheetml/2006/main" r="V184" s="22" t="str">
        <f t="shared" si="10"/>
        <v/>
      </c>
      <c xmlns="http://schemas.openxmlformats.org/spreadsheetml/2006/main" r="W184" s="18" t="str">
        <f t="shared" si="11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ref="U185:U248" si="12">IF($E185="","",COUNTIF($I185:$S185,"V"))</f>
        <v/>
      </c>
      <c xmlns="http://schemas.openxmlformats.org/spreadsheetml/2006/main" r="V185" s="22" t="str">
        <f t="shared" ref="V185:V248" si="13">IF($E185="","",IF(AND($T185="V",$U185&gt;0),"⚠ 勾選矛盾",IF($T185="V","○ 免調理",IF($U185=0,"⚠ 資料缺漏",IF($U185=1,"▲ 單一設備依賴","OK")))))</f>
        <v/>
      </c>
      <c xmlns="http://schemas.openxmlformats.org/spreadsheetml/2006/main" r="W185" s="18" t="str">
        <f t="shared" ref="W185:W248" si="14">IF($E185="","",IF(AND($T185="V",$U185&gt;0),"「無使用調理設備」不可與設備欄同時勾選，請擇一修正",IF($T185="V","免調理半成品（外購/僅切配等），不列入設備風險評估",IF($U185=0,"未勾選任何設備，請補填或勾選「無使用調理設備」",IF($U185=1,"僅依賴1台設備，須確認故障/排修時之備援製程","無異常")))))</f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12"/>
        <v/>
      </c>
      <c xmlns="http://schemas.openxmlformats.org/spreadsheetml/2006/main" r="V186" s="22" t="str">
        <f t="shared" si="13"/>
        <v/>
      </c>
      <c xmlns="http://schemas.openxmlformats.org/spreadsheetml/2006/main" r="W186" s="18" t="str">
        <f t="shared" si="14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12"/>
        <v/>
      </c>
      <c xmlns="http://schemas.openxmlformats.org/spreadsheetml/2006/main" r="V187" s="22" t="str">
        <f t="shared" si="13"/>
        <v/>
      </c>
      <c xmlns="http://schemas.openxmlformats.org/spreadsheetml/2006/main" r="W187" s="18" t="str">
        <f t="shared" si="14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12"/>
        <v/>
      </c>
      <c xmlns="http://schemas.openxmlformats.org/spreadsheetml/2006/main" r="V188" s="22" t="str">
        <f t="shared" si="13"/>
        <v/>
      </c>
      <c xmlns="http://schemas.openxmlformats.org/spreadsheetml/2006/main" r="W188" s="18" t="str">
        <f t="shared" si="14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12"/>
        <v/>
      </c>
      <c xmlns="http://schemas.openxmlformats.org/spreadsheetml/2006/main" r="V189" s="22" t="str">
        <f t="shared" si="13"/>
        <v/>
      </c>
      <c xmlns="http://schemas.openxmlformats.org/spreadsheetml/2006/main" r="W189" s="18" t="str">
        <f t="shared" si="14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12"/>
        <v/>
      </c>
      <c xmlns="http://schemas.openxmlformats.org/spreadsheetml/2006/main" r="V190" s="22" t="str">
        <f t="shared" si="13"/>
        <v/>
      </c>
      <c xmlns="http://schemas.openxmlformats.org/spreadsheetml/2006/main" r="W190" s="18" t="str">
        <f t="shared" si="14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12"/>
        <v/>
      </c>
      <c xmlns="http://schemas.openxmlformats.org/spreadsheetml/2006/main" r="V191" s="22" t="str">
        <f t="shared" si="13"/>
        <v/>
      </c>
      <c xmlns="http://schemas.openxmlformats.org/spreadsheetml/2006/main" r="W191" s="18" t="str">
        <f t="shared" si="14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12"/>
        <v/>
      </c>
      <c xmlns="http://schemas.openxmlformats.org/spreadsheetml/2006/main" r="V192" s="22" t="str">
        <f t="shared" si="13"/>
        <v/>
      </c>
      <c xmlns="http://schemas.openxmlformats.org/spreadsheetml/2006/main" r="W192" s="18" t="str">
        <f t="shared" si="14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12"/>
        <v/>
      </c>
      <c xmlns="http://schemas.openxmlformats.org/spreadsheetml/2006/main" r="V193" s="22" t="str">
        <f t="shared" si="13"/>
        <v/>
      </c>
      <c xmlns="http://schemas.openxmlformats.org/spreadsheetml/2006/main" r="W193" s="18" t="str">
        <f t="shared" si="14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12"/>
        <v/>
      </c>
      <c xmlns="http://schemas.openxmlformats.org/spreadsheetml/2006/main" r="V194" s="22" t="str">
        <f t="shared" si="13"/>
        <v/>
      </c>
      <c xmlns="http://schemas.openxmlformats.org/spreadsheetml/2006/main" r="W194" s="18" t="str">
        <f t="shared" si="14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12"/>
        <v/>
      </c>
      <c xmlns="http://schemas.openxmlformats.org/spreadsheetml/2006/main" r="V195" s="22" t="str">
        <f t="shared" si="13"/>
        <v/>
      </c>
      <c xmlns="http://schemas.openxmlformats.org/spreadsheetml/2006/main" r="W195" s="18" t="str">
        <f t="shared" si="14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si="12"/>
        <v/>
      </c>
      <c xmlns="http://schemas.openxmlformats.org/spreadsheetml/2006/main" r="V196" s="22" t="str">
        <f t="shared" si="13"/>
        <v/>
      </c>
      <c xmlns="http://schemas.openxmlformats.org/spreadsheetml/2006/main" r="W196" s="18" t="str">
        <f t="shared" si="14"/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si="12"/>
        <v/>
      </c>
      <c xmlns="http://schemas.openxmlformats.org/spreadsheetml/2006/main" r="V197" s="22" t="str">
        <f t="shared" si="13"/>
        <v/>
      </c>
      <c xmlns="http://schemas.openxmlformats.org/spreadsheetml/2006/main" r="W197" s="18" t="str">
        <f t="shared" si="14"/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12"/>
        <v/>
      </c>
      <c xmlns="http://schemas.openxmlformats.org/spreadsheetml/2006/main" r="V198" s="22" t="str">
        <f t="shared" si="13"/>
        <v/>
      </c>
      <c xmlns="http://schemas.openxmlformats.org/spreadsheetml/2006/main" r="W198" s="18" t="str">
        <f t="shared" si="14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12"/>
        <v/>
      </c>
      <c xmlns="http://schemas.openxmlformats.org/spreadsheetml/2006/main" r="V199" s="22" t="str">
        <f t="shared" si="13"/>
        <v/>
      </c>
      <c xmlns="http://schemas.openxmlformats.org/spreadsheetml/2006/main" r="W199" s="18" t="str">
        <f t="shared" si="14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12"/>
        <v/>
      </c>
      <c xmlns="http://schemas.openxmlformats.org/spreadsheetml/2006/main" r="V200" s="22" t="str">
        <f t="shared" si="13"/>
        <v/>
      </c>
      <c xmlns="http://schemas.openxmlformats.org/spreadsheetml/2006/main" r="W200" s="18" t="str">
        <f t="shared" si="14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12"/>
        <v/>
      </c>
      <c xmlns="http://schemas.openxmlformats.org/spreadsheetml/2006/main" r="V201" s="22" t="str">
        <f t="shared" si="13"/>
        <v/>
      </c>
      <c xmlns="http://schemas.openxmlformats.org/spreadsheetml/2006/main" r="W201" s="18" t="str">
        <f t="shared" si="14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12"/>
        <v/>
      </c>
      <c xmlns="http://schemas.openxmlformats.org/spreadsheetml/2006/main" r="V202" s="22" t="str">
        <f t="shared" si="13"/>
        <v/>
      </c>
      <c xmlns="http://schemas.openxmlformats.org/spreadsheetml/2006/main" r="W202" s="18" t="str">
        <f t="shared" si="14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12"/>
        <v/>
      </c>
      <c xmlns="http://schemas.openxmlformats.org/spreadsheetml/2006/main" r="V203" s="22" t="str">
        <f t="shared" si="13"/>
        <v/>
      </c>
      <c xmlns="http://schemas.openxmlformats.org/spreadsheetml/2006/main" r="W203" s="18" t="str">
        <f t="shared" si="14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12"/>
        <v/>
      </c>
      <c xmlns="http://schemas.openxmlformats.org/spreadsheetml/2006/main" r="V204" s="22" t="str">
        <f t="shared" si="13"/>
        <v/>
      </c>
      <c xmlns="http://schemas.openxmlformats.org/spreadsheetml/2006/main" r="W204" s="18" t="str">
        <f t="shared" si="14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12"/>
        <v/>
      </c>
      <c xmlns="http://schemas.openxmlformats.org/spreadsheetml/2006/main" r="V205" s="22" t="str">
        <f t="shared" si="13"/>
        <v/>
      </c>
      <c xmlns="http://schemas.openxmlformats.org/spreadsheetml/2006/main" r="W205" s="18" t="str">
        <f t="shared" si="14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12"/>
        <v/>
      </c>
      <c xmlns="http://schemas.openxmlformats.org/spreadsheetml/2006/main" r="V206" s="22" t="str">
        <f t="shared" si="13"/>
        <v/>
      </c>
      <c xmlns="http://schemas.openxmlformats.org/spreadsheetml/2006/main" r="W206" s="18" t="str">
        <f t="shared" si="14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12"/>
        <v/>
      </c>
      <c xmlns="http://schemas.openxmlformats.org/spreadsheetml/2006/main" r="V207" s="22" t="str">
        <f t="shared" si="13"/>
        <v/>
      </c>
      <c xmlns="http://schemas.openxmlformats.org/spreadsheetml/2006/main" r="W207" s="18" t="str">
        <f t="shared" si="14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12"/>
        <v/>
      </c>
      <c xmlns="http://schemas.openxmlformats.org/spreadsheetml/2006/main" r="V208" s="22" t="str">
        <f t="shared" si="13"/>
        <v/>
      </c>
      <c xmlns="http://schemas.openxmlformats.org/spreadsheetml/2006/main" r="W208" s="18" t="str">
        <f t="shared" si="14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12"/>
        <v/>
      </c>
      <c xmlns="http://schemas.openxmlformats.org/spreadsheetml/2006/main" r="V209" s="22" t="str">
        <f t="shared" si="13"/>
        <v/>
      </c>
      <c xmlns="http://schemas.openxmlformats.org/spreadsheetml/2006/main" r="W209" s="18" t="str">
        <f t="shared" si="14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12"/>
        <v/>
      </c>
      <c xmlns="http://schemas.openxmlformats.org/spreadsheetml/2006/main" r="V210" s="22" t="str">
        <f t="shared" si="13"/>
        <v/>
      </c>
      <c xmlns="http://schemas.openxmlformats.org/spreadsheetml/2006/main" r="W210" s="18" t="str">
        <f t="shared" si="14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12"/>
        <v/>
      </c>
      <c xmlns="http://schemas.openxmlformats.org/spreadsheetml/2006/main" r="V211" s="22" t="str">
        <f t="shared" si="13"/>
        <v/>
      </c>
      <c xmlns="http://schemas.openxmlformats.org/spreadsheetml/2006/main" r="W211" s="18" t="str">
        <f t="shared" si="14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12"/>
        <v/>
      </c>
      <c xmlns="http://schemas.openxmlformats.org/spreadsheetml/2006/main" r="V212" s="22" t="str">
        <f t="shared" si="13"/>
        <v/>
      </c>
      <c xmlns="http://schemas.openxmlformats.org/spreadsheetml/2006/main" r="W212" s="18" t="str">
        <f t="shared" si="14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12"/>
        <v/>
      </c>
      <c xmlns="http://schemas.openxmlformats.org/spreadsheetml/2006/main" r="V213" s="22" t="str">
        <f t="shared" si="13"/>
        <v/>
      </c>
      <c xmlns="http://schemas.openxmlformats.org/spreadsheetml/2006/main" r="W213" s="18" t="str">
        <f t="shared" si="14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12"/>
        <v/>
      </c>
      <c xmlns="http://schemas.openxmlformats.org/spreadsheetml/2006/main" r="V214" s="22" t="str">
        <f t="shared" si="13"/>
        <v/>
      </c>
      <c xmlns="http://schemas.openxmlformats.org/spreadsheetml/2006/main" r="W214" s="18" t="str">
        <f t="shared" si="14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12"/>
        <v/>
      </c>
      <c xmlns="http://schemas.openxmlformats.org/spreadsheetml/2006/main" r="V215" s="22" t="str">
        <f t="shared" si="13"/>
        <v/>
      </c>
      <c xmlns="http://schemas.openxmlformats.org/spreadsheetml/2006/main" r="W215" s="18" t="str">
        <f t="shared" si="14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12"/>
        <v/>
      </c>
      <c xmlns="http://schemas.openxmlformats.org/spreadsheetml/2006/main" r="V216" s="22" t="str">
        <f t="shared" si="13"/>
        <v/>
      </c>
      <c xmlns="http://schemas.openxmlformats.org/spreadsheetml/2006/main" r="W216" s="18" t="str">
        <f t="shared" si="14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12"/>
        <v/>
      </c>
      <c xmlns="http://schemas.openxmlformats.org/spreadsheetml/2006/main" r="V217" s="22" t="str">
        <f t="shared" si="13"/>
        <v/>
      </c>
      <c xmlns="http://schemas.openxmlformats.org/spreadsheetml/2006/main" r="W217" s="18" t="str">
        <f t="shared" si="14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12"/>
        <v/>
      </c>
      <c xmlns="http://schemas.openxmlformats.org/spreadsheetml/2006/main" r="V218" s="22" t="str">
        <f t="shared" si="13"/>
        <v/>
      </c>
      <c xmlns="http://schemas.openxmlformats.org/spreadsheetml/2006/main" r="W218" s="18" t="str">
        <f t="shared" si="14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12"/>
        <v/>
      </c>
      <c xmlns="http://schemas.openxmlformats.org/spreadsheetml/2006/main" r="V219" s="22" t="str">
        <f t="shared" si="13"/>
        <v/>
      </c>
      <c xmlns="http://schemas.openxmlformats.org/spreadsheetml/2006/main" r="W219" s="18" t="str">
        <f t="shared" si="14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12"/>
        <v/>
      </c>
      <c xmlns="http://schemas.openxmlformats.org/spreadsheetml/2006/main" r="V220" s="22" t="str">
        <f t="shared" si="13"/>
        <v/>
      </c>
      <c xmlns="http://schemas.openxmlformats.org/spreadsheetml/2006/main" r="W220" s="18" t="str">
        <f t="shared" si="14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12"/>
        <v/>
      </c>
      <c xmlns="http://schemas.openxmlformats.org/spreadsheetml/2006/main" r="V221" s="22" t="str">
        <f t="shared" si="13"/>
        <v/>
      </c>
      <c xmlns="http://schemas.openxmlformats.org/spreadsheetml/2006/main" r="W221" s="18" t="str">
        <f t="shared" si="14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12"/>
        <v/>
      </c>
      <c xmlns="http://schemas.openxmlformats.org/spreadsheetml/2006/main" r="V222" s="22" t="str">
        <f t="shared" si="13"/>
        <v/>
      </c>
      <c xmlns="http://schemas.openxmlformats.org/spreadsheetml/2006/main" r="W222" s="18" t="str">
        <f t="shared" si="14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12"/>
        <v/>
      </c>
      <c xmlns="http://schemas.openxmlformats.org/spreadsheetml/2006/main" r="V223" s="22" t="str">
        <f t="shared" si="13"/>
        <v/>
      </c>
      <c xmlns="http://schemas.openxmlformats.org/spreadsheetml/2006/main" r="W223" s="18" t="str">
        <f t="shared" si="14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12"/>
        <v/>
      </c>
      <c xmlns="http://schemas.openxmlformats.org/spreadsheetml/2006/main" r="V224" s="22" t="str">
        <f t="shared" si="13"/>
        <v/>
      </c>
      <c xmlns="http://schemas.openxmlformats.org/spreadsheetml/2006/main" r="W224" s="18" t="str">
        <f t="shared" si="14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12"/>
        <v/>
      </c>
      <c xmlns="http://schemas.openxmlformats.org/spreadsheetml/2006/main" r="V225" s="22" t="str">
        <f t="shared" si="13"/>
        <v/>
      </c>
      <c xmlns="http://schemas.openxmlformats.org/spreadsheetml/2006/main" r="W225" s="18" t="str">
        <f t="shared" si="14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12"/>
        <v/>
      </c>
      <c xmlns="http://schemas.openxmlformats.org/spreadsheetml/2006/main" r="V226" s="22" t="str">
        <f t="shared" si="13"/>
        <v/>
      </c>
      <c xmlns="http://schemas.openxmlformats.org/spreadsheetml/2006/main" r="W226" s="18" t="str">
        <f t="shared" si="14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12"/>
        <v/>
      </c>
      <c xmlns="http://schemas.openxmlformats.org/spreadsheetml/2006/main" r="V227" s="22" t="str">
        <f t="shared" si="13"/>
        <v/>
      </c>
      <c xmlns="http://schemas.openxmlformats.org/spreadsheetml/2006/main" r="W227" s="18" t="str">
        <f t="shared" si="14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12"/>
        <v/>
      </c>
      <c xmlns="http://schemas.openxmlformats.org/spreadsheetml/2006/main" r="V228" s="22" t="str">
        <f t="shared" si="13"/>
        <v/>
      </c>
      <c xmlns="http://schemas.openxmlformats.org/spreadsheetml/2006/main" r="W228" s="18" t="str">
        <f t="shared" si="14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12"/>
        <v/>
      </c>
      <c xmlns="http://schemas.openxmlformats.org/spreadsheetml/2006/main" r="V229" s="22" t="str">
        <f t="shared" si="13"/>
        <v/>
      </c>
      <c xmlns="http://schemas.openxmlformats.org/spreadsheetml/2006/main" r="W229" s="18" t="str">
        <f t="shared" si="14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12"/>
        <v/>
      </c>
      <c xmlns="http://schemas.openxmlformats.org/spreadsheetml/2006/main" r="V230" s="22" t="str">
        <f t="shared" si="13"/>
        <v/>
      </c>
      <c xmlns="http://schemas.openxmlformats.org/spreadsheetml/2006/main" r="W230" s="18" t="str">
        <f t="shared" si="14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12"/>
        <v/>
      </c>
      <c xmlns="http://schemas.openxmlformats.org/spreadsheetml/2006/main" r="V231" s="22" t="str">
        <f t="shared" si="13"/>
        <v/>
      </c>
      <c xmlns="http://schemas.openxmlformats.org/spreadsheetml/2006/main" r="W231" s="18" t="str">
        <f t="shared" si="14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12"/>
        <v/>
      </c>
      <c xmlns="http://schemas.openxmlformats.org/spreadsheetml/2006/main" r="V232" s="22" t="str">
        <f t="shared" si="13"/>
        <v/>
      </c>
      <c xmlns="http://schemas.openxmlformats.org/spreadsheetml/2006/main" r="W232" s="18" t="str">
        <f t="shared" si="14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12"/>
        <v/>
      </c>
      <c xmlns="http://schemas.openxmlformats.org/spreadsheetml/2006/main" r="V233" s="22" t="str">
        <f t="shared" si="13"/>
        <v/>
      </c>
      <c xmlns="http://schemas.openxmlformats.org/spreadsheetml/2006/main" r="W233" s="18" t="str">
        <f t="shared" si="14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12"/>
        <v/>
      </c>
      <c xmlns="http://schemas.openxmlformats.org/spreadsheetml/2006/main" r="V234" s="22" t="str">
        <f t="shared" si="13"/>
        <v/>
      </c>
      <c xmlns="http://schemas.openxmlformats.org/spreadsheetml/2006/main" r="W234" s="18" t="str">
        <f t="shared" si="14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12"/>
        <v/>
      </c>
      <c xmlns="http://schemas.openxmlformats.org/spreadsheetml/2006/main" r="V235" s="22" t="str">
        <f t="shared" si="13"/>
        <v/>
      </c>
      <c xmlns="http://schemas.openxmlformats.org/spreadsheetml/2006/main" r="W235" s="18" t="str">
        <f t="shared" si="14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12"/>
        <v/>
      </c>
      <c xmlns="http://schemas.openxmlformats.org/spreadsheetml/2006/main" r="V236" s="22" t="str">
        <f t="shared" si="13"/>
        <v/>
      </c>
      <c xmlns="http://schemas.openxmlformats.org/spreadsheetml/2006/main" r="W236" s="18" t="str">
        <f t="shared" si="14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12"/>
        <v/>
      </c>
      <c xmlns="http://schemas.openxmlformats.org/spreadsheetml/2006/main" r="V237" s="22" t="str">
        <f t="shared" si="13"/>
        <v/>
      </c>
      <c xmlns="http://schemas.openxmlformats.org/spreadsheetml/2006/main" r="W237" s="18" t="str">
        <f t="shared" si="14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12"/>
        <v/>
      </c>
      <c xmlns="http://schemas.openxmlformats.org/spreadsheetml/2006/main" r="V238" s="22" t="str">
        <f t="shared" si="13"/>
        <v/>
      </c>
      <c xmlns="http://schemas.openxmlformats.org/spreadsheetml/2006/main" r="W238" s="18" t="str">
        <f t="shared" si="14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12"/>
        <v/>
      </c>
      <c xmlns="http://schemas.openxmlformats.org/spreadsheetml/2006/main" r="V239" s="22" t="str">
        <f t="shared" si="13"/>
        <v/>
      </c>
      <c xmlns="http://schemas.openxmlformats.org/spreadsheetml/2006/main" r="W239" s="18" t="str">
        <f t="shared" si="14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12"/>
        <v/>
      </c>
      <c xmlns="http://schemas.openxmlformats.org/spreadsheetml/2006/main" r="V240" s="22" t="str">
        <f t="shared" si="13"/>
        <v/>
      </c>
      <c xmlns="http://schemas.openxmlformats.org/spreadsheetml/2006/main" r="W240" s="18" t="str">
        <f t="shared" si="14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12"/>
        <v/>
      </c>
      <c xmlns="http://schemas.openxmlformats.org/spreadsheetml/2006/main" r="V241" s="22" t="str">
        <f t="shared" si="13"/>
        <v/>
      </c>
      <c xmlns="http://schemas.openxmlformats.org/spreadsheetml/2006/main" r="W241" s="18" t="str">
        <f t="shared" si="14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12"/>
        <v/>
      </c>
      <c xmlns="http://schemas.openxmlformats.org/spreadsheetml/2006/main" r="V242" s="22" t="str">
        <f t="shared" si="13"/>
        <v/>
      </c>
      <c xmlns="http://schemas.openxmlformats.org/spreadsheetml/2006/main" r="W242" s="18" t="str">
        <f t="shared" si="14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12"/>
        <v/>
      </c>
      <c xmlns="http://schemas.openxmlformats.org/spreadsheetml/2006/main" r="V243" s="22" t="str">
        <f t="shared" si="13"/>
        <v/>
      </c>
      <c xmlns="http://schemas.openxmlformats.org/spreadsheetml/2006/main" r="W243" s="18" t="str">
        <f t="shared" si="14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12"/>
        <v/>
      </c>
      <c xmlns="http://schemas.openxmlformats.org/spreadsheetml/2006/main" r="V244" s="22" t="str">
        <f t="shared" si="13"/>
        <v/>
      </c>
      <c xmlns="http://schemas.openxmlformats.org/spreadsheetml/2006/main" r="W244" s="18" t="str">
        <f t="shared" si="14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12"/>
        <v/>
      </c>
      <c xmlns="http://schemas.openxmlformats.org/spreadsheetml/2006/main" r="V245" s="22" t="str">
        <f t="shared" si="13"/>
        <v/>
      </c>
      <c xmlns="http://schemas.openxmlformats.org/spreadsheetml/2006/main" r="W245" s="18" t="str">
        <f t="shared" si="14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12"/>
        <v/>
      </c>
      <c xmlns="http://schemas.openxmlformats.org/spreadsheetml/2006/main" r="V246" s="22" t="str">
        <f t="shared" si="13"/>
        <v/>
      </c>
      <c xmlns="http://schemas.openxmlformats.org/spreadsheetml/2006/main" r="W246" s="18" t="str">
        <f t="shared" si="14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12"/>
        <v/>
      </c>
      <c xmlns="http://schemas.openxmlformats.org/spreadsheetml/2006/main" r="V247" s="22" t="str">
        <f t="shared" si="13"/>
        <v/>
      </c>
      <c xmlns="http://schemas.openxmlformats.org/spreadsheetml/2006/main" r="W247" s="18" t="str">
        <f t="shared" si="14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12"/>
        <v/>
      </c>
      <c xmlns="http://schemas.openxmlformats.org/spreadsheetml/2006/main" r="V248" s="22" t="str">
        <f t="shared" si="13"/>
        <v/>
      </c>
      <c xmlns="http://schemas.openxmlformats.org/spreadsheetml/2006/main" r="W248" s="18" t="str">
        <f t="shared" si="14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ref="U249:U292" si="15">IF($E249="","",COUNTIF($I249:$S249,"V"))</f>
        <v/>
      </c>
      <c xmlns="http://schemas.openxmlformats.org/spreadsheetml/2006/main" r="V249" s="22" t="str">
        <f t="shared" ref="V249:V292" si="16">IF($E249="","",IF(AND($T249="V",$U249&gt;0),"⚠ 勾選矛盾",IF($T249="V","○ 免調理",IF($U249=0,"⚠ 資料缺漏",IF($U249=1,"▲ 單一設備依賴","OK")))))</f>
        <v/>
      </c>
      <c xmlns="http://schemas.openxmlformats.org/spreadsheetml/2006/main" r="W249" s="18" t="str">
        <f t="shared" ref="W249:W292" si="17">IF($E249="","",IF(AND($T249="V",$U249&gt;0),"「無使用調理設備」不可與設備欄同時勾選，請擇一修正",IF($T249="V","免調理半成品（外購/僅切配等），不列入設備風險評估",IF($U249=0,"未勾選任何設備，請補填或勾選「無使用調理設備」",IF($U249=1,"僅依賴1台設備，須確認故障/排修時之備援製程","無異常")))))</f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15"/>
        <v/>
      </c>
      <c xmlns="http://schemas.openxmlformats.org/spreadsheetml/2006/main" r="V250" s="22" t="str">
        <f t="shared" si="16"/>
        <v/>
      </c>
      <c xmlns="http://schemas.openxmlformats.org/spreadsheetml/2006/main" r="W250" s="18" t="str">
        <f t="shared" si="17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15"/>
        <v/>
      </c>
      <c xmlns="http://schemas.openxmlformats.org/spreadsheetml/2006/main" r="V251" s="22" t="str">
        <f t="shared" si="16"/>
        <v/>
      </c>
      <c xmlns="http://schemas.openxmlformats.org/spreadsheetml/2006/main" r="W251" s="18" t="str">
        <f t="shared" si="17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15"/>
        <v/>
      </c>
      <c xmlns="http://schemas.openxmlformats.org/spreadsheetml/2006/main" r="V252" s="22" t="str">
        <f t="shared" si="16"/>
        <v/>
      </c>
      <c xmlns="http://schemas.openxmlformats.org/spreadsheetml/2006/main" r="W252" s="18" t="str">
        <f t="shared" si="17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15"/>
        <v/>
      </c>
      <c xmlns="http://schemas.openxmlformats.org/spreadsheetml/2006/main" r="V253" s="22" t="str">
        <f t="shared" si="16"/>
        <v/>
      </c>
      <c xmlns="http://schemas.openxmlformats.org/spreadsheetml/2006/main" r="W253" s="18" t="str">
        <f t="shared" si="17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15"/>
        <v/>
      </c>
      <c xmlns="http://schemas.openxmlformats.org/spreadsheetml/2006/main" r="V254" s="22" t="str">
        <f t="shared" si="16"/>
        <v/>
      </c>
      <c xmlns="http://schemas.openxmlformats.org/spreadsheetml/2006/main" r="W254" s="18" t="str">
        <f t="shared" si="17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15"/>
        <v/>
      </c>
      <c xmlns="http://schemas.openxmlformats.org/spreadsheetml/2006/main" r="V255" s="22" t="str">
        <f t="shared" si="16"/>
        <v/>
      </c>
      <c xmlns="http://schemas.openxmlformats.org/spreadsheetml/2006/main" r="W255" s="18" t="str">
        <f t="shared" si="17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15"/>
        <v/>
      </c>
      <c xmlns="http://schemas.openxmlformats.org/spreadsheetml/2006/main" r="V256" s="22" t="str">
        <f t="shared" si="16"/>
        <v/>
      </c>
      <c xmlns="http://schemas.openxmlformats.org/spreadsheetml/2006/main" r="W256" s="18" t="str">
        <f t="shared" si="17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15"/>
        <v/>
      </c>
      <c xmlns="http://schemas.openxmlformats.org/spreadsheetml/2006/main" r="V257" s="22" t="str">
        <f t="shared" si="16"/>
        <v/>
      </c>
      <c xmlns="http://schemas.openxmlformats.org/spreadsheetml/2006/main" r="W257" s="18" t="str">
        <f t="shared" si="17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15"/>
        <v/>
      </c>
      <c xmlns="http://schemas.openxmlformats.org/spreadsheetml/2006/main" r="V258" s="22" t="str">
        <f t="shared" si="16"/>
        <v/>
      </c>
      <c xmlns="http://schemas.openxmlformats.org/spreadsheetml/2006/main" r="W258" s="18" t="str">
        <f t="shared" si="17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15"/>
        <v/>
      </c>
      <c xmlns="http://schemas.openxmlformats.org/spreadsheetml/2006/main" r="V259" s="22" t="str">
        <f t="shared" si="16"/>
        <v/>
      </c>
      <c xmlns="http://schemas.openxmlformats.org/spreadsheetml/2006/main" r="W259" s="18" t="str">
        <f t="shared" si="17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si="15"/>
        <v/>
      </c>
      <c xmlns="http://schemas.openxmlformats.org/spreadsheetml/2006/main" r="V260" s="22" t="str">
        <f t="shared" si="16"/>
        <v/>
      </c>
      <c xmlns="http://schemas.openxmlformats.org/spreadsheetml/2006/main" r="W260" s="18" t="str">
        <f t="shared" si="17"/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si="15"/>
        <v/>
      </c>
      <c xmlns="http://schemas.openxmlformats.org/spreadsheetml/2006/main" r="V261" s="22" t="str">
        <f t="shared" si="16"/>
        <v/>
      </c>
      <c xmlns="http://schemas.openxmlformats.org/spreadsheetml/2006/main" r="W261" s="18" t="str">
        <f t="shared" si="17"/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5"/>
        <v/>
      </c>
      <c xmlns="http://schemas.openxmlformats.org/spreadsheetml/2006/main" r="V262" s="22" t="str">
        <f t="shared" si="16"/>
        <v/>
      </c>
      <c xmlns="http://schemas.openxmlformats.org/spreadsheetml/2006/main" r="W262" s="18" t="str">
        <f t="shared" si="17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5"/>
        <v/>
      </c>
      <c xmlns="http://schemas.openxmlformats.org/spreadsheetml/2006/main" r="V263" s="22" t="str">
        <f t="shared" si="16"/>
        <v/>
      </c>
      <c xmlns="http://schemas.openxmlformats.org/spreadsheetml/2006/main" r="W263" s="18" t="str">
        <f t="shared" si="17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5"/>
        <v/>
      </c>
      <c xmlns="http://schemas.openxmlformats.org/spreadsheetml/2006/main" r="V264" s="22" t="str">
        <f t="shared" si="16"/>
        <v/>
      </c>
      <c xmlns="http://schemas.openxmlformats.org/spreadsheetml/2006/main" r="W264" s="18" t="str">
        <f t="shared" si="17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5"/>
        <v/>
      </c>
      <c xmlns="http://schemas.openxmlformats.org/spreadsheetml/2006/main" r="V265" s="22" t="str">
        <f t="shared" si="16"/>
        <v/>
      </c>
      <c xmlns="http://schemas.openxmlformats.org/spreadsheetml/2006/main" r="W265" s="18" t="str">
        <f t="shared" si="17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5"/>
        <v/>
      </c>
      <c xmlns="http://schemas.openxmlformats.org/spreadsheetml/2006/main" r="V266" s="22" t="str">
        <f t="shared" si="16"/>
        <v/>
      </c>
      <c xmlns="http://schemas.openxmlformats.org/spreadsheetml/2006/main" r="W266" s="18" t="str">
        <f t="shared" si="17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5"/>
        <v/>
      </c>
      <c xmlns="http://schemas.openxmlformats.org/spreadsheetml/2006/main" r="V267" s="22" t="str">
        <f t="shared" si="16"/>
        <v/>
      </c>
      <c xmlns="http://schemas.openxmlformats.org/spreadsheetml/2006/main" r="W267" s="18" t="str">
        <f t="shared" si="17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5"/>
        <v/>
      </c>
      <c xmlns="http://schemas.openxmlformats.org/spreadsheetml/2006/main" r="V268" s="22" t="str">
        <f t="shared" si="16"/>
        <v/>
      </c>
      <c xmlns="http://schemas.openxmlformats.org/spreadsheetml/2006/main" r="W268" s="18" t="str">
        <f t="shared" si="17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5"/>
        <v/>
      </c>
      <c xmlns="http://schemas.openxmlformats.org/spreadsheetml/2006/main" r="V269" s="22" t="str">
        <f t="shared" si="16"/>
        <v/>
      </c>
      <c xmlns="http://schemas.openxmlformats.org/spreadsheetml/2006/main" r="W269" s="18" t="str">
        <f t="shared" si="17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5"/>
        <v/>
      </c>
      <c xmlns="http://schemas.openxmlformats.org/spreadsheetml/2006/main" r="V270" s="22" t="str">
        <f t="shared" si="16"/>
        <v/>
      </c>
      <c xmlns="http://schemas.openxmlformats.org/spreadsheetml/2006/main" r="W270" s="18" t="str">
        <f t="shared" si="17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5"/>
        <v/>
      </c>
      <c xmlns="http://schemas.openxmlformats.org/spreadsheetml/2006/main" r="V271" s="22" t="str">
        <f t="shared" si="16"/>
        <v/>
      </c>
      <c xmlns="http://schemas.openxmlformats.org/spreadsheetml/2006/main" r="W271" s="18" t="str">
        <f t="shared" si="17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5"/>
        <v/>
      </c>
      <c xmlns="http://schemas.openxmlformats.org/spreadsheetml/2006/main" r="V272" s="22" t="str">
        <f t="shared" si="16"/>
        <v/>
      </c>
      <c xmlns="http://schemas.openxmlformats.org/spreadsheetml/2006/main" r="W272" s="18" t="str">
        <f t="shared" si="17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5"/>
        <v/>
      </c>
      <c xmlns="http://schemas.openxmlformats.org/spreadsheetml/2006/main" r="V273" s="22" t="str">
        <f t="shared" si="16"/>
        <v/>
      </c>
      <c xmlns="http://schemas.openxmlformats.org/spreadsheetml/2006/main" r="W273" s="18" t="str">
        <f t="shared" si="17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5"/>
        <v/>
      </c>
      <c xmlns="http://schemas.openxmlformats.org/spreadsheetml/2006/main" r="V274" s="22" t="str">
        <f t="shared" si="16"/>
        <v/>
      </c>
      <c xmlns="http://schemas.openxmlformats.org/spreadsheetml/2006/main" r="W274" s="18" t="str">
        <f t="shared" si="17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5"/>
        <v/>
      </c>
      <c xmlns="http://schemas.openxmlformats.org/spreadsheetml/2006/main" r="V275" s="22" t="str">
        <f t="shared" si="16"/>
        <v/>
      </c>
      <c xmlns="http://schemas.openxmlformats.org/spreadsheetml/2006/main" r="W275" s="18" t="str">
        <f t="shared" si="17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5"/>
        <v/>
      </c>
      <c xmlns="http://schemas.openxmlformats.org/spreadsheetml/2006/main" r="V276" s="22" t="str">
        <f t="shared" si="16"/>
        <v/>
      </c>
      <c xmlns="http://schemas.openxmlformats.org/spreadsheetml/2006/main" r="W276" s="18" t="str">
        <f t="shared" si="17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5"/>
        <v/>
      </c>
      <c xmlns="http://schemas.openxmlformats.org/spreadsheetml/2006/main" r="V277" s="22" t="str">
        <f t="shared" si="16"/>
        <v/>
      </c>
      <c xmlns="http://schemas.openxmlformats.org/spreadsheetml/2006/main" r="W277" s="18" t="str">
        <f t="shared" si="17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5"/>
        <v/>
      </c>
      <c xmlns="http://schemas.openxmlformats.org/spreadsheetml/2006/main" r="V278" s="22" t="str">
        <f t="shared" si="16"/>
        <v/>
      </c>
      <c xmlns="http://schemas.openxmlformats.org/spreadsheetml/2006/main" r="W278" s="18" t="str">
        <f t="shared" si="17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5"/>
        <v/>
      </c>
      <c xmlns="http://schemas.openxmlformats.org/spreadsheetml/2006/main" r="V279" s="22" t="str">
        <f t="shared" si="16"/>
        <v/>
      </c>
      <c xmlns="http://schemas.openxmlformats.org/spreadsheetml/2006/main" r="W279" s="18" t="str">
        <f t="shared" si="17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5"/>
        <v/>
      </c>
      <c xmlns="http://schemas.openxmlformats.org/spreadsheetml/2006/main" r="V280" s="22" t="str">
        <f t="shared" si="16"/>
        <v/>
      </c>
      <c xmlns="http://schemas.openxmlformats.org/spreadsheetml/2006/main" r="W280" s="18" t="str">
        <f t="shared" si="17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A281" s="22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5"/>
        <v/>
      </c>
      <c xmlns="http://schemas.openxmlformats.org/spreadsheetml/2006/main" r="V281" s="22" t="str">
        <f t="shared" si="16"/>
        <v/>
      </c>
      <c xmlns="http://schemas.openxmlformats.org/spreadsheetml/2006/main" r="W281" s="18" t="str">
        <f t="shared" si="17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5"/>
        <v/>
      </c>
      <c xmlns="http://schemas.openxmlformats.org/spreadsheetml/2006/main" r="V282" s="22" t="str">
        <f t="shared" si="16"/>
        <v/>
      </c>
      <c xmlns="http://schemas.openxmlformats.org/spreadsheetml/2006/main" r="W282" s="18" t="str">
        <f t="shared" si="17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5"/>
        <v/>
      </c>
      <c xmlns="http://schemas.openxmlformats.org/spreadsheetml/2006/main" r="V283" s="22" t="str">
        <f t="shared" si="16"/>
        <v/>
      </c>
      <c xmlns="http://schemas.openxmlformats.org/spreadsheetml/2006/main" r="W283" s="18" t="str">
        <f t="shared" si="17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5"/>
        <v/>
      </c>
      <c xmlns="http://schemas.openxmlformats.org/spreadsheetml/2006/main" r="V284" s="22" t="str">
        <f t="shared" si="16"/>
        <v/>
      </c>
      <c xmlns="http://schemas.openxmlformats.org/spreadsheetml/2006/main" r="W284" s="18" t="str">
        <f t="shared" si="17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5"/>
        <v/>
      </c>
      <c xmlns="http://schemas.openxmlformats.org/spreadsheetml/2006/main" r="V285" s="22" t="str">
        <f t="shared" si="16"/>
        <v/>
      </c>
      <c xmlns="http://schemas.openxmlformats.org/spreadsheetml/2006/main" r="W285" s="18" t="str">
        <f t="shared" si="17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A286" s="22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5"/>
        <v/>
      </c>
      <c xmlns="http://schemas.openxmlformats.org/spreadsheetml/2006/main" r="V286" s="22" t="str">
        <f t="shared" si="16"/>
        <v/>
      </c>
      <c xmlns="http://schemas.openxmlformats.org/spreadsheetml/2006/main" r="W286" s="18" t="str">
        <f t="shared" si="17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5"/>
        <v/>
      </c>
      <c xmlns="http://schemas.openxmlformats.org/spreadsheetml/2006/main" r="V287" s="22" t="str">
        <f t="shared" si="16"/>
        <v/>
      </c>
      <c xmlns="http://schemas.openxmlformats.org/spreadsheetml/2006/main" r="W287" s="18" t="str">
        <f t="shared" si="17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5"/>
        <v/>
      </c>
      <c xmlns="http://schemas.openxmlformats.org/spreadsheetml/2006/main" r="V288" s="22" t="str">
        <f t="shared" si="16"/>
        <v/>
      </c>
      <c xmlns="http://schemas.openxmlformats.org/spreadsheetml/2006/main" r="W288" s="18" t="str">
        <f t="shared" si="17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1:27">
      <c r="A289" s="22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5"/>
        <v/>
      </c>
      <c xmlns="http://schemas.openxmlformats.org/spreadsheetml/2006/main" r="V289" s="22" t="str">
        <f t="shared" si="16"/>
        <v/>
      </c>
      <c xmlns="http://schemas.openxmlformats.org/spreadsheetml/2006/main" r="W289" s="18" t="str">
        <f t="shared" si="17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5"/>
        <v/>
      </c>
      <c xmlns="http://schemas.openxmlformats.org/spreadsheetml/2006/main" r="V290" s="22" t="str">
        <f t="shared" si="16"/>
        <v/>
      </c>
      <c xmlns="http://schemas.openxmlformats.org/spreadsheetml/2006/main" r="W290" s="18" t="str">
        <f t="shared" si="17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5"/>
        <v/>
      </c>
      <c xmlns="http://schemas.openxmlformats.org/spreadsheetml/2006/main" r="V291" s="22" t="str">
        <f t="shared" si="16"/>
        <v/>
      </c>
      <c xmlns="http://schemas.openxmlformats.org/spreadsheetml/2006/main" r="W291" s="18" t="str">
        <f t="shared" si="17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1:27">
      <c r="A292" s="22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5"/>
        <v/>
      </c>
      <c xmlns="http://schemas.openxmlformats.org/spreadsheetml/2006/main" r="V292" s="22" t="str">
        <f t="shared" si="16"/>
        <v/>
      </c>
      <c xmlns="http://schemas.openxmlformats.org/spreadsheetml/2006/main" r="W292" s="18" t="str">
        <f t="shared" si="17"/>
        <v/>
      </c>
      <c r="X292" s="22"/>
      <c r="Y292" s="22"/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</sheetData>
  <autoFilter ref="A4:Y292"/>
  <mergeCells count="29">
    <mergeCell ref="A3:A4"/>
    <mergeCell ref="I2:T2"/>
    <mergeCell ref="U2:W2"/>
    <mergeCell ref="X2:Y2"/>
    <mergeCell ref="A1:Y1"/>
    <mergeCell ref="A2:H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6" type="noConversion"/>
  <conditionalFormatting sqref="B5:H292">
    <cfRule type="expression" dxfId="21" priority="10">
      <formula>ISNUMBER(SEARCH("⚠",$V5))</formula>
    </cfRule>
  </conditionalFormatting>
  <conditionalFormatting sqref="V5:V292">
    <cfRule type="expression" dxfId="20" priority="6">
      <formula>ISNUMBER(SEARCH("⚠",$V5))</formula>
    </cfRule>
    <cfRule type="expression" dxfId="19" priority="7">
      <formula>$V5="▲ 單一設備依賴"</formula>
    </cfRule>
    <cfRule type="expression" dxfId="18" priority="8">
      <formula>$V5="○ 免調理"</formula>
    </cfRule>
    <cfRule type="expression" dxfId="17" priority="9">
      <formula>$V5="OK"</formula>
    </cfRule>
  </conditionalFormatting>
  <conditionalFormatting sqref="A5:A292">
    <cfRule type="expression" dxfId="16" priority="4">
      <formula>ISNUMBER(SEARCH("⚠",$V5))</formula>
    </cfRule>
  </conditionalFormatting>
  <conditionalFormatting xmlns="http://schemas.openxmlformats.org/spreadsheetml/2006/main" sqref="A5:A292">
    <cfRule type="expression" dxfId="35" priority="1" stopIfTrue="1">
      <formula>AND($D5&lt;&gt;"",OR($A5="",COUNTIFS($D$5:$D$292,$D5,$A$5:$A$292,$A5)&lt;&gt;COUNTIF($D$5:$D$292,$D5)))</formula>
    </cfRule>
  </conditionalFormatting>
  <conditionalFormatting xmlns="http://schemas.openxmlformats.org/spreadsheetml/2006/main" sqref="Y5:Y292">
    <cfRule type="expression" dxfId="34" priority="2" stopIfTrue="1">
      <formula>AND($E5&lt;&gt;"",$Y5="")</formula>
    </cfRule>
  </conditionalFormatting>
  <conditionalFormatting xmlns="http://schemas.openxmlformats.org/spreadsheetml/2006/main" sqref="G5:G292">
    <cfRule type="expression" dxfId="34" priority="3" stopIfTrue="1">
      <formula>AND($E5&lt;&gt;"",$F5&lt;&gt;"",$G5="")</formula>
    </cfRule>
  </conditionalFormatting>
  <dataValidations xmlns="http://schemas.openxmlformats.org/spreadsheetml/2006/main" count="4">
    <dataValidation type="list" allowBlank="1" sqref="B5:B292" showDropDown="0" showErrorMessage="1" errorStyle="stop" errorTitle="請使用下拉選單" error="請選擇選單中的項目，或清除儲存格。">
      <formula1>"大溪,新豐,長家,晉欣"</formula1>
    </dataValidation>
    <dataValidation type="list" allowBlank="1" sqref="G5:G292" showDropDown="0" showErrorMessage="1" errorStyle="stop" errorTitle="請使用下拉選單" error="請選擇選單中的項目，或清除儲存格。">
      <formula1>"公克,個"</formula1>
    </dataValidation>
    <dataValidation type="list" allowBlank="1" sqref="I5:T292" showDropDown="0" showErrorMessage="1" errorStyle="stop" errorTitle="請使用下拉選單" error="請選擇選單中的項目，或清除儲存格。">
      <formula1>"V"</formula1>
    </dataValidation>
    <dataValidation type="list" allowBlank="1" sqref="A5:A292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4FA6"/>
  </sheetPr>
  <dimension ref="A1:AA304"/>
  <sheetViews xmlns="http://schemas.openxmlformats.org/spreadsheetml/2006/main">
    <sheetView showGridLines="0" zoomScaleNormal="100" workbookViewId="0" topLeftCell="A1">
      <pane xSplit="5" ySplit="4" topLeftCell="F5" activePane="bottomRight" state="frozen"/>
      <selection pane="bottomRight" activeCell="F5" sqref="F5"/>
    </sheetView>
  </sheetViews>
  <sheetFormatPr defaultColWidth="8.63281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13" hidden="1" customWidth="1"/>
    <col min="27" max="27" width="13" hidden="1" customWidth="1"/>
  </cols>
  <sheetData>
    <row r="1" spans="1:27" ht="30" customHeight="1">
      <c r="A1" s="58" t="s">
        <v>80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spans="1:27" ht="19.5" customHeight="1">
      <c r="A2" s="59" t="s">
        <v>43</v>
      </c>
      <c r="B2" s="59"/>
      <c r="C2" s="59"/>
      <c r="D2" s="59"/>
      <c r="E2" s="59"/>
      <c r="F2" s="59"/>
      <c r="G2" s="59"/>
      <c r="H2" s="60"/>
      <c r="I2" s="53" t="s">
        <v>44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 t="s">
        <v>45</v>
      </c>
      <c r="V2" s="53"/>
      <c r="W2" s="53"/>
      <c r="X2" s="53" t="s">
        <v>46</v>
      </c>
      <c r="Y2" s="53"/>
    </row>
    <row r="3" spans="1:27" ht="24" customHeight="1">
      <c r="A3" s="54" t="s">
        <v>336</v>
      </c>
      <c r="B3" s="48" t="s">
        <v>47</v>
      </c>
      <c r="C3" s="48" t="s">
        <v>48</v>
      </c>
      <c r="D3" s="48" t="s">
        <v>49</v>
      </c>
      <c r="E3" s="48" t="s">
        <v>50</v>
      </c>
      <c r="F3" s="51" t="s">
        <v>51</v>
      </c>
      <c r="G3" s="51"/>
      <c r="H3" s="48" t="s">
        <v>52</v>
      </c>
      <c r="I3" s="49" t="s">
        <v>53</v>
      </c>
      <c r="J3" s="49" t="s">
        <v>54</v>
      </c>
      <c r="K3" s="49" t="s">
        <v>55</v>
      </c>
      <c r="L3" s="49" t="s">
        <v>56</v>
      </c>
      <c r="M3" s="49" t="s">
        <v>57</v>
      </c>
      <c r="N3" s="49" t="s">
        <v>58</v>
      </c>
      <c r="O3" s="49" t="s">
        <v>59</v>
      </c>
      <c r="P3" s="49" t="s">
        <v>60</v>
      </c>
      <c r="Q3" s="49" t="s">
        <v>61</v>
      </c>
      <c r="R3" s="49" t="s">
        <v>62</v>
      </c>
      <c r="S3" s="49" t="s">
        <v>63</v>
      </c>
      <c r="T3" s="50" t="s">
        <v>64</v>
      </c>
      <c r="U3" s="48" t="s">
        <v>65</v>
      </c>
      <c r="V3" s="48" t="s">
        <v>66</v>
      </c>
      <c r="W3" s="48" t="s">
        <v>67</v>
      </c>
      <c r="X3" s="48" t="s">
        <v>68</v>
      </c>
      <c r="Y3" s="48" t="s">
        <v>69</v>
      </c>
      <c r="Z3" s="20" t="s">
        <v>70</v>
      </c>
      <c r="AA3" s="20" t="s">
        <v>71</v>
      </c>
    </row>
    <row r="4" spans="1:27" ht="18" customHeight="1">
      <c r="A4" s="48"/>
      <c r="B4" s="48"/>
      <c r="C4" s="48"/>
      <c r="D4" s="48"/>
      <c r="E4" s="48"/>
      <c r="F4" s="21" t="s">
        <v>72</v>
      </c>
      <c r="G4" s="21" t="s">
        <v>73</v>
      </c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48"/>
      <c r="V4" s="48"/>
      <c r="W4" s="48"/>
      <c r="X4" s="48"/>
      <c r="Y4" s="48"/>
    </row>
    <row r="5" spans="1:27">
      <c r="A5" s="22" t="s">
        <v>338</v>
      </c>
      <c r="B5" s="22" t="s">
        <v>127</v>
      </c>
      <c r="C5" s="22" t="s">
        <v>317</v>
      </c>
      <c r="D5" s="22" t="s">
        <v>233</v>
      </c>
      <c r="E5" s="22" t="s">
        <v>234</v>
      </c>
      <c r="F5" s="23">
        <v>150</v>
      </c>
      <c r="G5" s="23" t="s">
        <v>75</v>
      </c>
      <c r="H5" s="24">
        <v>85</v>
      </c>
      <c r="I5" s="25"/>
      <c r="J5" s="25" t="s">
        <v>76</v>
      </c>
      <c r="K5" s="25"/>
      <c r="L5" s="25"/>
      <c r="M5" s="25"/>
      <c r="N5" s="25"/>
      <c r="O5" s="25" t="s">
        <v>76</v>
      </c>
      <c r="P5" s="25"/>
      <c r="Q5" s="25"/>
      <c r="R5" s="25"/>
      <c r="S5" s="25"/>
      <c r="T5" s="26"/>
      <c xmlns="http://schemas.openxmlformats.org/spreadsheetml/2006/main" r="U5" s="23">
        <f t="shared" ref="U5:U68" si="0">IF($E5="","",COUNTIF($I5:$S5,"V"))</f>
        <v>2.0</v>
      </c>
      <c xmlns="http://schemas.openxmlformats.org/spreadsheetml/2006/main" r="V5" s="22" t="str">
        <f t="shared" ref="V5:V68" si="1">IF($E5="","",IF(AND($T5="V",$U5&gt;0),"⚠ 勾選矛盾",IF($T5="V","○ 免調理",IF($U5=0,"⚠ 資料缺漏",IF($U5=1,"▲ 單一設備依賴","OK")))))</f>
        <v>OK</v>
      </c>
      <c xmlns="http://schemas.openxmlformats.org/spreadsheetml/2006/main" r="W5" s="18" t="str">
        <f t="shared" ref="W5:W68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無異常</v>
      </c>
      <c r="X5" s="22"/>
      <c r="Y5" s="22"/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338</v>
      </c>
      <c r="B6" s="22" t="s">
        <v>127</v>
      </c>
      <c r="C6" s="22" t="s">
        <v>317</v>
      </c>
      <c r="D6" s="22" t="s">
        <v>233</v>
      </c>
      <c r="E6" s="22" t="s">
        <v>235</v>
      </c>
      <c r="F6" s="23">
        <v>25</v>
      </c>
      <c r="G6" s="23" t="s">
        <v>75</v>
      </c>
      <c r="H6" s="24">
        <v>68</v>
      </c>
      <c r="I6" s="25"/>
      <c r="J6" s="25"/>
      <c r="K6" s="25"/>
      <c r="L6" s="25"/>
      <c r="M6" s="25"/>
      <c r="N6" s="25"/>
      <c r="O6" s="25" t="s">
        <v>76</v>
      </c>
      <c r="P6" s="25"/>
      <c r="Q6" s="25"/>
      <c r="R6" s="25"/>
      <c r="S6" s="25"/>
      <c r="T6" s="26"/>
      <c xmlns="http://schemas.openxmlformats.org/spreadsheetml/2006/main" r="U6" s="23">
        <f t="shared" si="0"/>
        <v>1.0</v>
      </c>
      <c xmlns="http://schemas.openxmlformats.org/spreadsheetml/2006/main" r="V6" s="22" t="str">
        <f t="shared" si="1"/>
        <v>▲ 單一設備依賴</v>
      </c>
      <c xmlns="http://schemas.openxmlformats.org/spreadsheetml/2006/main" r="W6" s="18" t="str">
        <f t="shared" si="2"/>
        <v>僅依賴1台設備，須確認故障/排修時之備援製程</v>
      </c>
      <c r="X6" s="22"/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338</v>
      </c>
      <c r="B7" s="22" t="s">
        <v>127</v>
      </c>
      <c r="C7" s="22" t="s">
        <v>317</v>
      </c>
      <c r="D7" s="22" t="s">
        <v>233</v>
      </c>
      <c r="E7" s="22" t="s">
        <v>236</v>
      </c>
      <c r="F7" s="23">
        <v>25</v>
      </c>
      <c r="G7" s="23" t="s">
        <v>75</v>
      </c>
      <c r="H7" s="24">
        <v>68</v>
      </c>
      <c r="I7" s="25"/>
      <c r="J7" s="25"/>
      <c r="K7" s="25"/>
      <c r="L7" s="25"/>
      <c r="M7" s="25"/>
      <c r="N7" s="25"/>
      <c r="O7" s="25" t="s">
        <v>76</v>
      </c>
      <c r="P7" s="25"/>
      <c r="Q7" s="25"/>
      <c r="R7" s="25"/>
      <c r="S7" s="25"/>
      <c r="T7" s="26"/>
      <c xmlns="http://schemas.openxmlformats.org/spreadsheetml/2006/main" r="U7" s="23">
        <f t="shared" si="0"/>
        <v>1.0</v>
      </c>
      <c xmlns="http://schemas.openxmlformats.org/spreadsheetml/2006/main" r="V7" s="22" t="str">
        <f t="shared" si="1"/>
        <v>▲ 單一設備依賴</v>
      </c>
      <c xmlns="http://schemas.openxmlformats.org/spreadsheetml/2006/main" r="W7" s="18" t="str">
        <f t="shared" si="2"/>
        <v>僅依賴1台設備，須確認故障/排修時之備援製程</v>
      </c>
      <c r="X7" s="22"/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338</v>
      </c>
      <c r="B8" s="22" t="s">
        <v>127</v>
      </c>
      <c r="C8" s="22" t="s">
        <v>317</v>
      </c>
      <c r="D8" s="22" t="s">
        <v>131</v>
      </c>
      <c r="E8" s="22" t="s">
        <v>237</v>
      </c>
      <c r="F8" s="23">
        <v>10</v>
      </c>
      <c r="G8" s="23" t="s">
        <v>75</v>
      </c>
      <c r="H8" s="24">
        <v>86</v>
      </c>
      <c r="I8" s="25"/>
      <c r="J8" s="25"/>
      <c r="K8" s="25"/>
      <c r="L8" s="25"/>
      <c r="M8" s="25"/>
      <c r="N8" s="25"/>
      <c r="O8" s="25" t="s">
        <v>76</v>
      </c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/>
      <c r="Y8" s="22"/>
      <c xmlns="http://schemas.openxmlformats.org/spreadsheetml/2006/main" r="Z8">
        <f>IF($D8="",0,IF(COUNTIF($D$5:$D8,$D8)=1,1,0))</f>
        <v>1.0</v>
      </c>
      <c xmlns="http://schemas.openxmlformats.org/spreadsheetml/2006/main" r="AA8">
        <f>IF(Z8=1,SUM($Z$5:$Z8),"")</f>
        <v>2.0</v>
      </c>
    </row>
    <row r="9" spans="1:27">
      <c r="A9" s="22" t="s">
        <v>338</v>
      </c>
      <c r="B9" s="22" t="s">
        <v>127</v>
      </c>
      <c r="C9" s="22" t="s">
        <v>317</v>
      </c>
      <c r="D9" s="22" t="s">
        <v>131</v>
      </c>
      <c r="E9" s="22" t="s">
        <v>238</v>
      </c>
      <c r="F9" s="23">
        <v>20</v>
      </c>
      <c r="G9" s="23" t="s">
        <v>75</v>
      </c>
      <c r="H9" s="24">
        <v>86</v>
      </c>
      <c r="I9" s="25"/>
      <c r="J9" s="25"/>
      <c r="K9" s="25"/>
      <c r="L9" s="25"/>
      <c r="M9" s="25"/>
      <c r="N9" s="25"/>
      <c r="O9" s="25" t="s">
        <v>76</v>
      </c>
      <c r="P9" s="25"/>
      <c r="Q9" s="25"/>
      <c r="R9" s="25"/>
      <c r="S9" s="25"/>
      <c r="T9" s="26"/>
      <c xmlns="http://schemas.openxmlformats.org/spreadsheetml/2006/main" r="U9" s="23">
        <f t="shared" si="0"/>
        <v>1.0</v>
      </c>
      <c xmlns="http://schemas.openxmlformats.org/spreadsheetml/2006/main" r="V9" s="22" t="str">
        <f t="shared" si="1"/>
        <v>▲ 單一設備依賴</v>
      </c>
      <c xmlns="http://schemas.openxmlformats.org/spreadsheetml/2006/main" r="W9" s="18" t="str">
        <f t="shared" si="2"/>
        <v>僅依賴1台設備，須確認故障/排修時之備援製程</v>
      </c>
      <c r="X9" s="22"/>
      <c r="Y9" s="22"/>
      <c xmlns="http://schemas.openxmlformats.org/spreadsheetml/2006/main" r="Z9">
        <f>IF($D9="",0,IF(COUNTIF($D$5:$D9,$D9)=1,1,0))</f>
        <v>0.0</v>
      </c>
      <c xmlns="http://schemas.openxmlformats.org/spreadsheetml/2006/main" r="AA9" t="str">
        <f>IF(Z9=1,SUM($Z$5:$Z9),"")</f>
        <v/>
      </c>
    </row>
    <row r="10" spans="1:27">
      <c r="A10" s="22" t="s">
        <v>338</v>
      </c>
      <c r="B10" s="22" t="s">
        <v>127</v>
      </c>
      <c r="C10" s="22" t="s">
        <v>317</v>
      </c>
      <c r="D10" s="22" t="s">
        <v>131</v>
      </c>
      <c r="E10" s="22" t="s">
        <v>239</v>
      </c>
      <c r="F10" s="23">
        <v>3</v>
      </c>
      <c r="G10" s="23" t="s">
        <v>75</v>
      </c>
      <c r="H10" s="24">
        <v>78</v>
      </c>
      <c r="I10" s="25"/>
      <c r="J10" s="25"/>
      <c r="K10" s="25"/>
      <c r="L10" s="25"/>
      <c r="M10" s="25"/>
      <c r="N10" s="25"/>
      <c r="O10" s="25" t="s">
        <v>76</v>
      </c>
      <c r="P10" s="25"/>
      <c r="Q10" s="25"/>
      <c r="R10" s="25"/>
      <c r="S10" s="25"/>
      <c r="T10" s="26"/>
      <c xmlns="http://schemas.openxmlformats.org/spreadsheetml/2006/main" r="U10" s="23">
        <f t="shared" si="0"/>
        <v>1.0</v>
      </c>
      <c xmlns="http://schemas.openxmlformats.org/spreadsheetml/2006/main" r="V10" s="22" t="str">
        <f t="shared" si="1"/>
        <v>▲ 單一設備依賴</v>
      </c>
      <c xmlns="http://schemas.openxmlformats.org/spreadsheetml/2006/main" r="W10" s="18" t="str">
        <f t="shared" si="2"/>
        <v>僅依賴1台設備，須確認故障/排修時之備援製程</v>
      </c>
      <c r="X10" s="22"/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338</v>
      </c>
      <c r="B11" s="22" t="s">
        <v>127</v>
      </c>
      <c r="C11" s="22" t="s">
        <v>317</v>
      </c>
      <c r="D11" s="22" t="s">
        <v>131</v>
      </c>
      <c r="E11" s="22" t="s">
        <v>240</v>
      </c>
      <c r="F11" s="23">
        <v>16</v>
      </c>
      <c r="G11" s="23" t="s">
        <v>75</v>
      </c>
      <c r="H11" s="24">
        <v>60</v>
      </c>
      <c r="I11" s="25"/>
      <c r="J11" s="25"/>
      <c r="K11" s="25"/>
      <c r="L11" s="25"/>
      <c r="M11" s="25"/>
      <c r="N11" s="25"/>
      <c r="O11" s="25" t="s">
        <v>76</v>
      </c>
      <c r="P11" s="25"/>
      <c r="Q11" s="25"/>
      <c r="R11" s="25"/>
      <c r="S11" s="25"/>
      <c r="T11" s="26"/>
      <c xmlns="http://schemas.openxmlformats.org/spreadsheetml/2006/main" r="U11" s="23">
        <f t="shared" si="0"/>
        <v>1.0</v>
      </c>
      <c xmlns="http://schemas.openxmlformats.org/spreadsheetml/2006/main" r="V11" s="22" t="str">
        <f t="shared" si="1"/>
        <v>▲ 單一設備依賴</v>
      </c>
      <c xmlns="http://schemas.openxmlformats.org/spreadsheetml/2006/main" r="W11" s="18" t="str">
        <f t="shared" si="2"/>
        <v>僅依賴1台設備，須確認故障/排修時之備援製程</v>
      </c>
      <c r="X11" s="22"/>
      <c r="Y11" s="22"/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338</v>
      </c>
      <c r="B12" s="22" t="s">
        <v>127</v>
      </c>
      <c r="C12" s="22" t="s">
        <v>317</v>
      </c>
      <c r="D12" s="22" t="s">
        <v>131</v>
      </c>
      <c r="E12" s="22" t="s">
        <v>128</v>
      </c>
      <c r="F12" s="23">
        <v>16</v>
      </c>
      <c r="G12" s="23" t="s">
        <v>75</v>
      </c>
      <c r="H12" s="24">
        <v>68</v>
      </c>
      <c r="I12" s="25"/>
      <c r="J12" s="25"/>
      <c r="K12" s="25"/>
      <c r="L12" s="25"/>
      <c r="M12" s="25"/>
      <c r="N12" s="25"/>
      <c r="O12" s="25" t="s">
        <v>76</v>
      </c>
      <c r="P12" s="25"/>
      <c r="Q12" s="25"/>
      <c r="R12" s="25"/>
      <c r="S12" s="25"/>
      <c r="T12" s="26"/>
      <c xmlns="http://schemas.openxmlformats.org/spreadsheetml/2006/main" r="U12" s="23">
        <f t="shared" si="0"/>
        <v>1.0</v>
      </c>
      <c xmlns="http://schemas.openxmlformats.org/spreadsheetml/2006/main" r="V12" s="22" t="str">
        <f t="shared" si="1"/>
        <v>▲ 單一設備依賴</v>
      </c>
      <c xmlns="http://schemas.openxmlformats.org/spreadsheetml/2006/main" r="W12" s="18" t="str">
        <f t="shared" si="2"/>
        <v>僅依賴1台設備，須確認故障/排修時之備援製程</v>
      </c>
      <c r="X12" s="22"/>
      <c r="Y12" s="22"/>
      <c xmlns="http://schemas.openxmlformats.org/spreadsheetml/2006/main" r="Z12">
        <f>IF($D12="",0,IF(COUNTIF($D$5:$D12,$D12)=1,1,0))</f>
        <v>0.0</v>
      </c>
      <c xmlns="http://schemas.openxmlformats.org/spreadsheetml/2006/main" r="AA12" t="str">
        <f>IF(Z12=1,SUM($Z$5:$Z12),"")</f>
        <v/>
      </c>
    </row>
    <row r="13" spans="1:27">
      <c r="A13" s="22" t="s">
        <v>338</v>
      </c>
      <c r="B13" s="22" t="s">
        <v>127</v>
      </c>
      <c r="C13" s="22" t="s">
        <v>317</v>
      </c>
      <c r="D13" s="22" t="s">
        <v>131</v>
      </c>
      <c r="E13" s="22" t="s">
        <v>129</v>
      </c>
      <c r="F13" s="23">
        <v>90</v>
      </c>
      <c r="G13" s="23" t="s">
        <v>75</v>
      </c>
      <c r="H13" s="24">
        <v>66</v>
      </c>
      <c r="I13" s="25"/>
      <c r="J13" s="25"/>
      <c r="K13" s="25"/>
      <c r="L13" s="25"/>
      <c r="M13" s="25"/>
      <c r="N13" s="25"/>
      <c r="O13" s="25" t="s">
        <v>76</v>
      </c>
      <c r="P13" s="25"/>
      <c r="Q13" s="25"/>
      <c r="R13" s="25"/>
      <c r="S13" s="25"/>
      <c r="T13" s="26"/>
      <c xmlns="http://schemas.openxmlformats.org/spreadsheetml/2006/main" r="U13" s="23">
        <f t="shared" si="0"/>
        <v>1.0</v>
      </c>
      <c xmlns="http://schemas.openxmlformats.org/spreadsheetml/2006/main" r="V13" s="22" t="str">
        <f t="shared" si="1"/>
        <v>▲ 單一設備依賴</v>
      </c>
      <c xmlns="http://schemas.openxmlformats.org/spreadsheetml/2006/main" r="W13" s="18" t="str">
        <f t="shared" si="2"/>
        <v>僅依賴1台設備，須確認故障/排修時之備援製程</v>
      </c>
      <c r="X13" s="22"/>
      <c r="Y13" s="22"/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338</v>
      </c>
      <c r="B14" s="22" t="s">
        <v>127</v>
      </c>
      <c r="C14" s="22" t="s">
        <v>317</v>
      </c>
      <c r="D14" s="22" t="s">
        <v>131</v>
      </c>
      <c r="E14" s="22" t="s">
        <v>130</v>
      </c>
      <c r="F14" s="23">
        <v>25</v>
      </c>
      <c r="G14" s="23" t="s">
        <v>75</v>
      </c>
      <c r="H14" s="24">
        <v>75</v>
      </c>
      <c r="I14" s="25"/>
      <c r="J14" s="25"/>
      <c r="K14" s="25"/>
      <c r="L14" s="25"/>
      <c r="M14" s="25"/>
      <c r="N14" s="25"/>
      <c r="O14" s="25" t="s">
        <v>76</v>
      </c>
      <c r="P14" s="25"/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1"/>
        <v>▲ 單一設備依賴</v>
      </c>
      <c xmlns="http://schemas.openxmlformats.org/spreadsheetml/2006/main" r="W14" s="18" t="str">
        <f t="shared" si="2"/>
        <v>僅依賴1台設備，須確認故障/排修時之備援製程</v>
      </c>
      <c r="X14" s="22"/>
      <c r="Y14" s="22"/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338</v>
      </c>
      <c r="B15" s="22" t="s">
        <v>127</v>
      </c>
      <c r="C15" s="22" t="s">
        <v>317</v>
      </c>
      <c r="D15" s="22" t="s">
        <v>134</v>
      </c>
      <c r="E15" s="22" t="s">
        <v>135</v>
      </c>
      <c r="F15" s="23">
        <v>83</v>
      </c>
      <c r="G15" s="23" t="s">
        <v>75</v>
      </c>
      <c r="H15" s="24">
        <v>55</v>
      </c>
      <c r="I15" s="25"/>
      <c r="J15" s="25" t="s">
        <v>76</v>
      </c>
      <c r="K15" s="25"/>
      <c r="L15" s="25"/>
      <c r="M15" s="25"/>
      <c r="N15" s="25"/>
      <c r="O15" s="25"/>
      <c r="P15" s="25"/>
      <c r="Q15" s="25"/>
      <c r="R15" s="25"/>
      <c r="S15" s="25"/>
      <c r="T15" s="26"/>
      <c xmlns="http://schemas.openxmlformats.org/spreadsheetml/2006/main" r="U15" s="23">
        <f t="shared" si="0"/>
        <v>1.0</v>
      </c>
      <c xmlns="http://schemas.openxmlformats.org/spreadsheetml/2006/main" r="V15" s="22" t="str">
        <f t="shared" si="1"/>
        <v>▲ 單一設備依賴</v>
      </c>
      <c xmlns="http://schemas.openxmlformats.org/spreadsheetml/2006/main" r="W15" s="18" t="str">
        <f t="shared" si="2"/>
        <v>僅依賴1台設備，須確認故障/排修時之備援製程</v>
      </c>
      <c r="X15" s="22"/>
      <c r="Y15" s="22"/>
      <c xmlns="http://schemas.openxmlformats.org/spreadsheetml/2006/main" r="Z15">
        <f>IF($D15="",0,IF(COUNTIF($D$5:$D15,$D15)=1,1,0))</f>
        <v>1.0</v>
      </c>
      <c xmlns="http://schemas.openxmlformats.org/spreadsheetml/2006/main" r="AA15">
        <f>IF(Z15=1,SUM($Z$5:$Z15),"")</f>
        <v>3.0</v>
      </c>
    </row>
    <row r="16" spans="1:27">
      <c r="A16" s="22" t="s">
        <v>338</v>
      </c>
      <c r="B16" s="22" t="s">
        <v>127</v>
      </c>
      <c r="C16" s="22" t="s">
        <v>317</v>
      </c>
      <c r="D16" s="22" t="s">
        <v>134</v>
      </c>
      <c r="E16" s="22" t="s">
        <v>197</v>
      </c>
      <c r="F16" s="23">
        <v>5</v>
      </c>
      <c r="G16" s="23" t="s">
        <v>75</v>
      </c>
      <c r="H16" s="24">
        <v>65</v>
      </c>
      <c r="I16" s="25"/>
      <c r="J16" s="25" t="s">
        <v>76</v>
      </c>
      <c r="K16" s="25"/>
      <c r="L16" s="25"/>
      <c r="M16" s="25"/>
      <c r="N16" s="25"/>
      <c r="O16" s="25"/>
      <c r="P16" s="25"/>
      <c r="Q16" s="25"/>
      <c r="R16" s="25"/>
      <c r="S16" s="25"/>
      <c r="T16" s="26"/>
      <c xmlns="http://schemas.openxmlformats.org/spreadsheetml/2006/main" r="U16" s="23">
        <f t="shared" si="0"/>
        <v>1.0</v>
      </c>
      <c xmlns="http://schemas.openxmlformats.org/spreadsheetml/2006/main" r="V16" s="22" t="str">
        <f t="shared" si="1"/>
        <v>▲ 單一設備依賴</v>
      </c>
      <c xmlns="http://schemas.openxmlformats.org/spreadsheetml/2006/main" r="W16" s="18" t="str">
        <f t="shared" si="2"/>
        <v>僅依賴1台設備，須確認故障/排修時之備援製程</v>
      </c>
      <c r="X16" s="22"/>
      <c r="Y16" s="22"/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338</v>
      </c>
      <c r="B17" s="22" t="s">
        <v>127</v>
      </c>
      <c r="C17" s="22" t="s">
        <v>317</v>
      </c>
      <c r="D17" s="22" t="s">
        <v>134</v>
      </c>
      <c r="E17" s="22" t="s">
        <v>136</v>
      </c>
      <c r="F17" s="23">
        <v>4</v>
      </c>
      <c r="G17" s="23" t="s">
        <v>75</v>
      </c>
      <c r="H17" s="24">
        <v>100</v>
      </c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6" t="s">
        <v>76</v>
      </c>
      <c xmlns="http://schemas.openxmlformats.org/spreadsheetml/2006/main" r="U17" s="23">
        <f t="shared" si="0"/>
        <v>0.0</v>
      </c>
      <c xmlns="http://schemas.openxmlformats.org/spreadsheetml/2006/main" r="V17" s="22" t="str">
        <f t="shared" si="1"/>
        <v>○ 免調理</v>
      </c>
      <c xmlns="http://schemas.openxmlformats.org/spreadsheetml/2006/main" r="W17" s="18" t="str">
        <f t="shared" si="2"/>
        <v>免調理半成品（外購/僅切配等），不列入設備風險評估</v>
      </c>
      <c r="X17" s="22"/>
      <c r="Y17" s="22"/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338</v>
      </c>
      <c r="B18" s="22" t="s">
        <v>127</v>
      </c>
      <c r="C18" s="22" t="s">
        <v>317</v>
      </c>
      <c r="D18" s="22" t="s">
        <v>134</v>
      </c>
      <c r="E18" s="22" t="s">
        <v>241</v>
      </c>
      <c r="F18" s="23">
        <v>33</v>
      </c>
      <c r="G18" s="23" t="s">
        <v>75</v>
      </c>
      <c r="H18" s="24">
        <v>64</v>
      </c>
      <c r="I18" s="25"/>
      <c r="J18" s="25"/>
      <c r="K18" s="25"/>
      <c r="L18" s="25"/>
      <c r="M18" s="25"/>
      <c r="N18" s="25"/>
      <c r="O18" s="25" t="s">
        <v>76</v>
      </c>
      <c r="P18" s="25"/>
      <c r="Q18" s="25"/>
      <c r="R18" s="25"/>
      <c r="S18" s="25"/>
      <c r="T18" s="26"/>
      <c xmlns="http://schemas.openxmlformats.org/spreadsheetml/2006/main" r="U18" s="23">
        <f t="shared" si="0"/>
        <v>1.0</v>
      </c>
      <c xmlns="http://schemas.openxmlformats.org/spreadsheetml/2006/main" r="V18" s="22" t="str">
        <f t="shared" si="1"/>
        <v>▲ 單一設備依賴</v>
      </c>
      <c xmlns="http://schemas.openxmlformats.org/spreadsheetml/2006/main" r="W18" s="18" t="str">
        <f t="shared" si="2"/>
        <v>僅依賴1台設備，須確認故障/排修時之備援製程</v>
      </c>
      <c r="X18" s="22"/>
      <c r="Y18" s="22"/>
      <c xmlns="http://schemas.openxmlformats.org/spreadsheetml/2006/main" r="Z18">
        <f>IF($D18="",0,IF(COUNTIF($D$5:$D18,$D18)=1,1,0))</f>
        <v>0.0</v>
      </c>
      <c xmlns="http://schemas.openxmlformats.org/spreadsheetml/2006/main" r="AA18" t="str">
        <f>IF(Z18=1,SUM($Z$5:$Z18),"")</f>
        <v/>
      </c>
    </row>
    <row r="19" spans="1:27">
      <c r="A19" s="22" t="s">
        <v>338</v>
      </c>
      <c r="B19" s="22" t="s">
        <v>127</v>
      </c>
      <c r="C19" s="22" t="s">
        <v>317</v>
      </c>
      <c r="D19" s="22" t="s">
        <v>134</v>
      </c>
      <c r="E19" s="22" t="s">
        <v>142</v>
      </c>
      <c r="F19" s="23">
        <v>6</v>
      </c>
      <c r="G19" s="23" t="s">
        <v>75</v>
      </c>
      <c r="H19" s="24">
        <v>100</v>
      </c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6" t="s">
        <v>76</v>
      </c>
      <c xmlns="http://schemas.openxmlformats.org/spreadsheetml/2006/main" r="U19" s="23">
        <f t="shared" si="0"/>
        <v>0.0</v>
      </c>
      <c xmlns="http://schemas.openxmlformats.org/spreadsheetml/2006/main" r="V19" s="22" t="str">
        <f t="shared" si="1"/>
        <v>○ 免調理</v>
      </c>
      <c xmlns="http://schemas.openxmlformats.org/spreadsheetml/2006/main" r="W19" s="18" t="str">
        <f t="shared" si="2"/>
        <v>免調理半成品（外購/僅切配等），不列入設備風險評估</v>
      </c>
      <c r="X19" s="22"/>
      <c r="Y19" s="22"/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339</v>
      </c>
      <c r="B20" s="22" t="s">
        <v>127</v>
      </c>
      <c r="C20" s="22" t="s">
        <v>317</v>
      </c>
      <c r="D20" s="22" t="s">
        <v>335</v>
      </c>
      <c r="E20" s="22" t="s">
        <v>318</v>
      </c>
      <c r="F20" s="23">
        <v>140</v>
      </c>
      <c r="G20" s="23" t="s">
        <v>75</v>
      </c>
      <c r="H20" s="24">
        <v>340</v>
      </c>
      <c r="I20" s="25"/>
      <c r="J20" s="25" t="s">
        <v>76</v>
      </c>
      <c r="K20" s="25"/>
      <c r="L20" s="25"/>
      <c r="M20" s="25"/>
      <c r="N20" s="25"/>
      <c r="O20" s="25"/>
      <c r="P20" s="25"/>
      <c r="Q20" s="25"/>
      <c r="R20" s="25"/>
      <c r="S20" s="25"/>
      <c r="T20" s="26"/>
      <c xmlns="http://schemas.openxmlformats.org/spreadsheetml/2006/main" r="U20" s="23">
        <f t="shared" si="0"/>
        <v>1.0</v>
      </c>
      <c xmlns="http://schemas.openxmlformats.org/spreadsheetml/2006/main" r="V20" s="22" t="str">
        <f t="shared" si="1"/>
        <v>▲ 單一設備依賴</v>
      </c>
      <c xmlns="http://schemas.openxmlformats.org/spreadsheetml/2006/main" r="W20" s="18" t="str">
        <f t="shared" si="2"/>
        <v>僅依賴1台設備，須確認故障/排修時之備援製程</v>
      </c>
      <c r="X20" s="22" t="s">
        <v>322</v>
      </c>
      <c r="Y20" s="22" t="s">
        <v>323</v>
      </c>
      <c xmlns="http://schemas.openxmlformats.org/spreadsheetml/2006/main" r="Z20">
        <f>IF($D20="",0,IF(COUNTIF($D$5:$D20,$D20)=1,1,0))</f>
        <v>1.0</v>
      </c>
      <c xmlns="http://schemas.openxmlformats.org/spreadsheetml/2006/main" r="AA20">
        <f>IF(Z20=1,SUM($Z$5:$Z20),"")</f>
        <v>4.0</v>
      </c>
    </row>
    <row r="21" spans="1:27">
      <c r="A21" s="22" t="s">
        <v>339</v>
      </c>
      <c r="B21" s="22" t="s">
        <v>127</v>
      </c>
      <c r="C21" s="22" t="s">
        <v>317</v>
      </c>
      <c r="D21" s="22" t="s">
        <v>335</v>
      </c>
      <c r="E21" s="22" t="s">
        <v>319</v>
      </c>
      <c r="F21" s="23">
        <v>1</v>
      </c>
      <c r="G21" s="23" t="s">
        <v>75</v>
      </c>
      <c r="H21" s="24">
        <v>100</v>
      </c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6" t="s">
        <v>76</v>
      </c>
      <c xmlns="http://schemas.openxmlformats.org/spreadsheetml/2006/main" r="U21" s="23">
        <f t="shared" si="0"/>
        <v>0.0</v>
      </c>
      <c xmlns="http://schemas.openxmlformats.org/spreadsheetml/2006/main" r="V21" s="22" t="str">
        <f t="shared" si="1"/>
        <v>○ 免調理</v>
      </c>
      <c xmlns="http://schemas.openxmlformats.org/spreadsheetml/2006/main" r="W21" s="18" t="str">
        <f t="shared" si="2"/>
        <v>免調理半成品（外購/僅切配等），不列入設備風險評估</v>
      </c>
      <c r="X21" s="22" t="s">
        <v>322</v>
      </c>
      <c r="Y21" s="22" t="s">
        <v>323</v>
      </c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339</v>
      </c>
      <c r="B22" s="22" t="s">
        <v>127</v>
      </c>
      <c r="C22" s="22" t="s">
        <v>317</v>
      </c>
      <c r="D22" s="22" t="s">
        <v>335</v>
      </c>
      <c r="E22" s="22" t="s">
        <v>222</v>
      </c>
      <c r="F22" s="23">
        <v>12</v>
      </c>
      <c r="G22" s="23" t="s">
        <v>75</v>
      </c>
      <c r="H22" s="24">
        <v>55</v>
      </c>
      <c r="I22" s="25"/>
      <c r="J22" s="25"/>
      <c r="K22" s="25"/>
      <c r="L22" s="25"/>
      <c r="M22" s="25"/>
      <c r="N22" s="25"/>
      <c r="O22" s="25" t="s">
        <v>76</v>
      </c>
      <c r="P22" s="25"/>
      <c r="Q22" s="25"/>
      <c r="R22" s="25"/>
      <c r="S22" s="25"/>
      <c r="T22" s="26"/>
      <c xmlns="http://schemas.openxmlformats.org/spreadsheetml/2006/main" r="U22" s="23">
        <f t="shared" si="0"/>
        <v>1.0</v>
      </c>
      <c xmlns="http://schemas.openxmlformats.org/spreadsheetml/2006/main" r="V22" s="22" t="str">
        <f t="shared" si="1"/>
        <v>▲ 單一設備依賴</v>
      </c>
      <c xmlns="http://schemas.openxmlformats.org/spreadsheetml/2006/main" r="W22" s="18" t="str">
        <f t="shared" si="2"/>
        <v>僅依賴1台設備，須確認故障/排修時之備援製程</v>
      </c>
      <c r="X22" s="22" t="s">
        <v>322</v>
      </c>
      <c r="Y22" s="22" t="s">
        <v>323</v>
      </c>
      <c xmlns="http://schemas.openxmlformats.org/spreadsheetml/2006/main" r="Z22">
        <f>IF($D22="",0,IF(COUNTIF($D$5:$D22,$D22)=1,1,0))</f>
        <v>0.0</v>
      </c>
      <c xmlns="http://schemas.openxmlformats.org/spreadsheetml/2006/main" r="AA22" t="str">
        <f>IF(Z22=1,SUM($Z$5:$Z22),"")</f>
        <v/>
      </c>
    </row>
    <row r="23" spans="1:27">
      <c r="A23" s="22" t="s">
        <v>339</v>
      </c>
      <c r="B23" s="22" t="s">
        <v>127</v>
      </c>
      <c r="C23" s="22" t="s">
        <v>317</v>
      </c>
      <c r="D23" s="22" t="s">
        <v>335</v>
      </c>
      <c r="E23" s="22" t="s">
        <v>320</v>
      </c>
      <c r="F23" s="23">
        <v>5</v>
      </c>
      <c r="G23" s="23" t="s">
        <v>75</v>
      </c>
      <c r="H23" s="24">
        <v>68</v>
      </c>
      <c r="I23" s="25"/>
      <c r="J23" s="25"/>
      <c r="K23" s="25"/>
      <c r="L23" s="25"/>
      <c r="M23" s="25"/>
      <c r="N23" s="25"/>
      <c r="O23" s="25" t="s">
        <v>76</v>
      </c>
      <c r="P23" s="25"/>
      <c r="Q23" s="25"/>
      <c r="R23" s="25"/>
      <c r="S23" s="25"/>
      <c r="T23" s="26"/>
      <c xmlns="http://schemas.openxmlformats.org/spreadsheetml/2006/main" r="U23" s="23">
        <f t="shared" si="0"/>
        <v>1.0</v>
      </c>
      <c xmlns="http://schemas.openxmlformats.org/spreadsheetml/2006/main" r="V23" s="22" t="str">
        <f t="shared" si="1"/>
        <v>▲ 單一設備依賴</v>
      </c>
      <c xmlns="http://schemas.openxmlformats.org/spreadsheetml/2006/main" r="W23" s="18" t="str">
        <f t="shared" si="2"/>
        <v>僅依賴1台設備，須確認故障/排修時之備援製程</v>
      </c>
      <c r="X23" s="22" t="s">
        <v>322</v>
      </c>
      <c r="Y23" s="22" t="s">
        <v>323</v>
      </c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339</v>
      </c>
      <c r="B24" s="22" t="s">
        <v>127</v>
      </c>
      <c r="C24" s="22" t="s">
        <v>317</v>
      </c>
      <c r="D24" s="22" t="s">
        <v>335</v>
      </c>
      <c r="E24" s="22" t="s">
        <v>321</v>
      </c>
      <c r="F24" s="23">
        <v>50</v>
      </c>
      <c r="G24" s="23" t="s">
        <v>75</v>
      </c>
      <c r="H24" s="24">
        <v>75</v>
      </c>
      <c r="I24" s="25"/>
      <c r="J24" s="25"/>
      <c r="K24" s="25"/>
      <c r="L24" s="25"/>
      <c r="M24" s="25"/>
      <c r="N24" s="25"/>
      <c r="O24" s="25" t="s">
        <v>76</v>
      </c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1"/>
        <v>▲ 單一設備依賴</v>
      </c>
      <c xmlns="http://schemas.openxmlformats.org/spreadsheetml/2006/main" r="W24" s="18" t="str">
        <f t="shared" si="2"/>
        <v>僅依賴1台設備，須確認故障/排修時之備援製程</v>
      </c>
      <c r="X24" s="22" t="s">
        <v>322</v>
      </c>
      <c r="Y24" s="22" t="s">
        <v>323</v>
      </c>
      <c xmlns="http://schemas.openxmlformats.org/spreadsheetml/2006/main" r="Z24">
        <f>IF($D24="",0,IF(COUNTIF($D$5:$D24,$D24)=1,1,0))</f>
        <v>0.0</v>
      </c>
      <c xmlns="http://schemas.openxmlformats.org/spreadsheetml/2006/main" r="AA24" t="str">
        <f>IF(Z24=1,SUM($Z$5:$Z24),"")</f>
        <v/>
      </c>
    </row>
    <row r="25" spans="1:27">
      <c r="A25" s="22" t="s">
        <v>337</v>
      </c>
      <c r="B25" s="22" t="s">
        <v>127</v>
      </c>
      <c r="C25" s="22" t="s">
        <v>317</v>
      </c>
      <c r="D25" s="22" t="s">
        <v>332</v>
      </c>
      <c r="E25" s="22" t="s">
        <v>330</v>
      </c>
      <c r="F25" s="23">
        <v>90</v>
      </c>
      <c r="G25" s="23" t="s">
        <v>75</v>
      </c>
      <c r="H25" s="24">
        <v>90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 t="s">
        <v>76</v>
      </c>
      <c xmlns="http://schemas.openxmlformats.org/spreadsheetml/2006/main" r="U25" s="23">
        <f t="shared" si="0"/>
        <v>0.0</v>
      </c>
      <c xmlns="http://schemas.openxmlformats.org/spreadsheetml/2006/main" r="V25" s="22" t="str">
        <f t="shared" si="1"/>
        <v>○ 免調理</v>
      </c>
      <c xmlns="http://schemas.openxmlformats.org/spreadsheetml/2006/main" r="W25" s="18" t="str">
        <f t="shared" si="2"/>
        <v>免調理半成品（外購/僅切配等），不列入設備風險評估</v>
      </c>
      <c r="X25" s="22" t="s">
        <v>331</v>
      </c>
      <c r="Y25" s="22" t="s">
        <v>270</v>
      </c>
      <c xmlns="http://schemas.openxmlformats.org/spreadsheetml/2006/main" r="Z25">
        <f>IF($D25="",0,IF(COUNTIF($D$5:$D25,$D25)=1,1,0))</f>
        <v>1.0</v>
      </c>
      <c xmlns="http://schemas.openxmlformats.org/spreadsheetml/2006/main" r="AA25">
        <f>IF(Z25=1,SUM($Z$5:$Z25),"")</f>
        <v>5.0</v>
      </c>
    </row>
    <row r="26" spans="1:27">
      <c r="A26" s="22"/>
      <c r="B26" s="22"/>
      <c r="C26" s="22"/>
      <c r="D26" s="22"/>
      <c r="E26" s="22"/>
      <c r="F26" s="23"/>
      <c r="G26" s="23"/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  <c xmlns="http://schemas.openxmlformats.org/spreadsheetml/2006/main" r="U26" s="23" t="str">
        <f t="shared" si="0"/>
        <v/>
      </c>
      <c xmlns="http://schemas.openxmlformats.org/spreadsheetml/2006/main" r="V26" s="22" t="str">
        <f t="shared" si="1"/>
        <v/>
      </c>
      <c xmlns="http://schemas.openxmlformats.org/spreadsheetml/2006/main" r="W26" s="18" t="str">
        <f t="shared" si="2"/>
        <v/>
      </c>
      <c r="X26" s="22"/>
      <c r="Y26" s="22"/>
      <c xmlns="http://schemas.openxmlformats.org/spreadsheetml/2006/main" r="Z26">
        <f>IF($D26="",0,IF(COUNTIF($D$5:$D26,$D26)=1,1,0))</f>
        <v>0.0</v>
      </c>
      <c xmlns="http://schemas.openxmlformats.org/spreadsheetml/2006/main" r="AA26" t="str">
        <f>IF(Z26=1,SUM($Z$5:$Z26),"")</f>
        <v/>
      </c>
    </row>
    <row r="27" spans="1:27">
      <c r="A27" s="22"/>
      <c r="B27" s="22"/>
      <c r="C27" s="22"/>
      <c r="D27" s="22"/>
      <c r="E27" s="22"/>
      <c r="F27" s="23"/>
      <c r="G27" s="23"/>
      <c r="H27" s="24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/>
      <c xmlns="http://schemas.openxmlformats.org/spreadsheetml/2006/main" r="U27" s="23" t="str">
        <f t="shared" si="0"/>
        <v/>
      </c>
      <c xmlns="http://schemas.openxmlformats.org/spreadsheetml/2006/main" r="V27" s="22" t="str">
        <f t="shared" si="1"/>
        <v/>
      </c>
      <c xmlns="http://schemas.openxmlformats.org/spreadsheetml/2006/main" r="W27" s="18" t="str">
        <f t="shared" si="2"/>
        <v/>
      </c>
      <c r="X27" s="22"/>
      <c r="Y27" s="22"/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/>
      <c r="B28" s="22"/>
      <c r="C28" s="22"/>
      <c r="D28" s="22"/>
      <c r="E28" s="22"/>
      <c r="F28" s="23"/>
      <c r="G28" s="23"/>
      <c r="H28" s="24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  <c xmlns="http://schemas.openxmlformats.org/spreadsheetml/2006/main" r="U28" s="23" t="str">
        <f t="shared" si="0"/>
        <v/>
      </c>
      <c xmlns="http://schemas.openxmlformats.org/spreadsheetml/2006/main" r="V28" s="22" t="str">
        <f t="shared" si="1"/>
        <v/>
      </c>
      <c xmlns="http://schemas.openxmlformats.org/spreadsheetml/2006/main" r="W28" s="18" t="str">
        <f t="shared" si="2"/>
        <v/>
      </c>
      <c r="X28" s="22"/>
      <c r="Y28" s="22"/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/>
      <c r="B29" s="22"/>
      <c r="C29" s="22"/>
      <c r="D29" s="22"/>
      <c r="E29" s="22"/>
      <c r="F29" s="23"/>
      <c r="G29" s="23"/>
      <c r="H29" s="24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  <c xmlns="http://schemas.openxmlformats.org/spreadsheetml/2006/main" r="U29" s="23" t="str">
        <f t="shared" si="0"/>
        <v/>
      </c>
      <c xmlns="http://schemas.openxmlformats.org/spreadsheetml/2006/main" r="V29" s="22" t="str">
        <f t="shared" si="1"/>
        <v/>
      </c>
      <c xmlns="http://schemas.openxmlformats.org/spreadsheetml/2006/main" r="W29" s="18" t="str">
        <f t="shared" si="2"/>
        <v/>
      </c>
      <c r="X29" s="22"/>
      <c r="Y29" s="22"/>
      <c xmlns="http://schemas.openxmlformats.org/spreadsheetml/2006/main" r="Z29">
        <f>IF($D29="",0,IF(COUNTIF($D$5:$D29,$D29)=1,1,0))</f>
        <v>0.0</v>
      </c>
      <c xmlns="http://schemas.openxmlformats.org/spreadsheetml/2006/main" r="AA29" t="str">
        <f>IF(Z29=1,SUM($Z$5:$Z29),"")</f>
        <v/>
      </c>
    </row>
    <row r="30" spans="1:27">
      <c r="A30" s="22"/>
      <c r="B30" s="22"/>
      <c r="C30" s="22"/>
      <c r="D30" s="22"/>
      <c r="E30" s="22"/>
      <c r="F30" s="23"/>
      <c r="G30" s="23"/>
      <c r="H30" s="24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xmlns="http://schemas.openxmlformats.org/spreadsheetml/2006/main" r="U30" s="23" t="str">
        <f t="shared" si="0"/>
        <v/>
      </c>
      <c xmlns="http://schemas.openxmlformats.org/spreadsheetml/2006/main" r="V30" s="22" t="str">
        <f t="shared" si="1"/>
        <v/>
      </c>
      <c xmlns="http://schemas.openxmlformats.org/spreadsheetml/2006/main" r="W30" s="18" t="str">
        <f t="shared" si="2"/>
        <v/>
      </c>
      <c r="X30" s="22"/>
      <c r="Y30" s="22"/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/>
      <c r="B31" s="22"/>
      <c r="C31" s="22"/>
      <c r="D31" s="22"/>
      <c r="E31" s="22"/>
      <c r="F31" s="23"/>
      <c r="G31" s="23"/>
      <c r="H31" s="24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6"/>
      <c xmlns="http://schemas.openxmlformats.org/spreadsheetml/2006/main" r="U31" s="23" t="str">
        <f t="shared" si="0"/>
        <v/>
      </c>
      <c xmlns="http://schemas.openxmlformats.org/spreadsheetml/2006/main" r="V31" s="22" t="str">
        <f t="shared" si="1"/>
        <v/>
      </c>
      <c xmlns="http://schemas.openxmlformats.org/spreadsheetml/2006/main" r="W31" s="18" t="str">
        <f t="shared" si="2"/>
        <v/>
      </c>
      <c r="X31" s="22"/>
      <c r="Y31" s="22"/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/>
      <c r="B32" s="22"/>
      <c r="C32" s="22"/>
      <c r="D32" s="22"/>
      <c r="E32" s="22"/>
      <c r="F32" s="23"/>
      <c r="G32" s="23"/>
      <c r="H32" s="24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/>
      <c xmlns="http://schemas.openxmlformats.org/spreadsheetml/2006/main" r="U32" s="23" t="str">
        <f t="shared" si="0"/>
        <v/>
      </c>
      <c xmlns="http://schemas.openxmlformats.org/spreadsheetml/2006/main" r="V32" s="22" t="str">
        <f t="shared" si="1"/>
        <v/>
      </c>
      <c xmlns="http://schemas.openxmlformats.org/spreadsheetml/2006/main" r="W32" s="18" t="str">
        <f t="shared" si="2"/>
        <v/>
      </c>
      <c r="X32" s="22"/>
      <c r="Y32" s="22"/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/>
      <c r="B33" s="22"/>
      <c r="C33" s="22"/>
      <c r="D33" s="22"/>
      <c r="E33" s="22"/>
      <c r="F33" s="23"/>
      <c r="G33" s="23"/>
      <c r="H33" s="24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  <c xmlns="http://schemas.openxmlformats.org/spreadsheetml/2006/main" r="U33" s="23" t="str">
        <f t="shared" si="0"/>
        <v/>
      </c>
      <c xmlns="http://schemas.openxmlformats.org/spreadsheetml/2006/main" r="V33" s="22" t="str">
        <f t="shared" si="1"/>
        <v/>
      </c>
      <c xmlns="http://schemas.openxmlformats.org/spreadsheetml/2006/main" r="W33" s="18" t="str">
        <f t="shared" si="2"/>
        <v/>
      </c>
      <c r="X33" s="22"/>
      <c r="Y33" s="22"/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/>
      <c r="B34" s="22"/>
      <c r="C34" s="22"/>
      <c r="D34" s="22"/>
      <c r="E34" s="22"/>
      <c r="F34" s="23"/>
      <c r="G34" s="23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xmlns="http://schemas.openxmlformats.org/spreadsheetml/2006/main" r="U34" s="23" t="str">
        <f t="shared" si="0"/>
        <v/>
      </c>
      <c xmlns="http://schemas.openxmlformats.org/spreadsheetml/2006/main" r="V34" s="22" t="str">
        <f t="shared" si="1"/>
        <v/>
      </c>
      <c xmlns="http://schemas.openxmlformats.org/spreadsheetml/2006/main" r="W34" s="18" t="str">
        <f t="shared" si="2"/>
        <v/>
      </c>
      <c r="X34" s="22"/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/>
      <c r="B35" s="22"/>
      <c r="C35" s="22"/>
      <c r="D35" s="22"/>
      <c r="E35" s="22"/>
      <c r="F35" s="23"/>
      <c r="G35" s="23"/>
      <c r="H35" s="24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xmlns="http://schemas.openxmlformats.org/spreadsheetml/2006/main" r="U35" s="23" t="str">
        <f t="shared" si="0"/>
        <v/>
      </c>
      <c xmlns="http://schemas.openxmlformats.org/spreadsheetml/2006/main" r="V35" s="22" t="str">
        <f t="shared" si="1"/>
        <v/>
      </c>
      <c xmlns="http://schemas.openxmlformats.org/spreadsheetml/2006/main" r="W35" s="18" t="str">
        <f t="shared" si="2"/>
        <v/>
      </c>
      <c r="X35" s="22"/>
      <c r="Y35" s="22"/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/>
      <c r="B36" s="22"/>
      <c r="C36" s="22"/>
      <c r="D36" s="22"/>
      <c r="E36" s="22"/>
      <c r="F36" s="23"/>
      <c r="G36" s="23"/>
      <c r="H36" s="24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xmlns="http://schemas.openxmlformats.org/spreadsheetml/2006/main" r="U36" s="23" t="str">
        <f t="shared" si="0"/>
        <v/>
      </c>
      <c xmlns="http://schemas.openxmlformats.org/spreadsheetml/2006/main" r="V36" s="22" t="str">
        <f t="shared" si="1"/>
        <v/>
      </c>
      <c xmlns="http://schemas.openxmlformats.org/spreadsheetml/2006/main" r="W36" s="18" t="str">
        <f t="shared" si="2"/>
        <v/>
      </c>
      <c r="X36" s="22"/>
      <c r="Y36" s="22"/>
      <c xmlns="http://schemas.openxmlformats.org/spreadsheetml/2006/main" r="Z36">
        <f>IF($D36="",0,IF(COUNTIF($D$5:$D36,$D36)=1,1,0))</f>
        <v>0.0</v>
      </c>
      <c xmlns="http://schemas.openxmlformats.org/spreadsheetml/2006/main" r="AA36" t="str">
        <f>IF(Z36=1,SUM($Z$5:$Z36),"")</f>
        <v/>
      </c>
    </row>
    <row r="37" spans="1:27">
      <c r="A37" s="22"/>
      <c r="B37" s="22"/>
      <c r="C37" s="22"/>
      <c r="D37" s="22"/>
      <c r="E37" s="22"/>
      <c r="F37" s="23"/>
      <c r="G37" s="23"/>
      <c r="H37" s="24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xmlns="http://schemas.openxmlformats.org/spreadsheetml/2006/main" r="U37" s="23" t="str">
        <f t="shared" si="0"/>
        <v/>
      </c>
      <c xmlns="http://schemas.openxmlformats.org/spreadsheetml/2006/main" r="V37" s="22" t="str">
        <f t="shared" si="1"/>
        <v/>
      </c>
      <c xmlns="http://schemas.openxmlformats.org/spreadsheetml/2006/main" r="W37" s="18" t="str">
        <f t="shared" si="2"/>
        <v/>
      </c>
      <c r="X37" s="22"/>
      <c r="Y37" s="22"/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/>
      <c r="B38" s="22"/>
      <c r="C38" s="22"/>
      <c r="D38" s="22"/>
      <c r="E38" s="22"/>
      <c r="F38" s="23"/>
      <c r="G38" s="23"/>
      <c r="H38" s="24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xmlns="http://schemas.openxmlformats.org/spreadsheetml/2006/main" r="U38" s="23" t="str">
        <f t="shared" si="0"/>
        <v/>
      </c>
      <c xmlns="http://schemas.openxmlformats.org/spreadsheetml/2006/main" r="V38" s="22" t="str">
        <f t="shared" si="1"/>
        <v/>
      </c>
      <c xmlns="http://schemas.openxmlformats.org/spreadsheetml/2006/main" r="W38" s="18" t="str">
        <f t="shared" si="2"/>
        <v/>
      </c>
      <c r="X38" s="22"/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/>
      <c r="B39" s="22"/>
      <c r="C39" s="22"/>
      <c r="D39" s="22"/>
      <c r="E39" s="22"/>
      <c r="F39" s="23"/>
      <c r="G39" s="23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xmlns="http://schemas.openxmlformats.org/spreadsheetml/2006/main" r="U39" s="23" t="str">
        <f t="shared" si="0"/>
        <v/>
      </c>
      <c xmlns="http://schemas.openxmlformats.org/spreadsheetml/2006/main" r="V39" s="22" t="str">
        <f t="shared" si="1"/>
        <v/>
      </c>
      <c xmlns="http://schemas.openxmlformats.org/spreadsheetml/2006/main" r="W39" s="18" t="str">
        <f t="shared" si="2"/>
        <v/>
      </c>
      <c r="X39" s="22"/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/>
      <c r="B40" s="22"/>
      <c r="C40" s="22"/>
      <c r="D40" s="22"/>
      <c r="E40" s="22"/>
      <c r="F40" s="23"/>
      <c r="G40" s="23"/>
      <c r="H40" s="24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xmlns="http://schemas.openxmlformats.org/spreadsheetml/2006/main" r="U40" s="23" t="str">
        <f t="shared" si="0"/>
        <v/>
      </c>
      <c xmlns="http://schemas.openxmlformats.org/spreadsheetml/2006/main" r="V40" s="22" t="str">
        <f t="shared" si="1"/>
        <v/>
      </c>
      <c xmlns="http://schemas.openxmlformats.org/spreadsheetml/2006/main" r="W40" s="18" t="str">
        <f t="shared" si="2"/>
        <v/>
      </c>
      <c r="X40" s="22"/>
      <c r="Y40" s="22"/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/>
      <c r="B41" s="22"/>
      <c r="C41" s="22"/>
      <c r="D41" s="22"/>
      <c r="E41" s="22"/>
      <c r="F41" s="23"/>
      <c r="G41" s="23"/>
      <c r="H41" s="24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xmlns="http://schemas.openxmlformats.org/spreadsheetml/2006/main" r="U41" s="23" t="str">
        <f t="shared" si="0"/>
        <v/>
      </c>
      <c xmlns="http://schemas.openxmlformats.org/spreadsheetml/2006/main" r="V41" s="22" t="str">
        <f t="shared" si="1"/>
        <v/>
      </c>
      <c xmlns="http://schemas.openxmlformats.org/spreadsheetml/2006/main" r="W41" s="18" t="str">
        <f t="shared" si="2"/>
        <v/>
      </c>
      <c r="X41" s="22"/>
      <c r="Y41" s="22"/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/>
      <c r="B42" s="22"/>
      <c r="C42" s="22"/>
      <c r="D42" s="22"/>
      <c r="E42" s="22"/>
      <c r="F42" s="23"/>
      <c r="G42" s="23"/>
      <c r="H42" s="24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xmlns="http://schemas.openxmlformats.org/spreadsheetml/2006/main" r="U42" s="23" t="str">
        <f t="shared" si="0"/>
        <v/>
      </c>
      <c xmlns="http://schemas.openxmlformats.org/spreadsheetml/2006/main" r="V42" s="22" t="str">
        <f t="shared" si="1"/>
        <v/>
      </c>
      <c xmlns="http://schemas.openxmlformats.org/spreadsheetml/2006/main" r="W42" s="18" t="str">
        <f t="shared" si="2"/>
        <v/>
      </c>
      <c r="X42" s="22"/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/>
      <c r="B43" s="22"/>
      <c r="C43" s="22"/>
      <c r="D43" s="22"/>
      <c r="E43" s="22"/>
      <c r="F43" s="23"/>
      <c r="G43" s="23"/>
      <c r="H43" s="2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xmlns="http://schemas.openxmlformats.org/spreadsheetml/2006/main" r="U43" s="23" t="str">
        <f t="shared" si="0"/>
        <v/>
      </c>
      <c xmlns="http://schemas.openxmlformats.org/spreadsheetml/2006/main" r="V43" s="22" t="str">
        <f t="shared" si="1"/>
        <v/>
      </c>
      <c xmlns="http://schemas.openxmlformats.org/spreadsheetml/2006/main" r="W43" s="18" t="str">
        <f t="shared" si="2"/>
        <v/>
      </c>
      <c r="X43" s="22"/>
      <c r="Y43" s="22"/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/>
      <c r="B44" s="22"/>
      <c r="C44" s="22"/>
      <c r="D44" s="22"/>
      <c r="E44" s="22"/>
      <c r="F44" s="23"/>
      <c r="G44" s="23"/>
      <c r="H44" s="24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 t="str">
        <f t="shared" si="0"/>
        <v/>
      </c>
      <c xmlns="http://schemas.openxmlformats.org/spreadsheetml/2006/main" r="V44" s="22" t="str">
        <f t="shared" si="1"/>
        <v/>
      </c>
      <c xmlns="http://schemas.openxmlformats.org/spreadsheetml/2006/main" r="W44" s="18" t="str">
        <f t="shared" si="2"/>
        <v/>
      </c>
      <c r="X44" s="22"/>
      <c r="Y44" s="22"/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/>
      <c r="B45" s="22"/>
      <c r="C45" s="22"/>
      <c r="D45" s="22"/>
      <c r="E45" s="22"/>
      <c r="F45" s="23"/>
      <c r="G45" s="23"/>
      <c r="H45" s="24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xmlns="http://schemas.openxmlformats.org/spreadsheetml/2006/main" r="U45" s="23" t="str">
        <f t="shared" si="0"/>
        <v/>
      </c>
      <c xmlns="http://schemas.openxmlformats.org/spreadsheetml/2006/main" r="V45" s="22" t="str">
        <f t="shared" si="1"/>
        <v/>
      </c>
      <c xmlns="http://schemas.openxmlformats.org/spreadsheetml/2006/main" r="W45" s="18" t="str">
        <f t="shared" si="2"/>
        <v/>
      </c>
      <c r="X45" s="22"/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/>
      <c r="B46" s="22"/>
      <c r="C46" s="22"/>
      <c r="D46" s="22"/>
      <c r="E46" s="22"/>
      <c r="F46" s="23"/>
      <c r="G46" s="23"/>
      <c r="H46" s="24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  <c xmlns="http://schemas.openxmlformats.org/spreadsheetml/2006/main" r="U46" s="23" t="str">
        <f t="shared" si="0"/>
        <v/>
      </c>
      <c xmlns="http://schemas.openxmlformats.org/spreadsheetml/2006/main" r="V46" s="22" t="str">
        <f t="shared" si="1"/>
        <v/>
      </c>
      <c xmlns="http://schemas.openxmlformats.org/spreadsheetml/2006/main" r="W46" s="18" t="str">
        <f t="shared" si="2"/>
        <v/>
      </c>
      <c r="X46" s="22"/>
      <c r="Y46" s="22"/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/>
      <c r="B47" s="22"/>
      <c r="C47" s="22"/>
      <c r="D47" s="22"/>
      <c r="E47" s="22"/>
      <c r="F47" s="23"/>
      <c r="G47" s="23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xmlns="http://schemas.openxmlformats.org/spreadsheetml/2006/main" r="U47" s="23" t="str">
        <f t="shared" si="0"/>
        <v/>
      </c>
      <c xmlns="http://schemas.openxmlformats.org/spreadsheetml/2006/main" r="V47" s="22" t="str">
        <f t="shared" si="1"/>
        <v/>
      </c>
      <c xmlns="http://schemas.openxmlformats.org/spreadsheetml/2006/main" r="W47" s="18" t="str">
        <f t="shared" si="2"/>
        <v/>
      </c>
      <c r="X47" s="22"/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/>
      <c r="B48" s="22"/>
      <c r="C48" s="22"/>
      <c r="D48" s="22"/>
      <c r="E48" s="22"/>
      <c r="F48" s="23"/>
      <c r="G48" s="23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xmlns="http://schemas.openxmlformats.org/spreadsheetml/2006/main" r="U48" s="23" t="str">
        <f t="shared" si="0"/>
        <v/>
      </c>
      <c xmlns="http://schemas.openxmlformats.org/spreadsheetml/2006/main" r="V48" s="22" t="str">
        <f t="shared" si="1"/>
        <v/>
      </c>
      <c xmlns="http://schemas.openxmlformats.org/spreadsheetml/2006/main" r="W48" s="18" t="str">
        <f t="shared" si="2"/>
        <v/>
      </c>
      <c r="X48" s="22"/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/>
      <c r="B49" s="22"/>
      <c r="C49" s="22"/>
      <c r="D49" s="22"/>
      <c r="E49" s="22"/>
      <c r="F49" s="23"/>
      <c r="G49" s="23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xmlns="http://schemas.openxmlformats.org/spreadsheetml/2006/main" r="U49" s="23" t="str">
        <f t="shared" si="0"/>
        <v/>
      </c>
      <c xmlns="http://schemas.openxmlformats.org/spreadsheetml/2006/main" r="V49" s="22" t="str">
        <f t="shared" si="1"/>
        <v/>
      </c>
      <c xmlns="http://schemas.openxmlformats.org/spreadsheetml/2006/main" r="W49" s="18" t="str">
        <f t="shared" si="2"/>
        <v/>
      </c>
      <c r="X49" s="22"/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/>
      <c r="B50" s="22"/>
      <c r="C50" s="22"/>
      <c r="D50" s="22"/>
      <c r="E50" s="22"/>
      <c r="F50" s="23"/>
      <c r="G50" s="23"/>
      <c r="H50" s="24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 t="str">
        <f t="shared" si="0"/>
        <v/>
      </c>
      <c xmlns="http://schemas.openxmlformats.org/spreadsheetml/2006/main" r="V50" s="22" t="str">
        <f t="shared" si="1"/>
        <v/>
      </c>
      <c xmlns="http://schemas.openxmlformats.org/spreadsheetml/2006/main" r="W50" s="18" t="str">
        <f t="shared" si="2"/>
        <v/>
      </c>
      <c r="X50" s="22"/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/>
      <c r="B51" s="22"/>
      <c r="C51" s="22"/>
      <c r="D51" s="22"/>
      <c r="E51" s="22"/>
      <c r="F51" s="23"/>
      <c r="G51" s="23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xmlns="http://schemas.openxmlformats.org/spreadsheetml/2006/main" r="U51" s="23" t="str">
        <f t="shared" si="0"/>
        <v/>
      </c>
      <c xmlns="http://schemas.openxmlformats.org/spreadsheetml/2006/main" r="V51" s="22" t="str">
        <f t="shared" si="1"/>
        <v/>
      </c>
      <c xmlns="http://schemas.openxmlformats.org/spreadsheetml/2006/main" r="W51" s="18" t="str">
        <f t="shared" si="2"/>
        <v/>
      </c>
      <c r="X51" s="22"/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/>
      <c r="B52" s="22"/>
      <c r="C52" s="22"/>
      <c r="D52" s="22"/>
      <c r="E52" s="22"/>
      <c r="F52" s="23"/>
      <c r="G52" s="23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xmlns="http://schemas.openxmlformats.org/spreadsheetml/2006/main" r="U52" s="23" t="str">
        <f t="shared" si="0"/>
        <v/>
      </c>
      <c xmlns="http://schemas.openxmlformats.org/spreadsheetml/2006/main" r="V52" s="22" t="str">
        <f t="shared" si="1"/>
        <v/>
      </c>
      <c xmlns="http://schemas.openxmlformats.org/spreadsheetml/2006/main" r="W52" s="18" t="str">
        <f t="shared" si="2"/>
        <v/>
      </c>
      <c r="X52" s="22"/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/>
      <c r="B53" s="22"/>
      <c r="C53" s="22"/>
      <c r="D53" s="22"/>
      <c r="E53" s="22"/>
      <c r="F53" s="23"/>
      <c r="G53" s="23"/>
      <c r="H53" s="2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xmlns="http://schemas.openxmlformats.org/spreadsheetml/2006/main" r="U53" s="23" t="str">
        <f t="shared" si="0"/>
        <v/>
      </c>
      <c xmlns="http://schemas.openxmlformats.org/spreadsheetml/2006/main" r="V53" s="22" t="str">
        <f t="shared" si="1"/>
        <v/>
      </c>
      <c xmlns="http://schemas.openxmlformats.org/spreadsheetml/2006/main" r="W53" s="18" t="str">
        <f t="shared" si="2"/>
        <v/>
      </c>
      <c r="X53" s="22"/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/>
      <c r="B54" s="22"/>
      <c r="C54" s="22"/>
      <c r="D54" s="22"/>
      <c r="E54" s="22"/>
      <c r="F54" s="23"/>
      <c r="G54" s="23"/>
      <c r="H54" s="24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 t="str">
        <f t="shared" si="0"/>
        <v/>
      </c>
      <c xmlns="http://schemas.openxmlformats.org/spreadsheetml/2006/main" r="V54" s="22" t="str">
        <f t="shared" si="1"/>
        <v/>
      </c>
      <c xmlns="http://schemas.openxmlformats.org/spreadsheetml/2006/main" r="W54" s="18" t="str">
        <f t="shared" si="2"/>
        <v/>
      </c>
      <c r="X54" s="22"/>
      <c r="Y54" s="22"/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/>
      <c r="B55" s="22"/>
      <c r="C55" s="22"/>
      <c r="D55" s="22"/>
      <c r="E55" s="22"/>
      <c r="F55" s="23"/>
      <c r="G55" s="23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xmlns="http://schemas.openxmlformats.org/spreadsheetml/2006/main" r="U55" s="23" t="str">
        <f t="shared" si="0"/>
        <v/>
      </c>
      <c xmlns="http://schemas.openxmlformats.org/spreadsheetml/2006/main" r="V55" s="22" t="str">
        <f t="shared" si="1"/>
        <v/>
      </c>
      <c xmlns="http://schemas.openxmlformats.org/spreadsheetml/2006/main" r="W55" s="18" t="str">
        <f t="shared" si="2"/>
        <v/>
      </c>
      <c r="X55" s="22"/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/>
      <c r="B56" s="22"/>
      <c r="C56" s="22"/>
      <c r="D56" s="22"/>
      <c r="E56" s="22"/>
      <c r="F56" s="23"/>
      <c r="G56" s="23"/>
      <c r="H56" s="24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xmlns="http://schemas.openxmlformats.org/spreadsheetml/2006/main" r="U56" s="23" t="str">
        <f t="shared" si="0"/>
        <v/>
      </c>
      <c xmlns="http://schemas.openxmlformats.org/spreadsheetml/2006/main" r="V56" s="22" t="str">
        <f t="shared" si="1"/>
        <v/>
      </c>
      <c xmlns="http://schemas.openxmlformats.org/spreadsheetml/2006/main" r="W56" s="18" t="str">
        <f t="shared" si="2"/>
        <v/>
      </c>
      <c r="X56" s="22"/>
      <c r="Y56" s="22"/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/>
      <c r="B57" s="22"/>
      <c r="C57" s="22"/>
      <c r="D57" s="22"/>
      <c r="E57" s="22"/>
      <c r="F57" s="23"/>
      <c r="G57" s="23"/>
      <c r="H57" s="24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 t="str">
        <f t="shared" si="0"/>
        <v/>
      </c>
      <c xmlns="http://schemas.openxmlformats.org/spreadsheetml/2006/main" r="V57" s="22" t="str">
        <f t="shared" si="1"/>
        <v/>
      </c>
      <c xmlns="http://schemas.openxmlformats.org/spreadsheetml/2006/main" r="W57" s="18" t="str">
        <f t="shared" si="2"/>
        <v/>
      </c>
      <c r="X57" s="22"/>
      <c r="Y57" s="22"/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/>
      <c r="B58" s="22"/>
      <c r="C58" s="22"/>
      <c r="D58" s="22"/>
      <c r="E58" s="22"/>
      <c r="F58" s="23"/>
      <c r="G58" s="23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 t="str">
        <f t="shared" si="0"/>
        <v/>
      </c>
      <c xmlns="http://schemas.openxmlformats.org/spreadsheetml/2006/main" r="V58" s="22" t="str">
        <f t="shared" si="1"/>
        <v/>
      </c>
      <c xmlns="http://schemas.openxmlformats.org/spreadsheetml/2006/main" r="W58" s="18" t="str">
        <f t="shared" si="2"/>
        <v/>
      </c>
      <c r="X58" s="22"/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/>
      <c r="B59" s="22"/>
      <c r="C59" s="22"/>
      <c r="D59" s="22"/>
      <c r="E59" s="22"/>
      <c r="F59" s="23"/>
      <c r="G59" s="23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xmlns="http://schemas.openxmlformats.org/spreadsheetml/2006/main" r="U59" s="23" t="str">
        <f t="shared" si="0"/>
        <v/>
      </c>
      <c xmlns="http://schemas.openxmlformats.org/spreadsheetml/2006/main" r="V59" s="22" t="str">
        <f t="shared" si="1"/>
        <v/>
      </c>
      <c xmlns="http://schemas.openxmlformats.org/spreadsheetml/2006/main" r="W59" s="18" t="str">
        <f t="shared" si="2"/>
        <v/>
      </c>
      <c r="X59" s="22"/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/>
      <c r="B60" s="22"/>
      <c r="C60" s="22"/>
      <c r="D60" s="22"/>
      <c r="E60" s="22"/>
      <c r="F60" s="23"/>
      <c r="G60" s="23"/>
      <c r="H60" s="24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xmlns="http://schemas.openxmlformats.org/spreadsheetml/2006/main" r="U60" s="23" t="str">
        <f t="shared" si="0"/>
        <v/>
      </c>
      <c xmlns="http://schemas.openxmlformats.org/spreadsheetml/2006/main" r="V60" s="22" t="str">
        <f t="shared" si="1"/>
        <v/>
      </c>
      <c xmlns="http://schemas.openxmlformats.org/spreadsheetml/2006/main" r="W60" s="18" t="str">
        <f t="shared" si="2"/>
        <v/>
      </c>
      <c r="X60" s="22"/>
      <c r="Y60" s="22"/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/>
      <c r="B61" s="22"/>
      <c r="C61" s="22"/>
      <c r="D61" s="22"/>
      <c r="E61" s="22"/>
      <c r="F61" s="23"/>
      <c r="G61" s="23"/>
      <c r="H61" s="24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xmlns="http://schemas.openxmlformats.org/spreadsheetml/2006/main" r="U61" s="23" t="str">
        <f t="shared" si="0"/>
        <v/>
      </c>
      <c xmlns="http://schemas.openxmlformats.org/spreadsheetml/2006/main" r="V61" s="22" t="str">
        <f t="shared" si="1"/>
        <v/>
      </c>
      <c xmlns="http://schemas.openxmlformats.org/spreadsheetml/2006/main" r="W61" s="18" t="str">
        <f t="shared" si="2"/>
        <v/>
      </c>
      <c r="X61" s="22"/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/>
      <c r="B62" s="22"/>
      <c r="C62" s="22"/>
      <c r="D62" s="22"/>
      <c r="E62" s="22"/>
      <c r="F62" s="23"/>
      <c r="G62" s="23"/>
      <c r="H62" s="24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 t="str">
        <f t="shared" si="0"/>
        <v/>
      </c>
      <c xmlns="http://schemas.openxmlformats.org/spreadsheetml/2006/main" r="V62" s="22" t="str">
        <f t="shared" si="1"/>
        <v/>
      </c>
      <c xmlns="http://schemas.openxmlformats.org/spreadsheetml/2006/main" r="W62" s="18" t="str">
        <f t="shared" si="2"/>
        <v/>
      </c>
      <c r="X62" s="22"/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/>
      <c r="B63" s="22"/>
      <c r="C63" s="22"/>
      <c r="D63" s="22"/>
      <c r="E63" s="22"/>
      <c r="F63" s="23"/>
      <c r="G63" s="23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 t="str">
        <f t="shared" si="0"/>
        <v/>
      </c>
      <c xmlns="http://schemas.openxmlformats.org/spreadsheetml/2006/main" r="V63" s="22" t="str">
        <f t="shared" si="1"/>
        <v/>
      </c>
      <c xmlns="http://schemas.openxmlformats.org/spreadsheetml/2006/main" r="W63" s="18" t="str">
        <f t="shared" si="2"/>
        <v/>
      </c>
      <c r="X63" s="22"/>
      <c r="Y63" s="22"/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/>
      <c r="B64" s="22"/>
      <c r="C64" s="22"/>
      <c r="D64" s="22"/>
      <c r="E64" s="22"/>
      <c r="F64" s="23"/>
      <c r="G64" s="23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xmlns="http://schemas.openxmlformats.org/spreadsheetml/2006/main" r="U64" s="23" t="str">
        <f t="shared" si="0"/>
        <v/>
      </c>
      <c xmlns="http://schemas.openxmlformats.org/spreadsheetml/2006/main" r="V64" s="22" t="str">
        <f t="shared" si="1"/>
        <v/>
      </c>
      <c xmlns="http://schemas.openxmlformats.org/spreadsheetml/2006/main" r="W64" s="18" t="str">
        <f t="shared" si="2"/>
        <v/>
      </c>
      <c r="X64" s="22"/>
      <c r="Y64" s="22"/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/>
      <c r="B65" s="22"/>
      <c r="C65" s="22"/>
      <c r="D65" s="22"/>
      <c r="E65" s="22"/>
      <c r="F65" s="23"/>
      <c r="G65" s="23"/>
      <c r="H65" s="24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xmlns="http://schemas.openxmlformats.org/spreadsheetml/2006/main" r="U65" s="23" t="str">
        <f t="shared" si="0"/>
        <v/>
      </c>
      <c xmlns="http://schemas.openxmlformats.org/spreadsheetml/2006/main" r="V65" s="22" t="str">
        <f t="shared" si="1"/>
        <v/>
      </c>
      <c xmlns="http://schemas.openxmlformats.org/spreadsheetml/2006/main" r="W65" s="18" t="str">
        <f t="shared" si="2"/>
        <v/>
      </c>
      <c r="X65" s="22"/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/>
      <c r="B66" s="22"/>
      <c r="C66" s="22"/>
      <c r="D66" s="22"/>
      <c r="E66" s="22"/>
      <c r="F66" s="23"/>
      <c r="G66" s="23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xmlns="http://schemas.openxmlformats.org/spreadsheetml/2006/main" r="U66" s="23" t="str">
        <f t="shared" si="0"/>
        <v/>
      </c>
      <c xmlns="http://schemas.openxmlformats.org/spreadsheetml/2006/main" r="V66" s="22" t="str">
        <f t="shared" si="1"/>
        <v/>
      </c>
      <c xmlns="http://schemas.openxmlformats.org/spreadsheetml/2006/main" r="W66" s="18" t="str">
        <f t="shared" si="2"/>
        <v/>
      </c>
      <c r="X66" s="22"/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/>
      <c r="B67" s="22"/>
      <c r="C67" s="22"/>
      <c r="D67" s="22"/>
      <c r="E67" s="22"/>
      <c r="F67" s="23"/>
      <c r="G67" s="23"/>
      <c r="H67" s="24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xmlns="http://schemas.openxmlformats.org/spreadsheetml/2006/main" r="U67" s="23" t="str">
        <f t="shared" si="0"/>
        <v/>
      </c>
      <c xmlns="http://schemas.openxmlformats.org/spreadsheetml/2006/main" r="V67" s="22" t="str">
        <f t="shared" si="1"/>
        <v/>
      </c>
      <c xmlns="http://schemas.openxmlformats.org/spreadsheetml/2006/main" r="W67" s="18" t="str">
        <f t="shared" si="2"/>
        <v/>
      </c>
      <c r="X67" s="22"/>
      <c r="Y67" s="22"/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/>
      <c r="B68" s="22"/>
      <c r="C68" s="22"/>
      <c r="D68" s="22"/>
      <c r="E68" s="22"/>
      <c r="F68" s="23"/>
      <c r="G68" s="23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 t="str">
        <f t="shared" si="0"/>
        <v/>
      </c>
      <c xmlns="http://schemas.openxmlformats.org/spreadsheetml/2006/main" r="V68" s="22" t="str">
        <f t="shared" si="1"/>
        <v/>
      </c>
      <c xmlns="http://schemas.openxmlformats.org/spreadsheetml/2006/main" r="W68" s="18" t="str">
        <f t="shared" si="2"/>
        <v/>
      </c>
      <c r="X68" s="22"/>
      <c r="Y68" s="22"/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/>
      <c r="B69" s="22"/>
      <c r="C69" s="22"/>
      <c r="D69" s="22"/>
      <c r="E69" s="22"/>
      <c r="F69" s="23"/>
      <c r="G69" s="23"/>
      <c r="H69" s="24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xmlns="http://schemas.openxmlformats.org/spreadsheetml/2006/main" r="U69" s="23" t="str">
        <f t="shared" ref="U69:U132" si="3">IF($E69="","",COUNTIF($I69:$S69,"V"))</f>
        <v/>
      </c>
      <c xmlns="http://schemas.openxmlformats.org/spreadsheetml/2006/main" r="V69" s="22" t="str">
        <f t="shared" ref="V69:V132" si="4">IF($E69="","",IF(AND($T69="V",$U69&gt;0),"⚠ 勾選矛盾",IF($T69="V","○ 免調理",IF($U69=0,"⚠ 資料缺漏",IF($U69=1,"▲ 單一設備依賴","OK")))))</f>
        <v/>
      </c>
      <c xmlns="http://schemas.openxmlformats.org/spreadsheetml/2006/main" r="W69" s="18" t="str">
        <f t="shared" ref="W69:W132" si="5">IF($E69="","",IF(AND($T69="V",$U69&gt;0),"「無使用調理設備」不可與設備欄同時勾選，請擇一修正",IF($T69="V","免調理半成品（外購/僅切配等），不列入設備風險評估",IF($U69=0,"未勾選任何設備，請補填或勾選「無使用調理設備」",IF($U69=1,"僅依賴1台設備，須確認故障/排修時之備援製程","無異常")))))</f>
        <v/>
      </c>
      <c r="X69" s="22"/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/>
      <c r="B70" s="22"/>
      <c r="C70" s="22"/>
      <c r="D70" s="22"/>
      <c r="E70" s="22"/>
      <c r="F70" s="23"/>
      <c r="G70" s="23"/>
      <c r="H70" s="24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xmlns="http://schemas.openxmlformats.org/spreadsheetml/2006/main" r="U70" s="23" t="str">
        <f t="shared" si="3"/>
        <v/>
      </c>
      <c xmlns="http://schemas.openxmlformats.org/spreadsheetml/2006/main" r="V70" s="22" t="str">
        <f t="shared" si="4"/>
        <v/>
      </c>
      <c xmlns="http://schemas.openxmlformats.org/spreadsheetml/2006/main" r="W70" s="18" t="str">
        <f t="shared" si="5"/>
        <v/>
      </c>
      <c r="X70" s="22"/>
      <c r="Y70" s="22"/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/>
      <c r="B71" s="22"/>
      <c r="C71" s="22"/>
      <c r="D71" s="22"/>
      <c r="E71" s="22"/>
      <c r="F71" s="23"/>
      <c r="G71" s="23"/>
      <c r="H71" s="24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xmlns="http://schemas.openxmlformats.org/spreadsheetml/2006/main" r="U71" s="23" t="str">
        <f t="shared" si="3"/>
        <v/>
      </c>
      <c xmlns="http://schemas.openxmlformats.org/spreadsheetml/2006/main" r="V71" s="22" t="str">
        <f t="shared" si="4"/>
        <v/>
      </c>
      <c xmlns="http://schemas.openxmlformats.org/spreadsheetml/2006/main" r="W71" s="18" t="str">
        <f t="shared" si="5"/>
        <v/>
      </c>
      <c r="X71" s="22"/>
      <c r="Y71" s="22"/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/>
      <c r="B72" s="22"/>
      <c r="C72" s="22"/>
      <c r="D72" s="22"/>
      <c r="E72" s="22"/>
      <c r="F72" s="23"/>
      <c r="G72" s="23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xmlns="http://schemas.openxmlformats.org/spreadsheetml/2006/main" r="U72" s="23" t="str">
        <f t="shared" si="3"/>
        <v/>
      </c>
      <c xmlns="http://schemas.openxmlformats.org/spreadsheetml/2006/main" r="V72" s="22" t="str">
        <f t="shared" si="4"/>
        <v/>
      </c>
      <c xmlns="http://schemas.openxmlformats.org/spreadsheetml/2006/main" r="W72" s="18" t="str">
        <f t="shared" si="5"/>
        <v/>
      </c>
      <c r="X72" s="22"/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/>
      <c r="B73" s="22"/>
      <c r="C73" s="22"/>
      <c r="D73" s="22"/>
      <c r="E73" s="22"/>
      <c r="F73" s="23"/>
      <c r="G73" s="23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xmlns="http://schemas.openxmlformats.org/spreadsheetml/2006/main" r="U73" s="23" t="str">
        <f t="shared" si="3"/>
        <v/>
      </c>
      <c xmlns="http://schemas.openxmlformats.org/spreadsheetml/2006/main" r="V73" s="22" t="str">
        <f t="shared" si="4"/>
        <v/>
      </c>
      <c xmlns="http://schemas.openxmlformats.org/spreadsheetml/2006/main" r="W73" s="18" t="str">
        <f t="shared" si="5"/>
        <v/>
      </c>
      <c r="X73" s="22"/>
      <c r="Y73" s="22"/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/>
      <c r="B74" s="22"/>
      <c r="C74" s="22"/>
      <c r="D74" s="22"/>
      <c r="E74" s="22"/>
      <c r="F74" s="23"/>
      <c r="G74" s="23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xmlns="http://schemas.openxmlformats.org/spreadsheetml/2006/main" r="U74" s="23" t="str">
        <f t="shared" si="3"/>
        <v/>
      </c>
      <c xmlns="http://schemas.openxmlformats.org/spreadsheetml/2006/main" r="V74" s="22" t="str">
        <f t="shared" si="4"/>
        <v/>
      </c>
      <c xmlns="http://schemas.openxmlformats.org/spreadsheetml/2006/main" r="W74" s="18" t="str">
        <f t="shared" si="5"/>
        <v/>
      </c>
      <c r="X74" s="22"/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/>
      <c r="B75" s="22"/>
      <c r="C75" s="22"/>
      <c r="D75" s="22"/>
      <c r="E75" s="22"/>
      <c r="F75" s="23"/>
      <c r="G75" s="23"/>
      <c r="H75" s="24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xmlns="http://schemas.openxmlformats.org/spreadsheetml/2006/main" r="U75" s="23" t="str">
        <f t="shared" si="3"/>
        <v/>
      </c>
      <c xmlns="http://schemas.openxmlformats.org/spreadsheetml/2006/main" r="V75" s="22" t="str">
        <f t="shared" si="4"/>
        <v/>
      </c>
      <c xmlns="http://schemas.openxmlformats.org/spreadsheetml/2006/main" r="W75" s="18" t="str">
        <f t="shared" si="5"/>
        <v/>
      </c>
      <c r="X75" s="22"/>
      <c r="Y75" s="22"/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/>
      <c r="B76" s="22"/>
      <c r="C76" s="22"/>
      <c r="D76" s="22"/>
      <c r="E76" s="22"/>
      <c r="F76" s="23"/>
      <c r="G76" s="23"/>
      <c r="H76" s="24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xmlns="http://schemas.openxmlformats.org/spreadsheetml/2006/main" r="U76" s="23" t="str">
        <f t="shared" si="3"/>
        <v/>
      </c>
      <c xmlns="http://schemas.openxmlformats.org/spreadsheetml/2006/main" r="V76" s="22" t="str">
        <f t="shared" si="4"/>
        <v/>
      </c>
      <c xmlns="http://schemas.openxmlformats.org/spreadsheetml/2006/main" r="W76" s="18" t="str">
        <f t="shared" si="5"/>
        <v/>
      </c>
      <c r="X76" s="22"/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/>
      <c r="B77" s="22"/>
      <c r="C77" s="22"/>
      <c r="D77" s="22"/>
      <c r="E77" s="22"/>
      <c r="F77" s="23"/>
      <c r="G77" s="23"/>
      <c r="H77" s="24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xmlns="http://schemas.openxmlformats.org/spreadsheetml/2006/main" r="U77" s="23" t="str">
        <f t="shared" si="3"/>
        <v/>
      </c>
      <c xmlns="http://schemas.openxmlformats.org/spreadsheetml/2006/main" r="V77" s="22" t="str">
        <f t="shared" si="4"/>
        <v/>
      </c>
      <c xmlns="http://schemas.openxmlformats.org/spreadsheetml/2006/main" r="W77" s="18" t="str">
        <f t="shared" si="5"/>
        <v/>
      </c>
      <c r="X77" s="22"/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/>
      <c r="B78" s="22"/>
      <c r="C78" s="22"/>
      <c r="D78" s="22"/>
      <c r="E78" s="22"/>
      <c r="F78" s="23"/>
      <c r="G78" s="23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xmlns="http://schemas.openxmlformats.org/spreadsheetml/2006/main" r="U78" s="23" t="str">
        <f t="shared" si="3"/>
        <v/>
      </c>
      <c xmlns="http://schemas.openxmlformats.org/spreadsheetml/2006/main" r="V78" s="22" t="str">
        <f t="shared" si="4"/>
        <v/>
      </c>
      <c xmlns="http://schemas.openxmlformats.org/spreadsheetml/2006/main" r="W78" s="18" t="str">
        <f t="shared" si="5"/>
        <v/>
      </c>
      <c r="X78" s="22"/>
      <c r="Y78" s="22"/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/>
      <c r="B79" s="22"/>
      <c r="C79" s="22"/>
      <c r="D79" s="22"/>
      <c r="E79" s="22"/>
      <c r="F79" s="23"/>
      <c r="G79" s="23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xmlns="http://schemas.openxmlformats.org/spreadsheetml/2006/main" r="U79" s="23" t="str">
        <f t="shared" si="3"/>
        <v/>
      </c>
      <c xmlns="http://schemas.openxmlformats.org/spreadsheetml/2006/main" r="V79" s="22" t="str">
        <f t="shared" si="4"/>
        <v/>
      </c>
      <c xmlns="http://schemas.openxmlformats.org/spreadsheetml/2006/main" r="W79" s="18" t="str">
        <f t="shared" si="5"/>
        <v/>
      </c>
      <c r="X79" s="22"/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/>
      <c r="B80" s="22"/>
      <c r="C80" s="22"/>
      <c r="D80" s="22"/>
      <c r="E80" s="22"/>
      <c r="F80" s="23"/>
      <c r="G80" s="23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xmlns="http://schemas.openxmlformats.org/spreadsheetml/2006/main" r="U80" s="23" t="str">
        <f t="shared" si="3"/>
        <v/>
      </c>
      <c xmlns="http://schemas.openxmlformats.org/spreadsheetml/2006/main" r="V80" s="22" t="str">
        <f t="shared" si="4"/>
        <v/>
      </c>
      <c xmlns="http://schemas.openxmlformats.org/spreadsheetml/2006/main" r="W80" s="18" t="str">
        <f t="shared" si="5"/>
        <v/>
      </c>
      <c r="X80" s="22"/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/>
      <c r="B81" s="22"/>
      <c r="C81" s="22"/>
      <c r="D81" s="22"/>
      <c r="E81" s="22"/>
      <c r="F81" s="23"/>
      <c r="G81" s="23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 t="str">
        <f t="shared" si="3"/>
        <v/>
      </c>
      <c xmlns="http://schemas.openxmlformats.org/spreadsheetml/2006/main" r="V81" s="22" t="str">
        <f t="shared" si="4"/>
        <v/>
      </c>
      <c xmlns="http://schemas.openxmlformats.org/spreadsheetml/2006/main" r="W81" s="18" t="str">
        <f t="shared" si="5"/>
        <v/>
      </c>
      <c r="X81" s="22"/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/>
      <c r="B82" s="22"/>
      <c r="C82" s="22"/>
      <c r="D82" s="22"/>
      <c r="E82" s="22"/>
      <c r="F82" s="23"/>
      <c r="G82" s="23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 t="str">
        <f t="shared" si="3"/>
        <v/>
      </c>
      <c xmlns="http://schemas.openxmlformats.org/spreadsheetml/2006/main" r="V82" s="22" t="str">
        <f t="shared" si="4"/>
        <v/>
      </c>
      <c xmlns="http://schemas.openxmlformats.org/spreadsheetml/2006/main" r="W82" s="18" t="str">
        <f t="shared" si="5"/>
        <v/>
      </c>
      <c r="X82" s="22"/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/>
      <c r="B83" s="22"/>
      <c r="C83" s="22"/>
      <c r="D83" s="22"/>
      <c r="E83" s="22"/>
      <c r="F83" s="23"/>
      <c r="G83" s="23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xmlns="http://schemas.openxmlformats.org/spreadsheetml/2006/main" r="U83" s="23" t="str">
        <f t="shared" si="3"/>
        <v/>
      </c>
      <c xmlns="http://schemas.openxmlformats.org/spreadsheetml/2006/main" r="V83" s="22" t="str">
        <f t="shared" si="4"/>
        <v/>
      </c>
      <c xmlns="http://schemas.openxmlformats.org/spreadsheetml/2006/main" r="W83" s="18" t="str">
        <f t="shared" si="5"/>
        <v/>
      </c>
      <c r="X83" s="22"/>
      <c r="Y83" s="22"/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/>
      <c r="B84" s="22"/>
      <c r="C84" s="22"/>
      <c r="D84" s="22"/>
      <c r="E84" s="22"/>
      <c r="F84" s="23"/>
      <c r="G84" s="23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 t="str">
        <f t="shared" si="3"/>
        <v/>
      </c>
      <c xmlns="http://schemas.openxmlformats.org/spreadsheetml/2006/main" r="V84" s="22" t="str">
        <f t="shared" si="4"/>
        <v/>
      </c>
      <c xmlns="http://schemas.openxmlformats.org/spreadsheetml/2006/main" r="W84" s="18" t="str">
        <f t="shared" si="5"/>
        <v/>
      </c>
      <c r="X84" s="22"/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/>
      <c r="B85" s="22"/>
      <c r="C85" s="22"/>
      <c r="D85" s="22"/>
      <c r="E85" s="22"/>
      <c r="F85" s="23"/>
      <c r="G85" s="23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xmlns="http://schemas.openxmlformats.org/spreadsheetml/2006/main" r="U85" s="23" t="str">
        <f t="shared" si="3"/>
        <v/>
      </c>
      <c xmlns="http://schemas.openxmlformats.org/spreadsheetml/2006/main" r="V85" s="22" t="str">
        <f t="shared" si="4"/>
        <v/>
      </c>
      <c xmlns="http://schemas.openxmlformats.org/spreadsheetml/2006/main" r="W85" s="18" t="str">
        <f t="shared" si="5"/>
        <v/>
      </c>
      <c r="X85" s="22"/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/>
      <c r="B86" s="22"/>
      <c r="C86" s="22"/>
      <c r="D86" s="22"/>
      <c r="E86" s="22"/>
      <c r="F86" s="23"/>
      <c r="G86" s="23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xmlns="http://schemas.openxmlformats.org/spreadsheetml/2006/main" r="U86" s="23" t="str">
        <f t="shared" si="3"/>
        <v/>
      </c>
      <c xmlns="http://schemas.openxmlformats.org/spreadsheetml/2006/main" r="V86" s="22" t="str">
        <f t="shared" si="4"/>
        <v/>
      </c>
      <c xmlns="http://schemas.openxmlformats.org/spreadsheetml/2006/main" r="W86" s="18" t="str">
        <f t="shared" si="5"/>
        <v/>
      </c>
      <c r="X86" s="22"/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/>
      <c r="B87" s="22"/>
      <c r="C87" s="22"/>
      <c r="D87" s="22"/>
      <c r="E87" s="22"/>
      <c r="F87" s="23"/>
      <c r="G87" s="23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xmlns="http://schemas.openxmlformats.org/spreadsheetml/2006/main" r="U87" s="23" t="str">
        <f t="shared" si="3"/>
        <v/>
      </c>
      <c xmlns="http://schemas.openxmlformats.org/spreadsheetml/2006/main" r="V87" s="22" t="str">
        <f t="shared" si="4"/>
        <v/>
      </c>
      <c xmlns="http://schemas.openxmlformats.org/spreadsheetml/2006/main" r="W87" s="18" t="str">
        <f t="shared" si="5"/>
        <v/>
      </c>
      <c r="X87" s="22"/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/>
      <c r="B88" s="22"/>
      <c r="C88" s="22"/>
      <c r="D88" s="22"/>
      <c r="E88" s="22"/>
      <c r="F88" s="23"/>
      <c r="G88" s="23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 t="str">
        <f t="shared" si="3"/>
        <v/>
      </c>
      <c xmlns="http://schemas.openxmlformats.org/spreadsheetml/2006/main" r="V88" s="22" t="str">
        <f t="shared" si="4"/>
        <v/>
      </c>
      <c xmlns="http://schemas.openxmlformats.org/spreadsheetml/2006/main" r="W88" s="18" t="str">
        <f t="shared" si="5"/>
        <v/>
      </c>
      <c r="X88" s="22"/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/>
      <c r="B89" s="22"/>
      <c r="C89" s="22"/>
      <c r="D89" s="22"/>
      <c r="E89" s="22"/>
      <c r="F89" s="23"/>
      <c r="G89" s="23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 t="str">
        <f t="shared" si="3"/>
        <v/>
      </c>
      <c xmlns="http://schemas.openxmlformats.org/spreadsheetml/2006/main" r="V89" s="22" t="str">
        <f t="shared" si="4"/>
        <v/>
      </c>
      <c xmlns="http://schemas.openxmlformats.org/spreadsheetml/2006/main" r="W89" s="18" t="str">
        <f t="shared" si="5"/>
        <v/>
      </c>
      <c r="X89" s="22"/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/>
      <c r="B90" s="22"/>
      <c r="C90" s="22"/>
      <c r="D90" s="22"/>
      <c r="E90" s="22"/>
      <c r="F90" s="23"/>
      <c r="G90" s="23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 t="str">
        <f t="shared" si="3"/>
        <v/>
      </c>
      <c xmlns="http://schemas.openxmlformats.org/spreadsheetml/2006/main" r="V90" s="22" t="str">
        <f t="shared" si="4"/>
        <v/>
      </c>
      <c xmlns="http://schemas.openxmlformats.org/spreadsheetml/2006/main" r="W90" s="18" t="str">
        <f t="shared" si="5"/>
        <v/>
      </c>
      <c r="X90" s="22"/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/>
      <c r="B91" s="22"/>
      <c r="C91" s="22"/>
      <c r="D91" s="22"/>
      <c r="E91" s="22"/>
      <c r="F91" s="23"/>
      <c r="G91" s="23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 t="str">
        <f t="shared" si="3"/>
        <v/>
      </c>
      <c xmlns="http://schemas.openxmlformats.org/spreadsheetml/2006/main" r="V91" s="22" t="str">
        <f t="shared" si="4"/>
        <v/>
      </c>
      <c xmlns="http://schemas.openxmlformats.org/spreadsheetml/2006/main" r="W91" s="18" t="str">
        <f t="shared" si="5"/>
        <v/>
      </c>
      <c r="X91" s="22"/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/>
      <c r="B92" s="22"/>
      <c r="C92" s="22"/>
      <c r="D92" s="22"/>
      <c r="E92" s="22"/>
      <c r="F92" s="23"/>
      <c r="G92" s="23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xmlns="http://schemas.openxmlformats.org/spreadsheetml/2006/main" r="U92" s="23" t="str">
        <f t="shared" si="3"/>
        <v/>
      </c>
      <c xmlns="http://schemas.openxmlformats.org/spreadsheetml/2006/main" r="V92" s="22" t="str">
        <f t="shared" si="4"/>
        <v/>
      </c>
      <c xmlns="http://schemas.openxmlformats.org/spreadsheetml/2006/main" r="W92" s="18" t="str">
        <f t="shared" si="5"/>
        <v/>
      </c>
      <c r="X92" s="22"/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/>
      <c r="B93" s="22"/>
      <c r="C93" s="22"/>
      <c r="D93" s="22"/>
      <c r="E93" s="22"/>
      <c r="F93" s="23"/>
      <c r="G93" s="23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xmlns="http://schemas.openxmlformats.org/spreadsheetml/2006/main" r="U93" s="23" t="str">
        <f t="shared" si="3"/>
        <v/>
      </c>
      <c xmlns="http://schemas.openxmlformats.org/spreadsheetml/2006/main" r="V93" s="22" t="str">
        <f t="shared" si="4"/>
        <v/>
      </c>
      <c xmlns="http://schemas.openxmlformats.org/spreadsheetml/2006/main" r="W93" s="18" t="str">
        <f t="shared" si="5"/>
        <v/>
      </c>
      <c r="X93" s="22"/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/>
      <c r="B94" s="22"/>
      <c r="C94" s="22"/>
      <c r="D94" s="22"/>
      <c r="E94" s="22"/>
      <c r="F94" s="23"/>
      <c r="G94" s="23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xmlns="http://schemas.openxmlformats.org/spreadsheetml/2006/main" r="U94" s="23" t="str">
        <f t="shared" si="3"/>
        <v/>
      </c>
      <c xmlns="http://schemas.openxmlformats.org/spreadsheetml/2006/main" r="V94" s="22" t="str">
        <f t="shared" si="4"/>
        <v/>
      </c>
      <c xmlns="http://schemas.openxmlformats.org/spreadsheetml/2006/main" r="W94" s="18" t="str">
        <f t="shared" si="5"/>
        <v/>
      </c>
      <c r="X94" s="22"/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/>
      <c r="B95" s="22"/>
      <c r="C95" s="22"/>
      <c r="D95" s="22"/>
      <c r="E95" s="22"/>
      <c r="F95" s="23"/>
      <c r="G95" s="23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 t="str">
        <f t="shared" si="3"/>
        <v/>
      </c>
      <c xmlns="http://schemas.openxmlformats.org/spreadsheetml/2006/main" r="V95" s="22" t="str">
        <f t="shared" si="4"/>
        <v/>
      </c>
      <c xmlns="http://schemas.openxmlformats.org/spreadsheetml/2006/main" r="W95" s="18" t="str">
        <f t="shared" si="5"/>
        <v/>
      </c>
      <c r="X95" s="22"/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/>
      <c r="B96" s="22"/>
      <c r="C96" s="22"/>
      <c r="D96" s="22"/>
      <c r="E96" s="22"/>
      <c r="F96" s="23"/>
      <c r="G96" s="23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xmlns="http://schemas.openxmlformats.org/spreadsheetml/2006/main" r="U96" s="23" t="str">
        <f t="shared" si="3"/>
        <v/>
      </c>
      <c xmlns="http://schemas.openxmlformats.org/spreadsheetml/2006/main" r="V96" s="22" t="str">
        <f t="shared" si="4"/>
        <v/>
      </c>
      <c xmlns="http://schemas.openxmlformats.org/spreadsheetml/2006/main" r="W96" s="18" t="str">
        <f t="shared" si="5"/>
        <v/>
      </c>
      <c r="X96" s="22"/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/>
      <c r="B97" s="22"/>
      <c r="C97" s="22"/>
      <c r="D97" s="22"/>
      <c r="E97" s="22"/>
      <c r="F97" s="23"/>
      <c r="G97" s="23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xmlns="http://schemas.openxmlformats.org/spreadsheetml/2006/main" r="U97" s="23" t="str">
        <f t="shared" si="3"/>
        <v/>
      </c>
      <c xmlns="http://schemas.openxmlformats.org/spreadsheetml/2006/main" r="V97" s="22" t="str">
        <f t="shared" si="4"/>
        <v/>
      </c>
      <c xmlns="http://schemas.openxmlformats.org/spreadsheetml/2006/main" r="W97" s="18" t="str">
        <f t="shared" si="5"/>
        <v/>
      </c>
      <c r="X97" s="22"/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/>
      <c r="B98" s="22"/>
      <c r="C98" s="22"/>
      <c r="D98" s="22"/>
      <c r="E98" s="22"/>
      <c r="F98" s="23"/>
      <c r="G98" s="23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xmlns="http://schemas.openxmlformats.org/spreadsheetml/2006/main" r="U98" s="23" t="str">
        <f t="shared" si="3"/>
        <v/>
      </c>
      <c xmlns="http://schemas.openxmlformats.org/spreadsheetml/2006/main" r="V98" s="22" t="str">
        <f t="shared" si="4"/>
        <v/>
      </c>
      <c xmlns="http://schemas.openxmlformats.org/spreadsheetml/2006/main" r="W98" s="18" t="str">
        <f t="shared" si="5"/>
        <v/>
      </c>
      <c r="X98" s="22"/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/>
      <c r="B99" s="22"/>
      <c r="C99" s="22"/>
      <c r="D99" s="22"/>
      <c r="E99" s="22"/>
      <c r="F99" s="23"/>
      <c r="G99" s="23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xmlns="http://schemas.openxmlformats.org/spreadsheetml/2006/main" r="U99" s="23" t="str">
        <f t="shared" si="3"/>
        <v/>
      </c>
      <c xmlns="http://schemas.openxmlformats.org/spreadsheetml/2006/main" r="V99" s="22" t="str">
        <f t="shared" si="4"/>
        <v/>
      </c>
      <c xmlns="http://schemas.openxmlformats.org/spreadsheetml/2006/main" r="W99" s="18" t="str">
        <f t="shared" si="5"/>
        <v/>
      </c>
      <c r="X99" s="22"/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/>
      <c r="B100" s="22"/>
      <c r="C100" s="22"/>
      <c r="D100" s="22"/>
      <c r="E100" s="22"/>
      <c r="F100" s="23"/>
      <c r="G100" s="23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xmlns="http://schemas.openxmlformats.org/spreadsheetml/2006/main" r="U100" s="23" t="str">
        <f t="shared" si="3"/>
        <v/>
      </c>
      <c xmlns="http://schemas.openxmlformats.org/spreadsheetml/2006/main" r="V100" s="22" t="str">
        <f t="shared" si="4"/>
        <v/>
      </c>
      <c xmlns="http://schemas.openxmlformats.org/spreadsheetml/2006/main" r="W100" s="18" t="str">
        <f t="shared" si="5"/>
        <v/>
      </c>
      <c r="X100" s="22"/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/>
      <c r="B101" s="22"/>
      <c r="C101" s="22"/>
      <c r="D101" s="22"/>
      <c r="E101" s="22"/>
      <c r="F101" s="23"/>
      <c r="G101" s="23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xmlns="http://schemas.openxmlformats.org/spreadsheetml/2006/main" r="U101" s="23" t="str">
        <f t="shared" si="3"/>
        <v/>
      </c>
      <c xmlns="http://schemas.openxmlformats.org/spreadsheetml/2006/main" r="V101" s="22" t="str">
        <f t="shared" si="4"/>
        <v/>
      </c>
      <c xmlns="http://schemas.openxmlformats.org/spreadsheetml/2006/main" r="W101" s="18" t="str">
        <f t="shared" si="5"/>
        <v/>
      </c>
      <c r="X101" s="22"/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/>
      <c r="B102" s="22"/>
      <c r="C102" s="22"/>
      <c r="D102" s="22"/>
      <c r="E102" s="22"/>
      <c r="F102" s="23"/>
      <c r="G102" s="23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 t="str">
        <f t="shared" si="3"/>
        <v/>
      </c>
      <c xmlns="http://schemas.openxmlformats.org/spreadsheetml/2006/main" r="V102" s="22" t="str">
        <f t="shared" si="4"/>
        <v/>
      </c>
      <c xmlns="http://schemas.openxmlformats.org/spreadsheetml/2006/main" r="W102" s="18" t="str">
        <f t="shared" si="5"/>
        <v/>
      </c>
      <c r="X102" s="22"/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/>
      <c r="B103" s="22"/>
      <c r="C103" s="22"/>
      <c r="D103" s="22"/>
      <c r="E103" s="22"/>
      <c r="F103" s="23"/>
      <c r="G103" s="23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xmlns="http://schemas.openxmlformats.org/spreadsheetml/2006/main" r="U103" s="23" t="str">
        <f t="shared" si="3"/>
        <v/>
      </c>
      <c xmlns="http://schemas.openxmlformats.org/spreadsheetml/2006/main" r="V103" s="22" t="str">
        <f t="shared" si="4"/>
        <v/>
      </c>
      <c xmlns="http://schemas.openxmlformats.org/spreadsheetml/2006/main" r="W103" s="18" t="str">
        <f t="shared" si="5"/>
        <v/>
      </c>
      <c r="X103" s="22"/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/>
      <c r="B104" s="22"/>
      <c r="C104" s="22"/>
      <c r="D104" s="22"/>
      <c r="E104" s="22"/>
      <c r="F104" s="23"/>
      <c r="G104" s="23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xmlns="http://schemas.openxmlformats.org/spreadsheetml/2006/main" r="U104" s="23" t="str">
        <f t="shared" si="3"/>
        <v/>
      </c>
      <c xmlns="http://schemas.openxmlformats.org/spreadsheetml/2006/main" r="V104" s="22" t="str">
        <f t="shared" si="4"/>
        <v/>
      </c>
      <c xmlns="http://schemas.openxmlformats.org/spreadsheetml/2006/main" r="W104" s="18" t="str">
        <f t="shared" si="5"/>
        <v/>
      </c>
      <c r="X104" s="22"/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/>
      <c r="B105" s="22"/>
      <c r="C105" s="22"/>
      <c r="D105" s="22"/>
      <c r="E105" s="22"/>
      <c r="F105" s="23"/>
      <c r="G105" s="23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xmlns="http://schemas.openxmlformats.org/spreadsheetml/2006/main" r="U105" s="23" t="str">
        <f t="shared" si="3"/>
        <v/>
      </c>
      <c xmlns="http://schemas.openxmlformats.org/spreadsheetml/2006/main" r="V105" s="22" t="str">
        <f t="shared" si="4"/>
        <v/>
      </c>
      <c xmlns="http://schemas.openxmlformats.org/spreadsheetml/2006/main" r="W105" s="18" t="str">
        <f t="shared" si="5"/>
        <v/>
      </c>
      <c r="X105" s="22"/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/>
      <c r="B106" s="22"/>
      <c r="C106" s="22"/>
      <c r="D106" s="22"/>
      <c r="E106" s="22"/>
      <c r="F106" s="23"/>
      <c r="G106" s="23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 t="str">
        <f t="shared" si="3"/>
        <v/>
      </c>
      <c xmlns="http://schemas.openxmlformats.org/spreadsheetml/2006/main" r="V106" s="22" t="str">
        <f t="shared" si="4"/>
        <v/>
      </c>
      <c xmlns="http://schemas.openxmlformats.org/spreadsheetml/2006/main" r="W106" s="18" t="str">
        <f t="shared" si="5"/>
        <v/>
      </c>
      <c r="X106" s="22"/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/>
      <c r="B107" s="22"/>
      <c r="C107" s="22"/>
      <c r="D107" s="22"/>
      <c r="E107" s="22"/>
      <c r="F107" s="23"/>
      <c r="G107" s="23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 t="str">
        <f t="shared" si="3"/>
        <v/>
      </c>
      <c xmlns="http://schemas.openxmlformats.org/spreadsheetml/2006/main" r="V107" s="22" t="str">
        <f t="shared" si="4"/>
        <v/>
      </c>
      <c xmlns="http://schemas.openxmlformats.org/spreadsheetml/2006/main" r="W107" s="18" t="str">
        <f t="shared" si="5"/>
        <v/>
      </c>
      <c r="X107" s="22"/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/>
      <c r="B108" s="22"/>
      <c r="C108" s="22"/>
      <c r="D108" s="22"/>
      <c r="E108" s="22"/>
      <c r="F108" s="23"/>
      <c r="G108" s="23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 t="str">
        <f t="shared" si="3"/>
        <v/>
      </c>
      <c xmlns="http://schemas.openxmlformats.org/spreadsheetml/2006/main" r="V108" s="22" t="str">
        <f t="shared" si="4"/>
        <v/>
      </c>
      <c xmlns="http://schemas.openxmlformats.org/spreadsheetml/2006/main" r="W108" s="18" t="str">
        <f t="shared" si="5"/>
        <v/>
      </c>
      <c r="X108" s="22"/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/>
      <c r="B109" s="22"/>
      <c r="C109" s="22"/>
      <c r="D109" s="22"/>
      <c r="E109" s="22"/>
      <c r="F109" s="23"/>
      <c r="G109" s="23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 t="str">
        <f t="shared" si="3"/>
        <v/>
      </c>
      <c xmlns="http://schemas.openxmlformats.org/spreadsheetml/2006/main" r="V109" s="22" t="str">
        <f t="shared" si="4"/>
        <v/>
      </c>
      <c xmlns="http://schemas.openxmlformats.org/spreadsheetml/2006/main" r="W109" s="18" t="str">
        <f t="shared" si="5"/>
        <v/>
      </c>
      <c r="X109" s="22"/>
      <c r="Y109" s="22"/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/>
      <c r="B110" s="22"/>
      <c r="C110" s="22"/>
      <c r="D110" s="22"/>
      <c r="E110" s="22"/>
      <c r="F110" s="23"/>
      <c r="G110" s="23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xmlns="http://schemas.openxmlformats.org/spreadsheetml/2006/main" r="U110" s="23" t="str">
        <f t="shared" si="3"/>
        <v/>
      </c>
      <c xmlns="http://schemas.openxmlformats.org/spreadsheetml/2006/main" r="V110" s="22" t="str">
        <f t="shared" si="4"/>
        <v/>
      </c>
      <c xmlns="http://schemas.openxmlformats.org/spreadsheetml/2006/main" r="W110" s="18" t="str">
        <f t="shared" si="5"/>
        <v/>
      </c>
      <c r="X110" s="22"/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/>
      <c r="B111" s="22"/>
      <c r="C111" s="22"/>
      <c r="D111" s="22"/>
      <c r="E111" s="22"/>
      <c r="F111" s="23"/>
      <c r="G111" s="23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xmlns="http://schemas.openxmlformats.org/spreadsheetml/2006/main" r="U111" s="23" t="str">
        <f t="shared" si="3"/>
        <v/>
      </c>
      <c xmlns="http://schemas.openxmlformats.org/spreadsheetml/2006/main" r="V111" s="22" t="str">
        <f t="shared" si="4"/>
        <v/>
      </c>
      <c xmlns="http://schemas.openxmlformats.org/spreadsheetml/2006/main" r="W111" s="18" t="str">
        <f t="shared" si="5"/>
        <v/>
      </c>
      <c r="X111" s="22"/>
      <c r="Y111" s="22"/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/>
      <c r="B112" s="22"/>
      <c r="C112" s="22"/>
      <c r="D112" s="22"/>
      <c r="E112" s="22"/>
      <c r="F112" s="23"/>
      <c r="G112" s="23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xmlns="http://schemas.openxmlformats.org/spreadsheetml/2006/main" r="U112" s="23" t="str">
        <f t="shared" si="3"/>
        <v/>
      </c>
      <c xmlns="http://schemas.openxmlformats.org/spreadsheetml/2006/main" r="V112" s="22" t="str">
        <f t="shared" si="4"/>
        <v/>
      </c>
      <c xmlns="http://schemas.openxmlformats.org/spreadsheetml/2006/main" r="W112" s="18" t="str">
        <f t="shared" si="5"/>
        <v/>
      </c>
      <c r="X112" s="22"/>
      <c r="Y112" s="22"/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/>
      <c r="B113" s="22"/>
      <c r="C113" s="22"/>
      <c r="D113" s="22"/>
      <c r="E113" s="22"/>
      <c r="F113" s="23"/>
      <c r="G113" s="23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 t="str">
        <f t="shared" si="3"/>
        <v/>
      </c>
      <c xmlns="http://schemas.openxmlformats.org/spreadsheetml/2006/main" r="V113" s="22" t="str">
        <f t="shared" si="4"/>
        <v/>
      </c>
      <c xmlns="http://schemas.openxmlformats.org/spreadsheetml/2006/main" r="W113" s="18" t="str">
        <f t="shared" si="5"/>
        <v/>
      </c>
      <c r="X113" s="22"/>
      <c r="Y113" s="22"/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/>
      <c r="B114" s="22"/>
      <c r="C114" s="22"/>
      <c r="D114" s="22"/>
      <c r="E114" s="22"/>
      <c r="F114" s="23"/>
      <c r="G114" s="23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xmlns="http://schemas.openxmlformats.org/spreadsheetml/2006/main" r="U114" s="23" t="str">
        <f t="shared" si="3"/>
        <v/>
      </c>
      <c xmlns="http://schemas.openxmlformats.org/spreadsheetml/2006/main" r="V114" s="22" t="str">
        <f t="shared" si="4"/>
        <v/>
      </c>
      <c xmlns="http://schemas.openxmlformats.org/spreadsheetml/2006/main" r="W114" s="18" t="str">
        <f t="shared" si="5"/>
        <v/>
      </c>
      <c r="X114" s="22"/>
      <c r="Y114" s="22"/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/>
      <c r="B115" s="22"/>
      <c r="C115" s="22"/>
      <c r="D115" s="22"/>
      <c r="E115" s="22"/>
      <c r="F115" s="23"/>
      <c r="G115" s="23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xmlns="http://schemas.openxmlformats.org/spreadsheetml/2006/main" r="U115" s="23" t="str">
        <f t="shared" si="3"/>
        <v/>
      </c>
      <c xmlns="http://schemas.openxmlformats.org/spreadsheetml/2006/main" r="V115" s="22" t="str">
        <f t="shared" si="4"/>
        <v/>
      </c>
      <c xmlns="http://schemas.openxmlformats.org/spreadsheetml/2006/main" r="W115" s="18" t="str">
        <f t="shared" si="5"/>
        <v/>
      </c>
      <c r="X115" s="22"/>
      <c r="Y115" s="22"/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/>
      <c r="B116" s="22"/>
      <c r="C116" s="22"/>
      <c r="D116" s="22"/>
      <c r="E116" s="22"/>
      <c r="F116" s="23"/>
      <c r="G116" s="23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xmlns="http://schemas.openxmlformats.org/spreadsheetml/2006/main" r="U116" s="23" t="str">
        <f t="shared" si="3"/>
        <v/>
      </c>
      <c xmlns="http://schemas.openxmlformats.org/spreadsheetml/2006/main" r="V116" s="22" t="str">
        <f t="shared" si="4"/>
        <v/>
      </c>
      <c xmlns="http://schemas.openxmlformats.org/spreadsheetml/2006/main" r="W116" s="18" t="str">
        <f t="shared" si="5"/>
        <v/>
      </c>
      <c r="X116" s="22"/>
      <c r="Y116" s="22"/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/>
      <c r="B117" s="22"/>
      <c r="C117" s="22"/>
      <c r="D117" s="22"/>
      <c r="E117" s="22"/>
      <c r="F117" s="23"/>
      <c r="G117" s="23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 t="str">
        <f t="shared" si="3"/>
        <v/>
      </c>
      <c xmlns="http://schemas.openxmlformats.org/spreadsheetml/2006/main" r="V117" s="22" t="str">
        <f t="shared" si="4"/>
        <v/>
      </c>
      <c xmlns="http://schemas.openxmlformats.org/spreadsheetml/2006/main" r="W117" s="18" t="str">
        <f t="shared" si="5"/>
        <v/>
      </c>
      <c r="X117" s="22"/>
      <c r="Y117" s="22"/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/>
      <c r="B118" s="22"/>
      <c r="C118" s="22"/>
      <c r="D118" s="22"/>
      <c r="E118" s="22"/>
      <c r="F118" s="23"/>
      <c r="G118" s="23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xmlns="http://schemas.openxmlformats.org/spreadsheetml/2006/main" r="U118" s="23" t="str">
        <f t="shared" si="3"/>
        <v/>
      </c>
      <c xmlns="http://schemas.openxmlformats.org/spreadsheetml/2006/main" r="V118" s="22" t="str">
        <f t="shared" si="4"/>
        <v/>
      </c>
      <c xmlns="http://schemas.openxmlformats.org/spreadsheetml/2006/main" r="W118" s="18" t="str">
        <f t="shared" si="5"/>
        <v/>
      </c>
      <c r="X118" s="22"/>
      <c r="Y118" s="22"/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/>
      <c r="B119" s="22"/>
      <c r="C119" s="22"/>
      <c r="D119" s="22"/>
      <c r="E119" s="22"/>
      <c r="F119" s="23"/>
      <c r="G119" s="23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xmlns="http://schemas.openxmlformats.org/spreadsheetml/2006/main" r="U119" s="23" t="str">
        <f t="shared" si="3"/>
        <v/>
      </c>
      <c xmlns="http://schemas.openxmlformats.org/spreadsheetml/2006/main" r="V119" s="22" t="str">
        <f t="shared" si="4"/>
        <v/>
      </c>
      <c xmlns="http://schemas.openxmlformats.org/spreadsheetml/2006/main" r="W119" s="18" t="str">
        <f t="shared" si="5"/>
        <v/>
      </c>
      <c r="X119" s="22"/>
      <c r="Y119" s="22"/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/>
      <c r="B120" s="22"/>
      <c r="C120" s="22"/>
      <c r="D120" s="22"/>
      <c r="E120" s="22"/>
      <c r="F120" s="23"/>
      <c r="G120" s="23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 t="str">
        <f t="shared" si="3"/>
        <v/>
      </c>
      <c xmlns="http://schemas.openxmlformats.org/spreadsheetml/2006/main" r="V120" s="22" t="str">
        <f t="shared" si="4"/>
        <v/>
      </c>
      <c xmlns="http://schemas.openxmlformats.org/spreadsheetml/2006/main" r="W120" s="18" t="str">
        <f t="shared" si="5"/>
        <v/>
      </c>
      <c r="X120" s="22"/>
      <c r="Y120" s="22"/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/>
      <c r="B121" s="22"/>
      <c r="C121" s="22"/>
      <c r="D121" s="22"/>
      <c r="E121" s="22"/>
      <c r="F121" s="23"/>
      <c r="G121" s="23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xmlns="http://schemas.openxmlformats.org/spreadsheetml/2006/main" r="U121" s="23" t="str">
        <f t="shared" si="3"/>
        <v/>
      </c>
      <c xmlns="http://schemas.openxmlformats.org/spreadsheetml/2006/main" r="V121" s="22" t="str">
        <f t="shared" si="4"/>
        <v/>
      </c>
      <c xmlns="http://schemas.openxmlformats.org/spreadsheetml/2006/main" r="W121" s="18" t="str">
        <f t="shared" si="5"/>
        <v/>
      </c>
      <c r="X121" s="22"/>
      <c r="Y121" s="22"/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/>
      <c r="B122" s="22"/>
      <c r="C122" s="22"/>
      <c r="D122" s="22"/>
      <c r="E122" s="22"/>
      <c r="F122" s="23"/>
      <c r="G122" s="23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 t="str">
        <f t="shared" si="3"/>
        <v/>
      </c>
      <c xmlns="http://schemas.openxmlformats.org/spreadsheetml/2006/main" r="V122" s="22" t="str">
        <f t="shared" si="4"/>
        <v/>
      </c>
      <c xmlns="http://schemas.openxmlformats.org/spreadsheetml/2006/main" r="W122" s="18" t="str">
        <f t="shared" si="5"/>
        <v/>
      </c>
      <c r="X122" s="22"/>
      <c r="Y122" s="22"/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/>
      <c r="B123" s="22"/>
      <c r="C123" s="22"/>
      <c r="D123" s="22"/>
      <c r="E123" s="22"/>
      <c r="F123" s="23"/>
      <c r="G123" s="23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xmlns="http://schemas.openxmlformats.org/spreadsheetml/2006/main" r="U123" s="23" t="str">
        <f t="shared" si="3"/>
        <v/>
      </c>
      <c xmlns="http://schemas.openxmlformats.org/spreadsheetml/2006/main" r="V123" s="22" t="str">
        <f t="shared" si="4"/>
        <v/>
      </c>
      <c xmlns="http://schemas.openxmlformats.org/spreadsheetml/2006/main" r="W123" s="18" t="str">
        <f t="shared" si="5"/>
        <v/>
      </c>
      <c r="X123" s="22"/>
      <c r="Y123" s="22"/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/>
      <c r="B124" s="22"/>
      <c r="C124" s="22"/>
      <c r="D124" s="22"/>
      <c r="E124" s="22"/>
      <c r="F124" s="23"/>
      <c r="G124" s="23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xmlns="http://schemas.openxmlformats.org/spreadsheetml/2006/main" r="U124" s="23" t="str">
        <f t="shared" si="3"/>
        <v/>
      </c>
      <c xmlns="http://schemas.openxmlformats.org/spreadsheetml/2006/main" r="V124" s="22" t="str">
        <f t="shared" si="4"/>
        <v/>
      </c>
      <c xmlns="http://schemas.openxmlformats.org/spreadsheetml/2006/main" r="W124" s="18" t="str">
        <f t="shared" si="5"/>
        <v/>
      </c>
      <c r="X124" s="22"/>
      <c r="Y124" s="22"/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/>
      <c r="B125" s="22"/>
      <c r="C125" s="22"/>
      <c r="D125" s="22"/>
      <c r="E125" s="22"/>
      <c r="F125" s="23"/>
      <c r="G125" s="23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xmlns="http://schemas.openxmlformats.org/spreadsheetml/2006/main" r="U125" s="23" t="str">
        <f t="shared" si="3"/>
        <v/>
      </c>
      <c xmlns="http://schemas.openxmlformats.org/spreadsheetml/2006/main" r="V125" s="22" t="str">
        <f t="shared" si="4"/>
        <v/>
      </c>
      <c xmlns="http://schemas.openxmlformats.org/spreadsheetml/2006/main" r="W125" s="18" t="str">
        <f t="shared" si="5"/>
        <v/>
      </c>
      <c r="X125" s="22"/>
      <c r="Y125" s="22"/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/>
      <c r="B126" s="22"/>
      <c r="C126" s="22"/>
      <c r="D126" s="22"/>
      <c r="E126" s="22"/>
      <c r="F126" s="23"/>
      <c r="G126" s="23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xmlns="http://schemas.openxmlformats.org/spreadsheetml/2006/main" r="U126" s="23" t="str">
        <f t="shared" si="3"/>
        <v/>
      </c>
      <c xmlns="http://schemas.openxmlformats.org/spreadsheetml/2006/main" r="V126" s="22" t="str">
        <f t="shared" si="4"/>
        <v/>
      </c>
      <c xmlns="http://schemas.openxmlformats.org/spreadsheetml/2006/main" r="W126" s="18" t="str">
        <f t="shared" si="5"/>
        <v/>
      </c>
      <c r="X126" s="22"/>
      <c r="Y126" s="22"/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/>
      <c r="B127" s="22"/>
      <c r="C127" s="22"/>
      <c r="D127" s="22"/>
      <c r="E127" s="22"/>
      <c r="F127" s="23"/>
      <c r="G127" s="23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xmlns="http://schemas.openxmlformats.org/spreadsheetml/2006/main" r="U127" s="23" t="str">
        <f t="shared" si="3"/>
        <v/>
      </c>
      <c xmlns="http://schemas.openxmlformats.org/spreadsheetml/2006/main" r="V127" s="22" t="str">
        <f t="shared" si="4"/>
        <v/>
      </c>
      <c xmlns="http://schemas.openxmlformats.org/spreadsheetml/2006/main" r="W127" s="18" t="str">
        <f t="shared" si="5"/>
        <v/>
      </c>
      <c r="X127" s="22"/>
      <c r="Y127" s="22"/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/>
      <c r="B128" s="22"/>
      <c r="C128" s="22"/>
      <c r="D128" s="22"/>
      <c r="E128" s="22"/>
      <c r="F128" s="23"/>
      <c r="G128" s="23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xmlns="http://schemas.openxmlformats.org/spreadsheetml/2006/main" r="U128" s="23" t="str">
        <f t="shared" si="3"/>
        <v/>
      </c>
      <c xmlns="http://schemas.openxmlformats.org/spreadsheetml/2006/main" r="V128" s="22" t="str">
        <f t="shared" si="4"/>
        <v/>
      </c>
      <c xmlns="http://schemas.openxmlformats.org/spreadsheetml/2006/main" r="W128" s="18" t="str">
        <f t="shared" si="5"/>
        <v/>
      </c>
      <c r="X128" s="22"/>
      <c r="Y128" s="22"/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/>
      <c r="B129" s="22"/>
      <c r="C129" s="22"/>
      <c r="D129" s="22"/>
      <c r="E129" s="22"/>
      <c r="F129" s="23"/>
      <c r="G129" s="23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 t="str">
        <f t="shared" si="3"/>
        <v/>
      </c>
      <c xmlns="http://schemas.openxmlformats.org/spreadsheetml/2006/main" r="V129" s="22" t="str">
        <f t="shared" si="4"/>
        <v/>
      </c>
      <c xmlns="http://schemas.openxmlformats.org/spreadsheetml/2006/main" r="W129" s="18" t="str">
        <f t="shared" si="5"/>
        <v/>
      </c>
      <c r="X129" s="22"/>
      <c r="Y129" s="22"/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/>
      <c r="B130" s="22"/>
      <c r="C130" s="22"/>
      <c r="D130" s="22"/>
      <c r="E130" s="22"/>
      <c r="F130" s="23"/>
      <c r="G130" s="23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xmlns="http://schemas.openxmlformats.org/spreadsheetml/2006/main" r="U130" s="23" t="str">
        <f t="shared" si="3"/>
        <v/>
      </c>
      <c xmlns="http://schemas.openxmlformats.org/spreadsheetml/2006/main" r="V130" s="22" t="str">
        <f t="shared" si="4"/>
        <v/>
      </c>
      <c xmlns="http://schemas.openxmlformats.org/spreadsheetml/2006/main" r="W130" s="18" t="str">
        <f t="shared" si="5"/>
        <v/>
      </c>
      <c r="X130" s="22"/>
      <c r="Y130" s="22"/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/>
      <c r="B131" s="22"/>
      <c r="C131" s="22"/>
      <c r="D131" s="22"/>
      <c r="E131" s="22"/>
      <c r="F131" s="23"/>
      <c r="G131" s="23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xmlns="http://schemas.openxmlformats.org/spreadsheetml/2006/main" r="U131" s="23" t="str">
        <f t="shared" si="3"/>
        <v/>
      </c>
      <c xmlns="http://schemas.openxmlformats.org/spreadsheetml/2006/main" r="V131" s="22" t="str">
        <f t="shared" si="4"/>
        <v/>
      </c>
      <c xmlns="http://schemas.openxmlformats.org/spreadsheetml/2006/main" r="W131" s="18" t="str">
        <f t="shared" si="5"/>
        <v/>
      </c>
      <c r="X131" s="22"/>
      <c r="Y131" s="22"/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/>
      <c r="B132" s="22"/>
      <c r="C132" s="22"/>
      <c r="D132" s="22"/>
      <c r="E132" s="22"/>
      <c r="F132" s="23"/>
      <c r="G132" s="23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 t="str">
        <f t="shared" si="3"/>
        <v/>
      </c>
      <c xmlns="http://schemas.openxmlformats.org/spreadsheetml/2006/main" r="V132" s="22" t="str">
        <f t="shared" si="4"/>
        <v/>
      </c>
      <c xmlns="http://schemas.openxmlformats.org/spreadsheetml/2006/main" r="W132" s="18" t="str">
        <f t="shared" si="5"/>
        <v/>
      </c>
      <c r="X132" s="22"/>
      <c r="Y132" s="22"/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/>
      <c r="B133" s="22"/>
      <c r="C133" s="22"/>
      <c r="D133" s="22"/>
      <c r="E133" s="22"/>
      <c r="F133" s="23"/>
      <c r="G133" s="23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 t="str">
        <f t="shared" ref="U133:U196" si="6">IF($E133="","",COUNTIF($I133:$S133,"V"))</f>
        <v/>
      </c>
      <c xmlns="http://schemas.openxmlformats.org/spreadsheetml/2006/main" r="V133" s="22" t="str">
        <f t="shared" ref="V133:V196" si="7">IF($E133="","",IF(AND($T133="V",$U133&gt;0),"⚠ 勾選矛盾",IF($T133="V","○ 免調理",IF($U133=0,"⚠ 資料缺漏",IF($U133=1,"▲ 單一設備依賴","OK")))))</f>
        <v/>
      </c>
      <c xmlns="http://schemas.openxmlformats.org/spreadsheetml/2006/main" r="W133" s="18" t="str">
        <f t="shared" ref="W133:W196" si="8">IF($E133="","",IF(AND($T133="V",$U133&gt;0),"「無使用調理設備」不可與設備欄同時勾選，請擇一修正",IF($T133="V","免調理半成品（外購/僅切配等），不列入設備風險評估",IF($U133=0,"未勾選任何設備，請補填或勾選「無使用調理設備」",IF($U133=1,"僅依賴1台設備，須確認故障/排修時之備援製程","無異常")))))</f>
        <v/>
      </c>
      <c r="X133" s="22"/>
      <c r="Y133" s="22"/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/>
      <c r="B134" s="22"/>
      <c r="C134" s="22"/>
      <c r="D134" s="22"/>
      <c r="E134" s="22"/>
      <c r="F134" s="23"/>
      <c r="G134" s="23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xmlns="http://schemas.openxmlformats.org/spreadsheetml/2006/main" r="U134" s="23" t="str">
        <f t="shared" si="6"/>
        <v/>
      </c>
      <c xmlns="http://schemas.openxmlformats.org/spreadsheetml/2006/main" r="V134" s="22" t="str">
        <f t="shared" si="7"/>
        <v/>
      </c>
      <c xmlns="http://schemas.openxmlformats.org/spreadsheetml/2006/main" r="W134" s="18" t="str">
        <f t="shared" si="8"/>
        <v/>
      </c>
      <c r="X134" s="22"/>
      <c r="Y134" s="22"/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/>
      <c r="B135" s="22"/>
      <c r="C135" s="22"/>
      <c r="D135" s="22"/>
      <c r="E135" s="22"/>
      <c r="F135" s="23"/>
      <c r="G135" s="23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 t="str">
        <f t="shared" si="6"/>
        <v/>
      </c>
      <c xmlns="http://schemas.openxmlformats.org/spreadsheetml/2006/main" r="V135" s="22" t="str">
        <f t="shared" si="7"/>
        <v/>
      </c>
      <c xmlns="http://schemas.openxmlformats.org/spreadsheetml/2006/main" r="W135" s="18" t="str">
        <f t="shared" si="8"/>
        <v/>
      </c>
      <c r="X135" s="22"/>
      <c r="Y135" s="22"/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/>
      <c r="B136" s="22"/>
      <c r="C136" s="22"/>
      <c r="D136" s="22"/>
      <c r="E136" s="22"/>
      <c r="F136" s="23"/>
      <c r="G136" s="23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 t="str">
        <f t="shared" si="6"/>
        <v/>
      </c>
      <c xmlns="http://schemas.openxmlformats.org/spreadsheetml/2006/main" r="V136" s="22" t="str">
        <f t="shared" si="7"/>
        <v/>
      </c>
      <c xmlns="http://schemas.openxmlformats.org/spreadsheetml/2006/main" r="W136" s="18" t="str">
        <f t="shared" si="8"/>
        <v/>
      </c>
      <c r="X136" s="22"/>
      <c r="Y136" s="22"/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/>
      <c r="B137" s="22"/>
      <c r="C137" s="22"/>
      <c r="D137" s="22"/>
      <c r="E137" s="22"/>
      <c r="F137" s="23"/>
      <c r="G137" s="23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xmlns="http://schemas.openxmlformats.org/spreadsheetml/2006/main" r="U137" s="23" t="str">
        <f t="shared" si="6"/>
        <v/>
      </c>
      <c xmlns="http://schemas.openxmlformats.org/spreadsheetml/2006/main" r="V137" s="22" t="str">
        <f t="shared" si="7"/>
        <v/>
      </c>
      <c xmlns="http://schemas.openxmlformats.org/spreadsheetml/2006/main" r="W137" s="18" t="str">
        <f t="shared" si="8"/>
        <v/>
      </c>
      <c r="X137" s="22"/>
      <c r="Y137" s="22"/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/>
      <c r="B138" s="22"/>
      <c r="C138" s="22"/>
      <c r="D138" s="22"/>
      <c r="E138" s="22"/>
      <c r="F138" s="23"/>
      <c r="G138" s="23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 t="str">
        <f t="shared" si="6"/>
        <v/>
      </c>
      <c xmlns="http://schemas.openxmlformats.org/spreadsheetml/2006/main" r="V138" s="22" t="str">
        <f t="shared" si="7"/>
        <v/>
      </c>
      <c xmlns="http://schemas.openxmlformats.org/spreadsheetml/2006/main" r="W138" s="18" t="str">
        <f t="shared" si="8"/>
        <v/>
      </c>
      <c r="X138" s="22"/>
      <c r="Y138" s="22"/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/>
      <c r="B139" s="22"/>
      <c r="C139" s="22"/>
      <c r="D139" s="22"/>
      <c r="E139" s="22"/>
      <c r="F139" s="23"/>
      <c r="G139" s="23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 t="str">
        <f t="shared" si="6"/>
        <v/>
      </c>
      <c xmlns="http://schemas.openxmlformats.org/spreadsheetml/2006/main" r="V139" s="22" t="str">
        <f t="shared" si="7"/>
        <v/>
      </c>
      <c xmlns="http://schemas.openxmlformats.org/spreadsheetml/2006/main" r="W139" s="18" t="str">
        <f t="shared" si="8"/>
        <v/>
      </c>
      <c r="X139" s="22"/>
      <c r="Y139" s="22"/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/>
      <c r="B140" s="22"/>
      <c r="C140" s="22"/>
      <c r="D140" s="22"/>
      <c r="E140" s="22"/>
      <c r="F140" s="23"/>
      <c r="G140" s="23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 t="str">
        <f t="shared" si="6"/>
        <v/>
      </c>
      <c xmlns="http://schemas.openxmlformats.org/spreadsheetml/2006/main" r="V140" s="22" t="str">
        <f t="shared" si="7"/>
        <v/>
      </c>
      <c xmlns="http://schemas.openxmlformats.org/spreadsheetml/2006/main" r="W140" s="18" t="str">
        <f t="shared" si="8"/>
        <v/>
      </c>
      <c r="X140" s="22"/>
      <c r="Y140" s="22"/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/>
      <c r="B141" s="22"/>
      <c r="C141" s="22"/>
      <c r="D141" s="22"/>
      <c r="E141" s="22"/>
      <c r="F141" s="23"/>
      <c r="G141" s="23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xmlns="http://schemas.openxmlformats.org/spreadsheetml/2006/main" r="U141" s="23" t="str">
        <f t="shared" si="6"/>
        <v/>
      </c>
      <c xmlns="http://schemas.openxmlformats.org/spreadsheetml/2006/main" r="V141" s="22" t="str">
        <f t="shared" si="7"/>
        <v/>
      </c>
      <c xmlns="http://schemas.openxmlformats.org/spreadsheetml/2006/main" r="W141" s="18" t="str">
        <f t="shared" si="8"/>
        <v/>
      </c>
      <c r="X141" s="22"/>
      <c r="Y141" s="22"/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/>
      <c r="B142" s="22"/>
      <c r="C142" s="22"/>
      <c r="D142" s="22"/>
      <c r="E142" s="22"/>
      <c r="F142" s="23"/>
      <c r="G142" s="23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xmlns="http://schemas.openxmlformats.org/spreadsheetml/2006/main" r="U142" s="23" t="str">
        <f t="shared" si="6"/>
        <v/>
      </c>
      <c xmlns="http://schemas.openxmlformats.org/spreadsheetml/2006/main" r="V142" s="22" t="str">
        <f t="shared" si="7"/>
        <v/>
      </c>
      <c xmlns="http://schemas.openxmlformats.org/spreadsheetml/2006/main" r="W142" s="18" t="str">
        <f t="shared" si="8"/>
        <v/>
      </c>
      <c r="X142" s="22"/>
      <c r="Y142" s="22"/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/>
      <c r="B143" s="22"/>
      <c r="C143" s="22"/>
      <c r="D143" s="22"/>
      <c r="E143" s="22"/>
      <c r="F143" s="23"/>
      <c r="G143" s="23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xmlns="http://schemas.openxmlformats.org/spreadsheetml/2006/main" r="U143" s="23" t="str">
        <f t="shared" si="6"/>
        <v/>
      </c>
      <c xmlns="http://schemas.openxmlformats.org/spreadsheetml/2006/main" r="V143" s="22" t="str">
        <f t="shared" si="7"/>
        <v/>
      </c>
      <c xmlns="http://schemas.openxmlformats.org/spreadsheetml/2006/main" r="W143" s="18" t="str">
        <f t="shared" si="8"/>
        <v/>
      </c>
      <c r="X143" s="22"/>
      <c r="Y143" s="22"/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/>
      <c r="B144" s="22"/>
      <c r="C144" s="22"/>
      <c r="D144" s="22"/>
      <c r="E144" s="22"/>
      <c r="F144" s="23"/>
      <c r="G144" s="23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 t="str">
        <f t="shared" si="6"/>
        <v/>
      </c>
      <c xmlns="http://schemas.openxmlformats.org/spreadsheetml/2006/main" r="V144" s="22" t="str">
        <f t="shared" si="7"/>
        <v/>
      </c>
      <c xmlns="http://schemas.openxmlformats.org/spreadsheetml/2006/main" r="W144" s="18" t="str">
        <f t="shared" si="8"/>
        <v/>
      </c>
      <c r="X144" s="22"/>
      <c r="Y144" s="22"/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/>
      <c r="B145" s="22"/>
      <c r="C145" s="22"/>
      <c r="D145" s="22"/>
      <c r="E145" s="22"/>
      <c r="F145" s="23"/>
      <c r="G145" s="23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xmlns="http://schemas.openxmlformats.org/spreadsheetml/2006/main" r="U145" s="23" t="str">
        <f t="shared" si="6"/>
        <v/>
      </c>
      <c xmlns="http://schemas.openxmlformats.org/spreadsheetml/2006/main" r="V145" s="22" t="str">
        <f t="shared" si="7"/>
        <v/>
      </c>
      <c xmlns="http://schemas.openxmlformats.org/spreadsheetml/2006/main" r="W145" s="18" t="str">
        <f t="shared" si="8"/>
        <v/>
      </c>
      <c r="X145" s="22"/>
      <c r="Y145" s="22"/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/>
      <c r="B146" s="22"/>
      <c r="C146" s="22"/>
      <c r="D146" s="22"/>
      <c r="E146" s="22"/>
      <c r="F146" s="23"/>
      <c r="G146" s="23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xmlns="http://schemas.openxmlformats.org/spreadsheetml/2006/main" r="U146" s="23" t="str">
        <f t="shared" si="6"/>
        <v/>
      </c>
      <c xmlns="http://schemas.openxmlformats.org/spreadsheetml/2006/main" r="V146" s="22" t="str">
        <f t="shared" si="7"/>
        <v/>
      </c>
      <c xmlns="http://schemas.openxmlformats.org/spreadsheetml/2006/main" r="W146" s="18" t="str">
        <f t="shared" si="8"/>
        <v/>
      </c>
      <c r="X146" s="22"/>
      <c r="Y146" s="22"/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/>
      <c r="B147" s="22"/>
      <c r="C147" s="22"/>
      <c r="D147" s="22"/>
      <c r="E147" s="22"/>
      <c r="F147" s="23"/>
      <c r="G147" s="23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 t="str">
        <f t="shared" si="6"/>
        <v/>
      </c>
      <c xmlns="http://schemas.openxmlformats.org/spreadsheetml/2006/main" r="V147" s="22" t="str">
        <f t="shared" si="7"/>
        <v/>
      </c>
      <c xmlns="http://schemas.openxmlformats.org/spreadsheetml/2006/main" r="W147" s="18" t="str">
        <f t="shared" si="8"/>
        <v/>
      </c>
      <c r="X147" s="22"/>
      <c r="Y147" s="22"/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/>
      <c r="B148" s="22"/>
      <c r="C148" s="22"/>
      <c r="D148" s="22"/>
      <c r="E148" s="22"/>
      <c r="F148" s="23"/>
      <c r="G148" s="23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xmlns="http://schemas.openxmlformats.org/spreadsheetml/2006/main" r="U148" s="23" t="str">
        <f t="shared" si="6"/>
        <v/>
      </c>
      <c xmlns="http://schemas.openxmlformats.org/spreadsheetml/2006/main" r="V148" s="22" t="str">
        <f t="shared" si="7"/>
        <v/>
      </c>
      <c xmlns="http://schemas.openxmlformats.org/spreadsheetml/2006/main" r="W148" s="18" t="str">
        <f t="shared" si="8"/>
        <v/>
      </c>
      <c r="X148" s="22"/>
      <c r="Y148" s="22"/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/>
      <c r="B149" s="22"/>
      <c r="C149" s="22"/>
      <c r="D149" s="22"/>
      <c r="E149" s="22"/>
      <c r="F149" s="23"/>
      <c r="G149" s="23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xmlns="http://schemas.openxmlformats.org/spreadsheetml/2006/main" r="U149" s="23" t="str">
        <f t="shared" si="6"/>
        <v/>
      </c>
      <c xmlns="http://schemas.openxmlformats.org/spreadsheetml/2006/main" r="V149" s="22" t="str">
        <f t="shared" si="7"/>
        <v/>
      </c>
      <c xmlns="http://schemas.openxmlformats.org/spreadsheetml/2006/main" r="W149" s="18" t="str">
        <f t="shared" si="8"/>
        <v/>
      </c>
      <c r="X149" s="22"/>
      <c r="Y149" s="22"/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/>
      <c r="B150" s="22"/>
      <c r="C150" s="22"/>
      <c r="D150" s="22"/>
      <c r="E150" s="22"/>
      <c r="F150" s="23"/>
      <c r="G150" s="23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 t="str">
        <f t="shared" si="6"/>
        <v/>
      </c>
      <c xmlns="http://schemas.openxmlformats.org/spreadsheetml/2006/main" r="V150" s="22" t="str">
        <f t="shared" si="7"/>
        <v/>
      </c>
      <c xmlns="http://schemas.openxmlformats.org/spreadsheetml/2006/main" r="W150" s="18" t="str">
        <f t="shared" si="8"/>
        <v/>
      </c>
      <c r="X150" s="22"/>
      <c r="Y150" s="22"/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/>
      <c r="B151" s="22"/>
      <c r="C151" s="22"/>
      <c r="D151" s="22"/>
      <c r="E151" s="22"/>
      <c r="F151" s="23"/>
      <c r="G151" s="23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xmlns="http://schemas.openxmlformats.org/spreadsheetml/2006/main" r="U151" s="23" t="str">
        <f t="shared" si="6"/>
        <v/>
      </c>
      <c xmlns="http://schemas.openxmlformats.org/spreadsheetml/2006/main" r="V151" s="22" t="str">
        <f t="shared" si="7"/>
        <v/>
      </c>
      <c xmlns="http://schemas.openxmlformats.org/spreadsheetml/2006/main" r="W151" s="18" t="str">
        <f t="shared" si="8"/>
        <v/>
      </c>
      <c r="X151" s="22"/>
      <c r="Y151" s="22"/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/>
      <c r="B152" s="22"/>
      <c r="C152" s="22"/>
      <c r="D152" s="22"/>
      <c r="E152" s="22"/>
      <c r="F152" s="23"/>
      <c r="G152" s="23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 t="str">
        <f t="shared" si="6"/>
        <v/>
      </c>
      <c xmlns="http://schemas.openxmlformats.org/spreadsheetml/2006/main" r="V152" s="22" t="str">
        <f t="shared" si="7"/>
        <v/>
      </c>
      <c xmlns="http://schemas.openxmlformats.org/spreadsheetml/2006/main" r="W152" s="18" t="str">
        <f t="shared" si="8"/>
        <v/>
      </c>
      <c r="X152" s="22"/>
      <c r="Y152" s="22"/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 t="str">
        <f t="shared" si="6"/>
        <v/>
      </c>
      <c xmlns="http://schemas.openxmlformats.org/spreadsheetml/2006/main" r="V153" s="22" t="str">
        <f t="shared" si="7"/>
        <v/>
      </c>
      <c xmlns="http://schemas.openxmlformats.org/spreadsheetml/2006/main" r="W153" s="18" t="str">
        <f t="shared" si="8"/>
        <v/>
      </c>
      <c r="X153" s="22"/>
      <c r="Y153" s="22"/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 t="str">
        <f t="shared" si="6"/>
        <v/>
      </c>
      <c xmlns="http://schemas.openxmlformats.org/spreadsheetml/2006/main" r="V154" s="22" t="str">
        <f t="shared" si="7"/>
        <v/>
      </c>
      <c xmlns="http://schemas.openxmlformats.org/spreadsheetml/2006/main" r="W154" s="18" t="str">
        <f t="shared" si="8"/>
        <v/>
      </c>
      <c r="X154" s="22"/>
      <c r="Y154" s="22"/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xmlns="http://schemas.openxmlformats.org/spreadsheetml/2006/main" r="U155" s="23" t="str">
        <f t="shared" si="6"/>
        <v/>
      </c>
      <c xmlns="http://schemas.openxmlformats.org/spreadsheetml/2006/main" r="V155" s="22" t="str">
        <f t="shared" si="7"/>
        <v/>
      </c>
      <c xmlns="http://schemas.openxmlformats.org/spreadsheetml/2006/main" r="W155" s="18" t="str">
        <f t="shared" si="8"/>
        <v/>
      </c>
      <c r="X155" s="22"/>
      <c r="Y155" s="22"/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 t="str">
        <f t="shared" si="6"/>
        <v/>
      </c>
      <c xmlns="http://schemas.openxmlformats.org/spreadsheetml/2006/main" r="V156" s="22" t="str">
        <f t="shared" si="7"/>
        <v/>
      </c>
      <c xmlns="http://schemas.openxmlformats.org/spreadsheetml/2006/main" r="W156" s="18" t="str">
        <f t="shared" si="8"/>
        <v/>
      </c>
      <c r="X156" s="22"/>
      <c r="Y156" s="22"/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 t="str">
        <f t="shared" si="6"/>
        <v/>
      </c>
      <c xmlns="http://schemas.openxmlformats.org/spreadsheetml/2006/main" r="V157" s="22" t="str">
        <f t="shared" si="7"/>
        <v/>
      </c>
      <c xmlns="http://schemas.openxmlformats.org/spreadsheetml/2006/main" r="W157" s="18" t="str">
        <f t="shared" si="8"/>
        <v/>
      </c>
      <c r="X157" s="22"/>
      <c r="Y157" s="22"/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 t="str">
        <f t="shared" si="6"/>
        <v/>
      </c>
      <c xmlns="http://schemas.openxmlformats.org/spreadsheetml/2006/main" r="V158" s="22" t="str">
        <f t="shared" si="7"/>
        <v/>
      </c>
      <c xmlns="http://schemas.openxmlformats.org/spreadsheetml/2006/main" r="W158" s="18" t="str">
        <f t="shared" si="8"/>
        <v/>
      </c>
      <c r="X158" s="22"/>
      <c r="Y158" s="22"/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xmlns="http://schemas.openxmlformats.org/spreadsheetml/2006/main" r="U159" s="23" t="str">
        <f t="shared" si="6"/>
        <v/>
      </c>
      <c xmlns="http://schemas.openxmlformats.org/spreadsheetml/2006/main" r="V159" s="22" t="str">
        <f t="shared" si="7"/>
        <v/>
      </c>
      <c xmlns="http://schemas.openxmlformats.org/spreadsheetml/2006/main" r="W159" s="18" t="str">
        <f t="shared" si="8"/>
        <v/>
      </c>
      <c r="X159" s="22"/>
      <c r="Y159" s="22"/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xmlns="http://schemas.openxmlformats.org/spreadsheetml/2006/main" r="U160" s="23" t="str">
        <f t="shared" si="6"/>
        <v/>
      </c>
      <c xmlns="http://schemas.openxmlformats.org/spreadsheetml/2006/main" r="V160" s="22" t="str">
        <f t="shared" si="7"/>
        <v/>
      </c>
      <c xmlns="http://schemas.openxmlformats.org/spreadsheetml/2006/main" r="W160" s="18" t="str">
        <f t="shared" si="8"/>
        <v/>
      </c>
      <c r="X160" s="22"/>
      <c r="Y160" s="22"/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 t="str">
        <f t="shared" si="6"/>
        <v/>
      </c>
      <c xmlns="http://schemas.openxmlformats.org/spreadsheetml/2006/main" r="V161" s="22" t="str">
        <f t="shared" si="7"/>
        <v/>
      </c>
      <c xmlns="http://schemas.openxmlformats.org/spreadsheetml/2006/main" r="W161" s="18" t="str">
        <f t="shared" si="8"/>
        <v/>
      </c>
      <c r="X161" s="22"/>
      <c r="Y161" s="22"/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xmlns="http://schemas.openxmlformats.org/spreadsheetml/2006/main" r="U162" s="23" t="str">
        <f t="shared" si="6"/>
        <v/>
      </c>
      <c xmlns="http://schemas.openxmlformats.org/spreadsheetml/2006/main" r="V162" s="22" t="str">
        <f t="shared" si="7"/>
        <v/>
      </c>
      <c xmlns="http://schemas.openxmlformats.org/spreadsheetml/2006/main" r="W162" s="18" t="str">
        <f t="shared" si="8"/>
        <v/>
      </c>
      <c r="X162" s="22"/>
      <c r="Y162" s="22"/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xmlns="http://schemas.openxmlformats.org/spreadsheetml/2006/main" r="U163" s="23" t="str">
        <f t="shared" si="6"/>
        <v/>
      </c>
      <c xmlns="http://schemas.openxmlformats.org/spreadsheetml/2006/main" r="V163" s="22" t="str">
        <f t="shared" si="7"/>
        <v/>
      </c>
      <c xmlns="http://schemas.openxmlformats.org/spreadsheetml/2006/main" r="W163" s="18" t="str">
        <f t="shared" si="8"/>
        <v/>
      </c>
      <c r="X163" s="22"/>
      <c r="Y163" s="22"/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xmlns="http://schemas.openxmlformats.org/spreadsheetml/2006/main" r="U164" s="23" t="str">
        <f t="shared" si="6"/>
        <v/>
      </c>
      <c xmlns="http://schemas.openxmlformats.org/spreadsheetml/2006/main" r="V164" s="22" t="str">
        <f t="shared" si="7"/>
        <v/>
      </c>
      <c xmlns="http://schemas.openxmlformats.org/spreadsheetml/2006/main" r="W164" s="18" t="str">
        <f t="shared" si="8"/>
        <v/>
      </c>
      <c r="X164" s="22"/>
      <c r="Y164" s="22"/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xmlns="http://schemas.openxmlformats.org/spreadsheetml/2006/main" r="U165" s="23" t="str">
        <f t="shared" si="6"/>
        <v/>
      </c>
      <c xmlns="http://schemas.openxmlformats.org/spreadsheetml/2006/main" r="V165" s="22" t="str">
        <f t="shared" si="7"/>
        <v/>
      </c>
      <c xmlns="http://schemas.openxmlformats.org/spreadsheetml/2006/main" r="W165" s="18" t="str">
        <f t="shared" si="8"/>
        <v/>
      </c>
      <c r="X165" s="22"/>
      <c r="Y165" s="22"/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xmlns="http://schemas.openxmlformats.org/spreadsheetml/2006/main" r="U166" s="23" t="str">
        <f t="shared" si="6"/>
        <v/>
      </c>
      <c xmlns="http://schemas.openxmlformats.org/spreadsheetml/2006/main" r="V166" s="22" t="str">
        <f t="shared" si="7"/>
        <v/>
      </c>
      <c xmlns="http://schemas.openxmlformats.org/spreadsheetml/2006/main" r="W166" s="18" t="str">
        <f t="shared" si="8"/>
        <v/>
      </c>
      <c r="X166" s="22"/>
      <c r="Y166" s="22"/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 t="str">
        <f t="shared" si="6"/>
        <v/>
      </c>
      <c xmlns="http://schemas.openxmlformats.org/spreadsheetml/2006/main" r="V167" s="22" t="str">
        <f t="shared" si="7"/>
        <v/>
      </c>
      <c xmlns="http://schemas.openxmlformats.org/spreadsheetml/2006/main" r="W167" s="18" t="str">
        <f t="shared" si="8"/>
        <v/>
      </c>
      <c r="X167" s="22"/>
      <c r="Y167" s="22"/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xmlns="http://schemas.openxmlformats.org/spreadsheetml/2006/main" r="U168" s="23" t="str">
        <f t="shared" si="6"/>
        <v/>
      </c>
      <c xmlns="http://schemas.openxmlformats.org/spreadsheetml/2006/main" r="V168" s="22" t="str">
        <f t="shared" si="7"/>
        <v/>
      </c>
      <c xmlns="http://schemas.openxmlformats.org/spreadsheetml/2006/main" r="W168" s="18" t="str">
        <f t="shared" si="8"/>
        <v/>
      </c>
      <c r="X168" s="22"/>
      <c r="Y168" s="22"/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xmlns="http://schemas.openxmlformats.org/spreadsheetml/2006/main" r="U169" s="23" t="str">
        <f t="shared" si="6"/>
        <v/>
      </c>
      <c xmlns="http://schemas.openxmlformats.org/spreadsheetml/2006/main" r="V169" s="22" t="str">
        <f t="shared" si="7"/>
        <v/>
      </c>
      <c xmlns="http://schemas.openxmlformats.org/spreadsheetml/2006/main" r="W169" s="18" t="str">
        <f t="shared" si="8"/>
        <v/>
      </c>
      <c r="X169" s="22"/>
      <c r="Y169" s="22"/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6"/>
        <v/>
      </c>
      <c xmlns="http://schemas.openxmlformats.org/spreadsheetml/2006/main" r="V170" s="22" t="str">
        <f t="shared" si="7"/>
        <v/>
      </c>
      <c xmlns="http://schemas.openxmlformats.org/spreadsheetml/2006/main" r="W170" s="18" t="str">
        <f t="shared" si="8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6"/>
        <v/>
      </c>
      <c xmlns="http://schemas.openxmlformats.org/spreadsheetml/2006/main" r="V171" s="22" t="str">
        <f t="shared" si="7"/>
        <v/>
      </c>
      <c xmlns="http://schemas.openxmlformats.org/spreadsheetml/2006/main" r="W171" s="18" t="str">
        <f t="shared" si="8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6"/>
        <v/>
      </c>
      <c xmlns="http://schemas.openxmlformats.org/spreadsheetml/2006/main" r="V172" s="22" t="str">
        <f t="shared" si="7"/>
        <v/>
      </c>
      <c xmlns="http://schemas.openxmlformats.org/spreadsheetml/2006/main" r="W172" s="18" t="str">
        <f t="shared" si="8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6"/>
        <v/>
      </c>
      <c xmlns="http://schemas.openxmlformats.org/spreadsheetml/2006/main" r="V173" s="22" t="str">
        <f t="shared" si="7"/>
        <v/>
      </c>
      <c xmlns="http://schemas.openxmlformats.org/spreadsheetml/2006/main" r="W173" s="18" t="str">
        <f t="shared" si="8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6"/>
        <v/>
      </c>
      <c xmlns="http://schemas.openxmlformats.org/spreadsheetml/2006/main" r="V174" s="22" t="str">
        <f t="shared" si="7"/>
        <v/>
      </c>
      <c xmlns="http://schemas.openxmlformats.org/spreadsheetml/2006/main" r="W174" s="18" t="str">
        <f t="shared" si="8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6"/>
        <v/>
      </c>
      <c xmlns="http://schemas.openxmlformats.org/spreadsheetml/2006/main" r="V175" s="22" t="str">
        <f t="shared" si="7"/>
        <v/>
      </c>
      <c xmlns="http://schemas.openxmlformats.org/spreadsheetml/2006/main" r="W175" s="18" t="str">
        <f t="shared" si="8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6"/>
        <v/>
      </c>
      <c xmlns="http://schemas.openxmlformats.org/spreadsheetml/2006/main" r="V176" s="22" t="str">
        <f t="shared" si="7"/>
        <v/>
      </c>
      <c xmlns="http://schemas.openxmlformats.org/spreadsheetml/2006/main" r="W176" s="18" t="str">
        <f t="shared" si="8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6"/>
        <v/>
      </c>
      <c xmlns="http://schemas.openxmlformats.org/spreadsheetml/2006/main" r="V177" s="22" t="str">
        <f t="shared" si="7"/>
        <v/>
      </c>
      <c xmlns="http://schemas.openxmlformats.org/spreadsheetml/2006/main" r="W177" s="18" t="str">
        <f t="shared" si="8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6"/>
        <v/>
      </c>
      <c xmlns="http://schemas.openxmlformats.org/spreadsheetml/2006/main" r="V178" s="22" t="str">
        <f t="shared" si="7"/>
        <v/>
      </c>
      <c xmlns="http://schemas.openxmlformats.org/spreadsheetml/2006/main" r="W178" s="18" t="str">
        <f t="shared" si="8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6"/>
        <v/>
      </c>
      <c xmlns="http://schemas.openxmlformats.org/spreadsheetml/2006/main" r="V179" s="22" t="str">
        <f t="shared" si="7"/>
        <v/>
      </c>
      <c xmlns="http://schemas.openxmlformats.org/spreadsheetml/2006/main" r="W179" s="18" t="str">
        <f t="shared" si="8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6"/>
        <v/>
      </c>
      <c xmlns="http://schemas.openxmlformats.org/spreadsheetml/2006/main" r="V180" s="22" t="str">
        <f t="shared" si="7"/>
        <v/>
      </c>
      <c xmlns="http://schemas.openxmlformats.org/spreadsheetml/2006/main" r="W180" s="18" t="str">
        <f t="shared" si="8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6"/>
        <v/>
      </c>
      <c xmlns="http://schemas.openxmlformats.org/spreadsheetml/2006/main" r="V181" s="22" t="str">
        <f t="shared" si="7"/>
        <v/>
      </c>
      <c xmlns="http://schemas.openxmlformats.org/spreadsheetml/2006/main" r="W181" s="18" t="str">
        <f t="shared" si="8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6"/>
        <v/>
      </c>
      <c xmlns="http://schemas.openxmlformats.org/spreadsheetml/2006/main" r="V182" s="22" t="str">
        <f t="shared" si="7"/>
        <v/>
      </c>
      <c xmlns="http://schemas.openxmlformats.org/spreadsheetml/2006/main" r="W182" s="18" t="str">
        <f t="shared" si="8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6"/>
        <v/>
      </c>
      <c xmlns="http://schemas.openxmlformats.org/spreadsheetml/2006/main" r="V183" s="22" t="str">
        <f t="shared" si="7"/>
        <v/>
      </c>
      <c xmlns="http://schemas.openxmlformats.org/spreadsheetml/2006/main" r="W183" s="18" t="str">
        <f t="shared" si="8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6"/>
        <v/>
      </c>
      <c xmlns="http://schemas.openxmlformats.org/spreadsheetml/2006/main" r="V184" s="22" t="str">
        <f t="shared" si="7"/>
        <v/>
      </c>
      <c xmlns="http://schemas.openxmlformats.org/spreadsheetml/2006/main" r="W184" s="18" t="str">
        <f t="shared" si="8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si="6"/>
        <v/>
      </c>
      <c xmlns="http://schemas.openxmlformats.org/spreadsheetml/2006/main" r="V185" s="22" t="str">
        <f t="shared" si="7"/>
        <v/>
      </c>
      <c xmlns="http://schemas.openxmlformats.org/spreadsheetml/2006/main" r="W185" s="18" t="str">
        <f t="shared" si="8"/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6"/>
        <v/>
      </c>
      <c xmlns="http://schemas.openxmlformats.org/spreadsheetml/2006/main" r="V186" s="22" t="str">
        <f t="shared" si="7"/>
        <v/>
      </c>
      <c xmlns="http://schemas.openxmlformats.org/spreadsheetml/2006/main" r="W186" s="18" t="str">
        <f t="shared" si="8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6"/>
        <v/>
      </c>
      <c xmlns="http://schemas.openxmlformats.org/spreadsheetml/2006/main" r="V187" s="22" t="str">
        <f t="shared" si="7"/>
        <v/>
      </c>
      <c xmlns="http://schemas.openxmlformats.org/spreadsheetml/2006/main" r="W187" s="18" t="str">
        <f t="shared" si="8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6"/>
        <v/>
      </c>
      <c xmlns="http://schemas.openxmlformats.org/spreadsheetml/2006/main" r="V188" s="22" t="str">
        <f t="shared" si="7"/>
        <v/>
      </c>
      <c xmlns="http://schemas.openxmlformats.org/spreadsheetml/2006/main" r="W188" s="18" t="str">
        <f t="shared" si="8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6"/>
        <v/>
      </c>
      <c xmlns="http://schemas.openxmlformats.org/spreadsheetml/2006/main" r="V189" s="22" t="str">
        <f t="shared" si="7"/>
        <v/>
      </c>
      <c xmlns="http://schemas.openxmlformats.org/spreadsheetml/2006/main" r="W189" s="18" t="str">
        <f t="shared" si="8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6"/>
        <v/>
      </c>
      <c xmlns="http://schemas.openxmlformats.org/spreadsheetml/2006/main" r="V190" s="22" t="str">
        <f t="shared" si="7"/>
        <v/>
      </c>
      <c xmlns="http://schemas.openxmlformats.org/spreadsheetml/2006/main" r="W190" s="18" t="str">
        <f t="shared" si="8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6"/>
        <v/>
      </c>
      <c xmlns="http://schemas.openxmlformats.org/spreadsheetml/2006/main" r="V191" s="22" t="str">
        <f t="shared" si="7"/>
        <v/>
      </c>
      <c xmlns="http://schemas.openxmlformats.org/spreadsheetml/2006/main" r="W191" s="18" t="str">
        <f t="shared" si="8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6"/>
        <v/>
      </c>
      <c xmlns="http://schemas.openxmlformats.org/spreadsheetml/2006/main" r="V192" s="22" t="str">
        <f t="shared" si="7"/>
        <v/>
      </c>
      <c xmlns="http://schemas.openxmlformats.org/spreadsheetml/2006/main" r="W192" s="18" t="str">
        <f t="shared" si="8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6"/>
        <v/>
      </c>
      <c xmlns="http://schemas.openxmlformats.org/spreadsheetml/2006/main" r="V193" s="22" t="str">
        <f t="shared" si="7"/>
        <v/>
      </c>
      <c xmlns="http://schemas.openxmlformats.org/spreadsheetml/2006/main" r="W193" s="18" t="str">
        <f t="shared" si="8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6"/>
        <v/>
      </c>
      <c xmlns="http://schemas.openxmlformats.org/spreadsheetml/2006/main" r="V194" s="22" t="str">
        <f t="shared" si="7"/>
        <v/>
      </c>
      <c xmlns="http://schemas.openxmlformats.org/spreadsheetml/2006/main" r="W194" s="18" t="str">
        <f t="shared" si="8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6"/>
        <v/>
      </c>
      <c xmlns="http://schemas.openxmlformats.org/spreadsheetml/2006/main" r="V195" s="22" t="str">
        <f t="shared" si="7"/>
        <v/>
      </c>
      <c xmlns="http://schemas.openxmlformats.org/spreadsheetml/2006/main" r="W195" s="18" t="str">
        <f t="shared" si="8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si="6"/>
        <v/>
      </c>
      <c xmlns="http://schemas.openxmlformats.org/spreadsheetml/2006/main" r="V196" s="22" t="str">
        <f t="shared" si="7"/>
        <v/>
      </c>
      <c xmlns="http://schemas.openxmlformats.org/spreadsheetml/2006/main" r="W196" s="18" t="str">
        <f t="shared" si="8"/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ref="U197:U260" si="9">IF($E197="","",COUNTIF($I197:$S197,"V"))</f>
        <v/>
      </c>
      <c xmlns="http://schemas.openxmlformats.org/spreadsheetml/2006/main" r="V197" s="22" t="str">
        <f t="shared" ref="V197:V260" si="10">IF($E197="","",IF(AND($T197="V",$U197&gt;0),"⚠ 勾選矛盾",IF($T197="V","○ 免調理",IF($U197=0,"⚠ 資料缺漏",IF($U197=1,"▲ 單一設備依賴","OK")))))</f>
        <v/>
      </c>
      <c xmlns="http://schemas.openxmlformats.org/spreadsheetml/2006/main" r="W197" s="18" t="str">
        <f t="shared" ref="W197:W260" si="11">IF($E197="","",IF(AND($T197="V",$U197&gt;0),"「無使用調理設備」不可與設備欄同時勾選，請擇一修正",IF($T197="V","免調理半成品（外購/僅切配等），不列入設備風險評估",IF($U197=0,"未勾選任何設備，請補填或勾選「無使用調理設備」",IF($U197=1,"僅依賴1台設備，須確認故障/排修時之備援製程","無異常")))))</f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9"/>
        <v/>
      </c>
      <c xmlns="http://schemas.openxmlformats.org/spreadsheetml/2006/main" r="V198" s="22" t="str">
        <f t="shared" si="10"/>
        <v/>
      </c>
      <c xmlns="http://schemas.openxmlformats.org/spreadsheetml/2006/main" r="W198" s="18" t="str">
        <f t="shared" si="11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9"/>
        <v/>
      </c>
      <c xmlns="http://schemas.openxmlformats.org/spreadsheetml/2006/main" r="V199" s="22" t="str">
        <f t="shared" si="10"/>
        <v/>
      </c>
      <c xmlns="http://schemas.openxmlformats.org/spreadsheetml/2006/main" r="W199" s="18" t="str">
        <f t="shared" si="11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9"/>
        <v/>
      </c>
      <c xmlns="http://schemas.openxmlformats.org/spreadsheetml/2006/main" r="V200" s="22" t="str">
        <f t="shared" si="10"/>
        <v/>
      </c>
      <c xmlns="http://schemas.openxmlformats.org/spreadsheetml/2006/main" r="W200" s="18" t="str">
        <f t="shared" si="11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9"/>
        <v/>
      </c>
      <c xmlns="http://schemas.openxmlformats.org/spreadsheetml/2006/main" r="V201" s="22" t="str">
        <f t="shared" si="10"/>
        <v/>
      </c>
      <c xmlns="http://schemas.openxmlformats.org/spreadsheetml/2006/main" r="W201" s="18" t="str">
        <f t="shared" si="11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9"/>
        <v/>
      </c>
      <c xmlns="http://schemas.openxmlformats.org/spreadsheetml/2006/main" r="V202" s="22" t="str">
        <f t="shared" si="10"/>
        <v/>
      </c>
      <c xmlns="http://schemas.openxmlformats.org/spreadsheetml/2006/main" r="W202" s="18" t="str">
        <f t="shared" si="11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9"/>
        <v/>
      </c>
      <c xmlns="http://schemas.openxmlformats.org/spreadsheetml/2006/main" r="V203" s="22" t="str">
        <f t="shared" si="10"/>
        <v/>
      </c>
      <c xmlns="http://schemas.openxmlformats.org/spreadsheetml/2006/main" r="W203" s="18" t="str">
        <f t="shared" si="11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9"/>
        <v/>
      </c>
      <c xmlns="http://schemas.openxmlformats.org/spreadsheetml/2006/main" r="V204" s="22" t="str">
        <f t="shared" si="10"/>
        <v/>
      </c>
      <c xmlns="http://schemas.openxmlformats.org/spreadsheetml/2006/main" r="W204" s="18" t="str">
        <f t="shared" si="11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9"/>
        <v/>
      </c>
      <c xmlns="http://schemas.openxmlformats.org/spreadsheetml/2006/main" r="V205" s="22" t="str">
        <f t="shared" si="10"/>
        <v/>
      </c>
      <c xmlns="http://schemas.openxmlformats.org/spreadsheetml/2006/main" r="W205" s="18" t="str">
        <f t="shared" si="11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9"/>
        <v/>
      </c>
      <c xmlns="http://schemas.openxmlformats.org/spreadsheetml/2006/main" r="V206" s="22" t="str">
        <f t="shared" si="10"/>
        <v/>
      </c>
      <c xmlns="http://schemas.openxmlformats.org/spreadsheetml/2006/main" r="W206" s="18" t="str">
        <f t="shared" si="11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9"/>
        <v/>
      </c>
      <c xmlns="http://schemas.openxmlformats.org/spreadsheetml/2006/main" r="V207" s="22" t="str">
        <f t="shared" si="10"/>
        <v/>
      </c>
      <c xmlns="http://schemas.openxmlformats.org/spreadsheetml/2006/main" r="W207" s="18" t="str">
        <f t="shared" si="11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9"/>
        <v/>
      </c>
      <c xmlns="http://schemas.openxmlformats.org/spreadsheetml/2006/main" r="V208" s="22" t="str">
        <f t="shared" si="10"/>
        <v/>
      </c>
      <c xmlns="http://schemas.openxmlformats.org/spreadsheetml/2006/main" r="W208" s="18" t="str">
        <f t="shared" si="11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9"/>
        <v/>
      </c>
      <c xmlns="http://schemas.openxmlformats.org/spreadsheetml/2006/main" r="V209" s="22" t="str">
        <f t="shared" si="10"/>
        <v/>
      </c>
      <c xmlns="http://schemas.openxmlformats.org/spreadsheetml/2006/main" r="W209" s="18" t="str">
        <f t="shared" si="11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9"/>
        <v/>
      </c>
      <c xmlns="http://schemas.openxmlformats.org/spreadsheetml/2006/main" r="V210" s="22" t="str">
        <f t="shared" si="10"/>
        <v/>
      </c>
      <c xmlns="http://schemas.openxmlformats.org/spreadsheetml/2006/main" r="W210" s="18" t="str">
        <f t="shared" si="11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9"/>
        <v/>
      </c>
      <c xmlns="http://schemas.openxmlformats.org/spreadsheetml/2006/main" r="V211" s="22" t="str">
        <f t="shared" si="10"/>
        <v/>
      </c>
      <c xmlns="http://schemas.openxmlformats.org/spreadsheetml/2006/main" r="W211" s="18" t="str">
        <f t="shared" si="11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9"/>
        <v/>
      </c>
      <c xmlns="http://schemas.openxmlformats.org/spreadsheetml/2006/main" r="V212" s="22" t="str">
        <f t="shared" si="10"/>
        <v/>
      </c>
      <c xmlns="http://schemas.openxmlformats.org/spreadsheetml/2006/main" r="W212" s="18" t="str">
        <f t="shared" si="11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9"/>
        <v/>
      </c>
      <c xmlns="http://schemas.openxmlformats.org/spreadsheetml/2006/main" r="V213" s="22" t="str">
        <f t="shared" si="10"/>
        <v/>
      </c>
      <c xmlns="http://schemas.openxmlformats.org/spreadsheetml/2006/main" r="W213" s="18" t="str">
        <f t="shared" si="11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9"/>
        <v/>
      </c>
      <c xmlns="http://schemas.openxmlformats.org/spreadsheetml/2006/main" r="V214" s="22" t="str">
        <f t="shared" si="10"/>
        <v/>
      </c>
      <c xmlns="http://schemas.openxmlformats.org/spreadsheetml/2006/main" r="W214" s="18" t="str">
        <f t="shared" si="11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9"/>
        <v/>
      </c>
      <c xmlns="http://schemas.openxmlformats.org/spreadsheetml/2006/main" r="V215" s="22" t="str">
        <f t="shared" si="10"/>
        <v/>
      </c>
      <c xmlns="http://schemas.openxmlformats.org/spreadsheetml/2006/main" r="W215" s="18" t="str">
        <f t="shared" si="11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9"/>
        <v/>
      </c>
      <c xmlns="http://schemas.openxmlformats.org/spreadsheetml/2006/main" r="V216" s="22" t="str">
        <f t="shared" si="10"/>
        <v/>
      </c>
      <c xmlns="http://schemas.openxmlformats.org/spreadsheetml/2006/main" r="W216" s="18" t="str">
        <f t="shared" si="11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9"/>
        <v/>
      </c>
      <c xmlns="http://schemas.openxmlformats.org/spreadsheetml/2006/main" r="V217" s="22" t="str">
        <f t="shared" si="10"/>
        <v/>
      </c>
      <c xmlns="http://schemas.openxmlformats.org/spreadsheetml/2006/main" r="W217" s="18" t="str">
        <f t="shared" si="11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9"/>
        <v/>
      </c>
      <c xmlns="http://schemas.openxmlformats.org/spreadsheetml/2006/main" r="V218" s="22" t="str">
        <f t="shared" si="10"/>
        <v/>
      </c>
      <c xmlns="http://schemas.openxmlformats.org/spreadsheetml/2006/main" r="W218" s="18" t="str">
        <f t="shared" si="11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9"/>
        <v/>
      </c>
      <c xmlns="http://schemas.openxmlformats.org/spreadsheetml/2006/main" r="V219" s="22" t="str">
        <f t="shared" si="10"/>
        <v/>
      </c>
      <c xmlns="http://schemas.openxmlformats.org/spreadsheetml/2006/main" r="W219" s="18" t="str">
        <f t="shared" si="11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9"/>
        <v/>
      </c>
      <c xmlns="http://schemas.openxmlformats.org/spreadsheetml/2006/main" r="V220" s="22" t="str">
        <f t="shared" si="10"/>
        <v/>
      </c>
      <c xmlns="http://schemas.openxmlformats.org/spreadsheetml/2006/main" r="W220" s="18" t="str">
        <f t="shared" si="11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9"/>
        <v/>
      </c>
      <c xmlns="http://schemas.openxmlformats.org/spreadsheetml/2006/main" r="V221" s="22" t="str">
        <f t="shared" si="10"/>
        <v/>
      </c>
      <c xmlns="http://schemas.openxmlformats.org/spreadsheetml/2006/main" r="W221" s="18" t="str">
        <f t="shared" si="11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9"/>
        <v/>
      </c>
      <c xmlns="http://schemas.openxmlformats.org/spreadsheetml/2006/main" r="V222" s="22" t="str">
        <f t="shared" si="10"/>
        <v/>
      </c>
      <c xmlns="http://schemas.openxmlformats.org/spreadsheetml/2006/main" r="W222" s="18" t="str">
        <f t="shared" si="11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9"/>
        <v/>
      </c>
      <c xmlns="http://schemas.openxmlformats.org/spreadsheetml/2006/main" r="V223" s="22" t="str">
        <f t="shared" si="10"/>
        <v/>
      </c>
      <c xmlns="http://schemas.openxmlformats.org/spreadsheetml/2006/main" r="W223" s="18" t="str">
        <f t="shared" si="11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9"/>
        <v/>
      </c>
      <c xmlns="http://schemas.openxmlformats.org/spreadsheetml/2006/main" r="V224" s="22" t="str">
        <f t="shared" si="10"/>
        <v/>
      </c>
      <c xmlns="http://schemas.openxmlformats.org/spreadsheetml/2006/main" r="W224" s="18" t="str">
        <f t="shared" si="11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9"/>
        <v/>
      </c>
      <c xmlns="http://schemas.openxmlformats.org/spreadsheetml/2006/main" r="V225" s="22" t="str">
        <f t="shared" si="10"/>
        <v/>
      </c>
      <c xmlns="http://schemas.openxmlformats.org/spreadsheetml/2006/main" r="W225" s="18" t="str">
        <f t="shared" si="11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9"/>
        <v/>
      </c>
      <c xmlns="http://schemas.openxmlformats.org/spreadsheetml/2006/main" r="V226" s="22" t="str">
        <f t="shared" si="10"/>
        <v/>
      </c>
      <c xmlns="http://schemas.openxmlformats.org/spreadsheetml/2006/main" r="W226" s="18" t="str">
        <f t="shared" si="11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9"/>
        <v/>
      </c>
      <c xmlns="http://schemas.openxmlformats.org/spreadsheetml/2006/main" r="V227" s="22" t="str">
        <f t="shared" si="10"/>
        <v/>
      </c>
      <c xmlns="http://schemas.openxmlformats.org/spreadsheetml/2006/main" r="W227" s="18" t="str">
        <f t="shared" si="11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9"/>
        <v/>
      </c>
      <c xmlns="http://schemas.openxmlformats.org/spreadsheetml/2006/main" r="V228" s="22" t="str">
        <f t="shared" si="10"/>
        <v/>
      </c>
      <c xmlns="http://schemas.openxmlformats.org/spreadsheetml/2006/main" r="W228" s="18" t="str">
        <f t="shared" si="11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9"/>
        <v/>
      </c>
      <c xmlns="http://schemas.openxmlformats.org/spreadsheetml/2006/main" r="V229" s="22" t="str">
        <f t="shared" si="10"/>
        <v/>
      </c>
      <c xmlns="http://schemas.openxmlformats.org/spreadsheetml/2006/main" r="W229" s="18" t="str">
        <f t="shared" si="11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9"/>
        <v/>
      </c>
      <c xmlns="http://schemas.openxmlformats.org/spreadsheetml/2006/main" r="V230" s="22" t="str">
        <f t="shared" si="10"/>
        <v/>
      </c>
      <c xmlns="http://schemas.openxmlformats.org/spreadsheetml/2006/main" r="W230" s="18" t="str">
        <f t="shared" si="11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9"/>
        <v/>
      </c>
      <c xmlns="http://schemas.openxmlformats.org/spreadsheetml/2006/main" r="V231" s="22" t="str">
        <f t="shared" si="10"/>
        <v/>
      </c>
      <c xmlns="http://schemas.openxmlformats.org/spreadsheetml/2006/main" r="W231" s="18" t="str">
        <f t="shared" si="11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9"/>
        <v/>
      </c>
      <c xmlns="http://schemas.openxmlformats.org/spreadsheetml/2006/main" r="V232" s="22" t="str">
        <f t="shared" si="10"/>
        <v/>
      </c>
      <c xmlns="http://schemas.openxmlformats.org/spreadsheetml/2006/main" r="W232" s="18" t="str">
        <f t="shared" si="11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9"/>
        <v/>
      </c>
      <c xmlns="http://schemas.openxmlformats.org/spreadsheetml/2006/main" r="V233" s="22" t="str">
        <f t="shared" si="10"/>
        <v/>
      </c>
      <c xmlns="http://schemas.openxmlformats.org/spreadsheetml/2006/main" r="W233" s="18" t="str">
        <f t="shared" si="11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9"/>
        <v/>
      </c>
      <c xmlns="http://schemas.openxmlformats.org/spreadsheetml/2006/main" r="V234" s="22" t="str">
        <f t="shared" si="10"/>
        <v/>
      </c>
      <c xmlns="http://schemas.openxmlformats.org/spreadsheetml/2006/main" r="W234" s="18" t="str">
        <f t="shared" si="11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9"/>
        <v/>
      </c>
      <c xmlns="http://schemas.openxmlformats.org/spreadsheetml/2006/main" r="V235" s="22" t="str">
        <f t="shared" si="10"/>
        <v/>
      </c>
      <c xmlns="http://schemas.openxmlformats.org/spreadsheetml/2006/main" r="W235" s="18" t="str">
        <f t="shared" si="11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9"/>
        <v/>
      </c>
      <c xmlns="http://schemas.openxmlformats.org/spreadsheetml/2006/main" r="V236" s="22" t="str">
        <f t="shared" si="10"/>
        <v/>
      </c>
      <c xmlns="http://schemas.openxmlformats.org/spreadsheetml/2006/main" r="W236" s="18" t="str">
        <f t="shared" si="11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9"/>
        <v/>
      </c>
      <c xmlns="http://schemas.openxmlformats.org/spreadsheetml/2006/main" r="V237" s="22" t="str">
        <f t="shared" si="10"/>
        <v/>
      </c>
      <c xmlns="http://schemas.openxmlformats.org/spreadsheetml/2006/main" r="W237" s="18" t="str">
        <f t="shared" si="11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9"/>
        <v/>
      </c>
      <c xmlns="http://schemas.openxmlformats.org/spreadsheetml/2006/main" r="V238" s="22" t="str">
        <f t="shared" si="10"/>
        <v/>
      </c>
      <c xmlns="http://schemas.openxmlformats.org/spreadsheetml/2006/main" r="W238" s="18" t="str">
        <f t="shared" si="11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9"/>
        <v/>
      </c>
      <c xmlns="http://schemas.openxmlformats.org/spreadsheetml/2006/main" r="V239" s="22" t="str">
        <f t="shared" si="10"/>
        <v/>
      </c>
      <c xmlns="http://schemas.openxmlformats.org/spreadsheetml/2006/main" r="W239" s="18" t="str">
        <f t="shared" si="11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9"/>
        <v/>
      </c>
      <c xmlns="http://schemas.openxmlformats.org/spreadsheetml/2006/main" r="V240" s="22" t="str">
        <f t="shared" si="10"/>
        <v/>
      </c>
      <c xmlns="http://schemas.openxmlformats.org/spreadsheetml/2006/main" r="W240" s="18" t="str">
        <f t="shared" si="11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9"/>
        <v/>
      </c>
      <c xmlns="http://schemas.openxmlformats.org/spreadsheetml/2006/main" r="V241" s="22" t="str">
        <f t="shared" si="10"/>
        <v/>
      </c>
      <c xmlns="http://schemas.openxmlformats.org/spreadsheetml/2006/main" r="W241" s="18" t="str">
        <f t="shared" si="11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9"/>
        <v/>
      </c>
      <c xmlns="http://schemas.openxmlformats.org/spreadsheetml/2006/main" r="V242" s="22" t="str">
        <f t="shared" si="10"/>
        <v/>
      </c>
      <c xmlns="http://schemas.openxmlformats.org/spreadsheetml/2006/main" r="W242" s="18" t="str">
        <f t="shared" si="11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9"/>
        <v/>
      </c>
      <c xmlns="http://schemas.openxmlformats.org/spreadsheetml/2006/main" r="V243" s="22" t="str">
        <f t="shared" si="10"/>
        <v/>
      </c>
      <c xmlns="http://schemas.openxmlformats.org/spreadsheetml/2006/main" r="W243" s="18" t="str">
        <f t="shared" si="11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9"/>
        <v/>
      </c>
      <c xmlns="http://schemas.openxmlformats.org/spreadsheetml/2006/main" r="V244" s="22" t="str">
        <f t="shared" si="10"/>
        <v/>
      </c>
      <c xmlns="http://schemas.openxmlformats.org/spreadsheetml/2006/main" r="W244" s="18" t="str">
        <f t="shared" si="11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9"/>
        <v/>
      </c>
      <c xmlns="http://schemas.openxmlformats.org/spreadsheetml/2006/main" r="V245" s="22" t="str">
        <f t="shared" si="10"/>
        <v/>
      </c>
      <c xmlns="http://schemas.openxmlformats.org/spreadsheetml/2006/main" r="W245" s="18" t="str">
        <f t="shared" si="11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9"/>
        <v/>
      </c>
      <c xmlns="http://schemas.openxmlformats.org/spreadsheetml/2006/main" r="V246" s="22" t="str">
        <f t="shared" si="10"/>
        <v/>
      </c>
      <c xmlns="http://schemas.openxmlformats.org/spreadsheetml/2006/main" r="W246" s="18" t="str">
        <f t="shared" si="11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9"/>
        <v/>
      </c>
      <c xmlns="http://schemas.openxmlformats.org/spreadsheetml/2006/main" r="V247" s="22" t="str">
        <f t="shared" si="10"/>
        <v/>
      </c>
      <c xmlns="http://schemas.openxmlformats.org/spreadsheetml/2006/main" r="W247" s="18" t="str">
        <f t="shared" si="11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9"/>
        <v/>
      </c>
      <c xmlns="http://schemas.openxmlformats.org/spreadsheetml/2006/main" r="V248" s="22" t="str">
        <f t="shared" si="10"/>
        <v/>
      </c>
      <c xmlns="http://schemas.openxmlformats.org/spreadsheetml/2006/main" r="W248" s="18" t="str">
        <f t="shared" si="11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si="9"/>
        <v/>
      </c>
      <c xmlns="http://schemas.openxmlformats.org/spreadsheetml/2006/main" r="V249" s="22" t="str">
        <f t="shared" si="10"/>
        <v/>
      </c>
      <c xmlns="http://schemas.openxmlformats.org/spreadsheetml/2006/main" r="W249" s="18" t="str">
        <f t="shared" si="11"/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9"/>
        <v/>
      </c>
      <c xmlns="http://schemas.openxmlformats.org/spreadsheetml/2006/main" r="V250" s="22" t="str">
        <f t="shared" si="10"/>
        <v/>
      </c>
      <c xmlns="http://schemas.openxmlformats.org/spreadsheetml/2006/main" r="W250" s="18" t="str">
        <f t="shared" si="11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9"/>
        <v/>
      </c>
      <c xmlns="http://schemas.openxmlformats.org/spreadsheetml/2006/main" r="V251" s="22" t="str">
        <f t="shared" si="10"/>
        <v/>
      </c>
      <c xmlns="http://schemas.openxmlformats.org/spreadsheetml/2006/main" r="W251" s="18" t="str">
        <f t="shared" si="11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9"/>
        <v/>
      </c>
      <c xmlns="http://schemas.openxmlformats.org/spreadsheetml/2006/main" r="V252" s="22" t="str">
        <f t="shared" si="10"/>
        <v/>
      </c>
      <c xmlns="http://schemas.openxmlformats.org/spreadsheetml/2006/main" r="W252" s="18" t="str">
        <f t="shared" si="11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9"/>
        <v/>
      </c>
      <c xmlns="http://schemas.openxmlformats.org/spreadsheetml/2006/main" r="V253" s="22" t="str">
        <f t="shared" si="10"/>
        <v/>
      </c>
      <c xmlns="http://schemas.openxmlformats.org/spreadsheetml/2006/main" r="W253" s="18" t="str">
        <f t="shared" si="11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9"/>
        <v/>
      </c>
      <c xmlns="http://schemas.openxmlformats.org/spreadsheetml/2006/main" r="V254" s="22" t="str">
        <f t="shared" si="10"/>
        <v/>
      </c>
      <c xmlns="http://schemas.openxmlformats.org/spreadsheetml/2006/main" r="W254" s="18" t="str">
        <f t="shared" si="11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9"/>
        <v/>
      </c>
      <c xmlns="http://schemas.openxmlformats.org/spreadsheetml/2006/main" r="V255" s="22" t="str">
        <f t="shared" si="10"/>
        <v/>
      </c>
      <c xmlns="http://schemas.openxmlformats.org/spreadsheetml/2006/main" r="W255" s="18" t="str">
        <f t="shared" si="11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9"/>
        <v/>
      </c>
      <c xmlns="http://schemas.openxmlformats.org/spreadsheetml/2006/main" r="V256" s="22" t="str">
        <f t="shared" si="10"/>
        <v/>
      </c>
      <c xmlns="http://schemas.openxmlformats.org/spreadsheetml/2006/main" r="W256" s="18" t="str">
        <f t="shared" si="11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9"/>
        <v/>
      </c>
      <c xmlns="http://schemas.openxmlformats.org/spreadsheetml/2006/main" r="V257" s="22" t="str">
        <f t="shared" si="10"/>
        <v/>
      </c>
      <c xmlns="http://schemas.openxmlformats.org/spreadsheetml/2006/main" r="W257" s="18" t="str">
        <f t="shared" si="11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9"/>
        <v/>
      </c>
      <c xmlns="http://schemas.openxmlformats.org/spreadsheetml/2006/main" r="V258" s="22" t="str">
        <f t="shared" si="10"/>
        <v/>
      </c>
      <c xmlns="http://schemas.openxmlformats.org/spreadsheetml/2006/main" r="W258" s="18" t="str">
        <f t="shared" si="11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9"/>
        <v/>
      </c>
      <c xmlns="http://schemas.openxmlformats.org/spreadsheetml/2006/main" r="V259" s="22" t="str">
        <f t="shared" si="10"/>
        <v/>
      </c>
      <c xmlns="http://schemas.openxmlformats.org/spreadsheetml/2006/main" r="W259" s="18" t="str">
        <f t="shared" si="11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si="9"/>
        <v/>
      </c>
      <c xmlns="http://schemas.openxmlformats.org/spreadsheetml/2006/main" r="V260" s="22" t="str">
        <f t="shared" si="10"/>
        <v/>
      </c>
      <c xmlns="http://schemas.openxmlformats.org/spreadsheetml/2006/main" r="W260" s="18" t="str">
        <f t="shared" si="11"/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ref="U261:U304" si="12">IF($E261="","",COUNTIF($I261:$S261,"V"))</f>
        <v/>
      </c>
      <c xmlns="http://schemas.openxmlformats.org/spreadsheetml/2006/main" r="V261" s="22" t="str">
        <f t="shared" ref="V261:V304" si="13">IF($E261="","",IF(AND($T261="V",$U261&gt;0),"⚠ 勾選矛盾",IF($T261="V","○ 免調理",IF($U261=0,"⚠ 資料缺漏",IF($U261=1,"▲ 單一設備依賴","OK")))))</f>
        <v/>
      </c>
      <c xmlns="http://schemas.openxmlformats.org/spreadsheetml/2006/main" r="W261" s="18" t="str">
        <f t="shared" ref="W261:W304" si="14">IF($E261="","",IF(AND($T261="V",$U261&gt;0),"「無使用調理設備」不可與設備欄同時勾選，請擇一修正",IF($T261="V","免調理半成品（外購/僅切配等），不列入設備風險評估",IF($U261=0,"未勾選任何設備，請補填或勾選「無使用調理設備」",IF($U261=1,"僅依賴1台設備，須確認故障/排修時之備援製程","無異常")))))</f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2"/>
        <v/>
      </c>
      <c xmlns="http://schemas.openxmlformats.org/spreadsheetml/2006/main" r="V262" s="22" t="str">
        <f t="shared" si="13"/>
        <v/>
      </c>
      <c xmlns="http://schemas.openxmlformats.org/spreadsheetml/2006/main" r="W262" s="18" t="str">
        <f t="shared" si="14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2"/>
        <v/>
      </c>
      <c xmlns="http://schemas.openxmlformats.org/spreadsheetml/2006/main" r="V263" s="22" t="str">
        <f t="shared" si="13"/>
        <v/>
      </c>
      <c xmlns="http://schemas.openxmlformats.org/spreadsheetml/2006/main" r="W263" s="18" t="str">
        <f t="shared" si="14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2"/>
        <v/>
      </c>
      <c xmlns="http://schemas.openxmlformats.org/spreadsheetml/2006/main" r="V264" s="22" t="str">
        <f t="shared" si="13"/>
        <v/>
      </c>
      <c xmlns="http://schemas.openxmlformats.org/spreadsheetml/2006/main" r="W264" s="18" t="str">
        <f t="shared" si="14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2"/>
        <v/>
      </c>
      <c xmlns="http://schemas.openxmlformats.org/spreadsheetml/2006/main" r="V265" s="22" t="str">
        <f t="shared" si="13"/>
        <v/>
      </c>
      <c xmlns="http://schemas.openxmlformats.org/spreadsheetml/2006/main" r="W265" s="18" t="str">
        <f t="shared" si="14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2"/>
        <v/>
      </c>
      <c xmlns="http://schemas.openxmlformats.org/spreadsheetml/2006/main" r="V266" s="22" t="str">
        <f t="shared" si="13"/>
        <v/>
      </c>
      <c xmlns="http://schemas.openxmlformats.org/spreadsheetml/2006/main" r="W266" s="18" t="str">
        <f t="shared" si="14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2"/>
        <v/>
      </c>
      <c xmlns="http://schemas.openxmlformats.org/spreadsheetml/2006/main" r="V267" s="22" t="str">
        <f t="shared" si="13"/>
        <v/>
      </c>
      <c xmlns="http://schemas.openxmlformats.org/spreadsheetml/2006/main" r="W267" s="18" t="str">
        <f t="shared" si="14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2"/>
        <v/>
      </c>
      <c xmlns="http://schemas.openxmlformats.org/spreadsheetml/2006/main" r="V268" s="22" t="str">
        <f t="shared" si="13"/>
        <v/>
      </c>
      <c xmlns="http://schemas.openxmlformats.org/spreadsheetml/2006/main" r="W268" s="18" t="str">
        <f t="shared" si="14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2"/>
        <v/>
      </c>
      <c xmlns="http://schemas.openxmlformats.org/spreadsheetml/2006/main" r="V269" s="22" t="str">
        <f t="shared" si="13"/>
        <v/>
      </c>
      <c xmlns="http://schemas.openxmlformats.org/spreadsheetml/2006/main" r="W269" s="18" t="str">
        <f t="shared" si="14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2"/>
        <v/>
      </c>
      <c xmlns="http://schemas.openxmlformats.org/spreadsheetml/2006/main" r="V270" s="22" t="str">
        <f t="shared" si="13"/>
        <v/>
      </c>
      <c xmlns="http://schemas.openxmlformats.org/spreadsheetml/2006/main" r="W270" s="18" t="str">
        <f t="shared" si="14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2"/>
        <v/>
      </c>
      <c xmlns="http://schemas.openxmlformats.org/spreadsheetml/2006/main" r="V271" s="22" t="str">
        <f t="shared" si="13"/>
        <v/>
      </c>
      <c xmlns="http://schemas.openxmlformats.org/spreadsheetml/2006/main" r="W271" s="18" t="str">
        <f t="shared" si="14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2"/>
        <v/>
      </c>
      <c xmlns="http://schemas.openxmlformats.org/spreadsheetml/2006/main" r="V272" s="22" t="str">
        <f t="shared" si="13"/>
        <v/>
      </c>
      <c xmlns="http://schemas.openxmlformats.org/spreadsheetml/2006/main" r="W272" s="18" t="str">
        <f t="shared" si="14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2"/>
        <v/>
      </c>
      <c xmlns="http://schemas.openxmlformats.org/spreadsheetml/2006/main" r="V273" s="22" t="str">
        <f t="shared" si="13"/>
        <v/>
      </c>
      <c xmlns="http://schemas.openxmlformats.org/spreadsheetml/2006/main" r="W273" s="18" t="str">
        <f t="shared" si="14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2"/>
        <v/>
      </c>
      <c xmlns="http://schemas.openxmlformats.org/spreadsheetml/2006/main" r="V274" s="22" t="str">
        <f t="shared" si="13"/>
        <v/>
      </c>
      <c xmlns="http://schemas.openxmlformats.org/spreadsheetml/2006/main" r="W274" s="18" t="str">
        <f t="shared" si="14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2"/>
        <v/>
      </c>
      <c xmlns="http://schemas.openxmlformats.org/spreadsheetml/2006/main" r="V275" s="22" t="str">
        <f t="shared" si="13"/>
        <v/>
      </c>
      <c xmlns="http://schemas.openxmlformats.org/spreadsheetml/2006/main" r="W275" s="18" t="str">
        <f t="shared" si="14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2"/>
        <v/>
      </c>
      <c xmlns="http://schemas.openxmlformats.org/spreadsheetml/2006/main" r="V276" s="22" t="str">
        <f t="shared" si="13"/>
        <v/>
      </c>
      <c xmlns="http://schemas.openxmlformats.org/spreadsheetml/2006/main" r="W276" s="18" t="str">
        <f t="shared" si="14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2"/>
        <v/>
      </c>
      <c xmlns="http://schemas.openxmlformats.org/spreadsheetml/2006/main" r="V277" s="22" t="str">
        <f t="shared" si="13"/>
        <v/>
      </c>
      <c xmlns="http://schemas.openxmlformats.org/spreadsheetml/2006/main" r="W277" s="18" t="str">
        <f t="shared" si="14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2"/>
        <v/>
      </c>
      <c xmlns="http://schemas.openxmlformats.org/spreadsheetml/2006/main" r="V278" s="22" t="str">
        <f t="shared" si="13"/>
        <v/>
      </c>
      <c xmlns="http://schemas.openxmlformats.org/spreadsheetml/2006/main" r="W278" s="18" t="str">
        <f t="shared" si="14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2"/>
        <v/>
      </c>
      <c xmlns="http://schemas.openxmlformats.org/spreadsheetml/2006/main" r="V279" s="22" t="str">
        <f t="shared" si="13"/>
        <v/>
      </c>
      <c xmlns="http://schemas.openxmlformats.org/spreadsheetml/2006/main" r="W279" s="18" t="str">
        <f t="shared" si="14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2"/>
        <v/>
      </c>
      <c xmlns="http://schemas.openxmlformats.org/spreadsheetml/2006/main" r="V280" s="22" t="str">
        <f t="shared" si="13"/>
        <v/>
      </c>
      <c xmlns="http://schemas.openxmlformats.org/spreadsheetml/2006/main" r="W280" s="18" t="str">
        <f t="shared" si="14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A281" s="22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2"/>
        <v/>
      </c>
      <c xmlns="http://schemas.openxmlformats.org/spreadsheetml/2006/main" r="V281" s="22" t="str">
        <f t="shared" si="13"/>
        <v/>
      </c>
      <c xmlns="http://schemas.openxmlformats.org/spreadsheetml/2006/main" r="W281" s="18" t="str">
        <f t="shared" si="14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2"/>
        <v/>
      </c>
      <c xmlns="http://schemas.openxmlformats.org/spreadsheetml/2006/main" r="V282" s="22" t="str">
        <f t="shared" si="13"/>
        <v/>
      </c>
      <c xmlns="http://schemas.openxmlformats.org/spreadsheetml/2006/main" r="W282" s="18" t="str">
        <f t="shared" si="14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2"/>
        <v/>
      </c>
      <c xmlns="http://schemas.openxmlformats.org/spreadsheetml/2006/main" r="V283" s="22" t="str">
        <f t="shared" si="13"/>
        <v/>
      </c>
      <c xmlns="http://schemas.openxmlformats.org/spreadsheetml/2006/main" r="W283" s="18" t="str">
        <f t="shared" si="14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2"/>
        <v/>
      </c>
      <c xmlns="http://schemas.openxmlformats.org/spreadsheetml/2006/main" r="V284" s="22" t="str">
        <f t="shared" si="13"/>
        <v/>
      </c>
      <c xmlns="http://schemas.openxmlformats.org/spreadsheetml/2006/main" r="W284" s="18" t="str">
        <f t="shared" si="14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2"/>
        <v/>
      </c>
      <c xmlns="http://schemas.openxmlformats.org/spreadsheetml/2006/main" r="V285" s="22" t="str">
        <f t="shared" si="13"/>
        <v/>
      </c>
      <c xmlns="http://schemas.openxmlformats.org/spreadsheetml/2006/main" r="W285" s="18" t="str">
        <f t="shared" si="14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A286" s="22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2"/>
        <v/>
      </c>
      <c xmlns="http://schemas.openxmlformats.org/spreadsheetml/2006/main" r="V286" s="22" t="str">
        <f t="shared" si="13"/>
        <v/>
      </c>
      <c xmlns="http://schemas.openxmlformats.org/spreadsheetml/2006/main" r="W286" s="18" t="str">
        <f t="shared" si="14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2"/>
        <v/>
      </c>
      <c xmlns="http://schemas.openxmlformats.org/spreadsheetml/2006/main" r="V287" s="22" t="str">
        <f t="shared" si="13"/>
        <v/>
      </c>
      <c xmlns="http://schemas.openxmlformats.org/spreadsheetml/2006/main" r="W287" s="18" t="str">
        <f t="shared" si="14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2"/>
        <v/>
      </c>
      <c xmlns="http://schemas.openxmlformats.org/spreadsheetml/2006/main" r="V288" s="22" t="str">
        <f t="shared" si="13"/>
        <v/>
      </c>
      <c xmlns="http://schemas.openxmlformats.org/spreadsheetml/2006/main" r="W288" s="18" t="str">
        <f t="shared" si="14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1:27">
      <c r="A289" s="22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2"/>
        <v/>
      </c>
      <c xmlns="http://schemas.openxmlformats.org/spreadsheetml/2006/main" r="V289" s="22" t="str">
        <f t="shared" si="13"/>
        <v/>
      </c>
      <c xmlns="http://schemas.openxmlformats.org/spreadsheetml/2006/main" r="W289" s="18" t="str">
        <f t="shared" si="14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2"/>
        <v/>
      </c>
      <c xmlns="http://schemas.openxmlformats.org/spreadsheetml/2006/main" r="V290" s="22" t="str">
        <f t="shared" si="13"/>
        <v/>
      </c>
      <c xmlns="http://schemas.openxmlformats.org/spreadsheetml/2006/main" r="W290" s="18" t="str">
        <f t="shared" si="14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2"/>
        <v/>
      </c>
      <c xmlns="http://schemas.openxmlformats.org/spreadsheetml/2006/main" r="V291" s="22" t="str">
        <f t="shared" si="13"/>
        <v/>
      </c>
      <c xmlns="http://schemas.openxmlformats.org/spreadsheetml/2006/main" r="W291" s="18" t="str">
        <f t="shared" si="14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1:27">
      <c r="A292" s="22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2"/>
        <v/>
      </c>
      <c xmlns="http://schemas.openxmlformats.org/spreadsheetml/2006/main" r="V292" s="22" t="str">
        <f t="shared" si="13"/>
        <v/>
      </c>
      <c xmlns="http://schemas.openxmlformats.org/spreadsheetml/2006/main" r="W292" s="18" t="str">
        <f t="shared" si="14"/>
        <v/>
      </c>
      <c r="X292" s="22"/>
      <c r="Y292" s="22"/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  <row r="293" spans="1:27"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xmlns="http://schemas.openxmlformats.org/spreadsheetml/2006/main" r="U293" s="23" t="str">
        <f t="shared" si="12"/>
        <v/>
      </c>
      <c xmlns="http://schemas.openxmlformats.org/spreadsheetml/2006/main" r="V293" s="22" t="str">
        <f t="shared" si="13"/>
        <v/>
      </c>
      <c xmlns="http://schemas.openxmlformats.org/spreadsheetml/2006/main" r="W293" s="18" t="str">
        <f t="shared" si="14"/>
        <v/>
      </c>
      <c r="X293" s="22"/>
      <c r="Y293" s="22"/>
      <c xmlns="http://schemas.openxmlformats.org/spreadsheetml/2006/main" r="Z293">
        <f>IF($D293="",0,IF(COUNTIF($D$5:$D293,$D293)=1,1,0))</f>
        <v>0.0</v>
      </c>
      <c xmlns="http://schemas.openxmlformats.org/spreadsheetml/2006/main" r="AA293" t="str">
        <f>IF(Z293=1,SUM($Z$5:$Z293),"")</f>
        <v/>
      </c>
    </row>
    <row r="294" spans="1:27"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xmlns="http://schemas.openxmlformats.org/spreadsheetml/2006/main" r="U294" s="23" t="str">
        <f t="shared" si="12"/>
        <v/>
      </c>
      <c xmlns="http://schemas.openxmlformats.org/spreadsheetml/2006/main" r="V294" s="22" t="str">
        <f t="shared" si="13"/>
        <v/>
      </c>
      <c xmlns="http://schemas.openxmlformats.org/spreadsheetml/2006/main" r="W294" s="18" t="str">
        <f t="shared" si="14"/>
        <v/>
      </c>
      <c r="X294" s="22"/>
      <c r="Y294" s="22"/>
      <c xmlns="http://schemas.openxmlformats.org/spreadsheetml/2006/main" r="Z294">
        <f>IF($D294="",0,IF(COUNTIF($D$5:$D294,$D294)=1,1,0))</f>
        <v>0.0</v>
      </c>
      <c xmlns="http://schemas.openxmlformats.org/spreadsheetml/2006/main" r="AA294" t="str">
        <f>IF(Z294=1,SUM($Z$5:$Z294),"")</f>
        <v/>
      </c>
    </row>
    <row r="295" spans="1:27"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xmlns="http://schemas.openxmlformats.org/spreadsheetml/2006/main" r="U295" s="23" t="str">
        <f t="shared" si="12"/>
        <v/>
      </c>
      <c xmlns="http://schemas.openxmlformats.org/spreadsheetml/2006/main" r="V295" s="22" t="str">
        <f t="shared" si="13"/>
        <v/>
      </c>
      <c xmlns="http://schemas.openxmlformats.org/spreadsheetml/2006/main" r="W295" s="18" t="str">
        <f t="shared" si="14"/>
        <v/>
      </c>
      <c r="X295" s="22"/>
      <c r="Y295" s="22"/>
      <c xmlns="http://schemas.openxmlformats.org/spreadsheetml/2006/main" r="Z295">
        <f>IF($D295="",0,IF(COUNTIF($D$5:$D295,$D295)=1,1,0))</f>
        <v>0.0</v>
      </c>
      <c xmlns="http://schemas.openxmlformats.org/spreadsheetml/2006/main" r="AA295" t="str">
        <f>IF(Z295=1,SUM($Z$5:$Z295),"")</f>
        <v/>
      </c>
    </row>
    <row r="296" spans="1:27"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xmlns="http://schemas.openxmlformats.org/spreadsheetml/2006/main" r="U296" s="23" t="str">
        <f t="shared" si="12"/>
        <v/>
      </c>
      <c xmlns="http://schemas.openxmlformats.org/spreadsheetml/2006/main" r="V296" s="22" t="str">
        <f t="shared" si="13"/>
        <v/>
      </c>
      <c xmlns="http://schemas.openxmlformats.org/spreadsheetml/2006/main" r="W296" s="18" t="str">
        <f t="shared" si="14"/>
        <v/>
      </c>
      <c r="X296" s="22"/>
      <c r="Y296" s="22"/>
      <c xmlns="http://schemas.openxmlformats.org/spreadsheetml/2006/main" r="Z296">
        <f>IF($D296="",0,IF(COUNTIF($D$5:$D296,$D296)=1,1,0))</f>
        <v>0.0</v>
      </c>
      <c xmlns="http://schemas.openxmlformats.org/spreadsheetml/2006/main" r="AA296" t="str">
        <f>IF(Z296=1,SUM($Z$5:$Z296),"")</f>
        <v/>
      </c>
    </row>
    <row r="297" spans="1:27"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xmlns="http://schemas.openxmlformats.org/spreadsheetml/2006/main" r="U297" s="23" t="str">
        <f t="shared" si="12"/>
        <v/>
      </c>
      <c xmlns="http://schemas.openxmlformats.org/spreadsheetml/2006/main" r="V297" s="22" t="str">
        <f t="shared" si="13"/>
        <v/>
      </c>
      <c xmlns="http://schemas.openxmlformats.org/spreadsheetml/2006/main" r="W297" s="18" t="str">
        <f t="shared" si="14"/>
        <v/>
      </c>
      <c r="X297" s="22"/>
      <c r="Y297" s="22"/>
      <c xmlns="http://schemas.openxmlformats.org/spreadsheetml/2006/main" r="Z297">
        <f>IF($D297="",0,IF(COUNTIF($D$5:$D297,$D297)=1,1,0))</f>
        <v>0.0</v>
      </c>
      <c xmlns="http://schemas.openxmlformats.org/spreadsheetml/2006/main" r="AA297" t="str">
        <f>IF(Z297=1,SUM($Z$5:$Z297),"")</f>
        <v/>
      </c>
    </row>
    <row r="298" spans="1:27"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xmlns="http://schemas.openxmlformats.org/spreadsheetml/2006/main" r="U298" s="23" t="str">
        <f t="shared" si="12"/>
        <v/>
      </c>
      <c xmlns="http://schemas.openxmlformats.org/spreadsheetml/2006/main" r="V298" s="22" t="str">
        <f t="shared" si="13"/>
        <v/>
      </c>
      <c xmlns="http://schemas.openxmlformats.org/spreadsheetml/2006/main" r="W298" s="18" t="str">
        <f t="shared" si="14"/>
        <v/>
      </c>
      <c r="X298" s="22"/>
      <c r="Y298" s="22"/>
      <c xmlns="http://schemas.openxmlformats.org/spreadsheetml/2006/main" r="Z298">
        <f>IF($D298="",0,IF(COUNTIF($D$5:$D298,$D298)=1,1,0))</f>
        <v>0.0</v>
      </c>
      <c xmlns="http://schemas.openxmlformats.org/spreadsheetml/2006/main" r="AA298" t="str">
        <f>IF(Z298=1,SUM($Z$5:$Z298),"")</f>
        <v/>
      </c>
    </row>
    <row r="299" spans="1:27"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xmlns="http://schemas.openxmlformats.org/spreadsheetml/2006/main" r="U299" s="23" t="str">
        <f t="shared" si="12"/>
        <v/>
      </c>
      <c xmlns="http://schemas.openxmlformats.org/spreadsheetml/2006/main" r="V299" s="22" t="str">
        <f t="shared" si="13"/>
        <v/>
      </c>
      <c xmlns="http://schemas.openxmlformats.org/spreadsheetml/2006/main" r="W299" s="18" t="str">
        <f t="shared" si="14"/>
        <v/>
      </c>
      <c r="X299" s="22"/>
      <c r="Y299" s="22"/>
      <c xmlns="http://schemas.openxmlformats.org/spreadsheetml/2006/main" r="Z299">
        <f>IF($D299="",0,IF(COUNTIF($D$5:$D299,$D299)=1,1,0))</f>
        <v>0.0</v>
      </c>
      <c xmlns="http://schemas.openxmlformats.org/spreadsheetml/2006/main" r="AA299" t="str">
        <f>IF(Z299=1,SUM($Z$5:$Z299),"")</f>
        <v/>
      </c>
    </row>
    <row r="300" spans="1:27"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xmlns="http://schemas.openxmlformats.org/spreadsheetml/2006/main" r="U300" s="23" t="str">
        <f t="shared" si="12"/>
        <v/>
      </c>
      <c xmlns="http://schemas.openxmlformats.org/spreadsheetml/2006/main" r="V300" s="22" t="str">
        <f t="shared" si="13"/>
        <v/>
      </c>
      <c xmlns="http://schemas.openxmlformats.org/spreadsheetml/2006/main" r="W300" s="18" t="str">
        <f t="shared" si="14"/>
        <v/>
      </c>
      <c r="X300" s="22"/>
      <c r="Y300" s="22"/>
      <c xmlns="http://schemas.openxmlformats.org/spreadsheetml/2006/main" r="Z300">
        <f>IF($D300="",0,IF(COUNTIF($D$5:$D300,$D300)=1,1,0))</f>
        <v>0.0</v>
      </c>
      <c xmlns="http://schemas.openxmlformats.org/spreadsheetml/2006/main" r="AA300" t="str">
        <f>IF(Z300=1,SUM($Z$5:$Z300),"")</f>
        <v/>
      </c>
    </row>
    <row r="301" spans="1:27">
      <c r="B301" s="22"/>
      <c r="C301" s="22"/>
      <c r="D301" s="22"/>
      <c r="E301" s="22"/>
      <c r="F301" s="23"/>
      <c r="G301" s="23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xmlns="http://schemas.openxmlformats.org/spreadsheetml/2006/main" r="U301" s="23" t="str">
        <f t="shared" si="12"/>
        <v/>
      </c>
      <c xmlns="http://schemas.openxmlformats.org/spreadsheetml/2006/main" r="V301" s="22" t="str">
        <f t="shared" si="13"/>
        <v/>
      </c>
      <c xmlns="http://schemas.openxmlformats.org/spreadsheetml/2006/main" r="W301" s="18" t="str">
        <f t="shared" si="14"/>
        <v/>
      </c>
      <c r="X301" s="22"/>
      <c r="Y301" s="22"/>
      <c xmlns="http://schemas.openxmlformats.org/spreadsheetml/2006/main" r="Z301">
        <f>IF($D301="",0,IF(COUNTIF($D$5:$D301,$D301)=1,1,0))</f>
        <v>0.0</v>
      </c>
      <c xmlns="http://schemas.openxmlformats.org/spreadsheetml/2006/main" r="AA301" t="str">
        <f>IF(Z301=1,SUM($Z$5:$Z301),"")</f>
        <v/>
      </c>
    </row>
    <row r="302" spans="1:27">
      <c r="B302" s="22"/>
      <c r="C302" s="22"/>
      <c r="D302" s="22"/>
      <c r="E302" s="22"/>
      <c r="F302" s="23"/>
      <c r="G302" s="23"/>
      <c r="H302" s="24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6"/>
      <c xmlns="http://schemas.openxmlformats.org/spreadsheetml/2006/main" r="U302" s="23" t="str">
        <f t="shared" si="12"/>
        <v/>
      </c>
      <c xmlns="http://schemas.openxmlformats.org/spreadsheetml/2006/main" r="V302" s="22" t="str">
        <f t="shared" si="13"/>
        <v/>
      </c>
      <c xmlns="http://schemas.openxmlformats.org/spreadsheetml/2006/main" r="W302" s="18" t="str">
        <f t="shared" si="14"/>
        <v/>
      </c>
      <c r="X302" s="22"/>
      <c r="Y302" s="22"/>
      <c xmlns="http://schemas.openxmlformats.org/spreadsheetml/2006/main" r="Z302">
        <f>IF($D302="",0,IF(COUNTIF($D$5:$D302,$D302)=1,1,0))</f>
        <v>0.0</v>
      </c>
      <c xmlns="http://schemas.openxmlformats.org/spreadsheetml/2006/main" r="AA302" t="str">
        <f>IF(Z302=1,SUM($Z$5:$Z302),"")</f>
        <v/>
      </c>
    </row>
    <row r="303" spans="1:27">
      <c r="B303" s="22"/>
      <c r="C303" s="22"/>
      <c r="D303" s="22"/>
      <c r="E303" s="22"/>
      <c r="F303" s="23"/>
      <c r="G303" s="23"/>
      <c r="H303" s="24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6"/>
      <c xmlns="http://schemas.openxmlformats.org/spreadsheetml/2006/main" r="U303" s="23" t="str">
        <f t="shared" si="12"/>
        <v/>
      </c>
      <c xmlns="http://schemas.openxmlformats.org/spreadsheetml/2006/main" r="V303" s="22" t="str">
        <f t="shared" si="13"/>
        <v/>
      </c>
      <c xmlns="http://schemas.openxmlformats.org/spreadsheetml/2006/main" r="W303" s="18" t="str">
        <f t="shared" si="14"/>
        <v/>
      </c>
      <c r="X303" s="22"/>
      <c r="Y303" s="22"/>
      <c xmlns="http://schemas.openxmlformats.org/spreadsheetml/2006/main" r="Z303">
        <f>IF($D303="",0,IF(COUNTIF($D$5:$D303,$D303)=1,1,0))</f>
        <v>0.0</v>
      </c>
      <c xmlns="http://schemas.openxmlformats.org/spreadsheetml/2006/main" r="AA303" t="str">
        <f>IF(Z303=1,SUM($Z$5:$Z303),"")</f>
        <v/>
      </c>
    </row>
    <row r="304" spans="1:27">
      <c r="B304" s="22"/>
      <c r="C304" s="22"/>
      <c r="D304" s="22"/>
      <c r="E304" s="22"/>
      <c r="F304" s="23"/>
      <c r="G304" s="23"/>
      <c r="H304" s="24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6"/>
      <c xmlns="http://schemas.openxmlformats.org/spreadsheetml/2006/main" r="U304" s="23" t="str">
        <f t="shared" si="12"/>
        <v/>
      </c>
      <c xmlns="http://schemas.openxmlformats.org/spreadsheetml/2006/main" r="V304" s="22" t="str">
        <f t="shared" si="13"/>
        <v/>
      </c>
      <c xmlns="http://schemas.openxmlformats.org/spreadsheetml/2006/main" r="W304" s="18" t="str">
        <f t="shared" si="14"/>
        <v/>
      </c>
      <c r="X304" s="22"/>
      <c r="Y304" s="22"/>
      <c xmlns="http://schemas.openxmlformats.org/spreadsheetml/2006/main" r="Z304">
        <f>IF($D304="",0,IF(COUNTIF($D$5:$D304,$D304)=1,1,0))</f>
        <v>0.0</v>
      </c>
      <c xmlns="http://schemas.openxmlformats.org/spreadsheetml/2006/main" r="AA304" t="str">
        <f>IF(Z304=1,SUM($Z$5:$Z304),"")</f>
        <v/>
      </c>
    </row>
  </sheetData>
  <autoFilter ref="A4:Y304"/>
  <mergeCells count="29">
    <mergeCell ref="A3:A4"/>
    <mergeCell ref="A1:Y1"/>
    <mergeCell ref="A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6" type="noConversion"/>
  <conditionalFormatting sqref="B5:H304">
    <cfRule type="expression" dxfId="15" priority="5">
      <formula>ISNUMBER(SEARCH("⚠",$V5))</formula>
    </cfRule>
  </conditionalFormatting>
  <conditionalFormatting sqref="V5:V304">
    <cfRule type="expression" dxfId="14" priority="7">
      <formula>ISNUMBER(SEARCH("⚠",$V5))</formula>
    </cfRule>
    <cfRule type="expression" dxfId="13" priority="8">
      <formula>$V5="▲ 單一設備依賴"</formula>
    </cfRule>
    <cfRule type="expression" dxfId="12" priority="9">
      <formula>$V5="○ 免調理"</formula>
    </cfRule>
    <cfRule type="expression" dxfId="11" priority="10">
      <formula>$V5="OK"</formula>
    </cfRule>
  </conditionalFormatting>
  <conditionalFormatting sqref="A5:A292">
    <cfRule type="expression" dxfId="10" priority="4">
      <formula>ISNUMBER(SEARCH("⚠",$V5))</formula>
    </cfRule>
  </conditionalFormatting>
  <conditionalFormatting xmlns="http://schemas.openxmlformats.org/spreadsheetml/2006/main" sqref="A5:A304">
    <cfRule type="expression" dxfId="35" priority="1" stopIfTrue="1">
      <formula>AND($D5&lt;&gt;"",OR($A5="",COUNTIFS($D$5:$D$304,$D5,$A$5:$A$304,$A5)&lt;&gt;COUNTIF($D$5:$D$304,$D5)))</formula>
    </cfRule>
  </conditionalFormatting>
  <conditionalFormatting xmlns="http://schemas.openxmlformats.org/spreadsheetml/2006/main" sqref="Y5:Y304">
    <cfRule type="expression" dxfId="34" priority="2" stopIfTrue="1">
      <formula>AND($E5&lt;&gt;"",$Y5="")</formula>
    </cfRule>
  </conditionalFormatting>
  <conditionalFormatting xmlns="http://schemas.openxmlformats.org/spreadsheetml/2006/main" sqref="G5:G304">
    <cfRule type="expression" dxfId="34" priority="3" stopIfTrue="1">
      <formula>AND($E5&lt;&gt;"",$F5&lt;&gt;"",$G5="")</formula>
    </cfRule>
  </conditionalFormatting>
  <dataValidations xmlns="http://schemas.openxmlformats.org/spreadsheetml/2006/main" count="4">
    <dataValidation type="list" allowBlank="1" sqref="B5:B304" showDropDown="0" showErrorMessage="1" errorStyle="stop" errorTitle="請使用下拉選單" error="請選擇選單中的項目，或清除儲存格。">
      <formula1>"大溪,新豐,長家,晉欣"</formula1>
    </dataValidation>
    <dataValidation type="list" allowBlank="1" sqref="G5:G304" showDropDown="0" showErrorMessage="1" errorStyle="stop" errorTitle="請使用下拉選單" error="請選擇選單中的項目，或清除儲存格。">
      <formula1>"公克,個"</formula1>
    </dataValidation>
    <dataValidation type="list" allowBlank="1" sqref="I5:T304" showDropDown="0" showErrorMessage="1" errorStyle="stop" errorTitle="請使用下拉選單" error="請選擇選單中的項目，或清除儲存格。">
      <formula1>"V"</formula1>
    </dataValidation>
    <dataValidation type="list" sqref="A5:A304" allowBlank="1" showDropDown="0" showErrorMessage="1" errorStyle="stop" errorTitle="請使用下拉選單" error="請選擇選單中的項目，或清除儲存格。">
      <formula1>"架上,下架,待上架"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9DB0"/>
  </sheetPr>
  <dimension ref="A1:AA304"/>
  <sheetViews xmlns="http://schemas.openxmlformats.org/spreadsheetml/2006/main">
    <sheetView showGridLines="0" zoomScaleNormal="100" workbookViewId="0" topLeftCell="A1">
      <pane xSplit="5" ySplit="4" topLeftCell="F5" activePane="bottomRight" state="frozen"/>
      <selection pane="bottomRight" activeCell="F5" sqref="F5"/>
    </sheetView>
  </sheetViews>
  <sheetFormatPr defaultColWidth="8.6328125" defaultRowHeight="14.5"/>
  <cols xmlns="http://schemas.openxmlformats.org/spreadsheetml/2006/main">
    <col min="1" max="2" width="9" customWidth="1"/>
    <col min="3" max="3" width="12" customWidth="1"/>
    <col min="4" max="4" width="22" customWidth="1"/>
    <col min="5" max="5" width="26" customWidth="1"/>
    <col min="6" max="7" width="8" customWidth="1"/>
    <col min="8" max="8" width="9" customWidth="1"/>
    <col min="9" max="19" width="7" customWidth="1"/>
    <col min="20" max="20" width="9" customWidth="1"/>
    <col min="21" max="21" width="7" customWidth="1"/>
    <col min="22" max="22" width="13" customWidth="1"/>
    <col min="23" max="23" width="30" customWidth="1"/>
    <col min="24" max="24" width="20" customWidth="1"/>
    <col min="25" max="25" width="12" customWidth="1"/>
    <col min="26" max="26" width="13" hidden="1" customWidth="1"/>
    <col min="27" max="27" width="13" hidden="1" customWidth="1"/>
  </cols>
  <sheetData>
    <row r="1" spans="1:27" ht="30" customHeight="1">
      <c r="A1" s="61" t="s">
        <v>81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</row>
    <row r="2" spans="1:27" ht="19.5" customHeight="1">
      <c r="A2" s="59" t="s">
        <v>43</v>
      </c>
      <c r="B2" s="59"/>
      <c r="C2" s="59"/>
      <c r="D2" s="59"/>
      <c r="E2" s="59"/>
      <c r="F2" s="59"/>
      <c r="G2" s="59"/>
      <c r="H2" s="60"/>
      <c r="I2" s="53" t="s">
        <v>44</v>
      </c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 t="s">
        <v>45</v>
      </c>
      <c r="V2" s="53"/>
      <c r="W2" s="53"/>
      <c r="X2" s="53" t="s">
        <v>46</v>
      </c>
      <c r="Y2" s="53"/>
    </row>
    <row r="3" spans="1:27" ht="24" customHeight="1">
      <c r="A3" s="54" t="s">
        <v>336</v>
      </c>
      <c r="B3" s="48" t="s">
        <v>47</v>
      </c>
      <c r="C3" s="48" t="s">
        <v>48</v>
      </c>
      <c r="D3" s="48" t="s">
        <v>49</v>
      </c>
      <c r="E3" s="48" t="s">
        <v>50</v>
      </c>
      <c r="F3" s="51" t="s">
        <v>51</v>
      </c>
      <c r="G3" s="51"/>
      <c r="H3" s="48" t="s">
        <v>52</v>
      </c>
      <c r="I3" s="49" t="s">
        <v>53</v>
      </c>
      <c r="J3" s="49" t="s">
        <v>54</v>
      </c>
      <c r="K3" s="49" t="s">
        <v>55</v>
      </c>
      <c r="L3" s="49" t="s">
        <v>56</v>
      </c>
      <c r="M3" s="49" t="s">
        <v>57</v>
      </c>
      <c r="N3" s="49" t="s">
        <v>58</v>
      </c>
      <c r="O3" s="49" t="s">
        <v>59</v>
      </c>
      <c r="P3" s="49" t="s">
        <v>60</v>
      </c>
      <c r="Q3" s="49" t="s">
        <v>61</v>
      </c>
      <c r="R3" s="49" t="s">
        <v>62</v>
      </c>
      <c r="S3" s="49" t="s">
        <v>63</v>
      </c>
      <c r="T3" s="50" t="s">
        <v>64</v>
      </c>
      <c r="U3" s="48" t="s">
        <v>65</v>
      </c>
      <c r="V3" s="48" t="s">
        <v>66</v>
      </c>
      <c r="W3" s="48" t="s">
        <v>67</v>
      </c>
      <c r="X3" s="48" t="s">
        <v>68</v>
      </c>
      <c r="Y3" s="48" t="s">
        <v>69</v>
      </c>
      <c r="Z3" s="20" t="s">
        <v>70</v>
      </c>
      <c r="AA3" s="20" t="s">
        <v>71</v>
      </c>
    </row>
    <row r="4" spans="1:27" ht="18" customHeight="1">
      <c r="A4" s="48"/>
      <c r="B4" s="48"/>
      <c r="C4" s="48"/>
      <c r="D4" s="48"/>
      <c r="E4" s="48"/>
      <c r="F4" s="21" t="s">
        <v>72</v>
      </c>
      <c r="G4" s="21" t="s">
        <v>73</v>
      </c>
      <c r="H4" s="48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50"/>
      <c r="U4" s="48"/>
      <c r="V4" s="48"/>
      <c r="W4" s="48"/>
      <c r="X4" s="48"/>
      <c r="Y4" s="48"/>
    </row>
    <row r="5" spans="1:27">
      <c r="A5" s="22" t="s">
        <v>340</v>
      </c>
      <c r="B5" s="22" t="s">
        <v>127</v>
      </c>
      <c r="C5" s="22" t="s">
        <v>267</v>
      </c>
      <c r="D5" s="22" t="s">
        <v>242</v>
      </c>
      <c r="E5" s="22" t="s">
        <v>243</v>
      </c>
      <c r="F5" s="23">
        <v>76</v>
      </c>
      <c r="G5" s="23" t="s">
        <v>75</v>
      </c>
      <c r="H5" s="24">
        <v>56</v>
      </c>
      <c r="I5" s="25"/>
      <c r="J5" s="25"/>
      <c r="K5" s="25"/>
      <c r="L5" s="25"/>
      <c r="M5" s="25"/>
      <c r="N5" s="25"/>
      <c r="O5" s="25" t="s">
        <v>76</v>
      </c>
      <c r="P5" s="25"/>
      <c r="Q5" s="25"/>
      <c r="R5" s="25"/>
      <c r="S5" s="25"/>
      <c r="T5" s="26"/>
      <c xmlns="http://schemas.openxmlformats.org/spreadsheetml/2006/main" r="U5" s="23">
        <f t="shared" ref="U5:U68" si="0">IF($E5="","",COUNTIF($I5:$S5,"V"))</f>
        <v>1.0</v>
      </c>
      <c xmlns="http://schemas.openxmlformats.org/spreadsheetml/2006/main" r="V5" s="22" t="str">
        <f t="shared" ref="V5:V68" si="1">IF($E5="","",IF(AND($T5="V",$U5&gt;0),"⚠ 勾選矛盾",IF($T5="V","○ 免調理",IF($U5=0,"⚠ 資料缺漏",IF($U5=1,"▲ 單一設備依賴","OK")))))</f>
        <v>▲ 單一設備依賴</v>
      </c>
      <c xmlns="http://schemas.openxmlformats.org/spreadsheetml/2006/main" r="W5" s="18" t="str">
        <f t="shared" ref="W5:W68" si="2">IF($E5="","",IF(AND($T5="V",$U5&gt;0),"「無使用調理設備」不可與設備欄同時勾選，請擇一修正",IF($T5="V","免調理半成品（外購/僅切配等），不列入設備風險評估",IF($U5=0,"未勾選任何設備，請補填或勾選「無使用調理設備」",IF($U5=1,"僅依賴1台設備，須確認故障/排修時之備援製程","無異常")))))</f>
        <v>僅依賴1台設備，須確認故障/排修時之備援製程</v>
      </c>
      <c r="X5" s="22"/>
      <c r="Y5" s="22"/>
      <c xmlns="http://schemas.openxmlformats.org/spreadsheetml/2006/main" r="Z5">
        <f>IF($D5="",0,IF(COUNTIF($D$5:$D5,$D5)=1,1,0))</f>
        <v>1.0</v>
      </c>
      <c xmlns="http://schemas.openxmlformats.org/spreadsheetml/2006/main" r="AA5">
        <f>IF(Z5=1,SUM($Z$5:$Z5),"")</f>
        <v>1.0</v>
      </c>
    </row>
    <row r="6" spans="1:27">
      <c r="A6" s="22" t="s">
        <v>340</v>
      </c>
      <c r="B6" s="22" t="s">
        <v>127</v>
      </c>
      <c r="C6" s="22" t="s">
        <v>267</v>
      </c>
      <c r="D6" s="22" t="s">
        <v>242</v>
      </c>
      <c r="E6" s="22" t="s">
        <v>244</v>
      </c>
      <c r="F6" s="23">
        <v>2</v>
      </c>
      <c r="G6" s="23" t="s">
        <v>75</v>
      </c>
      <c r="H6" s="24">
        <v>68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 t="s">
        <v>76</v>
      </c>
      <c xmlns="http://schemas.openxmlformats.org/spreadsheetml/2006/main" r="U6" s="23">
        <f t="shared" si="0"/>
        <v>0.0</v>
      </c>
      <c xmlns="http://schemas.openxmlformats.org/spreadsheetml/2006/main" r="V6" s="22" t="str">
        <f t="shared" si="1"/>
        <v>○ 免調理</v>
      </c>
      <c xmlns="http://schemas.openxmlformats.org/spreadsheetml/2006/main" r="W6" s="18" t="str">
        <f t="shared" si="2"/>
        <v>免調理半成品（外購/僅切配等），不列入設備風險評估</v>
      </c>
      <c r="X6" s="22"/>
      <c r="Y6" s="22"/>
      <c xmlns="http://schemas.openxmlformats.org/spreadsheetml/2006/main" r="Z6">
        <f>IF($D6="",0,IF(COUNTIF($D$5:$D6,$D6)=1,1,0))</f>
        <v>0.0</v>
      </c>
      <c xmlns="http://schemas.openxmlformats.org/spreadsheetml/2006/main" r="AA6" t="str">
        <f>IF(Z6=1,SUM($Z$5:$Z6),"")</f>
        <v/>
      </c>
    </row>
    <row r="7" spans="1:27">
      <c r="A7" s="22" t="s">
        <v>340</v>
      </c>
      <c r="B7" s="22" t="s">
        <v>127</v>
      </c>
      <c r="C7" s="22" t="s">
        <v>267</v>
      </c>
      <c r="D7" s="22" t="s">
        <v>242</v>
      </c>
      <c r="E7" s="22" t="s">
        <v>197</v>
      </c>
      <c r="F7" s="23">
        <v>5</v>
      </c>
      <c r="G7" s="23" t="s">
        <v>75</v>
      </c>
      <c r="H7" s="24">
        <v>58</v>
      </c>
      <c r="I7" s="25"/>
      <c r="J7" s="25"/>
      <c r="K7" s="25" t="s">
        <v>76</v>
      </c>
      <c r="L7" s="25"/>
      <c r="M7" s="25"/>
      <c r="N7" s="25"/>
      <c r="O7" s="25"/>
      <c r="P7" s="25"/>
      <c r="Q7" s="25"/>
      <c r="R7" s="25"/>
      <c r="S7" s="25"/>
      <c r="T7" s="26"/>
      <c xmlns="http://schemas.openxmlformats.org/spreadsheetml/2006/main" r="U7" s="23">
        <f t="shared" si="0"/>
        <v>1.0</v>
      </c>
      <c xmlns="http://schemas.openxmlformats.org/spreadsheetml/2006/main" r="V7" s="22" t="str">
        <f t="shared" si="1"/>
        <v>▲ 單一設備依賴</v>
      </c>
      <c xmlns="http://schemas.openxmlformats.org/spreadsheetml/2006/main" r="W7" s="18" t="str">
        <f t="shared" si="2"/>
        <v>僅依賴1台設備，須確認故障/排修時之備援製程</v>
      </c>
      <c r="X7" s="22"/>
      <c r="Y7" s="22"/>
      <c xmlns="http://schemas.openxmlformats.org/spreadsheetml/2006/main" r="Z7">
        <f>IF($D7="",0,IF(COUNTIF($D$5:$D7,$D7)=1,1,0))</f>
        <v>0.0</v>
      </c>
      <c xmlns="http://schemas.openxmlformats.org/spreadsheetml/2006/main" r="AA7" t="str">
        <f>IF(Z7=1,SUM($Z$5:$Z7),"")</f>
        <v/>
      </c>
    </row>
    <row r="8" spans="1:27">
      <c r="A8" s="22" t="s">
        <v>340</v>
      </c>
      <c r="B8" s="22" t="s">
        <v>127</v>
      </c>
      <c r="C8" s="22" t="s">
        <v>267</v>
      </c>
      <c r="D8" s="22" t="s">
        <v>242</v>
      </c>
      <c r="E8" s="22" t="s">
        <v>245</v>
      </c>
      <c r="F8" s="23">
        <v>115</v>
      </c>
      <c r="G8" s="23" t="s">
        <v>75</v>
      </c>
      <c r="H8" s="24">
        <v>235</v>
      </c>
      <c r="I8" s="25"/>
      <c r="J8" s="25" t="s">
        <v>76</v>
      </c>
      <c r="K8" s="25"/>
      <c r="L8" s="25"/>
      <c r="M8" s="25"/>
      <c r="N8" s="25"/>
      <c r="O8" s="25"/>
      <c r="P8" s="25"/>
      <c r="Q8" s="25"/>
      <c r="R8" s="25"/>
      <c r="S8" s="25"/>
      <c r="T8" s="26"/>
      <c xmlns="http://schemas.openxmlformats.org/spreadsheetml/2006/main" r="U8" s="23">
        <f t="shared" si="0"/>
        <v>1.0</v>
      </c>
      <c xmlns="http://schemas.openxmlformats.org/spreadsheetml/2006/main" r="V8" s="22" t="str">
        <f t="shared" si="1"/>
        <v>▲ 單一設備依賴</v>
      </c>
      <c xmlns="http://schemas.openxmlformats.org/spreadsheetml/2006/main" r="W8" s="18" t="str">
        <f t="shared" si="2"/>
        <v>僅依賴1台設備，須確認故障/排修時之備援製程</v>
      </c>
      <c r="X8" s="22"/>
      <c r="Y8" s="22"/>
      <c xmlns="http://schemas.openxmlformats.org/spreadsheetml/2006/main" r="Z8">
        <f>IF($D8="",0,IF(COUNTIF($D$5:$D8,$D8)=1,1,0))</f>
        <v>0.0</v>
      </c>
      <c xmlns="http://schemas.openxmlformats.org/spreadsheetml/2006/main" r="AA8" t="str">
        <f>IF(Z8=1,SUM($Z$5:$Z8),"")</f>
        <v/>
      </c>
    </row>
    <row r="9" spans="1:27">
      <c r="A9" s="22" t="s">
        <v>337</v>
      </c>
      <c r="B9" s="22" t="s">
        <v>127</v>
      </c>
      <c r="C9" s="22" t="s">
        <v>267</v>
      </c>
      <c r="D9" s="22" t="s">
        <v>188</v>
      </c>
      <c r="E9" s="22" t="s">
        <v>246</v>
      </c>
      <c r="F9" s="23">
        <v>8</v>
      </c>
      <c r="G9" s="23" t="s">
        <v>75</v>
      </c>
      <c r="H9" s="24">
        <v>40</v>
      </c>
      <c r="I9" s="25"/>
      <c r="J9" s="25"/>
      <c r="K9" s="25"/>
      <c r="L9" s="25"/>
      <c r="M9" s="25" t="s">
        <v>76</v>
      </c>
      <c r="N9" s="25"/>
      <c r="O9" s="25"/>
      <c r="P9" s="25"/>
      <c r="Q9" s="25"/>
      <c r="R9" s="25"/>
      <c r="S9" s="25"/>
      <c r="T9" s="26"/>
      <c xmlns="http://schemas.openxmlformats.org/spreadsheetml/2006/main" r="U9" s="23">
        <f t="shared" si="0"/>
        <v>1.0</v>
      </c>
      <c xmlns="http://schemas.openxmlformats.org/spreadsheetml/2006/main" r="V9" s="22" t="str">
        <f t="shared" si="1"/>
        <v>▲ 單一設備依賴</v>
      </c>
      <c xmlns="http://schemas.openxmlformats.org/spreadsheetml/2006/main" r="W9" s="18" t="str">
        <f t="shared" si="2"/>
        <v>僅依賴1台設備，須確認故障/排修時之備援製程</v>
      </c>
      <c r="X9" s="22"/>
      <c r="Y9" s="22"/>
      <c xmlns="http://schemas.openxmlformats.org/spreadsheetml/2006/main" r="Z9">
        <f>IF($D9="",0,IF(COUNTIF($D$5:$D9,$D9)=1,1,0))</f>
        <v>1.0</v>
      </c>
      <c xmlns="http://schemas.openxmlformats.org/spreadsheetml/2006/main" r="AA9">
        <f>IF(Z9=1,SUM($Z$5:$Z9),"")</f>
        <v>2.0</v>
      </c>
    </row>
    <row r="10" spans="1:27">
      <c r="A10" s="22" t="s">
        <v>337</v>
      </c>
      <c r="B10" s="22" t="s">
        <v>127</v>
      </c>
      <c r="C10" s="22" t="s">
        <v>267</v>
      </c>
      <c r="D10" s="22" t="s">
        <v>188</v>
      </c>
      <c r="E10" s="22" t="s">
        <v>247</v>
      </c>
      <c r="F10" s="23">
        <v>80</v>
      </c>
      <c r="G10" s="23" t="s">
        <v>75</v>
      </c>
      <c r="H10" s="24">
        <v>58</v>
      </c>
      <c r="I10" s="25"/>
      <c r="J10" s="25"/>
      <c r="K10" s="25"/>
      <c r="L10" s="25"/>
      <c r="M10" s="25"/>
      <c r="N10" s="25"/>
      <c r="O10" s="25" t="s">
        <v>76</v>
      </c>
      <c r="P10" s="25"/>
      <c r="Q10" s="25"/>
      <c r="R10" s="25"/>
      <c r="S10" s="25"/>
      <c r="T10" s="26"/>
      <c xmlns="http://schemas.openxmlformats.org/spreadsheetml/2006/main" r="U10" s="23">
        <f t="shared" si="0"/>
        <v>1.0</v>
      </c>
      <c xmlns="http://schemas.openxmlformats.org/spreadsheetml/2006/main" r="V10" s="22" t="str">
        <f t="shared" si="1"/>
        <v>▲ 單一設備依賴</v>
      </c>
      <c xmlns="http://schemas.openxmlformats.org/spreadsheetml/2006/main" r="W10" s="18" t="str">
        <f t="shared" si="2"/>
        <v>僅依賴1台設備，須確認故障/排修時之備援製程</v>
      </c>
      <c r="X10" s="22"/>
      <c r="Y10" s="22"/>
      <c xmlns="http://schemas.openxmlformats.org/spreadsheetml/2006/main" r="Z10">
        <f>IF($D10="",0,IF(COUNTIF($D$5:$D10,$D10)=1,1,0))</f>
        <v>0.0</v>
      </c>
      <c xmlns="http://schemas.openxmlformats.org/spreadsheetml/2006/main" r="AA10" t="str">
        <f>IF(Z10=1,SUM($Z$5:$Z10),"")</f>
        <v/>
      </c>
    </row>
    <row r="11" spans="1:27">
      <c r="A11" s="22" t="s">
        <v>337</v>
      </c>
      <c r="B11" s="22" t="s">
        <v>127</v>
      </c>
      <c r="C11" s="22" t="s">
        <v>267</v>
      </c>
      <c r="D11" s="22" t="s">
        <v>188</v>
      </c>
      <c r="E11" s="22" t="s">
        <v>245</v>
      </c>
      <c r="F11" s="23">
        <v>115</v>
      </c>
      <c r="G11" s="23" t="s">
        <v>75</v>
      </c>
      <c r="H11" s="24">
        <v>235</v>
      </c>
      <c r="I11" s="25"/>
      <c r="J11" s="25" t="s">
        <v>76</v>
      </c>
      <c r="K11" s="25"/>
      <c r="L11" s="25"/>
      <c r="M11" s="25"/>
      <c r="N11" s="25"/>
      <c r="O11" s="25"/>
      <c r="P11" s="25"/>
      <c r="Q11" s="25"/>
      <c r="R11" s="25"/>
      <c r="S11" s="25"/>
      <c r="T11" s="26"/>
      <c xmlns="http://schemas.openxmlformats.org/spreadsheetml/2006/main" r="U11" s="23">
        <f t="shared" si="0"/>
        <v>1.0</v>
      </c>
      <c xmlns="http://schemas.openxmlformats.org/spreadsheetml/2006/main" r="V11" s="22" t="str">
        <f t="shared" si="1"/>
        <v>▲ 單一設備依賴</v>
      </c>
      <c xmlns="http://schemas.openxmlformats.org/spreadsheetml/2006/main" r="W11" s="18" t="str">
        <f t="shared" si="2"/>
        <v>僅依賴1台設備，須確認故障/排修時之備援製程</v>
      </c>
      <c r="X11" s="22"/>
      <c r="Y11" s="22"/>
      <c xmlns="http://schemas.openxmlformats.org/spreadsheetml/2006/main" r="Z11">
        <f>IF($D11="",0,IF(COUNTIF($D$5:$D11,$D11)=1,1,0))</f>
        <v>0.0</v>
      </c>
      <c xmlns="http://schemas.openxmlformats.org/spreadsheetml/2006/main" r="AA11" t="str">
        <f>IF(Z11=1,SUM($Z$5:$Z11),"")</f>
        <v/>
      </c>
    </row>
    <row r="12" spans="1:27">
      <c r="A12" s="22" t="s">
        <v>340</v>
      </c>
      <c r="B12" s="22" t="s">
        <v>127</v>
      </c>
      <c r="C12" s="22" t="s">
        <v>267</v>
      </c>
      <c r="D12" s="22" t="s">
        <v>248</v>
      </c>
      <c r="E12" s="22" t="s">
        <v>249</v>
      </c>
      <c r="F12" s="23">
        <v>10</v>
      </c>
      <c r="G12" s="23" t="s">
        <v>75</v>
      </c>
      <c r="H12" s="24">
        <v>73</v>
      </c>
      <c r="I12" s="25"/>
      <c r="J12" s="25"/>
      <c r="K12" s="25"/>
      <c r="L12" s="25"/>
      <c r="M12" s="25"/>
      <c r="N12" s="25"/>
      <c r="O12" s="25" t="s">
        <v>76</v>
      </c>
      <c r="P12" s="25"/>
      <c r="Q12" s="25"/>
      <c r="R12" s="25"/>
      <c r="S12" s="25"/>
      <c r="T12" s="26"/>
      <c xmlns="http://schemas.openxmlformats.org/spreadsheetml/2006/main" r="U12" s="23">
        <f t="shared" si="0"/>
        <v>1.0</v>
      </c>
      <c xmlns="http://schemas.openxmlformats.org/spreadsheetml/2006/main" r="V12" s="22" t="str">
        <f t="shared" si="1"/>
        <v>▲ 單一設備依賴</v>
      </c>
      <c xmlns="http://schemas.openxmlformats.org/spreadsheetml/2006/main" r="W12" s="18" t="str">
        <f t="shared" si="2"/>
        <v>僅依賴1台設備，須確認故障/排修時之備援製程</v>
      </c>
      <c r="X12" s="22"/>
      <c r="Y12" s="22"/>
      <c xmlns="http://schemas.openxmlformats.org/spreadsheetml/2006/main" r="Z12">
        <f>IF($D12="",0,IF(COUNTIF($D$5:$D12,$D12)=1,1,0))</f>
        <v>1.0</v>
      </c>
      <c xmlns="http://schemas.openxmlformats.org/spreadsheetml/2006/main" r="AA12">
        <f>IF(Z12=1,SUM($Z$5:$Z12),"")</f>
        <v>3.0</v>
      </c>
    </row>
    <row r="13" spans="1:27">
      <c r="A13" s="22" t="s">
        <v>340</v>
      </c>
      <c r="B13" s="22" t="s">
        <v>127</v>
      </c>
      <c r="C13" s="22" t="s">
        <v>267</v>
      </c>
      <c r="D13" s="22" t="s">
        <v>248</v>
      </c>
      <c r="E13" s="22" t="s">
        <v>250</v>
      </c>
      <c r="F13" s="23">
        <v>55</v>
      </c>
      <c r="G13" s="23" t="s">
        <v>75</v>
      </c>
      <c r="H13" s="24">
        <v>79</v>
      </c>
      <c r="I13" s="25"/>
      <c r="J13" s="25"/>
      <c r="K13" s="25"/>
      <c r="L13" s="25"/>
      <c r="M13" s="25"/>
      <c r="N13" s="25"/>
      <c r="O13" s="25" t="s">
        <v>76</v>
      </c>
      <c r="P13" s="25"/>
      <c r="Q13" s="25"/>
      <c r="R13" s="25"/>
      <c r="S13" s="25"/>
      <c r="T13" s="26"/>
      <c xmlns="http://schemas.openxmlformats.org/spreadsheetml/2006/main" r="U13" s="23">
        <f t="shared" si="0"/>
        <v>1.0</v>
      </c>
      <c xmlns="http://schemas.openxmlformats.org/spreadsheetml/2006/main" r="V13" s="22" t="str">
        <f t="shared" si="1"/>
        <v>▲ 單一設備依賴</v>
      </c>
      <c xmlns="http://schemas.openxmlformats.org/spreadsheetml/2006/main" r="W13" s="18" t="str">
        <f t="shared" si="2"/>
        <v>僅依賴1台設備，須確認故障/排修時之備援製程</v>
      </c>
      <c r="X13" s="22"/>
      <c r="Y13" s="22"/>
      <c xmlns="http://schemas.openxmlformats.org/spreadsheetml/2006/main" r="Z13">
        <f>IF($D13="",0,IF(COUNTIF($D$5:$D13,$D13)=1,1,0))</f>
        <v>0.0</v>
      </c>
      <c xmlns="http://schemas.openxmlformats.org/spreadsheetml/2006/main" r="AA13" t="str">
        <f>IF(Z13=1,SUM($Z$5:$Z13),"")</f>
        <v/>
      </c>
    </row>
    <row r="14" spans="1:27">
      <c r="A14" s="22" t="s">
        <v>340</v>
      </c>
      <c r="B14" s="22" t="s">
        <v>127</v>
      </c>
      <c r="C14" s="22" t="s">
        <v>267</v>
      </c>
      <c r="D14" s="22" t="s">
        <v>248</v>
      </c>
      <c r="E14" s="22" t="s">
        <v>251</v>
      </c>
      <c r="F14" s="23">
        <v>120</v>
      </c>
      <c r="G14" s="23" t="s">
        <v>75</v>
      </c>
      <c r="H14" s="24">
        <v>209</v>
      </c>
      <c r="I14" s="25"/>
      <c r="J14" s="25" t="s">
        <v>76</v>
      </c>
      <c r="K14" s="25"/>
      <c r="L14" s="25"/>
      <c r="M14" s="25"/>
      <c r="N14" s="25"/>
      <c r="O14" s="25"/>
      <c r="P14" s="25"/>
      <c r="Q14" s="25"/>
      <c r="R14" s="25"/>
      <c r="S14" s="25"/>
      <c r="T14" s="26"/>
      <c xmlns="http://schemas.openxmlformats.org/spreadsheetml/2006/main" r="U14" s="23">
        <f t="shared" si="0"/>
        <v>1.0</v>
      </c>
      <c xmlns="http://schemas.openxmlformats.org/spreadsheetml/2006/main" r="V14" s="22" t="str">
        <f t="shared" si="1"/>
        <v>▲ 單一設備依賴</v>
      </c>
      <c xmlns="http://schemas.openxmlformats.org/spreadsheetml/2006/main" r="W14" s="18" t="str">
        <f t="shared" si="2"/>
        <v>僅依賴1台設備，須確認故障/排修時之備援製程</v>
      </c>
      <c r="X14" s="22"/>
      <c r="Y14" s="22"/>
      <c xmlns="http://schemas.openxmlformats.org/spreadsheetml/2006/main" r="Z14">
        <f>IF($D14="",0,IF(COUNTIF($D$5:$D14,$D14)=1,1,0))</f>
        <v>0.0</v>
      </c>
      <c xmlns="http://schemas.openxmlformats.org/spreadsheetml/2006/main" r="AA14" t="str">
        <f>IF(Z14=1,SUM($Z$5:$Z14),"")</f>
        <v/>
      </c>
    </row>
    <row r="15" spans="1:27">
      <c r="A15" s="22" t="s">
        <v>340</v>
      </c>
      <c r="B15" s="22" t="s">
        <v>127</v>
      </c>
      <c r="C15" s="22" t="s">
        <v>267</v>
      </c>
      <c r="D15" s="22" t="s">
        <v>252</v>
      </c>
      <c r="E15" s="22" t="s">
        <v>253</v>
      </c>
      <c r="F15" s="23">
        <v>50</v>
      </c>
      <c r="G15" s="23" t="s">
        <v>75</v>
      </c>
      <c r="H15" s="24">
        <v>76</v>
      </c>
      <c r="I15" s="25"/>
      <c r="J15" s="25"/>
      <c r="K15" s="25"/>
      <c r="L15" s="25"/>
      <c r="M15" s="25"/>
      <c r="N15" s="25"/>
      <c r="O15" s="25" t="s">
        <v>76</v>
      </c>
      <c r="P15" s="25"/>
      <c r="Q15" s="25"/>
      <c r="R15" s="25"/>
      <c r="S15" s="25"/>
      <c r="T15" s="26"/>
      <c xmlns="http://schemas.openxmlformats.org/spreadsheetml/2006/main" r="U15" s="23">
        <f t="shared" si="0"/>
        <v>1.0</v>
      </c>
      <c xmlns="http://schemas.openxmlformats.org/spreadsheetml/2006/main" r="V15" s="22" t="str">
        <f t="shared" si="1"/>
        <v>▲ 單一設備依賴</v>
      </c>
      <c xmlns="http://schemas.openxmlformats.org/spreadsheetml/2006/main" r="W15" s="18" t="str">
        <f t="shared" si="2"/>
        <v>僅依賴1台設備，須確認故障/排修時之備援製程</v>
      </c>
      <c r="X15" s="22"/>
      <c r="Y15" s="22"/>
      <c xmlns="http://schemas.openxmlformats.org/spreadsheetml/2006/main" r="Z15">
        <f>IF($D15="",0,IF(COUNTIF($D$5:$D15,$D15)=1,1,0))</f>
        <v>1.0</v>
      </c>
      <c xmlns="http://schemas.openxmlformats.org/spreadsheetml/2006/main" r="AA15">
        <f>IF(Z15=1,SUM($Z$5:$Z15),"")</f>
        <v>4.0</v>
      </c>
    </row>
    <row r="16" spans="1:27">
      <c r="A16" s="22" t="s">
        <v>340</v>
      </c>
      <c r="B16" s="22" t="s">
        <v>127</v>
      </c>
      <c r="C16" s="22" t="s">
        <v>267</v>
      </c>
      <c r="D16" s="22" t="s">
        <v>252</v>
      </c>
      <c r="E16" s="22" t="s">
        <v>169</v>
      </c>
      <c r="F16" s="23">
        <v>8</v>
      </c>
      <c r="G16" s="23" t="s">
        <v>75</v>
      </c>
      <c r="H16" s="24">
        <v>40</v>
      </c>
      <c r="I16" s="25"/>
      <c r="J16" s="25"/>
      <c r="K16" s="25"/>
      <c r="L16" s="25"/>
      <c r="M16" s="25" t="s">
        <v>76</v>
      </c>
      <c r="N16" s="25"/>
      <c r="O16" s="25"/>
      <c r="P16" s="25"/>
      <c r="Q16" s="25"/>
      <c r="R16" s="25"/>
      <c r="S16" s="25"/>
      <c r="T16" s="26"/>
      <c xmlns="http://schemas.openxmlformats.org/spreadsheetml/2006/main" r="U16" s="23">
        <f t="shared" si="0"/>
        <v>1.0</v>
      </c>
      <c xmlns="http://schemas.openxmlformats.org/spreadsheetml/2006/main" r="V16" s="22" t="str">
        <f t="shared" si="1"/>
        <v>▲ 單一設備依賴</v>
      </c>
      <c xmlns="http://schemas.openxmlformats.org/spreadsheetml/2006/main" r="W16" s="18" t="str">
        <f t="shared" si="2"/>
        <v>僅依賴1台設備，須確認故障/排修時之備援製程</v>
      </c>
      <c r="X16" s="22"/>
      <c r="Y16" s="22"/>
      <c xmlns="http://schemas.openxmlformats.org/spreadsheetml/2006/main" r="Z16">
        <f>IF($D16="",0,IF(COUNTIF($D$5:$D16,$D16)=1,1,0))</f>
        <v>0.0</v>
      </c>
      <c xmlns="http://schemas.openxmlformats.org/spreadsheetml/2006/main" r="AA16" t="str">
        <f>IF(Z16=1,SUM($Z$5:$Z16),"")</f>
        <v/>
      </c>
    </row>
    <row r="17" spans="1:27">
      <c r="A17" s="22" t="s">
        <v>340</v>
      </c>
      <c r="B17" s="22" t="s">
        <v>127</v>
      </c>
      <c r="C17" s="22" t="s">
        <v>267</v>
      </c>
      <c r="D17" s="22" t="s">
        <v>252</v>
      </c>
      <c r="E17" s="22" t="s">
        <v>254</v>
      </c>
      <c r="F17" s="23">
        <v>120</v>
      </c>
      <c r="G17" s="23" t="s">
        <v>75</v>
      </c>
      <c r="H17" s="24">
        <v>190</v>
      </c>
      <c r="I17" s="25"/>
      <c r="J17" s="25" t="s">
        <v>76</v>
      </c>
      <c r="K17" s="25"/>
      <c r="L17" s="25"/>
      <c r="M17" s="25"/>
      <c r="N17" s="25"/>
      <c r="O17" s="25"/>
      <c r="P17" s="25"/>
      <c r="Q17" s="25"/>
      <c r="R17" s="25"/>
      <c r="S17" s="25"/>
      <c r="T17" s="26"/>
      <c xmlns="http://schemas.openxmlformats.org/spreadsheetml/2006/main" r="U17" s="23">
        <f t="shared" si="0"/>
        <v>1.0</v>
      </c>
      <c xmlns="http://schemas.openxmlformats.org/spreadsheetml/2006/main" r="V17" s="22" t="str">
        <f t="shared" si="1"/>
        <v>▲ 單一設備依賴</v>
      </c>
      <c xmlns="http://schemas.openxmlformats.org/spreadsheetml/2006/main" r="W17" s="18" t="str">
        <f t="shared" si="2"/>
        <v>僅依賴1台設備，須確認故障/排修時之備援製程</v>
      </c>
      <c r="X17" s="22"/>
      <c r="Y17" s="22"/>
      <c xmlns="http://schemas.openxmlformats.org/spreadsheetml/2006/main" r="Z17">
        <f>IF($D17="",0,IF(COUNTIF($D$5:$D17,$D17)=1,1,0))</f>
        <v>0.0</v>
      </c>
      <c xmlns="http://schemas.openxmlformats.org/spreadsheetml/2006/main" r="AA17" t="str">
        <f>IF(Z17=1,SUM($Z$5:$Z17),"")</f>
        <v/>
      </c>
    </row>
    <row r="18" spans="1:27">
      <c r="A18" s="22" t="s">
        <v>337</v>
      </c>
      <c r="B18" s="22" t="s">
        <v>127</v>
      </c>
      <c r="C18" s="22" t="s">
        <v>267</v>
      </c>
      <c r="D18" s="22" t="s">
        <v>255</v>
      </c>
      <c r="E18" s="22" t="s">
        <v>256</v>
      </c>
      <c r="F18" s="23">
        <v>100</v>
      </c>
      <c r="G18" s="23" t="s">
        <v>75</v>
      </c>
      <c r="H18" s="24">
        <v>63</v>
      </c>
      <c r="I18" s="25"/>
      <c r="J18" s="25"/>
      <c r="K18" s="25"/>
      <c r="L18" s="25"/>
      <c r="M18" s="25"/>
      <c r="N18" s="25"/>
      <c r="O18" s="25" t="s">
        <v>76</v>
      </c>
      <c r="P18" s="25"/>
      <c r="Q18" s="25"/>
      <c r="R18" s="25"/>
      <c r="S18" s="25"/>
      <c r="T18" s="26"/>
      <c xmlns="http://schemas.openxmlformats.org/spreadsheetml/2006/main" r="U18" s="23">
        <f t="shared" si="0"/>
        <v>1.0</v>
      </c>
      <c xmlns="http://schemas.openxmlformats.org/spreadsheetml/2006/main" r="V18" s="22" t="str">
        <f t="shared" si="1"/>
        <v>▲ 單一設備依賴</v>
      </c>
      <c xmlns="http://schemas.openxmlformats.org/spreadsheetml/2006/main" r="W18" s="18" t="str">
        <f t="shared" si="2"/>
        <v>僅依賴1台設備，須確認故障/排修時之備援製程</v>
      </c>
      <c r="X18" s="22"/>
      <c r="Y18" s="22"/>
      <c xmlns="http://schemas.openxmlformats.org/spreadsheetml/2006/main" r="Z18">
        <f>IF($D18="",0,IF(COUNTIF($D$5:$D18,$D18)=1,1,0))</f>
        <v>1.0</v>
      </c>
      <c xmlns="http://schemas.openxmlformats.org/spreadsheetml/2006/main" r="AA18">
        <f>IF(Z18=1,SUM($Z$5:$Z18),"")</f>
        <v>5.0</v>
      </c>
    </row>
    <row r="19" spans="1:27">
      <c r="A19" s="22" t="s">
        <v>337</v>
      </c>
      <c r="B19" s="22" t="s">
        <v>127</v>
      </c>
      <c r="C19" s="22" t="s">
        <v>267</v>
      </c>
      <c r="D19" s="22" t="s">
        <v>255</v>
      </c>
      <c r="E19" s="22" t="s">
        <v>245</v>
      </c>
      <c r="F19" s="23">
        <v>120</v>
      </c>
      <c r="G19" s="23" t="s">
        <v>75</v>
      </c>
      <c r="H19" s="24">
        <v>229</v>
      </c>
      <c r="I19" s="25"/>
      <c r="J19" s="25" t="s">
        <v>76</v>
      </c>
      <c r="K19" s="25"/>
      <c r="L19" s="25"/>
      <c r="M19" s="25"/>
      <c r="N19" s="25"/>
      <c r="O19" s="25"/>
      <c r="P19" s="25"/>
      <c r="Q19" s="25"/>
      <c r="R19" s="25"/>
      <c r="S19" s="25"/>
      <c r="T19" s="26"/>
      <c xmlns="http://schemas.openxmlformats.org/spreadsheetml/2006/main" r="U19" s="23">
        <f t="shared" si="0"/>
        <v>1.0</v>
      </c>
      <c xmlns="http://schemas.openxmlformats.org/spreadsheetml/2006/main" r="V19" s="22" t="str">
        <f t="shared" si="1"/>
        <v>▲ 單一設備依賴</v>
      </c>
      <c xmlns="http://schemas.openxmlformats.org/spreadsheetml/2006/main" r="W19" s="18" t="str">
        <f t="shared" si="2"/>
        <v>僅依賴1台設備，須確認故障/排修時之備援製程</v>
      </c>
      <c r="X19" s="22"/>
      <c r="Y19" s="22"/>
      <c xmlns="http://schemas.openxmlformats.org/spreadsheetml/2006/main" r="Z19">
        <f>IF($D19="",0,IF(COUNTIF($D$5:$D19,$D19)=1,1,0))</f>
        <v>0.0</v>
      </c>
      <c xmlns="http://schemas.openxmlformats.org/spreadsheetml/2006/main" r="AA19" t="str">
        <f>IF(Z19=1,SUM($Z$5:$Z19),"")</f>
        <v/>
      </c>
    </row>
    <row r="20" spans="1:27">
      <c r="A20" s="22" t="s">
        <v>340</v>
      </c>
      <c r="B20" s="22" t="s">
        <v>127</v>
      </c>
      <c r="C20" s="22" t="s">
        <v>267</v>
      </c>
      <c r="D20" s="22" t="s">
        <v>257</v>
      </c>
      <c r="E20" s="22" t="s">
        <v>258</v>
      </c>
      <c r="F20" s="23">
        <v>80</v>
      </c>
      <c r="G20" s="23" t="s">
        <v>75</v>
      </c>
      <c r="H20" s="24">
        <v>51</v>
      </c>
      <c r="I20" s="25"/>
      <c r="J20" s="25"/>
      <c r="K20" s="25"/>
      <c r="L20" s="25"/>
      <c r="M20" s="25"/>
      <c r="N20" s="25"/>
      <c r="O20" s="25" t="s">
        <v>76</v>
      </c>
      <c r="P20" s="25"/>
      <c r="Q20" s="25"/>
      <c r="R20" s="25"/>
      <c r="S20" s="25"/>
      <c r="T20" s="26"/>
      <c xmlns="http://schemas.openxmlformats.org/spreadsheetml/2006/main" r="U20" s="23">
        <f t="shared" si="0"/>
        <v>1.0</v>
      </c>
      <c xmlns="http://schemas.openxmlformats.org/spreadsheetml/2006/main" r="V20" s="22" t="str">
        <f t="shared" si="1"/>
        <v>▲ 單一設備依賴</v>
      </c>
      <c xmlns="http://schemas.openxmlformats.org/spreadsheetml/2006/main" r="W20" s="18" t="str">
        <f t="shared" si="2"/>
        <v>僅依賴1台設備，須確認故障/排修時之備援製程</v>
      </c>
      <c r="X20" s="22"/>
      <c r="Y20" s="22"/>
      <c xmlns="http://schemas.openxmlformats.org/spreadsheetml/2006/main" r="Z20">
        <f>IF($D20="",0,IF(COUNTIF($D$5:$D20,$D20)=1,1,0))</f>
        <v>1.0</v>
      </c>
      <c xmlns="http://schemas.openxmlformats.org/spreadsheetml/2006/main" r="AA20">
        <f>IF(Z20=1,SUM($Z$5:$Z20),"")</f>
        <v>6.0</v>
      </c>
    </row>
    <row r="21" spans="1:27">
      <c r="A21" s="22" t="s">
        <v>340</v>
      </c>
      <c r="B21" s="22" t="s">
        <v>127</v>
      </c>
      <c r="C21" s="22" t="s">
        <v>267</v>
      </c>
      <c r="D21" s="22" t="s">
        <v>257</v>
      </c>
      <c r="E21" s="22" t="s">
        <v>259</v>
      </c>
      <c r="F21" s="23">
        <v>12</v>
      </c>
      <c r="G21" s="23" t="s">
        <v>75</v>
      </c>
      <c r="H21" s="24">
        <v>48</v>
      </c>
      <c r="I21" s="25"/>
      <c r="J21" s="25"/>
      <c r="K21" s="25"/>
      <c r="L21" s="25"/>
      <c r="M21" s="25"/>
      <c r="N21" s="25"/>
      <c r="O21" s="25" t="s">
        <v>76</v>
      </c>
      <c r="P21" s="25"/>
      <c r="Q21" s="25"/>
      <c r="R21" s="25"/>
      <c r="S21" s="25"/>
      <c r="T21" s="26"/>
      <c xmlns="http://schemas.openxmlformats.org/spreadsheetml/2006/main" r="U21" s="23">
        <f t="shared" si="0"/>
        <v>1.0</v>
      </c>
      <c xmlns="http://schemas.openxmlformats.org/spreadsheetml/2006/main" r="V21" s="22" t="str">
        <f t="shared" si="1"/>
        <v>▲ 單一設備依賴</v>
      </c>
      <c xmlns="http://schemas.openxmlformats.org/spreadsheetml/2006/main" r="W21" s="18" t="str">
        <f t="shared" si="2"/>
        <v>僅依賴1台設備，須確認故障/排修時之備援製程</v>
      </c>
      <c r="X21" s="22"/>
      <c r="Y21" s="22"/>
      <c xmlns="http://schemas.openxmlformats.org/spreadsheetml/2006/main" r="Z21">
        <f>IF($D21="",0,IF(COUNTIF($D$5:$D21,$D21)=1,1,0))</f>
        <v>0.0</v>
      </c>
      <c xmlns="http://schemas.openxmlformats.org/spreadsheetml/2006/main" r="AA21" t="str">
        <f>IF(Z21=1,SUM($Z$5:$Z21),"")</f>
        <v/>
      </c>
    </row>
    <row r="22" spans="1:27">
      <c r="A22" s="22" t="s">
        <v>340</v>
      </c>
      <c r="B22" s="22" t="s">
        <v>127</v>
      </c>
      <c r="C22" s="22" t="s">
        <v>267</v>
      </c>
      <c r="D22" s="22" t="s">
        <v>257</v>
      </c>
      <c r="E22" s="22" t="s">
        <v>260</v>
      </c>
      <c r="F22" s="23">
        <v>6</v>
      </c>
      <c r="G22" s="23" t="s">
        <v>75</v>
      </c>
      <c r="H22" s="24">
        <v>70</v>
      </c>
      <c r="I22" s="25"/>
      <c r="J22" s="25"/>
      <c r="K22" s="25"/>
      <c r="L22" s="25"/>
      <c r="M22" s="25"/>
      <c r="N22" s="25"/>
      <c r="O22" s="25" t="s">
        <v>76</v>
      </c>
      <c r="P22" s="25"/>
      <c r="Q22" s="25"/>
      <c r="R22" s="25"/>
      <c r="S22" s="25"/>
      <c r="T22" s="26"/>
      <c xmlns="http://schemas.openxmlformats.org/spreadsheetml/2006/main" r="U22" s="23">
        <f t="shared" si="0"/>
        <v>1.0</v>
      </c>
      <c xmlns="http://schemas.openxmlformats.org/spreadsheetml/2006/main" r="V22" s="22" t="str">
        <f t="shared" si="1"/>
        <v>▲ 單一設備依賴</v>
      </c>
      <c xmlns="http://schemas.openxmlformats.org/spreadsheetml/2006/main" r="W22" s="18" t="str">
        <f t="shared" si="2"/>
        <v>僅依賴1台設備，須確認故障/排修時之備援製程</v>
      </c>
      <c r="X22" s="22"/>
      <c r="Y22" s="22"/>
      <c xmlns="http://schemas.openxmlformats.org/spreadsheetml/2006/main" r="Z22">
        <f>IF($D22="",0,IF(COUNTIF($D$5:$D22,$D22)=1,1,0))</f>
        <v>0.0</v>
      </c>
      <c xmlns="http://schemas.openxmlformats.org/spreadsheetml/2006/main" r="AA22" t="str">
        <f>IF(Z22=1,SUM($Z$5:$Z22),"")</f>
        <v/>
      </c>
    </row>
    <row r="23" spans="1:27">
      <c r="A23" s="22" t="s">
        <v>340</v>
      </c>
      <c r="B23" s="22" t="s">
        <v>127</v>
      </c>
      <c r="C23" s="22" t="s">
        <v>267</v>
      </c>
      <c r="D23" s="22" t="s">
        <v>257</v>
      </c>
      <c r="E23" s="22" t="s">
        <v>245</v>
      </c>
      <c r="F23" s="23">
        <v>120</v>
      </c>
      <c r="G23" s="23" t="s">
        <v>75</v>
      </c>
      <c r="H23" s="24">
        <v>235</v>
      </c>
      <c r="I23" s="25"/>
      <c r="J23" s="25" t="s">
        <v>76</v>
      </c>
      <c r="K23" s="25"/>
      <c r="L23" s="25"/>
      <c r="M23" s="25"/>
      <c r="N23" s="25"/>
      <c r="O23" s="25"/>
      <c r="P23" s="25"/>
      <c r="Q23" s="25"/>
      <c r="R23" s="25"/>
      <c r="S23" s="25"/>
      <c r="T23" s="26"/>
      <c xmlns="http://schemas.openxmlformats.org/spreadsheetml/2006/main" r="U23" s="23">
        <f t="shared" si="0"/>
        <v>1.0</v>
      </c>
      <c xmlns="http://schemas.openxmlformats.org/spreadsheetml/2006/main" r="V23" s="22" t="str">
        <f t="shared" si="1"/>
        <v>▲ 單一設備依賴</v>
      </c>
      <c xmlns="http://schemas.openxmlformats.org/spreadsheetml/2006/main" r="W23" s="18" t="str">
        <f t="shared" si="2"/>
        <v>僅依賴1台設備，須確認故障/排修時之備援製程</v>
      </c>
      <c r="X23" s="22"/>
      <c r="Y23" s="22"/>
      <c xmlns="http://schemas.openxmlformats.org/spreadsheetml/2006/main" r="Z23">
        <f>IF($D23="",0,IF(COUNTIF($D$5:$D23,$D23)=1,1,0))</f>
        <v>0.0</v>
      </c>
      <c xmlns="http://schemas.openxmlformats.org/spreadsheetml/2006/main" r="AA23" t="str">
        <f>IF(Z23=1,SUM($Z$5:$Z23),"")</f>
        <v/>
      </c>
    </row>
    <row r="24" spans="1:27">
      <c r="A24" s="22" t="s">
        <v>340</v>
      </c>
      <c r="B24" s="22" t="s">
        <v>127</v>
      </c>
      <c r="C24" s="22" t="s">
        <v>267</v>
      </c>
      <c r="D24" s="22" t="s">
        <v>261</v>
      </c>
      <c r="E24" s="22" t="s">
        <v>262</v>
      </c>
      <c r="F24" s="23">
        <v>70</v>
      </c>
      <c r="G24" s="23" t="s">
        <v>75</v>
      </c>
      <c r="H24" s="24">
        <v>70</v>
      </c>
      <c r="I24" s="25"/>
      <c r="J24" s="25"/>
      <c r="K24" s="25"/>
      <c r="L24" s="25"/>
      <c r="M24" s="25"/>
      <c r="N24" s="25"/>
      <c r="O24" s="25" t="s">
        <v>76</v>
      </c>
      <c r="P24" s="25"/>
      <c r="Q24" s="25"/>
      <c r="R24" s="25"/>
      <c r="S24" s="25"/>
      <c r="T24" s="26"/>
      <c xmlns="http://schemas.openxmlformats.org/spreadsheetml/2006/main" r="U24" s="23">
        <f t="shared" si="0"/>
        <v>1.0</v>
      </c>
      <c xmlns="http://schemas.openxmlformats.org/spreadsheetml/2006/main" r="V24" s="22" t="str">
        <f t="shared" si="1"/>
        <v>▲ 單一設備依賴</v>
      </c>
      <c xmlns="http://schemas.openxmlformats.org/spreadsheetml/2006/main" r="W24" s="18" t="str">
        <f t="shared" si="2"/>
        <v>僅依賴1台設備，須確認故障/排修時之備援製程</v>
      </c>
      <c r="X24" s="22"/>
      <c r="Y24" s="22"/>
      <c xmlns="http://schemas.openxmlformats.org/spreadsheetml/2006/main" r="Z24">
        <f>IF($D24="",0,IF(COUNTIF($D$5:$D24,$D24)=1,1,0))</f>
        <v>1.0</v>
      </c>
      <c xmlns="http://schemas.openxmlformats.org/spreadsheetml/2006/main" r="AA24">
        <f>IF(Z24=1,SUM($Z$5:$Z24),"")</f>
        <v>7.0</v>
      </c>
    </row>
    <row r="25" spans="1:27">
      <c r="A25" s="22" t="s">
        <v>340</v>
      </c>
      <c r="B25" s="22" t="s">
        <v>127</v>
      </c>
      <c r="C25" s="22" t="s">
        <v>267</v>
      </c>
      <c r="D25" s="22" t="s">
        <v>261</v>
      </c>
      <c r="E25" s="22" t="s">
        <v>245</v>
      </c>
      <c r="F25" s="23">
        <v>120</v>
      </c>
      <c r="G25" s="23" t="s">
        <v>75</v>
      </c>
      <c r="H25" s="24">
        <v>229</v>
      </c>
      <c r="I25" s="25"/>
      <c r="J25" s="25" t="s">
        <v>76</v>
      </c>
      <c r="K25" s="25"/>
      <c r="L25" s="25"/>
      <c r="M25" s="25"/>
      <c r="N25" s="25"/>
      <c r="O25" s="25"/>
      <c r="P25" s="25"/>
      <c r="Q25" s="25"/>
      <c r="R25" s="25"/>
      <c r="S25" s="25"/>
      <c r="T25" s="26"/>
      <c xmlns="http://schemas.openxmlformats.org/spreadsheetml/2006/main" r="U25" s="23">
        <f t="shared" si="0"/>
        <v>1.0</v>
      </c>
      <c xmlns="http://schemas.openxmlformats.org/spreadsheetml/2006/main" r="V25" s="22" t="str">
        <f t="shared" si="1"/>
        <v>▲ 單一設備依賴</v>
      </c>
      <c xmlns="http://schemas.openxmlformats.org/spreadsheetml/2006/main" r="W25" s="18" t="str">
        <f t="shared" si="2"/>
        <v>僅依賴1台設備，須確認故障/排修時之備援製程</v>
      </c>
      <c r="X25" s="22"/>
      <c r="Y25" s="22"/>
      <c xmlns="http://schemas.openxmlformats.org/spreadsheetml/2006/main" r="Z25">
        <f>IF($D25="",0,IF(COUNTIF($D$5:$D25,$D25)=1,1,0))</f>
        <v>0.0</v>
      </c>
      <c xmlns="http://schemas.openxmlformats.org/spreadsheetml/2006/main" r="AA25" t="str">
        <f>IF(Z25=1,SUM($Z$5:$Z25),"")</f>
        <v/>
      </c>
    </row>
    <row r="26" spans="1:27">
      <c r="A26" s="22" t="s">
        <v>340</v>
      </c>
      <c r="B26" s="22" t="s">
        <v>127</v>
      </c>
      <c r="C26" s="22" t="s">
        <v>267</v>
      </c>
      <c r="D26" s="22" t="s">
        <v>263</v>
      </c>
      <c r="E26" s="22" t="s">
        <v>264</v>
      </c>
      <c r="F26" s="23">
        <v>85</v>
      </c>
      <c r="G26" s="23" t="s">
        <v>75</v>
      </c>
      <c r="H26" s="24">
        <v>44</v>
      </c>
      <c r="I26" s="25"/>
      <c r="J26" s="25"/>
      <c r="K26" s="25"/>
      <c r="L26" s="25"/>
      <c r="M26" s="25"/>
      <c r="N26" s="25"/>
      <c r="O26" s="25" t="s">
        <v>76</v>
      </c>
      <c r="P26" s="25"/>
      <c r="Q26" s="25"/>
      <c r="R26" s="25"/>
      <c r="S26" s="25"/>
      <c r="T26" s="26"/>
      <c xmlns="http://schemas.openxmlformats.org/spreadsheetml/2006/main" r="U26" s="23">
        <f t="shared" si="0"/>
        <v>1.0</v>
      </c>
      <c xmlns="http://schemas.openxmlformats.org/spreadsheetml/2006/main" r="V26" s="22" t="str">
        <f t="shared" si="1"/>
        <v>▲ 單一設備依賴</v>
      </c>
      <c xmlns="http://schemas.openxmlformats.org/spreadsheetml/2006/main" r="W26" s="18" t="str">
        <f t="shared" si="2"/>
        <v>僅依賴1台設備，須確認故障/排修時之備援製程</v>
      </c>
      <c r="X26" s="22"/>
      <c r="Y26" s="22"/>
      <c xmlns="http://schemas.openxmlformats.org/spreadsheetml/2006/main" r="Z26">
        <f>IF($D26="",0,IF(COUNTIF($D$5:$D26,$D26)=1,1,0))</f>
        <v>1.0</v>
      </c>
      <c xmlns="http://schemas.openxmlformats.org/spreadsheetml/2006/main" r="AA26">
        <f>IF(Z26=1,SUM($Z$5:$Z26),"")</f>
        <v>8.0</v>
      </c>
    </row>
    <row r="27" spans="1:27">
      <c r="A27" s="22" t="s">
        <v>340</v>
      </c>
      <c r="B27" s="22" t="s">
        <v>127</v>
      </c>
      <c r="C27" s="22" t="s">
        <v>267</v>
      </c>
      <c r="D27" s="22" t="s">
        <v>263</v>
      </c>
      <c r="E27" s="22" t="s">
        <v>212</v>
      </c>
      <c r="F27" s="23">
        <v>15</v>
      </c>
      <c r="G27" s="23" t="s">
        <v>75</v>
      </c>
      <c r="H27" s="24">
        <v>100</v>
      </c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 t="s">
        <v>76</v>
      </c>
      <c xmlns="http://schemas.openxmlformats.org/spreadsheetml/2006/main" r="U27" s="23">
        <f t="shared" si="0"/>
        <v>0.0</v>
      </c>
      <c xmlns="http://schemas.openxmlformats.org/spreadsheetml/2006/main" r="V27" s="22" t="str">
        <f t="shared" si="1"/>
        <v>○ 免調理</v>
      </c>
      <c xmlns="http://schemas.openxmlformats.org/spreadsheetml/2006/main" r="W27" s="18" t="str">
        <f t="shared" si="2"/>
        <v>免調理半成品（外購/僅切配等），不列入設備風險評估</v>
      </c>
      <c r="X27" s="22"/>
      <c r="Y27" s="22"/>
      <c xmlns="http://schemas.openxmlformats.org/spreadsheetml/2006/main" r="Z27">
        <f>IF($D27="",0,IF(COUNTIF($D$5:$D27,$D27)=1,1,0))</f>
        <v>0.0</v>
      </c>
      <c xmlns="http://schemas.openxmlformats.org/spreadsheetml/2006/main" r="AA27" t="str">
        <f>IF(Z27=1,SUM($Z$5:$Z27),"")</f>
        <v/>
      </c>
    </row>
    <row r="28" spans="1:27">
      <c r="A28" s="22" t="s">
        <v>340</v>
      </c>
      <c r="B28" s="22" t="s">
        <v>127</v>
      </c>
      <c r="C28" s="22" t="s">
        <v>267</v>
      </c>
      <c r="D28" s="22" t="s">
        <v>263</v>
      </c>
      <c r="E28" s="22" t="s">
        <v>245</v>
      </c>
      <c r="F28" s="23">
        <v>120</v>
      </c>
      <c r="G28" s="23" t="s">
        <v>75</v>
      </c>
      <c r="H28" s="24">
        <v>235</v>
      </c>
      <c r="I28" s="25"/>
      <c r="J28" s="25" t="s">
        <v>76</v>
      </c>
      <c r="K28" s="25"/>
      <c r="L28" s="25"/>
      <c r="M28" s="25"/>
      <c r="N28" s="25"/>
      <c r="O28" s="25"/>
      <c r="P28" s="25"/>
      <c r="Q28" s="25"/>
      <c r="R28" s="25"/>
      <c r="S28" s="25"/>
      <c r="T28" s="26"/>
      <c xmlns="http://schemas.openxmlformats.org/spreadsheetml/2006/main" r="U28" s="23">
        <f t="shared" si="0"/>
        <v>1.0</v>
      </c>
      <c xmlns="http://schemas.openxmlformats.org/spreadsheetml/2006/main" r="V28" s="22" t="str">
        <f t="shared" si="1"/>
        <v>▲ 單一設備依賴</v>
      </c>
      <c xmlns="http://schemas.openxmlformats.org/spreadsheetml/2006/main" r="W28" s="18" t="str">
        <f t="shared" si="2"/>
        <v>僅依賴1台設備，須確認故障/排修時之備援製程</v>
      </c>
      <c r="X28" s="22"/>
      <c r="Y28" s="22"/>
      <c xmlns="http://schemas.openxmlformats.org/spreadsheetml/2006/main" r="Z28">
        <f>IF($D28="",0,IF(COUNTIF($D$5:$D28,$D28)=1,1,0))</f>
        <v>0.0</v>
      </c>
      <c xmlns="http://schemas.openxmlformats.org/spreadsheetml/2006/main" r="AA28" t="str">
        <f>IF(Z28=1,SUM($Z$5:$Z28),"")</f>
        <v/>
      </c>
    </row>
    <row r="29" spans="1:27">
      <c r="A29" s="22" t="s">
        <v>340</v>
      </c>
      <c r="B29" s="22" t="s">
        <v>127</v>
      </c>
      <c r="C29" s="22" t="s">
        <v>267</v>
      </c>
      <c r="D29" s="22" t="s">
        <v>334</v>
      </c>
      <c r="E29" s="22" t="s">
        <v>268</v>
      </c>
      <c r="F29" s="23">
        <v>55</v>
      </c>
      <c r="G29" s="23" t="s">
        <v>75</v>
      </c>
      <c r="H29" s="24">
        <v>79</v>
      </c>
      <c r="I29" s="25"/>
      <c r="J29" s="25"/>
      <c r="K29" s="25"/>
      <c r="L29" s="25"/>
      <c r="M29" s="25"/>
      <c r="N29" s="25"/>
      <c r="O29" s="25" t="s">
        <v>76</v>
      </c>
      <c r="P29" s="25"/>
      <c r="Q29" s="25"/>
      <c r="R29" s="25"/>
      <c r="S29" s="25"/>
      <c r="T29" s="26"/>
      <c xmlns="http://schemas.openxmlformats.org/spreadsheetml/2006/main" r="U29" s="23">
        <f t="shared" si="0"/>
        <v>1.0</v>
      </c>
      <c xmlns="http://schemas.openxmlformats.org/spreadsheetml/2006/main" r="V29" s="22" t="str">
        <f t="shared" si="1"/>
        <v>▲ 單一設備依賴</v>
      </c>
      <c xmlns="http://schemas.openxmlformats.org/spreadsheetml/2006/main" r="W29" s="18" t="str">
        <f t="shared" si="2"/>
        <v>僅依賴1台設備，須確認故障/排修時之備援製程</v>
      </c>
      <c r="X29" s="22" t="s">
        <v>269</v>
      </c>
      <c r="Y29" s="22" t="s">
        <v>270</v>
      </c>
      <c xmlns="http://schemas.openxmlformats.org/spreadsheetml/2006/main" r="Z29">
        <f>IF($D29="",0,IF(COUNTIF($D$5:$D29,$D29)=1,1,0))</f>
        <v>1.0</v>
      </c>
      <c xmlns="http://schemas.openxmlformats.org/spreadsheetml/2006/main" r="AA29">
        <f>IF(Z29=1,SUM($Z$5:$Z29),"")</f>
        <v>9.0</v>
      </c>
    </row>
    <row r="30" spans="1:27">
      <c r="A30" s="22" t="s">
        <v>340</v>
      </c>
      <c r="B30" s="22" t="s">
        <v>127</v>
      </c>
      <c r="C30" s="22" t="s">
        <v>267</v>
      </c>
      <c r="D30" s="22" t="s">
        <v>334</v>
      </c>
      <c r="E30" s="22" t="s">
        <v>200</v>
      </c>
      <c r="F30" s="23">
        <v>6</v>
      </c>
      <c r="G30" s="23" t="s">
        <v>75</v>
      </c>
      <c r="H30" s="24">
        <v>68</v>
      </c>
      <c r="I30" s="25"/>
      <c r="J30" s="25"/>
      <c r="K30" s="25"/>
      <c r="L30" s="25"/>
      <c r="M30" s="25"/>
      <c r="N30" s="25"/>
      <c r="O30" s="25" t="s">
        <v>76</v>
      </c>
      <c r="P30" s="25"/>
      <c r="Q30" s="25"/>
      <c r="R30" s="25"/>
      <c r="S30" s="25"/>
      <c r="T30" s="26"/>
      <c xmlns="http://schemas.openxmlformats.org/spreadsheetml/2006/main" r="U30" s="23">
        <f t="shared" si="0"/>
        <v>1.0</v>
      </c>
      <c xmlns="http://schemas.openxmlformats.org/spreadsheetml/2006/main" r="V30" s="22" t="str">
        <f t="shared" si="1"/>
        <v>▲ 單一設備依賴</v>
      </c>
      <c xmlns="http://schemas.openxmlformats.org/spreadsheetml/2006/main" r="W30" s="18" t="str">
        <f t="shared" si="2"/>
        <v>僅依賴1台設備，須確認故障/排修時之備援製程</v>
      </c>
      <c r="X30" s="22" t="s">
        <v>269</v>
      </c>
      <c r="Y30" s="22" t="s">
        <v>270</v>
      </c>
      <c xmlns="http://schemas.openxmlformats.org/spreadsheetml/2006/main" r="Z30">
        <f>IF($D30="",0,IF(COUNTIF($D$5:$D30,$D30)=1,1,0))</f>
        <v>0.0</v>
      </c>
      <c xmlns="http://schemas.openxmlformats.org/spreadsheetml/2006/main" r="AA30" t="str">
        <f>IF(Z30=1,SUM($Z$5:$Z30),"")</f>
        <v/>
      </c>
    </row>
    <row r="31" spans="1:27">
      <c r="A31" s="22" t="s">
        <v>340</v>
      </c>
      <c r="B31" s="22" t="s">
        <v>127</v>
      </c>
      <c r="C31" s="22" t="s">
        <v>267</v>
      </c>
      <c r="D31" s="22" t="s">
        <v>334</v>
      </c>
      <c r="E31" s="22" t="s">
        <v>201</v>
      </c>
      <c r="F31" s="23">
        <v>8</v>
      </c>
      <c r="G31" s="23" t="s">
        <v>75</v>
      </c>
      <c r="H31" s="24">
        <v>74</v>
      </c>
      <c r="I31" s="25"/>
      <c r="J31" s="25"/>
      <c r="K31" s="25"/>
      <c r="L31" s="25"/>
      <c r="M31" s="25"/>
      <c r="N31" s="25"/>
      <c r="O31" s="25" t="s">
        <v>76</v>
      </c>
      <c r="P31" s="25"/>
      <c r="Q31" s="25"/>
      <c r="R31" s="25"/>
      <c r="S31" s="25"/>
      <c r="T31" s="26"/>
      <c xmlns="http://schemas.openxmlformats.org/spreadsheetml/2006/main" r="U31" s="23">
        <f t="shared" si="0"/>
        <v>1.0</v>
      </c>
      <c xmlns="http://schemas.openxmlformats.org/spreadsheetml/2006/main" r="V31" s="22" t="str">
        <f t="shared" si="1"/>
        <v>▲ 單一設備依賴</v>
      </c>
      <c xmlns="http://schemas.openxmlformats.org/spreadsheetml/2006/main" r="W31" s="18" t="str">
        <f t="shared" si="2"/>
        <v>僅依賴1台設備，須確認故障/排修時之備援製程</v>
      </c>
      <c r="X31" s="22" t="s">
        <v>269</v>
      </c>
      <c r="Y31" s="22" t="s">
        <v>270</v>
      </c>
      <c xmlns="http://schemas.openxmlformats.org/spreadsheetml/2006/main" r="Z31">
        <f>IF($D31="",0,IF(COUNTIF($D$5:$D31,$D31)=1,1,0))</f>
        <v>0.0</v>
      </c>
      <c xmlns="http://schemas.openxmlformats.org/spreadsheetml/2006/main" r="AA31" t="str">
        <f>IF(Z31=1,SUM($Z$5:$Z31),"")</f>
        <v/>
      </c>
    </row>
    <row r="32" spans="1:27">
      <c r="A32" s="22" t="s">
        <v>340</v>
      </c>
      <c r="B32" s="22" t="s">
        <v>127</v>
      </c>
      <c r="C32" s="22" t="s">
        <v>267</v>
      </c>
      <c r="D32" s="22" t="s">
        <v>334</v>
      </c>
      <c r="E32" s="22" t="s">
        <v>204</v>
      </c>
      <c r="F32" s="23">
        <v>1</v>
      </c>
      <c r="G32" s="23" t="s">
        <v>75</v>
      </c>
      <c r="H32" s="24">
        <v>90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6" t="s">
        <v>76</v>
      </c>
      <c xmlns="http://schemas.openxmlformats.org/spreadsheetml/2006/main" r="U32" s="23">
        <f t="shared" si="0"/>
        <v>0.0</v>
      </c>
      <c xmlns="http://schemas.openxmlformats.org/spreadsheetml/2006/main" r="V32" s="22" t="str">
        <f t="shared" si="1"/>
        <v>○ 免調理</v>
      </c>
      <c xmlns="http://schemas.openxmlformats.org/spreadsheetml/2006/main" r="W32" s="18" t="str">
        <f t="shared" si="2"/>
        <v>免調理半成品（外購/僅切配等），不列入設備風險評估</v>
      </c>
      <c r="X32" s="22" t="s">
        <v>269</v>
      </c>
      <c r="Y32" s="22" t="s">
        <v>270</v>
      </c>
      <c xmlns="http://schemas.openxmlformats.org/spreadsheetml/2006/main" r="Z32">
        <f>IF($D32="",0,IF(COUNTIF($D$5:$D32,$D32)=1,1,0))</f>
        <v>0.0</v>
      </c>
      <c xmlns="http://schemas.openxmlformats.org/spreadsheetml/2006/main" r="AA32" t="str">
        <f>IF(Z32=1,SUM($Z$5:$Z32),"")</f>
        <v/>
      </c>
    </row>
    <row r="33" spans="1:27">
      <c r="A33" s="22" t="s">
        <v>340</v>
      </c>
      <c r="B33" s="22" t="s">
        <v>127</v>
      </c>
      <c r="C33" s="22" t="s">
        <v>267</v>
      </c>
      <c r="D33" s="22" t="s">
        <v>334</v>
      </c>
      <c r="E33" s="22" t="s">
        <v>245</v>
      </c>
      <c r="F33" s="23">
        <v>120</v>
      </c>
      <c r="G33" s="23" t="s">
        <v>75</v>
      </c>
      <c r="H33" s="24">
        <v>229</v>
      </c>
      <c r="I33" s="25"/>
      <c r="J33" s="25" t="s">
        <v>76</v>
      </c>
      <c r="K33" s="25"/>
      <c r="L33" s="25"/>
      <c r="M33" s="25"/>
      <c r="N33" s="25"/>
      <c r="O33" s="25"/>
      <c r="P33" s="25"/>
      <c r="Q33" s="25"/>
      <c r="R33" s="25"/>
      <c r="S33" s="25"/>
      <c r="T33" s="26"/>
      <c xmlns="http://schemas.openxmlformats.org/spreadsheetml/2006/main" r="U33" s="23">
        <f t="shared" si="0"/>
        <v>1.0</v>
      </c>
      <c xmlns="http://schemas.openxmlformats.org/spreadsheetml/2006/main" r="V33" s="22" t="str">
        <f t="shared" si="1"/>
        <v>▲ 單一設備依賴</v>
      </c>
      <c xmlns="http://schemas.openxmlformats.org/spreadsheetml/2006/main" r="W33" s="18" t="str">
        <f t="shared" si="2"/>
        <v>僅依賴1台設備，須確認故障/排修時之備援製程</v>
      </c>
      <c r="X33" s="22" t="s">
        <v>269</v>
      </c>
      <c r="Y33" s="22" t="s">
        <v>270</v>
      </c>
      <c xmlns="http://schemas.openxmlformats.org/spreadsheetml/2006/main" r="Z33">
        <f>IF($D33="",0,IF(COUNTIF($D$5:$D33,$D33)=1,1,0))</f>
        <v>0.0</v>
      </c>
      <c xmlns="http://schemas.openxmlformats.org/spreadsheetml/2006/main" r="AA33" t="str">
        <f>IF(Z33=1,SUM($Z$5:$Z33),"")</f>
        <v/>
      </c>
    </row>
    <row r="34" spans="1:27">
      <c r="A34" s="22"/>
      <c r="B34" s="22"/>
      <c r="C34" s="22"/>
      <c r="D34" s="22"/>
      <c r="E34" s="22"/>
      <c r="F34" s="23"/>
      <c r="G34" s="23"/>
      <c r="H34" s="24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6"/>
      <c xmlns="http://schemas.openxmlformats.org/spreadsheetml/2006/main" r="U34" s="23" t="str">
        <f t="shared" si="0"/>
        <v/>
      </c>
      <c xmlns="http://schemas.openxmlformats.org/spreadsheetml/2006/main" r="V34" s="22" t="str">
        <f t="shared" si="1"/>
        <v/>
      </c>
      <c xmlns="http://schemas.openxmlformats.org/spreadsheetml/2006/main" r="W34" s="18" t="str">
        <f t="shared" si="2"/>
        <v/>
      </c>
      <c r="X34" s="22"/>
      <c r="Y34" s="22"/>
      <c xmlns="http://schemas.openxmlformats.org/spreadsheetml/2006/main" r="Z34">
        <f>IF($D34="",0,IF(COUNTIF($D$5:$D34,$D34)=1,1,0))</f>
        <v>0.0</v>
      </c>
      <c xmlns="http://schemas.openxmlformats.org/spreadsheetml/2006/main" r="AA34" t="str">
        <f>IF(Z34=1,SUM($Z$5:$Z34),"")</f>
        <v/>
      </c>
    </row>
    <row r="35" spans="1:27">
      <c r="A35" s="22"/>
      <c r="B35" s="22"/>
      <c r="C35" s="22"/>
      <c r="D35" s="22"/>
      <c r="E35" s="22"/>
      <c r="F35" s="23"/>
      <c r="G35" s="23"/>
      <c r="H35" s="24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6"/>
      <c xmlns="http://schemas.openxmlformats.org/spreadsheetml/2006/main" r="U35" s="23" t="str">
        <f t="shared" si="0"/>
        <v/>
      </c>
      <c xmlns="http://schemas.openxmlformats.org/spreadsheetml/2006/main" r="V35" s="22" t="str">
        <f t="shared" si="1"/>
        <v/>
      </c>
      <c xmlns="http://schemas.openxmlformats.org/spreadsheetml/2006/main" r="W35" s="18" t="str">
        <f t="shared" si="2"/>
        <v/>
      </c>
      <c r="X35" s="22"/>
      <c r="Y35" s="22"/>
      <c xmlns="http://schemas.openxmlformats.org/spreadsheetml/2006/main" r="Z35">
        <f>IF($D35="",0,IF(COUNTIF($D$5:$D35,$D35)=1,1,0))</f>
        <v>0.0</v>
      </c>
      <c xmlns="http://schemas.openxmlformats.org/spreadsheetml/2006/main" r="AA35" t="str">
        <f>IF(Z35=1,SUM($Z$5:$Z35),"")</f>
        <v/>
      </c>
    </row>
    <row r="36" spans="1:27">
      <c r="A36" s="22"/>
      <c r="B36" s="22"/>
      <c r="C36" s="22"/>
      <c r="D36" s="22"/>
      <c r="E36" s="22"/>
      <c r="F36" s="23"/>
      <c r="G36" s="23"/>
      <c r="H36" s="24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  <c xmlns="http://schemas.openxmlformats.org/spreadsheetml/2006/main" r="U36" s="23" t="str">
        <f t="shared" si="0"/>
        <v/>
      </c>
      <c xmlns="http://schemas.openxmlformats.org/spreadsheetml/2006/main" r="V36" s="22" t="str">
        <f t="shared" si="1"/>
        <v/>
      </c>
      <c xmlns="http://schemas.openxmlformats.org/spreadsheetml/2006/main" r="W36" s="18" t="str">
        <f t="shared" si="2"/>
        <v/>
      </c>
      <c r="X36" s="22"/>
      <c r="Y36" s="22"/>
      <c xmlns="http://schemas.openxmlformats.org/spreadsheetml/2006/main" r="Z36">
        <f>IF($D36="",0,IF(COUNTIF($D$5:$D36,$D36)=1,1,0))</f>
        <v>0.0</v>
      </c>
      <c xmlns="http://schemas.openxmlformats.org/spreadsheetml/2006/main" r="AA36" t="str">
        <f>IF(Z36=1,SUM($Z$5:$Z36),"")</f>
        <v/>
      </c>
    </row>
    <row r="37" spans="1:27">
      <c r="A37" s="22"/>
      <c r="B37" s="22"/>
      <c r="C37" s="22"/>
      <c r="D37" s="22"/>
      <c r="E37" s="22"/>
      <c r="F37" s="23"/>
      <c r="G37" s="23"/>
      <c r="H37" s="24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6"/>
      <c xmlns="http://schemas.openxmlformats.org/spreadsheetml/2006/main" r="U37" s="23" t="str">
        <f t="shared" si="0"/>
        <v/>
      </c>
      <c xmlns="http://schemas.openxmlformats.org/spreadsheetml/2006/main" r="V37" s="22" t="str">
        <f t="shared" si="1"/>
        <v/>
      </c>
      <c xmlns="http://schemas.openxmlformats.org/spreadsheetml/2006/main" r="W37" s="18" t="str">
        <f t="shared" si="2"/>
        <v/>
      </c>
      <c r="X37" s="22"/>
      <c r="Y37" s="22"/>
      <c xmlns="http://schemas.openxmlformats.org/spreadsheetml/2006/main" r="Z37">
        <f>IF($D37="",0,IF(COUNTIF($D$5:$D37,$D37)=1,1,0))</f>
        <v>0.0</v>
      </c>
      <c xmlns="http://schemas.openxmlformats.org/spreadsheetml/2006/main" r="AA37" t="str">
        <f>IF(Z37=1,SUM($Z$5:$Z37),"")</f>
        <v/>
      </c>
    </row>
    <row r="38" spans="1:27">
      <c r="A38" s="22"/>
      <c r="B38" s="22"/>
      <c r="C38" s="22"/>
      <c r="D38" s="22"/>
      <c r="E38" s="22"/>
      <c r="F38" s="23"/>
      <c r="G38" s="23"/>
      <c r="H38" s="24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6"/>
      <c xmlns="http://schemas.openxmlformats.org/spreadsheetml/2006/main" r="U38" s="23" t="str">
        <f t="shared" si="0"/>
        <v/>
      </c>
      <c xmlns="http://schemas.openxmlformats.org/spreadsheetml/2006/main" r="V38" s="22" t="str">
        <f t="shared" si="1"/>
        <v/>
      </c>
      <c xmlns="http://schemas.openxmlformats.org/spreadsheetml/2006/main" r="W38" s="18" t="str">
        <f t="shared" si="2"/>
        <v/>
      </c>
      <c r="X38" s="22"/>
      <c r="Y38" s="22"/>
      <c xmlns="http://schemas.openxmlformats.org/spreadsheetml/2006/main" r="Z38">
        <f>IF($D38="",0,IF(COUNTIF($D$5:$D38,$D38)=1,1,0))</f>
        <v>0.0</v>
      </c>
      <c xmlns="http://schemas.openxmlformats.org/spreadsheetml/2006/main" r="AA38" t="str">
        <f>IF(Z38=1,SUM($Z$5:$Z38),"")</f>
        <v/>
      </c>
    </row>
    <row r="39" spans="1:27">
      <c r="A39" s="22"/>
      <c r="B39" s="22"/>
      <c r="C39" s="22"/>
      <c r="D39" s="22"/>
      <c r="E39" s="22"/>
      <c r="F39" s="23"/>
      <c r="G39" s="23"/>
      <c r="H39" s="24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  <c xmlns="http://schemas.openxmlformats.org/spreadsheetml/2006/main" r="U39" s="23" t="str">
        <f t="shared" si="0"/>
        <v/>
      </c>
      <c xmlns="http://schemas.openxmlformats.org/spreadsheetml/2006/main" r="V39" s="22" t="str">
        <f t="shared" si="1"/>
        <v/>
      </c>
      <c xmlns="http://schemas.openxmlformats.org/spreadsheetml/2006/main" r="W39" s="18" t="str">
        <f t="shared" si="2"/>
        <v/>
      </c>
      <c r="X39" s="22"/>
      <c r="Y39" s="22"/>
      <c xmlns="http://schemas.openxmlformats.org/spreadsheetml/2006/main" r="Z39">
        <f>IF($D39="",0,IF(COUNTIF($D$5:$D39,$D39)=1,1,0))</f>
        <v>0.0</v>
      </c>
      <c xmlns="http://schemas.openxmlformats.org/spreadsheetml/2006/main" r="AA39" t="str">
        <f>IF(Z39=1,SUM($Z$5:$Z39),"")</f>
        <v/>
      </c>
    </row>
    <row r="40" spans="1:27">
      <c r="A40" s="22"/>
      <c r="B40" s="22"/>
      <c r="C40" s="22"/>
      <c r="D40" s="22"/>
      <c r="E40" s="22"/>
      <c r="F40" s="23"/>
      <c r="G40" s="23"/>
      <c r="H40" s="24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6"/>
      <c xmlns="http://schemas.openxmlformats.org/spreadsheetml/2006/main" r="U40" s="23" t="str">
        <f t="shared" si="0"/>
        <v/>
      </c>
      <c xmlns="http://schemas.openxmlformats.org/spreadsheetml/2006/main" r="V40" s="22" t="str">
        <f t="shared" si="1"/>
        <v/>
      </c>
      <c xmlns="http://schemas.openxmlformats.org/spreadsheetml/2006/main" r="W40" s="18" t="str">
        <f t="shared" si="2"/>
        <v/>
      </c>
      <c r="X40" s="22"/>
      <c r="Y40" s="22"/>
      <c xmlns="http://schemas.openxmlformats.org/spreadsheetml/2006/main" r="Z40">
        <f>IF($D40="",0,IF(COUNTIF($D$5:$D40,$D40)=1,1,0))</f>
        <v>0.0</v>
      </c>
      <c xmlns="http://schemas.openxmlformats.org/spreadsheetml/2006/main" r="AA40" t="str">
        <f>IF(Z40=1,SUM($Z$5:$Z40),"")</f>
        <v/>
      </c>
    </row>
    <row r="41" spans="1:27">
      <c r="A41" s="22"/>
      <c r="B41" s="22"/>
      <c r="C41" s="22"/>
      <c r="D41" s="22"/>
      <c r="E41" s="22"/>
      <c r="F41" s="23"/>
      <c r="G41" s="23"/>
      <c r="H41" s="24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6"/>
      <c xmlns="http://schemas.openxmlformats.org/spreadsheetml/2006/main" r="U41" s="23" t="str">
        <f t="shared" si="0"/>
        <v/>
      </c>
      <c xmlns="http://schemas.openxmlformats.org/spreadsheetml/2006/main" r="V41" s="22" t="str">
        <f t="shared" si="1"/>
        <v/>
      </c>
      <c xmlns="http://schemas.openxmlformats.org/spreadsheetml/2006/main" r="W41" s="18" t="str">
        <f t="shared" si="2"/>
        <v/>
      </c>
      <c r="X41" s="22"/>
      <c r="Y41" s="22"/>
      <c xmlns="http://schemas.openxmlformats.org/spreadsheetml/2006/main" r="Z41">
        <f>IF($D41="",0,IF(COUNTIF($D$5:$D41,$D41)=1,1,0))</f>
        <v>0.0</v>
      </c>
      <c xmlns="http://schemas.openxmlformats.org/spreadsheetml/2006/main" r="AA41" t="str">
        <f>IF(Z41=1,SUM($Z$5:$Z41),"")</f>
        <v/>
      </c>
    </row>
    <row r="42" spans="1:27">
      <c r="A42" s="22"/>
      <c r="B42" s="22"/>
      <c r="C42" s="22"/>
      <c r="D42" s="22"/>
      <c r="E42" s="22"/>
      <c r="F42" s="23"/>
      <c r="G42" s="23"/>
      <c r="H42" s="24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6"/>
      <c xmlns="http://schemas.openxmlformats.org/spreadsheetml/2006/main" r="U42" s="23" t="str">
        <f t="shared" si="0"/>
        <v/>
      </c>
      <c xmlns="http://schemas.openxmlformats.org/spreadsheetml/2006/main" r="V42" s="22" t="str">
        <f t="shared" si="1"/>
        <v/>
      </c>
      <c xmlns="http://schemas.openxmlformats.org/spreadsheetml/2006/main" r="W42" s="18" t="str">
        <f t="shared" si="2"/>
        <v/>
      </c>
      <c r="X42" s="22"/>
      <c r="Y42" s="22"/>
      <c xmlns="http://schemas.openxmlformats.org/spreadsheetml/2006/main" r="Z42">
        <f>IF($D42="",0,IF(COUNTIF($D$5:$D42,$D42)=1,1,0))</f>
        <v>0.0</v>
      </c>
      <c xmlns="http://schemas.openxmlformats.org/spreadsheetml/2006/main" r="AA42" t="str">
        <f>IF(Z42=1,SUM($Z$5:$Z42),"")</f>
        <v/>
      </c>
    </row>
    <row r="43" spans="1:27">
      <c r="A43" s="22"/>
      <c r="B43" s="22"/>
      <c r="C43" s="22"/>
      <c r="D43" s="22"/>
      <c r="E43" s="22"/>
      <c r="F43" s="23"/>
      <c r="G43" s="23"/>
      <c r="H43" s="2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6"/>
      <c xmlns="http://schemas.openxmlformats.org/spreadsheetml/2006/main" r="U43" s="23" t="str">
        <f t="shared" si="0"/>
        <v/>
      </c>
      <c xmlns="http://schemas.openxmlformats.org/spreadsheetml/2006/main" r="V43" s="22" t="str">
        <f t="shared" si="1"/>
        <v/>
      </c>
      <c xmlns="http://schemas.openxmlformats.org/spreadsheetml/2006/main" r="W43" s="18" t="str">
        <f t="shared" si="2"/>
        <v/>
      </c>
      <c r="X43" s="22"/>
      <c r="Y43" s="22"/>
      <c xmlns="http://schemas.openxmlformats.org/spreadsheetml/2006/main" r="Z43">
        <f>IF($D43="",0,IF(COUNTIF($D$5:$D43,$D43)=1,1,0))</f>
        <v>0.0</v>
      </c>
      <c xmlns="http://schemas.openxmlformats.org/spreadsheetml/2006/main" r="AA43" t="str">
        <f>IF(Z43=1,SUM($Z$5:$Z43),"")</f>
        <v/>
      </c>
    </row>
    <row r="44" spans="1:27">
      <c r="A44" s="22"/>
      <c r="B44" s="22"/>
      <c r="C44" s="22"/>
      <c r="D44" s="22"/>
      <c r="E44" s="22"/>
      <c r="F44" s="23"/>
      <c r="G44" s="23"/>
      <c r="H44" s="24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6"/>
      <c xmlns="http://schemas.openxmlformats.org/spreadsheetml/2006/main" r="U44" s="23" t="str">
        <f t="shared" si="0"/>
        <v/>
      </c>
      <c xmlns="http://schemas.openxmlformats.org/spreadsheetml/2006/main" r="V44" s="22" t="str">
        <f t="shared" si="1"/>
        <v/>
      </c>
      <c xmlns="http://schemas.openxmlformats.org/spreadsheetml/2006/main" r="W44" s="18" t="str">
        <f t="shared" si="2"/>
        <v/>
      </c>
      <c r="X44" s="22"/>
      <c r="Y44" s="22"/>
      <c xmlns="http://schemas.openxmlformats.org/spreadsheetml/2006/main" r="Z44">
        <f>IF($D44="",0,IF(COUNTIF($D$5:$D44,$D44)=1,1,0))</f>
        <v>0.0</v>
      </c>
      <c xmlns="http://schemas.openxmlformats.org/spreadsheetml/2006/main" r="AA44" t="str">
        <f>IF(Z44=1,SUM($Z$5:$Z44),"")</f>
        <v/>
      </c>
    </row>
    <row r="45" spans="1:27">
      <c r="A45" s="22"/>
      <c r="B45" s="22"/>
      <c r="C45" s="22"/>
      <c r="D45" s="22"/>
      <c r="E45" s="22"/>
      <c r="F45" s="23"/>
      <c r="G45" s="23"/>
      <c r="H45" s="24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6"/>
      <c xmlns="http://schemas.openxmlformats.org/spreadsheetml/2006/main" r="U45" s="23" t="str">
        <f t="shared" si="0"/>
        <v/>
      </c>
      <c xmlns="http://schemas.openxmlformats.org/spreadsheetml/2006/main" r="V45" s="22" t="str">
        <f t="shared" si="1"/>
        <v/>
      </c>
      <c xmlns="http://schemas.openxmlformats.org/spreadsheetml/2006/main" r="W45" s="18" t="str">
        <f t="shared" si="2"/>
        <v/>
      </c>
      <c r="X45" s="22"/>
      <c r="Y45" s="22"/>
      <c xmlns="http://schemas.openxmlformats.org/spreadsheetml/2006/main" r="Z45">
        <f>IF($D45="",0,IF(COUNTIF($D$5:$D45,$D45)=1,1,0))</f>
        <v>0.0</v>
      </c>
      <c xmlns="http://schemas.openxmlformats.org/spreadsheetml/2006/main" r="AA45" t="str">
        <f>IF(Z45=1,SUM($Z$5:$Z45),"")</f>
        <v/>
      </c>
    </row>
    <row r="46" spans="1:27">
      <c r="A46" s="22"/>
      <c r="B46" s="22"/>
      <c r="C46" s="22"/>
      <c r="D46" s="22"/>
      <c r="E46" s="22"/>
      <c r="F46" s="23"/>
      <c r="G46" s="23"/>
      <c r="H46" s="24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6"/>
      <c xmlns="http://schemas.openxmlformats.org/spreadsheetml/2006/main" r="U46" s="23" t="str">
        <f t="shared" si="0"/>
        <v/>
      </c>
      <c xmlns="http://schemas.openxmlformats.org/spreadsheetml/2006/main" r="V46" s="22" t="str">
        <f t="shared" si="1"/>
        <v/>
      </c>
      <c xmlns="http://schemas.openxmlformats.org/spreadsheetml/2006/main" r="W46" s="18" t="str">
        <f t="shared" si="2"/>
        <v/>
      </c>
      <c r="X46" s="22"/>
      <c r="Y46" s="22"/>
      <c xmlns="http://schemas.openxmlformats.org/spreadsheetml/2006/main" r="Z46">
        <f>IF($D46="",0,IF(COUNTIF($D$5:$D46,$D46)=1,1,0))</f>
        <v>0.0</v>
      </c>
      <c xmlns="http://schemas.openxmlformats.org/spreadsheetml/2006/main" r="AA46" t="str">
        <f>IF(Z46=1,SUM($Z$5:$Z46),"")</f>
        <v/>
      </c>
    </row>
    <row r="47" spans="1:27">
      <c r="A47" s="22"/>
      <c r="B47" s="22"/>
      <c r="C47" s="22"/>
      <c r="D47" s="22"/>
      <c r="E47" s="22"/>
      <c r="F47" s="23"/>
      <c r="G47" s="23"/>
      <c r="H47" s="24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6"/>
      <c xmlns="http://schemas.openxmlformats.org/spreadsheetml/2006/main" r="U47" s="23" t="str">
        <f t="shared" si="0"/>
        <v/>
      </c>
      <c xmlns="http://schemas.openxmlformats.org/spreadsheetml/2006/main" r="V47" s="22" t="str">
        <f t="shared" si="1"/>
        <v/>
      </c>
      <c xmlns="http://schemas.openxmlformats.org/spreadsheetml/2006/main" r="W47" s="18" t="str">
        <f t="shared" si="2"/>
        <v/>
      </c>
      <c r="X47" s="22"/>
      <c r="Y47" s="22"/>
      <c xmlns="http://schemas.openxmlformats.org/spreadsheetml/2006/main" r="Z47">
        <f>IF($D47="",0,IF(COUNTIF($D$5:$D47,$D47)=1,1,0))</f>
        <v>0.0</v>
      </c>
      <c xmlns="http://schemas.openxmlformats.org/spreadsheetml/2006/main" r="AA47" t="str">
        <f>IF(Z47=1,SUM($Z$5:$Z47),"")</f>
        <v/>
      </c>
    </row>
    <row r="48" spans="1:27">
      <c r="A48" s="22"/>
      <c r="B48" s="22"/>
      <c r="C48" s="22"/>
      <c r="D48" s="22"/>
      <c r="E48" s="22"/>
      <c r="F48" s="23"/>
      <c r="G48" s="23"/>
      <c r="H48" s="24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6"/>
      <c xmlns="http://schemas.openxmlformats.org/spreadsheetml/2006/main" r="U48" s="23" t="str">
        <f t="shared" si="0"/>
        <v/>
      </c>
      <c xmlns="http://schemas.openxmlformats.org/spreadsheetml/2006/main" r="V48" s="22" t="str">
        <f t="shared" si="1"/>
        <v/>
      </c>
      <c xmlns="http://schemas.openxmlformats.org/spreadsheetml/2006/main" r="W48" s="18" t="str">
        <f t="shared" si="2"/>
        <v/>
      </c>
      <c r="X48" s="22"/>
      <c r="Y48" s="22"/>
      <c xmlns="http://schemas.openxmlformats.org/spreadsheetml/2006/main" r="Z48">
        <f>IF($D48="",0,IF(COUNTIF($D$5:$D48,$D48)=1,1,0))</f>
        <v>0.0</v>
      </c>
      <c xmlns="http://schemas.openxmlformats.org/spreadsheetml/2006/main" r="AA48" t="str">
        <f>IF(Z48=1,SUM($Z$5:$Z48),"")</f>
        <v/>
      </c>
    </row>
    <row r="49" spans="1:27">
      <c r="A49" s="22"/>
      <c r="B49" s="22"/>
      <c r="C49" s="22"/>
      <c r="D49" s="22"/>
      <c r="E49" s="22"/>
      <c r="F49" s="23"/>
      <c r="G49" s="23"/>
      <c r="H49" s="24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6"/>
      <c xmlns="http://schemas.openxmlformats.org/spreadsheetml/2006/main" r="U49" s="23" t="str">
        <f t="shared" si="0"/>
        <v/>
      </c>
      <c xmlns="http://schemas.openxmlformats.org/spreadsheetml/2006/main" r="V49" s="22" t="str">
        <f t="shared" si="1"/>
        <v/>
      </c>
      <c xmlns="http://schemas.openxmlformats.org/spreadsheetml/2006/main" r="W49" s="18" t="str">
        <f t="shared" si="2"/>
        <v/>
      </c>
      <c r="X49" s="22"/>
      <c r="Y49" s="22"/>
      <c xmlns="http://schemas.openxmlformats.org/spreadsheetml/2006/main" r="Z49">
        <f>IF($D49="",0,IF(COUNTIF($D$5:$D49,$D49)=1,1,0))</f>
        <v>0.0</v>
      </c>
      <c xmlns="http://schemas.openxmlformats.org/spreadsheetml/2006/main" r="AA49" t="str">
        <f>IF(Z49=1,SUM($Z$5:$Z49),"")</f>
        <v/>
      </c>
    </row>
    <row r="50" spans="1:27">
      <c r="A50" s="22"/>
      <c r="B50" s="22"/>
      <c r="C50" s="22"/>
      <c r="D50" s="22"/>
      <c r="E50" s="22"/>
      <c r="F50" s="23"/>
      <c r="G50" s="23"/>
      <c r="H50" s="24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6"/>
      <c xmlns="http://schemas.openxmlformats.org/spreadsheetml/2006/main" r="U50" s="23" t="str">
        <f t="shared" si="0"/>
        <v/>
      </c>
      <c xmlns="http://schemas.openxmlformats.org/spreadsheetml/2006/main" r="V50" s="22" t="str">
        <f t="shared" si="1"/>
        <v/>
      </c>
      <c xmlns="http://schemas.openxmlformats.org/spreadsheetml/2006/main" r="W50" s="18" t="str">
        <f t="shared" si="2"/>
        <v/>
      </c>
      <c r="X50" s="22"/>
      <c r="Y50" s="22"/>
      <c xmlns="http://schemas.openxmlformats.org/spreadsheetml/2006/main" r="Z50">
        <f>IF($D50="",0,IF(COUNTIF($D$5:$D50,$D50)=1,1,0))</f>
        <v>0.0</v>
      </c>
      <c xmlns="http://schemas.openxmlformats.org/spreadsheetml/2006/main" r="AA50" t="str">
        <f>IF(Z50=1,SUM($Z$5:$Z50),"")</f>
        <v/>
      </c>
    </row>
    <row r="51" spans="1:27">
      <c r="A51" s="22"/>
      <c r="B51" s="22"/>
      <c r="C51" s="22"/>
      <c r="D51" s="22"/>
      <c r="E51" s="22"/>
      <c r="F51" s="23"/>
      <c r="G51" s="23"/>
      <c r="H51" s="24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6"/>
      <c xmlns="http://schemas.openxmlformats.org/spreadsheetml/2006/main" r="U51" s="23" t="str">
        <f t="shared" si="0"/>
        <v/>
      </c>
      <c xmlns="http://schemas.openxmlformats.org/spreadsheetml/2006/main" r="V51" s="22" t="str">
        <f t="shared" si="1"/>
        <v/>
      </c>
      <c xmlns="http://schemas.openxmlformats.org/spreadsheetml/2006/main" r="W51" s="18" t="str">
        <f t="shared" si="2"/>
        <v/>
      </c>
      <c r="X51" s="22"/>
      <c r="Y51" s="22"/>
      <c xmlns="http://schemas.openxmlformats.org/spreadsheetml/2006/main" r="Z51">
        <f>IF($D51="",0,IF(COUNTIF($D$5:$D51,$D51)=1,1,0))</f>
        <v>0.0</v>
      </c>
      <c xmlns="http://schemas.openxmlformats.org/spreadsheetml/2006/main" r="AA51" t="str">
        <f>IF(Z51=1,SUM($Z$5:$Z51),"")</f>
        <v/>
      </c>
    </row>
    <row r="52" spans="1:27">
      <c r="A52" s="22"/>
      <c r="B52" s="22"/>
      <c r="C52" s="22"/>
      <c r="D52" s="22"/>
      <c r="E52" s="22"/>
      <c r="F52" s="23"/>
      <c r="G52" s="23"/>
      <c r="H52" s="24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6"/>
      <c xmlns="http://schemas.openxmlformats.org/spreadsheetml/2006/main" r="U52" s="23" t="str">
        <f t="shared" si="0"/>
        <v/>
      </c>
      <c xmlns="http://schemas.openxmlformats.org/spreadsheetml/2006/main" r="V52" s="22" t="str">
        <f t="shared" si="1"/>
        <v/>
      </c>
      <c xmlns="http://schemas.openxmlformats.org/spreadsheetml/2006/main" r="W52" s="18" t="str">
        <f t="shared" si="2"/>
        <v/>
      </c>
      <c r="X52" s="22"/>
      <c r="Y52" s="22"/>
      <c xmlns="http://schemas.openxmlformats.org/spreadsheetml/2006/main" r="Z52">
        <f>IF($D52="",0,IF(COUNTIF($D$5:$D52,$D52)=1,1,0))</f>
        <v>0.0</v>
      </c>
      <c xmlns="http://schemas.openxmlformats.org/spreadsheetml/2006/main" r="AA52" t="str">
        <f>IF(Z52=1,SUM($Z$5:$Z52),"")</f>
        <v/>
      </c>
    </row>
    <row r="53" spans="1:27">
      <c r="A53" s="22"/>
      <c r="B53" s="22"/>
      <c r="C53" s="22"/>
      <c r="D53" s="22"/>
      <c r="E53" s="22"/>
      <c r="F53" s="23"/>
      <c r="G53" s="23"/>
      <c r="H53" s="24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6"/>
      <c xmlns="http://schemas.openxmlformats.org/spreadsheetml/2006/main" r="U53" s="23" t="str">
        <f t="shared" si="0"/>
        <v/>
      </c>
      <c xmlns="http://schemas.openxmlformats.org/spreadsheetml/2006/main" r="V53" s="22" t="str">
        <f t="shared" si="1"/>
        <v/>
      </c>
      <c xmlns="http://schemas.openxmlformats.org/spreadsheetml/2006/main" r="W53" s="18" t="str">
        <f t="shared" si="2"/>
        <v/>
      </c>
      <c r="X53" s="22"/>
      <c r="Y53" s="22"/>
      <c xmlns="http://schemas.openxmlformats.org/spreadsheetml/2006/main" r="Z53">
        <f>IF($D53="",0,IF(COUNTIF($D$5:$D53,$D53)=1,1,0))</f>
        <v>0.0</v>
      </c>
      <c xmlns="http://schemas.openxmlformats.org/spreadsheetml/2006/main" r="AA53" t="str">
        <f>IF(Z53=1,SUM($Z$5:$Z53),"")</f>
        <v/>
      </c>
    </row>
    <row r="54" spans="1:27">
      <c r="A54" s="22"/>
      <c r="B54" s="22"/>
      <c r="C54" s="22"/>
      <c r="D54" s="22"/>
      <c r="E54" s="22"/>
      <c r="F54" s="23"/>
      <c r="G54" s="23"/>
      <c r="H54" s="24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6"/>
      <c xmlns="http://schemas.openxmlformats.org/spreadsheetml/2006/main" r="U54" s="23" t="str">
        <f t="shared" si="0"/>
        <v/>
      </c>
      <c xmlns="http://schemas.openxmlformats.org/spreadsheetml/2006/main" r="V54" s="22" t="str">
        <f t="shared" si="1"/>
        <v/>
      </c>
      <c xmlns="http://schemas.openxmlformats.org/spreadsheetml/2006/main" r="W54" s="18" t="str">
        <f t="shared" si="2"/>
        <v/>
      </c>
      <c r="X54" s="22"/>
      <c r="Y54" s="22"/>
      <c xmlns="http://schemas.openxmlformats.org/spreadsheetml/2006/main" r="Z54">
        <f>IF($D54="",0,IF(COUNTIF($D$5:$D54,$D54)=1,1,0))</f>
        <v>0.0</v>
      </c>
      <c xmlns="http://schemas.openxmlformats.org/spreadsheetml/2006/main" r="AA54" t="str">
        <f>IF(Z54=1,SUM($Z$5:$Z54),"")</f>
        <v/>
      </c>
    </row>
    <row r="55" spans="1:27">
      <c r="A55" s="22"/>
      <c r="B55" s="22"/>
      <c r="C55" s="22"/>
      <c r="D55" s="22"/>
      <c r="E55" s="22"/>
      <c r="F55" s="23"/>
      <c r="G55" s="23"/>
      <c r="H55" s="24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6"/>
      <c xmlns="http://schemas.openxmlformats.org/spreadsheetml/2006/main" r="U55" s="23" t="str">
        <f t="shared" si="0"/>
        <v/>
      </c>
      <c xmlns="http://schemas.openxmlformats.org/spreadsheetml/2006/main" r="V55" s="22" t="str">
        <f t="shared" si="1"/>
        <v/>
      </c>
      <c xmlns="http://schemas.openxmlformats.org/spreadsheetml/2006/main" r="W55" s="18" t="str">
        <f t="shared" si="2"/>
        <v/>
      </c>
      <c r="X55" s="22"/>
      <c r="Y55" s="22"/>
      <c xmlns="http://schemas.openxmlformats.org/spreadsheetml/2006/main" r="Z55">
        <f>IF($D55="",0,IF(COUNTIF($D$5:$D55,$D55)=1,1,0))</f>
        <v>0.0</v>
      </c>
      <c xmlns="http://schemas.openxmlformats.org/spreadsheetml/2006/main" r="AA55" t="str">
        <f>IF(Z55=1,SUM($Z$5:$Z55),"")</f>
        <v/>
      </c>
    </row>
    <row r="56" spans="1:27">
      <c r="A56" s="22"/>
      <c r="B56" s="22"/>
      <c r="C56" s="22"/>
      <c r="D56" s="22"/>
      <c r="E56" s="22"/>
      <c r="F56" s="23"/>
      <c r="G56" s="23"/>
      <c r="H56" s="24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6"/>
      <c xmlns="http://schemas.openxmlformats.org/spreadsheetml/2006/main" r="U56" s="23" t="str">
        <f t="shared" si="0"/>
        <v/>
      </c>
      <c xmlns="http://schemas.openxmlformats.org/spreadsheetml/2006/main" r="V56" s="22" t="str">
        <f t="shared" si="1"/>
        <v/>
      </c>
      <c xmlns="http://schemas.openxmlformats.org/spreadsheetml/2006/main" r="W56" s="18" t="str">
        <f t="shared" si="2"/>
        <v/>
      </c>
      <c r="X56" s="22"/>
      <c r="Y56" s="22"/>
      <c xmlns="http://schemas.openxmlformats.org/spreadsheetml/2006/main" r="Z56">
        <f>IF($D56="",0,IF(COUNTIF($D$5:$D56,$D56)=1,1,0))</f>
        <v>0.0</v>
      </c>
      <c xmlns="http://schemas.openxmlformats.org/spreadsheetml/2006/main" r="AA56" t="str">
        <f>IF(Z56=1,SUM($Z$5:$Z56),"")</f>
        <v/>
      </c>
    </row>
    <row r="57" spans="1:27">
      <c r="A57" s="22"/>
      <c r="B57" s="22"/>
      <c r="C57" s="22"/>
      <c r="D57" s="22"/>
      <c r="E57" s="22"/>
      <c r="F57" s="23"/>
      <c r="G57" s="23"/>
      <c r="H57" s="24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6"/>
      <c xmlns="http://schemas.openxmlformats.org/spreadsheetml/2006/main" r="U57" s="23" t="str">
        <f t="shared" si="0"/>
        <v/>
      </c>
      <c xmlns="http://schemas.openxmlformats.org/spreadsheetml/2006/main" r="V57" s="22" t="str">
        <f t="shared" si="1"/>
        <v/>
      </c>
      <c xmlns="http://schemas.openxmlformats.org/spreadsheetml/2006/main" r="W57" s="18" t="str">
        <f t="shared" si="2"/>
        <v/>
      </c>
      <c r="X57" s="22"/>
      <c r="Y57" s="22"/>
      <c xmlns="http://schemas.openxmlformats.org/spreadsheetml/2006/main" r="Z57">
        <f>IF($D57="",0,IF(COUNTIF($D$5:$D57,$D57)=1,1,0))</f>
        <v>0.0</v>
      </c>
      <c xmlns="http://schemas.openxmlformats.org/spreadsheetml/2006/main" r="AA57" t="str">
        <f>IF(Z57=1,SUM($Z$5:$Z57),"")</f>
        <v/>
      </c>
    </row>
    <row r="58" spans="1:27">
      <c r="A58" s="22"/>
      <c r="B58" s="22"/>
      <c r="C58" s="22"/>
      <c r="D58" s="22"/>
      <c r="E58" s="22"/>
      <c r="F58" s="23"/>
      <c r="G58" s="23"/>
      <c r="H58" s="24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6"/>
      <c xmlns="http://schemas.openxmlformats.org/spreadsheetml/2006/main" r="U58" s="23" t="str">
        <f t="shared" si="0"/>
        <v/>
      </c>
      <c xmlns="http://schemas.openxmlformats.org/spreadsheetml/2006/main" r="V58" s="22" t="str">
        <f t="shared" si="1"/>
        <v/>
      </c>
      <c xmlns="http://schemas.openxmlformats.org/spreadsheetml/2006/main" r="W58" s="18" t="str">
        <f t="shared" si="2"/>
        <v/>
      </c>
      <c r="X58" s="22"/>
      <c r="Y58" s="22"/>
      <c xmlns="http://schemas.openxmlformats.org/spreadsheetml/2006/main" r="Z58">
        <f>IF($D58="",0,IF(COUNTIF($D$5:$D58,$D58)=1,1,0))</f>
        <v>0.0</v>
      </c>
      <c xmlns="http://schemas.openxmlformats.org/spreadsheetml/2006/main" r="AA58" t="str">
        <f>IF(Z58=1,SUM($Z$5:$Z58),"")</f>
        <v/>
      </c>
    </row>
    <row r="59" spans="1:27">
      <c r="A59" s="22"/>
      <c r="B59" s="22"/>
      <c r="C59" s="22"/>
      <c r="D59" s="22"/>
      <c r="E59" s="22"/>
      <c r="F59" s="23"/>
      <c r="G59" s="23"/>
      <c r="H59" s="24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6"/>
      <c xmlns="http://schemas.openxmlformats.org/spreadsheetml/2006/main" r="U59" s="23" t="str">
        <f t="shared" si="0"/>
        <v/>
      </c>
      <c xmlns="http://schemas.openxmlformats.org/spreadsheetml/2006/main" r="V59" s="22" t="str">
        <f t="shared" si="1"/>
        <v/>
      </c>
      <c xmlns="http://schemas.openxmlformats.org/spreadsheetml/2006/main" r="W59" s="18" t="str">
        <f t="shared" si="2"/>
        <v/>
      </c>
      <c r="X59" s="22"/>
      <c r="Y59" s="22"/>
      <c xmlns="http://schemas.openxmlformats.org/spreadsheetml/2006/main" r="Z59">
        <f>IF($D59="",0,IF(COUNTIF($D$5:$D59,$D59)=1,1,0))</f>
        <v>0.0</v>
      </c>
      <c xmlns="http://schemas.openxmlformats.org/spreadsheetml/2006/main" r="AA59" t="str">
        <f>IF(Z59=1,SUM($Z$5:$Z59),"")</f>
        <v/>
      </c>
    </row>
    <row r="60" spans="1:27">
      <c r="A60" s="22"/>
      <c r="B60" s="22"/>
      <c r="C60" s="22"/>
      <c r="D60" s="22"/>
      <c r="E60" s="22"/>
      <c r="F60" s="23"/>
      <c r="G60" s="23"/>
      <c r="H60" s="24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6"/>
      <c xmlns="http://schemas.openxmlformats.org/spreadsheetml/2006/main" r="U60" s="23" t="str">
        <f t="shared" si="0"/>
        <v/>
      </c>
      <c xmlns="http://schemas.openxmlformats.org/spreadsheetml/2006/main" r="V60" s="22" t="str">
        <f t="shared" si="1"/>
        <v/>
      </c>
      <c xmlns="http://schemas.openxmlformats.org/spreadsheetml/2006/main" r="W60" s="18" t="str">
        <f t="shared" si="2"/>
        <v/>
      </c>
      <c r="X60" s="22"/>
      <c r="Y60" s="22"/>
      <c xmlns="http://schemas.openxmlformats.org/spreadsheetml/2006/main" r="Z60">
        <f>IF($D60="",0,IF(COUNTIF($D$5:$D60,$D60)=1,1,0))</f>
        <v>0.0</v>
      </c>
      <c xmlns="http://schemas.openxmlformats.org/spreadsheetml/2006/main" r="AA60" t="str">
        <f>IF(Z60=1,SUM($Z$5:$Z60),"")</f>
        <v/>
      </c>
    </row>
    <row r="61" spans="1:27">
      <c r="A61" s="22"/>
      <c r="B61" s="22"/>
      <c r="C61" s="22"/>
      <c r="D61" s="22"/>
      <c r="E61" s="22"/>
      <c r="F61" s="23"/>
      <c r="G61" s="23"/>
      <c r="H61" s="24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6"/>
      <c xmlns="http://schemas.openxmlformats.org/spreadsheetml/2006/main" r="U61" s="23" t="str">
        <f t="shared" si="0"/>
        <v/>
      </c>
      <c xmlns="http://schemas.openxmlformats.org/spreadsheetml/2006/main" r="V61" s="22" t="str">
        <f t="shared" si="1"/>
        <v/>
      </c>
      <c xmlns="http://schemas.openxmlformats.org/spreadsheetml/2006/main" r="W61" s="18" t="str">
        <f t="shared" si="2"/>
        <v/>
      </c>
      <c r="X61" s="22"/>
      <c r="Y61" s="22"/>
      <c xmlns="http://schemas.openxmlformats.org/spreadsheetml/2006/main" r="Z61">
        <f>IF($D61="",0,IF(COUNTIF($D$5:$D61,$D61)=1,1,0))</f>
        <v>0.0</v>
      </c>
      <c xmlns="http://schemas.openxmlformats.org/spreadsheetml/2006/main" r="AA61" t="str">
        <f>IF(Z61=1,SUM($Z$5:$Z61),"")</f>
        <v/>
      </c>
    </row>
    <row r="62" spans="1:27">
      <c r="A62" s="22"/>
      <c r="B62" s="22"/>
      <c r="C62" s="22"/>
      <c r="D62" s="22"/>
      <c r="E62" s="22"/>
      <c r="F62" s="23"/>
      <c r="G62" s="23"/>
      <c r="H62" s="24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6"/>
      <c xmlns="http://schemas.openxmlformats.org/spreadsheetml/2006/main" r="U62" s="23" t="str">
        <f t="shared" si="0"/>
        <v/>
      </c>
      <c xmlns="http://schemas.openxmlformats.org/spreadsheetml/2006/main" r="V62" s="22" t="str">
        <f t="shared" si="1"/>
        <v/>
      </c>
      <c xmlns="http://schemas.openxmlformats.org/spreadsheetml/2006/main" r="W62" s="18" t="str">
        <f t="shared" si="2"/>
        <v/>
      </c>
      <c r="X62" s="22"/>
      <c r="Y62" s="22"/>
      <c xmlns="http://schemas.openxmlformats.org/spreadsheetml/2006/main" r="Z62">
        <f>IF($D62="",0,IF(COUNTIF($D$5:$D62,$D62)=1,1,0))</f>
        <v>0.0</v>
      </c>
      <c xmlns="http://schemas.openxmlformats.org/spreadsheetml/2006/main" r="AA62" t="str">
        <f>IF(Z62=1,SUM($Z$5:$Z62),"")</f>
        <v/>
      </c>
    </row>
    <row r="63" spans="1:27">
      <c r="A63" s="22"/>
      <c r="B63" s="22"/>
      <c r="C63" s="22"/>
      <c r="D63" s="22"/>
      <c r="E63" s="22"/>
      <c r="F63" s="23"/>
      <c r="G63" s="23"/>
      <c r="H63" s="24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6"/>
      <c xmlns="http://schemas.openxmlformats.org/spreadsheetml/2006/main" r="U63" s="23" t="str">
        <f t="shared" si="0"/>
        <v/>
      </c>
      <c xmlns="http://schemas.openxmlformats.org/spreadsheetml/2006/main" r="V63" s="22" t="str">
        <f t="shared" si="1"/>
        <v/>
      </c>
      <c xmlns="http://schemas.openxmlformats.org/spreadsheetml/2006/main" r="W63" s="18" t="str">
        <f t="shared" si="2"/>
        <v/>
      </c>
      <c r="X63" s="22"/>
      <c r="Y63" s="22"/>
      <c xmlns="http://schemas.openxmlformats.org/spreadsheetml/2006/main" r="Z63">
        <f>IF($D63="",0,IF(COUNTIF($D$5:$D63,$D63)=1,1,0))</f>
        <v>0.0</v>
      </c>
      <c xmlns="http://schemas.openxmlformats.org/spreadsheetml/2006/main" r="AA63" t="str">
        <f>IF(Z63=1,SUM($Z$5:$Z63),"")</f>
        <v/>
      </c>
    </row>
    <row r="64" spans="1:27">
      <c r="A64" s="22"/>
      <c r="B64" s="22"/>
      <c r="C64" s="22"/>
      <c r="D64" s="22"/>
      <c r="E64" s="22"/>
      <c r="F64" s="23"/>
      <c r="G64" s="23"/>
      <c r="H64" s="24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6"/>
      <c xmlns="http://schemas.openxmlformats.org/spreadsheetml/2006/main" r="U64" s="23" t="str">
        <f t="shared" si="0"/>
        <v/>
      </c>
      <c xmlns="http://schemas.openxmlformats.org/spreadsheetml/2006/main" r="V64" s="22" t="str">
        <f t="shared" si="1"/>
        <v/>
      </c>
      <c xmlns="http://schemas.openxmlformats.org/spreadsheetml/2006/main" r="W64" s="18" t="str">
        <f t="shared" si="2"/>
        <v/>
      </c>
      <c r="X64" s="22"/>
      <c r="Y64" s="22"/>
      <c xmlns="http://schemas.openxmlformats.org/spreadsheetml/2006/main" r="Z64">
        <f>IF($D64="",0,IF(COUNTIF($D$5:$D64,$D64)=1,1,0))</f>
        <v>0.0</v>
      </c>
      <c xmlns="http://schemas.openxmlformats.org/spreadsheetml/2006/main" r="AA64" t="str">
        <f>IF(Z64=1,SUM($Z$5:$Z64),"")</f>
        <v/>
      </c>
    </row>
    <row r="65" spans="1:27">
      <c r="A65" s="22"/>
      <c r="B65" s="22"/>
      <c r="C65" s="22"/>
      <c r="D65" s="22"/>
      <c r="E65" s="22"/>
      <c r="F65" s="23"/>
      <c r="G65" s="23"/>
      <c r="H65" s="24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6"/>
      <c xmlns="http://schemas.openxmlformats.org/spreadsheetml/2006/main" r="U65" s="23" t="str">
        <f t="shared" si="0"/>
        <v/>
      </c>
      <c xmlns="http://schemas.openxmlformats.org/spreadsheetml/2006/main" r="V65" s="22" t="str">
        <f t="shared" si="1"/>
        <v/>
      </c>
      <c xmlns="http://schemas.openxmlformats.org/spreadsheetml/2006/main" r="W65" s="18" t="str">
        <f t="shared" si="2"/>
        <v/>
      </c>
      <c r="X65" s="22"/>
      <c r="Y65" s="22"/>
      <c xmlns="http://schemas.openxmlformats.org/spreadsheetml/2006/main" r="Z65">
        <f>IF($D65="",0,IF(COUNTIF($D$5:$D65,$D65)=1,1,0))</f>
        <v>0.0</v>
      </c>
      <c xmlns="http://schemas.openxmlformats.org/spreadsheetml/2006/main" r="AA65" t="str">
        <f>IF(Z65=1,SUM($Z$5:$Z65),"")</f>
        <v/>
      </c>
    </row>
    <row r="66" spans="1:27">
      <c r="A66" s="22"/>
      <c r="B66" s="22"/>
      <c r="C66" s="22"/>
      <c r="D66" s="22"/>
      <c r="E66" s="22"/>
      <c r="F66" s="23"/>
      <c r="G66" s="23"/>
      <c r="H66" s="24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6"/>
      <c xmlns="http://schemas.openxmlformats.org/spreadsheetml/2006/main" r="U66" s="23" t="str">
        <f t="shared" si="0"/>
        <v/>
      </c>
      <c xmlns="http://schemas.openxmlformats.org/spreadsheetml/2006/main" r="V66" s="22" t="str">
        <f t="shared" si="1"/>
        <v/>
      </c>
      <c xmlns="http://schemas.openxmlformats.org/spreadsheetml/2006/main" r="W66" s="18" t="str">
        <f t="shared" si="2"/>
        <v/>
      </c>
      <c r="X66" s="22"/>
      <c r="Y66" s="22"/>
      <c xmlns="http://schemas.openxmlformats.org/spreadsheetml/2006/main" r="Z66">
        <f>IF($D66="",0,IF(COUNTIF($D$5:$D66,$D66)=1,1,0))</f>
        <v>0.0</v>
      </c>
      <c xmlns="http://schemas.openxmlformats.org/spreadsheetml/2006/main" r="AA66" t="str">
        <f>IF(Z66=1,SUM($Z$5:$Z66),"")</f>
        <v/>
      </c>
    </row>
    <row r="67" spans="1:27">
      <c r="A67" s="22"/>
      <c r="B67" s="22"/>
      <c r="C67" s="22"/>
      <c r="D67" s="22"/>
      <c r="E67" s="22"/>
      <c r="F67" s="23"/>
      <c r="G67" s="23"/>
      <c r="H67" s="24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6"/>
      <c xmlns="http://schemas.openxmlformats.org/spreadsheetml/2006/main" r="U67" s="23" t="str">
        <f t="shared" si="0"/>
        <v/>
      </c>
      <c xmlns="http://schemas.openxmlformats.org/spreadsheetml/2006/main" r="V67" s="22" t="str">
        <f t="shared" si="1"/>
        <v/>
      </c>
      <c xmlns="http://schemas.openxmlformats.org/spreadsheetml/2006/main" r="W67" s="18" t="str">
        <f t="shared" si="2"/>
        <v/>
      </c>
      <c r="X67" s="22"/>
      <c r="Y67" s="22"/>
      <c xmlns="http://schemas.openxmlformats.org/spreadsheetml/2006/main" r="Z67">
        <f>IF($D67="",0,IF(COUNTIF($D$5:$D67,$D67)=1,1,0))</f>
        <v>0.0</v>
      </c>
      <c xmlns="http://schemas.openxmlformats.org/spreadsheetml/2006/main" r="AA67" t="str">
        <f>IF(Z67=1,SUM($Z$5:$Z67),"")</f>
        <v/>
      </c>
    </row>
    <row r="68" spans="1:27">
      <c r="A68" s="22"/>
      <c r="B68" s="22"/>
      <c r="C68" s="22"/>
      <c r="D68" s="22"/>
      <c r="E68" s="22"/>
      <c r="F68" s="23"/>
      <c r="G68" s="23"/>
      <c r="H68" s="24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6"/>
      <c xmlns="http://schemas.openxmlformats.org/spreadsheetml/2006/main" r="U68" s="23" t="str">
        <f t="shared" si="0"/>
        <v/>
      </c>
      <c xmlns="http://schemas.openxmlformats.org/spreadsheetml/2006/main" r="V68" s="22" t="str">
        <f t="shared" si="1"/>
        <v/>
      </c>
      <c xmlns="http://schemas.openxmlformats.org/spreadsheetml/2006/main" r="W68" s="18" t="str">
        <f t="shared" si="2"/>
        <v/>
      </c>
      <c r="X68" s="22"/>
      <c r="Y68" s="22"/>
      <c xmlns="http://schemas.openxmlformats.org/spreadsheetml/2006/main" r="Z68">
        <f>IF($D68="",0,IF(COUNTIF($D$5:$D68,$D68)=1,1,0))</f>
        <v>0.0</v>
      </c>
      <c xmlns="http://schemas.openxmlformats.org/spreadsheetml/2006/main" r="AA68" t="str">
        <f>IF(Z68=1,SUM($Z$5:$Z68),"")</f>
        <v/>
      </c>
    </row>
    <row r="69" spans="1:27">
      <c r="A69" s="22"/>
      <c r="B69" s="22"/>
      <c r="C69" s="22"/>
      <c r="D69" s="22"/>
      <c r="E69" s="22"/>
      <c r="F69" s="23"/>
      <c r="G69" s="23"/>
      <c r="H69" s="24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6"/>
      <c xmlns="http://schemas.openxmlformats.org/spreadsheetml/2006/main" r="U69" s="23" t="str">
        <f t="shared" ref="U69:U132" si="3">IF($E69="","",COUNTIF($I69:$S69,"V"))</f>
        <v/>
      </c>
      <c xmlns="http://schemas.openxmlformats.org/spreadsheetml/2006/main" r="V69" s="22" t="str">
        <f t="shared" ref="V69:V132" si="4">IF($E69="","",IF(AND($T69="V",$U69&gt;0),"⚠ 勾選矛盾",IF($T69="V","○ 免調理",IF($U69=0,"⚠ 資料缺漏",IF($U69=1,"▲ 單一設備依賴","OK")))))</f>
        <v/>
      </c>
      <c xmlns="http://schemas.openxmlformats.org/spreadsheetml/2006/main" r="W69" s="18" t="str">
        <f t="shared" ref="W69:W132" si="5">IF($E69="","",IF(AND($T69="V",$U69&gt;0),"「無使用調理設備」不可與設備欄同時勾選，請擇一修正",IF($T69="V","免調理半成品（外購/僅切配等），不列入設備風險評估",IF($U69=0,"未勾選任何設備，請補填或勾選「無使用調理設備」",IF($U69=1,"僅依賴1台設備，須確認故障/排修時之備援製程","無異常")))))</f>
        <v/>
      </c>
      <c r="X69" s="22"/>
      <c r="Y69" s="22"/>
      <c xmlns="http://schemas.openxmlformats.org/spreadsheetml/2006/main" r="Z69">
        <f>IF($D69="",0,IF(COUNTIF($D$5:$D69,$D69)=1,1,0))</f>
        <v>0.0</v>
      </c>
      <c xmlns="http://schemas.openxmlformats.org/spreadsheetml/2006/main" r="AA69" t="str">
        <f>IF(Z69=1,SUM($Z$5:$Z69),"")</f>
        <v/>
      </c>
    </row>
    <row r="70" spans="1:27">
      <c r="A70" s="22"/>
      <c r="B70" s="22"/>
      <c r="C70" s="22"/>
      <c r="D70" s="22"/>
      <c r="E70" s="22"/>
      <c r="F70" s="23"/>
      <c r="G70" s="23"/>
      <c r="H70" s="24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6"/>
      <c xmlns="http://schemas.openxmlformats.org/spreadsheetml/2006/main" r="U70" s="23" t="str">
        <f t="shared" si="3"/>
        <v/>
      </c>
      <c xmlns="http://schemas.openxmlformats.org/spreadsheetml/2006/main" r="V70" s="22" t="str">
        <f t="shared" si="4"/>
        <v/>
      </c>
      <c xmlns="http://schemas.openxmlformats.org/spreadsheetml/2006/main" r="W70" s="18" t="str">
        <f t="shared" si="5"/>
        <v/>
      </c>
      <c r="X70" s="22"/>
      <c r="Y70" s="22"/>
      <c xmlns="http://schemas.openxmlformats.org/spreadsheetml/2006/main" r="Z70">
        <f>IF($D70="",0,IF(COUNTIF($D$5:$D70,$D70)=1,1,0))</f>
        <v>0.0</v>
      </c>
      <c xmlns="http://schemas.openxmlformats.org/spreadsheetml/2006/main" r="AA70" t="str">
        <f>IF(Z70=1,SUM($Z$5:$Z70),"")</f>
        <v/>
      </c>
    </row>
    <row r="71" spans="1:27">
      <c r="A71" s="22"/>
      <c r="B71" s="22"/>
      <c r="C71" s="22"/>
      <c r="D71" s="22"/>
      <c r="E71" s="22"/>
      <c r="F71" s="23"/>
      <c r="G71" s="23"/>
      <c r="H71" s="24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6"/>
      <c xmlns="http://schemas.openxmlformats.org/spreadsheetml/2006/main" r="U71" s="23" t="str">
        <f t="shared" si="3"/>
        <v/>
      </c>
      <c xmlns="http://schemas.openxmlformats.org/spreadsheetml/2006/main" r="V71" s="22" t="str">
        <f t="shared" si="4"/>
        <v/>
      </c>
      <c xmlns="http://schemas.openxmlformats.org/spreadsheetml/2006/main" r="W71" s="18" t="str">
        <f t="shared" si="5"/>
        <v/>
      </c>
      <c r="X71" s="22"/>
      <c r="Y71" s="22"/>
      <c xmlns="http://schemas.openxmlformats.org/spreadsheetml/2006/main" r="Z71">
        <f>IF($D71="",0,IF(COUNTIF($D$5:$D71,$D71)=1,1,0))</f>
        <v>0.0</v>
      </c>
      <c xmlns="http://schemas.openxmlformats.org/spreadsheetml/2006/main" r="AA71" t="str">
        <f>IF(Z71=1,SUM($Z$5:$Z71),"")</f>
        <v/>
      </c>
    </row>
    <row r="72" spans="1:27">
      <c r="A72" s="22"/>
      <c r="B72" s="22"/>
      <c r="C72" s="22"/>
      <c r="D72" s="22"/>
      <c r="E72" s="22"/>
      <c r="F72" s="23"/>
      <c r="G72" s="23"/>
      <c r="H72" s="24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6"/>
      <c xmlns="http://schemas.openxmlformats.org/spreadsheetml/2006/main" r="U72" s="23" t="str">
        <f t="shared" si="3"/>
        <v/>
      </c>
      <c xmlns="http://schemas.openxmlformats.org/spreadsheetml/2006/main" r="V72" s="22" t="str">
        <f t="shared" si="4"/>
        <v/>
      </c>
      <c xmlns="http://schemas.openxmlformats.org/spreadsheetml/2006/main" r="W72" s="18" t="str">
        <f t="shared" si="5"/>
        <v/>
      </c>
      <c r="X72" s="22"/>
      <c r="Y72" s="22"/>
      <c xmlns="http://schemas.openxmlformats.org/spreadsheetml/2006/main" r="Z72">
        <f>IF($D72="",0,IF(COUNTIF($D$5:$D72,$D72)=1,1,0))</f>
        <v>0.0</v>
      </c>
      <c xmlns="http://schemas.openxmlformats.org/spreadsheetml/2006/main" r="AA72" t="str">
        <f>IF(Z72=1,SUM($Z$5:$Z72),"")</f>
        <v/>
      </c>
    </row>
    <row r="73" spans="1:27">
      <c r="A73" s="22"/>
      <c r="B73" s="22"/>
      <c r="C73" s="22"/>
      <c r="D73" s="22"/>
      <c r="E73" s="22"/>
      <c r="F73" s="23"/>
      <c r="G73" s="23"/>
      <c r="H73" s="24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6"/>
      <c xmlns="http://schemas.openxmlformats.org/spreadsheetml/2006/main" r="U73" s="23" t="str">
        <f t="shared" si="3"/>
        <v/>
      </c>
      <c xmlns="http://schemas.openxmlformats.org/spreadsheetml/2006/main" r="V73" s="22" t="str">
        <f t="shared" si="4"/>
        <v/>
      </c>
      <c xmlns="http://schemas.openxmlformats.org/spreadsheetml/2006/main" r="W73" s="18" t="str">
        <f t="shared" si="5"/>
        <v/>
      </c>
      <c r="X73" s="22"/>
      <c r="Y73" s="22"/>
      <c xmlns="http://schemas.openxmlformats.org/spreadsheetml/2006/main" r="Z73">
        <f>IF($D73="",0,IF(COUNTIF($D$5:$D73,$D73)=1,1,0))</f>
        <v>0.0</v>
      </c>
      <c xmlns="http://schemas.openxmlformats.org/spreadsheetml/2006/main" r="AA73" t="str">
        <f>IF(Z73=1,SUM($Z$5:$Z73),"")</f>
        <v/>
      </c>
    </row>
    <row r="74" spans="1:27">
      <c r="A74" s="22"/>
      <c r="B74" s="22"/>
      <c r="C74" s="22"/>
      <c r="D74" s="22"/>
      <c r="E74" s="22"/>
      <c r="F74" s="23"/>
      <c r="G74" s="23"/>
      <c r="H74" s="24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6"/>
      <c xmlns="http://schemas.openxmlformats.org/spreadsheetml/2006/main" r="U74" s="23" t="str">
        <f t="shared" si="3"/>
        <v/>
      </c>
      <c xmlns="http://schemas.openxmlformats.org/spreadsheetml/2006/main" r="V74" s="22" t="str">
        <f t="shared" si="4"/>
        <v/>
      </c>
      <c xmlns="http://schemas.openxmlformats.org/spreadsheetml/2006/main" r="W74" s="18" t="str">
        <f t="shared" si="5"/>
        <v/>
      </c>
      <c r="X74" s="22"/>
      <c r="Y74" s="22"/>
      <c xmlns="http://schemas.openxmlformats.org/spreadsheetml/2006/main" r="Z74">
        <f>IF($D74="",0,IF(COUNTIF($D$5:$D74,$D74)=1,1,0))</f>
        <v>0.0</v>
      </c>
      <c xmlns="http://schemas.openxmlformats.org/spreadsheetml/2006/main" r="AA74" t="str">
        <f>IF(Z74=1,SUM($Z$5:$Z74),"")</f>
        <v/>
      </c>
    </row>
    <row r="75" spans="1:27">
      <c r="A75" s="22"/>
      <c r="B75" s="22"/>
      <c r="C75" s="22"/>
      <c r="D75" s="22"/>
      <c r="E75" s="22"/>
      <c r="F75" s="23"/>
      <c r="G75" s="23"/>
      <c r="H75" s="24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6"/>
      <c xmlns="http://schemas.openxmlformats.org/spreadsheetml/2006/main" r="U75" s="23" t="str">
        <f t="shared" si="3"/>
        <v/>
      </c>
      <c xmlns="http://schemas.openxmlformats.org/spreadsheetml/2006/main" r="V75" s="22" t="str">
        <f t="shared" si="4"/>
        <v/>
      </c>
      <c xmlns="http://schemas.openxmlformats.org/spreadsheetml/2006/main" r="W75" s="18" t="str">
        <f t="shared" si="5"/>
        <v/>
      </c>
      <c r="X75" s="22"/>
      <c r="Y75" s="22"/>
      <c xmlns="http://schemas.openxmlformats.org/spreadsheetml/2006/main" r="Z75">
        <f>IF($D75="",0,IF(COUNTIF($D$5:$D75,$D75)=1,1,0))</f>
        <v>0.0</v>
      </c>
      <c xmlns="http://schemas.openxmlformats.org/spreadsheetml/2006/main" r="AA75" t="str">
        <f>IF(Z75=1,SUM($Z$5:$Z75),"")</f>
        <v/>
      </c>
    </row>
    <row r="76" spans="1:27">
      <c r="A76" s="22"/>
      <c r="B76" s="22"/>
      <c r="C76" s="22"/>
      <c r="D76" s="22"/>
      <c r="E76" s="22"/>
      <c r="F76" s="23"/>
      <c r="G76" s="23"/>
      <c r="H76" s="24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6"/>
      <c xmlns="http://schemas.openxmlformats.org/spreadsheetml/2006/main" r="U76" s="23" t="str">
        <f t="shared" si="3"/>
        <v/>
      </c>
      <c xmlns="http://schemas.openxmlformats.org/spreadsheetml/2006/main" r="V76" s="22" t="str">
        <f t="shared" si="4"/>
        <v/>
      </c>
      <c xmlns="http://schemas.openxmlformats.org/spreadsheetml/2006/main" r="W76" s="18" t="str">
        <f t="shared" si="5"/>
        <v/>
      </c>
      <c r="X76" s="22"/>
      <c r="Y76" s="22"/>
      <c xmlns="http://schemas.openxmlformats.org/spreadsheetml/2006/main" r="Z76">
        <f>IF($D76="",0,IF(COUNTIF($D$5:$D76,$D76)=1,1,0))</f>
        <v>0.0</v>
      </c>
      <c xmlns="http://schemas.openxmlformats.org/spreadsheetml/2006/main" r="AA76" t="str">
        <f>IF(Z76=1,SUM($Z$5:$Z76),"")</f>
        <v/>
      </c>
    </row>
    <row r="77" spans="1:27">
      <c r="A77" s="22"/>
      <c r="B77" s="22"/>
      <c r="C77" s="22"/>
      <c r="D77" s="22"/>
      <c r="E77" s="22"/>
      <c r="F77" s="23"/>
      <c r="G77" s="23"/>
      <c r="H77" s="24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6"/>
      <c xmlns="http://schemas.openxmlformats.org/spreadsheetml/2006/main" r="U77" s="23" t="str">
        <f t="shared" si="3"/>
        <v/>
      </c>
      <c xmlns="http://schemas.openxmlformats.org/spreadsheetml/2006/main" r="V77" s="22" t="str">
        <f t="shared" si="4"/>
        <v/>
      </c>
      <c xmlns="http://schemas.openxmlformats.org/spreadsheetml/2006/main" r="W77" s="18" t="str">
        <f t="shared" si="5"/>
        <v/>
      </c>
      <c r="X77" s="22"/>
      <c r="Y77" s="22"/>
      <c xmlns="http://schemas.openxmlformats.org/spreadsheetml/2006/main" r="Z77">
        <f>IF($D77="",0,IF(COUNTIF($D$5:$D77,$D77)=1,1,0))</f>
        <v>0.0</v>
      </c>
      <c xmlns="http://schemas.openxmlformats.org/spreadsheetml/2006/main" r="AA77" t="str">
        <f>IF(Z77=1,SUM($Z$5:$Z77),"")</f>
        <v/>
      </c>
    </row>
    <row r="78" spans="1:27">
      <c r="A78" s="22"/>
      <c r="B78" s="22"/>
      <c r="C78" s="22"/>
      <c r="D78" s="22"/>
      <c r="E78" s="22"/>
      <c r="F78" s="23"/>
      <c r="G78" s="23"/>
      <c r="H78" s="24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6"/>
      <c xmlns="http://schemas.openxmlformats.org/spreadsheetml/2006/main" r="U78" s="23" t="str">
        <f t="shared" si="3"/>
        <v/>
      </c>
      <c xmlns="http://schemas.openxmlformats.org/spreadsheetml/2006/main" r="V78" s="22" t="str">
        <f t="shared" si="4"/>
        <v/>
      </c>
      <c xmlns="http://schemas.openxmlformats.org/spreadsheetml/2006/main" r="W78" s="18" t="str">
        <f t="shared" si="5"/>
        <v/>
      </c>
      <c r="X78" s="22"/>
      <c r="Y78" s="22"/>
      <c xmlns="http://schemas.openxmlformats.org/spreadsheetml/2006/main" r="Z78">
        <f>IF($D78="",0,IF(COUNTIF($D$5:$D78,$D78)=1,1,0))</f>
        <v>0.0</v>
      </c>
      <c xmlns="http://schemas.openxmlformats.org/spreadsheetml/2006/main" r="AA78" t="str">
        <f>IF(Z78=1,SUM($Z$5:$Z78),"")</f>
        <v/>
      </c>
    </row>
    <row r="79" spans="1:27">
      <c r="A79" s="22"/>
      <c r="B79" s="22"/>
      <c r="C79" s="22"/>
      <c r="D79" s="22"/>
      <c r="E79" s="22"/>
      <c r="F79" s="23"/>
      <c r="G79" s="23"/>
      <c r="H79" s="24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6"/>
      <c xmlns="http://schemas.openxmlformats.org/spreadsheetml/2006/main" r="U79" s="23" t="str">
        <f t="shared" si="3"/>
        <v/>
      </c>
      <c xmlns="http://schemas.openxmlformats.org/spreadsheetml/2006/main" r="V79" s="22" t="str">
        <f t="shared" si="4"/>
        <v/>
      </c>
      <c xmlns="http://schemas.openxmlformats.org/spreadsheetml/2006/main" r="W79" s="18" t="str">
        <f t="shared" si="5"/>
        <v/>
      </c>
      <c r="X79" s="22"/>
      <c r="Y79" s="22"/>
      <c xmlns="http://schemas.openxmlformats.org/spreadsheetml/2006/main" r="Z79">
        <f>IF($D79="",0,IF(COUNTIF($D$5:$D79,$D79)=1,1,0))</f>
        <v>0.0</v>
      </c>
      <c xmlns="http://schemas.openxmlformats.org/spreadsheetml/2006/main" r="AA79" t="str">
        <f>IF(Z79=1,SUM($Z$5:$Z79),"")</f>
        <v/>
      </c>
    </row>
    <row r="80" spans="1:27">
      <c r="A80" s="22"/>
      <c r="B80" s="22"/>
      <c r="C80" s="22"/>
      <c r="D80" s="22"/>
      <c r="E80" s="22"/>
      <c r="F80" s="23"/>
      <c r="G80" s="23"/>
      <c r="H80" s="24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6"/>
      <c xmlns="http://schemas.openxmlformats.org/spreadsheetml/2006/main" r="U80" s="23" t="str">
        <f t="shared" si="3"/>
        <v/>
      </c>
      <c xmlns="http://schemas.openxmlformats.org/spreadsheetml/2006/main" r="V80" s="22" t="str">
        <f t="shared" si="4"/>
        <v/>
      </c>
      <c xmlns="http://schemas.openxmlformats.org/spreadsheetml/2006/main" r="W80" s="18" t="str">
        <f t="shared" si="5"/>
        <v/>
      </c>
      <c r="X80" s="22"/>
      <c r="Y80" s="22"/>
      <c xmlns="http://schemas.openxmlformats.org/spreadsheetml/2006/main" r="Z80">
        <f>IF($D80="",0,IF(COUNTIF($D$5:$D80,$D80)=1,1,0))</f>
        <v>0.0</v>
      </c>
      <c xmlns="http://schemas.openxmlformats.org/spreadsheetml/2006/main" r="AA80" t="str">
        <f>IF(Z80=1,SUM($Z$5:$Z80),"")</f>
        <v/>
      </c>
    </row>
    <row r="81" spans="1:27">
      <c r="A81" s="22"/>
      <c r="B81" s="22"/>
      <c r="C81" s="22"/>
      <c r="D81" s="22"/>
      <c r="E81" s="22"/>
      <c r="F81" s="23"/>
      <c r="G81" s="23"/>
      <c r="H81" s="24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6"/>
      <c xmlns="http://schemas.openxmlformats.org/spreadsheetml/2006/main" r="U81" s="23" t="str">
        <f t="shared" si="3"/>
        <v/>
      </c>
      <c xmlns="http://schemas.openxmlformats.org/spreadsheetml/2006/main" r="V81" s="22" t="str">
        <f t="shared" si="4"/>
        <v/>
      </c>
      <c xmlns="http://schemas.openxmlformats.org/spreadsheetml/2006/main" r="W81" s="18" t="str">
        <f t="shared" si="5"/>
        <v/>
      </c>
      <c r="X81" s="22"/>
      <c r="Y81" s="22"/>
      <c xmlns="http://schemas.openxmlformats.org/spreadsheetml/2006/main" r="Z81">
        <f>IF($D81="",0,IF(COUNTIF($D$5:$D81,$D81)=1,1,0))</f>
        <v>0.0</v>
      </c>
      <c xmlns="http://schemas.openxmlformats.org/spreadsheetml/2006/main" r="AA81" t="str">
        <f>IF(Z81=1,SUM($Z$5:$Z81),"")</f>
        <v/>
      </c>
    </row>
    <row r="82" spans="1:27">
      <c r="A82" s="22"/>
      <c r="B82" s="22"/>
      <c r="C82" s="22"/>
      <c r="D82" s="22"/>
      <c r="E82" s="22"/>
      <c r="F82" s="23"/>
      <c r="G82" s="23"/>
      <c r="H82" s="24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6"/>
      <c xmlns="http://schemas.openxmlformats.org/spreadsheetml/2006/main" r="U82" s="23" t="str">
        <f t="shared" si="3"/>
        <v/>
      </c>
      <c xmlns="http://schemas.openxmlformats.org/spreadsheetml/2006/main" r="V82" s="22" t="str">
        <f t="shared" si="4"/>
        <v/>
      </c>
      <c xmlns="http://schemas.openxmlformats.org/spreadsheetml/2006/main" r="W82" s="18" t="str">
        <f t="shared" si="5"/>
        <v/>
      </c>
      <c r="X82" s="22"/>
      <c r="Y82" s="22"/>
      <c xmlns="http://schemas.openxmlformats.org/spreadsheetml/2006/main" r="Z82">
        <f>IF($D82="",0,IF(COUNTIF($D$5:$D82,$D82)=1,1,0))</f>
        <v>0.0</v>
      </c>
      <c xmlns="http://schemas.openxmlformats.org/spreadsheetml/2006/main" r="AA82" t="str">
        <f>IF(Z82=1,SUM($Z$5:$Z82),"")</f>
        <v/>
      </c>
    </row>
    <row r="83" spans="1:27">
      <c r="A83" s="22"/>
      <c r="B83" s="22"/>
      <c r="C83" s="22"/>
      <c r="D83" s="22"/>
      <c r="E83" s="22"/>
      <c r="F83" s="23"/>
      <c r="G83" s="23"/>
      <c r="H83" s="24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6"/>
      <c xmlns="http://schemas.openxmlformats.org/spreadsheetml/2006/main" r="U83" s="23" t="str">
        <f t="shared" si="3"/>
        <v/>
      </c>
      <c xmlns="http://schemas.openxmlformats.org/spreadsheetml/2006/main" r="V83" s="22" t="str">
        <f t="shared" si="4"/>
        <v/>
      </c>
      <c xmlns="http://schemas.openxmlformats.org/spreadsheetml/2006/main" r="W83" s="18" t="str">
        <f t="shared" si="5"/>
        <v/>
      </c>
      <c r="X83" s="22"/>
      <c r="Y83" s="22"/>
      <c xmlns="http://schemas.openxmlformats.org/spreadsheetml/2006/main" r="Z83">
        <f>IF($D83="",0,IF(COUNTIF($D$5:$D83,$D83)=1,1,0))</f>
        <v>0.0</v>
      </c>
      <c xmlns="http://schemas.openxmlformats.org/spreadsheetml/2006/main" r="AA83" t="str">
        <f>IF(Z83=1,SUM($Z$5:$Z83),"")</f>
        <v/>
      </c>
    </row>
    <row r="84" spans="1:27">
      <c r="A84" s="22"/>
      <c r="B84" s="22"/>
      <c r="C84" s="22"/>
      <c r="D84" s="22"/>
      <c r="E84" s="22"/>
      <c r="F84" s="23"/>
      <c r="G84" s="23"/>
      <c r="H84" s="24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6"/>
      <c xmlns="http://schemas.openxmlformats.org/spreadsheetml/2006/main" r="U84" s="23" t="str">
        <f t="shared" si="3"/>
        <v/>
      </c>
      <c xmlns="http://schemas.openxmlformats.org/spreadsheetml/2006/main" r="V84" s="22" t="str">
        <f t="shared" si="4"/>
        <v/>
      </c>
      <c xmlns="http://schemas.openxmlformats.org/spreadsheetml/2006/main" r="W84" s="18" t="str">
        <f t="shared" si="5"/>
        <v/>
      </c>
      <c r="X84" s="22"/>
      <c r="Y84" s="22"/>
      <c xmlns="http://schemas.openxmlformats.org/spreadsheetml/2006/main" r="Z84">
        <f>IF($D84="",0,IF(COUNTIF($D$5:$D84,$D84)=1,1,0))</f>
        <v>0.0</v>
      </c>
      <c xmlns="http://schemas.openxmlformats.org/spreadsheetml/2006/main" r="AA84" t="str">
        <f>IF(Z84=1,SUM($Z$5:$Z84),"")</f>
        <v/>
      </c>
    </row>
    <row r="85" spans="1:27">
      <c r="A85" s="22"/>
      <c r="B85" s="22"/>
      <c r="C85" s="22"/>
      <c r="D85" s="22"/>
      <c r="E85" s="22"/>
      <c r="F85" s="23"/>
      <c r="G85" s="23"/>
      <c r="H85" s="24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6"/>
      <c xmlns="http://schemas.openxmlformats.org/spreadsheetml/2006/main" r="U85" s="23" t="str">
        <f t="shared" si="3"/>
        <v/>
      </c>
      <c xmlns="http://schemas.openxmlformats.org/spreadsheetml/2006/main" r="V85" s="22" t="str">
        <f t="shared" si="4"/>
        <v/>
      </c>
      <c xmlns="http://schemas.openxmlformats.org/spreadsheetml/2006/main" r="W85" s="18" t="str">
        <f t="shared" si="5"/>
        <v/>
      </c>
      <c r="X85" s="22"/>
      <c r="Y85" s="22"/>
      <c xmlns="http://schemas.openxmlformats.org/spreadsheetml/2006/main" r="Z85">
        <f>IF($D85="",0,IF(COUNTIF($D$5:$D85,$D85)=1,1,0))</f>
        <v>0.0</v>
      </c>
      <c xmlns="http://schemas.openxmlformats.org/spreadsheetml/2006/main" r="AA85" t="str">
        <f>IF(Z85=1,SUM($Z$5:$Z85),"")</f>
        <v/>
      </c>
    </row>
    <row r="86" spans="1:27">
      <c r="A86" s="22"/>
      <c r="B86" s="22"/>
      <c r="C86" s="22"/>
      <c r="D86" s="22"/>
      <c r="E86" s="22"/>
      <c r="F86" s="23"/>
      <c r="G86" s="23"/>
      <c r="H86" s="24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6"/>
      <c xmlns="http://schemas.openxmlformats.org/spreadsheetml/2006/main" r="U86" s="23" t="str">
        <f t="shared" si="3"/>
        <v/>
      </c>
      <c xmlns="http://schemas.openxmlformats.org/spreadsheetml/2006/main" r="V86" s="22" t="str">
        <f t="shared" si="4"/>
        <v/>
      </c>
      <c xmlns="http://schemas.openxmlformats.org/spreadsheetml/2006/main" r="W86" s="18" t="str">
        <f t="shared" si="5"/>
        <v/>
      </c>
      <c r="X86" s="22"/>
      <c r="Y86" s="22"/>
      <c xmlns="http://schemas.openxmlformats.org/spreadsheetml/2006/main" r="Z86">
        <f>IF($D86="",0,IF(COUNTIF($D$5:$D86,$D86)=1,1,0))</f>
        <v>0.0</v>
      </c>
      <c xmlns="http://schemas.openxmlformats.org/spreadsheetml/2006/main" r="AA86" t="str">
        <f>IF(Z86=1,SUM($Z$5:$Z86),"")</f>
        <v/>
      </c>
    </row>
    <row r="87" spans="1:27">
      <c r="A87" s="22"/>
      <c r="B87" s="22"/>
      <c r="C87" s="22"/>
      <c r="D87" s="22"/>
      <c r="E87" s="22"/>
      <c r="F87" s="23"/>
      <c r="G87" s="23"/>
      <c r="H87" s="24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6"/>
      <c xmlns="http://schemas.openxmlformats.org/spreadsheetml/2006/main" r="U87" s="23" t="str">
        <f t="shared" si="3"/>
        <v/>
      </c>
      <c xmlns="http://schemas.openxmlformats.org/spreadsheetml/2006/main" r="V87" s="22" t="str">
        <f t="shared" si="4"/>
        <v/>
      </c>
      <c xmlns="http://schemas.openxmlformats.org/spreadsheetml/2006/main" r="W87" s="18" t="str">
        <f t="shared" si="5"/>
        <v/>
      </c>
      <c r="X87" s="22"/>
      <c r="Y87" s="22"/>
      <c xmlns="http://schemas.openxmlformats.org/spreadsheetml/2006/main" r="Z87">
        <f>IF($D87="",0,IF(COUNTIF($D$5:$D87,$D87)=1,1,0))</f>
        <v>0.0</v>
      </c>
      <c xmlns="http://schemas.openxmlformats.org/spreadsheetml/2006/main" r="AA87" t="str">
        <f>IF(Z87=1,SUM($Z$5:$Z87),"")</f>
        <v/>
      </c>
    </row>
    <row r="88" spans="1:27">
      <c r="A88" s="22"/>
      <c r="B88" s="22"/>
      <c r="C88" s="22"/>
      <c r="D88" s="22"/>
      <c r="E88" s="22"/>
      <c r="F88" s="23"/>
      <c r="G88" s="23"/>
      <c r="H88" s="24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6"/>
      <c xmlns="http://schemas.openxmlformats.org/spreadsheetml/2006/main" r="U88" s="23" t="str">
        <f t="shared" si="3"/>
        <v/>
      </c>
      <c xmlns="http://schemas.openxmlformats.org/spreadsheetml/2006/main" r="V88" s="22" t="str">
        <f t="shared" si="4"/>
        <v/>
      </c>
      <c xmlns="http://schemas.openxmlformats.org/spreadsheetml/2006/main" r="W88" s="18" t="str">
        <f t="shared" si="5"/>
        <v/>
      </c>
      <c r="X88" s="22"/>
      <c r="Y88" s="22"/>
      <c xmlns="http://schemas.openxmlformats.org/spreadsheetml/2006/main" r="Z88">
        <f>IF($D88="",0,IF(COUNTIF($D$5:$D88,$D88)=1,1,0))</f>
        <v>0.0</v>
      </c>
      <c xmlns="http://schemas.openxmlformats.org/spreadsheetml/2006/main" r="AA88" t="str">
        <f>IF(Z88=1,SUM($Z$5:$Z88),"")</f>
        <v/>
      </c>
    </row>
    <row r="89" spans="1:27">
      <c r="A89" s="22"/>
      <c r="B89" s="22"/>
      <c r="C89" s="22"/>
      <c r="D89" s="22"/>
      <c r="E89" s="22"/>
      <c r="F89" s="23"/>
      <c r="G89" s="23"/>
      <c r="H89" s="24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6"/>
      <c xmlns="http://schemas.openxmlformats.org/spreadsheetml/2006/main" r="U89" s="23" t="str">
        <f t="shared" si="3"/>
        <v/>
      </c>
      <c xmlns="http://schemas.openxmlformats.org/spreadsheetml/2006/main" r="V89" s="22" t="str">
        <f t="shared" si="4"/>
        <v/>
      </c>
      <c xmlns="http://schemas.openxmlformats.org/spreadsheetml/2006/main" r="W89" s="18" t="str">
        <f t="shared" si="5"/>
        <v/>
      </c>
      <c r="X89" s="22"/>
      <c r="Y89" s="22"/>
      <c xmlns="http://schemas.openxmlformats.org/spreadsheetml/2006/main" r="Z89">
        <f>IF($D89="",0,IF(COUNTIF($D$5:$D89,$D89)=1,1,0))</f>
        <v>0.0</v>
      </c>
      <c xmlns="http://schemas.openxmlformats.org/spreadsheetml/2006/main" r="AA89" t="str">
        <f>IF(Z89=1,SUM($Z$5:$Z89),"")</f>
        <v/>
      </c>
    </row>
    <row r="90" spans="1:27">
      <c r="A90" s="22"/>
      <c r="B90" s="22"/>
      <c r="C90" s="22"/>
      <c r="D90" s="22"/>
      <c r="E90" s="22"/>
      <c r="F90" s="23"/>
      <c r="G90" s="23"/>
      <c r="H90" s="24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6"/>
      <c xmlns="http://schemas.openxmlformats.org/spreadsheetml/2006/main" r="U90" s="23" t="str">
        <f t="shared" si="3"/>
        <v/>
      </c>
      <c xmlns="http://schemas.openxmlformats.org/spreadsheetml/2006/main" r="V90" s="22" t="str">
        <f t="shared" si="4"/>
        <v/>
      </c>
      <c xmlns="http://schemas.openxmlformats.org/spreadsheetml/2006/main" r="W90" s="18" t="str">
        <f t="shared" si="5"/>
        <v/>
      </c>
      <c r="X90" s="22"/>
      <c r="Y90" s="22"/>
      <c xmlns="http://schemas.openxmlformats.org/spreadsheetml/2006/main" r="Z90">
        <f>IF($D90="",0,IF(COUNTIF($D$5:$D90,$D90)=1,1,0))</f>
        <v>0.0</v>
      </c>
      <c xmlns="http://schemas.openxmlformats.org/spreadsheetml/2006/main" r="AA90" t="str">
        <f>IF(Z90=1,SUM($Z$5:$Z90),"")</f>
        <v/>
      </c>
    </row>
    <row r="91" spans="1:27">
      <c r="A91" s="22"/>
      <c r="B91" s="22"/>
      <c r="C91" s="22"/>
      <c r="D91" s="22"/>
      <c r="E91" s="22"/>
      <c r="F91" s="23"/>
      <c r="G91" s="23"/>
      <c r="H91" s="24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6"/>
      <c xmlns="http://schemas.openxmlformats.org/spreadsheetml/2006/main" r="U91" s="23" t="str">
        <f t="shared" si="3"/>
        <v/>
      </c>
      <c xmlns="http://schemas.openxmlformats.org/spreadsheetml/2006/main" r="V91" s="22" t="str">
        <f t="shared" si="4"/>
        <v/>
      </c>
      <c xmlns="http://schemas.openxmlformats.org/spreadsheetml/2006/main" r="W91" s="18" t="str">
        <f t="shared" si="5"/>
        <v/>
      </c>
      <c r="X91" s="22"/>
      <c r="Y91" s="22"/>
      <c xmlns="http://schemas.openxmlformats.org/spreadsheetml/2006/main" r="Z91">
        <f>IF($D91="",0,IF(COUNTIF($D$5:$D91,$D91)=1,1,0))</f>
        <v>0.0</v>
      </c>
      <c xmlns="http://schemas.openxmlformats.org/spreadsheetml/2006/main" r="AA91" t="str">
        <f>IF(Z91=1,SUM($Z$5:$Z91),"")</f>
        <v/>
      </c>
    </row>
    <row r="92" spans="1:27">
      <c r="A92" s="22"/>
      <c r="B92" s="22"/>
      <c r="C92" s="22"/>
      <c r="D92" s="22"/>
      <c r="E92" s="22"/>
      <c r="F92" s="23"/>
      <c r="G92" s="23"/>
      <c r="H92" s="24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6"/>
      <c xmlns="http://schemas.openxmlformats.org/spreadsheetml/2006/main" r="U92" s="23" t="str">
        <f t="shared" si="3"/>
        <v/>
      </c>
      <c xmlns="http://schemas.openxmlformats.org/spreadsheetml/2006/main" r="V92" s="22" t="str">
        <f t="shared" si="4"/>
        <v/>
      </c>
      <c xmlns="http://schemas.openxmlformats.org/spreadsheetml/2006/main" r="W92" s="18" t="str">
        <f t="shared" si="5"/>
        <v/>
      </c>
      <c r="X92" s="22"/>
      <c r="Y92" s="22"/>
      <c xmlns="http://schemas.openxmlformats.org/spreadsheetml/2006/main" r="Z92">
        <f>IF($D92="",0,IF(COUNTIF($D$5:$D92,$D92)=1,1,0))</f>
        <v>0.0</v>
      </c>
      <c xmlns="http://schemas.openxmlformats.org/spreadsheetml/2006/main" r="AA92" t="str">
        <f>IF(Z92=1,SUM($Z$5:$Z92),"")</f>
        <v/>
      </c>
    </row>
    <row r="93" spans="1:27">
      <c r="A93" s="22"/>
      <c r="B93" s="22"/>
      <c r="C93" s="22"/>
      <c r="D93" s="22"/>
      <c r="E93" s="22"/>
      <c r="F93" s="23"/>
      <c r="G93" s="23"/>
      <c r="H93" s="24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6"/>
      <c xmlns="http://schemas.openxmlformats.org/spreadsheetml/2006/main" r="U93" s="23" t="str">
        <f t="shared" si="3"/>
        <v/>
      </c>
      <c xmlns="http://schemas.openxmlformats.org/spreadsheetml/2006/main" r="V93" s="22" t="str">
        <f t="shared" si="4"/>
        <v/>
      </c>
      <c xmlns="http://schemas.openxmlformats.org/spreadsheetml/2006/main" r="W93" s="18" t="str">
        <f t="shared" si="5"/>
        <v/>
      </c>
      <c r="X93" s="22"/>
      <c r="Y93" s="22"/>
      <c xmlns="http://schemas.openxmlformats.org/spreadsheetml/2006/main" r="Z93">
        <f>IF($D93="",0,IF(COUNTIF($D$5:$D93,$D93)=1,1,0))</f>
        <v>0.0</v>
      </c>
      <c xmlns="http://schemas.openxmlformats.org/spreadsheetml/2006/main" r="AA93" t="str">
        <f>IF(Z93=1,SUM($Z$5:$Z93),"")</f>
        <v/>
      </c>
    </row>
    <row r="94" spans="1:27">
      <c r="A94" s="22"/>
      <c r="B94" s="22"/>
      <c r="C94" s="22"/>
      <c r="D94" s="22"/>
      <c r="E94" s="22"/>
      <c r="F94" s="23"/>
      <c r="G94" s="23"/>
      <c r="H94" s="24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6"/>
      <c xmlns="http://schemas.openxmlformats.org/spreadsheetml/2006/main" r="U94" s="23" t="str">
        <f t="shared" si="3"/>
        <v/>
      </c>
      <c xmlns="http://schemas.openxmlformats.org/spreadsheetml/2006/main" r="V94" s="22" t="str">
        <f t="shared" si="4"/>
        <v/>
      </c>
      <c xmlns="http://schemas.openxmlformats.org/spreadsheetml/2006/main" r="W94" s="18" t="str">
        <f t="shared" si="5"/>
        <v/>
      </c>
      <c r="X94" s="22"/>
      <c r="Y94" s="22"/>
      <c xmlns="http://schemas.openxmlformats.org/spreadsheetml/2006/main" r="Z94">
        <f>IF($D94="",0,IF(COUNTIF($D$5:$D94,$D94)=1,1,0))</f>
        <v>0.0</v>
      </c>
      <c xmlns="http://schemas.openxmlformats.org/spreadsheetml/2006/main" r="AA94" t="str">
        <f>IF(Z94=1,SUM($Z$5:$Z94),"")</f>
        <v/>
      </c>
    </row>
    <row r="95" spans="1:27">
      <c r="A95" s="22"/>
      <c r="B95" s="22"/>
      <c r="C95" s="22"/>
      <c r="D95" s="22"/>
      <c r="E95" s="22"/>
      <c r="F95" s="23"/>
      <c r="G95" s="23"/>
      <c r="H95" s="24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6"/>
      <c xmlns="http://schemas.openxmlformats.org/spreadsheetml/2006/main" r="U95" s="23" t="str">
        <f t="shared" si="3"/>
        <v/>
      </c>
      <c xmlns="http://schemas.openxmlformats.org/spreadsheetml/2006/main" r="V95" s="22" t="str">
        <f t="shared" si="4"/>
        <v/>
      </c>
      <c xmlns="http://schemas.openxmlformats.org/spreadsheetml/2006/main" r="W95" s="18" t="str">
        <f t="shared" si="5"/>
        <v/>
      </c>
      <c r="X95" s="22"/>
      <c r="Y95" s="22"/>
      <c xmlns="http://schemas.openxmlformats.org/spreadsheetml/2006/main" r="Z95">
        <f>IF($D95="",0,IF(COUNTIF($D$5:$D95,$D95)=1,1,0))</f>
        <v>0.0</v>
      </c>
      <c xmlns="http://schemas.openxmlformats.org/spreadsheetml/2006/main" r="AA95" t="str">
        <f>IF(Z95=1,SUM($Z$5:$Z95),"")</f>
        <v/>
      </c>
    </row>
    <row r="96" spans="1:27">
      <c r="A96" s="22"/>
      <c r="B96" s="22"/>
      <c r="C96" s="22"/>
      <c r="D96" s="22"/>
      <c r="E96" s="22"/>
      <c r="F96" s="23"/>
      <c r="G96" s="23"/>
      <c r="H96" s="24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6"/>
      <c xmlns="http://schemas.openxmlformats.org/spreadsheetml/2006/main" r="U96" s="23" t="str">
        <f t="shared" si="3"/>
        <v/>
      </c>
      <c xmlns="http://schemas.openxmlformats.org/spreadsheetml/2006/main" r="V96" s="22" t="str">
        <f t="shared" si="4"/>
        <v/>
      </c>
      <c xmlns="http://schemas.openxmlformats.org/spreadsheetml/2006/main" r="W96" s="18" t="str">
        <f t="shared" si="5"/>
        <v/>
      </c>
      <c r="X96" s="22"/>
      <c r="Y96" s="22"/>
      <c xmlns="http://schemas.openxmlformats.org/spreadsheetml/2006/main" r="Z96">
        <f>IF($D96="",0,IF(COUNTIF($D$5:$D96,$D96)=1,1,0))</f>
        <v>0.0</v>
      </c>
      <c xmlns="http://schemas.openxmlformats.org/spreadsheetml/2006/main" r="AA96" t="str">
        <f>IF(Z96=1,SUM($Z$5:$Z96),"")</f>
        <v/>
      </c>
    </row>
    <row r="97" spans="1:27">
      <c r="A97" s="22"/>
      <c r="B97" s="22"/>
      <c r="C97" s="22"/>
      <c r="D97" s="22"/>
      <c r="E97" s="22"/>
      <c r="F97" s="23"/>
      <c r="G97" s="23"/>
      <c r="H97" s="24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6"/>
      <c xmlns="http://schemas.openxmlformats.org/spreadsheetml/2006/main" r="U97" s="23" t="str">
        <f t="shared" si="3"/>
        <v/>
      </c>
      <c xmlns="http://schemas.openxmlformats.org/spreadsheetml/2006/main" r="V97" s="22" t="str">
        <f t="shared" si="4"/>
        <v/>
      </c>
      <c xmlns="http://schemas.openxmlformats.org/spreadsheetml/2006/main" r="W97" s="18" t="str">
        <f t="shared" si="5"/>
        <v/>
      </c>
      <c r="X97" s="22"/>
      <c r="Y97" s="22"/>
      <c xmlns="http://schemas.openxmlformats.org/spreadsheetml/2006/main" r="Z97">
        <f>IF($D97="",0,IF(COUNTIF($D$5:$D97,$D97)=1,1,0))</f>
        <v>0.0</v>
      </c>
      <c xmlns="http://schemas.openxmlformats.org/spreadsheetml/2006/main" r="AA97" t="str">
        <f>IF(Z97=1,SUM($Z$5:$Z97),"")</f>
        <v/>
      </c>
    </row>
    <row r="98" spans="1:27">
      <c r="A98" s="22"/>
      <c r="B98" s="22"/>
      <c r="C98" s="22"/>
      <c r="D98" s="22"/>
      <c r="E98" s="22"/>
      <c r="F98" s="23"/>
      <c r="G98" s="23"/>
      <c r="H98" s="24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6"/>
      <c xmlns="http://schemas.openxmlformats.org/spreadsheetml/2006/main" r="U98" s="23" t="str">
        <f t="shared" si="3"/>
        <v/>
      </c>
      <c xmlns="http://schemas.openxmlformats.org/spreadsheetml/2006/main" r="V98" s="22" t="str">
        <f t="shared" si="4"/>
        <v/>
      </c>
      <c xmlns="http://schemas.openxmlformats.org/spreadsheetml/2006/main" r="W98" s="18" t="str">
        <f t="shared" si="5"/>
        <v/>
      </c>
      <c r="X98" s="22"/>
      <c r="Y98" s="22"/>
      <c xmlns="http://schemas.openxmlformats.org/spreadsheetml/2006/main" r="Z98">
        <f>IF($D98="",0,IF(COUNTIF($D$5:$D98,$D98)=1,1,0))</f>
        <v>0.0</v>
      </c>
      <c xmlns="http://schemas.openxmlformats.org/spreadsheetml/2006/main" r="AA98" t="str">
        <f>IF(Z98=1,SUM($Z$5:$Z98),"")</f>
        <v/>
      </c>
    </row>
    <row r="99" spans="1:27">
      <c r="A99" s="22"/>
      <c r="B99" s="22"/>
      <c r="C99" s="22"/>
      <c r="D99" s="22"/>
      <c r="E99" s="22"/>
      <c r="F99" s="23"/>
      <c r="G99" s="23"/>
      <c r="H99" s="24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6"/>
      <c xmlns="http://schemas.openxmlformats.org/spreadsheetml/2006/main" r="U99" s="23" t="str">
        <f t="shared" si="3"/>
        <v/>
      </c>
      <c xmlns="http://schemas.openxmlformats.org/spreadsheetml/2006/main" r="V99" s="22" t="str">
        <f t="shared" si="4"/>
        <v/>
      </c>
      <c xmlns="http://schemas.openxmlformats.org/spreadsheetml/2006/main" r="W99" s="18" t="str">
        <f t="shared" si="5"/>
        <v/>
      </c>
      <c r="X99" s="22"/>
      <c r="Y99" s="22"/>
      <c xmlns="http://schemas.openxmlformats.org/spreadsheetml/2006/main" r="Z99">
        <f>IF($D99="",0,IF(COUNTIF($D$5:$D99,$D99)=1,1,0))</f>
        <v>0.0</v>
      </c>
      <c xmlns="http://schemas.openxmlformats.org/spreadsheetml/2006/main" r="AA99" t="str">
        <f>IF(Z99=1,SUM($Z$5:$Z99),"")</f>
        <v/>
      </c>
    </row>
    <row r="100" spans="1:27">
      <c r="A100" s="22"/>
      <c r="B100" s="22"/>
      <c r="C100" s="22"/>
      <c r="D100" s="22"/>
      <c r="E100" s="22"/>
      <c r="F100" s="23"/>
      <c r="G100" s="23"/>
      <c r="H100" s="24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6"/>
      <c xmlns="http://schemas.openxmlformats.org/spreadsheetml/2006/main" r="U100" s="23" t="str">
        <f t="shared" si="3"/>
        <v/>
      </c>
      <c xmlns="http://schemas.openxmlformats.org/spreadsheetml/2006/main" r="V100" s="22" t="str">
        <f t="shared" si="4"/>
        <v/>
      </c>
      <c xmlns="http://schemas.openxmlformats.org/spreadsheetml/2006/main" r="W100" s="18" t="str">
        <f t="shared" si="5"/>
        <v/>
      </c>
      <c r="X100" s="22"/>
      <c r="Y100" s="22"/>
      <c xmlns="http://schemas.openxmlformats.org/spreadsheetml/2006/main" r="Z100">
        <f>IF($D100="",0,IF(COUNTIF($D$5:$D100,$D100)=1,1,0))</f>
        <v>0.0</v>
      </c>
      <c xmlns="http://schemas.openxmlformats.org/spreadsheetml/2006/main" r="AA100" t="str">
        <f>IF(Z100=1,SUM($Z$5:$Z100),"")</f>
        <v/>
      </c>
    </row>
    <row r="101" spans="1:27">
      <c r="A101" s="22"/>
      <c r="B101" s="22"/>
      <c r="C101" s="22"/>
      <c r="D101" s="22"/>
      <c r="E101" s="22"/>
      <c r="F101" s="23"/>
      <c r="G101" s="23"/>
      <c r="H101" s="24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6"/>
      <c xmlns="http://schemas.openxmlformats.org/spreadsheetml/2006/main" r="U101" s="23" t="str">
        <f t="shared" si="3"/>
        <v/>
      </c>
      <c xmlns="http://schemas.openxmlformats.org/spreadsheetml/2006/main" r="V101" s="22" t="str">
        <f t="shared" si="4"/>
        <v/>
      </c>
      <c xmlns="http://schemas.openxmlformats.org/spreadsheetml/2006/main" r="W101" s="18" t="str">
        <f t="shared" si="5"/>
        <v/>
      </c>
      <c r="X101" s="22"/>
      <c r="Y101" s="22"/>
      <c xmlns="http://schemas.openxmlformats.org/spreadsheetml/2006/main" r="Z101">
        <f>IF($D101="",0,IF(COUNTIF($D$5:$D101,$D101)=1,1,0))</f>
        <v>0.0</v>
      </c>
      <c xmlns="http://schemas.openxmlformats.org/spreadsheetml/2006/main" r="AA101" t="str">
        <f>IF(Z101=1,SUM($Z$5:$Z101),"")</f>
        <v/>
      </c>
    </row>
    <row r="102" spans="1:27">
      <c r="A102" s="22"/>
      <c r="B102" s="22"/>
      <c r="C102" s="22"/>
      <c r="D102" s="22"/>
      <c r="E102" s="22"/>
      <c r="F102" s="23"/>
      <c r="G102" s="23"/>
      <c r="H102" s="24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6"/>
      <c xmlns="http://schemas.openxmlformats.org/spreadsheetml/2006/main" r="U102" s="23" t="str">
        <f t="shared" si="3"/>
        <v/>
      </c>
      <c xmlns="http://schemas.openxmlformats.org/spreadsheetml/2006/main" r="V102" s="22" t="str">
        <f t="shared" si="4"/>
        <v/>
      </c>
      <c xmlns="http://schemas.openxmlformats.org/spreadsheetml/2006/main" r="W102" s="18" t="str">
        <f t="shared" si="5"/>
        <v/>
      </c>
      <c r="X102" s="22"/>
      <c r="Y102" s="22"/>
      <c xmlns="http://schemas.openxmlformats.org/spreadsheetml/2006/main" r="Z102">
        <f>IF($D102="",0,IF(COUNTIF($D$5:$D102,$D102)=1,1,0))</f>
        <v>0.0</v>
      </c>
      <c xmlns="http://schemas.openxmlformats.org/spreadsheetml/2006/main" r="AA102" t="str">
        <f>IF(Z102=1,SUM($Z$5:$Z102),"")</f>
        <v/>
      </c>
    </row>
    <row r="103" spans="1:27">
      <c r="A103" s="22"/>
      <c r="B103" s="22"/>
      <c r="C103" s="22"/>
      <c r="D103" s="22"/>
      <c r="E103" s="22"/>
      <c r="F103" s="23"/>
      <c r="G103" s="23"/>
      <c r="H103" s="24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6"/>
      <c xmlns="http://schemas.openxmlformats.org/spreadsheetml/2006/main" r="U103" s="23" t="str">
        <f t="shared" si="3"/>
        <v/>
      </c>
      <c xmlns="http://schemas.openxmlformats.org/spreadsheetml/2006/main" r="V103" s="22" t="str">
        <f t="shared" si="4"/>
        <v/>
      </c>
      <c xmlns="http://schemas.openxmlformats.org/spreadsheetml/2006/main" r="W103" s="18" t="str">
        <f t="shared" si="5"/>
        <v/>
      </c>
      <c r="X103" s="22"/>
      <c r="Y103" s="22"/>
      <c xmlns="http://schemas.openxmlformats.org/spreadsheetml/2006/main" r="Z103">
        <f>IF($D103="",0,IF(COUNTIF($D$5:$D103,$D103)=1,1,0))</f>
        <v>0.0</v>
      </c>
      <c xmlns="http://schemas.openxmlformats.org/spreadsheetml/2006/main" r="AA103" t="str">
        <f>IF(Z103=1,SUM($Z$5:$Z103),"")</f>
        <v/>
      </c>
    </row>
    <row r="104" spans="1:27">
      <c r="A104" s="22"/>
      <c r="B104" s="22"/>
      <c r="C104" s="22"/>
      <c r="D104" s="22"/>
      <c r="E104" s="22"/>
      <c r="F104" s="23"/>
      <c r="G104" s="23"/>
      <c r="H104" s="24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6"/>
      <c xmlns="http://schemas.openxmlformats.org/spreadsheetml/2006/main" r="U104" s="23" t="str">
        <f t="shared" si="3"/>
        <v/>
      </c>
      <c xmlns="http://schemas.openxmlformats.org/spreadsheetml/2006/main" r="V104" s="22" t="str">
        <f t="shared" si="4"/>
        <v/>
      </c>
      <c xmlns="http://schemas.openxmlformats.org/spreadsheetml/2006/main" r="W104" s="18" t="str">
        <f t="shared" si="5"/>
        <v/>
      </c>
      <c r="X104" s="22"/>
      <c r="Y104" s="22"/>
      <c xmlns="http://schemas.openxmlformats.org/spreadsheetml/2006/main" r="Z104">
        <f>IF($D104="",0,IF(COUNTIF($D$5:$D104,$D104)=1,1,0))</f>
        <v>0.0</v>
      </c>
      <c xmlns="http://schemas.openxmlformats.org/spreadsheetml/2006/main" r="AA104" t="str">
        <f>IF(Z104=1,SUM($Z$5:$Z104),"")</f>
        <v/>
      </c>
    </row>
    <row r="105" spans="1:27">
      <c r="A105" s="22"/>
      <c r="B105" s="22"/>
      <c r="C105" s="22"/>
      <c r="D105" s="22"/>
      <c r="E105" s="22"/>
      <c r="F105" s="23"/>
      <c r="G105" s="23"/>
      <c r="H105" s="24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6"/>
      <c xmlns="http://schemas.openxmlformats.org/spreadsheetml/2006/main" r="U105" s="23" t="str">
        <f t="shared" si="3"/>
        <v/>
      </c>
      <c xmlns="http://schemas.openxmlformats.org/spreadsheetml/2006/main" r="V105" s="22" t="str">
        <f t="shared" si="4"/>
        <v/>
      </c>
      <c xmlns="http://schemas.openxmlformats.org/spreadsheetml/2006/main" r="W105" s="18" t="str">
        <f t="shared" si="5"/>
        <v/>
      </c>
      <c r="X105" s="22"/>
      <c r="Y105" s="22"/>
      <c xmlns="http://schemas.openxmlformats.org/spreadsheetml/2006/main" r="Z105">
        <f>IF($D105="",0,IF(COUNTIF($D$5:$D105,$D105)=1,1,0))</f>
        <v>0.0</v>
      </c>
      <c xmlns="http://schemas.openxmlformats.org/spreadsheetml/2006/main" r="AA105" t="str">
        <f>IF(Z105=1,SUM($Z$5:$Z105),"")</f>
        <v/>
      </c>
    </row>
    <row r="106" spans="1:27">
      <c r="A106" s="22"/>
      <c r="B106" s="22"/>
      <c r="C106" s="22"/>
      <c r="D106" s="22"/>
      <c r="E106" s="22"/>
      <c r="F106" s="23"/>
      <c r="G106" s="23"/>
      <c r="H106" s="24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6"/>
      <c xmlns="http://schemas.openxmlformats.org/spreadsheetml/2006/main" r="U106" s="23" t="str">
        <f t="shared" si="3"/>
        <v/>
      </c>
      <c xmlns="http://schemas.openxmlformats.org/spreadsheetml/2006/main" r="V106" s="22" t="str">
        <f t="shared" si="4"/>
        <v/>
      </c>
      <c xmlns="http://schemas.openxmlformats.org/spreadsheetml/2006/main" r="W106" s="18" t="str">
        <f t="shared" si="5"/>
        <v/>
      </c>
      <c r="X106" s="22"/>
      <c r="Y106" s="22"/>
      <c xmlns="http://schemas.openxmlformats.org/spreadsheetml/2006/main" r="Z106">
        <f>IF($D106="",0,IF(COUNTIF($D$5:$D106,$D106)=1,1,0))</f>
        <v>0.0</v>
      </c>
      <c xmlns="http://schemas.openxmlformats.org/spreadsheetml/2006/main" r="AA106" t="str">
        <f>IF(Z106=1,SUM($Z$5:$Z106),"")</f>
        <v/>
      </c>
    </row>
    <row r="107" spans="1:27">
      <c r="A107" s="22"/>
      <c r="B107" s="22"/>
      <c r="C107" s="22"/>
      <c r="D107" s="22"/>
      <c r="E107" s="22"/>
      <c r="F107" s="23"/>
      <c r="G107" s="23"/>
      <c r="H107" s="24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6"/>
      <c xmlns="http://schemas.openxmlformats.org/spreadsheetml/2006/main" r="U107" s="23" t="str">
        <f t="shared" si="3"/>
        <v/>
      </c>
      <c xmlns="http://schemas.openxmlformats.org/spreadsheetml/2006/main" r="V107" s="22" t="str">
        <f t="shared" si="4"/>
        <v/>
      </c>
      <c xmlns="http://schemas.openxmlformats.org/spreadsheetml/2006/main" r="W107" s="18" t="str">
        <f t="shared" si="5"/>
        <v/>
      </c>
      <c r="X107" s="22"/>
      <c r="Y107" s="22"/>
      <c xmlns="http://schemas.openxmlformats.org/spreadsheetml/2006/main" r="Z107">
        <f>IF($D107="",0,IF(COUNTIF($D$5:$D107,$D107)=1,1,0))</f>
        <v>0.0</v>
      </c>
      <c xmlns="http://schemas.openxmlformats.org/spreadsheetml/2006/main" r="AA107" t="str">
        <f>IF(Z107=1,SUM($Z$5:$Z107),"")</f>
        <v/>
      </c>
    </row>
    <row r="108" spans="1:27">
      <c r="A108" s="22"/>
      <c r="B108" s="22"/>
      <c r="C108" s="22"/>
      <c r="D108" s="22"/>
      <c r="E108" s="22"/>
      <c r="F108" s="23"/>
      <c r="G108" s="23"/>
      <c r="H108" s="24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6"/>
      <c xmlns="http://schemas.openxmlformats.org/spreadsheetml/2006/main" r="U108" s="23" t="str">
        <f t="shared" si="3"/>
        <v/>
      </c>
      <c xmlns="http://schemas.openxmlformats.org/spreadsheetml/2006/main" r="V108" s="22" t="str">
        <f t="shared" si="4"/>
        <v/>
      </c>
      <c xmlns="http://schemas.openxmlformats.org/spreadsheetml/2006/main" r="W108" s="18" t="str">
        <f t="shared" si="5"/>
        <v/>
      </c>
      <c r="X108" s="22"/>
      <c r="Y108" s="22"/>
      <c xmlns="http://schemas.openxmlformats.org/spreadsheetml/2006/main" r="Z108">
        <f>IF($D108="",0,IF(COUNTIF($D$5:$D108,$D108)=1,1,0))</f>
        <v>0.0</v>
      </c>
      <c xmlns="http://schemas.openxmlformats.org/spreadsheetml/2006/main" r="AA108" t="str">
        <f>IF(Z108=1,SUM($Z$5:$Z108),"")</f>
        <v/>
      </c>
    </row>
    <row r="109" spans="1:27">
      <c r="A109" s="22"/>
      <c r="B109" s="22"/>
      <c r="C109" s="22"/>
      <c r="D109" s="22"/>
      <c r="E109" s="22"/>
      <c r="F109" s="23"/>
      <c r="G109" s="23"/>
      <c r="H109" s="24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6"/>
      <c xmlns="http://schemas.openxmlformats.org/spreadsheetml/2006/main" r="U109" s="23" t="str">
        <f t="shared" si="3"/>
        <v/>
      </c>
      <c xmlns="http://schemas.openxmlformats.org/spreadsheetml/2006/main" r="V109" s="22" t="str">
        <f t="shared" si="4"/>
        <v/>
      </c>
      <c xmlns="http://schemas.openxmlformats.org/spreadsheetml/2006/main" r="W109" s="18" t="str">
        <f t="shared" si="5"/>
        <v/>
      </c>
      <c r="X109" s="22"/>
      <c r="Y109" s="22"/>
      <c xmlns="http://schemas.openxmlformats.org/spreadsheetml/2006/main" r="Z109">
        <f>IF($D109="",0,IF(COUNTIF($D$5:$D109,$D109)=1,1,0))</f>
        <v>0.0</v>
      </c>
      <c xmlns="http://schemas.openxmlformats.org/spreadsheetml/2006/main" r="AA109" t="str">
        <f>IF(Z109=1,SUM($Z$5:$Z109),"")</f>
        <v/>
      </c>
    </row>
    <row r="110" spans="1:27">
      <c r="A110" s="22"/>
      <c r="B110" s="22"/>
      <c r="C110" s="22"/>
      <c r="D110" s="22"/>
      <c r="E110" s="22"/>
      <c r="F110" s="23"/>
      <c r="G110" s="23"/>
      <c r="H110" s="24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6"/>
      <c xmlns="http://schemas.openxmlformats.org/spreadsheetml/2006/main" r="U110" s="23" t="str">
        <f t="shared" si="3"/>
        <v/>
      </c>
      <c xmlns="http://schemas.openxmlformats.org/spreadsheetml/2006/main" r="V110" s="22" t="str">
        <f t="shared" si="4"/>
        <v/>
      </c>
      <c xmlns="http://schemas.openxmlformats.org/spreadsheetml/2006/main" r="W110" s="18" t="str">
        <f t="shared" si="5"/>
        <v/>
      </c>
      <c r="X110" s="22"/>
      <c r="Y110" s="22"/>
      <c xmlns="http://schemas.openxmlformats.org/spreadsheetml/2006/main" r="Z110">
        <f>IF($D110="",0,IF(COUNTIF($D$5:$D110,$D110)=1,1,0))</f>
        <v>0.0</v>
      </c>
      <c xmlns="http://schemas.openxmlformats.org/spreadsheetml/2006/main" r="AA110" t="str">
        <f>IF(Z110=1,SUM($Z$5:$Z110),"")</f>
        <v/>
      </c>
    </row>
    <row r="111" spans="1:27">
      <c r="A111" s="22"/>
      <c r="B111" s="22"/>
      <c r="C111" s="22"/>
      <c r="D111" s="22"/>
      <c r="E111" s="22"/>
      <c r="F111" s="23"/>
      <c r="G111" s="23"/>
      <c r="H111" s="24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6"/>
      <c xmlns="http://schemas.openxmlformats.org/spreadsheetml/2006/main" r="U111" s="23" t="str">
        <f t="shared" si="3"/>
        <v/>
      </c>
      <c xmlns="http://schemas.openxmlformats.org/spreadsheetml/2006/main" r="V111" s="22" t="str">
        <f t="shared" si="4"/>
        <v/>
      </c>
      <c xmlns="http://schemas.openxmlformats.org/spreadsheetml/2006/main" r="W111" s="18" t="str">
        <f t="shared" si="5"/>
        <v/>
      </c>
      <c r="X111" s="22"/>
      <c r="Y111" s="22"/>
      <c xmlns="http://schemas.openxmlformats.org/spreadsheetml/2006/main" r="Z111">
        <f>IF($D111="",0,IF(COUNTIF($D$5:$D111,$D111)=1,1,0))</f>
        <v>0.0</v>
      </c>
      <c xmlns="http://schemas.openxmlformats.org/spreadsheetml/2006/main" r="AA111" t="str">
        <f>IF(Z111=1,SUM($Z$5:$Z111),"")</f>
        <v/>
      </c>
    </row>
    <row r="112" spans="1:27">
      <c r="A112" s="22"/>
      <c r="B112" s="22"/>
      <c r="C112" s="22"/>
      <c r="D112" s="22"/>
      <c r="E112" s="22"/>
      <c r="F112" s="23"/>
      <c r="G112" s="23"/>
      <c r="H112" s="24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6"/>
      <c xmlns="http://schemas.openxmlformats.org/spreadsheetml/2006/main" r="U112" s="23" t="str">
        <f t="shared" si="3"/>
        <v/>
      </c>
      <c xmlns="http://schemas.openxmlformats.org/spreadsheetml/2006/main" r="V112" s="22" t="str">
        <f t="shared" si="4"/>
        <v/>
      </c>
      <c xmlns="http://schemas.openxmlformats.org/spreadsheetml/2006/main" r="W112" s="18" t="str">
        <f t="shared" si="5"/>
        <v/>
      </c>
      <c r="X112" s="22"/>
      <c r="Y112" s="22"/>
      <c xmlns="http://schemas.openxmlformats.org/spreadsheetml/2006/main" r="Z112">
        <f>IF($D112="",0,IF(COUNTIF($D$5:$D112,$D112)=1,1,0))</f>
        <v>0.0</v>
      </c>
      <c xmlns="http://schemas.openxmlformats.org/spreadsheetml/2006/main" r="AA112" t="str">
        <f>IF(Z112=1,SUM($Z$5:$Z112),"")</f>
        <v/>
      </c>
    </row>
    <row r="113" spans="1:27">
      <c r="A113" s="22"/>
      <c r="B113" s="22"/>
      <c r="C113" s="22"/>
      <c r="D113" s="22"/>
      <c r="E113" s="22"/>
      <c r="F113" s="23"/>
      <c r="G113" s="23"/>
      <c r="H113" s="24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6"/>
      <c xmlns="http://schemas.openxmlformats.org/spreadsheetml/2006/main" r="U113" s="23" t="str">
        <f t="shared" si="3"/>
        <v/>
      </c>
      <c xmlns="http://schemas.openxmlformats.org/spreadsheetml/2006/main" r="V113" s="22" t="str">
        <f t="shared" si="4"/>
        <v/>
      </c>
      <c xmlns="http://schemas.openxmlformats.org/spreadsheetml/2006/main" r="W113" s="18" t="str">
        <f t="shared" si="5"/>
        <v/>
      </c>
      <c r="X113" s="22"/>
      <c r="Y113" s="22"/>
      <c xmlns="http://schemas.openxmlformats.org/spreadsheetml/2006/main" r="Z113">
        <f>IF($D113="",0,IF(COUNTIF($D$5:$D113,$D113)=1,1,0))</f>
        <v>0.0</v>
      </c>
      <c xmlns="http://schemas.openxmlformats.org/spreadsheetml/2006/main" r="AA113" t="str">
        <f>IF(Z113=1,SUM($Z$5:$Z113),"")</f>
        <v/>
      </c>
    </row>
    <row r="114" spans="1:27">
      <c r="A114" s="22"/>
      <c r="B114" s="22"/>
      <c r="C114" s="22"/>
      <c r="D114" s="22"/>
      <c r="E114" s="22"/>
      <c r="F114" s="23"/>
      <c r="G114" s="23"/>
      <c r="H114" s="24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6"/>
      <c xmlns="http://schemas.openxmlformats.org/spreadsheetml/2006/main" r="U114" s="23" t="str">
        <f t="shared" si="3"/>
        <v/>
      </c>
      <c xmlns="http://schemas.openxmlformats.org/spreadsheetml/2006/main" r="V114" s="22" t="str">
        <f t="shared" si="4"/>
        <v/>
      </c>
      <c xmlns="http://schemas.openxmlformats.org/spreadsheetml/2006/main" r="W114" s="18" t="str">
        <f t="shared" si="5"/>
        <v/>
      </c>
      <c r="X114" s="22"/>
      <c r="Y114" s="22"/>
      <c xmlns="http://schemas.openxmlformats.org/spreadsheetml/2006/main" r="Z114">
        <f>IF($D114="",0,IF(COUNTIF($D$5:$D114,$D114)=1,1,0))</f>
        <v>0.0</v>
      </c>
      <c xmlns="http://schemas.openxmlformats.org/spreadsheetml/2006/main" r="AA114" t="str">
        <f>IF(Z114=1,SUM($Z$5:$Z114),"")</f>
        <v/>
      </c>
    </row>
    <row r="115" spans="1:27">
      <c r="A115" s="22"/>
      <c r="B115" s="22"/>
      <c r="C115" s="22"/>
      <c r="D115" s="22"/>
      <c r="E115" s="22"/>
      <c r="F115" s="23"/>
      <c r="G115" s="23"/>
      <c r="H115" s="24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6"/>
      <c xmlns="http://schemas.openxmlformats.org/spreadsheetml/2006/main" r="U115" s="23" t="str">
        <f t="shared" si="3"/>
        <v/>
      </c>
      <c xmlns="http://schemas.openxmlformats.org/spreadsheetml/2006/main" r="V115" s="22" t="str">
        <f t="shared" si="4"/>
        <v/>
      </c>
      <c xmlns="http://schemas.openxmlformats.org/spreadsheetml/2006/main" r="W115" s="18" t="str">
        <f t="shared" si="5"/>
        <v/>
      </c>
      <c r="X115" s="22"/>
      <c r="Y115" s="22"/>
      <c xmlns="http://schemas.openxmlformats.org/spreadsheetml/2006/main" r="Z115">
        <f>IF($D115="",0,IF(COUNTIF($D$5:$D115,$D115)=1,1,0))</f>
        <v>0.0</v>
      </c>
      <c xmlns="http://schemas.openxmlformats.org/spreadsheetml/2006/main" r="AA115" t="str">
        <f>IF(Z115=1,SUM($Z$5:$Z115),"")</f>
        <v/>
      </c>
    </row>
    <row r="116" spans="1:27">
      <c r="A116" s="22"/>
      <c r="B116" s="22"/>
      <c r="C116" s="22"/>
      <c r="D116" s="22"/>
      <c r="E116" s="22"/>
      <c r="F116" s="23"/>
      <c r="G116" s="23"/>
      <c r="H116" s="24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6"/>
      <c xmlns="http://schemas.openxmlformats.org/spreadsheetml/2006/main" r="U116" s="23" t="str">
        <f t="shared" si="3"/>
        <v/>
      </c>
      <c xmlns="http://schemas.openxmlformats.org/spreadsheetml/2006/main" r="V116" s="22" t="str">
        <f t="shared" si="4"/>
        <v/>
      </c>
      <c xmlns="http://schemas.openxmlformats.org/spreadsheetml/2006/main" r="W116" s="18" t="str">
        <f t="shared" si="5"/>
        <v/>
      </c>
      <c r="X116" s="22"/>
      <c r="Y116" s="22"/>
      <c xmlns="http://schemas.openxmlformats.org/spreadsheetml/2006/main" r="Z116">
        <f>IF($D116="",0,IF(COUNTIF($D$5:$D116,$D116)=1,1,0))</f>
        <v>0.0</v>
      </c>
      <c xmlns="http://schemas.openxmlformats.org/spreadsheetml/2006/main" r="AA116" t="str">
        <f>IF(Z116=1,SUM($Z$5:$Z116),"")</f>
        <v/>
      </c>
    </row>
    <row r="117" spans="1:27">
      <c r="A117" s="22"/>
      <c r="B117" s="22"/>
      <c r="C117" s="22"/>
      <c r="D117" s="22"/>
      <c r="E117" s="22"/>
      <c r="F117" s="23"/>
      <c r="G117" s="23"/>
      <c r="H117" s="24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6"/>
      <c xmlns="http://schemas.openxmlformats.org/spreadsheetml/2006/main" r="U117" s="23" t="str">
        <f t="shared" si="3"/>
        <v/>
      </c>
      <c xmlns="http://schemas.openxmlformats.org/spreadsheetml/2006/main" r="V117" s="22" t="str">
        <f t="shared" si="4"/>
        <v/>
      </c>
      <c xmlns="http://schemas.openxmlformats.org/spreadsheetml/2006/main" r="W117" s="18" t="str">
        <f t="shared" si="5"/>
        <v/>
      </c>
      <c r="X117" s="22"/>
      <c r="Y117" s="22"/>
      <c xmlns="http://schemas.openxmlformats.org/spreadsheetml/2006/main" r="Z117">
        <f>IF($D117="",0,IF(COUNTIF($D$5:$D117,$D117)=1,1,0))</f>
        <v>0.0</v>
      </c>
      <c xmlns="http://schemas.openxmlformats.org/spreadsheetml/2006/main" r="AA117" t="str">
        <f>IF(Z117=1,SUM($Z$5:$Z117),"")</f>
        <v/>
      </c>
    </row>
    <row r="118" spans="1:27">
      <c r="A118" s="22"/>
      <c r="B118" s="22"/>
      <c r="C118" s="22"/>
      <c r="D118" s="22"/>
      <c r="E118" s="22"/>
      <c r="F118" s="23"/>
      <c r="G118" s="23"/>
      <c r="H118" s="24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6"/>
      <c xmlns="http://schemas.openxmlformats.org/spreadsheetml/2006/main" r="U118" s="23" t="str">
        <f t="shared" si="3"/>
        <v/>
      </c>
      <c xmlns="http://schemas.openxmlformats.org/spreadsheetml/2006/main" r="V118" s="22" t="str">
        <f t="shared" si="4"/>
        <v/>
      </c>
      <c xmlns="http://schemas.openxmlformats.org/spreadsheetml/2006/main" r="W118" s="18" t="str">
        <f t="shared" si="5"/>
        <v/>
      </c>
      <c r="X118" s="22"/>
      <c r="Y118" s="22"/>
      <c xmlns="http://schemas.openxmlformats.org/spreadsheetml/2006/main" r="Z118">
        <f>IF($D118="",0,IF(COUNTIF($D$5:$D118,$D118)=1,1,0))</f>
        <v>0.0</v>
      </c>
      <c xmlns="http://schemas.openxmlformats.org/spreadsheetml/2006/main" r="AA118" t="str">
        <f>IF(Z118=1,SUM($Z$5:$Z118),"")</f>
        <v/>
      </c>
    </row>
    <row r="119" spans="1:27">
      <c r="A119" s="22"/>
      <c r="B119" s="22"/>
      <c r="C119" s="22"/>
      <c r="D119" s="22"/>
      <c r="E119" s="22"/>
      <c r="F119" s="23"/>
      <c r="G119" s="23"/>
      <c r="H119" s="24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6"/>
      <c xmlns="http://schemas.openxmlformats.org/spreadsheetml/2006/main" r="U119" s="23" t="str">
        <f t="shared" si="3"/>
        <v/>
      </c>
      <c xmlns="http://schemas.openxmlformats.org/spreadsheetml/2006/main" r="V119" s="22" t="str">
        <f t="shared" si="4"/>
        <v/>
      </c>
      <c xmlns="http://schemas.openxmlformats.org/spreadsheetml/2006/main" r="W119" s="18" t="str">
        <f t="shared" si="5"/>
        <v/>
      </c>
      <c r="X119" s="22"/>
      <c r="Y119" s="22"/>
      <c xmlns="http://schemas.openxmlformats.org/spreadsheetml/2006/main" r="Z119">
        <f>IF($D119="",0,IF(COUNTIF($D$5:$D119,$D119)=1,1,0))</f>
        <v>0.0</v>
      </c>
      <c xmlns="http://schemas.openxmlformats.org/spreadsheetml/2006/main" r="AA119" t="str">
        <f>IF(Z119=1,SUM($Z$5:$Z119),"")</f>
        <v/>
      </c>
    </row>
    <row r="120" spans="1:27">
      <c r="A120" s="22"/>
      <c r="B120" s="22"/>
      <c r="C120" s="22"/>
      <c r="D120" s="22"/>
      <c r="E120" s="22"/>
      <c r="F120" s="23"/>
      <c r="G120" s="23"/>
      <c r="H120" s="24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6"/>
      <c xmlns="http://schemas.openxmlformats.org/spreadsheetml/2006/main" r="U120" s="23" t="str">
        <f t="shared" si="3"/>
        <v/>
      </c>
      <c xmlns="http://schemas.openxmlformats.org/spreadsheetml/2006/main" r="V120" s="22" t="str">
        <f t="shared" si="4"/>
        <v/>
      </c>
      <c xmlns="http://schemas.openxmlformats.org/spreadsheetml/2006/main" r="W120" s="18" t="str">
        <f t="shared" si="5"/>
        <v/>
      </c>
      <c r="X120" s="22"/>
      <c r="Y120" s="22"/>
      <c xmlns="http://schemas.openxmlformats.org/spreadsheetml/2006/main" r="Z120">
        <f>IF($D120="",0,IF(COUNTIF($D$5:$D120,$D120)=1,1,0))</f>
        <v>0.0</v>
      </c>
      <c xmlns="http://schemas.openxmlformats.org/spreadsheetml/2006/main" r="AA120" t="str">
        <f>IF(Z120=1,SUM($Z$5:$Z120),"")</f>
        <v/>
      </c>
    </row>
    <row r="121" spans="1:27">
      <c r="A121" s="22"/>
      <c r="B121" s="22"/>
      <c r="C121" s="22"/>
      <c r="D121" s="22"/>
      <c r="E121" s="22"/>
      <c r="F121" s="23"/>
      <c r="G121" s="23"/>
      <c r="H121" s="24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6"/>
      <c xmlns="http://schemas.openxmlformats.org/spreadsheetml/2006/main" r="U121" s="23" t="str">
        <f t="shared" si="3"/>
        <v/>
      </c>
      <c xmlns="http://schemas.openxmlformats.org/spreadsheetml/2006/main" r="V121" s="22" t="str">
        <f t="shared" si="4"/>
        <v/>
      </c>
      <c xmlns="http://schemas.openxmlformats.org/spreadsheetml/2006/main" r="W121" s="18" t="str">
        <f t="shared" si="5"/>
        <v/>
      </c>
      <c r="X121" s="22"/>
      <c r="Y121" s="22"/>
      <c xmlns="http://schemas.openxmlformats.org/spreadsheetml/2006/main" r="Z121">
        <f>IF($D121="",0,IF(COUNTIF($D$5:$D121,$D121)=1,1,0))</f>
        <v>0.0</v>
      </c>
      <c xmlns="http://schemas.openxmlformats.org/spreadsheetml/2006/main" r="AA121" t="str">
        <f>IF(Z121=1,SUM($Z$5:$Z121),"")</f>
        <v/>
      </c>
    </row>
    <row r="122" spans="1:27">
      <c r="A122" s="22"/>
      <c r="B122" s="22"/>
      <c r="C122" s="22"/>
      <c r="D122" s="22"/>
      <c r="E122" s="22"/>
      <c r="F122" s="23"/>
      <c r="G122" s="23"/>
      <c r="H122" s="24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6"/>
      <c xmlns="http://schemas.openxmlformats.org/spreadsheetml/2006/main" r="U122" s="23" t="str">
        <f t="shared" si="3"/>
        <v/>
      </c>
      <c xmlns="http://schemas.openxmlformats.org/spreadsheetml/2006/main" r="V122" s="22" t="str">
        <f t="shared" si="4"/>
        <v/>
      </c>
      <c xmlns="http://schemas.openxmlformats.org/spreadsheetml/2006/main" r="W122" s="18" t="str">
        <f t="shared" si="5"/>
        <v/>
      </c>
      <c r="X122" s="22"/>
      <c r="Y122" s="22"/>
      <c xmlns="http://schemas.openxmlformats.org/spreadsheetml/2006/main" r="Z122">
        <f>IF($D122="",0,IF(COUNTIF($D$5:$D122,$D122)=1,1,0))</f>
        <v>0.0</v>
      </c>
      <c xmlns="http://schemas.openxmlformats.org/spreadsheetml/2006/main" r="AA122" t="str">
        <f>IF(Z122=1,SUM($Z$5:$Z122),"")</f>
        <v/>
      </c>
    </row>
    <row r="123" spans="1:27">
      <c r="A123" s="22"/>
      <c r="B123" s="22"/>
      <c r="C123" s="22"/>
      <c r="D123" s="22"/>
      <c r="E123" s="22"/>
      <c r="F123" s="23"/>
      <c r="G123" s="23"/>
      <c r="H123" s="24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6"/>
      <c xmlns="http://schemas.openxmlformats.org/spreadsheetml/2006/main" r="U123" s="23" t="str">
        <f t="shared" si="3"/>
        <v/>
      </c>
      <c xmlns="http://schemas.openxmlformats.org/spreadsheetml/2006/main" r="V123" s="22" t="str">
        <f t="shared" si="4"/>
        <v/>
      </c>
      <c xmlns="http://schemas.openxmlformats.org/spreadsheetml/2006/main" r="W123" s="18" t="str">
        <f t="shared" si="5"/>
        <v/>
      </c>
      <c r="X123" s="22"/>
      <c r="Y123" s="22"/>
      <c xmlns="http://schemas.openxmlformats.org/spreadsheetml/2006/main" r="Z123">
        <f>IF($D123="",0,IF(COUNTIF($D$5:$D123,$D123)=1,1,0))</f>
        <v>0.0</v>
      </c>
      <c xmlns="http://schemas.openxmlformats.org/spreadsheetml/2006/main" r="AA123" t="str">
        <f>IF(Z123=1,SUM($Z$5:$Z123),"")</f>
        <v/>
      </c>
    </row>
    <row r="124" spans="1:27">
      <c r="A124" s="22"/>
      <c r="B124" s="22"/>
      <c r="C124" s="22"/>
      <c r="D124" s="22"/>
      <c r="E124" s="22"/>
      <c r="F124" s="23"/>
      <c r="G124" s="23"/>
      <c r="H124" s="24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6"/>
      <c xmlns="http://schemas.openxmlformats.org/spreadsheetml/2006/main" r="U124" s="23" t="str">
        <f t="shared" si="3"/>
        <v/>
      </c>
      <c xmlns="http://schemas.openxmlformats.org/spreadsheetml/2006/main" r="V124" s="22" t="str">
        <f t="shared" si="4"/>
        <v/>
      </c>
      <c xmlns="http://schemas.openxmlformats.org/spreadsheetml/2006/main" r="W124" s="18" t="str">
        <f t="shared" si="5"/>
        <v/>
      </c>
      <c r="X124" s="22"/>
      <c r="Y124" s="22"/>
      <c xmlns="http://schemas.openxmlformats.org/spreadsheetml/2006/main" r="Z124">
        <f>IF($D124="",0,IF(COUNTIF($D$5:$D124,$D124)=1,1,0))</f>
        <v>0.0</v>
      </c>
      <c xmlns="http://schemas.openxmlformats.org/spreadsheetml/2006/main" r="AA124" t="str">
        <f>IF(Z124=1,SUM($Z$5:$Z124),"")</f>
        <v/>
      </c>
    </row>
    <row r="125" spans="1:27">
      <c r="A125" s="22"/>
      <c r="B125" s="22"/>
      <c r="C125" s="22"/>
      <c r="D125" s="22"/>
      <c r="E125" s="22"/>
      <c r="F125" s="23"/>
      <c r="G125" s="23"/>
      <c r="H125" s="24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6"/>
      <c xmlns="http://schemas.openxmlformats.org/spreadsheetml/2006/main" r="U125" s="23" t="str">
        <f t="shared" si="3"/>
        <v/>
      </c>
      <c xmlns="http://schemas.openxmlformats.org/spreadsheetml/2006/main" r="V125" s="22" t="str">
        <f t="shared" si="4"/>
        <v/>
      </c>
      <c xmlns="http://schemas.openxmlformats.org/spreadsheetml/2006/main" r="W125" s="18" t="str">
        <f t="shared" si="5"/>
        <v/>
      </c>
      <c r="X125" s="22"/>
      <c r="Y125" s="22"/>
      <c xmlns="http://schemas.openxmlformats.org/spreadsheetml/2006/main" r="Z125">
        <f>IF($D125="",0,IF(COUNTIF($D$5:$D125,$D125)=1,1,0))</f>
        <v>0.0</v>
      </c>
      <c xmlns="http://schemas.openxmlformats.org/spreadsheetml/2006/main" r="AA125" t="str">
        <f>IF(Z125=1,SUM($Z$5:$Z125),"")</f>
        <v/>
      </c>
    </row>
    <row r="126" spans="1:27">
      <c r="A126" s="22"/>
      <c r="B126" s="22"/>
      <c r="C126" s="22"/>
      <c r="D126" s="22"/>
      <c r="E126" s="22"/>
      <c r="F126" s="23"/>
      <c r="G126" s="23"/>
      <c r="H126" s="24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6"/>
      <c xmlns="http://schemas.openxmlformats.org/spreadsheetml/2006/main" r="U126" s="23" t="str">
        <f t="shared" si="3"/>
        <v/>
      </c>
      <c xmlns="http://schemas.openxmlformats.org/spreadsheetml/2006/main" r="V126" s="22" t="str">
        <f t="shared" si="4"/>
        <v/>
      </c>
      <c xmlns="http://schemas.openxmlformats.org/spreadsheetml/2006/main" r="W126" s="18" t="str">
        <f t="shared" si="5"/>
        <v/>
      </c>
      <c r="X126" s="22"/>
      <c r="Y126" s="22"/>
      <c xmlns="http://schemas.openxmlformats.org/spreadsheetml/2006/main" r="Z126">
        <f>IF($D126="",0,IF(COUNTIF($D$5:$D126,$D126)=1,1,0))</f>
        <v>0.0</v>
      </c>
      <c xmlns="http://schemas.openxmlformats.org/spreadsheetml/2006/main" r="AA126" t="str">
        <f>IF(Z126=1,SUM($Z$5:$Z126),"")</f>
        <v/>
      </c>
    </row>
    <row r="127" spans="1:27">
      <c r="A127" s="22"/>
      <c r="B127" s="22"/>
      <c r="C127" s="22"/>
      <c r="D127" s="22"/>
      <c r="E127" s="22"/>
      <c r="F127" s="23"/>
      <c r="G127" s="23"/>
      <c r="H127" s="24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6"/>
      <c xmlns="http://schemas.openxmlformats.org/spreadsheetml/2006/main" r="U127" s="23" t="str">
        <f t="shared" si="3"/>
        <v/>
      </c>
      <c xmlns="http://schemas.openxmlformats.org/spreadsheetml/2006/main" r="V127" s="22" t="str">
        <f t="shared" si="4"/>
        <v/>
      </c>
      <c xmlns="http://schemas.openxmlformats.org/spreadsheetml/2006/main" r="W127" s="18" t="str">
        <f t="shared" si="5"/>
        <v/>
      </c>
      <c r="X127" s="22"/>
      <c r="Y127" s="22"/>
      <c xmlns="http://schemas.openxmlformats.org/spreadsheetml/2006/main" r="Z127">
        <f>IF($D127="",0,IF(COUNTIF($D$5:$D127,$D127)=1,1,0))</f>
        <v>0.0</v>
      </c>
      <c xmlns="http://schemas.openxmlformats.org/spreadsheetml/2006/main" r="AA127" t="str">
        <f>IF(Z127=1,SUM($Z$5:$Z127),"")</f>
        <v/>
      </c>
    </row>
    <row r="128" spans="1:27">
      <c r="A128" s="22"/>
      <c r="B128" s="22"/>
      <c r="C128" s="22"/>
      <c r="D128" s="22"/>
      <c r="E128" s="22"/>
      <c r="F128" s="23"/>
      <c r="G128" s="23"/>
      <c r="H128" s="24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6"/>
      <c xmlns="http://schemas.openxmlformats.org/spreadsheetml/2006/main" r="U128" s="23" t="str">
        <f t="shared" si="3"/>
        <v/>
      </c>
      <c xmlns="http://schemas.openxmlformats.org/spreadsheetml/2006/main" r="V128" s="22" t="str">
        <f t="shared" si="4"/>
        <v/>
      </c>
      <c xmlns="http://schemas.openxmlformats.org/spreadsheetml/2006/main" r="W128" s="18" t="str">
        <f t="shared" si="5"/>
        <v/>
      </c>
      <c r="X128" s="22"/>
      <c r="Y128" s="22"/>
      <c xmlns="http://schemas.openxmlformats.org/spreadsheetml/2006/main" r="Z128">
        <f>IF($D128="",0,IF(COUNTIF($D$5:$D128,$D128)=1,1,0))</f>
        <v>0.0</v>
      </c>
      <c xmlns="http://schemas.openxmlformats.org/spreadsheetml/2006/main" r="AA128" t="str">
        <f>IF(Z128=1,SUM($Z$5:$Z128),"")</f>
        <v/>
      </c>
    </row>
    <row r="129" spans="1:27">
      <c r="A129" s="22"/>
      <c r="B129" s="22"/>
      <c r="C129" s="22"/>
      <c r="D129" s="22"/>
      <c r="E129" s="22"/>
      <c r="F129" s="23"/>
      <c r="G129" s="23"/>
      <c r="H129" s="24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6"/>
      <c xmlns="http://schemas.openxmlformats.org/spreadsheetml/2006/main" r="U129" s="23" t="str">
        <f t="shared" si="3"/>
        <v/>
      </c>
      <c xmlns="http://schemas.openxmlformats.org/spreadsheetml/2006/main" r="V129" s="22" t="str">
        <f t="shared" si="4"/>
        <v/>
      </c>
      <c xmlns="http://schemas.openxmlformats.org/spreadsheetml/2006/main" r="W129" s="18" t="str">
        <f t="shared" si="5"/>
        <v/>
      </c>
      <c r="X129" s="22"/>
      <c r="Y129" s="22"/>
      <c xmlns="http://schemas.openxmlformats.org/spreadsheetml/2006/main" r="Z129">
        <f>IF($D129="",0,IF(COUNTIF($D$5:$D129,$D129)=1,1,0))</f>
        <v>0.0</v>
      </c>
      <c xmlns="http://schemas.openxmlformats.org/spreadsheetml/2006/main" r="AA129" t="str">
        <f>IF(Z129=1,SUM($Z$5:$Z129),"")</f>
        <v/>
      </c>
    </row>
    <row r="130" spans="1:27">
      <c r="A130" s="22"/>
      <c r="B130" s="22"/>
      <c r="C130" s="22"/>
      <c r="D130" s="22"/>
      <c r="E130" s="22"/>
      <c r="F130" s="23"/>
      <c r="G130" s="23"/>
      <c r="H130" s="24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6"/>
      <c xmlns="http://schemas.openxmlformats.org/spreadsheetml/2006/main" r="U130" s="23" t="str">
        <f t="shared" si="3"/>
        <v/>
      </c>
      <c xmlns="http://schemas.openxmlformats.org/spreadsheetml/2006/main" r="V130" s="22" t="str">
        <f t="shared" si="4"/>
        <v/>
      </c>
      <c xmlns="http://schemas.openxmlformats.org/spreadsheetml/2006/main" r="W130" s="18" t="str">
        <f t="shared" si="5"/>
        <v/>
      </c>
      <c r="X130" s="22"/>
      <c r="Y130" s="22"/>
      <c xmlns="http://schemas.openxmlformats.org/spreadsheetml/2006/main" r="Z130">
        <f>IF($D130="",0,IF(COUNTIF($D$5:$D130,$D130)=1,1,0))</f>
        <v>0.0</v>
      </c>
      <c xmlns="http://schemas.openxmlformats.org/spreadsheetml/2006/main" r="AA130" t="str">
        <f>IF(Z130=1,SUM($Z$5:$Z130),"")</f>
        <v/>
      </c>
    </row>
    <row r="131" spans="1:27">
      <c r="A131" s="22"/>
      <c r="B131" s="22"/>
      <c r="C131" s="22"/>
      <c r="D131" s="22"/>
      <c r="E131" s="22"/>
      <c r="F131" s="23"/>
      <c r="G131" s="23"/>
      <c r="H131" s="24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6"/>
      <c xmlns="http://schemas.openxmlformats.org/spreadsheetml/2006/main" r="U131" s="23" t="str">
        <f t="shared" si="3"/>
        <v/>
      </c>
      <c xmlns="http://schemas.openxmlformats.org/spreadsheetml/2006/main" r="V131" s="22" t="str">
        <f t="shared" si="4"/>
        <v/>
      </c>
      <c xmlns="http://schemas.openxmlformats.org/spreadsheetml/2006/main" r="W131" s="18" t="str">
        <f t="shared" si="5"/>
        <v/>
      </c>
      <c r="X131" s="22"/>
      <c r="Y131" s="22"/>
      <c xmlns="http://schemas.openxmlformats.org/spreadsheetml/2006/main" r="Z131">
        <f>IF($D131="",0,IF(COUNTIF($D$5:$D131,$D131)=1,1,0))</f>
        <v>0.0</v>
      </c>
      <c xmlns="http://schemas.openxmlformats.org/spreadsheetml/2006/main" r="AA131" t="str">
        <f>IF(Z131=1,SUM($Z$5:$Z131),"")</f>
        <v/>
      </c>
    </row>
    <row r="132" spans="1:27">
      <c r="A132" s="22"/>
      <c r="B132" s="22"/>
      <c r="C132" s="22"/>
      <c r="D132" s="22"/>
      <c r="E132" s="22"/>
      <c r="F132" s="23"/>
      <c r="G132" s="23"/>
      <c r="H132" s="24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6"/>
      <c xmlns="http://schemas.openxmlformats.org/spreadsheetml/2006/main" r="U132" s="23" t="str">
        <f t="shared" si="3"/>
        <v/>
      </c>
      <c xmlns="http://schemas.openxmlformats.org/spreadsheetml/2006/main" r="V132" s="22" t="str">
        <f t="shared" si="4"/>
        <v/>
      </c>
      <c xmlns="http://schemas.openxmlformats.org/spreadsheetml/2006/main" r="W132" s="18" t="str">
        <f t="shared" si="5"/>
        <v/>
      </c>
      <c r="X132" s="22"/>
      <c r="Y132" s="22"/>
      <c xmlns="http://schemas.openxmlformats.org/spreadsheetml/2006/main" r="Z132">
        <f>IF($D132="",0,IF(COUNTIF($D$5:$D132,$D132)=1,1,0))</f>
        <v>0.0</v>
      </c>
      <c xmlns="http://schemas.openxmlformats.org/spreadsheetml/2006/main" r="AA132" t="str">
        <f>IF(Z132=1,SUM($Z$5:$Z132),"")</f>
        <v/>
      </c>
    </row>
    <row r="133" spans="1:27">
      <c r="A133" s="22"/>
      <c r="B133" s="22"/>
      <c r="C133" s="22"/>
      <c r="D133" s="22"/>
      <c r="E133" s="22"/>
      <c r="F133" s="23"/>
      <c r="G133" s="23"/>
      <c r="H133" s="24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6"/>
      <c xmlns="http://schemas.openxmlformats.org/spreadsheetml/2006/main" r="U133" s="23" t="str">
        <f t="shared" ref="U133:U196" si="6">IF($E133="","",COUNTIF($I133:$S133,"V"))</f>
        <v/>
      </c>
      <c xmlns="http://schemas.openxmlformats.org/spreadsheetml/2006/main" r="V133" s="22" t="str">
        <f t="shared" ref="V133:V196" si="7">IF($E133="","",IF(AND($T133="V",$U133&gt;0),"⚠ 勾選矛盾",IF($T133="V","○ 免調理",IF($U133=0,"⚠ 資料缺漏",IF($U133=1,"▲ 單一設備依賴","OK")))))</f>
        <v/>
      </c>
      <c xmlns="http://schemas.openxmlformats.org/spreadsheetml/2006/main" r="W133" s="18" t="str">
        <f t="shared" ref="W133:W196" si="8">IF($E133="","",IF(AND($T133="V",$U133&gt;0),"「無使用調理設備」不可與設備欄同時勾選，請擇一修正",IF($T133="V","免調理半成品（外購/僅切配等），不列入設備風險評估",IF($U133=0,"未勾選任何設備，請補填或勾選「無使用調理設備」",IF($U133=1,"僅依賴1台設備，須確認故障/排修時之備援製程","無異常")))))</f>
        <v/>
      </c>
      <c r="X133" s="22"/>
      <c r="Y133" s="22"/>
      <c xmlns="http://schemas.openxmlformats.org/spreadsheetml/2006/main" r="Z133">
        <f>IF($D133="",0,IF(COUNTIF($D$5:$D133,$D133)=1,1,0))</f>
        <v>0.0</v>
      </c>
      <c xmlns="http://schemas.openxmlformats.org/spreadsheetml/2006/main" r="AA133" t="str">
        <f>IF(Z133=1,SUM($Z$5:$Z133),"")</f>
        <v/>
      </c>
    </row>
    <row r="134" spans="1:27">
      <c r="A134" s="22"/>
      <c r="B134" s="22"/>
      <c r="C134" s="22"/>
      <c r="D134" s="22"/>
      <c r="E134" s="22"/>
      <c r="F134" s="23"/>
      <c r="G134" s="23"/>
      <c r="H134" s="24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6"/>
      <c xmlns="http://schemas.openxmlformats.org/spreadsheetml/2006/main" r="U134" s="23" t="str">
        <f t="shared" si="6"/>
        <v/>
      </c>
      <c xmlns="http://schemas.openxmlformats.org/spreadsheetml/2006/main" r="V134" s="22" t="str">
        <f t="shared" si="7"/>
        <v/>
      </c>
      <c xmlns="http://schemas.openxmlformats.org/spreadsheetml/2006/main" r="W134" s="18" t="str">
        <f t="shared" si="8"/>
        <v/>
      </c>
      <c r="X134" s="22"/>
      <c r="Y134" s="22"/>
      <c xmlns="http://schemas.openxmlformats.org/spreadsheetml/2006/main" r="Z134">
        <f>IF($D134="",0,IF(COUNTIF($D$5:$D134,$D134)=1,1,0))</f>
        <v>0.0</v>
      </c>
      <c xmlns="http://schemas.openxmlformats.org/spreadsheetml/2006/main" r="AA134" t="str">
        <f>IF(Z134=1,SUM($Z$5:$Z134),"")</f>
        <v/>
      </c>
    </row>
    <row r="135" spans="1:27">
      <c r="A135" s="22"/>
      <c r="B135" s="22"/>
      <c r="C135" s="22"/>
      <c r="D135" s="22"/>
      <c r="E135" s="22"/>
      <c r="F135" s="23"/>
      <c r="G135" s="23"/>
      <c r="H135" s="24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6"/>
      <c xmlns="http://schemas.openxmlformats.org/spreadsheetml/2006/main" r="U135" s="23" t="str">
        <f t="shared" si="6"/>
        <v/>
      </c>
      <c xmlns="http://schemas.openxmlformats.org/spreadsheetml/2006/main" r="V135" s="22" t="str">
        <f t="shared" si="7"/>
        <v/>
      </c>
      <c xmlns="http://schemas.openxmlformats.org/spreadsheetml/2006/main" r="W135" s="18" t="str">
        <f t="shared" si="8"/>
        <v/>
      </c>
      <c r="X135" s="22"/>
      <c r="Y135" s="22"/>
      <c xmlns="http://schemas.openxmlformats.org/spreadsheetml/2006/main" r="Z135">
        <f>IF($D135="",0,IF(COUNTIF($D$5:$D135,$D135)=1,1,0))</f>
        <v>0.0</v>
      </c>
      <c xmlns="http://schemas.openxmlformats.org/spreadsheetml/2006/main" r="AA135" t="str">
        <f>IF(Z135=1,SUM($Z$5:$Z135),"")</f>
        <v/>
      </c>
    </row>
    <row r="136" spans="1:27">
      <c r="A136" s="22"/>
      <c r="B136" s="22"/>
      <c r="C136" s="22"/>
      <c r="D136" s="22"/>
      <c r="E136" s="22"/>
      <c r="F136" s="23"/>
      <c r="G136" s="23"/>
      <c r="H136" s="24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6"/>
      <c xmlns="http://schemas.openxmlformats.org/spreadsheetml/2006/main" r="U136" s="23" t="str">
        <f t="shared" si="6"/>
        <v/>
      </c>
      <c xmlns="http://schemas.openxmlformats.org/spreadsheetml/2006/main" r="V136" s="22" t="str">
        <f t="shared" si="7"/>
        <v/>
      </c>
      <c xmlns="http://schemas.openxmlformats.org/spreadsheetml/2006/main" r="W136" s="18" t="str">
        <f t="shared" si="8"/>
        <v/>
      </c>
      <c r="X136" s="22"/>
      <c r="Y136" s="22"/>
      <c xmlns="http://schemas.openxmlformats.org/spreadsheetml/2006/main" r="Z136">
        <f>IF($D136="",0,IF(COUNTIF($D$5:$D136,$D136)=1,1,0))</f>
        <v>0.0</v>
      </c>
      <c xmlns="http://schemas.openxmlformats.org/spreadsheetml/2006/main" r="AA136" t="str">
        <f>IF(Z136=1,SUM($Z$5:$Z136),"")</f>
        <v/>
      </c>
    </row>
    <row r="137" spans="1:27">
      <c r="A137" s="22"/>
      <c r="B137" s="22"/>
      <c r="C137" s="22"/>
      <c r="D137" s="22"/>
      <c r="E137" s="22"/>
      <c r="F137" s="23"/>
      <c r="G137" s="23"/>
      <c r="H137" s="24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6"/>
      <c xmlns="http://schemas.openxmlformats.org/spreadsheetml/2006/main" r="U137" s="23" t="str">
        <f t="shared" si="6"/>
        <v/>
      </c>
      <c xmlns="http://schemas.openxmlformats.org/spreadsheetml/2006/main" r="V137" s="22" t="str">
        <f t="shared" si="7"/>
        <v/>
      </c>
      <c xmlns="http://schemas.openxmlformats.org/spreadsheetml/2006/main" r="W137" s="18" t="str">
        <f t="shared" si="8"/>
        <v/>
      </c>
      <c r="X137" s="22"/>
      <c r="Y137" s="22"/>
      <c xmlns="http://schemas.openxmlformats.org/spreadsheetml/2006/main" r="Z137">
        <f>IF($D137="",0,IF(COUNTIF($D$5:$D137,$D137)=1,1,0))</f>
        <v>0.0</v>
      </c>
      <c xmlns="http://schemas.openxmlformats.org/spreadsheetml/2006/main" r="AA137" t="str">
        <f>IF(Z137=1,SUM($Z$5:$Z137),"")</f>
        <v/>
      </c>
    </row>
    <row r="138" spans="1:27">
      <c r="A138" s="22"/>
      <c r="B138" s="22"/>
      <c r="C138" s="22"/>
      <c r="D138" s="22"/>
      <c r="E138" s="22"/>
      <c r="F138" s="23"/>
      <c r="G138" s="23"/>
      <c r="H138" s="24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6"/>
      <c xmlns="http://schemas.openxmlformats.org/spreadsheetml/2006/main" r="U138" s="23" t="str">
        <f t="shared" si="6"/>
        <v/>
      </c>
      <c xmlns="http://schemas.openxmlformats.org/spreadsheetml/2006/main" r="V138" s="22" t="str">
        <f t="shared" si="7"/>
        <v/>
      </c>
      <c xmlns="http://schemas.openxmlformats.org/spreadsheetml/2006/main" r="W138" s="18" t="str">
        <f t="shared" si="8"/>
        <v/>
      </c>
      <c r="X138" s="22"/>
      <c r="Y138" s="22"/>
      <c xmlns="http://schemas.openxmlformats.org/spreadsheetml/2006/main" r="Z138">
        <f>IF($D138="",0,IF(COUNTIF($D$5:$D138,$D138)=1,1,0))</f>
        <v>0.0</v>
      </c>
      <c xmlns="http://schemas.openxmlformats.org/spreadsheetml/2006/main" r="AA138" t="str">
        <f>IF(Z138=1,SUM($Z$5:$Z138),"")</f>
        <v/>
      </c>
    </row>
    <row r="139" spans="1:27">
      <c r="A139" s="22"/>
      <c r="B139" s="22"/>
      <c r="C139" s="22"/>
      <c r="D139" s="22"/>
      <c r="E139" s="22"/>
      <c r="F139" s="23"/>
      <c r="G139" s="23"/>
      <c r="H139" s="24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6"/>
      <c xmlns="http://schemas.openxmlformats.org/spreadsheetml/2006/main" r="U139" s="23" t="str">
        <f t="shared" si="6"/>
        <v/>
      </c>
      <c xmlns="http://schemas.openxmlformats.org/spreadsheetml/2006/main" r="V139" s="22" t="str">
        <f t="shared" si="7"/>
        <v/>
      </c>
      <c xmlns="http://schemas.openxmlformats.org/spreadsheetml/2006/main" r="W139" s="18" t="str">
        <f t="shared" si="8"/>
        <v/>
      </c>
      <c r="X139" s="22"/>
      <c r="Y139" s="22"/>
      <c xmlns="http://schemas.openxmlformats.org/spreadsheetml/2006/main" r="Z139">
        <f>IF($D139="",0,IF(COUNTIF($D$5:$D139,$D139)=1,1,0))</f>
        <v>0.0</v>
      </c>
      <c xmlns="http://schemas.openxmlformats.org/spreadsheetml/2006/main" r="AA139" t="str">
        <f>IF(Z139=1,SUM($Z$5:$Z139),"")</f>
        <v/>
      </c>
    </row>
    <row r="140" spans="1:27">
      <c r="A140" s="22"/>
      <c r="B140" s="22"/>
      <c r="C140" s="22"/>
      <c r="D140" s="22"/>
      <c r="E140" s="22"/>
      <c r="F140" s="23"/>
      <c r="G140" s="23"/>
      <c r="H140" s="24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6"/>
      <c xmlns="http://schemas.openxmlformats.org/spreadsheetml/2006/main" r="U140" s="23" t="str">
        <f t="shared" si="6"/>
        <v/>
      </c>
      <c xmlns="http://schemas.openxmlformats.org/spreadsheetml/2006/main" r="V140" s="22" t="str">
        <f t="shared" si="7"/>
        <v/>
      </c>
      <c xmlns="http://schemas.openxmlformats.org/spreadsheetml/2006/main" r="W140" s="18" t="str">
        <f t="shared" si="8"/>
        <v/>
      </c>
      <c r="X140" s="22"/>
      <c r="Y140" s="22"/>
      <c xmlns="http://schemas.openxmlformats.org/spreadsheetml/2006/main" r="Z140">
        <f>IF($D140="",0,IF(COUNTIF($D$5:$D140,$D140)=1,1,0))</f>
        <v>0.0</v>
      </c>
      <c xmlns="http://schemas.openxmlformats.org/spreadsheetml/2006/main" r="AA140" t="str">
        <f>IF(Z140=1,SUM($Z$5:$Z140),"")</f>
        <v/>
      </c>
    </row>
    <row r="141" spans="1:27">
      <c r="A141" s="22"/>
      <c r="B141" s="22"/>
      <c r="C141" s="22"/>
      <c r="D141" s="22"/>
      <c r="E141" s="22"/>
      <c r="F141" s="23"/>
      <c r="G141" s="23"/>
      <c r="H141" s="24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6"/>
      <c xmlns="http://schemas.openxmlformats.org/spreadsheetml/2006/main" r="U141" s="23" t="str">
        <f t="shared" si="6"/>
        <v/>
      </c>
      <c xmlns="http://schemas.openxmlformats.org/spreadsheetml/2006/main" r="V141" s="22" t="str">
        <f t="shared" si="7"/>
        <v/>
      </c>
      <c xmlns="http://schemas.openxmlformats.org/spreadsheetml/2006/main" r="W141" s="18" t="str">
        <f t="shared" si="8"/>
        <v/>
      </c>
      <c r="X141" s="22"/>
      <c r="Y141" s="22"/>
      <c xmlns="http://schemas.openxmlformats.org/spreadsheetml/2006/main" r="Z141">
        <f>IF($D141="",0,IF(COUNTIF($D$5:$D141,$D141)=1,1,0))</f>
        <v>0.0</v>
      </c>
      <c xmlns="http://schemas.openxmlformats.org/spreadsheetml/2006/main" r="AA141" t="str">
        <f>IF(Z141=1,SUM($Z$5:$Z141),"")</f>
        <v/>
      </c>
    </row>
    <row r="142" spans="1:27">
      <c r="A142" s="22"/>
      <c r="B142" s="22"/>
      <c r="C142" s="22"/>
      <c r="D142" s="22"/>
      <c r="E142" s="22"/>
      <c r="F142" s="23"/>
      <c r="G142" s="23"/>
      <c r="H142" s="24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6"/>
      <c xmlns="http://schemas.openxmlformats.org/spreadsheetml/2006/main" r="U142" s="23" t="str">
        <f t="shared" si="6"/>
        <v/>
      </c>
      <c xmlns="http://schemas.openxmlformats.org/spreadsheetml/2006/main" r="V142" s="22" t="str">
        <f t="shared" si="7"/>
        <v/>
      </c>
      <c xmlns="http://schemas.openxmlformats.org/spreadsheetml/2006/main" r="W142" s="18" t="str">
        <f t="shared" si="8"/>
        <v/>
      </c>
      <c r="X142" s="22"/>
      <c r="Y142" s="22"/>
      <c xmlns="http://schemas.openxmlformats.org/spreadsheetml/2006/main" r="Z142">
        <f>IF($D142="",0,IF(COUNTIF($D$5:$D142,$D142)=1,1,0))</f>
        <v>0.0</v>
      </c>
      <c xmlns="http://schemas.openxmlformats.org/spreadsheetml/2006/main" r="AA142" t="str">
        <f>IF(Z142=1,SUM($Z$5:$Z142),"")</f>
        <v/>
      </c>
    </row>
    <row r="143" spans="1:27">
      <c r="A143" s="22"/>
      <c r="B143" s="22"/>
      <c r="C143" s="22"/>
      <c r="D143" s="22"/>
      <c r="E143" s="22"/>
      <c r="F143" s="23"/>
      <c r="G143" s="23"/>
      <c r="H143" s="24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6"/>
      <c xmlns="http://schemas.openxmlformats.org/spreadsheetml/2006/main" r="U143" s="23" t="str">
        <f t="shared" si="6"/>
        <v/>
      </c>
      <c xmlns="http://schemas.openxmlformats.org/spreadsheetml/2006/main" r="V143" s="22" t="str">
        <f t="shared" si="7"/>
        <v/>
      </c>
      <c xmlns="http://schemas.openxmlformats.org/spreadsheetml/2006/main" r="W143" s="18" t="str">
        <f t="shared" si="8"/>
        <v/>
      </c>
      <c r="X143" s="22"/>
      <c r="Y143" s="22"/>
      <c xmlns="http://schemas.openxmlformats.org/spreadsheetml/2006/main" r="Z143">
        <f>IF($D143="",0,IF(COUNTIF($D$5:$D143,$D143)=1,1,0))</f>
        <v>0.0</v>
      </c>
      <c xmlns="http://schemas.openxmlformats.org/spreadsheetml/2006/main" r="AA143" t="str">
        <f>IF(Z143=1,SUM($Z$5:$Z143),"")</f>
        <v/>
      </c>
    </row>
    <row r="144" spans="1:27">
      <c r="A144" s="22"/>
      <c r="B144" s="22"/>
      <c r="C144" s="22"/>
      <c r="D144" s="22"/>
      <c r="E144" s="22"/>
      <c r="F144" s="23"/>
      <c r="G144" s="23"/>
      <c r="H144" s="24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6"/>
      <c xmlns="http://schemas.openxmlformats.org/spreadsheetml/2006/main" r="U144" s="23" t="str">
        <f t="shared" si="6"/>
        <v/>
      </c>
      <c xmlns="http://schemas.openxmlformats.org/spreadsheetml/2006/main" r="V144" s="22" t="str">
        <f t="shared" si="7"/>
        <v/>
      </c>
      <c xmlns="http://schemas.openxmlformats.org/spreadsheetml/2006/main" r="W144" s="18" t="str">
        <f t="shared" si="8"/>
        <v/>
      </c>
      <c r="X144" s="22"/>
      <c r="Y144" s="22"/>
      <c xmlns="http://schemas.openxmlformats.org/spreadsheetml/2006/main" r="Z144">
        <f>IF($D144="",0,IF(COUNTIF($D$5:$D144,$D144)=1,1,0))</f>
        <v>0.0</v>
      </c>
      <c xmlns="http://schemas.openxmlformats.org/spreadsheetml/2006/main" r="AA144" t="str">
        <f>IF(Z144=1,SUM($Z$5:$Z144),"")</f>
        <v/>
      </c>
    </row>
    <row r="145" spans="1:27">
      <c r="A145" s="22"/>
      <c r="B145" s="22"/>
      <c r="C145" s="22"/>
      <c r="D145" s="22"/>
      <c r="E145" s="22"/>
      <c r="F145" s="23"/>
      <c r="G145" s="23"/>
      <c r="H145" s="24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6"/>
      <c xmlns="http://schemas.openxmlformats.org/spreadsheetml/2006/main" r="U145" s="23" t="str">
        <f t="shared" si="6"/>
        <v/>
      </c>
      <c xmlns="http://schemas.openxmlformats.org/spreadsheetml/2006/main" r="V145" s="22" t="str">
        <f t="shared" si="7"/>
        <v/>
      </c>
      <c xmlns="http://schemas.openxmlformats.org/spreadsheetml/2006/main" r="W145" s="18" t="str">
        <f t="shared" si="8"/>
        <v/>
      </c>
      <c r="X145" s="22"/>
      <c r="Y145" s="22"/>
      <c xmlns="http://schemas.openxmlformats.org/spreadsheetml/2006/main" r="Z145">
        <f>IF($D145="",0,IF(COUNTIF($D$5:$D145,$D145)=1,1,0))</f>
        <v>0.0</v>
      </c>
      <c xmlns="http://schemas.openxmlformats.org/spreadsheetml/2006/main" r="AA145" t="str">
        <f>IF(Z145=1,SUM($Z$5:$Z145),"")</f>
        <v/>
      </c>
    </row>
    <row r="146" spans="1:27">
      <c r="A146" s="22"/>
      <c r="B146" s="22"/>
      <c r="C146" s="22"/>
      <c r="D146" s="22"/>
      <c r="E146" s="22"/>
      <c r="F146" s="23"/>
      <c r="G146" s="23"/>
      <c r="H146" s="24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6"/>
      <c xmlns="http://schemas.openxmlformats.org/spreadsheetml/2006/main" r="U146" s="23" t="str">
        <f t="shared" si="6"/>
        <v/>
      </c>
      <c xmlns="http://schemas.openxmlformats.org/spreadsheetml/2006/main" r="V146" s="22" t="str">
        <f t="shared" si="7"/>
        <v/>
      </c>
      <c xmlns="http://schemas.openxmlformats.org/spreadsheetml/2006/main" r="W146" s="18" t="str">
        <f t="shared" si="8"/>
        <v/>
      </c>
      <c r="X146" s="22"/>
      <c r="Y146" s="22"/>
      <c xmlns="http://schemas.openxmlformats.org/spreadsheetml/2006/main" r="Z146">
        <f>IF($D146="",0,IF(COUNTIF($D$5:$D146,$D146)=1,1,0))</f>
        <v>0.0</v>
      </c>
      <c xmlns="http://schemas.openxmlformats.org/spreadsheetml/2006/main" r="AA146" t="str">
        <f>IF(Z146=1,SUM($Z$5:$Z146),"")</f>
        <v/>
      </c>
    </row>
    <row r="147" spans="1:27">
      <c r="A147" s="22"/>
      <c r="B147" s="22"/>
      <c r="C147" s="22"/>
      <c r="D147" s="22"/>
      <c r="E147" s="22"/>
      <c r="F147" s="23"/>
      <c r="G147" s="23"/>
      <c r="H147" s="24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6"/>
      <c xmlns="http://schemas.openxmlformats.org/spreadsheetml/2006/main" r="U147" s="23" t="str">
        <f t="shared" si="6"/>
        <v/>
      </c>
      <c xmlns="http://schemas.openxmlformats.org/spreadsheetml/2006/main" r="V147" s="22" t="str">
        <f t="shared" si="7"/>
        <v/>
      </c>
      <c xmlns="http://schemas.openxmlformats.org/spreadsheetml/2006/main" r="W147" s="18" t="str">
        <f t="shared" si="8"/>
        <v/>
      </c>
      <c r="X147" s="22"/>
      <c r="Y147" s="22"/>
      <c xmlns="http://schemas.openxmlformats.org/spreadsheetml/2006/main" r="Z147">
        <f>IF($D147="",0,IF(COUNTIF($D$5:$D147,$D147)=1,1,0))</f>
        <v>0.0</v>
      </c>
      <c xmlns="http://schemas.openxmlformats.org/spreadsheetml/2006/main" r="AA147" t="str">
        <f>IF(Z147=1,SUM($Z$5:$Z147),"")</f>
        <v/>
      </c>
    </row>
    <row r="148" spans="1:27">
      <c r="A148" s="22"/>
      <c r="B148" s="22"/>
      <c r="C148" s="22"/>
      <c r="D148" s="22"/>
      <c r="E148" s="22"/>
      <c r="F148" s="23"/>
      <c r="G148" s="23"/>
      <c r="H148" s="24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6"/>
      <c xmlns="http://schemas.openxmlformats.org/spreadsheetml/2006/main" r="U148" s="23" t="str">
        <f t="shared" si="6"/>
        <v/>
      </c>
      <c xmlns="http://schemas.openxmlformats.org/spreadsheetml/2006/main" r="V148" s="22" t="str">
        <f t="shared" si="7"/>
        <v/>
      </c>
      <c xmlns="http://schemas.openxmlformats.org/spreadsheetml/2006/main" r="W148" s="18" t="str">
        <f t="shared" si="8"/>
        <v/>
      </c>
      <c r="X148" s="22"/>
      <c r="Y148" s="22"/>
      <c xmlns="http://schemas.openxmlformats.org/spreadsheetml/2006/main" r="Z148">
        <f>IF($D148="",0,IF(COUNTIF($D$5:$D148,$D148)=1,1,0))</f>
        <v>0.0</v>
      </c>
      <c xmlns="http://schemas.openxmlformats.org/spreadsheetml/2006/main" r="AA148" t="str">
        <f>IF(Z148=1,SUM($Z$5:$Z148),"")</f>
        <v/>
      </c>
    </row>
    <row r="149" spans="1:27">
      <c r="A149" s="22"/>
      <c r="B149" s="22"/>
      <c r="C149" s="22"/>
      <c r="D149" s="22"/>
      <c r="E149" s="22"/>
      <c r="F149" s="23"/>
      <c r="G149" s="23"/>
      <c r="H149" s="24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6"/>
      <c xmlns="http://schemas.openxmlformats.org/spreadsheetml/2006/main" r="U149" s="23" t="str">
        <f t="shared" si="6"/>
        <v/>
      </c>
      <c xmlns="http://schemas.openxmlformats.org/spreadsheetml/2006/main" r="V149" s="22" t="str">
        <f t="shared" si="7"/>
        <v/>
      </c>
      <c xmlns="http://schemas.openxmlformats.org/spreadsheetml/2006/main" r="W149" s="18" t="str">
        <f t="shared" si="8"/>
        <v/>
      </c>
      <c r="X149" s="22"/>
      <c r="Y149" s="22"/>
      <c xmlns="http://schemas.openxmlformats.org/spreadsheetml/2006/main" r="Z149">
        <f>IF($D149="",0,IF(COUNTIF($D$5:$D149,$D149)=1,1,0))</f>
        <v>0.0</v>
      </c>
      <c xmlns="http://schemas.openxmlformats.org/spreadsheetml/2006/main" r="AA149" t="str">
        <f>IF(Z149=1,SUM($Z$5:$Z149),"")</f>
        <v/>
      </c>
    </row>
    <row r="150" spans="1:27">
      <c r="A150" s="22"/>
      <c r="B150" s="22"/>
      <c r="C150" s="22"/>
      <c r="D150" s="22"/>
      <c r="E150" s="22"/>
      <c r="F150" s="23"/>
      <c r="G150" s="23"/>
      <c r="H150" s="24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6"/>
      <c xmlns="http://schemas.openxmlformats.org/spreadsheetml/2006/main" r="U150" s="23" t="str">
        <f t="shared" si="6"/>
        <v/>
      </c>
      <c xmlns="http://schemas.openxmlformats.org/spreadsheetml/2006/main" r="V150" s="22" t="str">
        <f t="shared" si="7"/>
        <v/>
      </c>
      <c xmlns="http://schemas.openxmlformats.org/spreadsheetml/2006/main" r="W150" s="18" t="str">
        <f t="shared" si="8"/>
        <v/>
      </c>
      <c r="X150" s="22"/>
      <c r="Y150" s="22"/>
      <c xmlns="http://schemas.openxmlformats.org/spreadsheetml/2006/main" r="Z150">
        <f>IF($D150="",0,IF(COUNTIF($D$5:$D150,$D150)=1,1,0))</f>
        <v>0.0</v>
      </c>
      <c xmlns="http://schemas.openxmlformats.org/spreadsheetml/2006/main" r="AA150" t="str">
        <f>IF(Z150=1,SUM($Z$5:$Z150),"")</f>
        <v/>
      </c>
    </row>
    <row r="151" spans="1:27">
      <c r="A151" s="22"/>
      <c r="B151" s="22"/>
      <c r="C151" s="22"/>
      <c r="D151" s="22"/>
      <c r="E151" s="22"/>
      <c r="F151" s="23"/>
      <c r="G151" s="23"/>
      <c r="H151" s="24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6"/>
      <c xmlns="http://schemas.openxmlformats.org/spreadsheetml/2006/main" r="U151" s="23" t="str">
        <f t="shared" si="6"/>
        <v/>
      </c>
      <c xmlns="http://schemas.openxmlformats.org/spreadsheetml/2006/main" r="V151" s="22" t="str">
        <f t="shared" si="7"/>
        <v/>
      </c>
      <c xmlns="http://schemas.openxmlformats.org/spreadsheetml/2006/main" r="W151" s="18" t="str">
        <f t="shared" si="8"/>
        <v/>
      </c>
      <c r="X151" s="22"/>
      <c r="Y151" s="22"/>
      <c xmlns="http://schemas.openxmlformats.org/spreadsheetml/2006/main" r="Z151">
        <f>IF($D151="",0,IF(COUNTIF($D$5:$D151,$D151)=1,1,0))</f>
        <v>0.0</v>
      </c>
      <c xmlns="http://schemas.openxmlformats.org/spreadsheetml/2006/main" r="AA151" t="str">
        <f>IF(Z151=1,SUM($Z$5:$Z151),"")</f>
        <v/>
      </c>
    </row>
    <row r="152" spans="1:27">
      <c r="A152" s="22"/>
      <c r="B152" s="22"/>
      <c r="C152" s="22"/>
      <c r="D152" s="22"/>
      <c r="E152" s="22"/>
      <c r="F152" s="23"/>
      <c r="G152" s="23"/>
      <c r="H152" s="24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6"/>
      <c xmlns="http://schemas.openxmlformats.org/spreadsheetml/2006/main" r="U152" s="23" t="str">
        <f t="shared" si="6"/>
        <v/>
      </c>
      <c xmlns="http://schemas.openxmlformats.org/spreadsheetml/2006/main" r="V152" s="22" t="str">
        <f t="shared" si="7"/>
        <v/>
      </c>
      <c xmlns="http://schemas.openxmlformats.org/spreadsheetml/2006/main" r="W152" s="18" t="str">
        <f t="shared" si="8"/>
        <v/>
      </c>
      <c r="X152" s="22"/>
      <c r="Y152" s="22"/>
      <c xmlns="http://schemas.openxmlformats.org/spreadsheetml/2006/main" r="Z152">
        <f>IF($D152="",0,IF(COUNTIF($D$5:$D152,$D152)=1,1,0))</f>
        <v>0.0</v>
      </c>
      <c xmlns="http://schemas.openxmlformats.org/spreadsheetml/2006/main" r="AA152" t="str">
        <f>IF(Z152=1,SUM($Z$5:$Z152),"")</f>
        <v/>
      </c>
    </row>
    <row r="153" spans="1:27">
      <c r="A153" s="22"/>
      <c r="B153" s="22"/>
      <c r="C153" s="22"/>
      <c r="D153" s="22"/>
      <c r="E153" s="22"/>
      <c r="F153" s="23"/>
      <c r="G153" s="23"/>
      <c r="H153" s="24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6"/>
      <c xmlns="http://schemas.openxmlformats.org/spreadsheetml/2006/main" r="U153" s="23" t="str">
        <f t="shared" si="6"/>
        <v/>
      </c>
      <c xmlns="http://schemas.openxmlformats.org/spreadsheetml/2006/main" r="V153" s="22" t="str">
        <f t="shared" si="7"/>
        <v/>
      </c>
      <c xmlns="http://schemas.openxmlformats.org/spreadsheetml/2006/main" r="W153" s="18" t="str">
        <f t="shared" si="8"/>
        <v/>
      </c>
      <c r="X153" s="22"/>
      <c r="Y153" s="22"/>
      <c xmlns="http://schemas.openxmlformats.org/spreadsheetml/2006/main" r="Z153">
        <f>IF($D153="",0,IF(COUNTIF($D$5:$D153,$D153)=1,1,0))</f>
        <v>0.0</v>
      </c>
      <c xmlns="http://schemas.openxmlformats.org/spreadsheetml/2006/main" r="AA153" t="str">
        <f>IF(Z153=1,SUM($Z$5:$Z153),"")</f>
        <v/>
      </c>
    </row>
    <row r="154" spans="1:27">
      <c r="A154" s="22"/>
      <c r="B154" s="22"/>
      <c r="C154" s="22"/>
      <c r="D154" s="22"/>
      <c r="E154" s="22"/>
      <c r="F154" s="23"/>
      <c r="G154" s="23"/>
      <c r="H154" s="2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6"/>
      <c xmlns="http://schemas.openxmlformats.org/spreadsheetml/2006/main" r="U154" s="23" t="str">
        <f t="shared" si="6"/>
        <v/>
      </c>
      <c xmlns="http://schemas.openxmlformats.org/spreadsheetml/2006/main" r="V154" s="22" t="str">
        <f t="shared" si="7"/>
        <v/>
      </c>
      <c xmlns="http://schemas.openxmlformats.org/spreadsheetml/2006/main" r="W154" s="18" t="str">
        <f t="shared" si="8"/>
        <v/>
      </c>
      <c r="X154" s="22"/>
      <c r="Y154" s="22"/>
      <c xmlns="http://schemas.openxmlformats.org/spreadsheetml/2006/main" r="Z154">
        <f>IF($D154="",0,IF(COUNTIF($D$5:$D154,$D154)=1,1,0))</f>
        <v>0.0</v>
      </c>
      <c xmlns="http://schemas.openxmlformats.org/spreadsheetml/2006/main" r="AA154" t="str">
        <f>IF(Z154=1,SUM($Z$5:$Z154),"")</f>
        <v/>
      </c>
    </row>
    <row r="155" spans="1:27">
      <c r="A155" s="22"/>
      <c r="B155" s="22"/>
      <c r="C155" s="22"/>
      <c r="D155" s="22"/>
      <c r="E155" s="22"/>
      <c r="F155" s="23"/>
      <c r="G155" s="23"/>
      <c r="H155" s="2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6"/>
      <c xmlns="http://schemas.openxmlformats.org/spreadsheetml/2006/main" r="U155" s="23" t="str">
        <f t="shared" si="6"/>
        <v/>
      </c>
      <c xmlns="http://schemas.openxmlformats.org/spreadsheetml/2006/main" r="V155" s="22" t="str">
        <f t="shared" si="7"/>
        <v/>
      </c>
      <c xmlns="http://schemas.openxmlformats.org/spreadsheetml/2006/main" r="W155" s="18" t="str">
        <f t="shared" si="8"/>
        <v/>
      </c>
      <c r="X155" s="22"/>
      <c r="Y155" s="22"/>
      <c xmlns="http://schemas.openxmlformats.org/spreadsheetml/2006/main" r="Z155">
        <f>IF($D155="",0,IF(COUNTIF($D$5:$D155,$D155)=1,1,0))</f>
        <v>0.0</v>
      </c>
      <c xmlns="http://schemas.openxmlformats.org/spreadsheetml/2006/main" r="AA155" t="str">
        <f>IF(Z155=1,SUM($Z$5:$Z155),"")</f>
        <v/>
      </c>
    </row>
    <row r="156" spans="1:27">
      <c r="A156" s="22"/>
      <c r="B156" s="22"/>
      <c r="C156" s="22"/>
      <c r="D156" s="22"/>
      <c r="E156" s="22"/>
      <c r="F156" s="23"/>
      <c r="G156" s="23"/>
      <c r="H156" s="24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6"/>
      <c xmlns="http://schemas.openxmlformats.org/spreadsheetml/2006/main" r="U156" s="23" t="str">
        <f t="shared" si="6"/>
        <v/>
      </c>
      <c xmlns="http://schemas.openxmlformats.org/spreadsheetml/2006/main" r="V156" s="22" t="str">
        <f t="shared" si="7"/>
        <v/>
      </c>
      <c xmlns="http://schemas.openxmlformats.org/spreadsheetml/2006/main" r="W156" s="18" t="str">
        <f t="shared" si="8"/>
        <v/>
      </c>
      <c r="X156" s="22"/>
      <c r="Y156" s="22"/>
      <c xmlns="http://schemas.openxmlformats.org/spreadsheetml/2006/main" r="Z156">
        <f>IF($D156="",0,IF(COUNTIF($D$5:$D156,$D156)=1,1,0))</f>
        <v>0.0</v>
      </c>
      <c xmlns="http://schemas.openxmlformats.org/spreadsheetml/2006/main" r="AA156" t="str">
        <f>IF(Z156=1,SUM($Z$5:$Z156),"")</f>
        <v/>
      </c>
    </row>
    <row r="157" spans="1:27">
      <c r="A157" s="22"/>
      <c r="B157" s="22"/>
      <c r="C157" s="22"/>
      <c r="D157" s="22"/>
      <c r="E157" s="22"/>
      <c r="F157" s="23"/>
      <c r="G157" s="23"/>
      <c r="H157" s="24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6"/>
      <c xmlns="http://schemas.openxmlformats.org/spreadsheetml/2006/main" r="U157" s="23" t="str">
        <f t="shared" si="6"/>
        <v/>
      </c>
      <c xmlns="http://schemas.openxmlformats.org/spreadsheetml/2006/main" r="V157" s="22" t="str">
        <f t="shared" si="7"/>
        <v/>
      </c>
      <c xmlns="http://schemas.openxmlformats.org/spreadsheetml/2006/main" r="W157" s="18" t="str">
        <f t="shared" si="8"/>
        <v/>
      </c>
      <c r="X157" s="22"/>
      <c r="Y157" s="22"/>
      <c xmlns="http://schemas.openxmlformats.org/spreadsheetml/2006/main" r="Z157">
        <f>IF($D157="",0,IF(COUNTIF($D$5:$D157,$D157)=1,1,0))</f>
        <v>0.0</v>
      </c>
      <c xmlns="http://schemas.openxmlformats.org/spreadsheetml/2006/main" r="AA157" t="str">
        <f>IF(Z157=1,SUM($Z$5:$Z157),"")</f>
        <v/>
      </c>
    </row>
    <row r="158" spans="1:27">
      <c r="A158" s="22"/>
      <c r="B158" s="22"/>
      <c r="C158" s="22"/>
      <c r="D158" s="22"/>
      <c r="E158" s="22"/>
      <c r="F158" s="23"/>
      <c r="G158" s="23"/>
      <c r="H158" s="24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6"/>
      <c xmlns="http://schemas.openxmlformats.org/spreadsheetml/2006/main" r="U158" s="23" t="str">
        <f t="shared" si="6"/>
        <v/>
      </c>
      <c xmlns="http://schemas.openxmlformats.org/spreadsheetml/2006/main" r="V158" s="22" t="str">
        <f t="shared" si="7"/>
        <v/>
      </c>
      <c xmlns="http://schemas.openxmlformats.org/spreadsheetml/2006/main" r="W158" s="18" t="str">
        <f t="shared" si="8"/>
        <v/>
      </c>
      <c r="X158" s="22"/>
      <c r="Y158" s="22"/>
      <c xmlns="http://schemas.openxmlformats.org/spreadsheetml/2006/main" r="Z158">
        <f>IF($D158="",0,IF(COUNTIF($D$5:$D158,$D158)=1,1,0))</f>
        <v>0.0</v>
      </c>
      <c xmlns="http://schemas.openxmlformats.org/spreadsheetml/2006/main" r="AA158" t="str">
        <f>IF(Z158=1,SUM($Z$5:$Z158),"")</f>
        <v/>
      </c>
    </row>
    <row r="159" spans="1:27">
      <c r="A159" s="22"/>
      <c r="B159" s="22"/>
      <c r="C159" s="22"/>
      <c r="D159" s="22"/>
      <c r="E159" s="22"/>
      <c r="F159" s="23"/>
      <c r="G159" s="23"/>
      <c r="H159" s="24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6"/>
      <c xmlns="http://schemas.openxmlformats.org/spreadsheetml/2006/main" r="U159" s="23" t="str">
        <f t="shared" si="6"/>
        <v/>
      </c>
      <c xmlns="http://schemas.openxmlformats.org/spreadsheetml/2006/main" r="V159" s="22" t="str">
        <f t="shared" si="7"/>
        <v/>
      </c>
      <c xmlns="http://schemas.openxmlformats.org/spreadsheetml/2006/main" r="W159" s="18" t="str">
        <f t="shared" si="8"/>
        <v/>
      </c>
      <c r="X159" s="22"/>
      <c r="Y159" s="22"/>
      <c xmlns="http://schemas.openxmlformats.org/spreadsheetml/2006/main" r="Z159">
        <f>IF($D159="",0,IF(COUNTIF($D$5:$D159,$D159)=1,1,0))</f>
        <v>0.0</v>
      </c>
      <c xmlns="http://schemas.openxmlformats.org/spreadsheetml/2006/main" r="AA159" t="str">
        <f>IF(Z159=1,SUM($Z$5:$Z159),"")</f>
        <v/>
      </c>
    </row>
    <row r="160" spans="1:27">
      <c r="A160" s="22"/>
      <c r="B160" s="22"/>
      <c r="C160" s="22"/>
      <c r="D160" s="22"/>
      <c r="E160" s="22"/>
      <c r="F160" s="23"/>
      <c r="G160" s="23"/>
      <c r="H160" s="24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6"/>
      <c xmlns="http://schemas.openxmlformats.org/spreadsheetml/2006/main" r="U160" s="23" t="str">
        <f t="shared" si="6"/>
        <v/>
      </c>
      <c xmlns="http://schemas.openxmlformats.org/spreadsheetml/2006/main" r="V160" s="22" t="str">
        <f t="shared" si="7"/>
        <v/>
      </c>
      <c xmlns="http://schemas.openxmlformats.org/spreadsheetml/2006/main" r="W160" s="18" t="str">
        <f t="shared" si="8"/>
        <v/>
      </c>
      <c r="X160" s="22"/>
      <c r="Y160" s="22"/>
      <c xmlns="http://schemas.openxmlformats.org/spreadsheetml/2006/main" r="Z160">
        <f>IF($D160="",0,IF(COUNTIF($D$5:$D160,$D160)=1,1,0))</f>
        <v>0.0</v>
      </c>
      <c xmlns="http://schemas.openxmlformats.org/spreadsheetml/2006/main" r="AA160" t="str">
        <f>IF(Z160=1,SUM($Z$5:$Z160),"")</f>
        <v/>
      </c>
    </row>
    <row r="161" spans="1:27">
      <c r="A161" s="22"/>
      <c r="B161" s="22"/>
      <c r="C161" s="22"/>
      <c r="D161" s="22"/>
      <c r="E161" s="22"/>
      <c r="F161" s="23"/>
      <c r="G161" s="23"/>
      <c r="H161" s="24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6"/>
      <c xmlns="http://schemas.openxmlformats.org/spreadsheetml/2006/main" r="U161" s="23" t="str">
        <f t="shared" si="6"/>
        <v/>
      </c>
      <c xmlns="http://schemas.openxmlformats.org/spreadsheetml/2006/main" r="V161" s="22" t="str">
        <f t="shared" si="7"/>
        <v/>
      </c>
      <c xmlns="http://schemas.openxmlformats.org/spreadsheetml/2006/main" r="W161" s="18" t="str">
        <f t="shared" si="8"/>
        <v/>
      </c>
      <c r="X161" s="22"/>
      <c r="Y161" s="22"/>
      <c xmlns="http://schemas.openxmlformats.org/spreadsheetml/2006/main" r="Z161">
        <f>IF($D161="",0,IF(COUNTIF($D$5:$D161,$D161)=1,1,0))</f>
        <v>0.0</v>
      </c>
      <c xmlns="http://schemas.openxmlformats.org/spreadsheetml/2006/main" r="AA161" t="str">
        <f>IF(Z161=1,SUM($Z$5:$Z161),"")</f>
        <v/>
      </c>
    </row>
    <row r="162" spans="1:27">
      <c r="A162" s="22"/>
      <c r="B162" s="22"/>
      <c r="C162" s="22"/>
      <c r="D162" s="22"/>
      <c r="E162" s="22"/>
      <c r="F162" s="23"/>
      <c r="G162" s="23"/>
      <c r="H162" s="24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6"/>
      <c xmlns="http://schemas.openxmlformats.org/spreadsheetml/2006/main" r="U162" s="23" t="str">
        <f t="shared" si="6"/>
        <v/>
      </c>
      <c xmlns="http://schemas.openxmlformats.org/spreadsheetml/2006/main" r="V162" s="22" t="str">
        <f t="shared" si="7"/>
        <v/>
      </c>
      <c xmlns="http://schemas.openxmlformats.org/spreadsheetml/2006/main" r="W162" s="18" t="str">
        <f t="shared" si="8"/>
        <v/>
      </c>
      <c r="X162" s="22"/>
      <c r="Y162" s="22"/>
      <c xmlns="http://schemas.openxmlformats.org/spreadsheetml/2006/main" r="Z162">
        <f>IF($D162="",0,IF(COUNTIF($D$5:$D162,$D162)=1,1,0))</f>
        <v>0.0</v>
      </c>
      <c xmlns="http://schemas.openxmlformats.org/spreadsheetml/2006/main" r="AA162" t="str">
        <f>IF(Z162=1,SUM($Z$5:$Z162),"")</f>
        <v/>
      </c>
    </row>
    <row r="163" spans="1:27">
      <c r="A163" s="22"/>
      <c r="B163" s="22"/>
      <c r="C163" s="22"/>
      <c r="D163" s="22"/>
      <c r="E163" s="22"/>
      <c r="F163" s="23"/>
      <c r="G163" s="23"/>
      <c r="H163" s="24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6"/>
      <c xmlns="http://schemas.openxmlformats.org/spreadsheetml/2006/main" r="U163" s="23" t="str">
        <f t="shared" si="6"/>
        <v/>
      </c>
      <c xmlns="http://schemas.openxmlformats.org/spreadsheetml/2006/main" r="V163" s="22" t="str">
        <f t="shared" si="7"/>
        <v/>
      </c>
      <c xmlns="http://schemas.openxmlformats.org/spreadsheetml/2006/main" r="W163" s="18" t="str">
        <f t="shared" si="8"/>
        <v/>
      </c>
      <c r="X163" s="22"/>
      <c r="Y163" s="22"/>
      <c xmlns="http://schemas.openxmlformats.org/spreadsheetml/2006/main" r="Z163">
        <f>IF($D163="",0,IF(COUNTIF($D$5:$D163,$D163)=1,1,0))</f>
        <v>0.0</v>
      </c>
      <c xmlns="http://schemas.openxmlformats.org/spreadsheetml/2006/main" r="AA163" t="str">
        <f>IF(Z163=1,SUM($Z$5:$Z163),"")</f>
        <v/>
      </c>
    </row>
    <row r="164" spans="1:27">
      <c r="A164" s="22"/>
      <c r="B164" s="22"/>
      <c r="C164" s="22"/>
      <c r="D164" s="22"/>
      <c r="E164" s="22"/>
      <c r="F164" s="23"/>
      <c r="G164" s="23"/>
      <c r="H164" s="24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6"/>
      <c xmlns="http://schemas.openxmlformats.org/spreadsheetml/2006/main" r="U164" s="23" t="str">
        <f t="shared" si="6"/>
        <v/>
      </c>
      <c xmlns="http://schemas.openxmlformats.org/spreadsheetml/2006/main" r="V164" s="22" t="str">
        <f t="shared" si="7"/>
        <v/>
      </c>
      <c xmlns="http://schemas.openxmlformats.org/spreadsheetml/2006/main" r="W164" s="18" t="str">
        <f t="shared" si="8"/>
        <v/>
      </c>
      <c r="X164" s="22"/>
      <c r="Y164" s="22"/>
      <c xmlns="http://schemas.openxmlformats.org/spreadsheetml/2006/main" r="Z164">
        <f>IF($D164="",0,IF(COUNTIF($D$5:$D164,$D164)=1,1,0))</f>
        <v>0.0</v>
      </c>
      <c xmlns="http://schemas.openxmlformats.org/spreadsheetml/2006/main" r="AA164" t="str">
        <f>IF(Z164=1,SUM($Z$5:$Z164),"")</f>
        <v/>
      </c>
    </row>
    <row r="165" spans="1:27">
      <c r="A165" s="22"/>
      <c r="B165" s="22"/>
      <c r="C165" s="22"/>
      <c r="D165" s="22"/>
      <c r="E165" s="22"/>
      <c r="F165" s="23"/>
      <c r="G165" s="23"/>
      <c r="H165" s="24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6"/>
      <c xmlns="http://schemas.openxmlformats.org/spreadsheetml/2006/main" r="U165" s="23" t="str">
        <f t="shared" si="6"/>
        <v/>
      </c>
      <c xmlns="http://schemas.openxmlformats.org/spreadsheetml/2006/main" r="V165" s="22" t="str">
        <f t="shared" si="7"/>
        <v/>
      </c>
      <c xmlns="http://schemas.openxmlformats.org/spreadsheetml/2006/main" r="W165" s="18" t="str">
        <f t="shared" si="8"/>
        <v/>
      </c>
      <c r="X165" s="22"/>
      <c r="Y165" s="22"/>
      <c xmlns="http://schemas.openxmlformats.org/spreadsheetml/2006/main" r="Z165">
        <f>IF($D165="",0,IF(COUNTIF($D$5:$D165,$D165)=1,1,0))</f>
        <v>0.0</v>
      </c>
      <c xmlns="http://schemas.openxmlformats.org/spreadsheetml/2006/main" r="AA165" t="str">
        <f>IF(Z165=1,SUM($Z$5:$Z165),"")</f>
        <v/>
      </c>
    </row>
    <row r="166" spans="1:27">
      <c r="A166" s="22"/>
      <c r="B166" s="22"/>
      <c r="C166" s="22"/>
      <c r="D166" s="22"/>
      <c r="E166" s="22"/>
      <c r="F166" s="23"/>
      <c r="G166" s="23"/>
      <c r="H166" s="24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6"/>
      <c xmlns="http://schemas.openxmlformats.org/spreadsheetml/2006/main" r="U166" s="23" t="str">
        <f t="shared" si="6"/>
        <v/>
      </c>
      <c xmlns="http://schemas.openxmlformats.org/spreadsheetml/2006/main" r="V166" s="22" t="str">
        <f t="shared" si="7"/>
        <v/>
      </c>
      <c xmlns="http://schemas.openxmlformats.org/spreadsheetml/2006/main" r="W166" s="18" t="str">
        <f t="shared" si="8"/>
        <v/>
      </c>
      <c r="X166" s="22"/>
      <c r="Y166" s="22"/>
      <c xmlns="http://schemas.openxmlformats.org/spreadsheetml/2006/main" r="Z166">
        <f>IF($D166="",0,IF(COUNTIF($D$5:$D166,$D166)=1,1,0))</f>
        <v>0.0</v>
      </c>
      <c xmlns="http://schemas.openxmlformats.org/spreadsheetml/2006/main" r="AA166" t="str">
        <f>IF(Z166=1,SUM($Z$5:$Z166),"")</f>
        <v/>
      </c>
    </row>
    <row r="167" spans="1:27">
      <c r="A167" s="22"/>
      <c r="B167" s="22"/>
      <c r="C167" s="22"/>
      <c r="D167" s="22"/>
      <c r="E167" s="22"/>
      <c r="F167" s="23"/>
      <c r="G167" s="23"/>
      <c r="H167" s="24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6"/>
      <c xmlns="http://schemas.openxmlformats.org/spreadsheetml/2006/main" r="U167" s="23" t="str">
        <f t="shared" si="6"/>
        <v/>
      </c>
      <c xmlns="http://schemas.openxmlformats.org/spreadsheetml/2006/main" r="V167" s="22" t="str">
        <f t="shared" si="7"/>
        <v/>
      </c>
      <c xmlns="http://schemas.openxmlformats.org/spreadsheetml/2006/main" r="W167" s="18" t="str">
        <f t="shared" si="8"/>
        <v/>
      </c>
      <c r="X167" s="22"/>
      <c r="Y167" s="22"/>
      <c xmlns="http://schemas.openxmlformats.org/spreadsheetml/2006/main" r="Z167">
        <f>IF($D167="",0,IF(COUNTIF($D$5:$D167,$D167)=1,1,0))</f>
        <v>0.0</v>
      </c>
      <c xmlns="http://schemas.openxmlformats.org/spreadsheetml/2006/main" r="AA167" t="str">
        <f>IF(Z167=1,SUM($Z$5:$Z167),"")</f>
        <v/>
      </c>
    </row>
    <row r="168" spans="1:27">
      <c r="A168" s="22"/>
      <c r="B168" s="22"/>
      <c r="C168" s="22"/>
      <c r="D168" s="22"/>
      <c r="E168" s="22"/>
      <c r="F168" s="23"/>
      <c r="G168" s="23"/>
      <c r="H168" s="24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6"/>
      <c xmlns="http://schemas.openxmlformats.org/spreadsheetml/2006/main" r="U168" s="23" t="str">
        <f t="shared" si="6"/>
        <v/>
      </c>
      <c xmlns="http://schemas.openxmlformats.org/spreadsheetml/2006/main" r="V168" s="22" t="str">
        <f t="shared" si="7"/>
        <v/>
      </c>
      <c xmlns="http://schemas.openxmlformats.org/spreadsheetml/2006/main" r="W168" s="18" t="str">
        <f t="shared" si="8"/>
        <v/>
      </c>
      <c r="X168" s="22"/>
      <c r="Y168" s="22"/>
      <c xmlns="http://schemas.openxmlformats.org/spreadsheetml/2006/main" r="Z168">
        <f>IF($D168="",0,IF(COUNTIF($D$5:$D168,$D168)=1,1,0))</f>
        <v>0.0</v>
      </c>
      <c xmlns="http://schemas.openxmlformats.org/spreadsheetml/2006/main" r="AA168" t="str">
        <f>IF(Z168=1,SUM($Z$5:$Z168),"")</f>
        <v/>
      </c>
    </row>
    <row r="169" spans="1:27">
      <c r="A169" s="22"/>
      <c r="B169" s="22"/>
      <c r="C169" s="22"/>
      <c r="D169" s="22"/>
      <c r="E169" s="22"/>
      <c r="F169" s="23"/>
      <c r="G169" s="23"/>
      <c r="H169" s="24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6"/>
      <c xmlns="http://schemas.openxmlformats.org/spreadsheetml/2006/main" r="U169" s="23" t="str">
        <f t="shared" si="6"/>
        <v/>
      </c>
      <c xmlns="http://schemas.openxmlformats.org/spreadsheetml/2006/main" r="V169" s="22" t="str">
        <f t="shared" si="7"/>
        <v/>
      </c>
      <c xmlns="http://schemas.openxmlformats.org/spreadsheetml/2006/main" r="W169" s="18" t="str">
        <f t="shared" si="8"/>
        <v/>
      </c>
      <c r="X169" s="22"/>
      <c r="Y169" s="22"/>
      <c xmlns="http://schemas.openxmlformats.org/spreadsheetml/2006/main" r="Z169">
        <f>IF($D169="",0,IF(COUNTIF($D$5:$D169,$D169)=1,1,0))</f>
        <v>0.0</v>
      </c>
      <c xmlns="http://schemas.openxmlformats.org/spreadsheetml/2006/main" r="AA169" t="str">
        <f>IF(Z169=1,SUM($Z$5:$Z169),"")</f>
        <v/>
      </c>
    </row>
    <row r="170" spans="1:27">
      <c r="A170" s="22"/>
      <c r="B170" s="22"/>
      <c r="C170" s="22"/>
      <c r="D170" s="22"/>
      <c r="E170" s="22"/>
      <c r="F170" s="23"/>
      <c r="G170" s="23"/>
      <c r="H170" s="24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6"/>
      <c xmlns="http://schemas.openxmlformats.org/spreadsheetml/2006/main" r="U170" s="23" t="str">
        <f t="shared" si="6"/>
        <v/>
      </c>
      <c xmlns="http://schemas.openxmlformats.org/spreadsheetml/2006/main" r="V170" s="22" t="str">
        <f t="shared" si="7"/>
        <v/>
      </c>
      <c xmlns="http://schemas.openxmlformats.org/spreadsheetml/2006/main" r="W170" s="18" t="str">
        <f t="shared" si="8"/>
        <v/>
      </c>
      <c r="X170" s="22"/>
      <c r="Y170" s="22"/>
      <c xmlns="http://schemas.openxmlformats.org/spreadsheetml/2006/main" r="Z170">
        <f>IF($D170="",0,IF(COUNTIF($D$5:$D170,$D170)=1,1,0))</f>
        <v>0.0</v>
      </c>
      <c xmlns="http://schemas.openxmlformats.org/spreadsheetml/2006/main" r="AA170" t="str">
        <f>IF(Z170=1,SUM($Z$5:$Z170),"")</f>
        <v/>
      </c>
    </row>
    <row r="171" spans="1:27">
      <c r="A171" s="22"/>
      <c r="B171" s="22"/>
      <c r="C171" s="22"/>
      <c r="D171" s="22"/>
      <c r="E171" s="22"/>
      <c r="F171" s="23"/>
      <c r="G171" s="23"/>
      <c r="H171" s="24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6"/>
      <c xmlns="http://schemas.openxmlformats.org/spreadsheetml/2006/main" r="U171" s="23" t="str">
        <f t="shared" si="6"/>
        <v/>
      </c>
      <c xmlns="http://schemas.openxmlformats.org/spreadsheetml/2006/main" r="V171" s="22" t="str">
        <f t="shared" si="7"/>
        <v/>
      </c>
      <c xmlns="http://schemas.openxmlformats.org/spreadsheetml/2006/main" r="W171" s="18" t="str">
        <f t="shared" si="8"/>
        <v/>
      </c>
      <c r="X171" s="22"/>
      <c r="Y171" s="22"/>
      <c xmlns="http://schemas.openxmlformats.org/spreadsheetml/2006/main" r="Z171">
        <f>IF($D171="",0,IF(COUNTIF($D$5:$D171,$D171)=1,1,0))</f>
        <v>0.0</v>
      </c>
      <c xmlns="http://schemas.openxmlformats.org/spreadsheetml/2006/main" r="AA171" t="str">
        <f>IF(Z171=1,SUM($Z$5:$Z171),"")</f>
        <v/>
      </c>
    </row>
    <row r="172" spans="1:27">
      <c r="A172" s="22"/>
      <c r="B172" s="22"/>
      <c r="C172" s="22"/>
      <c r="D172" s="22"/>
      <c r="E172" s="22"/>
      <c r="F172" s="23"/>
      <c r="G172" s="23"/>
      <c r="H172" s="24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6"/>
      <c xmlns="http://schemas.openxmlformats.org/spreadsheetml/2006/main" r="U172" s="23" t="str">
        <f t="shared" si="6"/>
        <v/>
      </c>
      <c xmlns="http://schemas.openxmlformats.org/spreadsheetml/2006/main" r="V172" s="22" t="str">
        <f t="shared" si="7"/>
        <v/>
      </c>
      <c xmlns="http://schemas.openxmlformats.org/spreadsheetml/2006/main" r="W172" s="18" t="str">
        <f t="shared" si="8"/>
        <v/>
      </c>
      <c r="X172" s="22"/>
      <c r="Y172" s="22"/>
      <c xmlns="http://schemas.openxmlformats.org/spreadsheetml/2006/main" r="Z172">
        <f>IF($D172="",0,IF(COUNTIF($D$5:$D172,$D172)=1,1,0))</f>
        <v>0.0</v>
      </c>
      <c xmlns="http://schemas.openxmlformats.org/spreadsheetml/2006/main" r="AA172" t="str">
        <f>IF(Z172=1,SUM($Z$5:$Z172),"")</f>
        <v/>
      </c>
    </row>
    <row r="173" spans="1:27">
      <c r="A173" s="22"/>
      <c r="B173" s="22"/>
      <c r="C173" s="22"/>
      <c r="D173" s="22"/>
      <c r="E173" s="22"/>
      <c r="F173" s="23"/>
      <c r="G173" s="23"/>
      <c r="H173" s="24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6"/>
      <c xmlns="http://schemas.openxmlformats.org/spreadsheetml/2006/main" r="U173" s="23" t="str">
        <f t="shared" si="6"/>
        <v/>
      </c>
      <c xmlns="http://schemas.openxmlformats.org/spreadsheetml/2006/main" r="V173" s="22" t="str">
        <f t="shared" si="7"/>
        <v/>
      </c>
      <c xmlns="http://schemas.openxmlformats.org/spreadsheetml/2006/main" r="W173" s="18" t="str">
        <f t="shared" si="8"/>
        <v/>
      </c>
      <c r="X173" s="22"/>
      <c r="Y173" s="22"/>
      <c xmlns="http://schemas.openxmlformats.org/spreadsheetml/2006/main" r="Z173">
        <f>IF($D173="",0,IF(COUNTIF($D$5:$D173,$D173)=1,1,0))</f>
        <v>0.0</v>
      </c>
      <c xmlns="http://schemas.openxmlformats.org/spreadsheetml/2006/main" r="AA173" t="str">
        <f>IF(Z173=1,SUM($Z$5:$Z173),"")</f>
        <v/>
      </c>
    </row>
    <row r="174" spans="1:27">
      <c r="A174" s="22"/>
      <c r="B174" s="22"/>
      <c r="C174" s="22"/>
      <c r="D174" s="22"/>
      <c r="E174" s="22"/>
      <c r="F174" s="23"/>
      <c r="G174" s="23"/>
      <c r="H174" s="24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6"/>
      <c xmlns="http://schemas.openxmlformats.org/spreadsheetml/2006/main" r="U174" s="23" t="str">
        <f t="shared" si="6"/>
        <v/>
      </c>
      <c xmlns="http://schemas.openxmlformats.org/spreadsheetml/2006/main" r="V174" s="22" t="str">
        <f t="shared" si="7"/>
        <v/>
      </c>
      <c xmlns="http://schemas.openxmlformats.org/spreadsheetml/2006/main" r="W174" s="18" t="str">
        <f t="shared" si="8"/>
        <v/>
      </c>
      <c r="X174" s="22"/>
      <c r="Y174" s="22"/>
      <c xmlns="http://schemas.openxmlformats.org/spreadsheetml/2006/main" r="Z174">
        <f>IF($D174="",0,IF(COUNTIF($D$5:$D174,$D174)=1,1,0))</f>
        <v>0.0</v>
      </c>
      <c xmlns="http://schemas.openxmlformats.org/spreadsheetml/2006/main" r="AA174" t="str">
        <f>IF(Z174=1,SUM($Z$5:$Z174),"")</f>
        <v/>
      </c>
    </row>
    <row r="175" spans="1:27">
      <c r="A175" s="22"/>
      <c r="B175" s="22"/>
      <c r="C175" s="22"/>
      <c r="D175" s="22"/>
      <c r="E175" s="22"/>
      <c r="F175" s="23"/>
      <c r="G175" s="23"/>
      <c r="H175" s="24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6"/>
      <c xmlns="http://schemas.openxmlformats.org/spreadsheetml/2006/main" r="U175" s="23" t="str">
        <f t="shared" si="6"/>
        <v/>
      </c>
      <c xmlns="http://schemas.openxmlformats.org/spreadsheetml/2006/main" r="V175" s="22" t="str">
        <f t="shared" si="7"/>
        <v/>
      </c>
      <c xmlns="http://schemas.openxmlformats.org/spreadsheetml/2006/main" r="W175" s="18" t="str">
        <f t="shared" si="8"/>
        <v/>
      </c>
      <c r="X175" s="22"/>
      <c r="Y175" s="22"/>
      <c xmlns="http://schemas.openxmlformats.org/spreadsheetml/2006/main" r="Z175">
        <f>IF($D175="",0,IF(COUNTIF($D$5:$D175,$D175)=1,1,0))</f>
        <v>0.0</v>
      </c>
      <c xmlns="http://schemas.openxmlformats.org/spreadsheetml/2006/main" r="AA175" t="str">
        <f>IF(Z175=1,SUM($Z$5:$Z175),"")</f>
        <v/>
      </c>
    </row>
    <row r="176" spans="1:27">
      <c r="A176" s="22"/>
      <c r="B176" s="22"/>
      <c r="C176" s="22"/>
      <c r="D176" s="22"/>
      <c r="E176" s="22"/>
      <c r="F176" s="23"/>
      <c r="G176" s="23"/>
      <c r="H176" s="24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6"/>
      <c xmlns="http://schemas.openxmlformats.org/spreadsheetml/2006/main" r="U176" s="23" t="str">
        <f t="shared" si="6"/>
        <v/>
      </c>
      <c xmlns="http://schemas.openxmlformats.org/spreadsheetml/2006/main" r="V176" s="22" t="str">
        <f t="shared" si="7"/>
        <v/>
      </c>
      <c xmlns="http://schemas.openxmlformats.org/spreadsheetml/2006/main" r="W176" s="18" t="str">
        <f t="shared" si="8"/>
        <v/>
      </c>
      <c r="X176" s="22"/>
      <c r="Y176" s="22"/>
      <c xmlns="http://schemas.openxmlformats.org/spreadsheetml/2006/main" r="Z176">
        <f>IF($D176="",0,IF(COUNTIF($D$5:$D176,$D176)=1,1,0))</f>
        <v>0.0</v>
      </c>
      <c xmlns="http://schemas.openxmlformats.org/spreadsheetml/2006/main" r="AA176" t="str">
        <f>IF(Z176=1,SUM($Z$5:$Z176),"")</f>
        <v/>
      </c>
    </row>
    <row r="177" spans="1:27">
      <c r="A177" s="22"/>
      <c r="B177" s="22"/>
      <c r="C177" s="22"/>
      <c r="D177" s="22"/>
      <c r="E177" s="22"/>
      <c r="F177" s="23"/>
      <c r="G177" s="23"/>
      <c r="H177" s="24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6"/>
      <c xmlns="http://schemas.openxmlformats.org/spreadsheetml/2006/main" r="U177" s="23" t="str">
        <f t="shared" si="6"/>
        <v/>
      </c>
      <c xmlns="http://schemas.openxmlformats.org/spreadsheetml/2006/main" r="V177" s="22" t="str">
        <f t="shared" si="7"/>
        <v/>
      </c>
      <c xmlns="http://schemas.openxmlformats.org/spreadsheetml/2006/main" r="W177" s="18" t="str">
        <f t="shared" si="8"/>
        <v/>
      </c>
      <c r="X177" s="22"/>
      <c r="Y177" s="22"/>
      <c xmlns="http://schemas.openxmlformats.org/spreadsheetml/2006/main" r="Z177">
        <f>IF($D177="",0,IF(COUNTIF($D$5:$D177,$D177)=1,1,0))</f>
        <v>0.0</v>
      </c>
      <c xmlns="http://schemas.openxmlformats.org/spreadsheetml/2006/main" r="AA177" t="str">
        <f>IF(Z177=1,SUM($Z$5:$Z177),"")</f>
        <v/>
      </c>
    </row>
    <row r="178" spans="1:27">
      <c r="A178" s="22"/>
      <c r="B178" s="22"/>
      <c r="C178" s="22"/>
      <c r="D178" s="22"/>
      <c r="E178" s="22"/>
      <c r="F178" s="23"/>
      <c r="G178" s="23"/>
      <c r="H178" s="24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6"/>
      <c xmlns="http://schemas.openxmlformats.org/spreadsheetml/2006/main" r="U178" s="23" t="str">
        <f t="shared" si="6"/>
        <v/>
      </c>
      <c xmlns="http://schemas.openxmlformats.org/spreadsheetml/2006/main" r="V178" s="22" t="str">
        <f t="shared" si="7"/>
        <v/>
      </c>
      <c xmlns="http://schemas.openxmlformats.org/spreadsheetml/2006/main" r="W178" s="18" t="str">
        <f t="shared" si="8"/>
        <v/>
      </c>
      <c r="X178" s="22"/>
      <c r="Y178" s="22"/>
      <c xmlns="http://schemas.openxmlformats.org/spreadsheetml/2006/main" r="Z178">
        <f>IF($D178="",0,IF(COUNTIF($D$5:$D178,$D178)=1,1,0))</f>
        <v>0.0</v>
      </c>
      <c xmlns="http://schemas.openxmlformats.org/spreadsheetml/2006/main" r="AA178" t="str">
        <f>IF(Z178=1,SUM($Z$5:$Z178),"")</f>
        <v/>
      </c>
    </row>
    <row r="179" spans="1:27">
      <c r="A179" s="22"/>
      <c r="B179" s="22"/>
      <c r="C179" s="22"/>
      <c r="D179" s="22"/>
      <c r="E179" s="22"/>
      <c r="F179" s="23"/>
      <c r="G179" s="23"/>
      <c r="H179" s="24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6"/>
      <c xmlns="http://schemas.openxmlformats.org/spreadsheetml/2006/main" r="U179" s="23" t="str">
        <f t="shared" si="6"/>
        <v/>
      </c>
      <c xmlns="http://schemas.openxmlformats.org/spreadsheetml/2006/main" r="V179" s="22" t="str">
        <f t="shared" si="7"/>
        <v/>
      </c>
      <c xmlns="http://schemas.openxmlformats.org/spreadsheetml/2006/main" r="W179" s="18" t="str">
        <f t="shared" si="8"/>
        <v/>
      </c>
      <c r="X179" s="22"/>
      <c r="Y179" s="22"/>
      <c xmlns="http://schemas.openxmlformats.org/spreadsheetml/2006/main" r="Z179">
        <f>IF($D179="",0,IF(COUNTIF($D$5:$D179,$D179)=1,1,0))</f>
        <v>0.0</v>
      </c>
      <c xmlns="http://schemas.openxmlformats.org/spreadsheetml/2006/main" r="AA179" t="str">
        <f>IF(Z179=1,SUM($Z$5:$Z179),"")</f>
        <v/>
      </c>
    </row>
    <row r="180" spans="1:27">
      <c r="A180" s="22"/>
      <c r="B180" s="22"/>
      <c r="C180" s="22"/>
      <c r="D180" s="22"/>
      <c r="E180" s="22"/>
      <c r="F180" s="23"/>
      <c r="G180" s="23"/>
      <c r="H180" s="24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6"/>
      <c xmlns="http://schemas.openxmlformats.org/spreadsheetml/2006/main" r="U180" s="23" t="str">
        <f t="shared" si="6"/>
        <v/>
      </c>
      <c xmlns="http://schemas.openxmlformats.org/spreadsheetml/2006/main" r="V180" s="22" t="str">
        <f t="shared" si="7"/>
        <v/>
      </c>
      <c xmlns="http://schemas.openxmlformats.org/spreadsheetml/2006/main" r="W180" s="18" t="str">
        <f t="shared" si="8"/>
        <v/>
      </c>
      <c r="X180" s="22"/>
      <c r="Y180" s="22"/>
      <c xmlns="http://schemas.openxmlformats.org/spreadsheetml/2006/main" r="Z180">
        <f>IF($D180="",0,IF(COUNTIF($D$5:$D180,$D180)=1,1,0))</f>
        <v>0.0</v>
      </c>
      <c xmlns="http://schemas.openxmlformats.org/spreadsheetml/2006/main" r="AA180" t="str">
        <f>IF(Z180=1,SUM($Z$5:$Z180),"")</f>
        <v/>
      </c>
    </row>
    <row r="181" spans="1:27">
      <c r="A181" s="22"/>
      <c r="B181" s="22"/>
      <c r="C181" s="22"/>
      <c r="D181" s="22"/>
      <c r="E181" s="22"/>
      <c r="F181" s="23"/>
      <c r="G181" s="23"/>
      <c r="H181" s="24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6"/>
      <c xmlns="http://schemas.openxmlformats.org/spreadsheetml/2006/main" r="U181" s="23" t="str">
        <f t="shared" si="6"/>
        <v/>
      </c>
      <c xmlns="http://schemas.openxmlformats.org/spreadsheetml/2006/main" r="V181" s="22" t="str">
        <f t="shared" si="7"/>
        <v/>
      </c>
      <c xmlns="http://schemas.openxmlformats.org/spreadsheetml/2006/main" r="W181" s="18" t="str">
        <f t="shared" si="8"/>
        <v/>
      </c>
      <c r="X181" s="22"/>
      <c r="Y181" s="22"/>
      <c xmlns="http://schemas.openxmlformats.org/spreadsheetml/2006/main" r="Z181">
        <f>IF($D181="",0,IF(COUNTIF($D$5:$D181,$D181)=1,1,0))</f>
        <v>0.0</v>
      </c>
      <c xmlns="http://schemas.openxmlformats.org/spreadsheetml/2006/main" r="AA181" t="str">
        <f>IF(Z181=1,SUM($Z$5:$Z181),"")</f>
        <v/>
      </c>
    </row>
    <row r="182" spans="1:27">
      <c r="A182" s="22"/>
      <c r="B182" s="22"/>
      <c r="C182" s="22"/>
      <c r="D182" s="22"/>
      <c r="E182" s="22"/>
      <c r="F182" s="23"/>
      <c r="G182" s="23"/>
      <c r="H182" s="24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6"/>
      <c xmlns="http://schemas.openxmlformats.org/spreadsheetml/2006/main" r="U182" s="23" t="str">
        <f t="shared" si="6"/>
        <v/>
      </c>
      <c xmlns="http://schemas.openxmlformats.org/spreadsheetml/2006/main" r="V182" s="22" t="str">
        <f t="shared" si="7"/>
        <v/>
      </c>
      <c xmlns="http://schemas.openxmlformats.org/spreadsheetml/2006/main" r="W182" s="18" t="str">
        <f t="shared" si="8"/>
        <v/>
      </c>
      <c r="X182" s="22"/>
      <c r="Y182" s="22"/>
      <c xmlns="http://schemas.openxmlformats.org/spreadsheetml/2006/main" r="Z182">
        <f>IF($D182="",0,IF(COUNTIF($D$5:$D182,$D182)=1,1,0))</f>
        <v>0.0</v>
      </c>
      <c xmlns="http://schemas.openxmlformats.org/spreadsheetml/2006/main" r="AA182" t="str">
        <f>IF(Z182=1,SUM($Z$5:$Z182),"")</f>
        <v/>
      </c>
    </row>
    <row r="183" spans="1:27">
      <c r="A183" s="22"/>
      <c r="B183" s="22"/>
      <c r="C183" s="22"/>
      <c r="D183" s="22"/>
      <c r="E183" s="22"/>
      <c r="F183" s="23"/>
      <c r="G183" s="23"/>
      <c r="H183" s="24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6"/>
      <c xmlns="http://schemas.openxmlformats.org/spreadsheetml/2006/main" r="U183" s="23" t="str">
        <f t="shared" si="6"/>
        <v/>
      </c>
      <c xmlns="http://schemas.openxmlformats.org/spreadsheetml/2006/main" r="V183" s="22" t="str">
        <f t="shared" si="7"/>
        <v/>
      </c>
      <c xmlns="http://schemas.openxmlformats.org/spreadsheetml/2006/main" r="W183" s="18" t="str">
        <f t="shared" si="8"/>
        <v/>
      </c>
      <c r="X183" s="22"/>
      <c r="Y183" s="22"/>
      <c xmlns="http://schemas.openxmlformats.org/spreadsheetml/2006/main" r="Z183">
        <f>IF($D183="",0,IF(COUNTIF($D$5:$D183,$D183)=1,1,0))</f>
        <v>0.0</v>
      </c>
      <c xmlns="http://schemas.openxmlformats.org/spreadsheetml/2006/main" r="AA183" t="str">
        <f>IF(Z183=1,SUM($Z$5:$Z183),"")</f>
        <v/>
      </c>
    </row>
    <row r="184" spans="1:27">
      <c r="A184" s="22"/>
      <c r="B184" s="22"/>
      <c r="C184" s="22"/>
      <c r="D184" s="22"/>
      <c r="E184" s="22"/>
      <c r="F184" s="23"/>
      <c r="G184" s="23"/>
      <c r="H184" s="24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6"/>
      <c xmlns="http://schemas.openxmlformats.org/spreadsheetml/2006/main" r="U184" s="23" t="str">
        <f t="shared" si="6"/>
        <v/>
      </c>
      <c xmlns="http://schemas.openxmlformats.org/spreadsheetml/2006/main" r="V184" s="22" t="str">
        <f t="shared" si="7"/>
        <v/>
      </c>
      <c xmlns="http://schemas.openxmlformats.org/spreadsheetml/2006/main" r="W184" s="18" t="str">
        <f t="shared" si="8"/>
        <v/>
      </c>
      <c r="X184" s="22"/>
      <c r="Y184" s="22"/>
      <c xmlns="http://schemas.openxmlformats.org/spreadsheetml/2006/main" r="Z184">
        <f>IF($D184="",0,IF(COUNTIF($D$5:$D184,$D184)=1,1,0))</f>
        <v>0.0</v>
      </c>
      <c xmlns="http://schemas.openxmlformats.org/spreadsheetml/2006/main" r="AA184" t="str">
        <f>IF(Z184=1,SUM($Z$5:$Z184),"")</f>
        <v/>
      </c>
    </row>
    <row r="185" spans="1:27">
      <c r="A185" s="22"/>
      <c r="B185" s="22"/>
      <c r="C185" s="22"/>
      <c r="D185" s="22"/>
      <c r="E185" s="22"/>
      <c r="F185" s="23"/>
      <c r="G185" s="23"/>
      <c r="H185" s="24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6"/>
      <c xmlns="http://schemas.openxmlformats.org/spreadsheetml/2006/main" r="U185" s="23" t="str">
        <f t="shared" si="6"/>
        <v/>
      </c>
      <c xmlns="http://schemas.openxmlformats.org/spreadsheetml/2006/main" r="V185" s="22" t="str">
        <f t="shared" si="7"/>
        <v/>
      </c>
      <c xmlns="http://schemas.openxmlformats.org/spreadsheetml/2006/main" r="W185" s="18" t="str">
        <f t="shared" si="8"/>
        <v/>
      </c>
      <c r="X185" s="22"/>
      <c r="Y185" s="22"/>
      <c xmlns="http://schemas.openxmlformats.org/spreadsheetml/2006/main" r="Z185">
        <f>IF($D185="",0,IF(COUNTIF($D$5:$D185,$D185)=1,1,0))</f>
        <v>0.0</v>
      </c>
      <c xmlns="http://schemas.openxmlformats.org/spreadsheetml/2006/main" r="AA185" t="str">
        <f>IF(Z185=1,SUM($Z$5:$Z185),"")</f>
        <v/>
      </c>
    </row>
    <row r="186" spans="1:27">
      <c r="A186" s="22"/>
      <c r="B186" s="22"/>
      <c r="C186" s="22"/>
      <c r="D186" s="22"/>
      <c r="E186" s="22"/>
      <c r="F186" s="23"/>
      <c r="G186" s="23"/>
      <c r="H186" s="24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  <c xmlns="http://schemas.openxmlformats.org/spreadsheetml/2006/main" r="U186" s="23" t="str">
        <f t="shared" si="6"/>
        <v/>
      </c>
      <c xmlns="http://schemas.openxmlformats.org/spreadsheetml/2006/main" r="V186" s="22" t="str">
        <f t="shared" si="7"/>
        <v/>
      </c>
      <c xmlns="http://schemas.openxmlformats.org/spreadsheetml/2006/main" r="W186" s="18" t="str">
        <f t="shared" si="8"/>
        <v/>
      </c>
      <c r="X186" s="22"/>
      <c r="Y186" s="22"/>
      <c xmlns="http://schemas.openxmlformats.org/spreadsheetml/2006/main" r="Z186">
        <f>IF($D186="",0,IF(COUNTIF($D$5:$D186,$D186)=1,1,0))</f>
        <v>0.0</v>
      </c>
      <c xmlns="http://schemas.openxmlformats.org/spreadsheetml/2006/main" r="AA186" t="str">
        <f>IF(Z186=1,SUM($Z$5:$Z186),"")</f>
        <v/>
      </c>
    </row>
    <row r="187" spans="1:27">
      <c r="A187" s="22"/>
      <c r="B187" s="22"/>
      <c r="C187" s="22"/>
      <c r="D187" s="22"/>
      <c r="E187" s="22"/>
      <c r="F187" s="23"/>
      <c r="G187" s="23"/>
      <c r="H187" s="24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  <c xmlns="http://schemas.openxmlformats.org/spreadsheetml/2006/main" r="U187" s="23" t="str">
        <f t="shared" si="6"/>
        <v/>
      </c>
      <c xmlns="http://schemas.openxmlformats.org/spreadsheetml/2006/main" r="V187" s="22" t="str">
        <f t="shared" si="7"/>
        <v/>
      </c>
      <c xmlns="http://schemas.openxmlformats.org/spreadsheetml/2006/main" r="W187" s="18" t="str">
        <f t="shared" si="8"/>
        <v/>
      </c>
      <c r="X187" s="22"/>
      <c r="Y187" s="22"/>
      <c xmlns="http://schemas.openxmlformats.org/spreadsheetml/2006/main" r="Z187">
        <f>IF($D187="",0,IF(COUNTIF($D$5:$D187,$D187)=1,1,0))</f>
        <v>0.0</v>
      </c>
      <c xmlns="http://schemas.openxmlformats.org/spreadsheetml/2006/main" r="AA187" t="str">
        <f>IF(Z187=1,SUM($Z$5:$Z187),"")</f>
        <v/>
      </c>
    </row>
    <row r="188" spans="1:27">
      <c r="A188" s="22"/>
      <c r="B188" s="22"/>
      <c r="C188" s="22"/>
      <c r="D188" s="22"/>
      <c r="E188" s="22"/>
      <c r="F188" s="23"/>
      <c r="G188" s="23"/>
      <c r="H188" s="24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6"/>
      <c xmlns="http://schemas.openxmlformats.org/spreadsheetml/2006/main" r="U188" s="23" t="str">
        <f t="shared" si="6"/>
        <v/>
      </c>
      <c xmlns="http://schemas.openxmlformats.org/spreadsheetml/2006/main" r="V188" s="22" t="str">
        <f t="shared" si="7"/>
        <v/>
      </c>
      <c xmlns="http://schemas.openxmlformats.org/spreadsheetml/2006/main" r="W188" s="18" t="str">
        <f t="shared" si="8"/>
        <v/>
      </c>
      <c r="X188" s="22"/>
      <c r="Y188" s="22"/>
      <c xmlns="http://schemas.openxmlformats.org/spreadsheetml/2006/main" r="Z188">
        <f>IF($D188="",0,IF(COUNTIF($D$5:$D188,$D188)=1,1,0))</f>
        <v>0.0</v>
      </c>
      <c xmlns="http://schemas.openxmlformats.org/spreadsheetml/2006/main" r="AA188" t="str">
        <f>IF(Z188=1,SUM($Z$5:$Z188),"")</f>
        <v/>
      </c>
    </row>
    <row r="189" spans="1:27">
      <c r="A189" s="22"/>
      <c r="B189" s="22"/>
      <c r="C189" s="22"/>
      <c r="D189" s="22"/>
      <c r="E189" s="22"/>
      <c r="F189" s="23"/>
      <c r="G189" s="23"/>
      <c r="H189" s="24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  <c xmlns="http://schemas.openxmlformats.org/spreadsheetml/2006/main" r="U189" s="23" t="str">
        <f t="shared" si="6"/>
        <v/>
      </c>
      <c xmlns="http://schemas.openxmlformats.org/spreadsheetml/2006/main" r="V189" s="22" t="str">
        <f t="shared" si="7"/>
        <v/>
      </c>
      <c xmlns="http://schemas.openxmlformats.org/spreadsheetml/2006/main" r="W189" s="18" t="str">
        <f t="shared" si="8"/>
        <v/>
      </c>
      <c r="X189" s="22"/>
      <c r="Y189" s="22"/>
      <c xmlns="http://schemas.openxmlformats.org/spreadsheetml/2006/main" r="Z189">
        <f>IF($D189="",0,IF(COUNTIF($D$5:$D189,$D189)=1,1,0))</f>
        <v>0.0</v>
      </c>
      <c xmlns="http://schemas.openxmlformats.org/spreadsheetml/2006/main" r="AA189" t="str">
        <f>IF(Z189=1,SUM($Z$5:$Z189),"")</f>
        <v/>
      </c>
    </row>
    <row r="190" spans="1:27">
      <c r="A190" s="22"/>
      <c r="B190" s="22"/>
      <c r="C190" s="22"/>
      <c r="D190" s="22"/>
      <c r="E190" s="22"/>
      <c r="F190" s="23"/>
      <c r="G190" s="23"/>
      <c r="H190" s="24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6"/>
      <c xmlns="http://schemas.openxmlformats.org/spreadsheetml/2006/main" r="U190" s="23" t="str">
        <f t="shared" si="6"/>
        <v/>
      </c>
      <c xmlns="http://schemas.openxmlformats.org/spreadsheetml/2006/main" r="V190" s="22" t="str">
        <f t="shared" si="7"/>
        <v/>
      </c>
      <c xmlns="http://schemas.openxmlformats.org/spreadsheetml/2006/main" r="W190" s="18" t="str">
        <f t="shared" si="8"/>
        <v/>
      </c>
      <c r="X190" s="22"/>
      <c r="Y190" s="22"/>
      <c xmlns="http://schemas.openxmlformats.org/spreadsheetml/2006/main" r="Z190">
        <f>IF($D190="",0,IF(COUNTIF($D$5:$D190,$D190)=1,1,0))</f>
        <v>0.0</v>
      </c>
      <c xmlns="http://schemas.openxmlformats.org/spreadsheetml/2006/main" r="AA190" t="str">
        <f>IF(Z190=1,SUM($Z$5:$Z190),"")</f>
        <v/>
      </c>
    </row>
    <row r="191" spans="1:27">
      <c r="A191" s="22"/>
      <c r="B191" s="22"/>
      <c r="C191" s="22"/>
      <c r="D191" s="22"/>
      <c r="E191" s="22"/>
      <c r="F191" s="23"/>
      <c r="G191" s="23"/>
      <c r="H191" s="24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6"/>
      <c xmlns="http://schemas.openxmlformats.org/spreadsheetml/2006/main" r="U191" s="23" t="str">
        <f t="shared" si="6"/>
        <v/>
      </c>
      <c xmlns="http://schemas.openxmlformats.org/spreadsheetml/2006/main" r="V191" s="22" t="str">
        <f t="shared" si="7"/>
        <v/>
      </c>
      <c xmlns="http://schemas.openxmlformats.org/spreadsheetml/2006/main" r="W191" s="18" t="str">
        <f t="shared" si="8"/>
        <v/>
      </c>
      <c r="X191" s="22"/>
      <c r="Y191" s="22"/>
      <c xmlns="http://schemas.openxmlformats.org/spreadsheetml/2006/main" r="Z191">
        <f>IF($D191="",0,IF(COUNTIF($D$5:$D191,$D191)=1,1,0))</f>
        <v>0.0</v>
      </c>
      <c xmlns="http://schemas.openxmlformats.org/spreadsheetml/2006/main" r="AA191" t="str">
        <f>IF(Z191=1,SUM($Z$5:$Z191),"")</f>
        <v/>
      </c>
    </row>
    <row r="192" spans="1:27">
      <c r="A192" s="22"/>
      <c r="B192" s="22"/>
      <c r="C192" s="22"/>
      <c r="D192" s="22"/>
      <c r="E192" s="22"/>
      <c r="F192" s="23"/>
      <c r="G192" s="23"/>
      <c r="H192" s="24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6"/>
      <c xmlns="http://schemas.openxmlformats.org/spreadsheetml/2006/main" r="U192" s="23" t="str">
        <f t="shared" si="6"/>
        <v/>
      </c>
      <c xmlns="http://schemas.openxmlformats.org/spreadsheetml/2006/main" r="V192" s="22" t="str">
        <f t="shared" si="7"/>
        <v/>
      </c>
      <c xmlns="http://schemas.openxmlformats.org/spreadsheetml/2006/main" r="W192" s="18" t="str">
        <f t="shared" si="8"/>
        <v/>
      </c>
      <c r="X192" s="22"/>
      <c r="Y192" s="22"/>
      <c xmlns="http://schemas.openxmlformats.org/spreadsheetml/2006/main" r="Z192">
        <f>IF($D192="",0,IF(COUNTIF($D$5:$D192,$D192)=1,1,0))</f>
        <v>0.0</v>
      </c>
      <c xmlns="http://schemas.openxmlformats.org/spreadsheetml/2006/main" r="AA192" t="str">
        <f>IF(Z192=1,SUM($Z$5:$Z192),"")</f>
        <v/>
      </c>
    </row>
    <row r="193" spans="1:27">
      <c r="A193" s="22"/>
      <c r="B193" s="22"/>
      <c r="C193" s="22"/>
      <c r="D193" s="22"/>
      <c r="E193" s="22"/>
      <c r="F193" s="23"/>
      <c r="G193" s="23"/>
      <c r="H193" s="24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6"/>
      <c xmlns="http://schemas.openxmlformats.org/spreadsheetml/2006/main" r="U193" s="23" t="str">
        <f t="shared" si="6"/>
        <v/>
      </c>
      <c xmlns="http://schemas.openxmlformats.org/spreadsheetml/2006/main" r="V193" s="22" t="str">
        <f t="shared" si="7"/>
        <v/>
      </c>
      <c xmlns="http://schemas.openxmlformats.org/spreadsheetml/2006/main" r="W193" s="18" t="str">
        <f t="shared" si="8"/>
        <v/>
      </c>
      <c r="X193" s="22"/>
      <c r="Y193" s="22"/>
      <c xmlns="http://schemas.openxmlformats.org/spreadsheetml/2006/main" r="Z193">
        <f>IF($D193="",0,IF(COUNTIF($D$5:$D193,$D193)=1,1,0))</f>
        <v>0.0</v>
      </c>
      <c xmlns="http://schemas.openxmlformats.org/spreadsheetml/2006/main" r="AA193" t="str">
        <f>IF(Z193=1,SUM($Z$5:$Z193),"")</f>
        <v/>
      </c>
    </row>
    <row r="194" spans="1:27">
      <c r="A194" s="22"/>
      <c r="B194" s="22"/>
      <c r="C194" s="22"/>
      <c r="D194" s="22"/>
      <c r="E194" s="22"/>
      <c r="F194" s="23"/>
      <c r="G194" s="23"/>
      <c r="H194" s="24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6"/>
      <c xmlns="http://schemas.openxmlformats.org/spreadsheetml/2006/main" r="U194" s="23" t="str">
        <f t="shared" si="6"/>
        <v/>
      </c>
      <c xmlns="http://schemas.openxmlformats.org/spreadsheetml/2006/main" r="V194" s="22" t="str">
        <f t="shared" si="7"/>
        <v/>
      </c>
      <c xmlns="http://schemas.openxmlformats.org/spreadsheetml/2006/main" r="W194" s="18" t="str">
        <f t="shared" si="8"/>
        <v/>
      </c>
      <c r="X194" s="22"/>
      <c r="Y194" s="22"/>
      <c xmlns="http://schemas.openxmlformats.org/spreadsheetml/2006/main" r="Z194">
        <f>IF($D194="",0,IF(COUNTIF($D$5:$D194,$D194)=1,1,0))</f>
        <v>0.0</v>
      </c>
      <c xmlns="http://schemas.openxmlformats.org/spreadsheetml/2006/main" r="AA194" t="str">
        <f>IF(Z194=1,SUM($Z$5:$Z194),"")</f>
        <v/>
      </c>
    </row>
    <row r="195" spans="1:27">
      <c r="A195" s="22"/>
      <c r="B195" s="22"/>
      <c r="C195" s="22"/>
      <c r="D195" s="22"/>
      <c r="E195" s="22"/>
      <c r="F195" s="23"/>
      <c r="G195" s="23"/>
      <c r="H195" s="24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6"/>
      <c xmlns="http://schemas.openxmlformats.org/spreadsheetml/2006/main" r="U195" s="23" t="str">
        <f t="shared" si="6"/>
        <v/>
      </c>
      <c xmlns="http://schemas.openxmlformats.org/spreadsheetml/2006/main" r="V195" s="22" t="str">
        <f t="shared" si="7"/>
        <v/>
      </c>
      <c xmlns="http://schemas.openxmlformats.org/spreadsheetml/2006/main" r="W195" s="18" t="str">
        <f t="shared" si="8"/>
        <v/>
      </c>
      <c r="X195" s="22"/>
      <c r="Y195" s="22"/>
      <c xmlns="http://schemas.openxmlformats.org/spreadsheetml/2006/main" r="Z195">
        <f>IF($D195="",0,IF(COUNTIF($D$5:$D195,$D195)=1,1,0))</f>
        <v>0.0</v>
      </c>
      <c xmlns="http://schemas.openxmlformats.org/spreadsheetml/2006/main" r="AA195" t="str">
        <f>IF(Z195=1,SUM($Z$5:$Z195),"")</f>
        <v/>
      </c>
    </row>
    <row r="196" spans="1:27">
      <c r="A196" s="22"/>
      <c r="B196" s="22"/>
      <c r="C196" s="22"/>
      <c r="D196" s="22"/>
      <c r="E196" s="22"/>
      <c r="F196" s="23"/>
      <c r="G196" s="23"/>
      <c r="H196" s="24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6"/>
      <c xmlns="http://schemas.openxmlformats.org/spreadsheetml/2006/main" r="U196" s="23" t="str">
        <f t="shared" si="6"/>
        <v/>
      </c>
      <c xmlns="http://schemas.openxmlformats.org/spreadsheetml/2006/main" r="V196" s="22" t="str">
        <f t="shared" si="7"/>
        <v/>
      </c>
      <c xmlns="http://schemas.openxmlformats.org/spreadsheetml/2006/main" r="W196" s="18" t="str">
        <f t="shared" si="8"/>
        <v/>
      </c>
      <c r="X196" s="22"/>
      <c r="Y196" s="22"/>
      <c xmlns="http://schemas.openxmlformats.org/spreadsheetml/2006/main" r="Z196">
        <f>IF($D196="",0,IF(COUNTIF($D$5:$D196,$D196)=1,1,0))</f>
        <v>0.0</v>
      </c>
      <c xmlns="http://schemas.openxmlformats.org/spreadsheetml/2006/main" r="AA196" t="str">
        <f>IF(Z196=1,SUM($Z$5:$Z196),"")</f>
        <v/>
      </c>
    </row>
    <row r="197" spans="1:27">
      <c r="A197" s="22"/>
      <c r="B197" s="22"/>
      <c r="C197" s="22"/>
      <c r="D197" s="22"/>
      <c r="E197" s="22"/>
      <c r="F197" s="23"/>
      <c r="G197" s="23"/>
      <c r="H197" s="24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6"/>
      <c xmlns="http://schemas.openxmlformats.org/spreadsheetml/2006/main" r="U197" s="23" t="str">
        <f t="shared" ref="U197:U260" si="9">IF($E197="","",COUNTIF($I197:$S197,"V"))</f>
        <v/>
      </c>
      <c xmlns="http://schemas.openxmlformats.org/spreadsheetml/2006/main" r="V197" s="22" t="str">
        <f t="shared" ref="V197:V260" si="10">IF($E197="","",IF(AND($T197="V",$U197&gt;0),"⚠ 勾選矛盾",IF($T197="V","○ 免調理",IF($U197=0,"⚠ 資料缺漏",IF($U197=1,"▲ 單一設備依賴","OK")))))</f>
        <v/>
      </c>
      <c xmlns="http://schemas.openxmlformats.org/spreadsheetml/2006/main" r="W197" s="18" t="str">
        <f t="shared" ref="W197:W260" si="11">IF($E197="","",IF(AND($T197="V",$U197&gt;0),"「無使用調理設備」不可與設備欄同時勾選，請擇一修正",IF($T197="V","免調理半成品（外購/僅切配等），不列入設備風險評估",IF($U197=0,"未勾選任何設備，請補填或勾選「無使用調理設備」",IF($U197=1,"僅依賴1台設備，須確認故障/排修時之備援製程","無異常")))))</f>
        <v/>
      </c>
      <c r="X197" s="22"/>
      <c r="Y197" s="22"/>
      <c xmlns="http://schemas.openxmlformats.org/spreadsheetml/2006/main" r="Z197">
        <f>IF($D197="",0,IF(COUNTIF($D$5:$D197,$D197)=1,1,0))</f>
        <v>0.0</v>
      </c>
      <c xmlns="http://schemas.openxmlformats.org/spreadsheetml/2006/main" r="AA197" t="str">
        <f>IF(Z197=1,SUM($Z$5:$Z197),"")</f>
        <v/>
      </c>
    </row>
    <row r="198" spans="1:27">
      <c r="A198" s="22"/>
      <c r="B198" s="22"/>
      <c r="C198" s="22"/>
      <c r="D198" s="22"/>
      <c r="E198" s="22"/>
      <c r="F198" s="23"/>
      <c r="G198" s="23"/>
      <c r="H198" s="24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6"/>
      <c xmlns="http://schemas.openxmlformats.org/spreadsheetml/2006/main" r="U198" s="23" t="str">
        <f t="shared" si="9"/>
        <v/>
      </c>
      <c xmlns="http://schemas.openxmlformats.org/spreadsheetml/2006/main" r="V198" s="22" t="str">
        <f t="shared" si="10"/>
        <v/>
      </c>
      <c xmlns="http://schemas.openxmlformats.org/spreadsheetml/2006/main" r="W198" s="18" t="str">
        <f t="shared" si="11"/>
        <v/>
      </c>
      <c r="X198" s="22"/>
      <c r="Y198" s="22"/>
      <c xmlns="http://schemas.openxmlformats.org/spreadsheetml/2006/main" r="Z198">
        <f>IF($D198="",0,IF(COUNTIF($D$5:$D198,$D198)=1,1,0))</f>
        <v>0.0</v>
      </c>
      <c xmlns="http://schemas.openxmlformats.org/spreadsheetml/2006/main" r="AA198" t="str">
        <f>IF(Z198=1,SUM($Z$5:$Z198),"")</f>
        <v/>
      </c>
    </row>
    <row r="199" spans="1:27">
      <c r="A199" s="22"/>
      <c r="B199" s="22"/>
      <c r="C199" s="22"/>
      <c r="D199" s="22"/>
      <c r="E199" s="22"/>
      <c r="F199" s="23"/>
      <c r="G199" s="23"/>
      <c r="H199" s="24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6"/>
      <c xmlns="http://schemas.openxmlformats.org/spreadsheetml/2006/main" r="U199" s="23" t="str">
        <f t="shared" si="9"/>
        <v/>
      </c>
      <c xmlns="http://schemas.openxmlformats.org/spreadsheetml/2006/main" r="V199" s="22" t="str">
        <f t="shared" si="10"/>
        <v/>
      </c>
      <c xmlns="http://schemas.openxmlformats.org/spreadsheetml/2006/main" r="W199" s="18" t="str">
        <f t="shared" si="11"/>
        <v/>
      </c>
      <c r="X199" s="22"/>
      <c r="Y199" s="22"/>
      <c xmlns="http://schemas.openxmlformats.org/spreadsheetml/2006/main" r="Z199">
        <f>IF($D199="",0,IF(COUNTIF($D$5:$D199,$D199)=1,1,0))</f>
        <v>0.0</v>
      </c>
      <c xmlns="http://schemas.openxmlformats.org/spreadsheetml/2006/main" r="AA199" t="str">
        <f>IF(Z199=1,SUM($Z$5:$Z199),"")</f>
        <v/>
      </c>
    </row>
    <row r="200" spans="1:27">
      <c r="A200" s="22"/>
      <c r="B200" s="22"/>
      <c r="C200" s="22"/>
      <c r="D200" s="22"/>
      <c r="E200" s="22"/>
      <c r="F200" s="23"/>
      <c r="G200" s="23"/>
      <c r="H200" s="24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6"/>
      <c xmlns="http://schemas.openxmlformats.org/spreadsheetml/2006/main" r="U200" s="23" t="str">
        <f t="shared" si="9"/>
        <v/>
      </c>
      <c xmlns="http://schemas.openxmlformats.org/spreadsheetml/2006/main" r="V200" s="22" t="str">
        <f t="shared" si="10"/>
        <v/>
      </c>
      <c xmlns="http://schemas.openxmlformats.org/spreadsheetml/2006/main" r="W200" s="18" t="str">
        <f t="shared" si="11"/>
        <v/>
      </c>
      <c r="X200" s="22"/>
      <c r="Y200" s="22"/>
      <c xmlns="http://schemas.openxmlformats.org/spreadsheetml/2006/main" r="Z200">
        <f>IF($D200="",0,IF(COUNTIF($D$5:$D200,$D200)=1,1,0))</f>
        <v>0.0</v>
      </c>
      <c xmlns="http://schemas.openxmlformats.org/spreadsheetml/2006/main" r="AA200" t="str">
        <f>IF(Z200=1,SUM($Z$5:$Z200),"")</f>
        <v/>
      </c>
    </row>
    <row r="201" spans="1:27">
      <c r="A201" s="22"/>
      <c r="B201" s="22"/>
      <c r="C201" s="22"/>
      <c r="D201" s="22"/>
      <c r="E201" s="22"/>
      <c r="F201" s="23"/>
      <c r="G201" s="23"/>
      <c r="H201" s="24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6"/>
      <c xmlns="http://schemas.openxmlformats.org/spreadsheetml/2006/main" r="U201" s="23" t="str">
        <f t="shared" si="9"/>
        <v/>
      </c>
      <c xmlns="http://schemas.openxmlformats.org/spreadsheetml/2006/main" r="V201" s="22" t="str">
        <f t="shared" si="10"/>
        <v/>
      </c>
      <c xmlns="http://schemas.openxmlformats.org/spreadsheetml/2006/main" r="W201" s="18" t="str">
        <f t="shared" si="11"/>
        <v/>
      </c>
      <c r="X201" s="22"/>
      <c r="Y201" s="22"/>
      <c xmlns="http://schemas.openxmlformats.org/spreadsheetml/2006/main" r="Z201">
        <f>IF($D201="",0,IF(COUNTIF($D$5:$D201,$D201)=1,1,0))</f>
        <v>0.0</v>
      </c>
      <c xmlns="http://schemas.openxmlformats.org/spreadsheetml/2006/main" r="AA201" t="str">
        <f>IF(Z201=1,SUM($Z$5:$Z201),"")</f>
        <v/>
      </c>
    </row>
    <row r="202" spans="1:27">
      <c r="A202" s="22"/>
      <c r="B202" s="22"/>
      <c r="C202" s="22"/>
      <c r="D202" s="22"/>
      <c r="E202" s="22"/>
      <c r="F202" s="23"/>
      <c r="G202" s="23"/>
      <c r="H202" s="24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6"/>
      <c xmlns="http://schemas.openxmlformats.org/spreadsheetml/2006/main" r="U202" s="23" t="str">
        <f t="shared" si="9"/>
        <v/>
      </c>
      <c xmlns="http://schemas.openxmlformats.org/spreadsheetml/2006/main" r="V202" s="22" t="str">
        <f t="shared" si="10"/>
        <v/>
      </c>
      <c xmlns="http://schemas.openxmlformats.org/spreadsheetml/2006/main" r="W202" s="18" t="str">
        <f t="shared" si="11"/>
        <v/>
      </c>
      <c r="X202" s="22"/>
      <c r="Y202" s="22"/>
      <c xmlns="http://schemas.openxmlformats.org/spreadsheetml/2006/main" r="Z202">
        <f>IF($D202="",0,IF(COUNTIF($D$5:$D202,$D202)=1,1,0))</f>
        <v>0.0</v>
      </c>
      <c xmlns="http://schemas.openxmlformats.org/spreadsheetml/2006/main" r="AA202" t="str">
        <f>IF(Z202=1,SUM($Z$5:$Z202),"")</f>
        <v/>
      </c>
    </row>
    <row r="203" spans="1:27">
      <c r="A203" s="22"/>
      <c r="B203" s="22"/>
      <c r="C203" s="22"/>
      <c r="D203" s="22"/>
      <c r="E203" s="22"/>
      <c r="F203" s="23"/>
      <c r="G203" s="23"/>
      <c r="H203" s="24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6"/>
      <c xmlns="http://schemas.openxmlformats.org/spreadsheetml/2006/main" r="U203" s="23" t="str">
        <f t="shared" si="9"/>
        <v/>
      </c>
      <c xmlns="http://schemas.openxmlformats.org/spreadsheetml/2006/main" r="V203" s="22" t="str">
        <f t="shared" si="10"/>
        <v/>
      </c>
      <c xmlns="http://schemas.openxmlformats.org/spreadsheetml/2006/main" r="W203" s="18" t="str">
        <f t="shared" si="11"/>
        <v/>
      </c>
      <c r="X203" s="22"/>
      <c r="Y203" s="22"/>
      <c xmlns="http://schemas.openxmlformats.org/spreadsheetml/2006/main" r="Z203">
        <f>IF($D203="",0,IF(COUNTIF($D$5:$D203,$D203)=1,1,0))</f>
        <v>0.0</v>
      </c>
      <c xmlns="http://schemas.openxmlformats.org/spreadsheetml/2006/main" r="AA203" t="str">
        <f>IF(Z203=1,SUM($Z$5:$Z203),"")</f>
        <v/>
      </c>
    </row>
    <row r="204" spans="1:27">
      <c r="A204" s="22"/>
      <c r="B204" s="22"/>
      <c r="C204" s="22"/>
      <c r="D204" s="22"/>
      <c r="E204" s="22"/>
      <c r="F204" s="23"/>
      <c r="G204" s="23"/>
      <c r="H204" s="24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6"/>
      <c xmlns="http://schemas.openxmlformats.org/spreadsheetml/2006/main" r="U204" s="23" t="str">
        <f t="shared" si="9"/>
        <v/>
      </c>
      <c xmlns="http://schemas.openxmlformats.org/spreadsheetml/2006/main" r="V204" s="22" t="str">
        <f t="shared" si="10"/>
        <v/>
      </c>
      <c xmlns="http://schemas.openxmlformats.org/spreadsheetml/2006/main" r="W204" s="18" t="str">
        <f t="shared" si="11"/>
        <v/>
      </c>
      <c r="X204" s="22"/>
      <c r="Y204" s="22"/>
      <c xmlns="http://schemas.openxmlformats.org/spreadsheetml/2006/main" r="Z204">
        <f>IF($D204="",0,IF(COUNTIF($D$5:$D204,$D204)=1,1,0))</f>
        <v>0.0</v>
      </c>
      <c xmlns="http://schemas.openxmlformats.org/spreadsheetml/2006/main" r="AA204" t="str">
        <f>IF(Z204=1,SUM($Z$5:$Z204),"")</f>
        <v/>
      </c>
    </row>
    <row r="205" spans="1:27">
      <c r="A205" s="22"/>
      <c r="B205" s="22"/>
      <c r="C205" s="22"/>
      <c r="D205" s="22"/>
      <c r="E205" s="22"/>
      <c r="F205" s="23"/>
      <c r="G205" s="23"/>
      <c r="H205" s="24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6"/>
      <c xmlns="http://schemas.openxmlformats.org/spreadsheetml/2006/main" r="U205" s="23" t="str">
        <f t="shared" si="9"/>
        <v/>
      </c>
      <c xmlns="http://schemas.openxmlformats.org/spreadsheetml/2006/main" r="V205" s="22" t="str">
        <f t="shared" si="10"/>
        <v/>
      </c>
      <c xmlns="http://schemas.openxmlformats.org/spreadsheetml/2006/main" r="W205" s="18" t="str">
        <f t="shared" si="11"/>
        <v/>
      </c>
      <c r="X205" s="22"/>
      <c r="Y205" s="22"/>
      <c xmlns="http://schemas.openxmlformats.org/spreadsheetml/2006/main" r="Z205">
        <f>IF($D205="",0,IF(COUNTIF($D$5:$D205,$D205)=1,1,0))</f>
        <v>0.0</v>
      </c>
      <c xmlns="http://schemas.openxmlformats.org/spreadsheetml/2006/main" r="AA205" t="str">
        <f>IF(Z205=1,SUM($Z$5:$Z205),"")</f>
        <v/>
      </c>
    </row>
    <row r="206" spans="1:27">
      <c r="A206" s="22"/>
      <c r="B206" s="22"/>
      <c r="C206" s="22"/>
      <c r="D206" s="22"/>
      <c r="E206" s="22"/>
      <c r="F206" s="23"/>
      <c r="G206" s="23"/>
      <c r="H206" s="24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6"/>
      <c xmlns="http://schemas.openxmlformats.org/spreadsheetml/2006/main" r="U206" s="23" t="str">
        <f t="shared" si="9"/>
        <v/>
      </c>
      <c xmlns="http://schemas.openxmlformats.org/spreadsheetml/2006/main" r="V206" s="22" t="str">
        <f t="shared" si="10"/>
        <v/>
      </c>
      <c xmlns="http://schemas.openxmlformats.org/spreadsheetml/2006/main" r="W206" s="18" t="str">
        <f t="shared" si="11"/>
        <v/>
      </c>
      <c r="X206" s="22"/>
      <c r="Y206" s="22"/>
      <c xmlns="http://schemas.openxmlformats.org/spreadsheetml/2006/main" r="Z206">
        <f>IF($D206="",0,IF(COUNTIF($D$5:$D206,$D206)=1,1,0))</f>
        <v>0.0</v>
      </c>
      <c xmlns="http://schemas.openxmlformats.org/spreadsheetml/2006/main" r="AA206" t="str">
        <f>IF(Z206=1,SUM($Z$5:$Z206),"")</f>
        <v/>
      </c>
    </row>
    <row r="207" spans="1:27">
      <c r="A207" s="22"/>
      <c r="B207" s="22"/>
      <c r="C207" s="22"/>
      <c r="D207" s="22"/>
      <c r="E207" s="22"/>
      <c r="F207" s="23"/>
      <c r="G207" s="23"/>
      <c r="H207" s="24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6"/>
      <c xmlns="http://schemas.openxmlformats.org/spreadsheetml/2006/main" r="U207" s="23" t="str">
        <f t="shared" si="9"/>
        <v/>
      </c>
      <c xmlns="http://schemas.openxmlformats.org/spreadsheetml/2006/main" r="V207" s="22" t="str">
        <f t="shared" si="10"/>
        <v/>
      </c>
      <c xmlns="http://schemas.openxmlformats.org/spreadsheetml/2006/main" r="W207" s="18" t="str">
        <f t="shared" si="11"/>
        <v/>
      </c>
      <c r="X207" s="22"/>
      <c r="Y207" s="22"/>
      <c xmlns="http://schemas.openxmlformats.org/spreadsheetml/2006/main" r="Z207">
        <f>IF($D207="",0,IF(COUNTIF($D$5:$D207,$D207)=1,1,0))</f>
        <v>0.0</v>
      </c>
      <c xmlns="http://schemas.openxmlformats.org/spreadsheetml/2006/main" r="AA207" t="str">
        <f>IF(Z207=1,SUM($Z$5:$Z207),"")</f>
        <v/>
      </c>
    </row>
    <row r="208" spans="1:27">
      <c r="A208" s="22"/>
      <c r="B208" s="22"/>
      <c r="C208" s="22"/>
      <c r="D208" s="22"/>
      <c r="E208" s="22"/>
      <c r="F208" s="23"/>
      <c r="G208" s="23"/>
      <c r="H208" s="24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6"/>
      <c xmlns="http://schemas.openxmlformats.org/spreadsheetml/2006/main" r="U208" s="23" t="str">
        <f t="shared" si="9"/>
        <v/>
      </c>
      <c xmlns="http://schemas.openxmlformats.org/spreadsheetml/2006/main" r="V208" s="22" t="str">
        <f t="shared" si="10"/>
        <v/>
      </c>
      <c xmlns="http://schemas.openxmlformats.org/spreadsheetml/2006/main" r="W208" s="18" t="str">
        <f t="shared" si="11"/>
        <v/>
      </c>
      <c r="X208" s="22"/>
      <c r="Y208" s="22"/>
      <c xmlns="http://schemas.openxmlformats.org/spreadsheetml/2006/main" r="Z208">
        <f>IF($D208="",0,IF(COUNTIF($D$5:$D208,$D208)=1,1,0))</f>
        <v>0.0</v>
      </c>
      <c xmlns="http://schemas.openxmlformats.org/spreadsheetml/2006/main" r="AA208" t="str">
        <f>IF(Z208=1,SUM($Z$5:$Z208),"")</f>
        <v/>
      </c>
    </row>
    <row r="209" spans="1:27">
      <c r="A209" s="22"/>
      <c r="B209" s="22"/>
      <c r="C209" s="22"/>
      <c r="D209" s="22"/>
      <c r="E209" s="22"/>
      <c r="F209" s="23"/>
      <c r="G209" s="23"/>
      <c r="H209" s="24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6"/>
      <c xmlns="http://schemas.openxmlformats.org/spreadsheetml/2006/main" r="U209" s="23" t="str">
        <f t="shared" si="9"/>
        <v/>
      </c>
      <c xmlns="http://schemas.openxmlformats.org/spreadsheetml/2006/main" r="V209" s="22" t="str">
        <f t="shared" si="10"/>
        <v/>
      </c>
      <c xmlns="http://schemas.openxmlformats.org/spreadsheetml/2006/main" r="W209" s="18" t="str">
        <f t="shared" si="11"/>
        <v/>
      </c>
      <c r="X209" s="22"/>
      <c r="Y209" s="22"/>
      <c xmlns="http://schemas.openxmlformats.org/spreadsheetml/2006/main" r="Z209">
        <f>IF($D209="",0,IF(COUNTIF($D$5:$D209,$D209)=1,1,0))</f>
        <v>0.0</v>
      </c>
      <c xmlns="http://schemas.openxmlformats.org/spreadsheetml/2006/main" r="AA209" t="str">
        <f>IF(Z209=1,SUM($Z$5:$Z209),"")</f>
        <v/>
      </c>
    </row>
    <row r="210" spans="1:27">
      <c r="A210" s="22"/>
      <c r="B210" s="22"/>
      <c r="C210" s="22"/>
      <c r="D210" s="22"/>
      <c r="E210" s="22"/>
      <c r="F210" s="23"/>
      <c r="G210" s="23"/>
      <c r="H210" s="24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6"/>
      <c xmlns="http://schemas.openxmlformats.org/spreadsheetml/2006/main" r="U210" s="23" t="str">
        <f t="shared" si="9"/>
        <v/>
      </c>
      <c xmlns="http://schemas.openxmlformats.org/spreadsheetml/2006/main" r="V210" s="22" t="str">
        <f t="shared" si="10"/>
        <v/>
      </c>
      <c xmlns="http://schemas.openxmlformats.org/spreadsheetml/2006/main" r="W210" s="18" t="str">
        <f t="shared" si="11"/>
        <v/>
      </c>
      <c r="X210" s="22"/>
      <c r="Y210" s="22"/>
      <c xmlns="http://schemas.openxmlformats.org/spreadsheetml/2006/main" r="Z210">
        <f>IF($D210="",0,IF(COUNTIF($D$5:$D210,$D210)=1,1,0))</f>
        <v>0.0</v>
      </c>
      <c xmlns="http://schemas.openxmlformats.org/spreadsheetml/2006/main" r="AA210" t="str">
        <f>IF(Z210=1,SUM($Z$5:$Z210),"")</f>
        <v/>
      </c>
    </row>
    <row r="211" spans="1:27">
      <c r="A211" s="22"/>
      <c r="B211" s="22"/>
      <c r="C211" s="22"/>
      <c r="D211" s="22"/>
      <c r="E211" s="22"/>
      <c r="F211" s="23"/>
      <c r="G211" s="23"/>
      <c r="H211" s="24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6"/>
      <c xmlns="http://schemas.openxmlformats.org/spreadsheetml/2006/main" r="U211" s="23" t="str">
        <f t="shared" si="9"/>
        <v/>
      </c>
      <c xmlns="http://schemas.openxmlformats.org/spreadsheetml/2006/main" r="V211" s="22" t="str">
        <f t="shared" si="10"/>
        <v/>
      </c>
      <c xmlns="http://schemas.openxmlformats.org/spreadsheetml/2006/main" r="W211" s="18" t="str">
        <f t="shared" si="11"/>
        <v/>
      </c>
      <c r="X211" s="22"/>
      <c r="Y211" s="22"/>
      <c xmlns="http://schemas.openxmlformats.org/spreadsheetml/2006/main" r="Z211">
        <f>IF($D211="",0,IF(COUNTIF($D$5:$D211,$D211)=1,1,0))</f>
        <v>0.0</v>
      </c>
      <c xmlns="http://schemas.openxmlformats.org/spreadsheetml/2006/main" r="AA211" t="str">
        <f>IF(Z211=1,SUM($Z$5:$Z211),"")</f>
        <v/>
      </c>
    </row>
    <row r="212" spans="1:27">
      <c r="A212" s="22"/>
      <c r="B212" s="22"/>
      <c r="C212" s="22"/>
      <c r="D212" s="22"/>
      <c r="E212" s="22"/>
      <c r="F212" s="23"/>
      <c r="G212" s="23"/>
      <c r="H212" s="24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6"/>
      <c xmlns="http://schemas.openxmlformats.org/spreadsheetml/2006/main" r="U212" s="23" t="str">
        <f t="shared" si="9"/>
        <v/>
      </c>
      <c xmlns="http://schemas.openxmlformats.org/spreadsheetml/2006/main" r="V212" s="22" t="str">
        <f t="shared" si="10"/>
        <v/>
      </c>
      <c xmlns="http://schemas.openxmlformats.org/spreadsheetml/2006/main" r="W212" s="18" t="str">
        <f t="shared" si="11"/>
        <v/>
      </c>
      <c r="X212" s="22"/>
      <c r="Y212" s="22"/>
      <c xmlns="http://schemas.openxmlformats.org/spreadsheetml/2006/main" r="Z212">
        <f>IF($D212="",0,IF(COUNTIF($D$5:$D212,$D212)=1,1,0))</f>
        <v>0.0</v>
      </c>
      <c xmlns="http://schemas.openxmlformats.org/spreadsheetml/2006/main" r="AA212" t="str">
        <f>IF(Z212=1,SUM($Z$5:$Z212),"")</f>
        <v/>
      </c>
    </row>
    <row r="213" spans="1:27">
      <c r="A213" s="22"/>
      <c r="B213" s="22"/>
      <c r="C213" s="22"/>
      <c r="D213" s="22"/>
      <c r="E213" s="22"/>
      <c r="F213" s="23"/>
      <c r="G213" s="23"/>
      <c r="H213" s="24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6"/>
      <c xmlns="http://schemas.openxmlformats.org/spreadsheetml/2006/main" r="U213" s="23" t="str">
        <f t="shared" si="9"/>
        <v/>
      </c>
      <c xmlns="http://schemas.openxmlformats.org/spreadsheetml/2006/main" r="V213" s="22" t="str">
        <f t="shared" si="10"/>
        <v/>
      </c>
      <c xmlns="http://schemas.openxmlformats.org/spreadsheetml/2006/main" r="W213" s="18" t="str">
        <f t="shared" si="11"/>
        <v/>
      </c>
      <c r="X213" s="22"/>
      <c r="Y213" s="22"/>
      <c xmlns="http://schemas.openxmlformats.org/spreadsheetml/2006/main" r="Z213">
        <f>IF($D213="",0,IF(COUNTIF($D$5:$D213,$D213)=1,1,0))</f>
        <v>0.0</v>
      </c>
      <c xmlns="http://schemas.openxmlformats.org/spreadsheetml/2006/main" r="AA213" t="str">
        <f>IF(Z213=1,SUM($Z$5:$Z213),"")</f>
        <v/>
      </c>
    </row>
    <row r="214" spans="1:27">
      <c r="A214" s="22"/>
      <c r="B214" s="22"/>
      <c r="C214" s="22"/>
      <c r="D214" s="22"/>
      <c r="E214" s="22"/>
      <c r="F214" s="23"/>
      <c r="G214" s="23"/>
      <c r="H214" s="24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6"/>
      <c xmlns="http://schemas.openxmlformats.org/spreadsheetml/2006/main" r="U214" s="23" t="str">
        <f t="shared" si="9"/>
        <v/>
      </c>
      <c xmlns="http://schemas.openxmlformats.org/spreadsheetml/2006/main" r="V214" s="22" t="str">
        <f t="shared" si="10"/>
        <v/>
      </c>
      <c xmlns="http://schemas.openxmlformats.org/spreadsheetml/2006/main" r="W214" s="18" t="str">
        <f t="shared" si="11"/>
        <v/>
      </c>
      <c r="X214" s="22"/>
      <c r="Y214" s="22"/>
      <c xmlns="http://schemas.openxmlformats.org/spreadsheetml/2006/main" r="Z214">
        <f>IF($D214="",0,IF(COUNTIF($D$5:$D214,$D214)=1,1,0))</f>
        <v>0.0</v>
      </c>
      <c xmlns="http://schemas.openxmlformats.org/spreadsheetml/2006/main" r="AA214" t="str">
        <f>IF(Z214=1,SUM($Z$5:$Z214),"")</f>
        <v/>
      </c>
    </row>
    <row r="215" spans="1:27">
      <c r="A215" s="22"/>
      <c r="B215" s="22"/>
      <c r="C215" s="22"/>
      <c r="D215" s="22"/>
      <c r="E215" s="22"/>
      <c r="F215" s="23"/>
      <c r="G215" s="23"/>
      <c r="H215" s="24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6"/>
      <c xmlns="http://schemas.openxmlformats.org/spreadsheetml/2006/main" r="U215" s="23" t="str">
        <f t="shared" si="9"/>
        <v/>
      </c>
      <c xmlns="http://schemas.openxmlformats.org/spreadsheetml/2006/main" r="V215" s="22" t="str">
        <f t="shared" si="10"/>
        <v/>
      </c>
      <c xmlns="http://schemas.openxmlformats.org/spreadsheetml/2006/main" r="W215" s="18" t="str">
        <f t="shared" si="11"/>
        <v/>
      </c>
      <c r="X215" s="22"/>
      <c r="Y215" s="22"/>
      <c xmlns="http://schemas.openxmlformats.org/spreadsheetml/2006/main" r="Z215">
        <f>IF($D215="",0,IF(COUNTIF($D$5:$D215,$D215)=1,1,0))</f>
        <v>0.0</v>
      </c>
      <c xmlns="http://schemas.openxmlformats.org/spreadsheetml/2006/main" r="AA215" t="str">
        <f>IF(Z215=1,SUM($Z$5:$Z215),"")</f>
        <v/>
      </c>
    </row>
    <row r="216" spans="1:27">
      <c r="A216" s="22"/>
      <c r="B216" s="22"/>
      <c r="C216" s="22"/>
      <c r="D216" s="22"/>
      <c r="E216" s="22"/>
      <c r="F216" s="23"/>
      <c r="G216" s="23"/>
      <c r="H216" s="24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6"/>
      <c xmlns="http://schemas.openxmlformats.org/spreadsheetml/2006/main" r="U216" s="23" t="str">
        <f t="shared" si="9"/>
        <v/>
      </c>
      <c xmlns="http://schemas.openxmlformats.org/spreadsheetml/2006/main" r="V216" s="22" t="str">
        <f t="shared" si="10"/>
        <v/>
      </c>
      <c xmlns="http://schemas.openxmlformats.org/spreadsheetml/2006/main" r="W216" s="18" t="str">
        <f t="shared" si="11"/>
        <v/>
      </c>
      <c r="X216" s="22"/>
      <c r="Y216" s="22"/>
      <c xmlns="http://schemas.openxmlformats.org/spreadsheetml/2006/main" r="Z216">
        <f>IF($D216="",0,IF(COUNTIF($D$5:$D216,$D216)=1,1,0))</f>
        <v>0.0</v>
      </c>
      <c xmlns="http://schemas.openxmlformats.org/spreadsheetml/2006/main" r="AA216" t="str">
        <f>IF(Z216=1,SUM($Z$5:$Z216),"")</f>
        <v/>
      </c>
    </row>
    <row r="217" spans="1:27">
      <c r="A217" s="22"/>
      <c r="B217" s="22"/>
      <c r="C217" s="22"/>
      <c r="D217" s="22"/>
      <c r="E217" s="22"/>
      <c r="F217" s="23"/>
      <c r="G217" s="23"/>
      <c r="H217" s="24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6"/>
      <c xmlns="http://schemas.openxmlformats.org/spreadsheetml/2006/main" r="U217" s="23" t="str">
        <f t="shared" si="9"/>
        <v/>
      </c>
      <c xmlns="http://schemas.openxmlformats.org/spreadsheetml/2006/main" r="V217" s="22" t="str">
        <f t="shared" si="10"/>
        <v/>
      </c>
      <c xmlns="http://schemas.openxmlformats.org/spreadsheetml/2006/main" r="W217" s="18" t="str">
        <f t="shared" si="11"/>
        <v/>
      </c>
      <c r="X217" s="22"/>
      <c r="Y217" s="22"/>
      <c xmlns="http://schemas.openxmlformats.org/spreadsheetml/2006/main" r="Z217">
        <f>IF($D217="",0,IF(COUNTIF($D$5:$D217,$D217)=1,1,0))</f>
        <v>0.0</v>
      </c>
      <c xmlns="http://schemas.openxmlformats.org/spreadsheetml/2006/main" r="AA217" t="str">
        <f>IF(Z217=1,SUM($Z$5:$Z217),"")</f>
        <v/>
      </c>
    </row>
    <row r="218" spans="1:27">
      <c r="A218" s="22"/>
      <c r="B218" s="22"/>
      <c r="C218" s="22"/>
      <c r="D218" s="22"/>
      <c r="E218" s="22"/>
      <c r="F218" s="23"/>
      <c r="G218" s="23"/>
      <c r="H218" s="24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6"/>
      <c xmlns="http://schemas.openxmlformats.org/spreadsheetml/2006/main" r="U218" s="23" t="str">
        <f t="shared" si="9"/>
        <v/>
      </c>
      <c xmlns="http://schemas.openxmlformats.org/spreadsheetml/2006/main" r="V218" s="22" t="str">
        <f t="shared" si="10"/>
        <v/>
      </c>
      <c xmlns="http://schemas.openxmlformats.org/spreadsheetml/2006/main" r="W218" s="18" t="str">
        <f t="shared" si="11"/>
        <v/>
      </c>
      <c r="X218" s="22"/>
      <c r="Y218" s="22"/>
      <c xmlns="http://schemas.openxmlformats.org/spreadsheetml/2006/main" r="Z218">
        <f>IF($D218="",0,IF(COUNTIF($D$5:$D218,$D218)=1,1,0))</f>
        <v>0.0</v>
      </c>
      <c xmlns="http://schemas.openxmlformats.org/spreadsheetml/2006/main" r="AA218" t="str">
        <f>IF(Z218=1,SUM($Z$5:$Z218),"")</f>
        <v/>
      </c>
    </row>
    <row r="219" spans="1:27">
      <c r="A219" s="22"/>
      <c r="B219" s="22"/>
      <c r="C219" s="22"/>
      <c r="D219" s="22"/>
      <c r="E219" s="22"/>
      <c r="F219" s="23"/>
      <c r="G219" s="23"/>
      <c r="H219" s="24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6"/>
      <c xmlns="http://schemas.openxmlformats.org/spreadsheetml/2006/main" r="U219" s="23" t="str">
        <f t="shared" si="9"/>
        <v/>
      </c>
      <c xmlns="http://schemas.openxmlformats.org/spreadsheetml/2006/main" r="V219" s="22" t="str">
        <f t="shared" si="10"/>
        <v/>
      </c>
      <c xmlns="http://schemas.openxmlformats.org/spreadsheetml/2006/main" r="W219" s="18" t="str">
        <f t="shared" si="11"/>
        <v/>
      </c>
      <c r="X219" s="22"/>
      <c r="Y219" s="22"/>
      <c xmlns="http://schemas.openxmlformats.org/spreadsheetml/2006/main" r="Z219">
        <f>IF($D219="",0,IF(COUNTIF($D$5:$D219,$D219)=1,1,0))</f>
        <v>0.0</v>
      </c>
      <c xmlns="http://schemas.openxmlformats.org/spreadsheetml/2006/main" r="AA219" t="str">
        <f>IF(Z219=1,SUM($Z$5:$Z219),"")</f>
        <v/>
      </c>
    </row>
    <row r="220" spans="1:27">
      <c r="A220" s="22"/>
      <c r="B220" s="22"/>
      <c r="C220" s="22"/>
      <c r="D220" s="22"/>
      <c r="E220" s="22"/>
      <c r="F220" s="23"/>
      <c r="G220" s="23"/>
      <c r="H220" s="24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6"/>
      <c xmlns="http://schemas.openxmlformats.org/spreadsheetml/2006/main" r="U220" s="23" t="str">
        <f t="shared" si="9"/>
        <v/>
      </c>
      <c xmlns="http://schemas.openxmlformats.org/spreadsheetml/2006/main" r="V220" s="22" t="str">
        <f t="shared" si="10"/>
        <v/>
      </c>
      <c xmlns="http://schemas.openxmlformats.org/spreadsheetml/2006/main" r="W220" s="18" t="str">
        <f t="shared" si="11"/>
        <v/>
      </c>
      <c r="X220" s="22"/>
      <c r="Y220" s="22"/>
      <c xmlns="http://schemas.openxmlformats.org/spreadsheetml/2006/main" r="Z220">
        <f>IF($D220="",0,IF(COUNTIF($D$5:$D220,$D220)=1,1,0))</f>
        <v>0.0</v>
      </c>
      <c xmlns="http://schemas.openxmlformats.org/spreadsheetml/2006/main" r="AA220" t="str">
        <f>IF(Z220=1,SUM($Z$5:$Z220),"")</f>
        <v/>
      </c>
    </row>
    <row r="221" spans="1:27">
      <c r="A221" s="22"/>
      <c r="B221" s="22"/>
      <c r="C221" s="22"/>
      <c r="D221" s="22"/>
      <c r="E221" s="22"/>
      <c r="F221" s="23"/>
      <c r="G221" s="23"/>
      <c r="H221" s="24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6"/>
      <c xmlns="http://schemas.openxmlformats.org/spreadsheetml/2006/main" r="U221" s="23" t="str">
        <f t="shared" si="9"/>
        <v/>
      </c>
      <c xmlns="http://schemas.openxmlformats.org/spreadsheetml/2006/main" r="V221" s="22" t="str">
        <f t="shared" si="10"/>
        <v/>
      </c>
      <c xmlns="http://schemas.openxmlformats.org/spreadsheetml/2006/main" r="W221" s="18" t="str">
        <f t="shared" si="11"/>
        <v/>
      </c>
      <c r="X221" s="22"/>
      <c r="Y221" s="22"/>
      <c xmlns="http://schemas.openxmlformats.org/spreadsheetml/2006/main" r="Z221">
        <f>IF($D221="",0,IF(COUNTIF($D$5:$D221,$D221)=1,1,0))</f>
        <v>0.0</v>
      </c>
      <c xmlns="http://schemas.openxmlformats.org/spreadsheetml/2006/main" r="AA221" t="str">
        <f>IF(Z221=1,SUM($Z$5:$Z221),"")</f>
        <v/>
      </c>
    </row>
    <row r="222" spans="1:27">
      <c r="A222" s="22"/>
      <c r="B222" s="22"/>
      <c r="C222" s="22"/>
      <c r="D222" s="22"/>
      <c r="E222" s="22"/>
      <c r="F222" s="23"/>
      <c r="G222" s="23"/>
      <c r="H222" s="24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6"/>
      <c xmlns="http://schemas.openxmlformats.org/spreadsheetml/2006/main" r="U222" s="23" t="str">
        <f t="shared" si="9"/>
        <v/>
      </c>
      <c xmlns="http://schemas.openxmlformats.org/spreadsheetml/2006/main" r="V222" s="22" t="str">
        <f t="shared" si="10"/>
        <v/>
      </c>
      <c xmlns="http://schemas.openxmlformats.org/spreadsheetml/2006/main" r="W222" s="18" t="str">
        <f t="shared" si="11"/>
        <v/>
      </c>
      <c r="X222" s="22"/>
      <c r="Y222" s="22"/>
      <c xmlns="http://schemas.openxmlformats.org/spreadsheetml/2006/main" r="Z222">
        <f>IF($D222="",0,IF(COUNTIF($D$5:$D222,$D222)=1,1,0))</f>
        <v>0.0</v>
      </c>
      <c xmlns="http://schemas.openxmlformats.org/spreadsheetml/2006/main" r="AA222" t="str">
        <f>IF(Z222=1,SUM($Z$5:$Z222),"")</f>
        <v/>
      </c>
    </row>
    <row r="223" spans="1:27">
      <c r="A223" s="22"/>
      <c r="B223" s="22"/>
      <c r="C223" s="22"/>
      <c r="D223" s="22"/>
      <c r="E223" s="22"/>
      <c r="F223" s="23"/>
      <c r="G223" s="23"/>
      <c r="H223" s="24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6"/>
      <c xmlns="http://schemas.openxmlformats.org/spreadsheetml/2006/main" r="U223" s="23" t="str">
        <f t="shared" si="9"/>
        <v/>
      </c>
      <c xmlns="http://schemas.openxmlformats.org/spreadsheetml/2006/main" r="V223" s="22" t="str">
        <f t="shared" si="10"/>
        <v/>
      </c>
      <c xmlns="http://schemas.openxmlformats.org/spreadsheetml/2006/main" r="W223" s="18" t="str">
        <f t="shared" si="11"/>
        <v/>
      </c>
      <c r="X223" s="22"/>
      <c r="Y223" s="22"/>
      <c xmlns="http://schemas.openxmlformats.org/spreadsheetml/2006/main" r="Z223">
        <f>IF($D223="",0,IF(COUNTIF($D$5:$D223,$D223)=1,1,0))</f>
        <v>0.0</v>
      </c>
      <c xmlns="http://schemas.openxmlformats.org/spreadsheetml/2006/main" r="AA223" t="str">
        <f>IF(Z223=1,SUM($Z$5:$Z223),"")</f>
        <v/>
      </c>
    </row>
    <row r="224" spans="1:27">
      <c r="A224" s="22"/>
      <c r="B224" s="22"/>
      <c r="C224" s="22"/>
      <c r="D224" s="22"/>
      <c r="E224" s="22"/>
      <c r="F224" s="23"/>
      <c r="G224" s="23"/>
      <c r="H224" s="24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6"/>
      <c xmlns="http://schemas.openxmlformats.org/spreadsheetml/2006/main" r="U224" s="23" t="str">
        <f t="shared" si="9"/>
        <v/>
      </c>
      <c xmlns="http://schemas.openxmlformats.org/spreadsheetml/2006/main" r="V224" s="22" t="str">
        <f t="shared" si="10"/>
        <v/>
      </c>
      <c xmlns="http://schemas.openxmlformats.org/spreadsheetml/2006/main" r="W224" s="18" t="str">
        <f t="shared" si="11"/>
        <v/>
      </c>
      <c r="X224" s="22"/>
      <c r="Y224" s="22"/>
      <c xmlns="http://schemas.openxmlformats.org/spreadsheetml/2006/main" r="Z224">
        <f>IF($D224="",0,IF(COUNTIF($D$5:$D224,$D224)=1,1,0))</f>
        <v>0.0</v>
      </c>
      <c xmlns="http://schemas.openxmlformats.org/spreadsheetml/2006/main" r="AA224" t="str">
        <f>IF(Z224=1,SUM($Z$5:$Z224),"")</f>
        <v/>
      </c>
    </row>
    <row r="225" spans="1:27">
      <c r="A225" s="22"/>
      <c r="B225" s="22"/>
      <c r="C225" s="22"/>
      <c r="D225" s="22"/>
      <c r="E225" s="22"/>
      <c r="F225" s="23"/>
      <c r="G225" s="23"/>
      <c r="H225" s="24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6"/>
      <c xmlns="http://schemas.openxmlformats.org/spreadsheetml/2006/main" r="U225" s="23" t="str">
        <f t="shared" si="9"/>
        <v/>
      </c>
      <c xmlns="http://schemas.openxmlformats.org/spreadsheetml/2006/main" r="V225" s="22" t="str">
        <f t="shared" si="10"/>
        <v/>
      </c>
      <c xmlns="http://schemas.openxmlformats.org/spreadsheetml/2006/main" r="W225" s="18" t="str">
        <f t="shared" si="11"/>
        <v/>
      </c>
      <c r="X225" s="22"/>
      <c r="Y225" s="22"/>
      <c xmlns="http://schemas.openxmlformats.org/spreadsheetml/2006/main" r="Z225">
        <f>IF($D225="",0,IF(COUNTIF($D$5:$D225,$D225)=1,1,0))</f>
        <v>0.0</v>
      </c>
      <c xmlns="http://schemas.openxmlformats.org/spreadsheetml/2006/main" r="AA225" t="str">
        <f>IF(Z225=1,SUM($Z$5:$Z225),"")</f>
        <v/>
      </c>
    </row>
    <row r="226" spans="1:27">
      <c r="A226" s="22"/>
      <c r="B226" s="22"/>
      <c r="C226" s="22"/>
      <c r="D226" s="22"/>
      <c r="E226" s="22"/>
      <c r="F226" s="23"/>
      <c r="G226" s="23"/>
      <c r="H226" s="24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6"/>
      <c xmlns="http://schemas.openxmlformats.org/spreadsheetml/2006/main" r="U226" s="23" t="str">
        <f t="shared" si="9"/>
        <v/>
      </c>
      <c xmlns="http://schemas.openxmlformats.org/spreadsheetml/2006/main" r="V226" s="22" t="str">
        <f t="shared" si="10"/>
        <v/>
      </c>
      <c xmlns="http://schemas.openxmlformats.org/spreadsheetml/2006/main" r="W226" s="18" t="str">
        <f t="shared" si="11"/>
        <v/>
      </c>
      <c r="X226" s="22"/>
      <c r="Y226" s="22"/>
      <c xmlns="http://schemas.openxmlformats.org/spreadsheetml/2006/main" r="Z226">
        <f>IF($D226="",0,IF(COUNTIF($D$5:$D226,$D226)=1,1,0))</f>
        <v>0.0</v>
      </c>
      <c xmlns="http://schemas.openxmlformats.org/spreadsheetml/2006/main" r="AA226" t="str">
        <f>IF(Z226=1,SUM($Z$5:$Z226),"")</f>
        <v/>
      </c>
    </row>
    <row r="227" spans="1:27">
      <c r="A227" s="22"/>
      <c r="B227" s="22"/>
      <c r="C227" s="22"/>
      <c r="D227" s="22"/>
      <c r="E227" s="22"/>
      <c r="F227" s="23"/>
      <c r="G227" s="23"/>
      <c r="H227" s="24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6"/>
      <c xmlns="http://schemas.openxmlformats.org/spreadsheetml/2006/main" r="U227" s="23" t="str">
        <f t="shared" si="9"/>
        <v/>
      </c>
      <c xmlns="http://schemas.openxmlformats.org/spreadsheetml/2006/main" r="V227" s="22" t="str">
        <f t="shared" si="10"/>
        <v/>
      </c>
      <c xmlns="http://schemas.openxmlformats.org/spreadsheetml/2006/main" r="W227" s="18" t="str">
        <f t="shared" si="11"/>
        <v/>
      </c>
      <c r="X227" s="22"/>
      <c r="Y227" s="22"/>
      <c xmlns="http://schemas.openxmlformats.org/spreadsheetml/2006/main" r="Z227">
        <f>IF($D227="",0,IF(COUNTIF($D$5:$D227,$D227)=1,1,0))</f>
        <v>0.0</v>
      </c>
      <c xmlns="http://schemas.openxmlformats.org/spreadsheetml/2006/main" r="AA227" t="str">
        <f>IF(Z227=1,SUM($Z$5:$Z227),"")</f>
        <v/>
      </c>
    </row>
    <row r="228" spans="1:27">
      <c r="A228" s="22"/>
      <c r="B228" s="22"/>
      <c r="C228" s="22"/>
      <c r="D228" s="22"/>
      <c r="E228" s="22"/>
      <c r="F228" s="23"/>
      <c r="G228" s="23"/>
      <c r="H228" s="24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6"/>
      <c xmlns="http://schemas.openxmlformats.org/spreadsheetml/2006/main" r="U228" s="23" t="str">
        <f t="shared" si="9"/>
        <v/>
      </c>
      <c xmlns="http://schemas.openxmlformats.org/spreadsheetml/2006/main" r="V228" s="22" t="str">
        <f t="shared" si="10"/>
        <v/>
      </c>
      <c xmlns="http://schemas.openxmlformats.org/spreadsheetml/2006/main" r="W228" s="18" t="str">
        <f t="shared" si="11"/>
        <v/>
      </c>
      <c r="X228" s="22"/>
      <c r="Y228" s="22"/>
      <c xmlns="http://schemas.openxmlformats.org/spreadsheetml/2006/main" r="Z228">
        <f>IF($D228="",0,IF(COUNTIF($D$5:$D228,$D228)=1,1,0))</f>
        <v>0.0</v>
      </c>
      <c xmlns="http://schemas.openxmlformats.org/spreadsheetml/2006/main" r="AA228" t="str">
        <f>IF(Z228=1,SUM($Z$5:$Z228),"")</f>
        <v/>
      </c>
    </row>
    <row r="229" spans="1:27">
      <c r="A229" s="22"/>
      <c r="B229" s="22"/>
      <c r="C229" s="22"/>
      <c r="D229" s="22"/>
      <c r="E229" s="22"/>
      <c r="F229" s="23"/>
      <c r="G229" s="23"/>
      <c r="H229" s="24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6"/>
      <c xmlns="http://schemas.openxmlformats.org/spreadsheetml/2006/main" r="U229" s="23" t="str">
        <f t="shared" si="9"/>
        <v/>
      </c>
      <c xmlns="http://schemas.openxmlformats.org/spreadsheetml/2006/main" r="V229" s="22" t="str">
        <f t="shared" si="10"/>
        <v/>
      </c>
      <c xmlns="http://schemas.openxmlformats.org/spreadsheetml/2006/main" r="W229" s="18" t="str">
        <f t="shared" si="11"/>
        <v/>
      </c>
      <c r="X229" s="22"/>
      <c r="Y229" s="22"/>
      <c xmlns="http://schemas.openxmlformats.org/spreadsheetml/2006/main" r="Z229">
        <f>IF($D229="",0,IF(COUNTIF($D$5:$D229,$D229)=1,1,0))</f>
        <v>0.0</v>
      </c>
      <c xmlns="http://schemas.openxmlformats.org/spreadsheetml/2006/main" r="AA229" t="str">
        <f>IF(Z229=1,SUM($Z$5:$Z229),"")</f>
        <v/>
      </c>
    </row>
    <row r="230" spans="1:27">
      <c r="A230" s="22"/>
      <c r="B230" s="22"/>
      <c r="C230" s="22"/>
      <c r="D230" s="22"/>
      <c r="E230" s="22"/>
      <c r="F230" s="23"/>
      <c r="G230" s="23"/>
      <c r="H230" s="24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6"/>
      <c xmlns="http://schemas.openxmlformats.org/spreadsheetml/2006/main" r="U230" s="23" t="str">
        <f t="shared" si="9"/>
        <v/>
      </c>
      <c xmlns="http://schemas.openxmlformats.org/spreadsheetml/2006/main" r="V230" s="22" t="str">
        <f t="shared" si="10"/>
        <v/>
      </c>
      <c xmlns="http://schemas.openxmlformats.org/spreadsheetml/2006/main" r="W230" s="18" t="str">
        <f t="shared" si="11"/>
        <v/>
      </c>
      <c r="X230" s="22"/>
      <c r="Y230" s="22"/>
      <c xmlns="http://schemas.openxmlformats.org/spreadsheetml/2006/main" r="Z230">
        <f>IF($D230="",0,IF(COUNTIF($D$5:$D230,$D230)=1,1,0))</f>
        <v>0.0</v>
      </c>
      <c xmlns="http://schemas.openxmlformats.org/spreadsheetml/2006/main" r="AA230" t="str">
        <f>IF(Z230=1,SUM($Z$5:$Z230),"")</f>
        <v/>
      </c>
    </row>
    <row r="231" spans="1:27">
      <c r="A231" s="22"/>
      <c r="B231" s="22"/>
      <c r="C231" s="22"/>
      <c r="D231" s="22"/>
      <c r="E231" s="22"/>
      <c r="F231" s="23"/>
      <c r="G231" s="23"/>
      <c r="H231" s="24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6"/>
      <c xmlns="http://schemas.openxmlformats.org/spreadsheetml/2006/main" r="U231" s="23" t="str">
        <f t="shared" si="9"/>
        <v/>
      </c>
      <c xmlns="http://schemas.openxmlformats.org/spreadsheetml/2006/main" r="V231" s="22" t="str">
        <f t="shared" si="10"/>
        <v/>
      </c>
      <c xmlns="http://schemas.openxmlformats.org/spreadsheetml/2006/main" r="W231" s="18" t="str">
        <f t="shared" si="11"/>
        <v/>
      </c>
      <c r="X231" s="22"/>
      <c r="Y231" s="22"/>
      <c xmlns="http://schemas.openxmlformats.org/spreadsheetml/2006/main" r="Z231">
        <f>IF($D231="",0,IF(COUNTIF($D$5:$D231,$D231)=1,1,0))</f>
        <v>0.0</v>
      </c>
      <c xmlns="http://schemas.openxmlformats.org/spreadsheetml/2006/main" r="AA231" t="str">
        <f>IF(Z231=1,SUM($Z$5:$Z231),"")</f>
        <v/>
      </c>
    </row>
    <row r="232" spans="1:27">
      <c r="A232" s="22"/>
      <c r="B232" s="22"/>
      <c r="C232" s="22"/>
      <c r="D232" s="22"/>
      <c r="E232" s="22"/>
      <c r="F232" s="23"/>
      <c r="G232" s="23"/>
      <c r="H232" s="24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6"/>
      <c xmlns="http://schemas.openxmlformats.org/spreadsheetml/2006/main" r="U232" s="23" t="str">
        <f t="shared" si="9"/>
        <v/>
      </c>
      <c xmlns="http://schemas.openxmlformats.org/spreadsheetml/2006/main" r="V232" s="22" t="str">
        <f t="shared" si="10"/>
        <v/>
      </c>
      <c xmlns="http://schemas.openxmlformats.org/spreadsheetml/2006/main" r="W232" s="18" t="str">
        <f t="shared" si="11"/>
        <v/>
      </c>
      <c r="X232" s="22"/>
      <c r="Y232" s="22"/>
      <c xmlns="http://schemas.openxmlformats.org/spreadsheetml/2006/main" r="Z232">
        <f>IF($D232="",0,IF(COUNTIF($D$5:$D232,$D232)=1,1,0))</f>
        <v>0.0</v>
      </c>
      <c xmlns="http://schemas.openxmlformats.org/spreadsheetml/2006/main" r="AA232" t="str">
        <f>IF(Z232=1,SUM($Z$5:$Z232),"")</f>
        <v/>
      </c>
    </row>
    <row r="233" spans="1:27">
      <c r="A233" s="22"/>
      <c r="B233" s="22"/>
      <c r="C233" s="22"/>
      <c r="D233" s="22"/>
      <c r="E233" s="22"/>
      <c r="F233" s="23"/>
      <c r="G233" s="23"/>
      <c r="H233" s="24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6"/>
      <c xmlns="http://schemas.openxmlformats.org/spreadsheetml/2006/main" r="U233" s="23" t="str">
        <f t="shared" si="9"/>
        <v/>
      </c>
      <c xmlns="http://schemas.openxmlformats.org/spreadsheetml/2006/main" r="V233" s="22" t="str">
        <f t="shared" si="10"/>
        <v/>
      </c>
      <c xmlns="http://schemas.openxmlformats.org/spreadsheetml/2006/main" r="W233" s="18" t="str">
        <f t="shared" si="11"/>
        <v/>
      </c>
      <c r="X233" s="22"/>
      <c r="Y233" s="22"/>
      <c xmlns="http://schemas.openxmlformats.org/spreadsheetml/2006/main" r="Z233">
        <f>IF($D233="",0,IF(COUNTIF($D$5:$D233,$D233)=1,1,0))</f>
        <v>0.0</v>
      </c>
      <c xmlns="http://schemas.openxmlformats.org/spreadsheetml/2006/main" r="AA233" t="str">
        <f>IF(Z233=1,SUM($Z$5:$Z233),"")</f>
        <v/>
      </c>
    </row>
    <row r="234" spans="1:27">
      <c r="A234" s="22"/>
      <c r="B234" s="22"/>
      <c r="C234" s="22"/>
      <c r="D234" s="22"/>
      <c r="E234" s="22"/>
      <c r="F234" s="23"/>
      <c r="G234" s="23"/>
      <c r="H234" s="24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6"/>
      <c xmlns="http://schemas.openxmlformats.org/spreadsheetml/2006/main" r="U234" s="23" t="str">
        <f t="shared" si="9"/>
        <v/>
      </c>
      <c xmlns="http://schemas.openxmlformats.org/spreadsheetml/2006/main" r="V234" s="22" t="str">
        <f t="shared" si="10"/>
        <v/>
      </c>
      <c xmlns="http://schemas.openxmlformats.org/spreadsheetml/2006/main" r="W234" s="18" t="str">
        <f t="shared" si="11"/>
        <v/>
      </c>
      <c r="X234" s="22"/>
      <c r="Y234" s="22"/>
      <c xmlns="http://schemas.openxmlformats.org/spreadsheetml/2006/main" r="Z234">
        <f>IF($D234="",0,IF(COUNTIF($D$5:$D234,$D234)=1,1,0))</f>
        <v>0.0</v>
      </c>
      <c xmlns="http://schemas.openxmlformats.org/spreadsheetml/2006/main" r="AA234" t="str">
        <f>IF(Z234=1,SUM($Z$5:$Z234),"")</f>
        <v/>
      </c>
    </row>
    <row r="235" spans="1:27">
      <c r="A235" s="22"/>
      <c r="B235" s="22"/>
      <c r="C235" s="22"/>
      <c r="D235" s="22"/>
      <c r="E235" s="22"/>
      <c r="F235" s="23"/>
      <c r="G235" s="23"/>
      <c r="H235" s="24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6"/>
      <c xmlns="http://schemas.openxmlformats.org/spreadsheetml/2006/main" r="U235" s="23" t="str">
        <f t="shared" si="9"/>
        <v/>
      </c>
      <c xmlns="http://schemas.openxmlformats.org/spreadsheetml/2006/main" r="V235" s="22" t="str">
        <f t="shared" si="10"/>
        <v/>
      </c>
      <c xmlns="http://schemas.openxmlformats.org/spreadsheetml/2006/main" r="W235" s="18" t="str">
        <f t="shared" si="11"/>
        <v/>
      </c>
      <c r="X235" s="22"/>
      <c r="Y235" s="22"/>
      <c xmlns="http://schemas.openxmlformats.org/spreadsheetml/2006/main" r="Z235">
        <f>IF($D235="",0,IF(COUNTIF($D$5:$D235,$D235)=1,1,0))</f>
        <v>0.0</v>
      </c>
      <c xmlns="http://schemas.openxmlformats.org/spreadsheetml/2006/main" r="AA235" t="str">
        <f>IF(Z235=1,SUM($Z$5:$Z235),"")</f>
        <v/>
      </c>
    </row>
    <row r="236" spans="1:27">
      <c r="A236" s="22"/>
      <c r="B236" s="22"/>
      <c r="C236" s="22"/>
      <c r="D236" s="22"/>
      <c r="E236" s="22"/>
      <c r="F236" s="23"/>
      <c r="G236" s="23"/>
      <c r="H236" s="24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6"/>
      <c xmlns="http://schemas.openxmlformats.org/spreadsheetml/2006/main" r="U236" s="23" t="str">
        <f t="shared" si="9"/>
        <v/>
      </c>
      <c xmlns="http://schemas.openxmlformats.org/spreadsheetml/2006/main" r="V236" s="22" t="str">
        <f t="shared" si="10"/>
        <v/>
      </c>
      <c xmlns="http://schemas.openxmlformats.org/spreadsheetml/2006/main" r="W236" s="18" t="str">
        <f t="shared" si="11"/>
        <v/>
      </c>
      <c r="X236" s="22"/>
      <c r="Y236" s="22"/>
      <c xmlns="http://schemas.openxmlformats.org/spreadsheetml/2006/main" r="Z236">
        <f>IF($D236="",0,IF(COUNTIF($D$5:$D236,$D236)=1,1,0))</f>
        <v>0.0</v>
      </c>
      <c xmlns="http://schemas.openxmlformats.org/spreadsheetml/2006/main" r="AA236" t="str">
        <f>IF(Z236=1,SUM($Z$5:$Z236),"")</f>
        <v/>
      </c>
    </row>
    <row r="237" spans="1:27">
      <c r="A237" s="22"/>
      <c r="B237" s="22"/>
      <c r="C237" s="22"/>
      <c r="D237" s="22"/>
      <c r="E237" s="22"/>
      <c r="F237" s="23"/>
      <c r="G237" s="23"/>
      <c r="H237" s="24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6"/>
      <c xmlns="http://schemas.openxmlformats.org/spreadsheetml/2006/main" r="U237" s="23" t="str">
        <f t="shared" si="9"/>
        <v/>
      </c>
      <c xmlns="http://schemas.openxmlformats.org/spreadsheetml/2006/main" r="V237" s="22" t="str">
        <f t="shared" si="10"/>
        <v/>
      </c>
      <c xmlns="http://schemas.openxmlformats.org/spreadsheetml/2006/main" r="W237" s="18" t="str">
        <f t="shared" si="11"/>
        <v/>
      </c>
      <c r="X237" s="22"/>
      <c r="Y237" s="22"/>
      <c xmlns="http://schemas.openxmlformats.org/spreadsheetml/2006/main" r="Z237">
        <f>IF($D237="",0,IF(COUNTIF($D$5:$D237,$D237)=1,1,0))</f>
        <v>0.0</v>
      </c>
      <c xmlns="http://schemas.openxmlformats.org/spreadsheetml/2006/main" r="AA237" t="str">
        <f>IF(Z237=1,SUM($Z$5:$Z237),"")</f>
        <v/>
      </c>
    </row>
    <row r="238" spans="1:27">
      <c r="A238" s="22"/>
      <c r="B238" s="22"/>
      <c r="C238" s="22"/>
      <c r="D238" s="22"/>
      <c r="E238" s="22"/>
      <c r="F238" s="23"/>
      <c r="G238" s="23"/>
      <c r="H238" s="24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6"/>
      <c xmlns="http://schemas.openxmlformats.org/spreadsheetml/2006/main" r="U238" s="23" t="str">
        <f t="shared" si="9"/>
        <v/>
      </c>
      <c xmlns="http://schemas.openxmlformats.org/spreadsheetml/2006/main" r="V238" s="22" t="str">
        <f t="shared" si="10"/>
        <v/>
      </c>
      <c xmlns="http://schemas.openxmlformats.org/spreadsheetml/2006/main" r="W238" s="18" t="str">
        <f t="shared" si="11"/>
        <v/>
      </c>
      <c r="X238" s="22"/>
      <c r="Y238" s="22"/>
      <c xmlns="http://schemas.openxmlformats.org/spreadsheetml/2006/main" r="Z238">
        <f>IF($D238="",0,IF(COUNTIF($D$5:$D238,$D238)=1,1,0))</f>
        <v>0.0</v>
      </c>
      <c xmlns="http://schemas.openxmlformats.org/spreadsheetml/2006/main" r="AA238" t="str">
        <f>IF(Z238=1,SUM($Z$5:$Z238),"")</f>
        <v/>
      </c>
    </row>
    <row r="239" spans="1:27">
      <c r="A239" s="22"/>
      <c r="B239" s="22"/>
      <c r="C239" s="22"/>
      <c r="D239" s="22"/>
      <c r="E239" s="22"/>
      <c r="F239" s="23"/>
      <c r="G239" s="23"/>
      <c r="H239" s="24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6"/>
      <c xmlns="http://schemas.openxmlformats.org/spreadsheetml/2006/main" r="U239" s="23" t="str">
        <f t="shared" si="9"/>
        <v/>
      </c>
      <c xmlns="http://schemas.openxmlformats.org/spreadsheetml/2006/main" r="V239" s="22" t="str">
        <f t="shared" si="10"/>
        <v/>
      </c>
      <c xmlns="http://schemas.openxmlformats.org/spreadsheetml/2006/main" r="W239" s="18" t="str">
        <f t="shared" si="11"/>
        <v/>
      </c>
      <c r="X239" s="22"/>
      <c r="Y239" s="22"/>
      <c xmlns="http://schemas.openxmlformats.org/spreadsheetml/2006/main" r="Z239">
        <f>IF($D239="",0,IF(COUNTIF($D$5:$D239,$D239)=1,1,0))</f>
        <v>0.0</v>
      </c>
      <c xmlns="http://schemas.openxmlformats.org/spreadsheetml/2006/main" r="AA239" t="str">
        <f>IF(Z239=1,SUM($Z$5:$Z239),"")</f>
        <v/>
      </c>
    </row>
    <row r="240" spans="1:27">
      <c r="A240" s="22"/>
      <c r="B240" s="22"/>
      <c r="C240" s="22"/>
      <c r="D240" s="22"/>
      <c r="E240" s="22"/>
      <c r="F240" s="23"/>
      <c r="G240" s="23"/>
      <c r="H240" s="24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6"/>
      <c xmlns="http://schemas.openxmlformats.org/spreadsheetml/2006/main" r="U240" s="23" t="str">
        <f t="shared" si="9"/>
        <v/>
      </c>
      <c xmlns="http://schemas.openxmlformats.org/spreadsheetml/2006/main" r="V240" s="22" t="str">
        <f t="shared" si="10"/>
        <v/>
      </c>
      <c xmlns="http://schemas.openxmlformats.org/spreadsheetml/2006/main" r="W240" s="18" t="str">
        <f t="shared" si="11"/>
        <v/>
      </c>
      <c r="X240" s="22"/>
      <c r="Y240" s="22"/>
      <c xmlns="http://schemas.openxmlformats.org/spreadsheetml/2006/main" r="Z240">
        <f>IF($D240="",0,IF(COUNTIF($D$5:$D240,$D240)=1,1,0))</f>
        <v>0.0</v>
      </c>
      <c xmlns="http://schemas.openxmlformats.org/spreadsheetml/2006/main" r="AA240" t="str">
        <f>IF(Z240=1,SUM($Z$5:$Z240),"")</f>
        <v/>
      </c>
    </row>
    <row r="241" spans="1:27">
      <c r="A241" s="22"/>
      <c r="B241" s="22"/>
      <c r="C241" s="22"/>
      <c r="D241" s="22"/>
      <c r="E241" s="22"/>
      <c r="F241" s="23"/>
      <c r="G241" s="23"/>
      <c r="H241" s="24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6"/>
      <c xmlns="http://schemas.openxmlformats.org/spreadsheetml/2006/main" r="U241" s="23" t="str">
        <f t="shared" si="9"/>
        <v/>
      </c>
      <c xmlns="http://schemas.openxmlformats.org/spreadsheetml/2006/main" r="V241" s="22" t="str">
        <f t="shared" si="10"/>
        <v/>
      </c>
      <c xmlns="http://schemas.openxmlformats.org/spreadsheetml/2006/main" r="W241" s="18" t="str">
        <f t="shared" si="11"/>
        <v/>
      </c>
      <c r="X241" s="22"/>
      <c r="Y241" s="22"/>
      <c xmlns="http://schemas.openxmlformats.org/spreadsheetml/2006/main" r="Z241">
        <f>IF($D241="",0,IF(COUNTIF($D$5:$D241,$D241)=1,1,0))</f>
        <v>0.0</v>
      </c>
      <c xmlns="http://schemas.openxmlformats.org/spreadsheetml/2006/main" r="AA241" t="str">
        <f>IF(Z241=1,SUM($Z$5:$Z241),"")</f>
        <v/>
      </c>
    </row>
    <row r="242" spans="1:27">
      <c r="A242" s="22"/>
      <c r="B242" s="22"/>
      <c r="C242" s="22"/>
      <c r="D242" s="22"/>
      <c r="E242" s="22"/>
      <c r="F242" s="23"/>
      <c r="G242" s="23"/>
      <c r="H242" s="24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6"/>
      <c xmlns="http://schemas.openxmlformats.org/spreadsheetml/2006/main" r="U242" s="23" t="str">
        <f t="shared" si="9"/>
        <v/>
      </c>
      <c xmlns="http://schemas.openxmlformats.org/spreadsheetml/2006/main" r="V242" s="22" t="str">
        <f t="shared" si="10"/>
        <v/>
      </c>
      <c xmlns="http://schemas.openxmlformats.org/spreadsheetml/2006/main" r="W242" s="18" t="str">
        <f t="shared" si="11"/>
        <v/>
      </c>
      <c r="X242" s="22"/>
      <c r="Y242" s="22"/>
      <c xmlns="http://schemas.openxmlformats.org/spreadsheetml/2006/main" r="Z242">
        <f>IF($D242="",0,IF(COUNTIF($D$5:$D242,$D242)=1,1,0))</f>
        <v>0.0</v>
      </c>
      <c xmlns="http://schemas.openxmlformats.org/spreadsheetml/2006/main" r="AA242" t="str">
        <f>IF(Z242=1,SUM($Z$5:$Z242),"")</f>
        <v/>
      </c>
    </row>
    <row r="243" spans="1:27">
      <c r="A243" s="22"/>
      <c r="B243" s="22"/>
      <c r="C243" s="22"/>
      <c r="D243" s="22"/>
      <c r="E243" s="22"/>
      <c r="F243" s="23"/>
      <c r="G243" s="23"/>
      <c r="H243" s="24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6"/>
      <c xmlns="http://schemas.openxmlformats.org/spreadsheetml/2006/main" r="U243" s="23" t="str">
        <f t="shared" si="9"/>
        <v/>
      </c>
      <c xmlns="http://schemas.openxmlformats.org/spreadsheetml/2006/main" r="V243" s="22" t="str">
        <f t="shared" si="10"/>
        <v/>
      </c>
      <c xmlns="http://schemas.openxmlformats.org/spreadsheetml/2006/main" r="W243" s="18" t="str">
        <f t="shared" si="11"/>
        <v/>
      </c>
      <c r="X243" s="22"/>
      <c r="Y243" s="22"/>
      <c xmlns="http://schemas.openxmlformats.org/spreadsheetml/2006/main" r="Z243">
        <f>IF($D243="",0,IF(COUNTIF($D$5:$D243,$D243)=1,1,0))</f>
        <v>0.0</v>
      </c>
      <c xmlns="http://schemas.openxmlformats.org/spreadsheetml/2006/main" r="AA243" t="str">
        <f>IF(Z243=1,SUM($Z$5:$Z243),"")</f>
        <v/>
      </c>
    </row>
    <row r="244" spans="1:27">
      <c r="A244" s="22"/>
      <c r="B244" s="22"/>
      <c r="C244" s="22"/>
      <c r="D244" s="22"/>
      <c r="E244" s="22"/>
      <c r="F244" s="23"/>
      <c r="G244" s="23"/>
      <c r="H244" s="24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6"/>
      <c xmlns="http://schemas.openxmlformats.org/spreadsheetml/2006/main" r="U244" s="23" t="str">
        <f t="shared" si="9"/>
        <v/>
      </c>
      <c xmlns="http://schemas.openxmlformats.org/spreadsheetml/2006/main" r="V244" s="22" t="str">
        <f t="shared" si="10"/>
        <v/>
      </c>
      <c xmlns="http://schemas.openxmlformats.org/spreadsheetml/2006/main" r="W244" s="18" t="str">
        <f t="shared" si="11"/>
        <v/>
      </c>
      <c r="X244" s="22"/>
      <c r="Y244" s="22"/>
      <c xmlns="http://schemas.openxmlformats.org/spreadsheetml/2006/main" r="Z244">
        <f>IF($D244="",0,IF(COUNTIF($D$5:$D244,$D244)=1,1,0))</f>
        <v>0.0</v>
      </c>
      <c xmlns="http://schemas.openxmlformats.org/spreadsheetml/2006/main" r="AA244" t="str">
        <f>IF(Z244=1,SUM($Z$5:$Z244),"")</f>
        <v/>
      </c>
    </row>
    <row r="245" spans="1:27">
      <c r="A245" s="22"/>
      <c r="B245" s="22"/>
      <c r="C245" s="22"/>
      <c r="D245" s="22"/>
      <c r="E245" s="22"/>
      <c r="F245" s="23"/>
      <c r="G245" s="23"/>
      <c r="H245" s="24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6"/>
      <c xmlns="http://schemas.openxmlformats.org/spreadsheetml/2006/main" r="U245" s="23" t="str">
        <f t="shared" si="9"/>
        <v/>
      </c>
      <c xmlns="http://schemas.openxmlformats.org/spreadsheetml/2006/main" r="V245" s="22" t="str">
        <f t="shared" si="10"/>
        <v/>
      </c>
      <c xmlns="http://schemas.openxmlformats.org/spreadsheetml/2006/main" r="W245" s="18" t="str">
        <f t="shared" si="11"/>
        <v/>
      </c>
      <c r="X245" s="22"/>
      <c r="Y245" s="22"/>
      <c xmlns="http://schemas.openxmlformats.org/spreadsheetml/2006/main" r="Z245">
        <f>IF($D245="",0,IF(COUNTIF($D$5:$D245,$D245)=1,1,0))</f>
        <v>0.0</v>
      </c>
      <c xmlns="http://schemas.openxmlformats.org/spreadsheetml/2006/main" r="AA245" t="str">
        <f>IF(Z245=1,SUM($Z$5:$Z245),"")</f>
        <v/>
      </c>
    </row>
    <row r="246" spans="1:27">
      <c r="A246" s="22"/>
      <c r="B246" s="22"/>
      <c r="C246" s="22"/>
      <c r="D246" s="22"/>
      <c r="E246" s="22"/>
      <c r="F246" s="23"/>
      <c r="G246" s="23"/>
      <c r="H246" s="24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6"/>
      <c xmlns="http://schemas.openxmlformats.org/spreadsheetml/2006/main" r="U246" s="23" t="str">
        <f t="shared" si="9"/>
        <v/>
      </c>
      <c xmlns="http://schemas.openxmlformats.org/spreadsheetml/2006/main" r="V246" s="22" t="str">
        <f t="shared" si="10"/>
        <v/>
      </c>
      <c xmlns="http://schemas.openxmlformats.org/spreadsheetml/2006/main" r="W246" s="18" t="str">
        <f t="shared" si="11"/>
        <v/>
      </c>
      <c r="X246" s="22"/>
      <c r="Y246" s="22"/>
      <c xmlns="http://schemas.openxmlformats.org/spreadsheetml/2006/main" r="Z246">
        <f>IF($D246="",0,IF(COUNTIF($D$5:$D246,$D246)=1,1,0))</f>
        <v>0.0</v>
      </c>
      <c xmlns="http://schemas.openxmlformats.org/spreadsheetml/2006/main" r="AA246" t="str">
        <f>IF(Z246=1,SUM($Z$5:$Z246),"")</f>
        <v/>
      </c>
    </row>
    <row r="247" spans="1:27">
      <c r="A247" s="22"/>
      <c r="B247" s="22"/>
      <c r="C247" s="22"/>
      <c r="D247" s="22"/>
      <c r="E247" s="22"/>
      <c r="F247" s="23"/>
      <c r="G247" s="23"/>
      <c r="H247" s="24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6"/>
      <c xmlns="http://schemas.openxmlformats.org/spreadsheetml/2006/main" r="U247" s="23" t="str">
        <f t="shared" si="9"/>
        <v/>
      </c>
      <c xmlns="http://schemas.openxmlformats.org/spreadsheetml/2006/main" r="V247" s="22" t="str">
        <f t="shared" si="10"/>
        <v/>
      </c>
      <c xmlns="http://schemas.openxmlformats.org/spreadsheetml/2006/main" r="W247" s="18" t="str">
        <f t="shared" si="11"/>
        <v/>
      </c>
      <c r="X247" s="22"/>
      <c r="Y247" s="22"/>
      <c xmlns="http://schemas.openxmlformats.org/spreadsheetml/2006/main" r="Z247">
        <f>IF($D247="",0,IF(COUNTIF($D$5:$D247,$D247)=1,1,0))</f>
        <v>0.0</v>
      </c>
      <c xmlns="http://schemas.openxmlformats.org/spreadsheetml/2006/main" r="AA247" t="str">
        <f>IF(Z247=1,SUM($Z$5:$Z247),"")</f>
        <v/>
      </c>
    </row>
    <row r="248" spans="1:27">
      <c r="A248" s="22"/>
      <c r="B248" s="22"/>
      <c r="C248" s="22"/>
      <c r="D248" s="22"/>
      <c r="E248" s="22"/>
      <c r="F248" s="23"/>
      <c r="G248" s="23"/>
      <c r="H248" s="24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6"/>
      <c xmlns="http://schemas.openxmlformats.org/spreadsheetml/2006/main" r="U248" s="23" t="str">
        <f t="shared" si="9"/>
        <v/>
      </c>
      <c xmlns="http://schemas.openxmlformats.org/spreadsheetml/2006/main" r="V248" s="22" t="str">
        <f t="shared" si="10"/>
        <v/>
      </c>
      <c xmlns="http://schemas.openxmlformats.org/spreadsheetml/2006/main" r="W248" s="18" t="str">
        <f t="shared" si="11"/>
        <v/>
      </c>
      <c r="X248" s="22"/>
      <c r="Y248" s="22"/>
      <c xmlns="http://schemas.openxmlformats.org/spreadsheetml/2006/main" r="Z248">
        <f>IF($D248="",0,IF(COUNTIF($D$5:$D248,$D248)=1,1,0))</f>
        <v>0.0</v>
      </c>
      <c xmlns="http://schemas.openxmlformats.org/spreadsheetml/2006/main" r="AA248" t="str">
        <f>IF(Z248=1,SUM($Z$5:$Z248),"")</f>
        <v/>
      </c>
    </row>
    <row r="249" spans="1:27">
      <c r="A249" s="22"/>
      <c r="B249" s="22"/>
      <c r="C249" s="22"/>
      <c r="D249" s="22"/>
      <c r="E249" s="22"/>
      <c r="F249" s="23"/>
      <c r="G249" s="23"/>
      <c r="H249" s="24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6"/>
      <c xmlns="http://schemas.openxmlformats.org/spreadsheetml/2006/main" r="U249" s="23" t="str">
        <f t="shared" si="9"/>
        <v/>
      </c>
      <c xmlns="http://schemas.openxmlformats.org/spreadsheetml/2006/main" r="V249" s="22" t="str">
        <f t="shared" si="10"/>
        <v/>
      </c>
      <c xmlns="http://schemas.openxmlformats.org/spreadsheetml/2006/main" r="W249" s="18" t="str">
        <f t="shared" si="11"/>
        <v/>
      </c>
      <c r="X249" s="22"/>
      <c r="Y249" s="22"/>
      <c xmlns="http://schemas.openxmlformats.org/spreadsheetml/2006/main" r="Z249">
        <f>IF($D249="",0,IF(COUNTIF($D$5:$D249,$D249)=1,1,0))</f>
        <v>0.0</v>
      </c>
      <c xmlns="http://schemas.openxmlformats.org/spreadsheetml/2006/main" r="AA249" t="str">
        <f>IF(Z249=1,SUM($Z$5:$Z249),"")</f>
        <v/>
      </c>
    </row>
    <row r="250" spans="1:27">
      <c r="A250" s="22"/>
      <c r="B250" s="22"/>
      <c r="C250" s="22"/>
      <c r="D250" s="22"/>
      <c r="E250" s="22"/>
      <c r="F250" s="23"/>
      <c r="G250" s="23"/>
      <c r="H250" s="24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6"/>
      <c xmlns="http://schemas.openxmlformats.org/spreadsheetml/2006/main" r="U250" s="23" t="str">
        <f t="shared" si="9"/>
        <v/>
      </c>
      <c xmlns="http://schemas.openxmlformats.org/spreadsheetml/2006/main" r="V250" s="22" t="str">
        <f t="shared" si="10"/>
        <v/>
      </c>
      <c xmlns="http://schemas.openxmlformats.org/spreadsheetml/2006/main" r="W250" s="18" t="str">
        <f t="shared" si="11"/>
        <v/>
      </c>
      <c r="X250" s="22"/>
      <c r="Y250" s="22"/>
      <c xmlns="http://schemas.openxmlformats.org/spreadsheetml/2006/main" r="Z250">
        <f>IF($D250="",0,IF(COUNTIF($D$5:$D250,$D250)=1,1,0))</f>
        <v>0.0</v>
      </c>
      <c xmlns="http://schemas.openxmlformats.org/spreadsheetml/2006/main" r="AA250" t="str">
        <f>IF(Z250=1,SUM($Z$5:$Z250),"")</f>
        <v/>
      </c>
    </row>
    <row r="251" spans="1:27">
      <c r="A251" s="22"/>
      <c r="B251" s="22"/>
      <c r="C251" s="22"/>
      <c r="D251" s="22"/>
      <c r="E251" s="22"/>
      <c r="F251" s="23"/>
      <c r="G251" s="23"/>
      <c r="H251" s="24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6"/>
      <c xmlns="http://schemas.openxmlformats.org/spreadsheetml/2006/main" r="U251" s="23" t="str">
        <f t="shared" si="9"/>
        <v/>
      </c>
      <c xmlns="http://schemas.openxmlformats.org/spreadsheetml/2006/main" r="V251" s="22" t="str">
        <f t="shared" si="10"/>
        <v/>
      </c>
      <c xmlns="http://schemas.openxmlformats.org/spreadsheetml/2006/main" r="W251" s="18" t="str">
        <f t="shared" si="11"/>
        <v/>
      </c>
      <c r="X251" s="22"/>
      <c r="Y251" s="22"/>
      <c xmlns="http://schemas.openxmlformats.org/spreadsheetml/2006/main" r="Z251">
        <f>IF($D251="",0,IF(COUNTIF($D$5:$D251,$D251)=1,1,0))</f>
        <v>0.0</v>
      </c>
      <c xmlns="http://schemas.openxmlformats.org/spreadsheetml/2006/main" r="AA251" t="str">
        <f>IF(Z251=1,SUM($Z$5:$Z251),"")</f>
        <v/>
      </c>
    </row>
    <row r="252" spans="1:27">
      <c r="A252" s="22"/>
      <c r="B252" s="22"/>
      <c r="C252" s="22"/>
      <c r="D252" s="22"/>
      <c r="E252" s="22"/>
      <c r="F252" s="23"/>
      <c r="G252" s="23"/>
      <c r="H252" s="24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6"/>
      <c xmlns="http://schemas.openxmlformats.org/spreadsheetml/2006/main" r="U252" s="23" t="str">
        <f t="shared" si="9"/>
        <v/>
      </c>
      <c xmlns="http://schemas.openxmlformats.org/spreadsheetml/2006/main" r="V252" s="22" t="str">
        <f t="shared" si="10"/>
        <v/>
      </c>
      <c xmlns="http://schemas.openxmlformats.org/spreadsheetml/2006/main" r="W252" s="18" t="str">
        <f t="shared" si="11"/>
        <v/>
      </c>
      <c r="X252" s="22"/>
      <c r="Y252" s="22"/>
      <c xmlns="http://schemas.openxmlformats.org/spreadsheetml/2006/main" r="Z252">
        <f>IF($D252="",0,IF(COUNTIF($D$5:$D252,$D252)=1,1,0))</f>
        <v>0.0</v>
      </c>
      <c xmlns="http://schemas.openxmlformats.org/spreadsheetml/2006/main" r="AA252" t="str">
        <f>IF(Z252=1,SUM($Z$5:$Z252),"")</f>
        <v/>
      </c>
    </row>
    <row r="253" spans="1:27">
      <c r="A253" s="22"/>
      <c r="B253" s="22"/>
      <c r="C253" s="22"/>
      <c r="D253" s="22"/>
      <c r="E253" s="22"/>
      <c r="F253" s="23"/>
      <c r="G253" s="23"/>
      <c r="H253" s="24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6"/>
      <c xmlns="http://schemas.openxmlformats.org/spreadsheetml/2006/main" r="U253" s="23" t="str">
        <f t="shared" si="9"/>
        <v/>
      </c>
      <c xmlns="http://schemas.openxmlformats.org/spreadsheetml/2006/main" r="V253" s="22" t="str">
        <f t="shared" si="10"/>
        <v/>
      </c>
      <c xmlns="http://schemas.openxmlformats.org/spreadsheetml/2006/main" r="W253" s="18" t="str">
        <f t="shared" si="11"/>
        <v/>
      </c>
      <c r="X253" s="22"/>
      <c r="Y253" s="22"/>
      <c xmlns="http://schemas.openxmlformats.org/spreadsheetml/2006/main" r="Z253">
        <f>IF($D253="",0,IF(COUNTIF($D$5:$D253,$D253)=1,1,0))</f>
        <v>0.0</v>
      </c>
      <c xmlns="http://schemas.openxmlformats.org/spreadsheetml/2006/main" r="AA253" t="str">
        <f>IF(Z253=1,SUM($Z$5:$Z253),"")</f>
        <v/>
      </c>
    </row>
    <row r="254" spans="1:27">
      <c r="A254" s="22"/>
      <c r="B254" s="22"/>
      <c r="C254" s="22"/>
      <c r="D254" s="22"/>
      <c r="E254" s="22"/>
      <c r="F254" s="23"/>
      <c r="G254" s="23"/>
      <c r="H254" s="24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6"/>
      <c xmlns="http://schemas.openxmlformats.org/spreadsheetml/2006/main" r="U254" s="23" t="str">
        <f t="shared" si="9"/>
        <v/>
      </c>
      <c xmlns="http://schemas.openxmlformats.org/spreadsheetml/2006/main" r="V254" s="22" t="str">
        <f t="shared" si="10"/>
        <v/>
      </c>
      <c xmlns="http://schemas.openxmlformats.org/spreadsheetml/2006/main" r="W254" s="18" t="str">
        <f t="shared" si="11"/>
        <v/>
      </c>
      <c r="X254" s="22"/>
      <c r="Y254" s="22"/>
      <c xmlns="http://schemas.openxmlformats.org/spreadsheetml/2006/main" r="Z254">
        <f>IF($D254="",0,IF(COUNTIF($D$5:$D254,$D254)=1,1,0))</f>
        <v>0.0</v>
      </c>
      <c xmlns="http://schemas.openxmlformats.org/spreadsheetml/2006/main" r="AA254" t="str">
        <f>IF(Z254=1,SUM($Z$5:$Z254),"")</f>
        <v/>
      </c>
    </row>
    <row r="255" spans="1:27">
      <c r="A255" s="22"/>
      <c r="B255" s="22"/>
      <c r="C255" s="22"/>
      <c r="D255" s="22"/>
      <c r="E255" s="22"/>
      <c r="F255" s="23"/>
      <c r="G255" s="23"/>
      <c r="H255" s="24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6"/>
      <c xmlns="http://schemas.openxmlformats.org/spreadsheetml/2006/main" r="U255" s="23" t="str">
        <f t="shared" si="9"/>
        <v/>
      </c>
      <c xmlns="http://schemas.openxmlformats.org/spreadsheetml/2006/main" r="V255" s="22" t="str">
        <f t="shared" si="10"/>
        <v/>
      </c>
      <c xmlns="http://schemas.openxmlformats.org/spreadsheetml/2006/main" r="W255" s="18" t="str">
        <f t="shared" si="11"/>
        <v/>
      </c>
      <c r="X255" s="22"/>
      <c r="Y255" s="22"/>
      <c xmlns="http://schemas.openxmlformats.org/spreadsheetml/2006/main" r="Z255">
        <f>IF($D255="",0,IF(COUNTIF($D$5:$D255,$D255)=1,1,0))</f>
        <v>0.0</v>
      </c>
      <c xmlns="http://schemas.openxmlformats.org/spreadsheetml/2006/main" r="AA255" t="str">
        <f>IF(Z255=1,SUM($Z$5:$Z255),"")</f>
        <v/>
      </c>
    </row>
    <row r="256" spans="1:27">
      <c r="A256" s="22"/>
      <c r="B256" s="22"/>
      <c r="C256" s="22"/>
      <c r="D256" s="22"/>
      <c r="E256" s="22"/>
      <c r="F256" s="23"/>
      <c r="G256" s="23"/>
      <c r="H256" s="24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6"/>
      <c xmlns="http://schemas.openxmlformats.org/spreadsheetml/2006/main" r="U256" s="23" t="str">
        <f t="shared" si="9"/>
        <v/>
      </c>
      <c xmlns="http://schemas.openxmlformats.org/spreadsheetml/2006/main" r="V256" s="22" t="str">
        <f t="shared" si="10"/>
        <v/>
      </c>
      <c xmlns="http://schemas.openxmlformats.org/spreadsheetml/2006/main" r="W256" s="18" t="str">
        <f t="shared" si="11"/>
        <v/>
      </c>
      <c r="X256" s="22"/>
      <c r="Y256" s="22"/>
      <c xmlns="http://schemas.openxmlformats.org/spreadsheetml/2006/main" r="Z256">
        <f>IF($D256="",0,IF(COUNTIF($D$5:$D256,$D256)=1,1,0))</f>
        <v>0.0</v>
      </c>
      <c xmlns="http://schemas.openxmlformats.org/spreadsheetml/2006/main" r="AA256" t="str">
        <f>IF(Z256=1,SUM($Z$5:$Z256),"")</f>
        <v/>
      </c>
    </row>
    <row r="257" spans="1:27">
      <c r="A257" s="22"/>
      <c r="B257" s="22"/>
      <c r="C257" s="22"/>
      <c r="D257" s="22"/>
      <c r="E257" s="22"/>
      <c r="F257" s="23"/>
      <c r="G257" s="23"/>
      <c r="H257" s="24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6"/>
      <c xmlns="http://schemas.openxmlformats.org/spreadsheetml/2006/main" r="U257" s="23" t="str">
        <f t="shared" si="9"/>
        <v/>
      </c>
      <c xmlns="http://schemas.openxmlformats.org/spreadsheetml/2006/main" r="V257" s="22" t="str">
        <f t="shared" si="10"/>
        <v/>
      </c>
      <c xmlns="http://schemas.openxmlformats.org/spreadsheetml/2006/main" r="W257" s="18" t="str">
        <f t="shared" si="11"/>
        <v/>
      </c>
      <c r="X257" s="22"/>
      <c r="Y257" s="22"/>
      <c xmlns="http://schemas.openxmlformats.org/spreadsheetml/2006/main" r="Z257">
        <f>IF($D257="",0,IF(COUNTIF($D$5:$D257,$D257)=1,1,0))</f>
        <v>0.0</v>
      </c>
      <c xmlns="http://schemas.openxmlformats.org/spreadsheetml/2006/main" r="AA257" t="str">
        <f>IF(Z257=1,SUM($Z$5:$Z257),"")</f>
        <v/>
      </c>
    </row>
    <row r="258" spans="1:27">
      <c r="A258" s="22"/>
      <c r="B258" s="22"/>
      <c r="C258" s="22"/>
      <c r="D258" s="22"/>
      <c r="E258" s="22"/>
      <c r="F258" s="23"/>
      <c r="G258" s="23"/>
      <c r="H258" s="24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6"/>
      <c xmlns="http://schemas.openxmlformats.org/spreadsheetml/2006/main" r="U258" s="23" t="str">
        <f t="shared" si="9"/>
        <v/>
      </c>
      <c xmlns="http://schemas.openxmlformats.org/spreadsheetml/2006/main" r="V258" s="22" t="str">
        <f t="shared" si="10"/>
        <v/>
      </c>
      <c xmlns="http://schemas.openxmlformats.org/spreadsheetml/2006/main" r="W258" s="18" t="str">
        <f t="shared" si="11"/>
        <v/>
      </c>
      <c r="X258" s="22"/>
      <c r="Y258" s="22"/>
      <c xmlns="http://schemas.openxmlformats.org/spreadsheetml/2006/main" r="Z258">
        <f>IF($D258="",0,IF(COUNTIF($D$5:$D258,$D258)=1,1,0))</f>
        <v>0.0</v>
      </c>
      <c xmlns="http://schemas.openxmlformats.org/spreadsheetml/2006/main" r="AA258" t="str">
        <f>IF(Z258=1,SUM($Z$5:$Z258),"")</f>
        <v/>
      </c>
    </row>
    <row r="259" spans="1:27">
      <c r="A259" s="22"/>
      <c r="B259" s="22"/>
      <c r="C259" s="22"/>
      <c r="D259" s="22"/>
      <c r="E259" s="22"/>
      <c r="F259" s="23"/>
      <c r="G259" s="23"/>
      <c r="H259" s="24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6"/>
      <c xmlns="http://schemas.openxmlformats.org/spreadsheetml/2006/main" r="U259" s="23" t="str">
        <f t="shared" si="9"/>
        <v/>
      </c>
      <c xmlns="http://schemas.openxmlformats.org/spreadsheetml/2006/main" r="V259" s="22" t="str">
        <f t="shared" si="10"/>
        <v/>
      </c>
      <c xmlns="http://schemas.openxmlformats.org/spreadsheetml/2006/main" r="W259" s="18" t="str">
        <f t="shared" si="11"/>
        <v/>
      </c>
      <c r="X259" s="22"/>
      <c r="Y259" s="22"/>
      <c xmlns="http://schemas.openxmlformats.org/spreadsheetml/2006/main" r="Z259">
        <f>IF($D259="",0,IF(COUNTIF($D$5:$D259,$D259)=1,1,0))</f>
        <v>0.0</v>
      </c>
      <c xmlns="http://schemas.openxmlformats.org/spreadsheetml/2006/main" r="AA259" t="str">
        <f>IF(Z259=1,SUM($Z$5:$Z259),"")</f>
        <v/>
      </c>
    </row>
    <row r="260" spans="1:27">
      <c r="A260" s="22"/>
      <c r="B260" s="22"/>
      <c r="C260" s="22"/>
      <c r="D260" s="22"/>
      <c r="E260" s="22"/>
      <c r="F260" s="23"/>
      <c r="G260" s="23"/>
      <c r="H260" s="24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6"/>
      <c xmlns="http://schemas.openxmlformats.org/spreadsheetml/2006/main" r="U260" s="23" t="str">
        <f t="shared" si="9"/>
        <v/>
      </c>
      <c xmlns="http://schemas.openxmlformats.org/spreadsheetml/2006/main" r="V260" s="22" t="str">
        <f t="shared" si="10"/>
        <v/>
      </c>
      <c xmlns="http://schemas.openxmlformats.org/spreadsheetml/2006/main" r="W260" s="18" t="str">
        <f t="shared" si="11"/>
        <v/>
      </c>
      <c r="X260" s="22"/>
      <c r="Y260" s="22"/>
      <c xmlns="http://schemas.openxmlformats.org/spreadsheetml/2006/main" r="Z260">
        <f>IF($D260="",0,IF(COUNTIF($D$5:$D260,$D260)=1,1,0))</f>
        <v>0.0</v>
      </c>
      <c xmlns="http://schemas.openxmlformats.org/spreadsheetml/2006/main" r="AA260" t="str">
        <f>IF(Z260=1,SUM($Z$5:$Z260),"")</f>
        <v/>
      </c>
    </row>
    <row r="261" spans="1:27">
      <c r="A261" s="22"/>
      <c r="B261" s="22"/>
      <c r="C261" s="22"/>
      <c r="D261" s="22"/>
      <c r="E261" s="22"/>
      <c r="F261" s="23"/>
      <c r="G261" s="23"/>
      <c r="H261" s="24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6"/>
      <c xmlns="http://schemas.openxmlformats.org/spreadsheetml/2006/main" r="U261" s="23" t="str">
        <f t="shared" ref="U261:U304" si="12">IF($E261="","",COUNTIF($I261:$S261,"V"))</f>
        <v/>
      </c>
      <c xmlns="http://schemas.openxmlformats.org/spreadsheetml/2006/main" r="V261" s="22" t="str">
        <f t="shared" ref="V261:V304" si="13">IF($E261="","",IF(AND($T261="V",$U261&gt;0),"⚠ 勾選矛盾",IF($T261="V","○ 免調理",IF($U261=0,"⚠ 資料缺漏",IF($U261=1,"▲ 單一設備依賴","OK")))))</f>
        <v/>
      </c>
      <c xmlns="http://schemas.openxmlformats.org/spreadsheetml/2006/main" r="W261" s="18" t="str">
        <f t="shared" ref="W261:W304" si="14">IF($E261="","",IF(AND($T261="V",$U261&gt;0),"「無使用調理設備」不可與設備欄同時勾選，請擇一修正",IF($T261="V","免調理半成品（外購/僅切配等），不列入設備風險評估",IF($U261=0,"未勾選任何設備，請補填或勾選「無使用調理設備」",IF($U261=1,"僅依賴1台設備，須確認故障/排修時之備援製程","無異常")))))</f>
        <v/>
      </c>
      <c r="X261" s="22"/>
      <c r="Y261" s="22"/>
      <c xmlns="http://schemas.openxmlformats.org/spreadsheetml/2006/main" r="Z261">
        <f>IF($D261="",0,IF(COUNTIF($D$5:$D261,$D261)=1,1,0))</f>
        <v>0.0</v>
      </c>
      <c xmlns="http://schemas.openxmlformats.org/spreadsheetml/2006/main" r="AA261" t="str">
        <f>IF(Z261=1,SUM($Z$5:$Z261),"")</f>
        <v/>
      </c>
    </row>
    <row r="262" spans="1:27">
      <c r="A262" s="22"/>
      <c r="B262" s="22"/>
      <c r="C262" s="22"/>
      <c r="D262" s="22"/>
      <c r="E262" s="22"/>
      <c r="F262" s="23"/>
      <c r="G262" s="23"/>
      <c r="H262" s="24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6"/>
      <c xmlns="http://schemas.openxmlformats.org/spreadsheetml/2006/main" r="U262" s="23" t="str">
        <f t="shared" si="12"/>
        <v/>
      </c>
      <c xmlns="http://schemas.openxmlformats.org/spreadsheetml/2006/main" r="V262" s="22" t="str">
        <f t="shared" si="13"/>
        <v/>
      </c>
      <c xmlns="http://schemas.openxmlformats.org/spreadsheetml/2006/main" r="W262" s="18" t="str">
        <f t="shared" si="14"/>
        <v/>
      </c>
      <c r="X262" s="22"/>
      <c r="Y262" s="22"/>
      <c xmlns="http://schemas.openxmlformats.org/spreadsheetml/2006/main" r="Z262">
        <f>IF($D262="",0,IF(COUNTIF($D$5:$D262,$D262)=1,1,0))</f>
        <v>0.0</v>
      </c>
      <c xmlns="http://schemas.openxmlformats.org/spreadsheetml/2006/main" r="AA262" t="str">
        <f>IF(Z262=1,SUM($Z$5:$Z262),"")</f>
        <v/>
      </c>
    </row>
    <row r="263" spans="1:27">
      <c r="A263" s="22"/>
      <c r="B263" s="22"/>
      <c r="C263" s="22"/>
      <c r="D263" s="22"/>
      <c r="E263" s="22"/>
      <c r="F263" s="23"/>
      <c r="G263" s="23"/>
      <c r="H263" s="24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6"/>
      <c xmlns="http://schemas.openxmlformats.org/spreadsheetml/2006/main" r="U263" s="23" t="str">
        <f t="shared" si="12"/>
        <v/>
      </c>
      <c xmlns="http://schemas.openxmlformats.org/spreadsheetml/2006/main" r="V263" s="22" t="str">
        <f t="shared" si="13"/>
        <v/>
      </c>
      <c xmlns="http://schemas.openxmlformats.org/spreadsheetml/2006/main" r="W263" s="18" t="str">
        <f t="shared" si="14"/>
        <v/>
      </c>
      <c r="X263" s="22"/>
      <c r="Y263" s="22"/>
      <c xmlns="http://schemas.openxmlformats.org/spreadsheetml/2006/main" r="Z263">
        <f>IF($D263="",0,IF(COUNTIF($D$5:$D263,$D263)=1,1,0))</f>
        <v>0.0</v>
      </c>
      <c xmlns="http://schemas.openxmlformats.org/spreadsheetml/2006/main" r="AA263" t="str">
        <f>IF(Z263=1,SUM($Z$5:$Z263),"")</f>
        <v/>
      </c>
    </row>
    <row r="264" spans="1:27">
      <c r="A264" s="22"/>
      <c r="B264" s="22"/>
      <c r="C264" s="22"/>
      <c r="D264" s="22"/>
      <c r="E264" s="22"/>
      <c r="F264" s="23"/>
      <c r="G264" s="23"/>
      <c r="H264" s="24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6"/>
      <c xmlns="http://schemas.openxmlformats.org/spreadsheetml/2006/main" r="U264" s="23" t="str">
        <f t="shared" si="12"/>
        <v/>
      </c>
      <c xmlns="http://schemas.openxmlformats.org/spreadsheetml/2006/main" r="V264" s="22" t="str">
        <f t="shared" si="13"/>
        <v/>
      </c>
      <c xmlns="http://schemas.openxmlformats.org/spreadsheetml/2006/main" r="W264" s="18" t="str">
        <f t="shared" si="14"/>
        <v/>
      </c>
      <c r="X264" s="22"/>
      <c r="Y264" s="22"/>
      <c xmlns="http://schemas.openxmlformats.org/spreadsheetml/2006/main" r="Z264">
        <f>IF($D264="",0,IF(COUNTIF($D$5:$D264,$D264)=1,1,0))</f>
        <v>0.0</v>
      </c>
      <c xmlns="http://schemas.openxmlformats.org/spreadsheetml/2006/main" r="AA264" t="str">
        <f>IF(Z264=1,SUM($Z$5:$Z264),"")</f>
        <v/>
      </c>
    </row>
    <row r="265" spans="1:27">
      <c r="A265" s="22"/>
      <c r="B265" s="22"/>
      <c r="C265" s="22"/>
      <c r="D265" s="22"/>
      <c r="E265" s="22"/>
      <c r="F265" s="23"/>
      <c r="G265" s="23"/>
      <c r="H265" s="24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6"/>
      <c xmlns="http://schemas.openxmlformats.org/spreadsheetml/2006/main" r="U265" s="23" t="str">
        <f t="shared" si="12"/>
        <v/>
      </c>
      <c xmlns="http://schemas.openxmlformats.org/spreadsheetml/2006/main" r="V265" s="22" t="str">
        <f t="shared" si="13"/>
        <v/>
      </c>
      <c xmlns="http://schemas.openxmlformats.org/spreadsheetml/2006/main" r="W265" s="18" t="str">
        <f t="shared" si="14"/>
        <v/>
      </c>
      <c r="X265" s="22"/>
      <c r="Y265" s="22"/>
      <c xmlns="http://schemas.openxmlformats.org/spreadsheetml/2006/main" r="Z265">
        <f>IF($D265="",0,IF(COUNTIF($D$5:$D265,$D265)=1,1,0))</f>
        <v>0.0</v>
      </c>
      <c xmlns="http://schemas.openxmlformats.org/spreadsheetml/2006/main" r="AA265" t="str">
        <f>IF(Z265=1,SUM($Z$5:$Z265),"")</f>
        <v/>
      </c>
    </row>
    <row r="266" spans="1:27">
      <c r="A266" s="22"/>
      <c r="B266" s="22"/>
      <c r="C266" s="22"/>
      <c r="D266" s="22"/>
      <c r="E266" s="22"/>
      <c r="F266" s="23"/>
      <c r="G266" s="23"/>
      <c r="H266" s="24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6"/>
      <c xmlns="http://schemas.openxmlformats.org/spreadsheetml/2006/main" r="U266" s="23" t="str">
        <f t="shared" si="12"/>
        <v/>
      </c>
      <c xmlns="http://schemas.openxmlformats.org/spreadsheetml/2006/main" r="V266" s="22" t="str">
        <f t="shared" si="13"/>
        <v/>
      </c>
      <c xmlns="http://schemas.openxmlformats.org/spreadsheetml/2006/main" r="W266" s="18" t="str">
        <f t="shared" si="14"/>
        <v/>
      </c>
      <c r="X266" s="22"/>
      <c r="Y266" s="22"/>
      <c xmlns="http://schemas.openxmlformats.org/spreadsheetml/2006/main" r="Z266">
        <f>IF($D266="",0,IF(COUNTIF($D$5:$D266,$D266)=1,1,0))</f>
        <v>0.0</v>
      </c>
      <c xmlns="http://schemas.openxmlformats.org/spreadsheetml/2006/main" r="AA266" t="str">
        <f>IF(Z266=1,SUM($Z$5:$Z266),"")</f>
        <v/>
      </c>
    </row>
    <row r="267" spans="1:27">
      <c r="A267" s="22"/>
      <c r="B267" s="22"/>
      <c r="C267" s="22"/>
      <c r="D267" s="22"/>
      <c r="E267" s="22"/>
      <c r="F267" s="23"/>
      <c r="G267" s="23"/>
      <c r="H267" s="24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6"/>
      <c xmlns="http://schemas.openxmlformats.org/spreadsheetml/2006/main" r="U267" s="23" t="str">
        <f t="shared" si="12"/>
        <v/>
      </c>
      <c xmlns="http://schemas.openxmlformats.org/spreadsheetml/2006/main" r="V267" s="22" t="str">
        <f t="shared" si="13"/>
        <v/>
      </c>
      <c xmlns="http://schemas.openxmlformats.org/spreadsheetml/2006/main" r="W267" s="18" t="str">
        <f t="shared" si="14"/>
        <v/>
      </c>
      <c r="X267" s="22"/>
      <c r="Y267" s="22"/>
      <c xmlns="http://schemas.openxmlformats.org/spreadsheetml/2006/main" r="Z267">
        <f>IF($D267="",0,IF(COUNTIF($D$5:$D267,$D267)=1,1,0))</f>
        <v>0.0</v>
      </c>
      <c xmlns="http://schemas.openxmlformats.org/spreadsheetml/2006/main" r="AA267" t="str">
        <f>IF(Z267=1,SUM($Z$5:$Z267),"")</f>
        <v/>
      </c>
    </row>
    <row r="268" spans="1:27">
      <c r="A268" s="22"/>
      <c r="B268" s="22"/>
      <c r="C268" s="22"/>
      <c r="D268" s="22"/>
      <c r="E268" s="22"/>
      <c r="F268" s="23"/>
      <c r="G268" s="23"/>
      <c r="H268" s="24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6"/>
      <c xmlns="http://schemas.openxmlformats.org/spreadsheetml/2006/main" r="U268" s="23" t="str">
        <f t="shared" si="12"/>
        <v/>
      </c>
      <c xmlns="http://schemas.openxmlformats.org/spreadsheetml/2006/main" r="V268" s="22" t="str">
        <f t="shared" si="13"/>
        <v/>
      </c>
      <c xmlns="http://schemas.openxmlformats.org/spreadsheetml/2006/main" r="W268" s="18" t="str">
        <f t="shared" si="14"/>
        <v/>
      </c>
      <c r="X268" s="22"/>
      <c r="Y268" s="22"/>
      <c xmlns="http://schemas.openxmlformats.org/spreadsheetml/2006/main" r="Z268">
        <f>IF($D268="",0,IF(COUNTIF($D$5:$D268,$D268)=1,1,0))</f>
        <v>0.0</v>
      </c>
      <c xmlns="http://schemas.openxmlformats.org/spreadsheetml/2006/main" r="AA268" t="str">
        <f>IF(Z268=1,SUM($Z$5:$Z268),"")</f>
        <v/>
      </c>
    </row>
    <row r="269" spans="1:27">
      <c r="A269" s="22"/>
      <c r="B269" s="22"/>
      <c r="C269" s="22"/>
      <c r="D269" s="22"/>
      <c r="E269" s="22"/>
      <c r="F269" s="23"/>
      <c r="G269" s="23"/>
      <c r="H269" s="24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6"/>
      <c xmlns="http://schemas.openxmlformats.org/spreadsheetml/2006/main" r="U269" s="23" t="str">
        <f t="shared" si="12"/>
        <v/>
      </c>
      <c xmlns="http://schemas.openxmlformats.org/spreadsheetml/2006/main" r="V269" s="22" t="str">
        <f t="shared" si="13"/>
        <v/>
      </c>
      <c xmlns="http://schemas.openxmlformats.org/spreadsheetml/2006/main" r="W269" s="18" t="str">
        <f t="shared" si="14"/>
        <v/>
      </c>
      <c r="X269" s="22"/>
      <c r="Y269" s="22"/>
      <c xmlns="http://schemas.openxmlformats.org/spreadsheetml/2006/main" r="Z269">
        <f>IF($D269="",0,IF(COUNTIF($D$5:$D269,$D269)=1,1,0))</f>
        <v>0.0</v>
      </c>
      <c xmlns="http://schemas.openxmlformats.org/spreadsheetml/2006/main" r="AA269" t="str">
        <f>IF(Z269=1,SUM($Z$5:$Z269),"")</f>
        <v/>
      </c>
    </row>
    <row r="270" spans="1:27">
      <c r="A270" s="22"/>
      <c r="B270" s="22"/>
      <c r="C270" s="22"/>
      <c r="D270" s="22"/>
      <c r="E270" s="22"/>
      <c r="F270" s="23"/>
      <c r="G270" s="23"/>
      <c r="H270" s="24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6"/>
      <c xmlns="http://schemas.openxmlformats.org/spreadsheetml/2006/main" r="U270" s="23" t="str">
        <f t="shared" si="12"/>
        <v/>
      </c>
      <c xmlns="http://schemas.openxmlformats.org/spreadsheetml/2006/main" r="V270" s="22" t="str">
        <f t="shared" si="13"/>
        <v/>
      </c>
      <c xmlns="http://schemas.openxmlformats.org/spreadsheetml/2006/main" r="W270" s="18" t="str">
        <f t="shared" si="14"/>
        <v/>
      </c>
      <c r="X270" s="22"/>
      <c r="Y270" s="22"/>
      <c xmlns="http://schemas.openxmlformats.org/spreadsheetml/2006/main" r="Z270">
        <f>IF($D270="",0,IF(COUNTIF($D$5:$D270,$D270)=1,1,0))</f>
        <v>0.0</v>
      </c>
      <c xmlns="http://schemas.openxmlformats.org/spreadsheetml/2006/main" r="AA270" t="str">
        <f>IF(Z270=1,SUM($Z$5:$Z270),"")</f>
        <v/>
      </c>
    </row>
    <row r="271" spans="1:27">
      <c r="A271" s="22"/>
      <c r="B271" s="22"/>
      <c r="C271" s="22"/>
      <c r="D271" s="22"/>
      <c r="E271" s="22"/>
      <c r="F271" s="23"/>
      <c r="G271" s="23"/>
      <c r="H271" s="24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6"/>
      <c xmlns="http://schemas.openxmlformats.org/spreadsheetml/2006/main" r="U271" s="23" t="str">
        <f t="shared" si="12"/>
        <v/>
      </c>
      <c xmlns="http://schemas.openxmlformats.org/spreadsheetml/2006/main" r="V271" s="22" t="str">
        <f t="shared" si="13"/>
        <v/>
      </c>
      <c xmlns="http://schemas.openxmlformats.org/spreadsheetml/2006/main" r="W271" s="18" t="str">
        <f t="shared" si="14"/>
        <v/>
      </c>
      <c r="X271" s="22"/>
      <c r="Y271" s="22"/>
      <c xmlns="http://schemas.openxmlformats.org/spreadsheetml/2006/main" r="Z271">
        <f>IF($D271="",0,IF(COUNTIF($D$5:$D271,$D271)=1,1,0))</f>
        <v>0.0</v>
      </c>
      <c xmlns="http://schemas.openxmlformats.org/spreadsheetml/2006/main" r="AA271" t="str">
        <f>IF(Z271=1,SUM($Z$5:$Z271),"")</f>
        <v/>
      </c>
    </row>
    <row r="272" spans="1:27">
      <c r="A272" s="22"/>
      <c r="B272" s="22"/>
      <c r="C272" s="22"/>
      <c r="D272" s="22"/>
      <c r="E272" s="22"/>
      <c r="F272" s="23"/>
      <c r="G272" s="23"/>
      <c r="H272" s="24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6"/>
      <c xmlns="http://schemas.openxmlformats.org/spreadsheetml/2006/main" r="U272" s="23" t="str">
        <f t="shared" si="12"/>
        <v/>
      </c>
      <c xmlns="http://schemas.openxmlformats.org/spreadsheetml/2006/main" r="V272" s="22" t="str">
        <f t="shared" si="13"/>
        <v/>
      </c>
      <c xmlns="http://schemas.openxmlformats.org/spreadsheetml/2006/main" r="W272" s="18" t="str">
        <f t="shared" si="14"/>
        <v/>
      </c>
      <c r="X272" s="22"/>
      <c r="Y272" s="22"/>
      <c xmlns="http://schemas.openxmlformats.org/spreadsheetml/2006/main" r="Z272">
        <f>IF($D272="",0,IF(COUNTIF($D$5:$D272,$D272)=1,1,0))</f>
        <v>0.0</v>
      </c>
      <c xmlns="http://schemas.openxmlformats.org/spreadsheetml/2006/main" r="AA272" t="str">
        <f>IF(Z272=1,SUM($Z$5:$Z272),"")</f>
        <v/>
      </c>
    </row>
    <row r="273" spans="1:27">
      <c r="A273" s="22"/>
      <c r="B273" s="22"/>
      <c r="C273" s="22"/>
      <c r="D273" s="22"/>
      <c r="E273" s="22"/>
      <c r="F273" s="23"/>
      <c r="G273" s="23"/>
      <c r="H273" s="24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6"/>
      <c xmlns="http://schemas.openxmlformats.org/spreadsheetml/2006/main" r="U273" s="23" t="str">
        <f t="shared" si="12"/>
        <v/>
      </c>
      <c xmlns="http://schemas.openxmlformats.org/spreadsheetml/2006/main" r="V273" s="22" t="str">
        <f t="shared" si="13"/>
        <v/>
      </c>
      <c xmlns="http://schemas.openxmlformats.org/spreadsheetml/2006/main" r="W273" s="18" t="str">
        <f t="shared" si="14"/>
        <v/>
      </c>
      <c r="X273" s="22"/>
      <c r="Y273" s="22"/>
      <c xmlns="http://schemas.openxmlformats.org/spreadsheetml/2006/main" r="Z273">
        <f>IF($D273="",0,IF(COUNTIF($D$5:$D273,$D273)=1,1,0))</f>
        <v>0.0</v>
      </c>
      <c xmlns="http://schemas.openxmlformats.org/spreadsheetml/2006/main" r="AA273" t="str">
        <f>IF(Z273=1,SUM($Z$5:$Z273),"")</f>
        <v/>
      </c>
    </row>
    <row r="274" spans="1:27">
      <c r="A274" s="22"/>
      <c r="B274" s="22"/>
      <c r="C274" s="22"/>
      <c r="D274" s="22"/>
      <c r="E274" s="22"/>
      <c r="F274" s="23"/>
      <c r="G274" s="23"/>
      <c r="H274" s="24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6"/>
      <c xmlns="http://schemas.openxmlformats.org/spreadsheetml/2006/main" r="U274" s="23" t="str">
        <f t="shared" si="12"/>
        <v/>
      </c>
      <c xmlns="http://schemas.openxmlformats.org/spreadsheetml/2006/main" r="V274" s="22" t="str">
        <f t="shared" si="13"/>
        <v/>
      </c>
      <c xmlns="http://schemas.openxmlformats.org/spreadsheetml/2006/main" r="W274" s="18" t="str">
        <f t="shared" si="14"/>
        <v/>
      </c>
      <c r="X274" s="22"/>
      <c r="Y274" s="22"/>
      <c xmlns="http://schemas.openxmlformats.org/spreadsheetml/2006/main" r="Z274">
        <f>IF($D274="",0,IF(COUNTIF($D$5:$D274,$D274)=1,1,0))</f>
        <v>0.0</v>
      </c>
      <c xmlns="http://schemas.openxmlformats.org/spreadsheetml/2006/main" r="AA274" t="str">
        <f>IF(Z274=1,SUM($Z$5:$Z274),"")</f>
        <v/>
      </c>
    </row>
    <row r="275" spans="1:27">
      <c r="A275" s="22"/>
      <c r="B275" s="22"/>
      <c r="C275" s="22"/>
      <c r="D275" s="22"/>
      <c r="E275" s="22"/>
      <c r="F275" s="23"/>
      <c r="G275" s="23"/>
      <c r="H275" s="24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6"/>
      <c xmlns="http://schemas.openxmlformats.org/spreadsheetml/2006/main" r="U275" s="23" t="str">
        <f t="shared" si="12"/>
        <v/>
      </c>
      <c xmlns="http://schemas.openxmlformats.org/spreadsheetml/2006/main" r="V275" s="22" t="str">
        <f t="shared" si="13"/>
        <v/>
      </c>
      <c xmlns="http://schemas.openxmlformats.org/spreadsheetml/2006/main" r="W275" s="18" t="str">
        <f t="shared" si="14"/>
        <v/>
      </c>
      <c r="X275" s="22"/>
      <c r="Y275" s="22"/>
      <c xmlns="http://schemas.openxmlformats.org/spreadsheetml/2006/main" r="Z275">
        <f>IF($D275="",0,IF(COUNTIF($D$5:$D275,$D275)=1,1,0))</f>
        <v>0.0</v>
      </c>
      <c xmlns="http://schemas.openxmlformats.org/spreadsheetml/2006/main" r="AA275" t="str">
        <f>IF(Z275=1,SUM($Z$5:$Z275),"")</f>
        <v/>
      </c>
    </row>
    <row r="276" spans="1:27">
      <c r="A276" s="22"/>
      <c r="B276" s="22"/>
      <c r="C276" s="22"/>
      <c r="D276" s="22"/>
      <c r="E276" s="22"/>
      <c r="F276" s="23"/>
      <c r="G276" s="23"/>
      <c r="H276" s="24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6"/>
      <c xmlns="http://schemas.openxmlformats.org/spreadsheetml/2006/main" r="U276" s="23" t="str">
        <f t="shared" si="12"/>
        <v/>
      </c>
      <c xmlns="http://schemas.openxmlformats.org/spreadsheetml/2006/main" r="V276" s="22" t="str">
        <f t="shared" si="13"/>
        <v/>
      </c>
      <c xmlns="http://schemas.openxmlformats.org/spreadsheetml/2006/main" r="W276" s="18" t="str">
        <f t="shared" si="14"/>
        <v/>
      </c>
      <c r="X276" s="22"/>
      <c r="Y276" s="22"/>
      <c xmlns="http://schemas.openxmlformats.org/spreadsheetml/2006/main" r="Z276">
        <f>IF($D276="",0,IF(COUNTIF($D$5:$D276,$D276)=1,1,0))</f>
        <v>0.0</v>
      </c>
      <c xmlns="http://schemas.openxmlformats.org/spreadsheetml/2006/main" r="AA276" t="str">
        <f>IF(Z276=1,SUM($Z$5:$Z276),"")</f>
        <v/>
      </c>
    </row>
    <row r="277" spans="1:27">
      <c r="A277" s="22"/>
      <c r="B277" s="22"/>
      <c r="C277" s="22"/>
      <c r="D277" s="22"/>
      <c r="E277" s="22"/>
      <c r="F277" s="23"/>
      <c r="G277" s="23"/>
      <c r="H277" s="24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6"/>
      <c xmlns="http://schemas.openxmlformats.org/spreadsheetml/2006/main" r="U277" s="23" t="str">
        <f t="shared" si="12"/>
        <v/>
      </c>
      <c xmlns="http://schemas.openxmlformats.org/spreadsheetml/2006/main" r="V277" s="22" t="str">
        <f t="shared" si="13"/>
        <v/>
      </c>
      <c xmlns="http://schemas.openxmlformats.org/spreadsheetml/2006/main" r="W277" s="18" t="str">
        <f t="shared" si="14"/>
        <v/>
      </c>
      <c r="X277" s="22"/>
      <c r="Y277" s="22"/>
      <c xmlns="http://schemas.openxmlformats.org/spreadsheetml/2006/main" r="Z277">
        <f>IF($D277="",0,IF(COUNTIF($D$5:$D277,$D277)=1,1,0))</f>
        <v>0.0</v>
      </c>
      <c xmlns="http://schemas.openxmlformats.org/spreadsheetml/2006/main" r="AA277" t="str">
        <f>IF(Z277=1,SUM($Z$5:$Z277),"")</f>
        <v/>
      </c>
    </row>
    <row r="278" spans="1:27">
      <c r="A278" s="22"/>
      <c r="B278" s="22"/>
      <c r="C278" s="22"/>
      <c r="D278" s="22"/>
      <c r="E278" s="22"/>
      <c r="F278" s="23"/>
      <c r="G278" s="23"/>
      <c r="H278" s="24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6"/>
      <c xmlns="http://schemas.openxmlformats.org/spreadsheetml/2006/main" r="U278" s="23" t="str">
        <f t="shared" si="12"/>
        <v/>
      </c>
      <c xmlns="http://schemas.openxmlformats.org/spreadsheetml/2006/main" r="V278" s="22" t="str">
        <f t="shared" si="13"/>
        <v/>
      </c>
      <c xmlns="http://schemas.openxmlformats.org/spreadsheetml/2006/main" r="W278" s="18" t="str">
        <f t="shared" si="14"/>
        <v/>
      </c>
      <c r="X278" s="22"/>
      <c r="Y278" s="22"/>
      <c xmlns="http://schemas.openxmlformats.org/spreadsheetml/2006/main" r="Z278">
        <f>IF($D278="",0,IF(COUNTIF($D$5:$D278,$D278)=1,1,0))</f>
        <v>0.0</v>
      </c>
      <c xmlns="http://schemas.openxmlformats.org/spreadsheetml/2006/main" r="AA278" t="str">
        <f>IF(Z278=1,SUM($Z$5:$Z278),"")</f>
        <v/>
      </c>
    </row>
    <row r="279" spans="1:27">
      <c r="A279" s="22"/>
      <c r="B279" s="22"/>
      <c r="C279" s="22"/>
      <c r="D279" s="22"/>
      <c r="E279" s="22"/>
      <c r="F279" s="23"/>
      <c r="G279" s="23"/>
      <c r="H279" s="24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6"/>
      <c xmlns="http://schemas.openxmlformats.org/spreadsheetml/2006/main" r="U279" s="23" t="str">
        <f t="shared" si="12"/>
        <v/>
      </c>
      <c xmlns="http://schemas.openxmlformats.org/spreadsheetml/2006/main" r="V279" s="22" t="str">
        <f t="shared" si="13"/>
        <v/>
      </c>
      <c xmlns="http://schemas.openxmlformats.org/spreadsheetml/2006/main" r="W279" s="18" t="str">
        <f t="shared" si="14"/>
        <v/>
      </c>
      <c r="X279" s="22"/>
      <c r="Y279" s="22"/>
      <c xmlns="http://schemas.openxmlformats.org/spreadsheetml/2006/main" r="Z279">
        <f>IF($D279="",0,IF(COUNTIF($D$5:$D279,$D279)=1,1,0))</f>
        <v>0.0</v>
      </c>
      <c xmlns="http://schemas.openxmlformats.org/spreadsheetml/2006/main" r="AA279" t="str">
        <f>IF(Z279=1,SUM($Z$5:$Z279),"")</f>
        <v/>
      </c>
    </row>
    <row r="280" spans="1:27">
      <c r="A280" s="22"/>
      <c r="B280" s="22"/>
      <c r="C280" s="22"/>
      <c r="D280" s="22"/>
      <c r="E280" s="22"/>
      <c r="F280" s="23"/>
      <c r="G280" s="23"/>
      <c r="H280" s="24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6"/>
      <c xmlns="http://schemas.openxmlformats.org/spreadsheetml/2006/main" r="U280" s="23" t="str">
        <f t="shared" si="12"/>
        <v/>
      </c>
      <c xmlns="http://schemas.openxmlformats.org/spreadsheetml/2006/main" r="V280" s="22" t="str">
        <f t="shared" si="13"/>
        <v/>
      </c>
      <c xmlns="http://schemas.openxmlformats.org/spreadsheetml/2006/main" r="W280" s="18" t="str">
        <f t="shared" si="14"/>
        <v/>
      </c>
      <c r="X280" s="22"/>
      <c r="Y280" s="22"/>
      <c xmlns="http://schemas.openxmlformats.org/spreadsheetml/2006/main" r="Z280">
        <f>IF($D280="",0,IF(COUNTIF($D$5:$D280,$D280)=1,1,0))</f>
        <v>0.0</v>
      </c>
      <c xmlns="http://schemas.openxmlformats.org/spreadsheetml/2006/main" r="AA280" t="str">
        <f>IF(Z280=1,SUM($Z$5:$Z280),"")</f>
        <v/>
      </c>
    </row>
    <row r="281" spans="1:27">
      <c r="A281" s="22"/>
      <c r="B281" s="22"/>
      <c r="C281" s="22"/>
      <c r="D281" s="22"/>
      <c r="E281" s="22"/>
      <c r="F281" s="23"/>
      <c r="G281" s="23"/>
      <c r="H281" s="24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6"/>
      <c xmlns="http://schemas.openxmlformats.org/spreadsheetml/2006/main" r="U281" s="23" t="str">
        <f t="shared" si="12"/>
        <v/>
      </c>
      <c xmlns="http://schemas.openxmlformats.org/spreadsheetml/2006/main" r="V281" s="22" t="str">
        <f t="shared" si="13"/>
        <v/>
      </c>
      <c xmlns="http://schemas.openxmlformats.org/spreadsheetml/2006/main" r="W281" s="18" t="str">
        <f t="shared" si="14"/>
        <v/>
      </c>
      <c r="X281" s="22"/>
      <c r="Y281" s="22"/>
      <c xmlns="http://schemas.openxmlformats.org/spreadsheetml/2006/main" r="Z281">
        <f>IF($D281="",0,IF(COUNTIF($D$5:$D281,$D281)=1,1,0))</f>
        <v>0.0</v>
      </c>
      <c xmlns="http://schemas.openxmlformats.org/spreadsheetml/2006/main" r="AA281" t="str">
        <f>IF(Z281=1,SUM($Z$5:$Z281),"")</f>
        <v/>
      </c>
    </row>
    <row r="282" spans="1:27">
      <c r="A282" s="22"/>
      <c r="B282" s="22"/>
      <c r="C282" s="22"/>
      <c r="D282" s="22"/>
      <c r="E282" s="22"/>
      <c r="F282" s="23"/>
      <c r="G282" s="23"/>
      <c r="H282" s="24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6"/>
      <c xmlns="http://schemas.openxmlformats.org/spreadsheetml/2006/main" r="U282" s="23" t="str">
        <f t="shared" si="12"/>
        <v/>
      </c>
      <c xmlns="http://schemas.openxmlformats.org/spreadsheetml/2006/main" r="V282" s="22" t="str">
        <f t="shared" si="13"/>
        <v/>
      </c>
      <c xmlns="http://schemas.openxmlformats.org/spreadsheetml/2006/main" r="W282" s="18" t="str">
        <f t="shared" si="14"/>
        <v/>
      </c>
      <c r="X282" s="22"/>
      <c r="Y282" s="22"/>
      <c xmlns="http://schemas.openxmlformats.org/spreadsheetml/2006/main" r="Z282">
        <f>IF($D282="",0,IF(COUNTIF($D$5:$D282,$D282)=1,1,0))</f>
        <v>0.0</v>
      </c>
      <c xmlns="http://schemas.openxmlformats.org/spreadsheetml/2006/main" r="AA282" t="str">
        <f>IF(Z282=1,SUM($Z$5:$Z282),"")</f>
        <v/>
      </c>
    </row>
    <row r="283" spans="1:27">
      <c r="A283" s="22"/>
      <c r="B283" s="22"/>
      <c r="C283" s="22"/>
      <c r="D283" s="22"/>
      <c r="E283" s="22"/>
      <c r="F283" s="23"/>
      <c r="G283" s="23"/>
      <c r="H283" s="24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6"/>
      <c xmlns="http://schemas.openxmlformats.org/spreadsheetml/2006/main" r="U283" s="23" t="str">
        <f t="shared" si="12"/>
        <v/>
      </c>
      <c xmlns="http://schemas.openxmlformats.org/spreadsheetml/2006/main" r="V283" s="22" t="str">
        <f t="shared" si="13"/>
        <v/>
      </c>
      <c xmlns="http://schemas.openxmlformats.org/spreadsheetml/2006/main" r="W283" s="18" t="str">
        <f t="shared" si="14"/>
        <v/>
      </c>
      <c r="X283" s="22"/>
      <c r="Y283" s="22"/>
      <c xmlns="http://schemas.openxmlformats.org/spreadsheetml/2006/main" r="Z283">
        <f>IF($D283="",0,IF(COUNTIF($D$5:$D283,$D283)=1,1,0))</f>
        <v>0.0</v>
      </c>
      <c xmlns="http://schemas.openxmlformats.org/spreadsheetml/2006/main" r="AA283" t="str">
        <f>IF(Z283=1,SUM($Z$5:$Z283),"")</f>
        <v/>
      </c>
    </row>
    <row r="284" spans="1:27">
      <c r="A284" s="22"/>
      <c r="B284" s="22"/>
      <c r="C284" s="22"/>
      <c r="D284" s="22"/>
      <c r="E284" s="22"/>
      <c r="F284" s="23"/>
      <c r="G284" s="23"/>
      <c r="H284" s="24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6"/>
      <c xmlns="http://schemas.openxmlformats.org/spreadsheetml/2006/main" r="U284" s="23" t="str">
        <f t="shared" si="12"/>
        <v/>
      </c>
      <c xmlns="http://schemas.openxmlformats.org/spreadsheetml/2006/main" r="V284" s="22" t="str">
        <f t="shared" si="13"/>
        <v/>
      </c>
      <c xmlns="http://schemas.openxmlformats.org/spreadsheetml/2006/main" r="W284" s="18" t="str">
        <f t="shared" si="14"/>
        <v/>
      </c>
      <c r="X284" s="22"/>
      <c r="Y284" s="22"/>
      <c xmlns="http://schemas.openxmlformats.org/spreadsheetml/2006/main" r="Z284">
        <f>IF($D284="",0,IF(COUNTIF($D$5:$D284,$D284)=1,1,0))</f>
        <v>0.0</v>
      </c>
      <c xmlns="http://schemas.openxmlformats.org/spreadsheetml/2006/main" r="AA284" t="str">
        <f>IF(Z284=1,SUM($Z$5:$Z284),"")</f>
        <v/>
      </c>
    </row>
    <row r="285" spans="1:27">
      <c r="A285" s="22"/>
      <c r="B285" s="22"/>
      <c r="C285" s="22"/>
      <c r="D285" s="22"/>
      <c r="E285" s="22"/>
      <c r="F285" s="23"/>
      <c r="G285" s="23"/>
      <c r="H285" s="24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6"/>
      <c xmlns="http://schemas.openxmlformats.org/spreadsheetml/2006/main" r="U285" s="23" t="str">
        <f t="shared" si="12"/>
        <v/>
      </c>
      <c xmlns="http://schemas.openxmlformats.org/spreadsheetml/2006/main" r="V285" s="22" t="str">
        <f t="shared" si="13"/>
        <v/>
      </c>
      <c xmlns="http://schemas.openxmlformats.org/spreadsheetml/2006/main" r="W285" s="18" t="str">
        <f t="shared" si="14"/>
        <v/>
      </c>
      <c r="X285" s="22"/>
      <c r="Y285" s="22"/>
      <c xmlns="http://schemas.openxmlformats.org/spreadsheetml/2006/main" r="Z285">
        <f>IF($D285="",0,IF(COUNTIF($D$5:$D285,$D285)=1,1,0))</f>
        <v>0.0</v>
      </c>
      <c xmlns="http://schemas.openxmlformats.org/spreadsheetml/2006/main" r="AA285" t="str">
        <f>IF(Z285=1,SUM($Z$5:$Z285),"")</f>
        <v/>
      </c>
    </row>
    <row r="286" spans="1:27">
      <c r="A286" s="22"/>
      <c r="B286" s="22"/>
      <c r="C286" s="22"/>
      <c r="D286" s="22"/>
      <c r="E286" s="22"/>
      <c r="F286" s="23"/>
      <c r="G286" s="23"/>
      <c r="H286" s="24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6"/>
      <c xmlns="http://schemas.openxmlformats.org/spreadsheetml/2006/main" r="U286" s="23" t="str">
        <f t="shared" si="12"/>
        <v/>
      </c>
      <c xmlns="http://schemas.openxmlformats.org/spreadsheetml/2006/main" r="V286" s="22" t="str">
        <f t="shared" si="13"/>
        <v/>
      </c>
      <c xmlns="http://schemas.openxmlformats.org/spreadsheetml/2006/main" r="W286" s="18" t="str">
        <f t="shared" si="14"/>
        <v/>
      </c>
      <c r="X286" s="22"/>
      <c r="Y286" s="22"/>
      <c xmlns="http://schemas.openxmlformats.org/spreadsheetml/2006/main" r="Z286">
        <f>IF($D286="",0,IF(COUNTIF($D$5:$D286,$D286)=1,1,0))</f>
        <v>0.0</v>
      </c>
      <c xmlns="http://schemas.openxmlformats.org/spreadsheetml/2006/main" r="AA286" t="str">
        <f>IF(Z286=1,SUM($Z$5:$Z286),"")</f>
        <v/>
      </c>
    </row>
    <row r="287" spans="1:27">
      <c r="A287" s="22"/>
      <c r="B287" s="22"/>
      <c r="C287" s="22"/>
      <c r="D287" s="22"/>
      <c r="E287" s="22"/>
      <c r="F287" s="23"/>
      <c r="G287" s="23"/>
      <c r="H287" s="24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6"/>
      <c xmlns="http://schemas.openxmlformats.org/spreadsheetml/2006/main" r="U287" s="23" t="str">
        <f t="shared" si="12"/>
        <v/>
      </c>
      <c xmlns="http://schemas.openxmlformats.org/spreadsheetml/2006/main" r="V287" s="22" t="str">
        <f t="shared" si="13"/>
        <v/>
      </c>
      <c xmlns="http://schemas.openxmlformats.org/spreadsheetml/2006/main" r="W287" s="18" t="str">
        <f t="shared" si="14"/>
        <v/>
      </c>
      <c r="X287" s="22"/>
      <c r="Y287" s="22"/>
      <c xmlns="http://schemas.openxmlformats.org/spreadsheetml/2006/main" r="Z287">
        <f>IF($D287="",0,IF(COUNTIF($D$5:$D287,$D287)=1,1,0))</f>
        <v>0.0</v>
      </c>
      <c xmlns="http://schemas.openxmlformats.org/spreadsheetml/2006/main" r="AA287" t="str">
        <f>IF(Z287=1,SUM($Z$5:$Z287),"")</f>
        <v/>
      </c>
    </row>
    <row r="288" spans="1:27">
      <c r="A288" s="22"/>
      <c r="B288" s="22"/>
      <c r="C288" s="22"/>
      <c r="D288" s="22"/>
      <c r="E288" s="22"/>
      <c r="F288" s="23"/>
      <c r="G288" s="23"/>
      <c r="H288" s="24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6"/>
      <c xmlns="http://schemas.openxmlformats.org/spreadsheetml/2006/main" r="U288" s="23" t="str">
        <f t="shared" si="12"/>
        <v/>
      </c>
      <c xmlns="http://schemas.openxmlformats.org/spreadsheetml/2006/main" r="V288" s="22" t="str">
        <f t="shared" si="13"/>
        <v/>
      </c>
      <c xmlns="http://schemas.openxmlformats.org/spreadsheetml/2006/main" r="W288" s="18" t="str">
        <f t="shared" si="14"/>
        <v/>
      </c>
      <c r="X288" s="22"/>
      <c r="Y288" s="22"/>
      <c xmlns="http://schemas.openxmlformats.org/spreadsheetml/2006/main" r="Z288">
        <f>IF($D288="",0,IF(COUNTIF($D$5:$D288,$D288)=1,1,0))</f>
        <v>0.0</v>
      </c>
      <c xmlns="http://schemas.openxmlformats.org/spreadsheetml/2006/main" r="AA288" t="str">
        <f>IF(Z288=1,SUM($Z$5:$Z288),"")</f>
        <v/>
      </c>
    </row>
    <row r="289" spans="1:27">
      <c r="A289" s="22"/>
      <c r="B289" s="22"/>
      <c r="C289" s="22"/>
      <c r="D289" s="22"/>
      <c r="E289" s="22"/>
      <c r="F289" s="23"/>
      <c r="G289" s="23"/>
      <c r="H289" s="24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6"/>
      <c xmlns="http://schemas.openxmlformats.org/spreadsheetml/2006/main" r="U289" s="23" t="str">
        <f t="shared" si="12"/>
        <v/>
      </c>
      <c xmlns="http://schemas.openxmlformats.org/spreadsheetml/2006/main" r="V289" s="22" t="str">
        <f t="shared" si="13"/>
        <v/>
      </c>
      <c xmlns="http://schemas.openxmlformats.org/spreadsheetml/2006/main" r="W289" s="18" t="str">
        <f t="shared" si="14"/>
        <v/>
      </c>
      <c r="X289" s="22"/>
      <c r="Y289" s="22"/>
      <c xmlns="http://schemas.openxmlformats.org/spreadsheetml/2006/main" r="Z289">
        <f>IF($D289="",0,IF(COUNTIF($D$5:$D289,$D289)=1,1,0))</f>
        <v>0.0</v>
      </c>
      <c xmlns="http://schemas.openxmlformats.org/spreadsheetml/2006/main" r="AA289" t="str">
        <f>IF(Z289=1,SUM($Z$5:$Z289),"")</f>
        <v/>
      </c>
    </row>
    <row r="290" spans="1:27">
      <c r="A290" s="22"/>
      <c r="B290" s="22"/>
      <c r="C290" s="22"/>
      <c r="D290" s="22"/>
      <c r="E290" s="22"/>
      <c r="F290" s="23"/>
      <c r="G290" s="23"/>
      <c r="H290" s="24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6"/>
      <c xmlns="http://schemas.openxmlformats.org/spreadsheetml/2006/main" r="U290" s="23" t="str">
        <f t="shared" si="12"/>
        <v/>
      </c>
      <c xmlns="http://schemas.openxmlformats.org/spreadsheetml/2006/main" r="V290" s="22" t="str">
        <f t="shared" si="13"/>
        <v/>
      </c>
      <c xmlns="http://schemas.openxmlformats.org/spreadsheetml/2006/main" r="W290" s="18" t="str">
        <f t="shared" si="14"/>
        <v/>
      </c>
      <c r="X290" s="22"/>
      <c r="Y290" s="22"/>
      <c xmlns="http://schemas.openxmlformats.org/spreadsheetml/2006/main" r="Z290">
        <f>IF($D290="",0,IF(COUNTIF($D$5:$D290,$D290)=1,1,0))</f>
        <v>0.0</v>
      </c>
      <c xmlns="http://schemas.openxmlformats.org/spreadsheetml/2006/main" r="AA290" t="str">
        <f>IF(Z290=1,SUM($Z$5:$Z290),"")</f>
        <v/>
      </c>
    </row>
    <row r="291" spans="1:27">
      <c r="A291" s="22"/>
      <c r="B291" s="22"/>
      <c r="C291" s="22"/>
      <c r="D291" s="22"/>
      <c r="E291" s="22"/>
      <c r="F291" s="23"/>
      <c r="G291" s="23"/>
      <c r="H291" s="24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6"/>
      <c xmlns="http://schemas.openxmlformats.org/spreadsheetml/2006/main" r="U291" s="23" t="str">
        <f t="shared" si="12"/>
        <v/>
      </c>
      <c xmlns="http://schemas.openxmlformats.org/spreadsheetml/2006/main" r="V291" s="22" t="str">
        <f t="shared" si="13"/>
        <v/>
      </c>
      <c xmlns="http://schemas.openxmlformats.org/spreadsheetml/2006/main" r="W291" s="18" t="str">
        <f t="shared" si="14"/>
        <v/>
      </c>
      <c r="X291" s="22"/>
      <c r="Y291" s="22"/>
      <c xmlns="http://schemas.openxmlformats.org/spreadsheetml/2006/main" r="Z291">
        <f>IF($D291="",0,IF(COUNTIF($D$5:$D291,$D291)=1,1,0))</f>
        <v>0.0</v>
      </c>
      <c xmlns="http://schemas.openxmlformats.org/spreadsheetml/2006/main" r="AA291" t="str">
        <f>IF(Z291=1,SUM($Z$5:$Z291),"")</f>
        <v/>
      </c>
    </row>
    <row r="292" spans="1:27">
      <c r="A292" s="22"/>
      <c r="B292" s="22"/>
      <c r="C292" s="22"/>
      <c r="D292" s="22"/>
      <c r="E292" s="22"/>
      <c r="F292" s="23"/>
      <c r="G292" s="23"/>
      <c r="H292" s="24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6"/>
      <c xmlns="http://schemas.openxmlformats.org/spreadsheetml/2006/main" r="U292" s="23" t="str">
        <f t="shared" si="12"/>
        <v/>
      </c>
      <c xmlns="http://schemas.openxmlformats.org/spreadsheetml/2006/main" r="V292" s="22" t="str">
        <f t="shared" si="13"/>
        <v/>
      </c>
      <c xmlns="http://schemas.openxmlformats.org/spreadsheetml/2006/main" r="W292" s="18" t="str">
        <f t="shared" si="14"/>
        <v/>
      </c>
      <c r="X292" s="22"/>
      <c r="Y292" s="22"/>
      <c xmlns="http://schemas.openxmlformats.org/spreadsheetml/2006/main" r="Z292">
        <f>IF($D292="",0,IF(COUNTIF($D$5:$D292,$D292)=1,1,0))</f>
        <v>0.0</v>
      </c>
      <c xmlns="http://schemas.openxmlformats.org/spreadsheetml/2006/main" r="AA292" t="str">
        <f>IF(Z292=1,SUM($Z$5:$Z292),"")</f>
        <v/>
      </c>
    </row>
    <row r="293" spans="1:27">
      <c r="B293" s="22"/>
      <c r="C293" s="22"/>
      <c r="D293" s="22"/>
      <c r="E293" s="22"/>
      <c r="F293" s="23"/>
      <c r="G293" s="23"/>
      <c r="H293" s="24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6"/>
      <c xmlns="http://schemas.openxmlformats.org/spreadsheetml/2006/main" r="U293" s="23" t="str">
        <f t="shared" si="12"/>
        <v/>
      </c>
      <c xmlns="http://schemas.openxmlformats.org/spreadsheetml/2006/main" r="V293" s="22" t="str">
        <f t="shared" si="13"/>
        <v/>
      </c>
      <c xmlns="http://schemas.openxmlformats.org/spreadsheetml/2006/main" r="W293" s="18" t="str">
        <f t="shared" si="14"/>
        <v/>
      </c>
      <c r="X293" s="22"/>
      <c r="Y293" s="22"/>
      <c xmlns="http://schemas.openxmlformats.org/spreadsheetml/2006/main" r="Z293">
        <f>IF($D293="",0,IF(COUNTIF($D$5:$D293,$D293)=1,1,0))</f>
        <v>0.0</v>
      </c>
      <c xmlns="http://schemas.openxmlformats.org/spreadsheetml/2006/main" r="AA293" t="str">
        <f>IF(Z293=1,SUM($Z$5:$Z293),"")</f>
        <v/>
      </c>
    </row>
    <row r="294" spans="1:27">
      <c r="B294" s="22"/>
      <c r="C294" s="22"/>
      <c r="D294" s="22"/>
      <c r="E294" s="22"/>
      <c r="F294" s="23"/>
      <c r="G294" s="23"/>
      <c r="H294" s="24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6"/>
      <c xmlns="http://schemas.openxmlformats.org/spreadsheetml/2006/main" r="U294" s="23" t="str">
        <f t="shared" si="12"/>
        <v/>
      </c>
      <c xmlns="http://schemas.openxmlformats.org/spreadsheetml/2006/main" r="V294" s="22" t="str">
        <f t="shared" si="13"/>
        <v/>
      </c>
      <c xmlns="http://schemas.openxmlformats.org/spreadsheetml/2006/main" r="W294" s="18" t="str">
        <f t="shared" si="14"/>
        <v/>
      </c>
      <c r="X294" s="22"/>
      <c r="Y294" s="22"/>
      <c xmlns="http://schemas.openxmlformats.org/spreadsheetml/2006/main" r="Z294">
        <f>IF($D294="",0,IF(COUNTIF($D$5:$D294,$D294)=1,1,0))</f>
        <v>0.0</v>
      </c>
      <c xmlns="http://schemas.openxmlformats.org/spreadsheetml/2006/main" r="AA294" t="str">
        <f>IF(Z294=1,SUM($Z$5:$Z294),"")</f>
        <v/>
      </c>
    </row>
    <row r="295" spans="1:27">
      <c r="B295" s="22"/>
      <c r="C295" s="22"/>
      <c r="D295" s="22"/>
      <c r="E295" s="22"/>
      <c r="F295" s="23"/>
      <c r="G295" s="23"/>
      <c r="H295" s="24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6"/>
      <c xmlns="http://schemas.openxmlformats.org/spreadsheetml/2006/main" r="U295" s="23" t="str">
        <f t="shared" si="12"/>
        <v/>
      </c>
      <c xmlns="http://schemas.openxmlformats.org/spreadsheetml/2006/main" r="V295" s="22" t="str">
        <f t="shared" si="13"/>
        <v/>
      </c>
      <c xmlns="http://schemas.openxmlformats.org/spreadsheetml/2006/main" r="W295" s="18" t="str">
        <f t="shared" si="14"/>
        <v/>
      </c>
      <c r="X295" s="22"/>
      <c r="Y295" s="22"/>
      <c xmlns="http://schemas.openxmlformats.org/spreadsheetml/2006/main" r="Z295">
        <f>IF($D295="",0,IF(COUNTIF($D$5:$D295,$D295)=1,1,0))</f>
        <v>0.0</v>
      </c>
      <c xmlns="http://schemas.openxmlformats.org/spreadsheetml/2006/main" r="AA295" t="str">
        <f>IF(Z295=1,SUM($Z$5:$Z295),"")</f>
        <v/>
      </c>
    </row>
    <row r="296" spans="1:27">
      <c r="B296" s="22"/>
      <c r="C296" s="22"/>
      <c r="D296" s="22"/>
      <c r="E296" s="22"/>
      <c r="F296" s="23"/>
      <c r="G296" s="23"/>
      <c r="H296" s="24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6"/>
      <c xmlns="http://schemas.openxmlformats.org/spreadsheetml/2006/main" r="U296" s="23" t="str">
        <f t="shared" si="12"/>
        <v/>
      </c>
      <c xmlns="http://schemas.openxmlformats.org/spreadsheetml/2006/main" r="V296" s="22" t="str">
        <f t="shared" si="13"/>
        <v/>
      </c>
      <c xmlns="http://schemas.openxmlformats.org/spreadsheetml/2006/main" r="W296" s="18" t="str">
        <f t="shared" si="14"/>
        <v/>
      </c>
      <c r="X296" s="22"/>
      <c r="Y296" s="22"/>
      <c xmlns="http://schemas.openxmlformats.org/spreadsheetml/2006/main" r="Z296">
        <f>IF($D296="",0,IF(COUNTIF($D$5:$D296,$D296)=1,1,0))</f>
        <v>0.0</v>
      </c>
      <c xmlns="http://schemas.openxmlformats.org/spreadsheetml/2006/main" r="AA296" t="str">
        <f>IF(Z296=1,SUM($Z$5:$Z296),"")</f>
        <v/>
      </c>
    </row>
    <row r="297" spans="1:27">
      <c r="B297" s="22"/>
      <c r="C297" s="22"/>
      <c r="D297" s="22"/>
      <c r="E297" s="22"/>
      <c r="F297" s="23"/>
      <c r="G297" s="23"/>
      <c r="H297" s="24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6"/>
      <c xmlns="http://schemas.openxmlformats.org/spreadsheetml/2006/main" r="U297" s="23" t="str">
        <f t="shared" si="12"/>
        <v/>
      </c>
      <c xmlns="http://schemas.openxmlformats.org/spreadsheetml/2006/main" r="V297" s="22" t="str">
        <f t="shared" si="13"/>
        <v/>
      </c>
      <c xmlns="http://schemas.openxmlformats.org/spreadsheetml/2006/main" r="W297" s="18" t="str">
        <f t="shared" si="14"/>
        <v/>
      </c>
      <c r="X297" s="22"/>
      <c r="Y297" s="22"/>
      <c xmlns="http://schemas.openxmlformats.org/spreadsheetml/2006/main" r="Z297">
        <f>IF($D297="",0,IF(COUNTIF($D$5:$D297,$D297)=1,1,0))</f>
        <v>0.0</v>
      </c>
      <c xmlns="http://schemas.openxmlformats.org/spreadsheetml/2006/main" r="AA297" t="str">
        <f>IF(Z297=1,SUM($Z$5:$Z297),"")</f>
        <v/>
      </c>
    </row>
    <row r="298" spans="1:27">
      <c r="B298" s="22"/>
      <c r="C298" s="22"/>
      <c r="D298" s="22"/>
      <c r="E298" s="22"/>
      <c r="F298" s="23"/>
      <c r="G298" s="23"/>
      <c r="H298" s="24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6"/>
      <c xmlns="http://schemas.openxmlformats.org/spreadsheetml/2006/main" r="U298" s="23" t="str">
        <f t="shared" si="12"/>
        <v/>
      </c>
      <c xmlns="http://schemas.openxmlformats.org/spreadsheetml/2006/main" r="V298" s="22" t="str">
        <f t="shared" si="13"/>
        <v/>
      </c>
      <c xmlns="http://schemas.openxmlformats.org/spreadsheetml/2006/main" r="W298" s="18" t="str">
        <f t="shared" si="14"/>
        <v/>
      </c>
      <c r="X298" s="22"/>
      <c r="Y298" s="22"/>
      <c xmlns="http://schemas.openxmlformats.org/spreadsheetml/2006/main" r="Z298">
        <f>IF($D298="",0,IF(COUNTIF($D$5:$D298,$D298)=1,1,0))</f>
        <v>0.0</v>
      </c>
      <c xmlns="http://schemas.openxmlformats.org/spreadsheetml/2006/main" r="AA298" t="str">
        <f>IF(Z298=1,SUM($Z$5:$Z298),"")</f>
        <v/>
      </c>
    </row>
    <row r="299" spans="1:27">
      <c r="B299" s="22"/>
      <c r="C299" s="22"/>
      <c r="D299" s="22"/>
      <c r="E299" s="22"/>
      <c r="F299" s="23"/>
      <c r="G299" s="23"/>
      <c r="H299" s="24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6"/>
      <c xmlns="http://schemas.openxmlformats.org/spreadsheetml/2006/main" r="U299" s="23" t="str">
        <f t="shared" si="12"/>
        <v/>
      </c>
      <c xmlns="http://schemas.openxmlformats.org/spreadsheetml/2006/main" r="V299" s="22" t="str">
        <f t="shared" si="13"/>
        <v/>
      </c>
      <c xmlns="http://schemas.openxmlformats.org/spreadsheetml/2006/main" r="W299" s="18" t="str">
        <f t="shared" si="14"/>
        <v/>
      </c>
      <c r="X299" s="22"/>
      <c r="Y299" s="22"/>
      <c xmlns="http://schemas.openxmlformats.org/spreadsheetml/2006/main" r="Z299">
        <f>IF($D299="",0,IF(COUNTIF($D$5:$D299,$D299)=1,1,0))</f>
        <v>0.0</v>
      </c>
      <c xmlns="http://schemas.openxmlformats.org/spreadsheetml/2006/main" r="AA299" t="str">
        <f>IF(Z299=1,SUM($Z$5:$Z299),"")</f>
        <v/>
      </c>
    </row>
    <row r="300" spans="1:27">
      <c r="B300" s="22"/>
      <c r="C300" s="22"/>
      <c r="D300" s="22"/>
      <c r="E300" s="22"/>
      <c r="F300" s="23"/>
      <c r="G300" s="23"/>
      <c r="H300" s="24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6"/>
      <c xmlns="http://schemas.openxmlformats.org/spreadsheetml/2006/main" r="U300" s="23" t="str">
        <f t="shared" si="12"/>
        <v/>
      </c>
      <c xmlns="http://schemas.openxmlformats.org/spreadsheetml/2006/main" r="V300" s="22" t="str">
        <f t="shared" si="13"/>
        <v/>
      </c>
      <c xmlns="http://schemas.openxmlformats.org/spreadsheetml/2006/main" r="W300" s="18" t="str">
        <f t="shared" si="14"/>
        <v/>
      </c>
      <c r="X300" s="22"/>
      <c r="Y300" s="22"/>
      <c xmlns="http://schemas.openxmlformats.org/spreadsheetml/2006/main" r="Z300">
        <f>IF($D300="",0,IF(COUNTIF($D$5:$D300,$D300)=1,1,0))</f>
        <v>0.0</v>
      </c>
      <c xmlns="http://schemas.openxmlformats.org/spreadsheetml/2006/main" r="AA300" t="str">
        <f>IF(Z300=1,SUM($Z$5:$Z300),"")</f>
        <v/>
      </c>
    </row>
    <row r="301" spans="1:27">
      <c r="B301" s="22"/>
      <c r="C301" s="22"/>
      <c r="D301" s="22"/>
      <c r="E301" s="22"/>
      <c r="F301" s="23"/>
      <c r="G301" s="23"/>
      <c r="H301" s="24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6"/>
      <c xmlns="http://schemas.openxmlformats.org/spreadsheetml/2006/main" r="U301" s="23" t="str">
        <f t="shared" si="12"/>
        <v/>
      </c>
      <c xmlns="http://schemas.openxmlformats.org/spreadsheetml/2006/main" r="V301" s="22" t="str">
        <f t="shared" si="13"/>
        <v/>
      </c>
      <c xmlns="http://schemas.openxmlformats.org/spreadsheetml/2006/main" r="W301" s="18" t="str">
        <f t="shared" si="14"/>
        <v/>
      </c>
      <c r="X301" s="22"/>
      <c r="Y301" s="22"/>
      <c xmlns="http://schemas.openxmlformats.org/spreadsheetml/2006/main" r="Z301">
        <f>IF($D301="",0,IF(COUNTIF($D$5:$D301,$D301)=1,1,0))</f>
        <v>0.0</v>
      </c>
      <c xmlns="http://schemas.openxmlformats.org/spreadsheetml/2006/main" r="AA301" t="str">
        <f>IF(Z301=1,SUM($Z$5:$Z301),"")</f>
        <v/>
      </c>
    </row>
    <row r="302" spans="1:27">
      <c r="B302" s="22"/>
      <c r="C302" s="22"/>
      <c r="D302" s="22"/>
      <c r="E302" s="22"/>
      <c r="F302" s="23"/>
      <c r="G302" s="23"/>
      <c r="H302" s="24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6"/>
      <c xmlns="http://schemas.openxmlformats.org/spreadsheetml/2006/main" r="U302" s="23" t="str">
        <f t="shared" si="12"/>
        <v/>
      </c>
      <c xmlns="http://schemas.openxmlformats.org/spreadsheetml/2006/main" r="V302" s="22" t="str">
        <f t="shared" si="13"/>
        <v/>
      </c>
      <c xmlns="http://schemas.openxmlformats.org/spreadsheetml/2006/main" r="W302" s="18" t="str">
        <f t="shared" si="14"/>
        <v/>
      </c>
      <c r="X302" s="22"/>
      <c r="Y302" s="22"/>
      <c xmlns="http://schemas.openxmlformats.org/spreadsheetml/2006/main" r="Z302">
        <f>IF($D302="",0,IF(COUNTIF($D$5:$D302,$D302)=1,1,0))</f>
        <v>0.0</v>
      </c>
      <c xmlns="http://schemas.openxmlformats.org/spreadsheetml/2006/main" r="AA302" t="str">
        <f>IF(Z302=1,SUM($Z$5:$Z302),"")</f>
        <v/>
      </c>
    </row>
    <row r="303" spans="1:27">
      <c r="B303" s="22"/>
      <c r="C303" s="22"/>
      <c r="D303" s="22"/>
      <c r="E303" s="22"/>
      <c r="F303" s="23"/>
      <c r="G303" s="23"/>
      <c r="H303" s="24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6"/>
      <c xmlns="http://schemas.openxmlformats.org/spreadsheetml/2006/main" r="U303" s="23" t="str">
        <f t="shared" si="12"/>
        <v/>
      </c>
      <c xmlns="http://schemas.openxmlformats.org/spreadsheetml/2006/main" r="V303" s="22" t="str">
        <f t="shared" si="13"/>
        <v/>
      </c>
      <c xmlns="http://schemas.openxmlformats.org/spreadsheetml/2006/main" r="W303" s="18" t="str">
        <f t="shared" si="14"/>
        <v/>
      </c>
      <c r="X303" s="22"/>
      <c r="Y303" s="22"/>
      <c xmlns="http://schemas.openxmlformats.org/spreadsheetml/2006/main" r="Z303">
        <f>IF($D303="",0,IF(COUNTIF($D$5:$D303,$D303)=1,1,0))</f>
        <v>0.0</v>
      </c>
      <c xmlns="http://schemas.openxmlformats.org/spreadsheetml/2006/main" r="AA303" t="str">
        <f>IF(Z303=1,SUM($Z$5:$Z303),"")</f>
        <v/>
      </c>
    </row>
    <row r="304" spans="1:27">
      <c r="B304" s="22"/>
      <c r="C304" s="22"/>
      <c r="D304" s="22"/>
      <c r="E304" s="22"/>
      <c r="F304" s="23"/>
      <c r="G304" s="23"/>
      <c r="H304" s="24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6"/>
      <c xmlns="http://schemas.openxmlformats.org/spreadsheetml/2006/main" r="U304" s="23" t="str">
        <f t="shared" si="12"/>
        <v/>
      </c>
      <c xmlns="http://schemas.openxmlformats.org/spreadsheetml/2006/main" r="V304" s="22" t="str">
        <f t="shared" si="13"/>
        <v/>
      </c>
      <c xmlns="http://schemas.openxmlformats.org/spreadsheetml/2006/main" r="W304" s="18" t="str">
        <f t="shared" si="14"/>
        <v/>
      </c>
      <c r="X304" s="22"/>
      <c r="Y304" s="22"/>
      <c xmlns="http://schemas.openxmlformats.org/spreadsheetml/2006/main" r="Z304">
        <f>IF($D304="",0,IF(COUNTIF($D$5:$D304,$D304)=1,1,0))</f>
        <v>0.0</v>
      </c>
      <c xmlns="http://schemas.openxmlformats.org/spreadsheetml/2006/main" r="AA304" t="str">
        <f>IF(Z304=1,SUM($Z$5:$Z304),"")</f>
        <v/>
      </c>
    </row>
  </sheetData>
  <autoFilter ref="A4:Y304"/>
  <mergeCells count="29">
    <mergeCell ref="A3:A4"/>
    <mergeCell ref="A1:Y1"/>
    <mergeCell ref="A2:H2"/>
    <mergeCell ref="I2:T2"/>
    <mergeCell ref="U2:W2"/>
    <mergeCell ref="X2:Y2"/>
    <mergeCell ref="B3:B4"/>
    <mergeCell ref="C3:C4"/>
    <mergeCell ref="D3:D4"/>
    <mergeCell ref="E3:E4"/>
    <mergeCell ref="F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W3:W4"/>
    <mergeCell ref="X3:X4"/>
    <mergeCell ref="Y3:Y4"/>
    <mergeCell ref="R3:R4"/>
    <mergeCell ref="S3:S4"/>
    <mergeCell ref="T3:T4"/>
    <mergeCell ref="U3:U4"/>
    <mergeCell ref="V3:V4"/>
  </mergeCells>
  <phoneticPr fontId="26" type="noConversion"/>
  <conditionalFormatting sqref="B5:H304">
    <cfRule type="expression" dxfId="9" priority="5">
      <formula>ISNUMBER(SEARCH("⚠",$V5))</formula>
    </cfRule>
  </conditionalFormatting>
  <conditionalFormatting sqref="V5:V304">
    <cfRule type="expression" dxfId="8" priority="9">
      <formula>ISNUMBER(SEARCH("⚠",$V5))</formula>
    </cfRule>
    <cfRule type="expression" dxfId="7" priority="10">
      <formula>$V5="▲ 單一設備依賴"</formula>
    </cfRule>
    <cfRule type="expression" dxfId="6" priority="11">
      <formula>$V5="○ 免調理"</formula>
    </cfRule>
    <cfRule type="expression" dxfId="5" priority="12">
      <formula>$V5="OK"</formula>
    </cfRule>
  </conditionalFormatting>
  <conditionalFormatting sqref="A5:A292">
    <cfRule type="expression" dxfId="4" priority="4">
      <formula>ISNUMBER(SEARCH("⚠",$V5))</formula>
    </cfRule>
  </conditionalFormatting>
  <conditionalFormatting xmlns="http://schemas.openxmlformats.org/spreadsheetml/2006/main" sqref="A5:A304">
    <cfRule type="expression" dxfId="35" priority="1" stopIfTrue="1">
      <formula>AND($D5&lt;&gt;"",OR($A5="",COUNTIFS($D$5:$D$304,$D5,$A$5:$A$304,$A5)&lt;&gt;COUNTIF($D$5:$D$304,$D5)))</formula>
    </cfRule>
  </conditionalFormatting>
  <conditionalFormatting xmlns="http://schemas.openxmlformats.org/spreadsheetml/2006/main" sqref="Y5:Y304">
    <cfRule type="expression" dxfId="34" priority="2" stopIfTrue="1">
      <formula>AND($E5&lt;&gt;"",$Y5="")</formula>
    </cfRule>
  </conditionalFormatting>
  <conditionalFormatting xmlns="http://schemas.openxmlformats.org/spreadsheetml/2006/main" sqref="G5:G304">
    <cfRule type="expression" dxfId="34" priority="3" stopIfTrue="1">
      <formula>AND($E5&lt;&gt;"",$F5&lt;&gt;"",$G5="")</formula>
    </cfRule>
  </conditionalFormatting>
  <dataValidations xmlns="http://schemas.openxmlformats.org/spreadsheetml/2006/main" count="4">
    <dataValidation type="list" allowBlank="1" sqref="B5:B304" showDropDown="0" showErrorMessage="1" errorStyle="stop" errorTitle="請使用下拉選單" error="請選擇選單中的項目，或清除儲存格。">
      <formula1>"大溪,新豐,長家,晉欣"</formula1>
    </dataValidation>
    <dataValidation type="list" allowBlank="1" sqref="G5:G304" showDropDown="0" showErrorMessage="1" errorStyle="stop" errorTitle="請使用下拉選單" error="請選擇選單中的項目，或清除儲存格。">
      <formula1>"公克,個"</formula1>
    </dataValidation>
    <dataValidation type="list" allowBlank="1" sqref="I5:T304" showDropDown="0" showErrorMessage="1" errorStyle="stop" errorTitle="請使用下拉選單" error="請選擇選單中的項目，或清除儲存格。">
      <formula1>"V"</formula1>
    </dataValidation>
    <dataValidation type="list" sqref="A5:A304" allowBlank="1" showDropDown="0" showErrorMessage="1" errorStyle="stop" errorTitle="請使用下拉選單" error="請選擇選單中的項目，或清除儲存格。">
      <formula1>"架上,下架,待上架,-"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1:K28"/>
  <sheetViews>
    <sheetView showGridLines="0" topLeftCell="A34" zoomScaleNormal="100" workbookViewId="0">
      <selection activeCell="B53" sqref="B53"/>
    </sheetView>
  </sheetViews>
  <sheetFormatPr defaultColWidth="8.6328125" defaultRowHeight="14.5"/>
  <cols>
    <col min="1" max="1" width="3" customWidth="1"/>
    <col min="2" max="2" width="89.453125" bestFit="1" customWidth="1"/>
    <col min="3" max="8" width="13" customWidth="1"/>
    <col min="9" max="9" width="16" customWidth="1"/>
    <col min="10" max="10" width="14" customWidth="1"/>
    <col min="11" max="11" width="42" customWidth="1"/>
  </cols>
  <sheetData>
    <row r="1" spans="2:11" ht="18">
      <c r="B1" s="29" t="s">
        <v>82</v>
      </c>
    </row>
    <row r="2" spans="2:11">
      <c r="B2" s="19" t="s">
        <v>83</v>
      </c>
    </row>
    <row r="3" spans="2:11">
      <c r="B3" s="30" t="s">
        <v>84</v>
      </c>
      <c r="C3" s="31">
        <v>0.3</v>
      </c>
      <c r="D3" s="32" t="s">
        <v>85</v>
      </c>
    </row>
    <row r="4" spans="2:11">
      <c r="B4" s="30" t="s">
        <v>86</v>
      </c>
      <c r="C4" s="31">
        <v>0.15</v>
      </c>
      <c r="D4" s="32" t="s">
        <v>87</v>
      </c>
    </row>
    <row r="5" spans="2:11">
      <c r="B5" s="30" t="s">
        <v>88</v>
      </c>
      <c r="C5" s="33">
        <v>0</v>
      </c>
      <c r="D5" s="32" t="s">
        <v>89</v>
      </c>
    </row>
    <row r="7" spans="2:11">
      <c r="B7" s="34" t="s">
        <v>90</v>
      </c>
    </row>
    <row r="8" spans="2:11">
      <c r="B8" s="6" t="s">
        <v>12</v>
      </c>
      <c r="C8" s="35" t="s">
        <v>17</v>
      </c>
      <c r="D8" s="35" t="s">
        <v>91</v>
      </c>
      <c r="E8" s="35" t="s">
        <v>92</v>
      </c>
      <c r="F8" s="35" t="s">
        <v>93</v>
      </c>
      <c r="G8" s="6" t="s">
        <v>21</v>
      </c>
      <c r="H8" s="6" t="s">
        <v>22</v>
      </c>
    </row>
    <row r="9" spans="2:11">
      <c r="B9" s="36" t="s">
        <v>15</v>
      </c>
      <c xmlns="http://schemas.openxmlformats.org/spreadsheetml/2006/main" r="C9" s="7">
        <f>COUNTA('18℃'!$D$5:$D$304)</f>
        <v>0.0</v>
      </c>
      <c xmlns="http://schemas.openxmlformats.org/spreadsheetml/2006/main" r="D9" s="7">
        <f>COUNTA('4℃飯'!$D$5:$D$304)</f>
        <v>0.0</v>
      </c>
      <c xmlns="http://schemas.openxmlformats.org/spreadsheetml/2006/main" r="E9" s="7">
        <f>COUNTA('4℃麵'!$E$5:$E$292)</f>
        <v>148.0</v>
      </c>
      <c xmlns="http://schemas.openxmlformats.org/spreadsheetml/2006/main" r="F9" s="7">
        <f>COUNTA('4℃其他'!$E$5:$E$304)</f>
        <v>21.0</v>
      </c>
      <c xmlns="http://schemas.openxmlformats.org/spreadsheetml/2006/main" r="G9" s="7">
        <f>COUNTA(冷凍品!$E$5:$E$304)</f>
        <v>29.0</v>
      </c>
      <c xmlns="http://schemas.openxmlformats.org/spreadsheetml/2006/main" r="H9" s="10">
        <f>SUM(C9:G9)</f>
        <v>198.0</v>
      </c>
    </row>
    <row r="10" spans="2:11">
      <c r="B10" s="36" t="s">
        <v>94</v>
      </c>
      <c xmlns="http://schemas.openxmlformats.org/spreadsheetml/2006/main" r="C10" s="7">
        <f>COUNTIF('18℃'!$U$5:$U$304,"⚠ 資料缺漏")</f>
        <v>0.0</v>
      </c>
      <c xmlns="http://schemas.openxmlformats.org/spreadsheetml/2006/main" r="D10" s="7">
        <f>COUNTIF('4℃飯'!$U$5:$U$304,"⚠ 資料缺漏")</f>
        <v>0.0</v>
      </c>
      <c xmlns="http://schemas.openxmlformats.org/spreadsheetml/2006/main" r="E10" s="7">
        <f>COUNTIF('4℃麵'!$V$5:$V$292,"⚠ 資料缺漏")</f>
        <v>0.0</v>
      </c>
      <c xmlns="http://schemas.openxmlformats.org/spreadsheetml/2006/main" r="F10" s="7">
        <f>COUNTIF('4℃其他'!$V$5:$V$304,"⚠ 資料缺漏")</f>
        <v>0.0</v>
      </c>
      <c xmlns="http://schemas.openxmlformats.org/spreadsheetml/2006/main" r="G10" s="7">
        <f>COUNTIF(冷凍品!$V$5:$V$304,"⚠ 資料缺漏")</f>
        <v>0.0</v>
      </c>
      <c xmlns="http://schemas.openxmlformats.org/spreadsheetml/2006/main" r="H10" s="10">
        <f>SUM(C10:G10)</f>
        <v>0.0</v>
      </c>
    </row>
    <row r="11" spans="2:11">
      <c r="B11" s="36" t="s">
        <v>95</v>
      </c>
      <c xmlns="http://schemas.openxmlformats.org/spreadsheetml/2006/main" r="C11" s="7">
        <f>COUNTIF('18℃'!$U$5:$U$304,"⚠ 勾選矛盾")</f>
        <v>0.0</v>
      </c>
      <c xmlns="http://schemas.openxmlformats.org/spreadsheetml/2006/main" r="D11" s="7">
        <f>COUNTIF('4℃飯'!$U$5:$U$304,"⚠ 勾選矛盾")</f>
        <v>0.0</v>
      </c>
      <c xmlns="http://schemas.openxmlformats.org/spreadsheetml/2006/main" r="E11" s="7">
        <f>COUNTIF('4℃麵'!$V$5:$V$292,"⚠ 勾選矛盾")</f>
        <v>0.0</v>
      </c>
      <c xmlns="http://schemas.openxmlformats.org/spreadsheetml/2006/main" r="F11" s="7">
        <f>COUNTIF('4℃其他'!$V$5:$V$304,"⚠ 勾選矛盾")</f>
        <v>0.0</v>
      </c>
      <c xmlns="http://schemas.openxmlformats.org/spreadsheetml/2006/main" r="G11" s="7">
        <f>COUNTIF(冷凍品!$V$5:$V$304,"⚠ 勾選矛盾")</f>
        <v>0.0</v>
      </c>
      <c xmlns="http://schemas.openxmlformats.org/spreadsheetml/2006/main" r="H11" s="10">
        <f>SUM(C11:G11)</f>
        <v>0.0</v>
      </c>
    </row>
    <row r="12" spans="2:11">
      <c r="B12" s="36" t="s">
        <v>9</v>
      </c>
      <c xmlns="http://schemas.openxmlformats.org/spreadsheetml/2006/main" r="C12" s="7">
        <f>COUNTIF('18℃'!$U$5:$U$304,"▲ 單一設備依賴")</f>
        <v>0.0</v>
      </c>
      <c xmlns="http://schemas.openxmlformats.org/spreadsheetml/2006/main" r="D12" s="7">
        <f>COUNTIF('4℃飯'!$U$5:$U$304,"▲ 單一設備依賴")</f>
        <v>0.0</v>
      </c>
      <c xmlns="http://schemas.openxmlformats.org/spreadsheetml/2006/main" r="E12" s="7">
        <f>COUNTIF('4℃麵'!$V$5:$V$292,"▲ 單一設備依賴")</f>
        <v>99.0</v>
      </c>
      <c xmlns="http://schemas.openxmlformats.org/spreadsheetml/2006/main" r="F12" s="7">
        <f>COUNTIF('4℃其他'!$V$5:$V$304,"▲ 單一設備依賴")</f>
        <v>16.0</v>
      </c>
      <c xmlns="http://schemas.openxmlformats.org/spreadsheetml/2006/main" r="G12" s="7">
        <f>COUNTIF(冷凍品!$V$5:$V$304,"▲ 單一設備依賴")</f>
        <v>26.0</v>
      </c>
      <c xmlns="http://schemas.openxmlformats.org/spreadsheetml/2006/main" r="H12" s="10">
        <f>SUM(C12:G12)</f>
        <v>141.0</v>
      </c>
    </row>
    <row r="13" spans="2:11">
      <c r="B13" s="36" t="s">
        <v>96</v>
      </c>
      <c xmlns="http://schemas.openxmlformats.org/spreadsheetml/2006/main" r="C13" s="7">
        <f>COUNTIF('18℃'!$U$5:$U$304,"○ 免調理")</f>
        <v>0.0</v>
      </c>
      <c xmlns="http://schemas.openxmlformats.org/spreadsheetml/2006/main" r="D13" s="7">
        <f>COUNTIF('4℃飯'!$U$5:$U$304,"○ 免調理")</f>
        <v>0.0</v>
      </c>
      <c xmlns="http://schemas.openxmlformats.org/spreadsheetml/2006/main" r="E13" s="7">
        <f>COUNTIF('4℃麵'!$V$5:$V$292,"○ 免調理")</f>
        <v>44.0</v>
      </c>
      <c xmlns="http://schemas.openxmlformats.org/spreadsheetml/2006/main" r="F13" s="7">
        <f>COUNTIF('4℃其他'!$V$5:$V$304,"○ 免調理")</f>
        <v>4.0</v>
      </c>
      <c xmlns="http://schemas.openxmlformats.org/spreadsheetml/2006/main" r="G13" s="7">
        <f>COUNTIF(冷凍品!$V$5:$V$304,"○ 免調理")</f>
        <v>3.0</v>
      </c>
      <c xmlns="http://schemas.openxmlformats.org/spreadsheetml/2006/main" r="H13" s="10">
        <f>SUM(C13:G13)</f>
        <v>51.0</v>
      </c>
    </row>
    <row r="15" spans="2:11">
      <c r="B15" s="34" t="s">
        <v>97</v>
      </c>
    </row>
    <row r="16" spans="2:11" ht="24" customHeight="1">
      <c r="B16" s="37" t="s">
        <v>98</v>
      </c>
      <c r="C16" s="38" t="s">
        <v>17</v>
      </c>
      <c r="D16" s="38" t="s">
        <v>91</v>
      </c>
      <c r="E16" s="38" t="s">
        <v>92</v>
      </c>
      <c r="F16" s="38" t="s">
        <v>93</v>
      </c>
      <c r="G16" s="37" t="s">
        <v>21</v>
      </c>
      <c r="H16" s="37" t="s">
        <v>22</v>
      </c>
      <c r="I16" s="37" t="s">
        <v>99</v>
      </c>
      <c r="J16" s="37" t="s">
        <v>100</v>
      </c>
      <c r="K16" s="37" t="s">
        <v>101</v>
      </c>
    </row>
    <row r="17" spans="2:11" ht="25.5" customHeight="1">
      <c r="B17" s="27" t="s">
        <v>53</v>
      </c>
      <c xmlns="http://schemas.openxmlformats.org/spreadsheetml/2006/main" r="C17" s="23">
        <f>COUNTIF('18℃'!$H$5:$H$304,"V")</f>
        <v>0.0</v>
      </c>
      <c xmlns="http://schemas.openxmlformats.org/spreadsheetml/2006/main" r="D17" s="23">
        <f>COUNTIF('4℃飯'!$H$5:$H$304,"V")</f>
        <v>0.0</v>
      </c>
      <c xmlns="http://schemas.openxmlformats.org/spreadsheetml/2006/main" r="E17" s="23">
        <f>COUNTIF('4℃麵'!$I$5:$I$292,"V")</f>
        <v>0.0</v>
      </c>
      <c xmlns="http://schemas.openxmlformats.org/spreadsheetml/2006/main" r="F17" s="23">
        <f>COUNTIF('4℃其他'!$I$5:$I$304,"V")</f>
        <v>0.0</v>
      </c>
      <c xmlns="http://schemas.openxmlformats.org/spreadsheetml/2006/main" r="G17" s="23">
        <f>COUNTIF(冷凍品!$I$5:$I$304,"V")</f>
        <v>0.0</v>
      </c>
      <c xmlns="http://schemas.openxmlformats.org/spreadsheetml/2006/main" r="H17" s="39">
        <f t="shared" ref="H17:H28" si="0">SUM(C17:G17)</f>
        <v>0.0</v>
      </c>
      <c xmlns="http://schemas.openxmlformats.org/spreadsheetml/2006/main" r="I17" s="40">
        <f t="shared" ref="I17:I28" si="1">IF($H$9=0,0,H17/$H$9)</f>
        <v>0.0</v>
      </c>
      <c xmlns="http://schemas.openxmlformats.org/spreadsheetml/2006/main" r="J17" s="28" t="str">
        <f t="shared" ref="J17:J27" si="2">IF(H17&lt;=$C$5,"⬜ 閒置確認",IF(I17&gt;=$C$3,"🔴 高依賴",IF(I17&gt;=$C$4,"🟡 中度關注","🟢 正常")))</f>
        <v>⬜ 閒置確認</v>
      </c>
      <c xmlns="http://schemas.openxmlformats.org/spreadsheetml/2006/main" r="K17" s="41" t="str">
        <f t="shared" ref="K17:K27" si="3">IF(H17&lt;=$C$5,"目前無半成品應用，確認設備是否閒置或盤點未涵蓋",IF(I17&gt;=$C$3,"多數半成品集中依賴此設備，故障影響面大，建議盤點備援製程與保養頻率",IF(I17&gt;=$C$4,"依賴度偏高，建議列入產能與排修監控","無異常")))</f>
        <v>目前無半成品應用，確認設備是否閒置或盤點未涵蓋</v>
      </c>
    </row>
    <row r="18" spans="2:11" ht="25.5" customHeight="1">
      <c r="B18" s="27" t="s">
        <v>54</v>
      </c>
      <c xmlns="http://schemas.openxmlformats.org/spreadsheetml/2006/main" r="C18" s="23">
        <f>COUNTIF('18℃'!$I$5:$I$304,"V")</f>
        <v>0.0</v>
      </c>
      <c xmlns="http://schemas.openxmlformats.org/spreadsheetml/2006/main" r="D18" s="23">
        <f>COUNTIF('4℃飯'!$I$5:$I$304,"V")</f>
        <v>0.0</v>
      </c>
      <c xmlns="http://schemas.openxmlformats.org/spreadsheetml/2006/main" r="E18" s="23">
        <f>COUNTIF('4℃麵'!$J$5:$J$292,"V")</f>
        <v>26.0</v>
      </c>
      <c xmlns="http://schemas.openxmlformats.org/spreadsheetml/2006/main" r="F18" s="23">
        <f>COUNTIF('4℃其他'!$J$5:$J$304,"V")</f>
        <v>4.0</v>
      </c>
      <c xmlns="http://schemas.openxmlformats.org/spreadsheetml/2006/main" r="G18" s="23">
        <f>COUNTIF(冷凍品!$J$5:$J$304,"V")</f>
        <v>9.0</v>
      </c>
      <c xmlns="http://schemas.openxmlformats.org/spreadsheetml/2006/main" r="H18" s="39">
        <f t="shared" si="0"/>
        <v>39.0</v>
      </c>
      <c xmlns="http://schemas.openxmlformats.org/spreadsheetml/2006/main" r="I18" s="40">
        <f t="shared" si="1"/>
        <v>0.196969696969697</v>
      </c>
      <c xmlns="http://schemas.openxmlformats.org/spreadsheetml/2006/main" r="J18" s="28" t="str">
        <f t="shared" si="2"/>
        <v>🟡 中度關注</v>
      </c>
      <c xmlns="http://schemas.openxmlformats.org/spreadsheetml/2006/main" r="K18" s="41" t="str">
        <f t="shared" si="3"/>
        <v>依賴度偏高，建議列入產能與排修監控</v>
      </c>
    </row>
    <row r="19" spans="2:11" ht="25.5" customHeight="1">
      <c r="B19" s="27" t="s">
        <v>55</v>
      </c>
      <c xmlns="http://schemas.openxmlformats.org/spreadsheetml/2006/main" r="C19" s="23">
        <f>COUNTIF('18℃'!$J$5:$J$304,"V")</f>
        <v>0.0</v>
      </c>
      <c xmlns="http://schemas.openxmlformats.org/spreadsheetml/2006/main" r="D19" s="23">
        <f>COUNTIF('4℃飯'!$J$5:$J$304,"V")</f>
        <v>0.0</v>
      </c>
      <c xmlns="http://schemas.openxmlformats.org/spreadsheetml/2006/main" r="E19" s="23">
        <f>COUNTIF('4℃麵'!$K$5:$K$292,"V")</f>
        <v>12.0</v>
      </c>
      <c xmlns="http://schemas.openxmlformats.org/spreadsheetml/2006/main" r="F19" s="23">
        <f>COUNTIF('4℃其他'!$K$5:$K$304,"V")</f>
        <v>0.0</v>
      </c>
      <c xmlns="http://schemas.openxmlformats.org/spreadsheetml/2006/main" r="G19" s="23">
        <f>COUNTIF(冷凍品!$K$5:$K$304,"V")</f>
        <v>1.0</v>
      </c>
      <c xmlns="http://schemas.openxmlformats.org/spreadsheetml/2006/main" r="H19" s="39">
        <f t="shared" si="0"/>
        <v>13.0</v>
      </c>
      <c xmlns="http://schemas.openxmlformats.org/spreadsheetml/2006/main" r="I19" s="40">
        <f t="shared" si="1"/>
        <v>0.0656565656565657</v>
      </c>
      <c xmlns="http://schemas.openxmlformats.org/spreadsheetml/2006/main" r="J19" s="28" t="str">
        <f t="shared" si="2"/>
        <v>🟢 正常</v>
      </c>
      <c xmlns="http://schemas.openxmlformats.org/spreadsheetml/2006/main" r="K19" s="41" t="str">
        <f t="shared" si="3"/>
        <v>無異常</v>
      </c>
    </row>
    <row r="20" spans="2:11" ht="25.5" customHeight="1">
      <c r="B20" s="27" t="s">
        <v>56</v>
      </c>
      <c xmlns="http://schemas.openxmlformats.org/spreadsheetml/2006/main" r="C20" s="23">
        <f>COUNTIF('18℃'!$K$5:$K$304,"V")</f>
        <v>0.0</v>
      </c>
      <c xmlns="http://schemas.openxmlformats.org/spreadsheetml/2006/main" r="D20" s="23">
        <f>COUNTIF('4℃飯'!$K$5:$K$304,"V")</f>
        <v>0.0</v>
      </c>
      <c xmlns="http://schemas.openxmlformats.org/spreadsheetml/2006/main" r="E20" s="23">
        <f>COUNTIF('4℃麵'!$L$5:$L$292,"V")</f>
        <v>0.0</v>
      </c>
      <c xmlns="http://schemas.openxmlformats.org/spreadsheetml/2006/main" r="F20" s="23">
        <f>COUNTIF('4℃其他'!$L$5:$L$304,"V")</f>
        <v>0.0</v>
      </c>
      <c xmlns="http://schemas.openxmlformats.org/spreadsheetml/2006/main" r="G20" s="23">
        <f>COUNTIF(冷凍品!$L$5:$L$304,"V")</f>
        <v>0.0</v>
      </c>
      <c xmlns="http://schemas.openxmlformats.org/spreadsheetml/2006/main" r="H20" s="39">
        <f t="shared" si="0"/>
        <v>0.0</v>
      </c>
      <c xmlns="http://schemas.openxmlformats.org/spreadsheetml/2006/main" r="I20" s="40">
        <f t="shared" si="1"/>
        <v>0.0</v>
      </c>
      <c xmlns="http://schemas.openxmlformats.org/spreadsheetml/2006/main" r="J20" s="28" t="str">
        <f t="shared" si="2"/>
        <v>⬜ 閒置確認</v>
      </c>
      <c xmlns="http://schemas.openxmlformats.org/spreadsheetml/2006/main" r="K20" s="41" t="str">
        <f t="shared" si="3"/>
        <v>目前無半成品應用，確認設備是否閒置或盤點未涵蓋</v>
      </c>
    </row>
    <row r="21" spans="2:11" ht="25.5" customHeight="1">
      <c r="B21" s="27" t="s">
        <v>57</v>
      </c>
      <c xmlns="http://schemas.openxmlformats.org/spreadsheetml/2006/main" r="C21" s="23">
        <f>COUNTIF('18℃'!$L$5:$L$304,"V")</f>
        <v>0.0</v>
      </c>
      <c xmlns="http://schemas.openxmlformats.org/spreadsheetml/2006/main" r="D21" s="23">
        <f>COUNTIF('4℃飯'!$L$5:$L$304,"V")</f>
        <v>0.0</v>
      </c>
      <c xmlns="http://schemas.openxmlformats.org/spreadsheetml/2006/main" r="E21" s="23">
        <f>COUNTIF('4℃麵'!$M$5:$M$292,"V")</f>
        <v>7.0</v>
      </c>
      <c xmlns="http://schemas.openxmlformats.org/spreadsheetml/2006/main" r="F21" s="23">
        <f>COUNTIF('4℃其他'!$M$5:$M$304,"V")</f>
        <v>0.0</v>
      </c>
      <c xmlns="http://schemas.openxmlformats.org/spreadsheetml/2006/main" r="G21" s="23">
        <f>COUNTIF(冷凍品!$M$5:$M$304,"V")</f>
        <v>2.0</v>
      </c>
      <c xmlns="http://schemas.openxmlformats.org/spreadsheetml/2006/main" r="H21" s="39">
        <f t="shared" si="0"/>
        <v>9.0</v>
      </c>
      <c xmlns="http://schemas.openxmlformats.org/spreadsheetml/2006/main" r="I21" s="40">
        <f t="shared" si="1"/>
        <v>0.0454545454545455</v>
      </c>
      <c xmlns="http://schemas.openxmlformats.org/spreadsheetml/2006/main" r="J21" s="28" t="str">
        <f t="shared" si="2"/>
        <v>🟢 正常</v>
      </c>
      <c xmlns="http://schemas.openxmlformats.org/spreadsheetml/2006/main" r="K21" s="41" t="str">
        <f t="shared" si="3"/>
        <v>無異常</v>
      </c>
    </row>
    <row r="22" spans="2:11" ht="25.5" customHeight="1">
      <c r="B22" s="27" t="s">
        <v>58</v>
      </c>
      <c xmlns="http://schemas.openxmlformats.org/spreadsheetml/2006/main" r="C22" s="23">
        <f>COUNTIF('18℃'!$M$5:$M$304,"V")</f>
        <v>0.0</v>
      </c>
      <c xmlns="http://schemas.openxmlformats.org/spreadsheetml/2006/main" r="D22" s="23">
        <f>COUNTIF('4℃飯'!$M$5:$M$304,"V")</f>
        <v>0.0</v>
      </c>
      <c xmlns="http://schemas.openxmlformats.org/spreadsheetml/2006/main" r="E22" s="23">
        <f>COUNTIF('4℃麵'!$N$5:$N$292,"V")</f>
        <v>0.0</v>
      </c>
      <c xmlns="http://schemas.openxmlformats.org/spreadsheetml/2006/main" r="F22" s="23">
        <f>COUNTIF('4℃其他'!$N$5:$N$304,"V")</f>
        <v>0.0</v>
      </c>
      <c xmlns="http://schemas.openxmlformats.org/spreadsheetml/2006/main" r="G22" s="23">
        <f>COUNTIF(冷凍品!$N$5:$N$304,"V")</f>
        <v>0.0</v>
      </c>
      <c xmlns="http://schemas.openxmlformats.org/spreadsheetml/2006/main" r="H22" s="39">
        <f t="shared" si="0"/>
        <v>0.0</v>
      </c>
      <c xmlns="http://schemas.openxmlformats.org/spreadsheetml/2006/main" r="I22" s="40">
        <f t="shared" si="1"/>
        <v>0.0</v>
      </c>
      <c xmlns="http://schemas.openxmlformats.org/spreadsheetml/2006/main" r="J22" s="28" t="str">
        <f t="shared" si="2"/>
        <v>⬜ 閒置確認</v>
      </c>
      <c xmlns="http://schemas.openxmlformats.org/spreadsheetml/2006/main" r="K22" s="41" t="str">
        <f t="shared" si="3"/>
        <v>目前無半成品應用，確認設備是否閒置或盤點未涵蓋</v>
      </c>
    </row>
    <row r="23" spans="2:11" ht="25.5" customHeight="1">
      <c r="B23" s="27" t="s">
        <v>59</v>
      </c>
      <c xmlns="http://schemas.openxmlformats.org/spreadsheetml/2006/main" r="C23" s="23">
        <f>COUNTIF('18℃'!$N$5:$N$304,"V")</f>
        <v>0.0</v>
      </c>
      <c xmlns="http://schemas.openxmlformats.org/spreadsheetml/2006/main" r="D23" s="23">
        <f>COUNTIF('4℃飯'!$N$5:$N$304,"V")</f>
        <v>0.0</v>
      </c>
      <c xmlns="http://schemas.openxmlformats.org/spreadsheetml/2006/main" r="E23" s="23">
        <f>COUNTIF('4℃麵'!$O$5:$O$292,"V")</f>
        <v>63.0</v>
      </c>
      <c xmlns="http://schemas.openxmlformats.org/spreadsheetml/2006/main" r="F23" s="23">
        <f>COUNTIF('4℃其他'!$O$5:$O$304,"V")</f>
        <v>14.0</v>
      </c>
      <c xmlns="http://schemas.openxmlformats.org/spreadsheetml/2006/main" r="G23" s="23">
        <f>COUNTIF(冷凍品!$O$5:$O$304,"V")</f>
        <v>14.0</v>
      </c>
      <c xmlns="http://schemas.openxmlformats.org/spreadsheetml/2006/main" r="H23" s="39">
        <f t="shared" si="0"/>
        <v>91.0</v>
      </c>
      <c xmlns="http://schemas.openxmlformats.org/spreadsheetml/2006/main" r="I23" s="40">
        <f t="shared" si="1"/>
        <v>0.45959595959596</v>
      </c>
      <c xmlns="http://schemas.openxmlformats.org/spreadsheetml/2006/main" r="J23" s="28" t="str">
        <f t="shared" si="2"/>
        <v>🔴 高依賴</v>
      </c>
      <c xmlns="http://schemas.openxmlformats.org/spreadsheetml/2006/main" r="K23" s="41" t="str">
        <f t="shared" si="3"/>
        <v>多數半成品集中依賴此設備，故障影響面大，建議盤點備援製程與保養頻率</v>
      </c>
    </row>
    <row r="24" spans="2:11" ht="25.5" customHeight="1">
      <c r="B24" s="27" t="s">
        <v>102</v>
      </c>
      <c xmlns="http://schemas.openxmlformats.org/spreadsheetml/2006/main" r="C24" s="23">
        <f>COUNTIF('18℃'!$O$5:$O$304,"V")</f>
        <v>0.0</v>
      </c>
      <c xmlns="http://schemas.openxmlformats.org/spreadsheetml/2006/main" r="D24" s="23">
        <f>COUNTIF('4℃飯'!$O$5:$O$304,"V")</f>
        <v>0.0</v>
      </c>
      <c xmlns="http://schemas.openxmlformats.org/spreadsheetml/2006/main" r="E24" s="23">
        <f>COUNTIF('4℃麵'!$P$5:$P$292,"V")</f>
        <v>1.0</v>
      </c>
      <c xmlns="http://schemas.openxmlformats.org/spreadsheetml/2006/main" r="F24" s="23">
        <f>COUNTIF('4℃其他'!$P$5:$P$304,"V")</f>
        <v>0.0</v>
      </c>
      <c xmlns="http://schemas.openxmlformats.org/spreadsheetml/2006/main" r="G24" s="23">
        <f>COUNTIF(冷凍品!$P$5:$P$304,"V")</f>
        <v>0.0</v>
      </c>
      <c xmlns="http://schemas.openxmlformats.org/spreadsheetml/2006/main" r="H24" s="39">
        <f t="shared" si="0"/>
        <v>1.0</v>
      </c>
      <c xmlns="http://schemas.openxmlformats.org/spreadsheetml/2006/main" r="I24" s="40">
        <f t="shared" si="1"/>
        <v>0.00505050505050505</v>
      </c>
      <c xmlns="http://schemas.openxmlformats.org/spreadsheetml/2006/main" r="J24" s="28" t="str">
        <f t="shared" si="2"/>
        <v>🟢 正常</v>
      </c>
      <c xmlns="http://schemas.openxmlformats.org/spreadsheetml/2006/main" r="K24" s="41" t="str">
        <f t="shared" si="3"/>
        <v>無異常</v>
      </c>
    </row>
    <row r="25" spans="2:11" ht="25.5" customHeight="1">
      <c r="B25" s="27" t="s">
        <v>103</v>
      </c>
      <c xmlns="http://schemas.openxmlformats.org/spreadsheetml/2006/main" r="C25" s="23">
        <f>COUNTIF('18℃'!$P$5:$P$304,"V")</f>
        <v>0.0</v>
      </c>
      <c xmlns="http://schemas.openxmlformats.org/spreadsheetml/2006/main" r="D25" s="23">
        <f>COUNTIF('4℃飯'!$P$5:$P$304,"V")</f>
        <v>0.0</v>
      </c>
      <c xmlns="http://schemas.openxmlformats.org/spreadsheetml/2006/main" r="E25" s="23">
        <f>COUNTIF('4℃麵'!$Q$5:$Q$292,"V")</f>
        <v>3.0</v>
      </c>
      <c xmlns="http://schemas.openxmlformats.org/spreadsheetml/2006/main" r="F25" s="23">
        <f>COUNTIF('4℃其他'!$Q$5:$Q$304,"V")</f>
        <v>0.0</v>
      </c>
      <c xmlns="http://schemas.openxmlformats.org/spreadsheetml/2006/main" r="G25" s="23">
        <f>COUNTIF(冷凍品!$Q$5:$Q$304,"V")</f>
        <v>0.0</v>
      </c>
      <c xmlns="http://schemas.openxmlformats.org/spreadsheetml/2006/main" r="H25" s="39">
        <f t="shared" si="0"/>
        <v>3.0</v>
      </c>
      <c xmlns="http://schemas.openxmlformats.org/spreadsheetml/2006/main" r="I25" s="40">
        <f t="shared" si="1"/>
        <v>0.0151515151515152</v>
      </c>
      <c xmlns="http://schemas.openxmlformats.org/spreadsheetml/2006/main" r="J25" s="28" t="str">
        <f t="shared" si="2"/>
        <v>🟢 正常</v>
      </c>
      <c xmlns="http://schemas.openxmlformats.org/spreadsheetml/2006/main" r="K25" s="41" t="str">
        <f t="shared" si="3"/>
        <v>無異常</v>
      </c>
    </row>
    <row r="26" spans="2:11" ht="25.5" customHeight="1">
      <c r="B26" s="27" t="s">
        <v>62</v>
      </c>
      <c xmlns="http://schemas.openxmlformats.org/spreadsheetml/2006/main" r="C26" s="23">
        <f>COUNTIF('18℃'!$Q$5:$Q$304,"V")</f>
        <v>0.0</v>
      </c>
      <c xmlns="http://schemas.openxmlformats.org/spreadsheetml/2006/main" r="D26" s="23">
        <f>COUNTIF('4℃飯'!$Q$5:$Q$304,"V")</f>
        <v>0.0</v>
      </c>
      <c xmlns="http://schemas.openxmlformats.org/spreadsheetml/2006/main" r="E26" s="23">
        <f>COUNTIF('4℃麵'!$R$5:$R$292,"V")</f>
        <v>0.0</v>
      </c>
      <c xmlns="http://schemas.openxmlformats.org/spreadsheetml/2006/main" r="F26" s="23">
        <f>COUNTIF('4℃其他'!$R$5:$R$304,"V")</f>
        <v>0.0</v>
      </c>
      <c xmlns="http://schemas.openxmlformats.org/spreadsheetml/2006/main" r="G26" s="23">
        <f>COUNTIF(冷凍品!$R$5:$R$304,"V")</f>
        <v>0.0</v>
      </c>
      <c xmlns="http://schemas.openxmlformats.org/spreadsheetml/2006/main" r="H26" s="39">
        <f t="shared" si="0"/>
        <v>0.0</v>
      </c>
      <c xmlns="http://schemas.openxmlformats.org/spreadsheetml/2006/main" r="I26" s="40">
        <f t="shared" si="1"/>
        <v>0.0</v>
      </c>
      <c xmlns="http://schemas.openxmlformats.org/spreadsheetml/2006/main" r="J26" s="28" t="str">
        <f t="shared" si="2"/>
        <v>⬜ 閒置確認</v>
      </c>
      <c xmlns="http://schemas.openxmlformats.org/spreadsheetml/2006/main" r="K26" s="41" t="str">
        <f t="shared" si="3"/>
        <v>目前無半成品應用，確認設備是否閒置或盤點未涵蓋</v>
      </c>
    </row>
    <row r="27" spans="2:11" ht="25.5" customHeight="1">
      <c r="B27" s="27" t="s">
        <v>63</v>
      </c>
      <c xmlns="http://schemas.openxmlformats.org/spreadsheetml/2006/main" r="C27" s="23">
        <f>COUNTIF('18℃'!$R$5:$R$304,"V")</f>
        <v>0.0</v>
      </c>
      <c xmlns="http://schemas.openxmlformats.org/spreadsheetml/2006/main" r="D27" s="23">
        <f>COUNTIF('4℃飯'!$R$5:$R$304,"V")</f>
        <v>0.0</v>
      </c>
      <c xmlns="http://schemas.openxmlformats.org/spreadsheetml/2006/main" r="E27" s="23">
        <f>COUNTIF('4℃麵'!$S$5:$S$292,"V")</f>
        <v>0.0</v>
      </c>
      <c xmlns="http://schemas.openxmlformats.org/spreadsheetml/2006/main" r="F27" s="23">
        <f>COUNTIF('4℃其他'!$S$5:$S$304,"V")</f>
        <v>0.0</v>
      </c>
      <c xmlns="http://schemas.openxmlformats.org/spreadsheetml/2006/main" r="G27" s="23">
        <f>COUNTIF(冷凍品!$S$5:$S$304,"V")</f>
        <v>0.0</v>
      </c>
      <c xmlns="http://schemas.openxmlformats.org/spreadsheetml/2006/main" r="H27" s="39">
        <f t="shared" si="0"/>
        <v>0.0</v>
      </c>
      <c xmlns="http://schemas.openxmlformats.org/spreadsheetml/2006/main" r="I27" s="40">
        <f t="shared" si="1"/>
        <v>0.0</v>
      </c>
      <c xmlns="http://schemas.openxmlformats.org/spreadsheetml/2006/main" r="J27" s="28" t="str">
        <f t="shared" si="2"/>
        <v>⬜ 閒置確認</v>
      </c>
      <c xmlns="http://schemas.openxmlformats.org/spreadsheetml/2006/main" r="K27" s="41" t="str">
        <f t="shared" si="3"/>
        <v>目前無半成品應用，確認設備是否閒置或盤點未涵蓋</v>
      </c>
    </row>
    <row r="28" spans="2:11" ht="25.5" customHeight="1">
      <c r="B28" s="27" t="s">
        <v>104</v>
      </c>
      <c xmlns="http://schemas.openxmlformats.org/spreadsheetml/2006/main" r="C28" s="23">
        <f>COUNTIF('18℃'!$S$5:$S$304,"V")</f>
        <v>0.0</v>
      </c>
      <c xmlns="http://schemas.openxmlformats.org/spreadsheetml/2006/main" r="D28" s="23">
        <f>COUNTIF('4℃飯'!$S$5:$S$304,"V")</f>
        <v>0.0</v>
      </c>
      <c xmlns="http://schemas.openxmlformats.org/spreadsheetml/2006/main" r="E28" s="23">
        <f>COUNTIF('4℃麵'!$T$5:$T$292,"V")</f>
        <v>44.0</v>
      </c>
      <c xmlns="http://schemas.openxmlformats.org/spreadsheetml/2006/main" r="F28" s="23">
        <f>COUNTIF('4℃其他'!$T$5:$T$304,"V")</f>
        <v>4.0</v>
      </c>
      <c xmlns="http://schemas.openxmlformats.org/spreadsheetml/2006/main" r="G28" s="23">
        <f>COUNTIF(冷凍品!$T$5:$T$304,"V")</f>
        <v>3.0</v>
      </c>
      <c xmlns="http://schemas.openxmlformats.org/spreadsheetml/2006/main" r="H28" s="39">
        <f t="shared" si="0"/>
        <v>51.0</v>
      </c>
      <c xmlns="http://schemas.openxmlformats.org/spreadsheetml/2006/main" r="I28" s="40">
        <f t="shared" si="1"/>
        <v>0.257575757575758</v>
      </c>
      <c r="J28" s="23" t="s">
        <v>105</v>
      </c>
      <c r="K28" s="41" t="s">
        <v>106</v>
      </c>
    </row>
  </sheetData>
  <phoneticPr fontId="26" type="noConversion"/>
  <conditionalFormatting sqref="J17:J27">
    <cfRule type="expression" dxfId="3" priority="2">
      <formula>ISNUMBER(SEARCH("高依賴",$J17))</formula>
    </cfRule>
    <cfRule type="expression" dxfId="2" priority="3">
      <formula>ISNUMBER(SEARCH("中度關注",$J17))</formula>
    </cfRule>
    <cfRule type="expression" dxfId="1" priority="4">
      <formula>ISNUMBER(SEARCH("閒置",$J17))</formula>
    </cfRule>
    <cfRule type="expression" dxfId="0" priority="5">
      <formula>ISNUMBER(SEARCH("正常",$J17))</formula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總覽</vt:lpstr>
      <vt:lpstr>填寫說明</vt:lpstr>
      <vt:lpstr>18℃</vt:lpstr>
      <vt:lpstr>4℃飯</vt:lpstr>
      <vt:lpstr>4℃麵</vt:lpstr>
      <vt:lpstr>4℃其他</vt:lpstr>
      <vt:lpstr>冷凍品</vt:lpstr>
      <vt:lpstr>設備應用統計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莊子儀-食品研究所</cp:lastModifiedBy>
  <cp:revision>1</cp:revision>
  <dcterms:created xsi:type="dcterms:W3CDTF">2026-07-08T06:12:33Z</dcterms:created>
  <dcterms:modified xsi:type="dcterms:W3CDTF">2026-10-14T09:06:09Z</dcterms:modified>
  <dc:language>en-US</dc:language>
</cp:coreProperties>
</file>