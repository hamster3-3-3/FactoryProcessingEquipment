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食研所J槽\02.製管組\29.鮮食廠調理設備清單\調理設備\"/>
    </mc:Choice>
  </mc:AlternateContent>
  <bookViews>
    <workbookView xWindow="-120" yWindow="-120" windowWidth="21840" windowHeight="13740" tabRatio="500" activeTab="4"/>
  </bookViews>
  <sheets>
    <sheet name="總覽" sheetId="1" r:id="rId1"/>
    <sheet name="填寫說明" sheetId="2" r:id="rId2"/>
    <sheet name="18℃" sheetId="3" r:id="rId3"/>
    <sheet name="4℃飯" sheetId="4" r:id="rId4"/>
    <sheet name="4℃麵" sheetId="5" r:id="rId5"/>
    <sheet name="4℃其他" sheetId="6" r:id="rId6"/>
    <sheet name="冷凍品" sheetId="7" r:id="rId7"/>
    <sheet name="設備應用統計" sheetId="8" r:id="rId8"/>
  </sheets>
  <definedNames>
    <definedName name="_xlnm._FilterDatabase" localSheetId="2" hidden="1">'18℃'!$A$4:$AB$4</definedName>
    <definedName name="_xlnm._FilterDatabase" localSheetId="5" hidden="1">'4℃其他'!$B$4:$Y$256</definedName>
    <definedName name="_xlnm._FilterDatabase" localSheetId="3" hidden="1">'4℃飯'!$A$4:$AB$297</definedName>
    <definedName name="_xlnm._FilterDatabase" localSheetId="4" hidden="1">'4℃麵'!$B$4:$Y$292</definedName>
    <definedName name="_xlnm._FilterDatabase" localSheetId="6" hidden="1">冷凍品!$A$4:$Y$304</definedName>
  </definedNames>
  <calcPr calcId="162913"/>
</workbook>
</file>

<file path=xl/calcChain.xml><?xml version="1.0" encoding="utf-8"?>
<calcChain xmlns="http://schemas.openxmlformats.org/spreadsheetml/2006/main">
  <c r="U65" i="5" l="1"/>
  <c r="V65" i="5" s="1"/>
  <c r="Z65" i="5"/>
  <c r="AA65" i="5" s="1"/>
  <c r="U66" i="5"/>
  <c r="W66" i="5" s="1"/>
  <c r="Z66" i="5"/>
  <c r="AA66" i="5" s="1"/>
  <c r="V66" i="5" l="1"/>
  <c r="W65" i="5"/>
  <c r="AA6" i="3" l="1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258" i="4" l="1"/>
  <c r="AA258" i="4" s="1"/>
  <c r="U258" i="4"/>
  <c r="W258" i="4" s="1"/>
  <c r="Z257" i="4"/>
  <c r="AA257" i="4" s="1"/>
  <c r="U257" i="4"/>
  <c r="W257" i="4" s="1"/>
  <c r="Z256" i="4"/>
  <c r="AA256" i="4" s="1"/>
  <c r="V256" i="4"/>
  <c r="U256" i="4"/>
  <c r="W256" i="4" s="1"/>
  <c r="Z255" i="4"/>
  <c r="AA255" i="4" s="1"/>
  <c r="U255" i="4"/>
  <c r="V255" i="4" s="1"/>
  <c r="Z254" i="4"/>
  <c r="AA254" i="4" s="1"/>
  <c r="W254" i="4"/>
  <c r="V254" i="4"/>
  <c r="U254" i="4"/>
  <c r="Z253" i="4"/>
  <c r="AA253" i="4" s="1"/>
  <c r="V253" i="4"/>
  <c r="U253" i="4"/>
  <c r="W253" i="4" s="1"/>
  <c r="W255" i="4" l="1"/>
  <c r="V258" i="4"/>
  <c r="V257" i="4"/>
  <c r="U248" i="4" l="1"/>
  <c r="V248" i="4" s="1"/>
  <c r="U249" i="4"/>
  <c r="V249" i="4" s="1"/>
  <c r="U250" i="4"/>
  <c r="V250" i="4" s="1"/>
  <c r="U251" i="4"/>
  <c r="V251" i="4" s="1"/>
  <c r="U252" i="4"/>
  <c r="V252" i="4" s="1"/>
  <c r="U247" i="4"/>
  <c r="V247" i="4" s="1"/>
  <c r="U246" i="4"/>
  <c r="V246" i="4" s="1"/>
  <c r="U245" i="4"/>
  <c r="V245" i="4" s="1"/>
  <c r="U238" i="4"/>
  <c r="V238" i="4" s="1"/>
  <c r="U239" i="4"/>
  <c r="V239" i="4" s="1"/>
  <c r="U240" i="4"/>
  <c r="V240" i="4" s="1"/>
  <c r="U241" i="4"/>
  <c r="V241" i="4" s="1"/>
  <c r="U242" i="4"/>
  <c r="V242" i="4" s="1"/>
  <c r="U243" i="4"/>
  <c r="V243" i="4" s="1"/>
  <c r="U244" i="4"/>
  <c r="V244" i="4" s="1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V261" i="4"/>
  <c r="W261" i="4"/>
  <c r="Z261" i="4"/>
  <c r="AA261" i="4" s="1"/>
  <c r="V262" i="4"/>
  <c r="W262" i="4"/>
  <c r="Z262" i="4"/>
  <c r="AA262" i="4" s="1"/>
  <c r="V263" i="4"/>
  <c r="W263" i="4"/>
  <c r="Z263" i="4"/>
  <c r="AA263" i="4" s="1"/>
  <c r="V264" i="4"/>
  <c r="W264" i="4"/>
  <c r="Z264" i="4"/>
  <c r="AA264" i="4" s="1"/>
  <c r="V265" i="4"/>
  <c r="W265" i="4"/>
  <c r="Z265" i="4"/>
  <c r="AA265" i="4" s="1"/>
  <c r="V266" i="4"/>
  <c r="W266" i="4"/>
  <c r="Z266" i="4"/>
  <c r="AA266" i="4" s="1"/>
  <c r="V267" i="4"/>
  <c r="W267" i="4"/>
  <c r="Z267" i="4"/>
  <c r="AA267" i="4" s="1"/>
  <c r="V268" i="4"/>
  <c r="W268" i="4"/>
  <c r="Z268" i="4"/>
  <c r="AA268" i="4" s="1"/>
  <c r="V269" i="4"/>
  <c r="W269" i="4"/>
  <c r="Z269" i="4"/>
  <c r="AA269" i="4" s="1"/>
  <c r="V270" i="4"/>
  <c r="W270" i="4"/>
  <c r="Z270" i="4"/>
  <c r="AA270" i="4" s="1"/>
  <c r="V271" i="4"/>
  <c r="W271" i="4"/>
  <c r="Z271" i="4"/>
  <c r="AA271" i="4" s="1"/>
  <c r="V272" i="4"/>
  <c r="W272" i="4"/>
  <c r="Z272" i="4"/>
  <c r="AA272" i="4" s="1"/>
  <c r="V273" i="4"/>
  <c r="W273" i="4"/>
  <c r="Z273" i="4"/>
  <c r="AA273" i="4" s="1"/>
  <c r="V274" i="4"/>
  <c r="W274" i="4"/>
  <c r="Z274" i="4"/>
  <c r="AA274" i="4" s="1"/>
  <c r="V275" i="4"/>
  <c r="W275" i="4"/>
  <c r="Z275" i="4"/>
  <c r="AA275" i="4" s="1"/>
  <c r="V276" i="4"/>
  <c r="W276" i="4"/>
  <c r="Z276" i="4"/>
  <c r="AA276" i="4" s="1"/>
  <c r="V277" i="4"/>
  <c r="W277" i="4"/>
  <c r="Z277" i="4"/>
  <c r="AA277" i="4" s="1"/>
  <c r="V278" i="4"/>
  <c r="W278" i="4"/>
  <c r="Z278" i="4"/>
  <c r="AA278" i="4" s="1"/>
  <c r="V279" i="4"/>
  <c r="W279" i="4"/>
  <c r="Z279" i="4"/>
  <c r="AA279" i="4" s="1"/>
  <c r="V280" i="4"/>
  <c r="W280" i="4"/>
  <c r="Z280" i="4"/>
  <c r="AA280" i="4" s="1"/>
  <c r="V281" i="4"/>
  <c r="W281" i="4"/>
  <c r="Z281" i="4"/>
  <c r="AA281" i="4" s="1"/>
  <c r="V282" i="4"/>
  <c r="W282" i="4"/>
  <c r="Z282" i="4"/>
  <c r="AA282" i="4" s="1"/>
  <c r="V283" i="4"/>
  <c r="W283" i="4"/>
  <c r="Z283" i="4"/>
  <c r="AA283" i="4" s="1"/>
  <c r="V284" i="4"/>
  <c r="W284" i="4"/>
  <c r="Z284" i="4"/>
  <c r="AA284" i="4" s="1"/>
  <c r="V285" i="4"/>
  <c r="W285" i="4"/>
  <c r="Z285" i="4"/>
  <c r="AA285" i="4" s="1"/>
  <c r="V286" i="4"/>
  <c r="W286" i="4"/>
  <c r="Z286" i="4"/>
  <c r="AA286" i="4" s="1"/>
  <c r="V287" i="4"/>
  <c r="W287" i="4"/>
  <c r="Z287" i="4"/>
  <c r="AA287" i="4" s="1"/>
  <c r="V288" i="4"/>
  <c r="W288" i="4"/>
  <c r="Z288" i="4"/>
  <c r="AA288" i="4" s="1"/>
  <c r="V289" i="4"/>
  <c r="W289" i="4"/>
  <c r="Z289" i="4"/>
  <c r="AA289" i="4" s="1"/>
  <c r="V290" i="4"/>
  <c r="W290" i="4"/>
  <c r="Z290" i="4"/>
  <c r="AA290" i="4"/>
  <c r="V291" i="4"/>
  <c r="W291" i="4"/>
  <c r="Z291" i="4"/>
  <c r="AA291" i="4" s="1"/>
  <c r="V292" i="4"/>
  <c r="W292" i="4"/>
  <c r="Z292" i="4"/>
  <c r="AA292" i="4" s="1"/>
  <c r="V293" i="4"/>
  <c r="W293" i="4"/>
  <c r="Z293" i="4"/>
  <c r="AA293" i="4" s="1"/>
  <c r="V294" i="4"/>
  <c r="W294" i="4"/>
  <c r="Z294" i="4"/>
  <c r="AA294" i="4" s="1"/>
  <c r="V295" i="4"/>
  <c r="W295" i="4"/>
  <c r="Z295" i="4"/>
  <c r="AA295" i="4" s="1"/>
  <c r="V296" i="4"/>
  <c r="W296" i="4"/>
  <c r="Z296" i="4"/>
  <c r="AA296" i="4" s="1"/>
  <c r="V297" i="4"/>
  <c r="W297" i="4"/>
  <c r="Z297" i="4"/>
  <c r="AA297" i="4" s="1"/>
  <c r="G28" i="8" l="1"/>
  <c r="G27" i="8"/>
  <c r="G26" i="8"/>
  <c r="G25" i="8"/>
  <c r="G24" i="8"/>
  <c r="G23" i="8"/>
  <c r="G22" i="8"/>
  <c r="F20" i="8"/>
  <c r="G21" i="8"/>
  <c r="G20" i="8"/>
  <c r="G19" i="8"/>
  <c r="G18" i="8"/>
  <c r="G17" i="8"/>
  <c r="F28" i="8"/>
  <c r="F27" i="8"/>
  <c r="F26" i="8"/>
  <c r="F25" i="8"/>
  <c r="F24" i="8"/>
  <c r="F23" i="8"/>
  <c r="F22" i="8"/>
  <c r="F19" i="8"/>
  <c r="F18" i="8"/>
  <c r="F17" i="8"/>
  <c r="E28" i="8"/>
  <c r="E27" i="8"/>
  <c r="E26" i="8"/>
  <c r="E25" i="8"/>
  <c r="E24" i="8"/>
  <c r="E23" i="8"/>
  <c r="E22" i="8"/>
  <c r="E21" i="8"/>
  <c r="E20" i="8"/>
  <c r="E19" i="8"/>
  <c r="E18" i="8"/>
  <c r="E17" i="8"/>
  <c r="D28" i="8"/>
  <c r="D27" i="8"/>
  <c r="D26" i="8"/>
  <c r="D25" i="8"/>
  <c r="D24" i="8"/>
  <c r="D22" i="8"/>
  <c r="D21" i="8"/>
  <c r="D20" i="8"/>
  <c r="D19" i="8"/>
  <c r="D18" i="8"/>
  <c r="C28" i="8"/>
  <c r="C27" i="8"/>
  <c r="C26" i="8"/>
  <c r="C25" i="8"/>
  <c r="C24" i="8"/>
  <c r="C23" i="8"/>
  <c r="C22" i="8"/>
  <c r="C21" i="8"/>
  <c r="C20" i="8"/>
  <c r="C19" i="8"/>
  <c r="F5" i="1"/>
  <c r="D23" i="8" l="1"/>
  <c r="C18" i="8"/>
  <c r="D17" i="8"/>
  <c r="C17" i="8"/>
  <c r="G13" i="8"/>
  <c r="G12" i="8"/>
  <c r="G11" i="8"/>
  <c r="G10" i="8"/>
  <c r="G9" i="8"/>
  <c r="F9" i="8"/>
  <c r="E9" i="8"/>
  <c r="D9" i="8"/>
  <c r="C9" i="8"/>
  <c r="E16" i="1"/>
  <c r="E15" i="1"/>
  <c r="E14" i="1"/>
  <c r="E13" i="1"/>
  <c r="E12" i="1"/>
  <c r="C16" i="1"/>
  <c r="AA58" i="5"/>
  <c r="AA59" i="5"/>
  <c r="AA60" i="5"/>
  <c r="AA61" i="5"/>
  <c r="AA62" i="5"/>
  <c r="AA63" i="5"/>
  <c r="AA64" i="5"/>
  <c r="W239" i="4" l="1"/>
  <c r="Z239" i="4"/>
  <c r="Z240" i="4"/>
  <c r="AA240" i="4" s="1"/>
  <c r="Z241" i="4"/>
  <c r="AA241" i="4" s="1"/>
  <c r="Z242" i="4"/>
  <c r="AA242" i="4" s="1"/>
  <c r="AA224" i="4"/>
  <c r="AA225" i="4"/>
  <c r="AA226" i="4"/>
  <c r="AA227" i="4"/>
  <c r="AA229" i="4"/>
  <c r="AA230" i="4"/>
  <c r="AA231" i="4"/>
  <c r="AA232" i="4"/>
  <c r="AA233" i="4"/>
  <c r="AA234" i="4"/>
  <c r="AA236" i="4"/>
  <c r="AA237" i="4"/>
  <c r="AA238" i="4"/>
  <c r="U219" i="4"/>
  <c r="V219" i="4" s="1"/>
  <c r="U220" i="4"/>
  <c r="V220" i="4" s="1"/>
  <c r="U221" i="4"/>
  <c r="V221" i="4" s="1"/>
  <c r="U222" i="4"/>
  <c r="V222" i="4" s="1"/>
  <c r="U223" i="4"/>
  <c r="V223" i="4" s="1"/>
  <c r="U224" i="4"/>
  <c r="V224" i="4" s="1"/>
  <c r="U225" i="4"/>
  <c r="V225" i="4" s="1"/>
  <c r="U226" i="4"/>
  <c r="V226" i="4" s="1"/>
  <c r="U227" i="4"/>
  <c r="V227" i="4" s="1"/>
  <c r="U228" i="4"/>
  <c r="V228" i="4" s="1"/>
  <c r="U229" i="4"/>
  <c r="V229" i="4" s="1"/>
  <c r="U230" i="4"/>
  <c r="V230" i="4" s="1"/>
  <c r="U231" i="4"/>
  <c r="V231" i="4" s="1"/>
  <c r="U232" i="4"/>
  <c r="V232" i="4" s="1"/>
  <c r="U233" i="4"/>
  <c r="V233" i="4" s="1"/>
  <c r="U234" i="4"/>
  <c r="V234" i="4" s="1"/>
  <c r="U235" i="4"/>
  <c r="V235" i="4" s="1"/>
  <c r="U236" i="4"/>
  <c r="V236" i="4" s="1"/>
  <c r="U237" i="4"/>
  <c r="V237" i="4" s="1"/>
  <c r="W240" i="4" l="1"/>
  <c r="W241" i="4"/>
  <c r="W242" i="4"/>
  <c r="U159" i="3" l="1"/>
  <c r="V159" i="3" s="1"/>
  <c r="W159" i="3" l="1"/>
  <c r="Z222" i="4"/>
  <c r="AA222" i="4" s="1"/>
  <c r="W222" i="4"/>
  <c r="Z221" i="4"/>
  <c r="AA221" i="4" s="1"/>
  <c r="W221" i="4"/>
  <c r="Z220" i="4"/>
  <c r="AA220" i="4" s="1"/>
  <c r="W220" i="4"/>
  <c r="Z219" i="4"/>
  <c r="AA219" i="4" s="1"/>
  <c r="Z218" i="4"/>
  <c r="U218" i="4"/>
  <c r="V218" i="4" s="1"/>
  <c r="W218" i="4" l="1"/>
  <c r="W219" i="4"/>
  <c r="Z42" i="6" l="1"/>
  <c r="AA42" i="6" s="1"/>
  <c r="U42" i="6"/>
  <c r="W42" i="6" s="1"/>
  <c r="Z41" i="6"/>
  <c r="AA41" i="6" s="1"/>
  <c r="U41" i="6"/>
  <c r="V41" i="6" s="1"/>
  <c r="Z40" i="6"/>
  <c r="AA40" i="6" s="1"/>
  <c r="U40" i="6"/>
  <c r="W40" i="6" s="1"/>
  <c r="Z39" i="6"/>
  <c r="AA39" i="6" s="1"/>
  <c r="U39" i="6"/>
  <c r="W39" i="6" s="1"/>
  <c r="Z38" i="6"/>
  <c r="AA38" i="6" s="1"/>
  <c r="U38" i="6"/>
  <c r="W38" i="6" s="1"/>
  <c r="Z37" i="6"/>
  <c r="AA37" i="6" s="1"/>
  <c r="W37" i="6"/>
  <c r="U37" i="6"/>
  <c r="V37" i="6" s="1"/>
  <c r="Z36" i="6"/>
  <c r="U36" i="6"/>
  <c r="V36" i="6" s="1"/>
  <c r="V40" i="6" l="1"/>
  <c r="V38" i="6"/>
  <c r="W41" i="6"/>
  <c r="V39" i="6"/>
  <c r="W36" i="6"/>
  <c r="V42" i="6"/>
  <c r="Z6" i="5" l="1"/>
  <c r="AA6" i="5" s="1"/>
  <c r="Z7" i="5"/>
  <c r="AA7" i="5" s="1"/>
  <c r="Z8" i="5"/>
  <c r="AA8" i="5" s="1"/>
  <c r="Z9" i="5"/>
  <c r="Z10" i="5"/>
  <c r="AA10" i="5" s="1"/>
  <c r="Z11" i="5"/>
  <c r="AA11" i="5" s="1"/>
  <c r="Z12" i="5"/>
  <c r="AA12" i="5" s="1"/>
  <c r="Z13" i="5"/>
  <c r="AA13" i="5" s="1"/>
  <c r="Z14" i="5"/>
  <c r="Z15" i="5"/>
  <c r="AA15" i="5" s="1"/>
  <c r="Z16" i="5"/>
  <c r="AA16" i="5" s="1"/>
  <c r="Z17" i="5"/>
  <c r="AA17" i="5" s="1"/>
  <c r="Z18" i="5"/>
  <c r="Z19" i="5"/>
  <c r="AA19" i="5" s="1"/>
  <c r="Z20" i="5"/>
  <c r="AA20" i="5" s="1"/>
  <c r="Z21" i="5"/>
  <c r="AA21" i="5" s="1"/>
  <c r="Z22" i="5"/>
  <c r="Z23" i="5"/>
  <c r="AA23" i="5" s="1"/>
  <c r="Z24" i="5"/>
  <c r="AA24" i="5" s="1"/>
  <c r="Z25" i="5"/>
  <c r="AA25" i="5" s="1"/>
  <c r="Z26" i="5"/>
  <c r="AA26" i="5" s="1"/>
  <c r="Z27" i="5"/>
  <c r="Z28" i="5"/>
  <c r="AA28" i="5" s="1"/>
  <c r="Z29" i="5"/>
  <c r="AA29" i="5" s="1"/>
  <c r="Z30" i="5"/>
  <c r="AA30" i="5" s="1"/>
  <c r="Z31" i="5"/>
  <c r="AA31" i="5" s="1"/>
  <c r="Z32" i="5"/>
  <c r="Z33" i="5"/>
  <c r="AA33" i="5" s="1"/>
  <c r="Z34" i="5"/>
  <c r="AA34" i="5" s="1"/>
  <c r="Z35" i="5"/>
  <c r="AA35" i="5" s="1"/>
  <c r="Z36" i="5"/>
  <c r="AA36" i="5" s="1"/>
  <c r="Z37" i="5"/>
  <c r="Z38" i="5"/>
  <c r="AA38" i="5" s="1"/>
  <c r="Z39" i="5"/>
  <c r="AA39" i="5" s="1"/>
  <c r="Z40" i="5"/>
  <c r="AA40" i="5" s="1"/>
  <c r="Z41" i="5"/>
  <c r="AA41" i="5" s="1"/>
  <c r="Z42" i="5"/>
  <c r="AA42" i="5" s="1"/>
  <c r="Z43" i="5"/>
  <c r="Z44" i="5"/>
  <c r="AA44" i="5" s="1"/>
  <c r="Z45" i="5"/>
  <c r="AA45" i="5" s="1"/>
  <c r="Z46" i="5"/>
  <c r="AA46" i="5" s="1"/>
  <c r="Z47" i="5"/>
  <c r="AA47" i="5" s="1"/>
  <c r="Z48" i="5"/>
  <c r="Z49" i="5"/>
  <c r="AA49" i="5" s="1"/>
  <c r="Z50" i="5"/>
  <c r="AA50" i="5" s="1"/>
  <c r="Z51" i="5"/>
  <c r="AA51" i="5" s="1"/>
  <c r="Z52" i="5"/>
  <c r="AA52" i="5" s="1"/>
  <c r="Z53" i="5"/>
  <c r="Z54" i="5"/>
  <c r="AA54" i="5" s="1"/>
  <c r="Z55" i="5"/>
  <c r="AA55" i="5" s="1"/>
  <c r="Z56" i="5"/>
  <c r="AA56" i="5" s="1"/>
  <c r="Z67" i="5"/>
  <c r="AA67" i="5" s="1"/>
  <c r="Z68" i="5"/>
  <c r="AA68" i="5" s="1"/>
  <c r="Z69" i="5"/>
  <c r="AA69" i="5" s="1"/>
  <c r="Z70" i="5"/>
  <c r="AA70" i="5" s="1"/>
  <c r="Z71" i="5"/>
  <c r="AA71" i="5" s="1"/>
  <c r="Z72" i="5"/>
  <c r="AA72" i="5" s="1"/>
  <c r="Z73" i="5"/>
  <c r="AA73" i="5" s="1"/>
  <c r="Z74" i="5"/>
  <c r="AA74" i="5" s="1"/>
  <c r="Z6" i="4"/>
  <c r="AA6" i="4" s="1"/>
  <c r="Z7" i="4"/>
  <c r="AA7" i="4" s="1"/>
  <c r="Z8" i="4"/>
  <c r="AA8" i="4" s="1"/>
  <c r="Z9" i="4"/>
  <c r="AA9" i="4" s="1"/>
  <c r="Z10" i="4"/>
  <c r="AA10" i="4" s="1"/>
  <c r="Z11" i="4"/>
  <c r="AA11" i="4" s="1"/>
  <c r="Z12" i="4"/>
  <c r="AA12" i="4" s="1"/>
  <c r="Z13" i="4"/>
  <c r="Z14" i="4"/>
  <c r="AA14" i="4" s="1"/>
  <c r="Z15" i="4"/>
  <c r="AA15" i="4" s="1"/>
  <c r="Z16" i="4"/>
  <c r="AA16" i="4" s="1"/>
  <c r="Z17" i="4"/>
  <c r="AA17" i="4" s="1"/>
  <c r="Z18" i="4"/>
  <c r="AA18" i="4" s="1"/>
  <c r="Z19" i="4"/>
  <c r="AA19" i="4" s="1"/>
  <c r="Z20" i="4"/>
  <c r="Z21" i="4"/>
  <c r="AA21" i="4" s="1"/>
  <c r="Z22" i="4"/>
  <c r="AA22" i="4" s="1"/>
  <c r="Z23" i="4"/>
  <c r="AA23" i="4" s="1"/>
  <c r="Z24" i="4"/>
  <c r="AA24" i="4" s="1"/>
  <c r="Z25" i="4"/>
  <c r="AA25" i="4" s="1"/>
  <c r="Z26" i="4"/>
  <c r="AA26" i="4" s="1"/>
  <c r="Z27" i="4"/>
  <c r="AA27" i="4" s="1"/>
  <c r="Z28" i="4"/>
  <c r="AA28" i="4" s="1"/>
  <c r="Z29" i="4"/>
  <c r="Z30" i="4"/>
  <c r="AA30" i="4" s="1"/>
  <c r="Z31" i="4"/>
  <c r="AA31" i="4" s="1"/>
  <c r="Z32" i="4"/>
  <c r="AA32" i="4" s="1"/>
  <c r="Z33" i="4"/>
  <c r="AA33" i="4" s="1"/>
  <c r="Z34" i="4"/>
  <c r="AA34" i="4" s="1"/>
  <c r="Z35" i="4"/>
  <c r="AA35" i="4" s="1"/>
  <c r="Z36" i="4"/>
  <c r="Z37" i="4"/>
  <c r="AA37" i="4" s="1"/>
  <c r="Z38" i="4"/>
  <c r="AA38" i="4" s="1"/>
  <c r="Z39" i="4"/>
  <c r="AA39" i="4" s="1"/>
  <c r="Z40" i="4"/>
  <c r="AA40" i="4" s="1"/>
  <c r="Z41" i="4"/>
  <c r="AA41" i="4" s="1"/>
  <c r="Z42" i="4"/>
  <c r="AA42" i="4" s="1"/>
  <c r="Z43" i="4"/>
  <c r="AA43" i="4" s="1"/>
  <c r="Z44" i="4"/>
  <c r="Z45" i="4"/>
  <c r="AA45" i="4" s="1"/>
  <c r="Z46" i="4"/>
  <c r="AA46" i="4" s="1"/>
  <c r="Z47" i="4"/>
  <c r="AA47" i="4" s="1"/>
  <c r="Z48" i="4"/>
  <c r="AA48" i="4" s="1"/>
  <c r="Z49" i="4"/>
  <c r="AA49" i="4" s="1"/>
  <c r="Z50" i="4"/>
  <c r="AA50" i="4" s="1"/>
  <c r="Z51" i="4"/>
  <c r="AA51" i="4" s="1"/>
  <c r="Z52" i="4"/>
  <c r="Z53" i="4"/>
  <c r="AA53" i="4" s="1"/>
  <c r="Z54" i="4"/>
  <c r="AA54" i="4" s="1"/>
  <c r="Z55" i="4"/>
  <c r="AA55" i="4" s="1"/>
  <c r="Z56" i="4"/>
  <c r="AA56" i="4" s="1"/>
  <c r="Z57" i="4"/>
  <c r="AA57" i="4" s="1"/>
  <c r="Z58" i="4"/>
  <c r="AA58" i="4" s="1"/>
  <c r="Z59" i="4"/>
  <c r="AA59" i="4" s="1"/>
  <c r="Z60" i="4"/>
  <c r="Z61" i="4"/>
  <c r="AA61" i="4" s="1"/>
  <c r="Z62" i="4"/>
  <c r="AA62" i="4" s="1"/>
  <c r="Z63" i="4"/>
  <c r="AA63" i="4" s="1"/>
  <c r="Z64" i="4"/>
  <c r="AA64" i="4" s="1"/>
  <c r="Z65" i="4"/>
  <c r="AA65" i="4" s="1"/>
  <c r="Z66" i="4"/>
  <c r="AA66" i="4" s="1"/>
  <c r="Z67" i="4"/>
  <c r="AA67" i="4" s="1"/>
  <c r="Z68" i="4"/>
  <c r="Z69" i="4"/>
  <c r="AA69" i="4" s="1"/>
  <c r="Z70" i="4"/>
  <c r="AA70" i="4" s="1"/>
  <c r="Z71" i="4"/>
  <c r="AA71" i="4" s="1"/>
  <c r="Z72" i="4"/>
  <c r="AA72" i="4" s="1"/>
  <c r="Z73" i="4"/>
  <c r="AA73" i="4" s="1"/>
  <c r="Z74" i="4"/>
  <c r="AA74" i="4" s="1"/>
  <c r="Z75" i="4"/>
  <c r="Z76" i="4"/>
  <c r="AA76" i="4" s="1"/>
  <c r="Z77" i="4"/>
  <c r="AA77" i="4" s="1"/>
  <c r="Z78" i="4"/>
  <c r="AA78" i="4" s="1"/>
  <c r="Z79" i="4"/>
  <c r="AA79" i="4" s="1"/>
  <c r="Z80" i="4"/>
  <c r="AA80" i="4" s="1"/>
  <c r="Z81" i="4"/>
  <c r="AA81" i="4" s="1"/>
  <c r="Z82" i="4"/>
  <c r="AA82" i="4" s="1"/>
  <c r="Z83" i="4"/>
  <c r="AA83" i="4" s="1"/>
  <c r="Z84" i="4"/>
  <c r="Z85" i="4"/>
  <c r="AA85" i="4" s="1"/>
  <c r="Z86" i="4"/>
  <c r="AA86" i="4" s="1"/>
  <c r="Z87" i="4"/>
  <c r="AA87" i="4" s="1"/>
  <c r="Z88" i="4"/>
  <c r="AA88" i="4" s="1"/>
  <c r="Z89" i="4"/>
  <c r="AA89" i="4" s="1"/>
  <c r="Z90" i="4"/>
  <c r="Z91" i="4"/>
  <c r="AA91" i="4" s="1"/>
  <c r="Z92" i="4"/>
  <c r="AA92" i="4" s="1"/>
  <c r="Z93" i="4"/>
  <c r="AA93" i="4" s="1"/>
  <c r="Z94" i="4"/>
  <c r="AA94" i="4" s="1"/>
  <c r="Z95" i="4"/>
  <c r="AA95" i="4" s="1"/>
  <c r="Z96" i="4"/>
  <c r="AA96" i="4" s="1"/>
  <c r="Z97" i="4"/>
  <c r="AA97" i="4" s="1"/>
  <c r="Z98" i="4"/>
  <c r="Z99" i="4"/>
  <c r="AA99" i="4" s="1"/>
  <c r="Z100" i="4"/>
  <c r="AA100" i="4" s="1"/>
  <c r="Z101" i="4"/>
  <c r="AA101" i="4" s="1"/>
  <c r="Z102" i="4"/>
  <c r="AA102" i="4" s="1"/>
  <c r="Z103" i="4"/>
  <c r="Z104" i="4"/>
  <c r="AA104" i="4" s="1"/>
  <c r="Z105" i="4"/>
  <c r="AA105" i="4" s="1"/>
  <c r="Z106" i="4"/>
  <c r="AA106" i="4" s="1"/>
  <c r="Z107" i="4"/>
  <c r="AA107" i="4" s="1"/>
  <c r="Z108" i="4"/>
  <c r="AA108" i="4" s="1"/>
  <c r="Z109" i="4"/>
  <c r="Z110" i="4"/>
  <c r="AA110" i="4" s="1"/>
  <c r="Z111" i="4"/>
  <c r="AA111" i="4" s="1"/>
  <c r="Z112" i="4"/>
  <c r="AA112" i="4" s="1"/>
  <c r="Z113" i="4"/>
  <c r="AA113" i="4" s="1"/>
  <c r="Z114" i="4"/>
  <c r="AA114" i="4" s="1"/>
  <c r="Z115" i="4"/>
  <c r="AA115" i="4" s="1"/>
  <c r="Z116" i="4"/>
  <c r="AA116" i="4" s="1"/>
  <c r="Z117" i="4"/>
  <c r="Z118" i="4"/>
  <c r="AA118" i="4" s="1"/>
  <c r="Z119" i="4"/>
  <c r="AA119" i="4" s="1"/>
  <c r="Z120" i="4"/>
  <c r="AA120" i="4" s="1"/>
  <c r="Z121" i="4"/>
  <c r="AA121" i="4" s="1"/>
  <c r="Z122" i="4"/>
  <c r="Z123" i="4"/>
  <c r="AA123" i="4" s="1"/>
  <c r="Z124" i="4"/>
  <c r="AA124" i="4" s="1"/>
  <c r="Z125" i="4"/>
  <c r="AA125" i="4" s="1"/>
  <c r="Z126" i="4"/>
  <c r="AA126" i="4" s="1"/>
  <c r="Z127" i="4"/>
  <c r="AA127" i="4" s="1"/>
  <c r="Z128" i="4"/>
  <c r="AA128" i="4" s="1"/>
  <c r="Z129" i="4"/>
  <c r="AA129" i="4" s="1"/>
  <c r="Z130" i="4"/>
  <c r="Z131" i="4"/>
  <c r="AA131" i="4" s="1"/>
  <c r="Z132" i="4"/>
  <c r="AA132" i="4" s="1"/>
  <c r="Z133" i="4"/>
  <c r="AA133" i="4" s="1"/>
  <c r="Z134" i="4"/>
  <c r="AA134" i="4" s="1"/>
  <c r="Z135" i="4"/>
  <c r="AA135" i="4" s="1"/>
  <c r="Z136" i="4"/>
  <c r="AA136" i="4" s="1"/>
  <c r="Z137" i="4"/>
  <c r="AA137" i="4" s="1"/>
  <c r="Z138" i="4"/>
  <c r="AA138" i="4" s="1"/>
  <c r="Z139" i="4"/>
  <c r="AA139" i="4" s="1"/>
  <c r="Z140" i="4"/>
  <c r="Z141" i="4"/>
  <c r="AA141" i="4" s="1"/>
  <c r="Z142" i="4"/>
  <c r="AA142" i="4" s="1"/>
  <c r="Z143" i="4"/>
  <c r="AA143" i="4" s="1"/>
  <c r="Z144" i="4"/>
  <c r="AA144" i="4" s="1"/>
  <c r="Z145" i="4"/>
  <c r="AA145" i="4" s="1"/>
  <c r="Z146" i="4"/>
  <c r="AA146" i="4" s="1"/>
  <c r="Z147" i="4"/>
  <c r="AA147" i="4" s="1"/>
  <c r="Z148" i="4"/>
  <c r="Z149" i="4"/>
  <c r="AA149" i="4" s="1"/>
  <c r="Z150" i="4"/>
  <c r="AA150" i="4" s="1"/>
  <c r="Z151" i="4"/>
  <c r="AA151" i="4" s="1"/>
  <c r="Z152" i="4"/>
  <c r="AA152" i="4" s="1"/>
  <c r="Z153" i="4"/>
  <c r="Z154" i="4"/>
  <c r="AA154" i="4" s="1"/>
  <c r="Z155" i="4"/>
  <c r="AA155" i="4" s="1"/>
  <c r="Z156" i="4"/>
  <c r="AA156" i="4" s="1"/>
  <c r="Z157" i="4"/>
  <c r="AA157" i="4" s="1"/>
  <c r="Z158" i="4"/>
  <c r="Z159" i="4"/>
  <c r="AA159" i="4" s="1"/>
  <c r="Z160" i="4"/>
  <c r="AA160" i="4" s="1"/>
  <c r="Z161" i="4"/>
  <c r="AA161" i="4" s="1"/>
  <c r="Z162" i="4"/>
  <c r="AA162" i="4" s="1"/>
  <c r="Z163" i="4"/>
  <c r="AA163" i="4" s="1"/>
  <c r="Z164" i="4"/>
  <c r="Z165" i="4"/>
  <c r="AA165" i="4" s="1"/>
  <c r="Z166" i="4"/>
  <c r="AA166" i="4" s="1"/>
  <c r="Z167" i="4"/>
  <c r="AA167" i="4" s="1"/>
  <c r="Z168" i="4"/>
  <c r="Z169" i="4"/>
  <c r="AA169" i="4" s="1"/>
  <c r="Z170" i="4"/>
  <c r="AA170" i="4" s="1"/>
  <c r="Z171" i="4"/>
  <c r="AA171" i="4" s="1"/>
  <c r="Z172" i="4"/>
  <c r="Z173" i="4"/>
  <c r="AA173" i="4" s="1"/>
  <c r="Z174" i="4"/>
  <c r="AA174" i="4" s="1"/>
  <c r="Z175" i="4"/>
  <c r="AA175" i="4" s="1"/>
  <c r="Z176" i="4"/>
  <c r="AA176" i="4" s="1"/>
  <c r="Z177" i="4"/>
  <c r="Z178" i="4"/>
  <c r="AA178" i="4" s="1"/>
  <c r="Z179" i="4"/>
  <c r="AA179" i="4" s="1"/>
  <c r="Z180" i="4"/>
  <c r="AA180" i="4" s="1"/>
  <c r="Z181" i="4"/>
  <c r="AA181" i="4" s="1"/>
  <c r="Z182" i="4"/>
  <c r="AA182" i="4" s="1"/>
  <c r="Z183" i="4"/>
  <c r="AA183" i="4" s="1"/>
  <c r="Z184" i="4"/>
  <c r="AA184" i="4" s="1"/>
  <c r="Z185" i="4"/>
  <c r="AA185" i="4" s="1"/>
  <c r="Z186" i="4"/>
  <c r="Z187" i="4"/>
  <c r="AA187" i="4" s="1"/>
  <c r="Z188" i="4"/>
  <c r="AA188" i="4" s="1"/>
  <c r="Z189" i="4"/>
  <c r="Z190" i="4"/>
  <c r="AA190" i="4" s="1"/>
  <c r="Z191" i="4"/>
  <c r="Z192" i="4"/>
  <c r="AA192" i="4" s="1"/>
  <c r="Z193" i="4"/>
  <c r="AA193" i="4" s="1"/>
  <c r="Z194" i="4"/>
  <c r="AA194" i="4" s="1"/>
  <c r="Z195" i="4"/>
  <c r="AA195" i="4" s="1"/>
  <c r="Z196" i="4"/>
  <c r="AA196" i="4" s="1"/>
  <c r="Z197" i="4"/>
  <c r="AA197" i="4" s="1"/>
  <c r="Z198" i="4"/>
  <c r="Z199" i="4"/>
  <c r="AA199" i="4" s="1"/>
  <c r="Z200" i="4"/>
  <c r="AA200" i="4" s="1"/>
  <c r="Z201" i="4"/>
  <c r="AA201" i="4" s="1"/>
  <c r="Z202" i="4"/>
  <c r="AA202" i="4" s="1"/>
  <c r="Z203" i="4"/>
  <c r="Z204" i="4"/>
  <c r="AA204" i="4" s="1"/>
  <c r="Z205" i="4"/>
  <c r="AA205" i="4" s="1"/>
  <c r="Z206" i="4"/>
  <c r="Z207" i="4"/>
  <c r="AA207" i="4" s="1"/>
  <c r="Z208" i="4"/>
  <c r="AA208" i="4" s="1"/>
  <c r="Z209" i="4"/>
  <c r="AA209" i="4" s="1"/>
  <c r="Z210" i="4"/>
  <c r="Z211" i="4"/>
  <c r="AA211" i="4" s="1"/>
  <c r="Z212" i="4"/>
  <c r="AA212" i="4" s="1"/>
  <c r="Z213" i="4"/>
  <c r="AA213" i="4" s="1"/>
  <c r="Z214" i="4"/>
  <c r="AA214" i="4" s="1"/>
  <c r="Z215" i="4"/>
  <c r="Z216" i="4"/>
  <c r="AA216" i="4" s="1"/>
  <c r="Z217" i="4"/>
  <c r="AA217" i="4" s="1"/>
  <c r="Z243" i="4"/>
  <c r="AA243" i="4" s="1"/>
  <c r="Z244" i="4"/>
  <c r="AA244" i="4" s="1"/>
  <c r="U214" i="4" l="1"/>
  <c r="U213" i="4"/>
  <c r="V213" i="4" s="1"/>
  <c r="U212" i="4"/>
  <c r="U211" i="4"/>
  <c r="W211" i="4" s="1"/>
  <c r="U210" i="4"/>
  <c r="W210" i="4" s="1"/>
  <c r="U209" i="4"/>
  <c r="W209" i="4" s="1"/>
  <c r="U208" i="4"/>
  <c r="W208" i="4" s="1"/>
  <c r="U207" i="4"/>
  <c r="W207" i="4" s="1"/>
  <c r="U206" i="4"/>
  <c r="V206" i="4" s="1"/>
  <c r="U205" i="4"/>
  <c r="V205" i="4" s="1"/>
  <c r="U204" i="4"/>
  <c r="W204" i="4" s="1"/>
  <c r="U203" i="4"/>
  <c r="W203" i="4" s="1"/>
  <c r="U202" i="4"/>
  <c r="W202" i="4" s="1"/>
  <c r="U201" i="4"/>
  <c r="W201" i="4" s="1"/>
  <c r="U200" i="4"/>
  <c r="W200" i="4" s="1"/>
  <c r="U199" i="4"/>
  <c r="W199" i="4" s="1"/>
  <c r="U198" i="4"/>
  <c r="V198" i="4" s="1"/>
  <c r="U197" i="4"/>
  <c r="W197" i="4" s="1"/>
  <c r="U196" i="4"/>
  <c r="W196" i="4" s="1"/>
  <c r="U195" i="4"/>
  <c r="W195" i="4" s="1"/>
  <c r="U194" i="4"/>
  <c r="W194" i="4" s="1"/>
  <c r="U193" i="4"/>
  <c r="V193" i="4" s="1"/>
  <c r="U192" i="4"/>
  <c r="W192" i="4" s="1"/>
  <c r="U191" i="4"/>
  <c r="W191" i="4" s="1"/>
  <c r="U190" i="4"/>
  <c r="W190" i="4" s="1"/>
  <c r="U189" i="4"/>
  <c r="V189" i="4" s="1"/>
  <c r="U188" i="4"/>
  <c r="W188" i="4" s="1"/>
  <c r="U187" i="4"/>
  <c r="W187" i="4" s="1"/>
  <c r="U186" i="4"/>
  <c r="V186" i="4" s="1"/>
  <c r="V192" i="4" l="1"/>
  <c r="W214" i="4"/>
  <c r="V214" i="4"/>
  <c r="W186" i="4"/>
  <c r="W193" i="4"/>
  <c r="V207" i="4"/>
  <c r="V200" i="4"/>
  <c r="W212" i="4"/>
  <c r="V212" i="4"/>
  <c r="V195" i="4"/>
  <c r="V209" i="4"/>
  <c r="W198" i="4"/>
  <c r="V188" i="4"/>
  <c r="V204" i="4"/>
  <c r="V210" i="4"/>
  <c r="W205" i="4"/>
  <c r="V197" i="4"/>
  <c r="V191" i="4"/>
  <c r="V203" i="4"/>
  <c r="V196" i="4"/>
  <c r="V208" i="4"/>
  <c r="V201" i="4"/>
  <c r="W189" i="4"/>
  <c r="V194" i="4"/>
  <c r="V199" i="4"/>
  <c r="W206" i="4"/>
  <c r="V211" i="4"/>
  <c r="V202" i="4"/>
  <c r="W213" i="4"/>
  <c r="V190" i="4"/>
  <c r="V187" i="4"/>
  <c r="U56" i="5" l="1"/>
  <c r="W56" i="5" s="1"/>
  <c r="U55" i="5"/>
  <c r="W55" i="5" s="1"/>
  <c r="U54" i="5"/>
  <c r="W54" i="5" s="1"/>
  <c r="U53" i="5"/>
  <c r="W53" i="5" s="1"/>
  <c r="V53" i="5" l="1"/>
  <c r="V55" i="5"/>
  <c r="V56" i="5"/>
  <c r="V54" i="5"/>
  <c r="U176" i="4" l="1"/>
  <c r="V176" i="4" s="1"/>
  <c r="W176" i="4" l="1"/>
  <c r="U185" i="4" l="1"/>
  <c r="W185" i="4" s="1"/>
  <c r="U184" i="4"/>
  <c r="V184" i="4" s="1"/>
  <c r="U183" i="4"/>
  <c r="W183" i="4" s="1"/>
  <c r="U182" i="4"/>
  <c r="W182" i="4" s="1"/>
  <c r="U181" i="4"/>
  <c r="W181" i="4" s="1"/>
  <c r="U180" i="4"/>
  <c r="V180" i="4" s="1"/>
  <c r="U179" i="4"/>
  <c r="W179" i="4" s="1"/>
  <c r="U178" i="4"/>
  <c r="W178" i="4" s="1"/>
  <c r="U177" i="4"/>
  <c r="W177" i="4" s="1"/>
  <c r="V181" i="4" l="1"/>
  <c r="V177" i="4"/>
  <c r="W184" i="4"/>
  <c r="V179" i="4"/>
  <c r="V182" i="4"/>
  <c r="W180" i="4"/>
  <c r="V185" i="4"/>
  <c r="V178" i="4"/>
  <c r="V183" i="4"/>
  <c r="U160" i="3" l="1"/>
  <c r="V160" i="3" s="1"/>
  <c r="U161" i="3"/>
  <c r="V161" i="3" s="1"/>
  <c r="U162" i="3"/>
  <c r="V162" i="3" s="1"/>
  <c r="U163" i="3"/>
  <c r="W163" i="3" s="1"/>
  <c r="U164" i="3"/>
  <c r="V164" i="3" s="1"/>
  <c r="U165" i="3"/>
  <c r="W165" i="3" s="1"/>
  <c r="U166" i="3"/>
  <c r="V166" i="3" s="1"/>
  <c r="U170" i="3"/>
  <c r="V170" i="3"/>
  <c r="W170" i="3"/>
  <c r="U171" i="3"/>
  <c r="V171" i="3"/>
  <c r="W171" i="3"/>
  <c r="U172" i="3"/>
  <c r="V172" i="3"/>
  <c r="W172" i="3"/>
  <c r="U173" i="3"/>
  <c r="V173" i="3"/>
  <c r="W173" i="3"/>
  <c r="U174" i="3"/>
  <c r="V174" i="3"/>
  <c r="W174" i="3"/>
  <c r="U175" i="3"/>
  <c r="V175" i="3"/>
  <c r="W175" i="3"/>
  <c r="U176" i="3"/>
  <c r="V176" i="3"/>
  <c r="W176" i="3"/>
  <c r="U177" i="3"/>
  <c r="V177" i="3"/>
  <c r="W177" i="3"/>
  <c r="U178" i="3"/>
  <c r="V178" i="3"/>
  <c r="W178" i="3"/>
  <c r="U179" i="3"/>
  <c r="V179" i="3"/>
  <c r="W179" i="3"/>
  <c r="U180" i="3"/>
  <c r="V180" i="3"/>
  <c r="W180" i="3"/>
  <c r="U181" i="3"/>
  <c r="V181" i="3"/>
  <c r="W181" i="3"/>
  <c r="U182" i="3"/>
  <c r="V182" i="3"/>
  <c r="W182" i="3"/>
  <c r="U183" i="3"/>
  <c r="V183" i="3"/>
  <c r="W183" i="3"/>
  <c r="U184" i="3"/>
  <c r="V184" i="3"/>
  <c r="W184" i="3"/>
  <c r="U185" i="3"/>
  <c r="V185" i="3"/>
  <c r="W185" i="3"/>
  <c r="U186" i="3"/>
  <c r="V186" i="3"/>
  <c r="W186" i="3"/>
  <c r="U187" i="3"/>
  <c r="V187" i="3"/>
  <c r="W187" i="3"/>
  <c r="U188" i="3"/>
  <c r="V188" i="3"/>
  <c r="W188" i="3"/>
  <c r="U189" i="3"/>
  <c r="V189" i="3"/>
  <c r="W189" i="3"/>
  <c r="U190" i="3"/>
  <c r="V190" i="3"/>
  <c r="W190" i="3"/>
  <c r="U191" i="3"/>
  <c r="V191" i="3"/>
  <c r="W191" i="3"/>
  <c r="U192" i="3"/>
  <c r="V192" i="3"/>
  <c r="W192" i="3"/>
  <c r="U193" i="3"/>
  <c r="V193" i="3"/>
  <c r="W193" i="3"/>
  <c r="U194" i="3"/>
  <c r="V194" i="3"/>
  <c r="W194" i="3"/>
  <c r="U195" i="3"/>
  <c r="V195" i="3"/>
  <c r="W195" i="3"/>
  <c r="U196" i="3"/>
  <c r="V196" i="3"/>
  <c r="W196" i="3"/>
  <c r="U197" i="3"/>
  <c r="V197" i="3"/>
  <c r="W197" i="3"/>
  <c r="U198" i="3"/>
  <c r="V198" i="3"/>
  <c r="W198" i="3"/>
  <c r="U199" i="3"/>
  <c r="V199" i="3"/>
  <c r="W199" i="3"/>
  <c r="U200" i="3"/>
  <c r="V200" i="3"/>
  <c r="W200" i="3"/>
  <c r="U201" i="3"/>
  <c r="V201" i="3"/>
  <c r="W201" i="3"/>
  <c r="U202" i="3"/>
  <c r="V202" i="3"/>
  <c r="W202" i="3"/>
  <c r="U203" i="3"/>
  <c r="V203" i="3"/>
  <c r="W203" i="3"/>
  <c r="U204" i="3"/>
  <c r="V204" i="3"/>
  <c r="W204" i="3"/>
  <c r="U205" i="3"/>
  <c r="V205" i="3"/>
  <c r="W205" i="3"/>
  <c r="U206" i="3"/>
  <c r="V206" i="3"/>
  <c r="W206" i="3"/>
  <c r="U207" i="3"/>
  <c r="V207" i="3"/>
  <c r="W207" i="3"/>
  <c r="U208" i="3"/>
  <c r="V208" i="3"/>
  <c r="W208" i="3"/>
  <c r="U209" i="3"/>
  <c r="V209" i="3"/>
  <c r="W209" i="3"/>
  <c r="U210" i="3"/>
  <c r="V210" i="3"/>
  <c r="W210" i="3"/>
  <c r="U211" i="3"/>
  <c r="V211" i="3"/>
  <c r="W211" i="3"/>
  <c r="U212" i="3"/>
  <c r="V212" i="3"/>
  <c r="W212" i="3"/>
  <c r="U213" i="3"/>
  <c r="V213" i="3"/>
  <c r="W213" i="3"/>
  <c r="U214" i="3"/>
  <c r="V214" i="3"/>
  <c r="W214" i="3"/>
  <c r="U215" i="3"/>
  <c r="V215" i="3"/>
  <c r="W215" i="3"/>
  <c r="U216" i="3"/>
  <c r="V216" i="3"/>
  <c r="W216" i="3"/>
  <c r="U217" i="3"/>
  <c r="V217" i="3"/>
  <c r="W217" i="3"/>
  <c r="U218" i="3"/>
  <c r="V218" i="3"/>
  <c r="W218" i="3"/>
  <c r="U219" i="3"/>
  <c r="V219" i="3"/>
  <c r="W219" i="3"/>
  <c r="U220" i="3"/>
  <c r="V220" i="3"/>
  <c r="W220" i="3"/>
  <c r="U221" i="3"/>
  <c r="V221" i="3"/>
  <c r="W221" i="3"/>
  <c r="W160" i="3" l="1"/>
  <c r="W166" i="3"/>
  <c r="W164" i="3"/>
  <c r="V165" i="3"/>
  <c r="V163" i="3"/>
  <c r="W162" i="3"/>
  <c r="W161" i="3"/>
  <c r="U171" i="4"/>
  <c r="W171" i="4" s="1"/>
  <c r="U170" i="4"/>
  <c r="V170" i="4" s="1"/>
  <c r="U169" i="4"/>
  <c r="W169" i="4" s="1"/>
  <c r="U168" i="4"/>
  <c r="V168" i="4" s="1"/>
  <c r="W168" i="4" l="1"/>
  <c r="W170" i="4"/>
  <c r="V171" i="4"/>
  <c r="V169" i="4"/>
  <c r="U79" i="3" l="1"/>
  <c r="V79" i="3" s="1"/>
  <c r="U76" i="3"/>
  <c r="W76" i="3" s="1"/>
  <c r="U69" i="3"/>
  <c r="W69" i="3" s="1"/>
  <c r="U66" i="3"/>
  <c r="W66" i="3" s="1"/>
  <c r="U63" i="3"/>
  <c r="V63" i="3" s="1"/>
  <c r="U59" i="3"/>
  <c r="V59" i="3" s="1"/>
  <c r="U56" i="3"/>
  <c r="W56" i="3" s="1"/>
  <c r="U53" i="3"/>
  <c r="V53" i="3" s="1"/>
  <c r="U50" i="3"/>
  <c r="W50" i="3" s="1"/>
  <c r="U46" i="3"/>
  <c r="W46" i="3" s="1"/>
  <c r="U43" i="3"/>
  <c r="W43" i="3" s="1"/>
  <c r="U39" i="3"/>
  <c r="V39" i="3" s="1"/>
  <c r="W79" i="3" l="1"/>
  <c r="V76" i="3"/>
  <c r="V69" i="3"/>
  <c r="V66" i="3"/>
  <c r="W63" i="3"/>
  <c r="W59" i="3"/>
  <c r="V56" i="3"/>
  <c r="W53" i="3"/>
  <c r="V50" i="3"/>
  <c r="V46" i="3"/>
  <c r="V43" i="3"/>
  <c r="W39" i="3"/>
  <c r="U35" i="3" l="1"/>
  <c r="W35" i="3" s="1"/>
  <c r="U34" i="3"/>
  <c r="V34" i="3" s="1"/>
  <c r="U32" i="3"/>
  <c r="W32" i="3" s="1"/>
  <c r="U29" i="3"/>
  <c r="W29" i="3" s="1"/>
  <c r="U25" i="3"/>
  <c r="W25" i="3" s="1"/>
  <c r="U21" i="3"/>
  <c r="W21" i="3" s="1"/>
  <c r="U18" i="3"/>
  <c r="W18" i="3" s="1"/>
  <c r="U15" i="3"/>
  <c r="W15" i="3" s="1"/>
  <c r="U12" i="3"/>
  <c r="W12" i="3" s="1"/>
  <c r="U128" i="3"/>
  <c r="W128" i="3" s="1"/>
  <c r="W34" i="3" l="1"/>
  <c r="V35" i="3"/>
  <c r="V32" i="3"/>
  <c r="V29" i="3"/>
  <c r="V25" i="3"/>
  <c r="V21" i="3"/>
  <c r="V18" i="3"/>
  <c r="V15" i="3"/>
  <c r="V12" i="3"/>
  <c r="V128" i="3"/>
  <c r="U105" i="3" l="1"/>
  <c r="V105" i="3" s="1"/>
  <c r="U100" i="3"/>
  <c r="V100" i="3" s="1"/>
  <c r="U94" i="3"/>
  <c r="V94" i="3" s="1"/>
  <c r="U88" i="3"/>
  <c r="W88" i="3" s="1"/>
  <c r="W105" i="3" l="1"/>
  <c r="W100" i="3"/>
  <c r="W94" i="3"/>
  <c r="V88" i="3"/>
  <c r="U86" i="3"/>
  <c r="W86" i="3" s="1"/>
  <c r="U85" i="3"/>
  <c r="W85" i="3" s="1"/>
  <c r="V85" i="3" l="1"/>
  <c r="V86" i="3"/>
  <c r="U8" i="3"/>
  <c r="V8" i="3" s="1"/>
  <c r="W8" i="3" l="1"/>
  <c r="U132" i="3"/>
  <c r="W132" i="3" s="1"/>
  <c r="V132" i="3" l="1"/>
  <c r="Z5" i="4" l="1"/>
  <c r="AA203" i="4" s="1"/>
  <c r="U5" i="4"/>
  <c r="V5" i="4" s="1"/>
  <c r="U6" i="4"/>
  <c r="V6" i="4" s="1"/>
  <c r="U7" i="4"/>
  <c r="V7" i="4" s="1"/>
  <c r="U8" i="4"/>
  <c r="W8" i="4" s="1"/>
  <c r="U9" i="4"/>
  <c r="V9" i="4" s="1"/>
  <c r="U10" i="4"/>
  <c r="V10" i="4" s="1"/>
  <c r="U11" i="4"/>
  <c r="V11" i="4" s="1"/>
  <c r="U12" i="4"/>
  <c r="W12" i="4" s="1"/>
  <c r="U13" i="4"/>
  <c r="V13" i="4" s="1"/>
  <c r="U14" i="4"/>
  <c r="V14" i="4" s="1"/>
  <c r="U15" i="4"/>
  <c r="W15" i="4" s="1"/>
  <c r="U16" i="4"/>
  <c r="W16" i="4" s="1"/>
  <c r="U17" i="4"/>
  <c r="V17" i="4" s="1"/>
  <c r="U18" i="4"/>
  <c r="V18" i="4" s="1"/>
  <c r="U19" i="4"/>
  <c r="W19" i="4" s="1"/>
  <c r="U20" i="4"/>
  <c r="W20" i="4" s="1"/>
  <c r="U21" i="4"/>
  <c r="V21" i="4" s="1"/>
  <c r="U22" i="4"/>
  <c r="V22" i="4" s="1"/>
  <c r="U23" i="4"/>
  <c r="W23" i="4" s="1"/>
  <c r="U24" i="4"/>
  <c r="W24" i="4" s="1"/>
  <c r="U25" i="4"/>
  <c r="V25" i="4" s="1"/>
  <c r="U26" i="4"/>
  <c r="V26" i="4" s="1"/>
  <c r="U27" i="4"/>
  <c r="V27" i="4" s="1"/>
  <c r="U28" i="4"/>
  <c r="W28" i="4" s="1"/>
  <c r="U29" i="4"/>
  <c r="V29" i="4" s="1"/>
  <c r="U30" i="4"/>
  <c r="V30" i="4" s="1"/>
  <c r="U31" i="4"/>
  <c r="W31" i="4" s="1"/>
  <c r="U32" i="4"/>
  <c r="W32" i="4" s="1"/>
  <c r="U33" i="4"/>
  <c r="V33" i="4" s="1"/>
  <c r="U34" i="4"/>
  <c r="V34" i="4" s="1"/>
  <c r="U35" i="4"/>
  <c r="W35" i="4" s="1"/>
  <c r="U36" i="4"/>
  <c r="W36" i="4" s="1"/>
  <c r="U37" i="4"/>
  <c r="V37" i="4" s="1"/>
  <c r="U38" i="4"/>
  <c r="V38" i="4" s="1"/>
  <c r="U39" i="4"/>
  <c r="V39" i="4" s="1"/>
  <c r="U40" i="4"/>
  <c r="W40" i="4" s="1"/>
  <c r="U41" i="4"/>
  <c r="V41" i="4" s="1"/>
  <c r="U42" i="4"/>
  <c r="V42" i="4" s="1"/>
  <c r="U43" i="4"/>
  <c r="V43" i="4" s="1"/>
  <c r="U44" i="4"/>
  <c r="W44" i="4" s="1"/>
  <c r="U45" i="4"/>
  <c r="V45" i="4" s="1"/>
  <c r="U46" i="4"/>
  <c r="V46" i="4" s="1"/>
  <c r="U47" i="4"/>
  <c r="W47" i="4" s="1"/>
  <c r="U48" i="4"/>
  <c r="W48" i="4" s="1"/>
  <c r="U49" i="4"/>
  <c r="V49" i="4" s="1"/>
  <c r="U50" i="4"/>
  <c r="V50" i="4" s="1"/>
  <c r="U51" i="4"/>
  <c r="W51" i="4" s="1"/>
  <c r="U52" i="4"/>
  <c r="W52" i="4" s="1"/>
  <c r="U53" i="4"/>
  <c r="V53" i="4" s="1"/>
  <c r="U54" i="4"/>
  <c r="V54" i="4" s="1"/>
  <c r="U55" i="4"/>
  <c r="V55" i="4" s="1"/>
  <c r="U56" i="4"/>
  <c r="W56" i="4" s="1"/>
  <c r="U57" i="4"/>
  <c r="V57" i="4" s="1"/>
  <c r="U58" i="4"/>
  <c r="V58" i="4" s="1"/>
  <c r="U59" i="4"/>
  <c r="V59" i="4" s="1"/>
  <c r="U60" i="4"/>
  <c r="W60" i="4" s="1"/>
  <c r="U61" i="4"/>
  <c r="V61" i="4" s="1"/>
  <c r="U62" i="4"/>
  <c r="V62" i="4" s="1"/>
  <c r="U63" i="4"/>
  <c r="W63" i="4" s="1"/>
  <c r="U64" i="4"/>
  <c r="W64" i="4" s="1"/>
  <c r="U65" i="4"/>
  <c r="V65" i="4" s="1"/>
  <c r="U66" i="4"/>
  <c r="V66" i="4" s="1"/>
  <c r="U67" i="4"/>
  <c r="W67" i="4" s="1"/>
  <c r="U68" i="4"/>
  <c r="W68" i="4" s="1"/>
  <c r="U69" i="4"/>
  <c r="V69" i="4" s="1"/>
  <c r="U70" i="4"/>
  <c r="V70" i="4" s="1"/>
  <c r="U71" i="4"/>
  <c r="V71" i="4" s="1"/>
  <c r="U72" i="4"/>
  <c r="W72" i="4" s="1"/>
  <c r="U73" i="4"/>
  <c r="V73" i="4" s="1"/>
  <c r="U74" i="4"/>
  <c r="V74" i="4" s="1"/>
  <c r="U75" i="4"/>
  <c r="V75" i="4" s="1"/>
  <c r="U76" i="4"/>
  <c r="W76" i="4" s="1"/>
  <c r="U77" i="4"/>
  <c r="V77" i="4" s="1"/>
  <c r="U78" i="4"/>
  <c r="V78" i="4" s="1"/>
  <c r="U79" i="4"/>
  <c r="V79" i="4" s="1"/>
  <c r="U80" i="4"/>
  <c r="W80" i="4" s="1"/>
  <c r="U81" i="4"/>
  <c r="V81" i="4" s="1"/>
  <c r="U82" i="4"/>
  <c r="V82" i="4" s="1"/>
  <c r="U83" i="4"/>
  <c r="W83" i="4" s="1"/>
  <c r="U84" i="4"/>
  <c r="W84" i="4" s="1"/>
  <c r="U85" i="4"/>
  <c r="V85" i="4" s="1"/>
  <c r="U86" i="4"/>
  <c r="V86" i="4" s="1"/>
  <c r="U87" i="4"/>
  <c r="W87" i="4" s="1"/>
  <c r="U88" i="4"/>
  <c r="W88" i="4" s="1"/>
  <c r="U89" i="4"/>
  <c r="V89" i="4" s="1"/>
  <c r="U90" i="4"/>
  <c r="V90" i="4" s="1"/>
  <c r="U91" i="4"/>
  <c r="V91" i="4" s="1"/>
  <c r="U92" i="4"/>
  <c r="W92" i="4" s="1"/>
  <c r="U93" i="4"/>
  <c r="V93" i="4" s="1"/>
  <c r="U94" i="4"/>
  <c r="V94" i="4" s="1"/>
  <c r="U95" i="4"/>
  <c r="V95" i="4" s="1"/>
  <c r="U96" i="4"/>
  <c r="W96" i="4" s="1"/>
  <c r="U97" i="4"/>
  <c r="V97" i="4" s="1"/>
  <c r="U98" i="4"/>
  <c r="V98" i="4" s="1"/>
  <c r="U99" i="4"/>
  <c r="V99" i="4" s="1"/>
  <c r="U100" i="4"/>
  <c r="W100" i="4" s="1"/>
  <c r="U101" i="4"/>
  <c r="V101" i="4" s="1"/>
  <c r="U102" i="4"/>
  <c r="V102" i="4" s="1"/>
  <c r="U103" i="4"/>
  <c r="V103" i="4" s="1"/>
  <c r="U104" i="4"/>
  <c r="W104" i="4" s="1"/>
  <c r="U105" i="4"/>
  <c r="V105" i="4" s="1"/>
  <c r="U106" i="4"/>
  <c r="V106" i="4" s="1"/>
  <c r="U107" i="4"/>
  <c r="V107" i="4" s="1"/>
  <c r="U108" i="4"/>
  <c r="W108" i="4" s="1"/>
  <c r="U109" i="4"/>
  <c r="V109" i="4" s="1"/>
  <c r="U110" i="4"/>
  <c r="V110" i="4" s="1"/>
  <c r="U111" i="4"/>
  <c r="V111" i="4" s="1"/>
  <c r="U112" i="4"/>
  <c r="W112" i="4" s="1"/>
  <c r="U113" i="4"/>
  <c r="V113" i="4" s="1"/>
  <c r="U114" i="4"/>
  <c r="V114" i="4" s="1"/>
  <c r="U115" i="4"/>
  <c r="W115" i="4" s="1"/>
  <c r="U116" i="4"/>
  <c r="W116" i="4" s="1"/>
  <c r="U117" i="4"/>
  <c r="V117" i="4" s="1"/>
  <c r="U118" i="4"/>
  <c r="V118" i="4" s="1"/>
  <c r="U119" i="4"/>
  <c r="W119" i="4" s="1"/>
  <c r="U120" i="4"/>
  <c r="W120" i="4" s="1"/>
  <c r="U121" i="4"/>
  <c r="V121" i="4" s="1"/>
  <c r="U122" i="4"/>
  <c r="V122" i="4" s="1"/>
  <c r="U123" i="4"/>
  <c r="V123" i="4" s="1"/>
  <c r="U124" i="4"/>
  <c r="W124" i="4" s="1"/>
  <c r="U125" i="4"/>
  <c r="V125" i="4" s="1"/>
  <c r="U126" i="4"/>
  <c r="V126" i="4" s="1"/>
  <c r="U127" i="4"/>
  <c r="W127" i="4" s="1"/>
  <c r="U128" i="4"/>
  <c r="W128" i="4" s="1"/>
  <c r="U129" i="4"/>
  <c r="V129" i="4" s="1"/>
  <c r="U130" i="4"/>
  <c r="V130" i="4" s="1"/>
  <c r="U131" i="4"/>
  <c r="W131" i="4" s="1"/>
  <c r="U132" i="4"/>
  <c r="V132" i="4" s="1"/>
  <c r="U133" i="4"/>
  <c r="V133" i="4" s="1"/>
  <c r="U134" i="4"/>
  <c r="V134" i="4" s="1"/>
  <c r="U135" i="4"/>
  <c r="W135" i="4" s="1"/>
  <c r="U136" i="4"/>
  <c r="V136" i="4" s="1"/>
  <c r="U137" i="4"/>
  <c r="V137" i="4" s="1"/>
  <c r="U138" i="4"/>
  <c r="V138" i="4" s="1"/>
  <c r="U139" i="4"/>
  <c r="W139" i="4" s="1"/>
  <c r="U140" i="4"/>
  <c r="V140" i="4" s="1"/>
  <c r="U141" i="4"/>
  <c r="W141" i="4" s="1"/>
  <c r="U142" i="4"/>
  <c r="V142" i="4" s="1"/>
  <c r="U143" i="4"/>
  <c r="V143" i="4" s="1"/>
  <c r="U144" i="4"/>
  <c r="V144" i="4" s="1"/>
  <c r="U145" i="4"/>
  <c r="V145" i="4" s="1"/>
  <c r="U146" i="4"/>
  <c r="V146" i="4" s="1"/>
  <c r="U147" i="4"/>
  <c r="V147" i="4" s="1"/>
  <c r="U148" i="4"/>
  <c r="V148" i="4" s="1"/>
  <c r="U149" i="4"/>
  <c r="V149" i="4" s="1"/>
  <c r="U150" i="4"/>
  <c r="V150" i="4" s="1"/>
  <c r="U151" i="4"/>
  <c r="W151" i="4" s="1"/>
  <c r="U152" i="4"/>
  <c r="V152" i="4" s="1"/>
  <c r="U153" i="4"/>
  <c r="W153" i="4" s="1"/>
  <c r="U154" i="4"/>
  <c r="V154" i="4" s="1"/>
  <c r="U155" i="4"/>
  <c r="V155" i="4" s="1"/>
  <c r="U156" i="4"/>
  <c r="V156" i="4" s="1"/>
  <c r="U157" i="4"/>
  <c r="W157" i="4" s="1"/>
  <c r="U158" i="4"/>
  <c r="W158" i="4" s="1"/>
  <c r="U159" i="4"/>
  <c r="V159" i="4" s="1"/>
  <c r="U160" i="4"/>
  <c r="V160" i="4" s="1"/>
  <c r="U161" i="4"/>
  <c r="W161" i="4" s="1"/>
  <c r="U162" i="4"/>
  <c r="W162" i="4" s="1"/>
  <c r="U163" i="4"/>
  <c r="V163" i="4" s="1"/>
  <c r="U172" i="4"/>
  <c r="V172" i="4" s="1"/>
  <c r="U173" i="4"/>
  <c r="V173" i="4" s="1"/>
  <c r="U174" i="4"/>
  <c r="W174" i="4" s="1"/>
  <c r="U175" i="4"/>
  <c r="V175" i="4" s="1"/>
  <c r="Z75" i="5"/>
  <c r="AA75" i="5" s="1"/>
  <c r="Z76" i="5"/>
  <c r="AA76" i="5" s="1"/>
  <c r="Z77" i="5"/>
  <c r="AA77" i="5" s="1"/>
  <c r="Z78" i="5"/>
  <c r="AA78" i="5" s="1"/>
  <c r="Z79" i="5"/>
  <c r="AA79" i="5" s="1"/>
  <c r="Z80" i="5"/>
  <c r="AA80" i="5" s="1"/>
  <c r="Z81" i="5"/>
  <c r="AA81" i="5" s="1"/>
  <c r="Z82" i="5"/>
  <c r="AA82" i="5" s="1"/>
  <c r="Z83" i="5"/>
  <c r="AA83" i="5" s="1"/>
  <c r="Z84" i="5"/>
  <c r="AA84" i="5" s="1"/>
  <c r="Z85" i="5"/>
  <c r="AA85" i="5" s="1"/>
  <c r="Z86" i="5"/>
  <c r="AA86" i="5" s="1"/>
  <c r="Z87" i="5"/>
  <c r="AA87" i="5" s="1"/>
  <c r="Z88" i="5"/>
  <c r="AA88" i="5" s="1"/>
  <c r="Z89" i="5"/>
  <c r="AA89" i="5" s="1"/>
  <c r="Z90" i="5"/>
  <c r="AA90" i="5" s="1"/>
  <c r="Z91" i="5"/>
  <c r="AA91" i="5" s="1"/>
  <c r="Z92" i="5"/>
  <c r="AA92" i="5" s="1"/>
  <c r="Z93" i="5"/>
  <c r="AA93" i="5" s="1"/>
  <c r="Z94" i="5"/>
  <c r="AA94" i="5" s="1"/>
  <c r="Z95" i="5"/>
  <c r="AA95" i="5" s="1"/>
  <c r="Z96" i="5"/>
  <c r="AA96" i="5" s="1"/>
  <c r="Z97" i="5"/>
  <c r="AA97" i="5" s="1"/>
  <c r="Z98" i="5"/>
  <c r="AA98" i="5" s="1"/>
  <c r="Z99" i="5"/>
  <c r="AA99" i="5" s="1"/>
  <c r="Z100" i="5"/>
  <c r="AA100" i="5" s="1"/>
  <c r="Z101" i="5"/>
  <c r="AA101" i="5" s="1"/>
  <c r="Z102" i="5"/>
  <c r="AA102" i="5" s="1"/>
  <c r="Z103" i="5"/>
  <c r="AA103" i="5" s="1"/>
  <c r="Z104" i="5"/>
  <c r="AA104" i="5" s="1"/>
  <c r="Z105" i="5"/>
  <c r="AA105" i="5" s="1"/>
  <c r="Z106" i="5"/>
  <c r="AA106" i="5" s="1"/>
  <c r="Z107" i="5"/>
  <c r="AA107" i="5" s="1"/>
  <c r="Z108" i="5"/>
  <c r="AA108" i="5" s="1"/>
  <c r="Z109" i="5"/>
  <c r="AA109" i="5" s="1"/>
  <c r="Z110" i="5"/>
  <c r="AA110" i="5" s="1"/>
  <c r="Z111" i="5"/>
  <c r="AA111" i="5" s="1"/>
  <c r="Z112" i="5"/>
  <c r="AA112" i="5" s="1"/>
  <c r="Z113" i="5"/>
  <c r="AA113" i="5" s="1"/>
  <c r="Z114" i="5"/>
  <c r="AA114" i="5" s="1"/>
  <c r="Z115" i="5"/>
  <c r="AA115" i="5" s="1"/>
  <c r="Z116" i="5"/>
  <c r="AA116" i="5" s="1"/>
  <c r="Z117" i="5"/>
  <c r="AA117" i="5" s="1"/>
  <c r="Z118" i="5"/>
  <c r="AA118" i="5" s="1"/>
  <c r="Z119" i="5"/>
  <c r="AA119" i="5" s="1"/>
  <c r="Z120" i="5"/>
  <c r="AA120" i="5" s="1"/>
  <c r="Z121" i="5"/>
  <c r="AA121" i="5" s="1"/>
  <c r="Z122" i="5"/>
  <c r="AA122" i="5" s="1"/>
  <c r="Z123" i="5"/>
  <c r="AA123" i="5" s="1"/>
  <c r="Z124" i="5"/>
  <c r="AA124" i="5" s="1"/>
  <c r="Z125" i="5"/>
  <c r="AA125" i="5" s="1"/>
  <c r="Z126" i="5"/>
  <c r="AA126" i="5" s="1"/>
  <c r="Z127" i="5"/>
  <c r="AA127" i="5" s="1"/>
  <c r="Z128" i="5"/>
  <c r="AA128" i="5" s="1"/>
  <c r="Z129" i="5"/>
  <c r="AA129" i="5" s="1"/>
  <c r="Z130" i="5"/>
  <c r="AA130" i="5" s="1"/>
  <c r="Z131" i="5"/>
  <c r="AA131" i="5" s="1"/>
  <c r="Z132" i="5"/>
  <c r="AA132" i="5" s="1"/>
  <c r="Z133" i="5"/>
  <c r="AA133" i="5" s="1"/>
  <c r="Z134" i="5"/>
  <c r="AA134" i="5" s="1"/>
  <c r="Z135" i="5"/>
  <c r="AA135" i="5" s="1"/>
  <c r="Z136" i="5"/>
  <c r="AA136" i="5" s="1"/>
  <c r="Z137" i="5"/>
  <c r="AA137" i="5" s="1"/>
  <c r="Z138" i="5"/>
  <c r="AA138" i="5" s="1"/>
  <c r="Z139" i="5"/>
  <c r="AA139" i="5" s="1"/>
  <c r="Z140" i="5"/>
  <c r="AA140" i="5" s="1"/>
  <c r="Z141" i="5"/>
  <c r="AA141" i="5" s="1"/>
  <c r="Z142" i="5"/>
  <c r="AA142" i="5" s="1"/>
  <c r="Z143" i="5"/>
  <c r="AA143" i="5" s="1"/>
  <c r="Z144" i="5"/>
  <c r="AA144" i="5" s="1"/>
  <c r="Z145" i="5"/>
  <c r="AA145" i="5" s="1"/>
  <c r="Z146" i="5"/>
  <c r="AA146" i="5" s="1"/>
  <c r="Z147" i="5"/>
  <c r="AA147" i="5" s="1"/>
  <c r="Z148" i="5"/>
  <c r="AA148" i="5" s="1"/>
  <c r="Z149" i="5"/>
  <c r="AA149" i="5" s="1"/>
  <c r="Z150" i="5"/>
  <c r="AA150" i="5" s="1"/>
  <c r="Z151" i="5"/>
  <c r="AA151" i="5" s="1"/>
  <c r="Z152" i="5"/>
  <c r="AA152" i="5" s="1"/>
  <c r="Z153" i="5"/>
  <c r="AA153" i="5" s="1"/>
  <c r="Z154" i="5"/>
  <c r="AA154" i="5" s="1"/>
  <c r="Z155" i="5"/>
  <c r="AA155" i="5" s="1"/>
  <c r="Z156" i="5"/>
  <c r="AA156" i="5" s="1"/>
  <c r="Z157" i="5"/>
  <c r="AA157" i="5" s="1"/>
  <c r="Z158" i="5"/>
  <c r="AA158" i="5" s="1"/>
  <c r="Z159" i="5"/>
  <c r="AA159" i="5" s="1"/>
  <c r="Z160" i="5"/>
  <c r="AA160" i="5" s="1"/>
  <c r="Z161" i="5"/>
  <c r="AA161" i="5" s="1"/>
  <c r="Z162" i="5"/>
  <c r="AA162" i="5" s="1"/>
  <c r="Z163" i="5"/>
  <c r="AA163" i="5" s="1"/>
  <c r="Z164" i="5"/>
  <c r="AA164" i="5" s="1"/>
  <c r="Z165" i="5"/>
  <c r="AA165" i="5" s="1"/>
  <c r="Z166" i="5"/>
  <c r="AA166" i="5" s="1"/>
  <c r="Z167" i="5"/>
  <c r="AA167" i="5" s="1"/>
  <c r="Z168" i="5"/>
  <c r="AA168" i="5" s="1"/>
  <c r="Z169" i="5"/>
  <c r="AA169" i="5" s="1"/>
  <c r="Z170" i="5"/>
  <c r="AA170" i="5" s="1"/>
  <c r="Z171" i="5"/>
  <c r="AA171" i="5" s="1"/>
  <c r="Z172" i="5"/>
  <c r="AA172" i="5" s="1"/>
  <c r="Z173" i="5"/>
  <c r="AA173" i="5" s="1"/>
  <c r="Z174" i="5"/>
  <c r="AA174" i="5" s="1"/>
  <c r="Z175" i="5"/>
  <c r="AA175" i="5" s="1"/>
  <c r="Z176" i="5"/>
  <c r="AA176" i="5" s="1"/>
  <c r="Z177" i="5"/>
  <c r="AA177" i="5" s="1"/>
  <c r="Z178" i="5"/>
  <c r="AA178" i="5" s="1"/>
  <c r="Z179" i="5"/>
  <c r="AA179" i="5" s="1"/>
  <c r="Z180" i="5"/>
  <c r="AA180" i="5" s="1"/>
  <c r="Z181" i="5"/>
  <c r="AA181" i="5" s="1"/>
  <c r="Z182" i="5"/>
  <c r="AA182" i="5" s="1"/>
  <c r="Z183" i="5"/>
  <c r="AA183" i="5" s="1"/>
  <c r="Z184" i="5"/>
  <c r="AA184" i="5" s="1"/>
  <c r="Z185" i="5"/>
  <c r="AA185" i="5" s="1"/>
  <c r="Z186" i="5"/>
  <c r="AA186" i="5" s="1"/>
  <c r="Z187" i="5"/>
  <c r="AA187" i="5" s="1"/>
  <c r="Z188" i="5"/>
  <c r="AA188" i="5" s="1"/>
  <c r="Z189" i="5"/>
  <c r="AA189" i="5" s="1"/>
  <c r="Z190" i="5"/>
  <c r="AA190" i="5" s="1"/>
  <c r="Z191" i="5"/>
  <c r="AA191" i="5" s="1"/>
  <c r="Z192" i="5"/>
  <c r="AA192" i="5" s="1"/>
  <c r="Z193" i="5"/>
  <c r="AA193" i="5" s="1"/>
  <c r="Z194" i="5"/>
  <c r="AA194" i="5" s="1"/>
  <c r="Z195" i="5"/>
  <c r="AA195" i="5" s="1"/>
  <c r="Z196" i="5"/>
  <c r="AA196" i="5" s="1"/>
  <c r="Z197" i="5"/>
  <c r="AA197" i="5" s="1"/>
  <c r="Z198" i="5"/>
  <c r="AA198" i="5" s="1"/>
  <c r="Z199" i="5"/>
  <c r="AA199" i="5" s="1"/>
  <c r="Z200" i="5"/>
  <c r="AA200" i="5" s="1"/>
  <c r="Z201" i="5"/>
  <c r="AA201" i="5" s="1"/>
  <c r="Z202" i="5"/>
  <c r="AA202" i="5" s="1"/>
  <c r="Z203" i="5"/>
  <c r="AA203" i="5" s="1"/>
  <c r="Z204" i="5"/>
  <c r="AA204" i="5" s="1"/>
  <c r="Z205" i="5"/>
  <c r="AA205" i="5" s="1"/>
  <c r="Z206" i="5"/>
  <c r="AA206" i="5" s="1"/>
  <c r="Z207" i="5"/>
  <c r="AA207" i="5" s="1"/>
  <c r="Z208" i="5"/>
  <c r="AA208" i="5" s="1"/>
  <c r="Z209" i="5"/>
  <c r="AA209" i="5" s="1"/>
  <c r="Z210" i="5"/>
  <c r="AA210" i="5" s="1"/>
  <c r="Z211" i="5"/>
  <c r="AA211" i="5" s="1"/>
  <c r="Z212" i="5"/>
  <c r="AA212" i="5" s="1"/>
  <c r="Z213" i="5"/>
  <c r="AA213" i="5" s="1"/>
  <c r="Z214" i="5"/>
  <c r="AA214" i="5" s="1"/>
  <c r="Z215" i="5"/>
  <c r="AA215" i="5" s="1"/>
  <c r="Z216" i="5"/>
  <c r="AA216" i="5" s="1"/>
  <c r="Z217" i="5"/>
  <c r="AA217" i="5" s="1"/>
  <c r="Z218" i="5"/>
  <c r="AA218" i="5" s="1"/>
  <c r="Z219" i="5"/>
  <c r="AA219" i="5" s="1"/>
  <c r="Z220" i="5"/>
  <c r="AA220" i="5" s="1"/>
  <c r="Z221" i="5"/>
  <c r="AA221" i="5" s="1"/>
  <c r="Z222" i="5"/>
  <c r="AA222" i="5" s="1"/>
  <c r="Z223" i="5"/>
  <c r="AA223" i="5" s="1"/>
  <c r="Z224" i="5"/>
  <c r="AA224" i="5" s="1"/>
  <c r="Z225" i="5"/>
  <c r="AA225" i="5" s="1"/>
  <c r="Z226" i="5"/>
  <c r="AA226" i="5" s="1"/>
  <c r="Z227" i="5"/>
  <c r="AA227" i="5" s="1"/>
  <c r="Z228" i="5"/>
  <c r="AA228" i="5" s="1"/>
  <c r="Z229" i="5"/>
  <c r="AA229" i="5" s="1"/>
  <c r="Z230" i="5"/>
  <c r="AA230" i="5" s="1"/>
  <c r="Z231" i="5"/>
  <c r="AA231" i="5" s="1"/>
  <c r="Z232" i="5"/>
  <c r="AA232" i="5" s="1"/>
  <c r="Z233" i="5"/>
  <c r="AA233" i="5" s="1"/>
  <c r="Z234" i="5"/>
  <c r="AA234" i="5" s="1"/>
  <c r="Z235" i="5"/>
  <c r="AA235" i="5" s="1"/>
  <c r="Z236" i="5"/>
  <c r="AA236" i="5" s="1"/>
  <c r="Z237" i="5"/>
  <c r="AA237" i="5" s="1"/>
  <c r="Z238" i="5"/>
  <c r="AA238" i="5" s="1"/>
  <c r="Z239" i="5"/>
  <c r="AA239" i="5" s="1"/>
  <c r="Z240" i="5"/>
  <c r="AA240" i="5" s="1"/>
  <c r="Z241" i="5"/>
  <c r="AA241" i="5" s="1"/>
  <c r="Z242" i="5"/>
  <c r="AA242" i="5" s="1"/>
  <c r="Z243" i="5"/>
  <c r="AA243" i="5" s="1"/>
  <c r="Z244" i="5"/>
  <c r="AA244" i="5" s="1"/>
  <c r="Z245" i="5"/>
  <c r="AA245" i="5" s="1"/>
  <c r="Z246" i="5"/>
  <c r="AA246" i="5" s="1"/>
  <c r="Z247" i="5"/>
  <c r="AA247" i="5" s="1"/>
  <c r="Z248" i="5"/>
  <c r="AA248" i="5" s="1"/>
  <c r="Z249" i="5"/>
  <c r="AA249" i="5" s="1"/>
  <c r="Z250" i="5"/>
  <c r="AA250" i="5" s="1"/>
  <c r="Z251" i="5"/>
  <c r="AA251" i="5" s="1"/>
  <c r="Z252" i="5"/>
  <c r="AA252" i="5" s="1"/>
  <c r="Z253" i="5"/>
  <c r="AA253" i="5" s="1"/>
  <c r="Z254" i="5"/>
  <c r="AA254" i="5" s="1"/>
  <c r="Z255" i="5"/>
  <c r="AA255" i="5" s="1"/>
  <c r="Z256" i="5"/>
  <c r="AA256" i="5" s="1"/>
  <c r="Z257" i="5"/>
  <c r="AA257" i="5" s="1"/>
  <c r="Z258" i="5"/>
  <c r="AA258" i="5" s="1"/>
  <c r="Z259" i="5"/>
  <c r="AA259" i="5" s="1"/>
  <c r="Z260" i="5"/>
  <c r="AA260" i="5" s="1"/>
  <c r="Z261" i="5"/>
  <c r="AA261" i="5" s="1"/>
  <c r="Z262" i="5"/>
  <c r="AA262" i="5" s="1"/>
  <c r="Z263" i="5"/>
  <c r="AA263" i="5" s="1"/>
  <c r="Z264" i="5"/>
  <c r="AA264" i="5" s="1"/>
  <c r="Z265" i="5"/>
  <c r="AA265" i="5" s="1"/>
  <c r="Z266" i="5"/>
  <c r="AA266" i="5" s="1"/>
  <c r="Z267" i="5"/>
  <c r="AA267" i="5" s="1"/>
  <c r="Z268" i="5"/>
  <c r="AA268" i="5" s="1"/>
  <c r="Z269" i="5"/>
  <c r="AA269" i="5" s="1"/>
  <c r="Z270" i="5"/>
  <c r="AA270" i="5" s="1"/>
  <c r="Z271" i="5"/>
  <c r="AA271" i="5" s="1"/>
  <c r="Z272" i="5"/>
  <c r="AA272" i="5" s="1"/>
  <c r="Z273" i="5"/>
  <c r="AA273" i="5" s="1"/>
  <c r="Z274" i="5"/>
  <c r="AA274" i="5" s="1"/>
  <c r="Z275" i="5"/>
  <c r="AA275" i="5" s="1"/>
  <c r="Z276" i="5"/>
  <c r="AA276" i="5" s="1"/>
  <c r="Z277" i="5"/>
  <c r="AA277" i="5" s="1"/>
  <c r="Z278" i="5"/>
  <c r="AA278" i="5" s="1"/>
  <c r="Z279" i="5"/>
  <c r="AA279" i="5" s="1"/>
  <c r="Z280" i="5"/>
  <c r="AA280" i="5" s="1"/>
  <c r="Z281" i="5"/>
  <c r="AA281" i="5" s="1"/>
  <c r="Z282" i="5"/>
  <c r="AA282" i="5" s="1"/>
  <c r="Z283" i="5"/>
  <c r="AA283" i="5" s="1"/>
  <c r="Z284" i="5"/>
  <c r="AA284" i="5" s="1"/>
  <c r="Z285" i="5"/>
  <c r="AA285" i="5" s="1"/>
  <c r="Z286" i="5"/>
  <c r="AA286" i="5" s="1"/>
  <c r="Z287" i="5"/>
  <c r="AA287" i="5" s="1"/>
  <c r="Z288" i="5"/>
  <c r="AA288" i="5" s="1"/>
  <c r="Z289" i="5"/>
  <c r="AA289" i="5" s="1"/>
  <c r="Z290" i="5"/>
  <c r="AA290" i="5" s="1"/>
  <c r="Z291" i="5"/>
  <c r="AA291" i="5" s="1"/>
  <c r="Z292" i="5"/>
  <c r="AA292" i="5" s="1"/>
  <c r="AA223" i="4" l="1"/>
  <c r="AA235" i="4"/>
  <c r="AA228" i="4"/>
  <c r="AA239" i="4"/>
  <c r="AA218" i="4"/>
  <c r="AA52" i="4"/>
  <c r="AA20" i="4"/>
  <c r="AA44" i="4"/>
  <c r="AA13" i="4"/>
  <c r="AA68" i="4"/>
  <c r="AA117" i="4"/>
  <c r="AA60" i="4"/>
  <c r="C69" i="1" s="1"/>
  <c r="AA153" i="4"/>
  <c r="AA172" i="4"/>
  <c r="AA140" i="4"/>
  <c r="AA36" i="4"/>
  <c r="AA103" i="4"/>
  <c r="AA148" i="4"/>
  <c r="AA164" i="4"/>
  <c r="AA186" i="4"/>
  <c r="AA29" i="4"/>
  <c r="AA210" i="4"/>
  <c r="AA177" i="4"/>
  <c r="AA168" i="4"/>
  <c r="AA215" i="4"/>
  <c r="AA90" i="4"/>
  <c r="AA75" i="4"/>
  <c r="AA189" i="4"/>
  <c r="AA84" i="4"/>
  <c r="AA158" i="4"/>
  <c r="AA198" i="4"/>
  <c r="AA122" i="4"/>
  <c r="AA130" i="4"/>
  <c r="AA206" i="4"/>
  <c r="AA98" i="4"/>
  <c r="AA191" i="4"/>
  <c r="AA109" i="4"/>
  <c r="W154" i="4"/>
  <c r="AA5" i="4"/>
  <c r="W175" i="4"/>
  <c r="V174" i="4"/>
  <c r="W173" i="4"/>
  <c r="W172" i="4"/>
  <c r="V162" i="4"/>
  <c r="W159" i="4"/>
  <c r="V158" i="4"/>
  <c r="V161" i="4"/>
  <c r="W163" i="4"/>
  <c r="W160" i="4"/>
  <c r="W156" i="4"/>
  <c r="V153" i="4"/>
  <c r="V157" i="4"/>
  <c r="W155" i="4"/>
  <c r="W149" i="4"/>
  <c r="V151" i="4"/>
  <c r="W150" i="4"/>
  <c r="W152" i="4"/>
  <c r="W148" i="4"/>
  <c r="V141" i="4"/>
  <c r="W145" i="4"/>
  <c r="W144" i="4"/>
  <c r="W140" i="4"/>
  <c r="W147" i="4"/>
  <c r="W143" i="4"/>
  <c r="W146" i="4"/>
  <c r="W142" i="4"/>
  <c r="W137" i="4"/>
  <c r="V135" i="4"/>
  <c r="V131" i="4"/>
  <c r="W134" i="4"/>
  <c r="W130" i="4"/>
  <c r="W133" i="4"/>
  <c r="V139" i="4"/>
  <c r="W138" i="4"/>
  <c r="W136" i="4"/>
  <c r="W132" i="4"/>
  <c r="V48" i="4"/>
  <c r="W18" i="4"/>
  <c r="V92" i="4"/>
  <c r="V68" i="4"/>
  <c r="W43" i="4"/>
  <c r="W123" i="4"/>
  <c r="V100" i="4"/>
  <c r="V23" i="4"/>
  <c r="V51" i="4"/>
  <c r="V8" i="4"/>
  <c r="V83" i="4"/>
  <c r="W99" i="4"/>
  <c r="V67" i="4"/>
  <c r="V56" i="4"/>
  <c r="V31" i="4"/>
  <c r="W39" i="4"/>
  <c r="V35" i="4"/>
  <c r="W14" i="4"/>
  <c r="V124" i="4"/>
  <c r="V115" i="4"/>
  <c r="W107" i="4"/>
  <c r="V87" i="4"/>
  <c r="V24" i="4"/>
  <c r="V112" i="4"/>
  <c r="V84" i="4"/>
  <c r="W55" i="4"/>
  <c r="V47" i="4"/>
  <c r="W30" i="4"/>
  <c r="W22" i="4"/>
  <c r="W111" i="4"/>
  <c r="V119" i="4"/>
  <c r="W71" i="4"/>
  <c r="V28" i="4"/>
  <c r="V44" i="4"/>
  <c r="V19" i="4"/>
  <c r="W10" i="4"/>
  <c r="V127" i="4"/>
  <c r="V15" i="4"/>
  <c r="V96" i="4"/>
  <c r="V52" i="4"/>
  <c r="V80" i="4"/>
  <c r="W11" i="4"/>
  <c r="W79" i="4"/>
  <c r="V76" i="4"/>
  <c r="V32" i="4"/>
  <c r="V108" i="4"/>
  <c r="V16" i="4"/>
  <c r="W91" i="4"/>
  <c r="V116" i="4"/>
  <c r="W103" i="4"/>
  <c r="V63" i="4"/>
  <c r="V12" i="4"/>
  <c r="V128" i="4"/>
  <c r="V88" i="4"/>
  <c r="V64" i="4"/>
  <c r="V20" i="4"/>
  <c r="W75" i="4"/>
  <c r="V120" i="4"/>
  <c r="V40" i="4"/>
  <c r="W95" i="4"/>
  <c r="V72" i="4"/>
  <c r="W27" i="4"/>
  <c r="W7" i="4"/>
  <c r="V60" i="4"/>
  <c r="W59" i="4"/>
  <c r="V36" i="4"/>
  <c r="W26" i="4"/>
  <c r="W6" i="4"/>
  <c r="V104" i="4"/>
  <c r="W126" i="4"/>
  <c r="W122" i="4"/>
  <c r="W118" i="4"/>
  <c r="W114" i="4"/>
  <c r="W110" i="4"/>
  <c r="W106" i="4"/>
  <c r="W102" i="4"/>
  <c r="W98" i="4"/>
  <c r="W94" i="4"/>
  <c r="W90" i="4"/>
  <c r="W86" i="4"/>
  <c r="W82" i="4"/>
  <c r="W78" i="4"/>
  <c r="W74" i="4"/>
  <c r="W70" i="4"/>
  <c r="W66" i="4"/>
  <c r="W62" i="4"/>
  <c r="W58" i="4"/>
  <c r="W54" i="4"/>
  <c r="W50" i="4"/>
  <c r="W46" i="4"/>
  <c r="W42" i="4"/>
  <c r="W38" i="4"/>
  <c r="W34" i="4"/>
  <c r="W129" i="4"/>
  <c r="W125" i="4"/>
  <c r="W121" i="4"/>
  <c r="W117" i="4"/>
  <c r="W113" i="4"/>
  <c r="W109" i="4"/>
  <c r="W105" i="4"/>
  <c r="W101" i="4"/>
  <c r="W97" i="4"/>
  <c r="W93" i="4"/>
  <c r="W89" i="4"/>
  <c r="W85" i="4"/>
  <c r="W81" i="4"/>
  <c r="W77" i="4"/>
  <c r="W73" i="4"/>
  <c r="W69" i="4"/>
  <c r="W65" i="4"/>
  <c r="W61" i="4"/>
  <c r="W57" i="4"/>
  <c r="W53" i="4"/>
  <c r="W49" i="4"/>
  <c r="W45" i="4"/>
  <c r="W41" i="4"/>
  <c r="W37" i="4"/>
  <c r="W33" i="4"/>
  <c r="W29" i="4"/>
  <c r="W25" i="4"/>
  <c r="W21" i="4"/>
  <c r="W17" i="4"/>
  <c r="W13" i="4"/>
  <c r="W9" i="4"/>
  <c r="W5" i="4"/>
  <c r="C65" i="1" l="1"/>
  <c r="C64" i="1"/>
  <c r="C66" i="1"/>
  <c r="C67" i="1"/>
  <c r="C22" i="1"/>
  <c r="C57" i="1"/>
  <c r="C60" i="1"/>
  <c r="C56" i="1"/>
  <c r="C59" i="1"/>
  <c r="C58" i="1"/>
  <c r="C63" i="1"/>
  <c r="C71" i="1"/>
  <c r="C61" i="1"/>
  <c r="C70" i="1"/>
  <c r="C13" i="1"/>
  <c r="C68" i="1"/>
  <c r="C62" i="1"/>
  <c r="C24" i="1"/>
  <c r="C25" i="1"/>
  <c r="C23" i="1"/>
  <c r="C30" i="1"/>
  <c r="C26" i="1"/>
  <c r="C27" i="1"/>
  <c r="C29" i="1"/>
  <c r="C31" i="1"/>
  <c r="C28" i="1"/>
  <c r="C32" i="1"/>
  <c r="C36" i="1"/>
  <c r="C38" i="1"/>
  <c r="C35" i="1"/>
  <c r="C34" i="1"/>
  <c r="C33" i="1"/>
  <c r="C37" i="1"/>
  <c r="U81" i="3" l="1"/>
  <c r="W81" i="3" s="1"/>
  <c r="U77" i="3"/>
  <c r="W77" i="3" s="1"/>
  <c r="V81" i="3" l="1"/>
  <c r="V77" i="3"/>
  <c r="U19" i="3" l="1"/>
  <c r="W19" i="3" s="1"/>
  <c r="F21" i="8"/>
  <c r="Z304" i="7"/>
  <c r="AA304" i="7" s="1"/>
  <c r="W304" i="7"/>
  <c r="V304" i="7"/>
  <c r="U304" i="7"/>
  <c r="Z303" i="7"/>
  <c r="AA303" i="7" s="1"/>
  <c r="W303" i="7"/>
  <c r="V303" i="7"/>
  <c r="U303" i="7"/>
  <c r="Z302" i="7"/>
  <c r="AA302" i="7" s="1"/>
  <c r="W302" i="7"/>
  <c r="V302" i="7"/>
  <c r="U302" i="7"/>
  <c r="Z301" i="7"/>
  <c r="AA301" i="7" s="1"/>
  <c r="W301" i="7"/>
  <c r="V301" i="7"/>
  <c r="U301" i="7"/>
  <c r="Z300" i="7"/>
  <c r="AA300" i="7" s="1"/>
  <c r="W300" i="7"/>
  <c r="V300" i="7"/>
  <c r="U300" i="7"/>
  <c r="Z299" i="7"/>
  <c r="AA299" i="7" s="1"/>
  <c r="W299" i="7"/>
  <c r="V299" i="7"/>
  <c r="U299" i="7"/>
  <c r="Z298" i="7"/>
  <c r="AA298" i="7" s="1"/>
  <c r="W298" i="7"/>
  <c r="V298" i="7"/>
  <c r="U298" i="7"/>
  <c r="Z297" i="7"/>
  <c r="AA297" i="7" s="1"/>
  <c r="W297" i="7"/>
  <c r="V297" i="7"/>
  <c r="U297" i="7"/>
  <c r="Z296" i="7"/>
  <c r="AA296" i="7" s="1"/>
  <c r="W296" i="7"/>
  <c r="V296" i="7"/>
  <c r="U296" i="7"/>
  <c r="Z295" i="7"/>
  <c r="AA295" i="7" s="1"/>
  <c r="W295" i="7"/>
  <c r="V295" i="7"/>
  <c r="U295" i="7"/>
  <c r="Z294" i="7"/>
  <c r="AA294" i="7" s="1"/>
  <c r="W294" i="7"/>
  <c r="V294" i="7"/>
  <c r="U294" i="7"/>
  <c r="Z293" i="7"/>
  <c r="AA293" i="7" s="1"/>
  <c r="W293" i="7"/>
  <c r="V293" i="7"/>
  <c r="U293" i="7"/>
  <c r="Z292" i="7"/>
  <c r="AA292" i="7" s="1"/>
  <c r="W292" i="7"/>
  <c r="V292" i="7"/>
  <c r="U292" i="7"/>
  <c r="Z291" i="7"/>
  <c r="AA291" i="7" s="1"/>
  <c r="W291" i="7"/>
  <c r="V291" i="7"/>
  <c r="U291" i="7"/>
  <c r="Z290" i="7"/>
  <c r="AA290" i="7" s="1"/>
  <c r="W290" i="7"/>
  <c r="V290" i="7"/>
  <c r="U290" i="7"/>
  <c r="Z289" i="7"/>
  <c r="AA289" i="7" s="1"/>
  <c r="W289" i="7"/>
  <c r="V289" i="7"/>
  <c r="U289" i="7"/>
  <c r="Z288" i="7"/>
  <c r="AA288" i="7" s="1"/>
  <c r="W288" i="7"/>
  <c r="V288" i="7"/>
  <c r="U288" i="7"/>
  <c r="Z287" i="7"/>
  <c r="AA287" i="7" s="1"/>
  <c r="W287" i="7"/>
  <c r="V287" i="7"/>
  <c r="U287" i="7"/>
  <c r="Z286" i="7"/>
  <c r="AA286" i="7" s="1"/>
  <c r="W286" i="7"/>
  <c r="V286" i="7"/>
  <c r="U286" i="7"/>
  <c r="Z285" i="7"/>
  <c r="AA285" i="7" s="1"/>
  <c r="W285" i="7"/>
  <c r="V285" i="7"/>
  <c r="U285" i="7"/>
  <c r="Z284" i="7"/>
  <c r="AA284" i="7" s="1"/>
  <c r="W284" i="7"/>
  <c r="V284" i="7"/>
  <c r="U284" i="7"/>
  <c r="Z283" i="7"/>
  <c r="AA283" i="7" s="1"/>
  <c r="W283" i="7"/>
  <c r="V283" i="7"/>
  <c r="U283" i="7"/>
  <c r="Z282" i="7"/>
  <c r="AA282" i="7" s="1"/>
  <c r="W282" i="7"/>
  <c r="V282" i="7"/>
  <c r="U282" i="7"/>
  <c r="Z281" i="7"/>
  <c r="AA281" i="7" s="1"/>
  <c r="W281" i="7"/>
  <c r="V281" i="7"/>
  <c r="U281" i="7"/>
  <c r="Z280" i="7"/>
  <c r="AA280" i="7" s="1"/>
  <c r="W280" i="7"/>
  <c r="V280" i="7"/>
  <c r="U280" i="7"/>
  <c r="Z279" i="7"/>
  <c r="AA279" i="7" s="1"/>
  <c r="W279" i="7"/>
  <c r="V279" i="7"/>
  <c r="U279" i="7"/>
  <c r="Z278" i="7"/>
  <c r="AA278" i="7" s="1"/>
  <c r="W278" i="7"/>
  <c r="V278" i="7"/>
  <c r="U278" i="7"/>
  <c r="Z277" i="7"/>
  <c r="AA277" i="7" s="1"/>
  <c r="W277" i="7"/>
  <c r="V277" i="7"/>
  <c r="U277" i="7"/>
  <c r="Z276" i="7"/>
  <c r="AA276" i="7" s="1"/>
  <c r="W276" i="7"/>
  <c r="V276" i="7"/>
  <c r="U276" i="7"/>
  <c r="Z275" i="7"/>
  <c r="AA275" i="7" s="1"/>
  <c r="W275" i="7"/>
  <c r="V275" i="7"/>
  <c r="U275" i="7"/>
  <c r="Z274" i="7"/>
  <c r="AA274" i="7" s="1"/>
  <c r="W274" i="7"/>
  <c r="V274" i="7"/>
  <c r="U274" i="7"/>
  <c r="Z273" i="7"/>
  <c r="AA273" i="7" s="1"/>
  <c r="W273" i="7"/>
  <c r="V273" i="7"/>
  <c r="U273" i="7"/>
  <c r="Z272" i="7"/>
  <c r="AA272" i="7" s="1"/>
  <c r="W272" i="7"/>
  <c r="V272" i="7"/>
  <c r="U272" i="7"/>
  <c r="Z271" i="7"/>
  <c r="AA271" i="7" s="1"/>
  <c r="W271" i="7"/>
  <c r="V271" i="7"/>
  <c r="U271" i="7"/>
  <c r="Z270" i="7"/>
  <c r="AA270" i="7" s="1"/>
  <c r="W270" i="7"/>
  <c r="V270" i="7"/>
  <c r="U270" i="7"/>
  <c r="Z269" i="7"/>
  <c r="AA269" i="7" s="1"/>
  <c r="W269" i="7"/>
  <c r="V269" i="7"/>
  <c r="U269" i="7"/>
  <c r="Z268" i="7"/>
  <c r="AA268" i="7" s="1"/>
  <c r="W268" i="7"/>
  <c r="V268" i="7"/>
  <c r="U268" i="7"/>
  <c r="Z267" i="7"/>
  <c r="AA267" i="7" s="1"/>
  <c r="W267" i="7"/>
  <c r="V267" i="7"/>
  <c r="U267" i="7"/>
  <c r="Z266" i="7"/>
  <c r="AA266" i="7" s="1"/>
  <c r="W266" i="7"/>
  <c r="V266" i="7"/>
  <c r="U266" i="7"/>
  <c r="Z265" i="7"/>
  <c r="AA265" i="7" s="1"/>
  <c r="W265" i="7"/>
  <c r="V265" i="7"/>
  <c r="U265" i="7"/>
  <c r="Z264" i="7"/>
  <c r="AA264" i="7" s="1"/>
  <c r="W264" i="7"/>
  <c r="V264" i="7"/>
  <c r="U264" i="7"/>
  <c r="Z263" i="7"/>
  <c r="AA263" i="7" s="1"/>
  <c r="W263" i="7"/>
  <c r="V263" i="7"/>
  <c r="U263" i="7"/>
  <c r="Z262" i="7"/>
  <c r="AA262" i="7" s="1"/>
  <c r="W262" i="7"/>
  <c r="V262" i="7"/>
  <c r="U262" i="7"/>
  <c r="Z261" i="7"/>
  <c r="AA261" i="7" s="1"/>
  <c r="W261" i="7"/>
  <c r="V261" i="7"/>
  <c r="U261" i="7"/>
  <c r="Z260" i="7"/>
  <c r="AA260" i="7" s="1"/>
  <c r="W260" i="7"/>
  <c r="V260" i="7"/>
  <c r="U260" i="7"/>
  <c r="Z259" i="7"/>
  <c r="AA259" i="7" s="1"/>
  <c r="W259" i="7"/>
  <c r="V259" i="7"/>
  <c r="U259" i="7"/>
  <c r="Z258" i="7"/>
  <c r="AA258" i="7" s="1"/>
  <c r="W258" i="7"/>
  <c r="V258" i="7"/>
  <c r="U258" i="7"/>
  <c r="Z257" i="7"/>
  <c r="AA257" i="7" s="1"/>
  <c r="W257" i="7"/>
  <c r="V257" i="7"/>
  <c r="U257" i="7"/>
  <c r="Z256" i="7"/>
  <c r="AA256" i="7" s="1"/>
  <c r="W256" i="7"/>
  <c r="V256" i="7"/>
  <c r="U256" i="7"/>
  <c r="Z255" i="7"/>
  <c r="AA255" i="7" s="1"/>
  <c r="W255" i="7"/>
  <c r="V255" i="7"/>
  <c r="U255" i="7"/>
  <c r="Z254" i="7"/>
  <c r="AA254" i="7" s="1"/>
  <c r="W254" i="7"/>
  <c r="V254" i="7"/>
  <c r="U254" i="7"/>
  <c r="Z253" i="7"/>
  <c r="AA253" i="7" s="1"/>
  <c r="W253" i="7"/>
  <c r="V253" i="7"/>
  <c r="U253" i="7"/>
  <c r="Z252" i="7"/>
  <c r="AA252" i="7" s="1"/>
  <c r="W252" i="7"/>
  <c r="V252" i="7"/>
  <c r="U252" i="7"/>
  <c r="Z251" i="7"/>
  <c r="AA251" i="7" s="1"/>
  <c r="W251" i="7"/>
  <c r="V251" i="7"/>
  <c r="U251" i="7"/>
  <c r="Z250" i="7"/>
  <c r="AA250" i="7" s="1"/>
  <c r="W250" i="7"/>
  <c r="V250" i="7"/>
  <c r="U250" i="7"/>
  <c r="Z249" i="7"/>
  <c r="AA249" i="7" s="1"/>
  <c r="W249" i="7"/>
  <c r="V249" i="7"/>
  <c r="U249" i="7"/>
  <c r="Z248" i="7"/>
  <c r="AA248" i="7" s="1"/>
  <c r="W248" i="7"/>
  <c r="V248" i="7"/>
  <c r="U248" i="7"/>
  <c r="Z247" i="7"/>
  <c r="AA247" i="7" s="1"/>
  <c r="W247" i="7"/>
  <c r="V247" i="7"/>
  <c r="U247" i="7"/>
  <c r="Z246" i="7"/>
  <c r="AA246" i="7" s="1"/>
  <c r="W246" i="7"/>
  <c r="V246" i="7"/>
  <c r="U246" i="7"/>
  <c r="Z245" i="7"/>
  <c r="AA245" i="7" s="1"/>
  <c r="W245" i="7"/>
  <c r="V245" i="7"/>
  <c r="U245" i="7"/>
  <c r="Z244" i="7"/>
  <c r="AA244" i="7" s="1"/>
  <c r="W244" i="7"/>
  <c r="V244" i="7"/>
  <c r="U244" i="7"/>
  <c r="Z243" i="7"/>
  <c r="AA243" i="7" s="1"/>
  <c r="W243" i="7"/>
  <c r="V243" i="7"/>
  <c r="U243" i="7"/>
  <c r="Z242" i="7"/>
  <c r="AA242" i="7" s="1"/>
  <c r="W242" i="7"/>
  <c r="V242" i="7"/>
  <c r="U242" i="7"/>
  <c r="Z241" i="7"/>
  <c r="AA241" i="7" s="1"/>
  <c r="W241" i="7"/>
  <c r="V241" i="7"/>
  <c r="U241" i="7"/>
  <c r="Z240" i="7"/>
  <c r="AA240" i="7" s="1"/>
  <c r="W240" i="7"/>
  <c r="V240" i="7"/>
  <c r="U240" i="7"/>
  <c r="Z239" i="7"/>
  <c r="AA239" i="7" s="1"/>
  <c r="W239" i="7"/>
  <c r="V239" i="7"/>
  <c r="U239" i="7"/>
  <c r="Z238" i="7"/>
  <c r="AA238" i="7" s="1"/>
  <c r="W238" i="7"/>
  <c r="V238" i="7"/>
  <c r="U238" i="7"/>
  <c r="Z237" i="7"/>
  <c r="AA237" i="7" s="1"/>
  <c r="W237" i="7"/>
  <c r="V237" i="7"/>
  <c r="U237" i="7"/>
  <c r="Z236" i="7"/>
  <c r="AA236" i="7" s="1"/>
  <c r="W236" i="7"/>
  <c r="V236" i="7"/>
  <c r="U236" i="7"/>
  <c r="Z235" i="7"/>
  <c r="AA235" i="7" s="1"/>
  <c r="W235" i="7"/>
  <c r="V235" i="7"/>
  <c r="U235" i="7"/>
  <c r="Z234" i="7"/>
  <c r="AA234" i="7" s="1"/>
  <c r="W234" i="7"/>
  <c r="V234" i="7"/>
  <c r="U234" i="7"/>
  <c r="Z233" i="7"/>
  <c r="AA233" i="7" s="1"/>
  <c r="W233" i="7"/>
  <c r="V233" i="7"/>
  <c r="U233" i="7"/>
  <c r="Z232" i="7"/>
  <c r="AA232" i="7" s="1"/>
  <c r="W232" i="7"/>
  <c r="V232" i="7"/>
  <c r="U232" i="7"/>
  <c r="Z231" i="7"/>
  <c r="AA231" i="7" s="1"/>
  <c r="W231" i="7"/>
  <c r="V231" i="7"/>
  <c r="U231" i="7"/>
  <c r="Z230" i="7"/>
  <c r="AA230" i="7" s="1"/>
  <c r="W230" i="7"/>
  <c r="V230" i="7"/>
  <c r="U230" i="7"/>
  <c r="Z229" i="7"/>
  <c r="AA229" i="7" s="1"/>
  <c r="W229" i="7"/>
  <c r="V229" i="7"/>
  <c r="U229" i="7"/>
  <c r="Z228" i="7"/>
  <c r="AA228" i="7" s="1"/>
  <c r="W228" i="7"/>
  <c r="V228" i="7"/>
  <c r="U228" i="7"/>
  <c r="Z227" i="7"/>
  <c r="AA227" i="7" s="1"/>
  <c r="W227" i="7"/>
  <c r="V227" i="7"/>
  <c r="U227" i="7"/>
  <c r="Z226" i="7"/>
  <c r="AA226" i="7" s="1"/>
  <c r="W226" i="7"/>
  <c r="V226" i="7"/>
  <c r="U226" i="7"/>
  <c r="Z225" i="7"/>
  <c r="AA225" i="7" s="1"/>
  <c r="W225" i="7"/>
  <c r="V225" i="7"/>
  <c r="U225" i="7"/>
  <c r="Z224" i="7"/>
  <c r="AA224" i="7" s="1"/>
  <c r="W224" i="7"/>
  <c r="V224" i="7"/>
  <c r="U224" i="7"/>
  <c r="Z223" i="7"/>
  <c r="AA223" i="7" s="1"/>
  <c r="W223" i="7"/>
  <c r="V223" i="7"/>
  <c r="U223" i="7"/>
  <c r="Z222" i="7"/>
  <c r="AA222" i="7" s="1"/>
  <c r="W222" i="7"/>
  <c r="V222" i="7"/>
  <c r="U222" i="7"/>
  <c r="Z221" i="7"/>
  <c r="AA221" i="7" s="1"/>
  <c r="W221" i="7"/>
  <c r="V221" i="7"/>
  <c r="U221" i="7"/>
  <c r="Z220" i="7"/>
  <c r="AA220" i="7" s="1"/>
  <c r="W220" i="7"/>
  <c r="V220" i="7"/>
  <c r="U220" i="7"/>
  <c r="Z219" i="7"/>
  <c r="AA219" i="7" s="1"/>
  <c r="W219" i="7"/>
  <c r="V219" i="7"/>
  <c r="U219" i="7"/>
  <c r="Z218" i="7"/>
  <c r="AA218" i="7" s="1"/>
  <c r="W218" i="7"/>
  <c r="V218" i="7"/>
  <c r="U218" i="7"/>
  <c r="Z217" i="7"/>
  <c r="AA217" i="7" s="1"/>
  <c r="W217" i="7"/>
  <c r="V217" i="7"/>
  <c r="U217" i="7"/>
  <c r="Z216" i="7"/>
  <c r="AA216" i="7" s="1"/>
  <c r="W216" i="7"/>
  <c r="V216" i="7"/>
  <c r="U216" i="7"/>
  <c r="Z215" i="7"/>
  <c r="AA215" i="7" s="1"/>
  <c r="W215" i="7"/>
  <c r="V215" i="7"/>
  <c r="U215" i="7"/>
  <c r="Z214" i="7"/>
  <c r="AA214" i="7" s="1"/>
  <c r="W214" i="7"/>
  <c r="V214" i="7"/>
  <c r="U214" i="7"/>
  <c r="Z213" i="7"/>
  <c r="AA213" i="7" s="1"/>
  <c r="W213" i="7"/>
  <c r="V213" i="7"/>
  <c r="U213" i="7"/>
  <c r="Z212" i="7"/>
  <c r="AA212" i="7" s="1"/>
  <c r="W212" i="7"/>
  <c r="V212" i="7"/>
  <c r="U212" i="7"/>
  <c r="Z211" i="7"/>
  <c r="AA211" i="7" s="1"/>
  <c r="W211" i="7"/>
  <c r="V211" i="7"/>
  <c r="U211" i="7"/>
  <c r="Z210" i="7"/>
  <c r="AA210" i="7" s="1"/>
  <c r="W210" i="7"/>
  <c r="V210" i="7"/>
  <c r="U210" i="7"/>
  <c r="Z209" i="7"/>
  <c r="AA209" i="7" s="1"/>
  <c r="W209" i="7"/>
  <c r="V209" i="7"/>
  <c r="U209" i="7"/>
  <c r="Z208" i="7"/>
  <c r="AA208" i="7" s="1"/>
  <c r="W208" i="7"/>
  <c r="V208" i="7"/>
  <c r="U208" i="7"/>
  <c r="Z207" i="7"/>
  <c r="AA207" i="7" s="1"/>
  <c r="W207" i="7"/>
  <c r="V207" i="7"/>
  <c r="U207" i="7"/>
  <c r="Z206" i="7"/>
  <c r="AA206" i="7" s="1"/>
  <c r="W206" i="7"/>
  <c r="V206" i="7"/>
  <c r="U206" i="7"/>
  <c r="Z205" i="7"/>
  <c r="AA205" i="7" s="1"/>
  <c r="W205" i="7"/>
  <c r="V205" i="7"/>
  <c r="U205" i="7"/>
  <c r="Z204" i="7"/>
  <c r="AA204" i="7" s="1"/>
  <c r="W204" i="7"/>
  <c r="V204" i="7"/>
  <c r="U204" i="7"/>
  <c r="Z203" i="7"/>
  <c r="AA203" i="7" s="1"/>
  <c r="W203" i="7"/>
  <c r="V203" i="7"/>
  <c r="U203" i="7"/>
  <c r="Z202" i="7"/>
  <c r="AA202" i="7" s="1"/>
  <c r="W202" i="7"/>
  <c r="V202" i="7"/>
  <c r="U202" i="7"/>
  <c r="Z201" i="7"/>
  <c r="AA201" i="7" s="1"/>
  <c r="W201" i="7"/>
  <c r="V201" i="7"/>
  <c r="U201" i="7"/>
  <c r="Z200" i="7"/>
  <c r="AA200" i="7" s="1"/>
  <c r="W200" i="7"/>
  <c r="V200" i="7"/>
  <c r="U200" i="7"/>
  <c r="Z199" i="7"/>
  <c r="AA199" i="7" s="1"/>
  <c r="W199" i="7"/>
  <c r="V199" i="7"/>
  <c r="U199" i="7"/>
  <c r="Z198" i="7"/>
  <c r="AA198" i="7" s="1"/>
  <c r="W198" i="7"/>
  <c r="V198" i="7"/>
  <c r="U198" i="7"/>
  <c r="Z197" i="7"/>
  <c r="AA197" i="7" s="1"/>
  <c r="W197" i="7"/>
  <c r="V197" i="7"/>
  <c r="U197" i="7"/>
  <c r="Z196" i="7"/>
  <c r="AA196" i="7" s="1"/>
  <c r="W196" i="7"/>
  <c r="V196" i="7"/>
  <c r="U196" i="7"/>
  <c r="Z195" i="7"/>
  <c r="AA195" i="7" s="1"/>
  <c r="W195" i="7"/>
  <c r="V195" i="7"/>
  <c r="U195" i="7"/>
  <c r="Z194" i="7"/>
  <c r="AA194" i="7" s="1"/>
  <c r="W194" i="7"/>
  <c r="V194" i="7"/>
  <c r="U194" i="7"/>
  <c r="Z193" i="7"/>
  <c r="AA193" i="7" s="1"/>
  <c r="W193" i="7"/>
  <c r="V193" i="7"/>
  <c r="U193" i="7"/>
  <c r="Z192" i="7"/>
  <c r="AA192" i="7" s="1"/>
  <c r="W192" i="7"/>
  <c r="V192" i="7"/>
  <c r="U192" i="7"/>
  <c r="Z191" i="7"/>
  <c r="AA191" i="7" s="1"/>
  <c r="W191" i="7"/>
  <c r="V191" i="7"/>
  <c r="U191" i="7"/>
  <c r="Z190" i="7"/>
  <c r="AA190" i="7" s="1"/>
  <c r="W190" i="7"/>
  <c r="V190" i="7"/>
  <c r="U190" i="7"/>
  <c r="Z189" i="7"/>
  <c r="AA189" i="7" s="1"/>
  <c r="W189" i="7"/>
  <c r="V189" i="7"/>
  <c r="U189" i="7"/>
  <c r="Z188" i="7"/>
  <c r="AA188" i="7" s="1"/>
  <c r="W188" i="7"/>
  <c r="V188" i="7"/>
  <c r="U188" i="7"/>
  <c r="Z187" i="7"/>
  <c r="AA187" i="7" s="1"/>
  <c r="W187" i="7"/>
  <c r="V187" i="7"/>
  <c r="U187" i="7"/>
  <c r="Z186" i="7"/>
  <c r="AA186" i="7" s="1"/>
  <c r="W186" i="7"/>
  <c r="V186" i="7"/>
  <c r="U186" i="7"/>
  <c r="Z185" i="7"/>
  <c r="AA185" i="7" s="1"/>
  <c r="W185" i="7"/>
  <c r="V185" i="7"/>
  <c r="U185" i="7"/>
  <c r="Z184" i="7"/>
  <c r="AA184" i="7" s="1"/>
  <c r="W184" i="7"/>
  <c r="V184" i="7"/>
  <c r="U184" i="7"/>
  <c r="Z183" i="7"/>
  <c r="AA183" i="7" s="1"/>
  <c r="W183" i="7"/>
  <c r="V183" i="7"/>
  <c r="U183" i="7"/>
  <c r="Z182" i="7"/>
  <c r="AA182" i="7" s="1"/>
  <c r="W182" i="7"/>
  <c r="V182" i="7"/>
  <c r="U182" i="7"/>
  <c r="Z181" i="7"/>
  <c r="AA181" i="7" s="1"/>
  <c r="W181" i="7"/>
  <c r="V181" i="7"/>
  <c r="U181" i="7"/>
  <c r="Z180" i="7"/>
  <c r="AA180" i="7" s="1"/>
  <c r="W180" i="7"/>
  <c r="V180" i="7"/>
  <c r="U180" i="7"/>
  <c r="Z179" i="7"/>
  <c r="AA179" i="7" s="1"/>
  <c r="W179" i="7"/>
  <c r="V179" i="7"/>
  <c r="U179" i="7"/>
  <c r="Z178" i="7"/>
  <c r="AA178" i="7" s="1"/>
  <c r="W178" i="7"/>
  <c r="V178" i="7"/>
  <c r="U178" i="7"/>
  <c r="Z177" i="7"/>
  <c r="AA177" i="7" s="1"/>
  <c r="W177" i="7"/>
  <c r="V177" i="7"/>
  <c r="U177" i="7"/>
  <c r="Z176" i="7"/>
  <c r="AA176" i="7" s="1"/>
  <c r="W176" i="7"/>
  <c r="V176" i="7"/>
  <c r="U176" i="7"/>
  <c r="Z175" i="7"/>
  <c r="AA175" i="7" s="1"/>
  <c r="W175" i="7"/>
  <c r="V175" i="7"/>
  <c r="U175" i="7"/>
  <c r="Z174" i="7"/>
  <c r="AA174" i="7" s="1"/>
  <c r="W174" i="7"/>
  <c r="V174" i="7"/>
  <c r="U174" i="7"/>
  <c r="Z173" i="7"/>
  <c r="AA173" i="7" s="1"/>
  <c r="W173" i="7"/>
  <c r="V173" i="7"/>
  <c r="U173" i="7"/>
  <c r="Z172" i="7"/>
  <c r="AA172" i="7" s="1"/>
  <c r="W172" i="7"/>
  <c r="V172" i="7"/>
  <c r="U172" i="7"/>
  <c r="Z171" i="7"/>
  <c r="AA171" i="7" s="1"/>
  <c r="W171" i="7"/>
  <c r="V171" i="7"/>
  <c r="U171" i="7"/>
  <c r="Z170" i="7"/>
  <c r="AA170" i="7" s="1"/>
  <c r="W170" i="7"/>
  <c r="V170" i="7"/>
  <c r="U170" i="7"/>
  <c r="Z169" i="7"/>
  <c r="AA169" i="7" s="1"/>
  <c r="W169" i="7"/>
  <c r="V169" i="7"/>
  <c r="U169" i="7"/>
  <c r="Z168" i="7"/>
  <c r="AA168" i="7" s="1"/>
  <c r="W168" i="7"/>
  <c r="V168" i="7"/>
  <c r="U168" i="7"/>
  <c r="Z167" i="7"/>
  <c r="AA167" i="7" s="1"/>
  <c r="W167" i="7"/>
  <c r="V167" i="7"/>
  <c r="U167" i="7"/>
  <c r="Z166" i="7"/>
  <c r="AA166" i="7" s="1"/>
  <c r="W166" i="7"/>
  <c r="V166" i="7"/>
  <c r="U166" i="7"/>
  <c r="Z165" i="7"/>
  <c r="AA165" i="7" s="1"/>
  <c r="W165" i="7"/>
  <c r="V165" i="7"/>
  <c r="U165" i="7"/>
  <c r="Z164" i="7"/>
  <c r="AA164" i="7" s="1"/>
  <c r="W164" i="7"/>
  <c r="V164" i="7"/>
  <c r="U164" i="7"/>
  <c r="Z163" i="7"/>
  <c r="AA163" i="7" s="1"/>
  <c r="W163" i="7"/>
  <c r="V163" i="7"/>
  <c r="U163" i="7"/>
  <c r="Z162" i="7"/>
  <c r="AA162" i="7" s="1"/>
  <c r="W162" i="7"/>
  <c r="V162" i="7"/>
  <c r="U162" i="7"/>
  <c r="Z161" i="7"/>
  <c r="AA161" i="7" s="1"/>
  <c r="W161" i="7"/>
  <c r="V161" i="7"/>
  <c r="U161" i="7"/>
  <c r="Z160" i="7"/>
  <c r="AA160" i="7" s="1"/>
  <c r="W160" i="7"/>
  <c r="V160" i="7"/>
  <c r="U160" i="7"/>
  <c r="Z159" i="7"/>
  <c r="AA159" i="7" s="1"/>
  <c r="W159" i="7"/>
  <c r="V159" i="7"/>
  <c r="U159" i="7"/>
  <c r="Z158" i="7"/>
  <c r="AA158" i="7" s="1"/>
  <c r="W158" i="7"/>
  <c r="V158" i="7"/>
  <c r="U158" i="7"/>
  <c r="Z157" i="7"/>
  <c r="AA157" i="7" s="1"/>
  <c r="W157" i="7"/>
  <c r="V157" i="7"/>
  <c r="U157" i="7"/>
  <c r="Z156" i="7"/>
  <c r="AA156" i="7" s="1"/>
  <c r="W156" i="7"/>
  <c r="V156" i="7"/>
  <c r="U156" i="7"/>
  <c r="Z155" i="7"/>
  <c r="AA155" i="7" s="1"/>
  <c r="W155" i="7"/>
  <c r="V155" i="7"/>
  <c r="U155" i="7"/>
  <c r="Z154" i="7"/>
  <c r="AA154" i="7" s="1"/>
  <c r="W154" i="7"/>
  <c r="V154" i="7"/>
  <c r="U154" i="7"/>
  <c r="Z153" i="7"/>
  <c r="AA153" i="7" s="1"/>
  <c r="W153" i="7"/>
  <c r="V153" i="7"/>
  <c r="U153" i="7"/>
  <c r="Z152" i="7"/>
  <c r="AA152" i="7" s="1"/>
  <c r="W152" i="7"/>
  <c r="V152" i="7"/>
  <c r="U152" i="7"/>
  <c r="Z151" i="7"/>
  <c r="AA151" i="7" s="1"/>
  <c r="W151" i="7"/>
  <c r="V151" i="7"/>
  <c r="U151" i="7"/>
  <c r="Z150" i="7"/>
  <c r="AA150" i="7" s="1"/>
  <c r="W150" i="7"/>
  <c r="V150" i="7"/>
  <c r="U150" i="7"/>
  <c r="Z149" i="7"/>
  <c r="AA149" i="7" s="1"/>
  <c r="W149" i="7"/>
  <c r="V149" i="7"/>
  <c r="U149" i="7"/>
  <c r="Z148" i="7"/>
  <c r="AA148" i="7" s="1"/>
  <c r="W148" i="7"/>
  <c r="V148" i="7"/>
  <c r="U148" i="7"/>
  <c r="Z147" i="7"/>
  <c r="AA147" i="7" s="1"/>
  <c r="W147" i="7"/>
  <c r="V147" i="7"/>
  <c r="U147" i="7"/>
  <c r="Z146" i="7"/>
  <c r="AA146" i="7" s="1"/>
  <c r="W146" i="7"/>
  <c r="V146" i="7"/>
  <c r="U146" i="7"/>
  <c r="Z145" i="7"/>
  <c r="AA145" i="7" s="1"/>
  <c r="W145" i="7"/>
  <c r="V145" i="7"/>
  <c r="U145" i="7"/>
  <c r="Z144" i="7"/>
  <c r="AA144" i="7" s="1"/>
  <c r="W144" i="7"/>
  <c r="V144" i="7"/>
  <c r="U144" i="7"/>
  <c r="Z143" i="7"/>
  <c r="AA143" i="7" s="1"/>
  <c r="W143" i="7"/>
  <c r="V143" i="7"/>
  <c r="U143" i="7"/>
  <c r="Z142" i="7"/>
  <c r="AA142" i="7" s="1"/>
  <c r="W142" i="7"/>
  <c r="V142" i="7"/>
  <c r="U142" i="7"/>
  <c r="Z141" i="7"/>
  <c r="AA141" i="7" s="1"/>
  <c r="W141" i="7"/>
  <c r="V141" i="7"/>
  <c r="U141" i="7"/>
  <c r="Z140" i="7"/>
  <c r="AA140" i="7" s="1"/>
  <c r="W140" i="7"/>
  <c r="V140" i="7"/>
  <c r="U140" i="7"/>
  <c r="Z139" i="7"/>
  <c r="AA139" i="7" s="1"/>
  <c r="W139" i="7"/>
  <c r="V139" i="7"/>
  <c r="U139" i="7"/>
  <c r="Z138" i="7"/>
  <c r="AA138" i="7" s="1"/>
  <c r="W138" i="7"/>
  <c r="V138" i="7"/>
  <c r="U138" i="7"/>
  <c r="Z137" i="7"/>
  <c r="AA137" i="7" s="1"/>
  <c r="W137" i="7"/>
  <c r="V137" i="7"/>
  <c r="U137" i="7"/>
  <c r="Z136" i="7"/>
  <c r="AA136" i="7" s="1"/>
  <c r="W136" i="7"/>
  <c r="V136" i="7"/>
  <c r="U136" i="7"/>
  <c r="Z135" i="7"/>
  <c r="AA135" i="7" s="1"/>
  <c r="W135" i="7"/>
  <c r="V135" i="7"/>
  <c r="U135" i="7"/>
  <c r="Z134" i="7"/>
  <c r="AA134" i="7" s="1"/>
  <c r="W134" i="7"/>
  <c r="V134" i="7"/>
  <c r="U134" i="7"/>
  <c r="Z133" i="7"/>
  <c r="AA133" i="7" s="1"/>
  <c r="W133" i="7"/>
  <c r="V133" i="7"/>
  <c r="U133" i="7"/>
  <c r="Z132" i="7"/>
  <c r="AA132" i="7" s="1"/>
  <c r="W132" i="7"/>
  <c r="V132" i="7"/>
  <c r="U132" i="7"/>
  <c r="Z131" i="7"/>
  <c r="AA131" i="7" s="1"/>
  <c r="W131" i="7"/>
  <c r="V131" i="7"/>
  <c r="U131" i="7"/>
  <c r="Z130" i="7"/>
  <c r="AA130" i="7" s="1"/>
  <c r="W130" i="7"/>
  <c r="V130" i="7"/>
  <c r="U130" i="7"/>
  <c r="Z129" i="7"/>
  <c r="AA129" i="7" s="1"/>
  <c r="W129" i="7"/>
  <c r="V129" i="7"/>
  <c r="U129" i="7"/>
  <c r="Z128" i="7"/>
  <c r="AA128" i="7" s="1"/>
  <c r="W128" i="7"/>
  <c r="V128" i="7"/>
  <c r="U128" i="7"/>
  <c r="Z127" i="7"/>
  <c r="AA127" i="7" s="1"/>
  <c r="W127" i="7"/>
  <c r="V127" i="7"/>
  <c r="U127" i="7"/>
  <c r="Z126" i="7"/>
  <c r="AA126" i="7" s="1"/>
  <c r="W126" i="7"/>
  <c r="V126" i="7"/>
  <c r="U126" i="7"/>
  <c r="Z125" i="7"/>
  <c r="AA125" i="7" s="1"/>
  <c r="W125" i="7"/>
  <c r="V125" i="7"/>
  <c r="U125" i="7"/>
  <c r="Z124" i="7"/>
  <c r="AA124" i="7" s="1"/>
  <c r="W124" i="7"/>
  <c r="V124" i="7"/>
  <c r="U124" i="7"/>
  <c r="Z123" i="7"/>
  <c r="AA123" i="7" s="1"/>
  <c r="W123" i="7"/>
  <c r="V123" i="7"/>
  <c r="U123" i="7"/>
  <c r="Z122" i="7"/>
  <c r="AA122" i="7" s="1"/>
  <c r="W122" i="7"/>
  <c r="V122" i="7"/>
  <c r="U122" i="7"/>
  <c r="Z121" i="7"/>
  <c r="AA121" i="7" s="1"/>
  <c r="W121" i="7"/>
  <c r="V121" i="7"/>
  <c r="U121" i="7"/>
  <c r="Z120" i="7"/>
  <c r="AA120" i="7" s="1"/>
  <c r="W120" i="7"/>
  <c r="V120" i="7"/>
  <c r="U120" i="7"/>
  <c r="Z119" i="7"/>
  <c r="AA119" i="7" s="1"/>
  <c r="W119" i="7"/>
  <c r="V119" i="7"/>
  <c r="U119" i="7"/>
  <c r="Z118" i="7"/>
  <c r="AA118" i="7" s="1"/>
  <c r="W118" i="7"/>
  <c r="V118" i="7"/>
  <c r="U118" i="7"/>
  <c r="Z117" i="7"/>
  <c r="AA117" i="7" s="1"/>
  <c r="W117" i="7"/>
  <c r="V117" i="7"/>
  <c r="U117" i="7"/>
  <c r="Z116" i="7"/>
  <c r="AA116" i="7" s="1"/>
  <c r="W116" i="7"/>
  <c r="V116" i="7"/>
  <c r="U116" i="7"/>
  <c r="Z115" i="7"/>
  <c r="AA115" i="7" s="1"/>
  <c r="W115" i="7"/>
  <c r="V115" i="7"/>
  <c r="U115" i="7"/>
  <c r="Z114" i="7"/>
  <c r="AA114" i="7" s="1"/>
  <c r="W114" i="7"/>
  <c r="V114" i="7"/>
  <c r="U114" i="7"/>
  <c r="Z113" i="7"/>
  <c r="AA113" i="7" s="1"/>
  <c r="W113" i="7"/>
  <c r="V113" i="7"/>
  <c r="U113" i="7"/>
  <c r="Z112" i="7"/>
  <c r="AA112" i="7" s="1"/>
  <c r="W112" i="7"/>
  <c r="V112" i="7"/>
  <c r="U112" i="7"/>
  <c r="Z111" i="7"/>
  <c r="AA111" i="7" s="1"/>
  <c r="W111" i="7"/>
  <c r="V111" i="7"/>
  <c r="U111" i="7"/>
  <c r="Z110" i="7"/>
  <c r="AA110" i="7" s="1"/>
  <c r="W110" i="7"/>
  <c r="V110" i="7"/>
  <c r="U110" i="7"/>
  <c r="Z109" i="7"/>
  <c r="AA109" i="7" s="1"/>
  <c r="W109" i="7"/>
  <c r="V109" i="7"/>
  <c r="U109" i="7"/>
  <c r="Z108" i="7"/>
  <c r="AA108" i="7" s="1"/>
  <c r="W108" i="7"/>
  <c r="V108" i="7"/>
  <c r="U108" i="7"/>
  <c r="Z107" i="7"/>
  <c r="AA107" i="7" s="1"/>
  <c r="W107" i="7"/>
  <c r="V107" i="7"/>
  <c r="U107" i="7"/>
  <c r="Z106" i="7"/>
  <c r="AA106" i="7" s="1"/>
  <c r="W106" i="7"/>
  <c r="V106" i="7"/>
  <c r="U106" i="7"/>
  <c r="Z105" i="7"/>
  <c r="AA105" i="7" s="1"/>
  <c r="W105" i="7"/>
  <c r="V105" i="7"/>
  <c r="U105" i="7"/>
  <c r="Z104" i="7"/>
  <c r="AA104" i="7" s="1"/>
  <c r="W104" i="7"/>
  <c r="V104" i="7"/>
  <c r="U104" i="7"/>
  <c r="Z103" i="7"/>
  <c r="AA103" i="7" s="1"/>
  <c r="W103" i="7"/>
  <c r="V103" i="7"/>
  <c r="U103" i="7"/>
  <c r="Z102" i="7"/>
  <c r="AA102" i="7" s="1"/>
  <c r="W102" i="7"/>
  <c r="V102" i="7"/>
  <c r="U102" i="7"/>
  <c r="Z101" i="7"/>
  <c r="AA101" i="7" s="1"/>
  <c r="W101" i="7"/>
  <c r="V101" i="7"/>
  <c r="U101" i="7"/>
  <c r="Z100" i="7"/>
  <c r="AA100" i="7" s="1"/>
  <c r="W100" i="7"/>
  <c r="V100" i="7"/>
  <c r="U100" i="7"/>
  <c r="Z99" i="7"/>
  <c r="AA99" i="7" s="1"/>
  <c r="W99" i="7"/>
  <c r="V99" i="7"/>
  <c r="U99" i="7"/>
  <c r="Z98" i="7"/>
  <c r="AA98" i="7" s="1"/>
  <c r="W98" i="7"/>
  <c r="V98" i="7"/>
  <c r="U98" i="7"/>
  <c r="Z97" i="7"/>
  <c r="AA97" i="7" s="1"/>
  <c r="W97" i="7"/>
  <c r="V97" i="7"/>
  <c r="U97" i="7"/>
  <c r="Z96" i="7"/>
  <c r="AA96" i="7" s="1"/>
  <c r="W96" i="7"/>
  <c r="V96" i="7"/>
  <c r="U96" i="7"/>
  <c r="Z95" i="7"/>
  <c r="AA95" i="7" s="1"/>
  <c r="W95" i="7"/>
  <c r="V95" i="7"/>
  <c r="U95" i="7"/>
  <c r="Z94" i="7"/>
  <c r="AA94" i="7" s="1"/>
  <c r="W94" i="7"/>
  <c r="V94" i="7"/>
  <c r="U94" i="7"/>
  <c r="Z93" i="7"/>
  <c r="AA93" i="7" s="1"/>
  <c r="W93" i="7"/>
  <c r="V93" i="7"/>
  <c r="U93" i="7"/>
  <c r="Z92" i="7"/>
  <c r="AA92" i="7" s="1"/>
  <c r="W92" i="7"/>
  <c r="V92" i="7"/>
  <c r="U92" i="7"/>
  <c r="Z91" i="7"/>
  <c r="AA91" i="7" s="1"/>
  <c r="W91" i="7"/>
  <c r="V91" i="7"/>
  <c r="U91" i="7"/>
  <c r="Z90" i="7"/>
  <c r="AA90" i="7" s="1"/>
  <c r="W90" i="7"/>
  <c r="V90" i="7"/>
  <c r="U90" i="7"/>
  <c r="Z89" i="7"/>
  <c r="AA89" i="7" s="1"/>
  <c r="W89" i="7"/>
  <c r="V89" i="7"/>
  <c r="U89" i="7"/>
  <c r="Z88" i="7"/>
  <c r="AA88" i="7" s="1"/>
  <c r="W88" i="7"/>
  <c r="V88" i="7"/>
  <c r="U88" i="7"/>
  <c r="Z87" i="7"/>
  <c r="AA87" i="7" s="1"/>
  <c r="W87" i="7"/>
  <c r="V87" i="7"/>
  <c r="U87" i="7"/>
  <c r="Z86" i="7"/>
  <c r="AA86" i="7" s="1"/>
  <c r="W86" i="7"/>
  <c r="V86" i="7"/>
  <c r="U86" i="7"/>
  <c r="Z85" i="7"/>
  <c r="AA85" i="7" s="1"/>
  <c r="W85" i="7"/>
  <c r="V85" i="7"/>
  <c r="U85" i="7"/>
  <c r="Z84" i="7"/>
  <c r="AA84" i="7" s="1"/>
  <c r="W84" i="7"/>
  <c r="V84" i="7"/>
  <c r="U84" i="7"/>
  <c r="Z83" i="7"/>
  <c r="AA83" i="7" s="1"/>
  <c r="W83" i="7"/>
  <c r="V83" i="7"/>
  <c r="U83" i="7"/>
  <c r="Z82" i="7"/>
  <c r="AA82" i="7" s="1"/>
  <c r="W82" i="7"/>
  <c r="V82" i="7"/>
  <c r="U82" i="7"/>
  <c r="Z81" i="7"/>
  <c r="AA81" i="7" s="1"/>
  <c r="W81" i="7"/>
  <c r="V81" i="7"/>
  <c r="U81" i="7"/>
  <c r="Z80" i="7"/>
  <c r="AA80" i="7" s="1"/>
  <c r="W80" i="7"/>
  <c r="V80" i="7"/>
  <c r="U80" i="7"/>
  <c r="Z79" i="7"/>
  <c r="AA79" i="7" s="1"/>
  <c r="W79" i="7"/>
  <c r="V79" i="7"/>
  <c r="U79" i="7"/>
  <c r="Z78" i="7"/>
  <c r="AA78" i="7" s="1"/>
  <c r="W78" i="7"/>
  <c r="V78" i="7"/>
  <c r="U78" i="7"/>
  <c r="Z77" i="7"/>
  <c r="AA77" i="7" s="1"/>
  <c r="W77" i="7"/>
  <c r="V77" i="7"/>
  <c r="U77" i="7"/>
  <c r="Z76" i="7"/>
  <c r="AA76" i="7" s="1"/>
  <c r="W76" i="7"/>
  <c r="V76" i="7"/>
  <c r="U76" i="7"/>
  <c r="Z75" i="7"/>
  <c r="AA75" i="7" s="1"/>
  <c r="W75" i="7"/>
  <c r="V75" i="7"/>
  <c r="U75" i="7"/>
  <c r="Z74" i="7"/>
  <c r="AA74" i="7" s="1"/>
  <c r="W74" i="7"/>
  <c r="V74" i="7"/>
  <c r="U74" i="7"/>
  <c r="Z73" i="7"/>
  <c r="AA73" i="7" s="1"/>
  <c r="W73" i="7"/>
  <c r="V73" i="7"/>
  <c r="U73" i="7"/>
  <c r="Z72" i="7"/>
  <c r="AA72" i="7" s="1"/>
  <c r="W72" i="7"/>
  <c r="V72" i="7"/>
  <c r="U72" i="7"/>
  <c r="Z71" i="7"/>
  <c r="AA71" i="7" s="1"/>
  <c r="W71" i="7"/>
  <c r="V71" i="7"/>
  <c r="U71" i="7"/>
  <c r="Z70" i="7"/>
  <c r="AA70" i="7" s="1"/>
  <c r="W70" i="7"/>
  <c r="V70" i="7"/>
  <c r="U70" i="7"/>
  <c r="Z69" i="7"/>
  <c r="AA69" i="7" s="1"/>
  <c r="W69" i="7"/>
  <c r="V69" i="7"/>
  <c r="U69" i="7"/>
  <c r="Z68" i="7"/>
  <c r="AA68" i="7" s="1"/>
  <c r="W68" i="7"/>
  <c r="V68" i="7"/>
  <c r="U68" i="7"/>
  <c r="Z67" i="7"/>
  <c r="AA67" i="7" s="1"/>
  <c r="W67" i="7"/>
  <c r="V67" i="7"/>
  <c r="U67" i="7"/>
  <c r="Z66" i="7"/>
  <c r="AA66" i="7" s="1"/>
  <c r="W66" i="7"/>
  <c r="V66" i="7"/>
  <c r="U66" i="7"/>
  <c r="Z65" i="7"/>
  <c r="AA65" i="7" s="1"/>
  <c r="W65" i="7"/>
  <c r="V65" i="7"/>
  <c r="U65" i="7"/>
  <c r="Z64" i="7"/>
  <c r="AA64" i="7" s="1"/>
  <c r="W64" i="7"/>
  <c r="V64" i="7"/>
  <c r="U64" i="7"/>
  <c r="Z63" i="7"/>
  <c r="AA63" i="7" s="1"/>
  <c r="W63" i="7"/>
  <c r="V63" i="7"/>
  <c r="U63" i="7"/>
  <c r="Z62" i="7"/>
  <c r="AA62" i="7" s="1"/>
  <c r="W62" i="7"/>
  <c r="V62" i="7"/>
  <c r="U62" i="7"/>
  <c r="Z61" i="7"/>
  <c r="AA61" i="7" s="1"/>
  <c r="W61" i="7"/>
  <c r="V61" i="7"/>
  <c r="U61" i="7"/>
  <c r="Z60" i="7"/>
  <c r="AA60" i="7" s="1"/>
  <c r="W60" i="7"/>
  <c r="V60" i="7"/>
  <c r="U60" i="7"/>
  <c r="Z59" i="7"/>
  <c r="AA59" i="7" s="1"/>
  <c r="W59" i="7"/>
  <c r="V59" i="7"/>
  <c r="U59" i="7"/>
  <c r="Z58" i="7"/>
  <c r="AA58" i="7" s="1"/>
  <c r="W58" i="7"/>
  <c r="V58" i="7"/>
  <c r="U58" i="7"/>
  <c r="Z57" i="7"/>
  <c r="AA57" i="7" s="1"/>
  <c r="W57" i="7"/>
  <c r="V57" i="7"/>
  <c r="U57" i="7"/>
  <c r="Z56" i="7"/>
  <c r="AA56" i="7" s="1"/>
  <c r="W56" i="7"/>
  <c r="V56" i="7"/>
  <c r="U56" i="7"/>
  <c r="Z55" i="7"/>
  <c r="AA55" i="7" s="1"/>
  <c r="W55" i="7"/>
  <c r="V55" i="7"/>
  <c r="U55" i="7"/>
  <c r="Z54" i="7"/>
  <c r="AA54" i="7" s="1"/>
  <c r="W54" i="7"/>
  <c r="V54" i="7"/>
  <c r="U54" i="7"/>
  <c r="Z53" i="7"/>
  <c r="AA53" i="7" s="1"/>
  <c r="W53" i="7"/>
  <c r="V53" i="7"/>
  <c r="U53" i="7"/>
  <c r="Z52" i="7"/>
  <c r="AA52" i="7" s="1"/>
  <c r="W52" i="7"/>
  <c r="V52" i="7"/>
  <c r="U52" i="7"/>
  <c r="Z51" i="7"/>
  <c r="AA51" i="7" s="1"/>
  <c r="W51" i="7"/>
  <c r="V51" i="7"/>
  <c r="U51" i="7"/>
  <c r="Z50" i="7"/>
  <c r="AA50" i="7" s="1"/>
  <c r="W50" i="7"/>
  <c r="V50" i="7"/>
  <c r="U50" i="7"/>
  <c r="Z49" i="7"/>
  <c r="AA49" i="7" s="1"/>
  <c r="W49" i="7"/>
  <c r="V49" i="7"/>
  <c r="U49" i="7"/>
  <c r="Z48" i="7"/>
  <c r="AA48" i="7" s="1"/>
  <c r="W48" i="7"/>
  <c r="V48" i="7"/>
  <c r="U48" i="7"/>
  <c r="Z47" i="7"/>
  <c r="AA47" i="7" s="1"/>
  <c r="W47" i="7"/>
  <c r="V47" i="7"/>
  <c r="U47" i="7"/>
  <c r="Z46" i="7"/>
  <c r="AA46" i="7" s="1"/>
  <c r="W46" i="7"/>
  <c r="V46" i="7"/>
  <c r="U46" i="7"/>
  <c r="Z45" i="7"/>
  <c r="AA45" i="7" s="1"/>
  <c r="W45" i="7"/>
  <c r="V45" i="7"/>
  <c r="U45" i="7"/>
  <c r="Z44" i="7"/>
  <c r="AA44" i="7" s="1"/>
  <c r="W44" i="7"/>
  <c r="V44" i="7"/>
  <c r="U44" i="7"/>
  <c r="Z43" i="7"/>
  <c r="AA43" i="7" s="1"/>
  <c r="W43" i="7"/>
  <c r="V43" i="7"/>
  <c r="U43" i="7"/>
  <c r="Z42" i="7"/>
  <c r="AA42" i="7" s="1"/>
  <c r="W42" i="7"/>
  <c r="V42" i="7"/>
  <c r="U42" i="7"/>
  <c r="Z41" i="7"/>
  <c r="AA41" i="7" s="1"/>
  <c r="W41" i="7"/>
  <c r="V41" i="7"/>
  <c r="U41" i="7"/>
  <c r="Z40" i="7"/>
  <c r="AA40" i="7" s="1"/>
  <c r="W40" i="7"/>
  <c r="V40" i="7"/>
  <c r="U40" i="7"/>
  <c r="Z39" i="7"/>
  <c r="AA39" i="7" s="1"/>
  <c r="W39" i="7"/>
  <c r="V39" i="7"/>
  <c r="U39" i="7"/>
  <c r="Z38" i="7"/>
  <c r="AA38" i="7" s="1"/>
  <c r="W38" i="7"/>
  <c r="V38" i="7"/>
  <c r="U38" i="7"/>
  <c r="Z37" i="7"/>
  <c r="AA37" i="7" s="1"/>
  <c r="W37" i="7"/>
  <c r="V37" i="7"/>
  <c r="U37" i="7"/>
  <c r="Z36" i="7"/>
  <c r="AA36" i="7" s="1"/>
  <c r="W36" i="7"/>
  <c r="V36" i="7"/>
  <c r="U36" i="7"/>
  <c r="Z35" i="7"/>
  <c r="AA35" i="7" s="1"/>
  <c r="W35" i="7"/>
  <c r="V35" i="7"/>
  <c r="U35" i="7"/>
  <c r="Z34" i="7"/>
  <c r="AA34" i="7" s="1"/>
  <c r="W34" i="7"/>
  <c r="V34" i="7"/>
  <c r="U34" i="7"/>
  <c r="Z33" i="7"/>
  <c r="AA33" i="7" s="1"/>
  <c r="W33" i="7"/>
  <c r="V33" i="7"/>
  <c r="U33" i="7"/>
  <c r="Z32" i="7"/>
  <c r="AA32" i="7" s="1"/>
  <c r="W32" i="7"/>
  <c r="V32" i="7"/>
  <c r="U32" i="7"/>
  <c r="Z31" i="7"/>
  <c r="AA31" i="7" s="1"/>
  <c r="W31" i="7"/>
  <c r="V31" i="7"/>
  <c r="U31" i="7"/>
  <c r="Z30" i="7"/>
  <c r="AA30" i="7" s="1"/>
  <c r="W30" i="7"/>
  <c r="V30" i="7"/>
  <c r="U30" i="7"/>
  <c r="Z29" i="7"/>
  <c r="AA29" i="7" s="1"/>
  <c r="W29" i="7"/>
  <c r="V29" i="7"/>
  <c r="U29" i="7"/>
  <c r="Z28" i="7"/>
  <c r="AA28" i="7" s="1"/>
  <c r="W28" i="7"/>
  <c r="V28" i="7"/>
  <c r="U28" i="7"/>
  <c r="Z27" i="7"/>
  <c r="AA27" i="7" s="1"/>
  <c r="W27" i="7"/>
  <c r="V27" i="7"/>
  <c r="U27" i="7"/>
  <c r="Z26" i="7"/>
  <c r="AA26" i="7" s="1"/>
  <c r="W26" i="7"/>
  <c r="V26" i="7"/>
  <c r="U26" i="7"/>
  <c r="Z25" i="7"/>
  <c r="AA25" i="7" s="1"/>
  <c r="W25" i="7"/>
  <c r="V25" i="7"/>
  <c r="U25" i="7"/>
  <c r="Z24" i="7"/>
  <c r="AA24" i="7" s="1"/>
  <c r="W24" i="7"/>
  <c r="V24" i="7"/>
  <c r="U24" i="7"/>
  <c r="Z23" i="7"/>
  <c r="AA23" i="7" s="1"/>
  <c r="W23" i="7"/>
  <c r="V23" i="7"/>
  <c r="U23" i="7"/>
  <c r="Z22" i="7"/>
  <c r="AA22" i="7" s="1"/>
  <c r="W22" i="7"/>
  <c r="V22" i="7"/>
  <c r="U22" i="7"/>
  <c r="Z21" i="7"/>
  <c r="AA21" i="7" s="1"/>
  <c r="W21" i="7"/>
  <c r="V21" i="7"/>
  <c r="U21" i="7"/>
  <c r="Z20" i="7"/>
  <c r="AA20" i="7" s="1"/>
  <c r="W20" i="7"/>
  <c r="V20" i="7"/>
  <c r="U20" i="7"/>
  <c r="Z19" i="7"/>
  <c r="AA19" i="7" s="1"/>
  <c r="W19" i="7"/>
  <c r="V19" i="7"/>
  <c r="U19" i="7"/>
  <c r="Z18" i="7"/>
  <c r="AA18" i="7" s="1"/>
  <c r="W18" i="7"/>
  <c r="V18" i="7"/>
  <c r="U18" i="7"/>
  <c r="Z17" i="7"/>
  <c r="AA17" i="7" s="1"/>
  <c r="W17" i="7"/>
  <c r="V17" i="7"/>
  <c r="U17" i="7"/>
  <c r="Z16" i="7"/>
  <c r="AA16" i="7" s="1"/>
  <c r="W16" i="7"/>
  <c r="V16" i="7"/>
  <c r="U16" i="7"/>
  <c r="Z15" i="7"/>
  <c r="AA15" i="7" s="1"/>
  <c r="W15" i="7"/>
  <c r="V15" i="7"/>
  <c r="U15" i="7"/>
  <c r="Z14" i="7"/>
  <c r="AA14" i="7" s="1"/>
  <c r="W14" i="7"/>
  <c r="V14" i="7"/>
  <c r="U14" i="7"/>
  <c r="Z13" i="7"/>
  <c r="AA13" i="7" s="1"/>
  <c r="W13" i="7"/>
  <c r="V13" i="7"/>
  <c r="U13" i="7"/>
  <c r="Z12" i="7"/>
  <c r="AA12" i="7" s="1"/>
  <c r="W12" i="7"/>
  <c r="V12" i="7"/>
  <c r="U12" i="7"/>
  <c r="Z11" i="7"/>
  <c r="AA11" i="7" s="1"/>
  <c r="W11" i="7"/>
  <c r="V11" i="7"/>
  <c r="U11" i="7"/>
  <c r="Z10" i="7"/>
  <c r="AA10" i="7" s="1"/>
  <c r="W10" i="7"/>
  <c r="V10" i="7"/>
  <c r="U10" i="7"/>
  <c r="Z9" i="7"/>
  <c r="AA9" i="7" s="1"/>
  <c r="U9" i="7"/>
  <c r="W9" i="7" s="1"/>
  <c r="Z8" i="7"/>
  <c r="AA8" i="7" s="1"/>
  <c r="U8" i="7"/>
  <c r="V8" i="7" s="1"/>
  <c r="Z7" i="7"/>
  <c r="AA7" i="7" s="1"/>
  <c r="U7" i="7"/>
  <c r="W7" i="7" s="1"/>
  <c r="Z6" i="7"/>
  <c r="AA6" i="7" s="1"/>
  <c r="U6" i="7"/>
  <c r="W6" i="7" s="1"/>
  <c r="Z5" i="7"/>
  <c r="AA5" i="7" s="1"/>
  <c r="U5" i="7"/>
  <c r="W5" i="7" s="1"/>
  <c r="Z256" i="6"/>
  <c r="AA256" i="6" s="1"/>
  <c r="W256" i="6"/>
  <c r="V256" i="6"/>
  <c r="U256" i="6"/>
  <c r="Z255" i="6"/>
  <c r="AA255" i="6" s="1"/>
  <c r="W255" i="6"/>
  <c r="V255" i="6"/>
  <c r="U255" i="6"/>
  <c r="Z254" i="6"/>
  <c r="AA254" i="6" s="1"/>
  <c r="W254" i="6"/>
  <c r="V254" i="6"/>
  <c r="U254" i="6"/>
  <c r="Z253" i="6"/>
  <c r="AA253" i="6" s="1"/>
  <c r="W253" i="6"/>
  <c r="V253" i="6"/>
  <c r="U253" i="6"/>
  <c r="Z252" i="6"/>
  <c r="AA252" i="6" s="1"/>
  <c r="W252" i="6"/>
  <c r="V252" i="6"/>
  <c r="U252" i="6"/>
  <c r="Z251" i="6"/>
  <c r="AA251" i="6" s="1"/>
  <c r="W251" i="6"/>
  <c r="V251" i="6"/>
  <c r="U251" i="6"/>
  <c r="Z250" i="6"/>
  <c r="AA250" i="6" s="1"/>
  <c r="W250" i="6"/>
  <c r="V250" i="6"/>
  <c r="U250" i="6"/>
  <c r="Z249" i="6"/>
  <c r="AA249" i="6" s="1"/>
  <c r="W249" i="6"/>
  <c r="V249" i="6"/>
  <c r="U249" i="6"/>
  <c r="Z248" i="6"/>
  <c r="AA248" i="6" s="1"/>
  <c r="W248" i="6"/>
  <c r="V248" i="6"/>
  <c r="U248" i="6"/>
  <c r="Z247" i="6"/>
  <c r="AA247" i="6" s="1"/>
  <c r="W247" i="6"/>
  <c r="V247" i="6"/>
  <c r="U247" i="6"/>
  <c r="Z246" i="6"/>
  <c r="AA246" i="6" s="1"/>
  <c r="W246" i="6"/>
  <c r="V246" i="6"/>
  <c r="U246" i="6"/>
  <c r="Z245" i="6"/>
  <c r="AA245" i="6" s="1"/>
  <c r="W245" i="6"/>
  <c r="V245" i="6"/>
  <c r="U245" i="6"/>
  <c r="Z244" i="6"/>
  <c r="AA244" i="6" s="1"/>
  <c r="W244" i="6"/>
  <c r="V244" i="6"/>
  <c r="U244" i="6"/>
  <c r="Z243" i="6"/>
  <c r="AA243" i="6" s="1"/>
  <c r="W243" i="6"/>
  <c r="V243" i="6"/>
  <c r="U243" i="6"/>
  <c r="Z242" i="6"/>
  <c r="AA242" i="6" s="1"/>
  <c r="W242" i="6"/>
  <c r="V242" i="6"/>
  <c r="U242" i="6"/>
  <c r="Z241" i="6"/>
  <c r="AA241" i="6" s="1"/>
  <c r="W241" i="6"/>
  <c r="V241" i="6"/>
  <c r="U241" i="6"/>
  <c r="Z240" i="6"/>
  <c r="AA240" i="6" s="1"/>
  <c r="W240" i="6"/>
  <c r="V240" i="6"/>
  <c r="U240" i="6"/>
  <c r="Z239" i="6"/>
  <c r="AA239" i="6" s="1"/>
  <c r="W239" i="6"/>
  <c r="V239" i="6"/>
  <c r="U239" i="6"/>
  <c r="Z238" i="6"/>
  <c r="AA238" i="6" s="1"/>
  <c r="W238" i="6"/>
  <c r="V238" i="6"/>
  <c r="U238" i="6"/>
  <c r="Z237" i="6"/>
  <c r="AA237" i="6" s="1"/>
  <c r="W237" i="6"/>
  <c r="V237" i="6"/>
  <c r="U237" i="6"/>
  <c r="Z236" i="6"/>
  <c r="AA236" i="6" s="1"/>
  <c r="W236" i="6"/>
  <c r="V236" i="6"/>
  <c r="U236" i="6"/>
  <c r="Z235" i="6"/>
  <c r="AA235" i="6" s="1"/>
  <c r="W235" i="6"/>
  <c r="V235" i="6"/>
  <c r="U235" i="6"/>
  <c r="Z234" i="6"/>
  <c r="AA234" i="6" s="1"/>
  <c r="W234" i="6"/>
  <c r="V234" i="6"/>
  <c r="U234" i="6"/>
  <c r="Z233" i="6"/>
  <c r="AA233" i="6" s="1"/>
  <c r="W233" i="6"/>
  <c r="V233" i="6"/>
  <c r="U233" i="6"/>
  <c r="Z232" i="6"/>
  <c r="AA232" i="6" s="1"/>
  <c r="W232" i="6"/>
  <c r="V232" i="6"/>
  <c r="U232" i="6"/>
  <c r="Z231" i="6"/>
  <c r="AA231" i="6" s="1"/>
  <c r="W231" i="6"/>
  <c r="V231" i="6"/>
  <c r="U231" i="6"/>
  <c r="Z230" i="6"/>
  <c r="AA230" i="6" s="1"/>
  <c r="W230" i="6"/>
  <c r="V230" i="6"/>
  <c r="U230" i="6"/>
  <c r="Z229" i="6"/>
  <c r="AA229" i="6" s="1"/>
  <c r="W229" i="6"/>
  <c r="V229" i="6"/>
  <c r="U229" i="6"/>
  <c r="Z228" i="6"/>
  <c r="AA228" i="6" s="1"/>
  <c r="W228" i="6"/>
  <c r="V228" i="6"/>
  <c r="U228" i="6"/>
  <c r="Z227" i="6"/>
  <c r="AA227" i="6" s="1"/>
  <c r="W227" i="6"/>
  <c r="V227" i="6"/>
  <c r="U227" i="6"/>
  <c r="Z226" i="6"/>
  <c r="AA226" i="6" s="1"/>
  <c r="W226" i="6"/>
  <c r="V226" i="6"/>
  <c r="U226" i="6"/>
  <c r="Z225" i="6"/>
  <c r="AA225" i="6" s="1"/>
  <c r="W225" i="6"/>
  <c r="V225" i="6"/>
  <c r="U225" i="6"/>
  <c r="Z224" i="6"/>
  <c r="AA224" i="6" s="1"/>
  <c r="W224" i="6"/>
  <c r="V224" i="6"/>
  <c r="U224" i="6"/>
  <c r="Z223" i="6"/>
  <c r="AA223" i="6" s="1"/>
  <c r="W223" i="6"/>
  <c r="V223" i="6"/>
  <c r="U223" i="6"/>
  <c r="Z222" i="6"/>
  <c r="AA222" i="6" s="1"/>
  <c r="W222" i="6"/>
  <c r="V222" i="6"/>
  <c r="U222" i="6"/>
  <c r="Z221" i="6"/>
  <c r="AA221" i="6" s="1"/>
  <c r="W221" i="6"/>
  <c r="V221" i="6"/>
  <c r="U221" i="6"/>
  <c r="Z220" i="6"/>
  <c r="AA220" i="6" s="1"/>
  <c r="W220" i="6"/>
  <c r="V220" i="6"/>
  <c r="U220" i="6"/>
  <c r="Z219" i="6"/>
  <c r="AA219" i="6" s="1"/>
  <c r="W219" i="6"/>
  <c r="V219" i="6"/>
  <c r="U219" i="6"/>
  <c r="Z218" i="6"/>
  <c r="AA218" i="6" s="1"/>
  <c r="W218" i="6"/>
  <c r="V218" i="6"/>
  <c r="U218" i="6"/>
  <c r="Z217" i="6"/>
  <c r="AA217" i="6" s="1"/>
  <c r="W217" i="6"/>
  <c r="V217" i="6"/>
  <c r="U217" i="6"/>
  <c r="Z216" i="6"/>
  <c r="AA216" i="6" s="1"/>
  <c r="W216" i="6"/>
  <c r="V216" i="6"/>
  <c r="U216" i="6"/>
  <c r="Z215" i="6"/>
  <c r="AA215" i="6" s="1"/>
  <c r="W215" i="6"/>
  <c r="V215" i="6"/>
  <c r="U215" i="6"/>
  <c r="Z214" i="6"/>
  <c r="AA214" i="6" s="1"/>
  <c r="W214" i="6"/>
  <c r="V214" i="6"/>
  <c r="U214" i="6"/>
  <c r="Z213" i="6"/>
  <c r="AA213" i="6" s="1"/>
  <c r="W213" i="6"/>
  <c r="V213" i="6"/>
  <c r="U213" i="6"/>
  <c r="Z212" i="6"/>
  <c r="AA212" i="6" s="1"/>
  <c r="W212" i="6"/>
  <c r="V212" i="6"/>
  <c r="U212" i="6"/>
  <c r="Z211" i="6"/>
  <c r="AA211" i="6" s="1"/>
  <c r="W211" i="6"/>
  <c r="V211" i="6"/>
  <c r="U211" i="6"/>
  <c r="Z210" i="6"/>
  <c r="AA210" i="6" s="1"/>
  <c r="W210" i="6"/>
  <c r="V210" i="6"/>
  <c r="U210" i="6"/>
  <c r="Z209" i="6"/>
  <c r="AA209" i="6" s="1"/>
  <c r="W209" i="6"/>
  <c r="V209" i="6"/>
  <c r="U209" i="6"/>
  <c r="Z208" i="6"/>
  <c r="AA208" i="6" s="1"/>
  <c r="W208" i="6"/>
  <c r="V208" i="6"/>
  <c r="U208" i="6"/>
  <c r="Z207" i="6"/>
  <c r="AA207" i="6" s="1"/>
  <c r="W207" i="6"/>
  <c r="V207" i="6"/>
  <c r="U207" i="6"/>
  <c r="Z206" i="6"/>
  <c r="AA206" i="6" s="1"/>
  <c r="W206" i="6"/>
  <c r="V206" i="6"/>
  <c r="U206" i="6"/>
  <c r="Z205" i="6"/>
  <c r="AA205" i="6" s="1"/>
  <c r="W205" i="6"/>
  <c r="V205" i="6"/>
  <c r="U205" i="6"/>
  <c r="Z204" i="6"/>
  <c r="AA204" i="6" s="1"/>
  <c r="W204" i="6"/>
  <c r="V204" i="6"/>
  <c r="U204" i="6"/>
  <c r="Z203" i="6"/>
  <c r="AA203" i="6" s="1"/>
  <c r="W203" i="6"/>
  <c r="V203" i="6"/>
  <c r="U203" i="6"/>
  <c r="Z202" i="6"/>
  <c r="AA202" i="6" s="1"/>
  <c r="W202" i="6"/>
  <c r="V202" i="6"/>
  <c r="U202" i="6"/>
  <c r="Z201" i="6"/>
  <c r="AA201" i="6" s="1"/>
  <c r="W201" i="6"/>
  <c r="V201" i="6"/>
  <c r="U201" i="6"/>
  <c r="Z200" i="6"/>
  <c r="AA200" i="6" s="1"/>
  <c r="W200" i="6"/>
  <c r="V200" i="6"/>
  <c r="U200" i="6"/>
  <c r="Z199" i="6"/>
  <c r="AA199" i="6" s="1"/>
  <c r="W199" i="6"/>
  <c r="V199" i="6"/>
  <c r="U199" i="6"/>
  <c r="Z198" i="6"/>
  <c r="AA198" i="6" s="1"/>
  <c r="W198" i="6"/>
  <c r="V198" i="6"/>
  <c r="U198" i="6"/>
  <c r="Z197" i="6"/>
  <c r="AA197" i="6" s="1"/>
  <c r="W197" i="6"/>
  <c r="V197" i="6"/>
  <c r="U197" i="6"/>
  <c r="Z196" i="6"/>
  <c r="AA196" i="6" s="1"/>
  <c r="W196" i="6"/>
  <c r="V196" i="6"/>
  <c r="U196" i="6"/>
  <c r="Z195" i="6"/>
  <c r="AA195" i="6" s="1"/>
  <c r="W195" i="6"/>
  <c r="V195" i="6"/>
  <c r="U195" i="6"/>
  <c r="Z194" i="6"/>
  <c r="AA194" i="6" s="1"/>
  <c r="W194" i="6"/>
  <c r="V194" i="6"/>
  <c r="U194" i="6"/>
  <c r="Z193" i="6"/>
  <c r="AA193" i="6" s="1"/>
  <c r="W193" i="6"/>
  <c r="V193" i="6"/>
  <c r="U193" i="6"/>
  <c r="Z192" i="6"/>
  <c r="AA192" i="6" s="1"/>
  <c r="W192" i="6"/>
  <c r="V192" i="6"/>
  <c r="U192" i="6"/>
  <c r="Z191" i="6"/>
  <c r="AA191" i="6" s="1"/>
  <c r="W191" i="6"/>
  <c r="V191" i="6"/>
  <c r="U191" i="6"/>
  <c r="Z190" i="6"/>
  <c r="AA190" i="6" s="1"/>
  <c r="W190" i="6"/>
  <c r="V190" i="6"/>
  <c r="U190" i="6"/>
  <c r="Z189" i="6"/>
  <c r="AA189" i="6" s="1"/>
  <c r="W189" i="6"/>
  <c r="V189" i="6"/>
  <c r="U189" i="6"/>
  <c r="Z188" i="6"/>
  <c r="AA188" i="6" s="1"/>
  <c r="W188" i="6"/>
  <c r="V188" i="6"/>
  <c r="U188" i="6"/>
  <c r="Z187" i="6"/>
  <c r="AA187" i="6" s="1"/>
  <c r="W187" i="6"/>
  <c r="V187" i="6"/>
  <c r="U187" i="6"/>
  <c r="Z186" i="6"/>
  <c r="AA186" i="6" s="1"/>
  <c r="W186" i="6"/>
  <c r="V186" i="6"/>
  <c r="U186" i="6"/>
  <c r="Z185" i="6"/>
  <c r="AA185" i="6" s="1"/>
  <c r="W185" i="6"/>
  <c r="V185" i="6"/>
  <c r="U185" i="6"/>
  <c r="Z184" i="6"/>
  <c r="AA184" i="6" s="1"/>
  <c r="W184" i="6"/>
  <c r="V184" i="6"/>
  <c r="U184" i="6"/>
  <c r="Z183" i="6"/>
  <c r="AA183" i="6" s="1"/>
  <c r="W183" i="6"/>
  <c r="V183" i="6"/>
  <c r="U183" i="6"/>
  <c r="Z182" i="6"/>
  <c r="AA182" i="6" s="1"/>
  <c r="W182" i="6"/>
  <c r="V182" i="6"/>
  <c r="U182" i="6"/>
  <c r="Z181" i="6"/>
  <c r="AA181" i="6" s="1"/>
  <c r="W181" i="6"/>
  <c r="V181" i="6"/>
  <c r="U181" i="6"/>
  <c r="Z180" i="6"/>
  <c r="AA180" i="6" s="1"/>
  <c r="W180" i="6"/>
  <c r="V180" i="6"/>
  <c r="U180" i="6"/>
  <c r="Z179" i="6"/>
  <c r="AA179" i="6" s="1"/>
  <c r="W179" i="6"/>
  <c r="V179" i="6"/>
  <c r="U179" i="6"/>
  <c r="Z178" i="6"/>
  <c r="AA178" i="6" s="1"/>
  <c r="W178" i="6"/>
  <c r="V178" i="6"/>
  <c r="U178" i="6"/>
  <c r="Z177" i="6"/>
  <c r="AA177" i="6" s="1"/>
  <c r="W177" i="6"/>
  <c r="V177" i="6"/>
  <c r="U177" i="6"/>
  <c r="Z176" i="6"/>
  <c r="AA176" i="6" s="1"/>
  <c r="W176" i="6"/>
  <c r="V176" i="6"/>
  <c r="U176" i="6"/>
  <c r="Z175" i="6"/>
  <c r="AA175" i="6" s="1"/>
  <c r="W175" i="6"/>
  <c r="V175" i="6"/>
  <c r="U175" i="6"/>
  <c r="Z174" i="6"/>
  <c r="AA174" i="6" s="1"/>
  <c r="W174" i="6"/>
  <c r="V174" i="6"/>
  <c r="U174" i="6"/>
  <c r="Z173" i="6"/>
  <c r="AA173" i="6" s="1"/>
  <c r="W173" i="6"/>
  <c r="V173" i="6"/>
  <c r="U173" i="6"/>
  <c r="Z172" i="6"/>
  <c r="AA172" i="6" s="1"/>
  <c r="W172" i="6"/>
  <c r="V172" i="6"/>
  <c r="U172" i="6"/>
  <c r="Z171" i="6"/>
  <c r="AA171" i="6" s="1"/>
  <c r="W171" i="6"/>
  <c r="V171" i="6"/>
  <c r="U171" i="6"/>
  <c r="Z170" i="6"/>
  <c r="AA170" i="6" s="1"/>
  <c r="W170" i="6"/>
  <c r="V170" i="6"/>
  <c r="U170" i="6"/>
  <c r="Z169" i="6"/>
  <c r="AA169" i="6" s="1"/>
  <c r="W169" i="6"/>
  <c r="V169" i="6"/>
  <c r="U169" i="6"/>
  <c r="Z168" i="6"/>
  <c r="AA168" i="6" s="1"/>
  <c r="W168" i="6"/>
  <c r="V168" i="6"/>
  <c r="U168" i="6"/>
  <c r="Z167" i="6"/>
  <c r="AA167" i="6" s="1"/>
  <c r="W167" i="6"/>
  <c r="V167" i="6"/>
  <c r="U167" i="6"/>
  <c r="Z166" i="6"/>
  <c r="AA166" i="6" s="1"/>
  <c r="W166" i="6"/>
  <c r="V166" i="6"/>
  <c r="U166" i="6"/>
  <c r="Z165" i="6"/>
  <c r="AA165" i="6" s="1"/>
  <c r="W165" i="6"/>
  <c r="V165" i="6"/>
  <c r="U165" i="6"/>
  <c r="Z164" i="6"/>
  <c r="AA164" i="6" s="1"/>
  <c r="W164" i="6"/>
  <c r="V164" i="6"/>
  <c r="U164" i="6"/>
  <c r="Z163" i="6"/>
  <c r="AA163" i="6" s="1"/>
  <c r="W163" i="6"/>
  <c r="V163" i="6"/>
  <c r="U163" i="6"/>
  <c r="Z162" i="6"/>
  <c r="AA162" i="6" s="1"/>
  <c r="W162" i="6"/>
  <c r="V162" i="6"/>
  <c r="U162" i="6"/>
  <c r="Z161" i="6"/>
  <c r="AA161" i="6" s="1"/>
  <c r="W161" i="6"/>
  <c r="V161" i="6"/>
  <c r="U161" i="6"/>
  <c r="Z160" i="6"/>
  <c r="AA160" i="6" s="1"/>
  <c r="W160" i="6"/>
  <c r="V160" i="6"/>
  <c r="U160" i="6"/>
  <c r="Z159" i="6"/>
  <c r="AA159" i="6" s="1"/>
  <c r="W159" i="6"/>
  <c r="V159" i="6"/>
  <c r="U159" i="6"/>
  <c r="Z158" i="6"/>
  <c r="AA158" i="6" s="1"/>
  <c r="W158" i="6"/>
  <c r="V158" i="6"/>
  <c r="U158" i="6"/>
  <c r="Z157" i="6"/>
  <c r="AA157" i="6" s="1"/>
  <c r="W157" i="6"/>
  <c r="V157" i="6"/>
  <c r="U157" i="6"/>
  <c r="Z156" i="6"/>
  <c r="AA156" i="6" s="1"/>
  <c r="W156" i="6"/>
  <c r="V156" i="6"/>
  <c r="U156" i="6"/>
  <c r="Z155" i="6"/>
  <c r="AA155" i="6" s="1"/>
  <c r="W155" i="6"/>
  <c r="V155" i="6"/>
  <c r="U155" i="6"/>
  <c r="Z154" i="6"/>
  <c r="AA154" i="6" s="1"/>
  <c r="W154" i="6"/>
  <c r="V154" i="6"/>
  <c r="U154" i="6"/>
  <c r="Z153" i="6"/>
  <c r="AA153" i="6" s="1"/>
  <c r="W153" i="6"/>
  <c r="V153" i="6"/>
  <c r="U153" i="6"/>
  <c r="Z152" i="6"/>
  <c r="AA152" i="6" s="1"/>
  <c r="W152" i="6"/>
  <c r="V152" i="6"/>
  <c r="U152" i="6"/>
  <c r="Z151" i="6"/>
  <c r="AA151" i="6" s="1"/>
  <c r="W151" i="6"/>
  <c r="V151" i="6"/>
  <c r="U151" i="6"/>
  <c r="Z150" i="6"/>
  <c r="AA150" i="6" s="1"/>
  <c r="W150" i="6"/>
  <c r="V150" i="6"/>
  <c r="U150" i="6"/>
  <c r="Z149" i="6"/>
  <c r="AA149" i="6" s="1"/>
  <c r="W149" i="6"/>
  <c r="V149" i="6"/>
  <c r="U149" i="6"/>
  <c r="Z148" i="6"/>
  <c r="AA148" i="6" s="1"/>
  <c r="W148" i="6"/>
  <c r="V148" i="6"/>
  <c r="U148" i="6"/>
  <c r="Z147" i="6"/>
  <c r="AA147" i="6" s="1"/>
  <c r="W147" i="6"/>
  <c r="V147" i="6"/>
  <c r="U147" i="6"/>
  <c r="Z146" i="6"/>
  <c r="AA146" i="6" s="1"/>
  <c r="W146" i="6"/>
  <c r="V146" i="6"/>
  <c r="U146" i="6"/>
  <c r="Z145" i="6"/>
  <c r="AA145" i="6" s="1"/>
  <c r="W145" i="6"/>
  <c r="V145" i="6"/>
  <c r="U145" i="6"/>
  <c r="Z144" i="6"/>
  <c r="AA144" i="6" s="1"/>
  <c r="W144" i="6"/>
  <c r="V144" i="6"/>
  <c r="U144" i="6"/>
  <c r="Z143" i="6"/>
  <c r="AA143" i="6" s="1"/>
  <c r="W143" i="6"/>
  <c r="V143" i="6"/>
  <c r="U143" i="6"/>
  <c r="Z142" i="6"/>
  <c r="AA142" i="6" s="1"/>
  <c r="W142" i="6"/>
  <c r="V142" i="6"/>
  <c r="U142" i="6"/>
  <c r="Z141" i="6"/>
  <c r="AA141" i="6" s="1"/>
  <c r="W141" i="6"/>
  <c r="V141" i="6"/>
  <c r="U141" i="6"/>
  <c r="Z140" i="6"/>
  <c r="AA140" i="6" s="1"/>
  <c r="W140" i="6"/>
  <c r="V140" i="6"/>
  <c r="U140" i="6"/>
  <c r="Z139" i="6"/>
  <c r="AA139" i="6" s="1"/>
  <c r="W139" i="6"/>
  <c r="V139" i="6"/>
  <c r="U139" i="6"/>
  <c r="Z138" i="6"/>
  <c r="AA138" i="6" s="1"/>
  <c r="W138" i="6"/>
  <c r="V138" i="6"/>
  <c r="U138" i="6"/>
  <c r="Z137" i="6"/>
  <c r="AA137" i="6" s="1"/>
  <c r="W137" i="6"/>
  <c r="V137" i="6"/>
  <c r="U137" i="6"/>
  <c r="Z136" i="6"/>
  <c r="AA136" i="6" s="1"/>
  <c r="W136" i="6"/>
  <c r="V136" i="6"/>
  <c r="U136" i="6"/>
  <c r="Z135" i="6"/>
  <c r="AA135" i="6" s="1"/>
  <c r="W135" i="6"/>
  <c r="V135" i="6"/>
  <c r="U135" i="6"/>
  <c r="Z134" i="6"/>
  <c r="AA134" i="6" s="1"/>
  <c r="W134" i="6"/>
  <c r="V134" i="6"/>
  <c r="U134" i="6"/>
  <c r="Z133" i="6"/>
  <c r="AA133" i="6" s="1"/>
  <c r="W133" i="6"/>
  <c r="V133" i="6"/>
  <c r="U133" i="6"/>
  <c r="Z132" i="6"/>
  <c r="AA132" i="6" s="1"/>
  <c r="W132" i="6"/>
  <c r="V132" i="6"/>
  <c r="U132" i="6"/>
  <c r="Z131" i="6"/>
  <c r="AA131" i="6" s="1"/>
  <c r="W131" i="6"/>
  <c r="V131" i="6"/>
  <c r="U131" i="6"/>
  <c r="Z130" i="6"/>
  <c r="AA130" i="6" s="1"/>
  <c r="W130" i="6"/>
  <c r="V130" i="6"/>
  <c r="U130" i="6"/>
  <c r="Z129" i="6"/>
  <c r="AA129" i="6" s="1"/>
  <c r="W129" i="6"/>
  <c r="V129" i="6"/>
  <c r="U129" i="6"/>
  <c r="Z128" i="6"/>
  <c r="AA128" i="6" s="1"/>
  <c r="W128" i="6"/>
  <c r="V128" i="6"/>
  <c r="U128" i="6"/>
  <c r="Z127" i="6"/>
  <c r="AA127" i="6" s="1"/>
  <c r="W127" i="6"/>
  <c r="V127" i="6"/>
  <c r="U127" i="6"/>
  <c r="Z126" i="6"/>
  <c r="AA126" i="6" s="1"/>
  <c r="W126" i="6"/>
  <c r="V126" i="6"/>
  <c r="U126" i="6"/>
  <c r="Z125" i="6"/>
  <c r="AA125" i="6" s="1"/>
  <c r="W125" i="6"/>
  <c r="V125" i="6"/>
  <c r="U125" i="6"/>
  <c r="Z124" i="6"/>
  <c r="AA124" i="6" s="1"/>
  <c r="W124" i="6"/>
  <c r="V124" i="6"/>
  <c r="U124" i="6"/>
  <c r="Z123" i="6"/>
  <c r="AA123" i="6" s="1"/>
  <c r="W123" i="6"/>
  <c r="V123" i="6"/>
  <c r="U123" i="6"/>
  <c r="Z122" i="6"/>
  <c r="AA122" i="6" s="1"/>
  <c r="W122" i="6"/>
  <c r="V122" i="6"/>
  <c r="U122" i="6"/>
  <c r="Z121" i="6"/>
  <c r="AA121" i="6" s="1"/>
  <c r="W121" i="6"/>
  <c r="V121" i="6"/>
  <c r="U121" i="6"/>
  <c r="Z120" i="6"/>
  <c r="AA120" i="6" s="1"/>
  <c r="W120" i="6"/>
  <c r="V120" i="6"/>
  <c r="U120" i="6"/>
  <c r="Z119" i="6"/>
  <c r="AA119" i="6" s="1"/>
  <c r="W119" i="6"/>
  <c r="V119" i="6"/>
  <c r="U119" i="6"/>
  <c r="Z118" i="6"/>
  <c r="AA118" i="6" s="1"/>
  <c r="W118" i="6"/>
  <c r="V118" i="6"/>
  <c r="U118" i="6"/>
  <c r="Z117" i="6"/>
  <c r="AA117" i="6" s="1"/>
  <c r="W117" i="6"/>
  <c r="V117" i="6"/>
  <c r="U117" i="6"/>
  <c r="Z116" i="6"/>
  <c r="AA116" i="6" s="1"/>
  <c r="W116" i="6"/>
  <c r="V116" i="6"/>
  <c r="U116" i="6"/>
  <c r="Z115" i="6"/>
  <c r="AA115" i="6" s="1"/>
  <c r="W115" i="6"/>
  <c r="V115" i="6"/>
  <c r="U115" i="6"/>
  <c r="Z114" i="6"/>
  <c r="AA114" i="6" s="1"/>
  <c r="W114" i="6"/>
  <c r="V114" i="6"/>
  <c r="U114" i="6"/>
  <c r="Z113" i="6"/>
  <c r="AA113" i="6" s="1"/>
  <c r="W113" i="6"/>
  <c r="V113" i="6"/>
  <c r="U113" i="6"/>
  <c r="Z112" i="6"/>
  <c r="AA112" i="6" s="1"/>
  <c r="W112" i="6"/>
  <c r="V112" i="6"/>
  <c r="U112" i="6"/>
  <c r="Z111" i="6"/>
  <c r="AA111" i="6" s="1"/>
  <c r="W111" i="6"/>
  <c r="V111" i="6"/>
  <c r="U111" i="6"/>
  <c r="Z110" i="6"/>
  <c r="AA110" i="6" s="1"/>
  <c r="W110" i="6"/>
  <c r="V110" i="6"/>
  <c r="U110" i="6"/>
  <c r="Z109" i="6"/>
  <c r="AA109" i="6" s="1"/>
  <c r="W109" i="6"/>
  <c r="V109" i="6"/>
  <c r="U109" i="6"/>
  <c r="Z108" i="6"/>
  <c r="AA108" i="6" s="1"/>
  <c r="W108" i="6"/>
  <c r="V108" i="6"/>
  <c r="U108" i="6"/>
  <c r="Z107" i="6"/>
  <c r="AA107" i="6" s="1"/>
  <c r="W107" i="6"/>
  <c r="V107" i="6"/>
  <c r="U107" i="6"/>
  <c r="Z106" i="6"/>
  <c r="AA106" i="6" s="1"/>
  <c r="W106" i="6"/>
  <c r="V106" i="6"/>
  <c r="U106" i="6"/>
  <c r="Z105" i="6"/>
  <c r="AA105" i="6" s="1"/>
  <c r="W105" i="6"/>
  <c r="V105" i="6"/>
  <c r="U105" i="6"/>
  <c r="Z104" i="6"/>
  <c r="AA104" i="6" s="1"/>
  <c r="W104" i="6"/>
  <c r="V104" i="6"/>
  <c r="U104" i="6"/>
  <c r="Z103" i="6"/>
  <c r="AA103" i="6" s="1"/>
  <c r="W103" i="6"/>
  <c r="V103" i="6"/>
  <c r="U103" i="6"/>
  <c r="Z102" i="6"/>
  <c r="AA102" i="6" s="1"/>
  <c r="W102" i="6"/>
  <c r="V102" i="6"/>
  <c r="U102" i="6"/>
  <c r="Z101" i="6"/>
  <c r="AA101" i="6" s="1"/>
  <c r="W101" i="6"/>
  <c r="V101" i="6"/>
  <c r="U101" i="6"/>
  <c r="Z100" i="6"/>
  <c r="AA100" i="6" s="1"/>
  <c r="W100" i="6"/>
  <c r="V100" i="6"/>
  <c r="U100" i="6"/>
  <c r="Z99" i="6"/>
  <c r="AA99" i="6" s="1"/>
  <c r="W99" i="6"/>
  <c r="V99" i="6"/>
  <c r="U99" i="6"/>
  <c r="Z98" i="6"/>
  <c r="AA98" i="6" s="1"/>
  <c r="W98" i="6"/>
  <c r="V98" i="6"/>
  <c r="U98" i="6"/>
  <c r="Z97" i="6"/>
  <c r="AA97" i="6" s="1"/>
  <c r="W97" i="6"/>
  <c r="V97" i="6"/>
  <c r="U97" i="6"/>
  <c r="Z96" i="6"/>
  <c r="AA96" i="6" s="1"/>
  <c r="W96" i="6"/>
  <c r="V96" i="6"/>
  <c r="U96" i="6"/>
  <c r="Z95" i="6"/>
  <c r="AA95" i="6" s="1"/>
  <c r="W95" i="6"/>
  <c r="V95" i="6"/>
  <c r="U95" i="6"/>
  <c r="Z94" i="6"/>
  <c r="AA94" i="6" s="1"/>
  <c r="W94" i="6"/>
  <c r="V94" i="6"/>
  <c r="U94" i="6"/>
  <c r="Z93" i="6"/>
  <c r="AA93" i="6" s="1"/>
  <c r="W93" i="6"/>
  <c r="V93" i="6"/>
  <c r="U93" i="6"/>
  <c r="Z92" i="6"/>
  <c r="AA92" i="6" s="1"/>
  <c r="W92" i="6"/>
  <c r="V92" i="6"/>
  <c r="U92" i="6"/>
  <c r="Z91" i="6"/>
  <c r="AA91" i="6" s="1"/>
  <c r="W91" i="6"/>
  <c r="V91" i="6"/>
  <c r="U91" i="6"/>
  <c r="Z90" i="6"/>
  <c r="AA90" i="6" s="1"/>
  <c r="W90" i="6"/>
  <c r="V90" i="6"/>
  <c r="U90" i="6"/>
  <c r="Z89" i="6"/>
  <c r="AA89" i="6" s="1"/>
  <c r="W89" i="6"/>
  <c r="V89" i="6"/>
  <c r="U89" i="6"/>
  <c r="Z88" i="6"/>
  <c r="AA88" i="6" s="1"/>
  <c r="W88" i="6"/>
  <c r="V88" i="6"/>
  <c r="U88" i="6"/>
  <c r="Z87" i="6"/>
  <c r="AA87" i="6" s="1"/>
  <c r="W87" i="6"/>
  <c r="V87" i="6"/>
  <c r="U87" i="6"/>
  <c r="Z86" i="6"/>
  <c r="AA86" i="6" s="1"/>
  <c r="W86" i="6"/>
  <c r="V86" i="6"/>
  <c r="U86" i="6"/>
  <c r="Z85" i="6"/>
  <c r="AA85" i="6" s="1"/>
  <c r="W85" i="6"/>
  <c r="V85" i="6"/>
  <c r="U85" i="6"/>
  <c r="Z84" i="6"/>
  <c r="AA84" i="6" s="1"/>
  <c r="W84" i="6"/>
  <c r="V84" i="6"/>
  <c r="U84" i="6"/>
  <c r="Z83" i="6"/>
  <c r="AA83" i="6" s="1"/>
  <c r="W83" i="6"/>
  <c r="V83" i="6"/>
  <c r="U83" i="6"/>
  <c r="Z82" i="6"/>
  <c r="AA82" i="6" s="1"/>
  <c r="W82" i="6"/>
  <c r="V82" i="6"/>
  <c r="U82" i="6"/>
  <c r="Z81" i="6"/>
  <c r="AA81" i="6" s="1"/>
  <c r="W81" i="6"/>
  <c r="V81" i="6"/>
  <c r="U81" i="6"/>
  <c r="Z80" i="6"/>
  <c r="AA80" i="6" s="1"/>
  <c r="W80" i="6"/>
  <c r="V80" i="6"/>
  <c r="U80" i="6"/>
  <c r="Z79" i="6"/>
  <c r="AA79" i="6" s="1"/>
  <c r="W79" i="6"/>
  <c r="V79" i="6"/>
  <c r="U79" i="6"/>
  <c r="Z78" i="6"/>
  <c r="AA78" i="6" s="1"/>
  <c r="W78" i="6"/>
  <c r="V78" i="6"/>
  <c r="U78" i="6"/>
  <c r="Z77" i="6"/>
  <c r="AA77" i="6" s="1"/>
  <c r="W77" i="6"/>
  <c r="V77" i="6"/>
  <c r="U77" i="6"/>
  <c r="Z76" i="6"/>
  <c r="AA76" i="6" s="1"/>
  <c r="W76" i="6"/>
  <c r="V76" i="6"/>
  <c r="U76" i="6"/>
  <c r="Z75" i="6"/>
  <c r="AA75" i="6" s="1"/>
  <c r="W75" i="6"/>
  <c r="V75" i="6"/>
  <c r="U75" i="6"/>
  <c r="Z74" i="6"/>
  <c r="AA74" i="6" s="1"/>
  <c r="W74" i="6"/>
  <c r="V74" i="6"/>
  <c r="U74" i="6"/>
  <c r="Z73" i="6"/>
  <c r="AA73" i="6" s="1"/>
  <c r="W73" i="6"/>
  <c r="V73" i="6"/>
  <c r="U73" i="6"/>
  <c r="Z72" i="6"/>
  <c r="AA72" i="6" s="1"/>
  <c r="W72" i="6"/>
  <c r="V72" i="6"/>
  <c r="U72" i="6"/>
  <c r="Z71" i="6"/>
  <c r="AA71" i="6" s="1"/>
  <c r="W71" i="6"/>
  <c r="V71" i="6"/>
  <c r="U71" i="6"/>
  <c r="Z70" i="6"/>
  <c r="AA70" i="6" s="1"/>
  <c r="W70" i="6"/>
  <c r="V70" i="6"/>
  <c r="U70" i="6"/>
  <c r="Z69" i="6"/>
  <c r="AA69" i="6" s="1"/>
  <c r="W69" i="6"/>
  <c r="V69" i="6"/>
  <c r="U69" i="6"/>
  <c r="Z68" i="6"/>
  <c r="AA68" i="6" s="1"/>
  <c r="W68" i="6"/>
  <c r="V68" i="6"/>
  <c r="U68" i="6"/>
  <c r="Z67" i="6"/>
  <c r="AA67" i="6" s="1"/>
  <c r="W67" i="6"/>
  <c r="V67" i="6"/>
  <c r="U67" i="6"/>
  <c r="Z66" i="6"/>
  <c r="AA66" i="6" s="1"/>
  <c r="W66" i="6"/>
  <c r="V66" i="6"/>
  <c r="U66" i="6"/>
  <c r="Z65" i="6"/>
  <c r="AA65" i="6" s="1"/>
  <c r="W65" i="6"/>
  <c r="V65" i="6"/>
  <c r="U65" i="6"/>
  <c r="Z64" i="6"/>
  <c r="AA64" i="6" s="1"/>
  <c r="W64" i="6"/>
  <c r="V64" i="6"/>
  <c r="U64" i="6"/>
  <c r="Z63" i="6"/>
  <c r="AA63" i="6" s="1"/>
  <c r="W63" i="6"/>
  <c r="V63" i="6"/>
  <c r="U63" i="6"/>
  <c r="Z62" i="6"/>
  <c r="AA62" i="6" s="1"/>
  <c r="W62" i="6"/>
  <c r="V62" i="6"/>
  <c r="U62" i="6"/>
  <c r="Z61" i="6"/>
  <c r="AA61" i="6" s="1"/>
  <c r="W61" i="6"/>
  <c r="V61" i="6"/>
  <c r="U61" i="6"/>
  <c r="Z60" i="6"/>
  <c r="AA60" i="6" s="1"/>
  <c r="W60" i="6"/>
  <c r="V60" i="6"/>
  <c r="U60" i="6"/>
  <c r="Z59" i="6"/>
  <c r="AA59" i="6" s="1"/>
  <c r="W59" i="6"/>
  <c r="V59" i="6"/>
  <c r="U59" i="6"/>
  <c r="Z58" i="6"/>
  <c r="AA58" i="6" s="1"/>
  <c r="W58" i="6"/>
  <c r="V58" i="6"/>
  <c r="U58" i="6"/>
  <c r="Z57" i="6"/>
  <c r="AA57" i="6" s="1"/>
  <c r="W57" i="6"/>
  <c r="V57" i="6"/>
  <c r="U57" i="6"/>
  <c r="Z56" i="6"/>
  <c r="AA56" i="6" s="1"/>
  <c r="W56" i="6"/>
  <c r="V56" i="6"/>
  <c r="U56" i="6"/>
  <c r="Z55" i="6"/>
  <c r="AA55" i="6" s="1"/>
  <c r="W55" i="6"/>
  <c r="V55" i="6"/>
  <c r="U55" i="6"/>
  <c r="Z54" i="6"/>
  <c r="AA54" i="6" s="1"/>
  <c r="W54" i="6"/>
  <c r="V54" i="6"/>
  <c r="U54" i="6"/>
  <c r="Z53" i="6"/>
  <c r="AA53" i="6" s="1"/>
  <c r="W53" i="6"/>
  <c r="V53" i="6"/>
  <c r="U53" i="6"/>
  <c r="Z52" i="6"/>
  <c r="AA52" i="6" s="1"/>
  <c r="W52" i="6"/>
  <c r="V52" i="6"/>
  <c r="U52" i="6"/>
  <c r="Z51" i="6"/>
  <c r="AA51" i="6" s="1"/>
  <c r="W51" i="6"/>
  <c r="V51" i="6"/>
  <c r="U51" i="6"/>
  <c r="Z50" i="6"/>
  <c r="AA50" i="6" s="1"/>
  <c r="W50" i="6"/>
  <c r="V50" i="6"/>
  <c r="U50" i="6"/>
  <c r="Z49" i="6"/>
  <c r="AA49" i="6" s="1"/>
  <c r="U49" i="6"/>
  <c r="W49" i="6" s="1"/>
  <c r="Z48" i="6"/>
  <c r="AA48" i="6" s="1"/>
  <c r="W48" i="6"/>
  <c r="V48" i="6"/>
  <c r="U48" i="6"/>
  <c r="Z47" i="6"/>
  <c r="AA47" i="6" s="1"/>
  <c r="U47" i="6"/>
  <c r="W47" i="6" s="1"/>
  <c r="Z46" i="6"/>
  <c r="AA46" i="6" s="1"/>
  <c r="U46" i="6"/>
  <c r="W46" i="6" s="1"/>
  <c r="Z45" i="6"/>
  <c r="AA45" i="6" s="1"/>
  <c r="U45" i="6"/>
  <c r="W45" i="6" s="1"/>
  <c r="Z44" i="6"/>
  <c r="AA44" i="6" s="1"/>
  <c r="U44" i="6"/>
  <c r="V44" i="6" s="1"/>
  <c r="Z43" i="6"/>
  <c r="AA43" i="6" s="1"/>
  <c r="U43" i="6"/>
  <c r="W43" i="6" s="1"/>
  <c r="Z35" i="6"/>
  <c r="AA35" i="6" s="1"/>
  <c r="U35" i="6"/>
  <c r="W35" i="6" s="1"/>
  <c r="Z34" i="6"/>
  <c r="AA34" i="6" s="1"/>
  <c r="U34" i="6"/>
  <c r="W34" i="6" s="1"/>
  <c r="Z33" i="6"/>
  <c r="AA33" i="6" s="1"/>
  <c r="U33" i="6"/>
  <c r="W33" i="6" s="1"/>
  <c r="Z32" i="6"/>
  <c r="AA32" i="6" s="1"/>
  <c r="U32" i="6"/>
  <c r="W32" i="6" s="1"/>
  <c r="Z31" i="6"/>
  <c r="AA31" i="6" s="1"/>
  <c r="U31" i="6"/>
  <c r="V31" i="6" s="1"/>
  <c r="Z30" i="6"/>
  <c r="AA30" i="6" s="1"/>
  <c r="U30" i="6"/>
  <c r="W30" i="6" s="1"/>
  <c r="Z29" i="6"/>
  <c r="AA29" i="6" s="1"/>
  <c r="U29" i="6"/>
  <c r="W29" i="6" s="1"/>
  <c r="Z28" i="6"/>
  <c r="U28" i="6"/>
  <c r="W28" i="6" s="1"/>
  <c r="Z27" i="6"/>
  <c r="AA27" i="6" s="1"/>
  <c r="U27" i="6"/>
  <c r="W27" i="6" s="1"/>
  <c r="Z26" i="6"/>
  <c r="AA26" i="6" s="1"/>
  <c r="U26" i="6"/>
  <c r="W26" i="6" s="1"/>
  <c r="Z25" i="6"/>
  <c r="U25" i="6"/>
  <c r="W25" i="6" s="1"/>
  <c r="Z24" i="6"/>
  <c r="AA24" i="6" s="1"/>
  <c r="U24" i="6"/>
  <c r="W24" i="6" s="1"/>
  <c r="Z23" i="6"/>
  <c r="AA23" i="6" s="1"/>
  <c r="U23" i="6"/>
  <c r="V23" i="6" s="1"/>
  <c r="Z22" i="6"/>
  <c r="U22" i="6"/>
  <c r="W22" i="6" s="1"/>
  <c r="Z21" i="6"/>
  <c r="AA21" i="6" s="1"/>
  <c r="U21" i="6"/>
  <c r="W21" i="6" s="1"/>
  <c r="Z20" i="6"/>
  <c r="AA20" i="6" s="1"/>
  <c r="U20" i="6"/>
  <c r="W20" i="6" s="1"/>
  <c r="Z19" i="6"/>
  <c r="AA19" i="6" s="1"/>
  <c r="U19" i="6"/>
  <c r="W19" i="6" s="1"/>
  <c r="Z18" i="6"/>
  <c r="U18" i="6"/>
  <c r="V18" i="6" s="1"/>
  <c r="Z17" i="6"/>
  <c r="AA17" i="6" s="1"/>
  <c r="U17" i="6"/>
  <c r="W17" i="6" s="1"/>
  <c r="Z16" i="6"/>
  <c r="AA16" i="6" s="1"/>
  <c r="U16" i="6"/>
  <c r="W16" i="6" s="1"/>
  <c r="Z15" i="6"/>
  <c r="AA15" i="6" s="1"/>
  <c r="U15" i="6"/>
  <c r="W15" i="6" s="1"/>
  <c r="Z14" i="6"/>
  <c r="AA14" i="6" s="1"/>
  <c r="U14" i="6"/>
  <c r="W14" i="6" s="1"/>
  <c r="Z13" i="6"/>
  <c r="AA13" i="6" s="1"/>
  <c r="U13" i="6"/>
  <c r="W13" i="6" s="1"/>
  <c r="Z12" i="6"/>
  <c r="U12" i="6"/>
  <c r="W12" i="6" s="1"/>
  <c r="Z11" i="6"/>
  <c r="AA11" i="6" s="1"/>
  <c r="U11" i="6"/>
  <c r="W11" i="6" s="1"/>
  <c r="Z10" i="6"/>
  <c r="AA10" i="6" s="1"/>
  <c r="U10" i="6"/>
  <c r="W10" i="6" s="1"/>
  <c r="Z9" i="6"/>
  <c r="AA9" i="6" s="1"/>
  <c r="U9" i="6"/>
  <c r="W9" i="6" s="1"/>
  <c r="Z8" i="6"/>
  <c r="AA8" i="6" s="1"/>
  <c r="U8" i="6"/>
  <c r="W8" i="6" s="1"/>
  <c r="Z7" i="6"/>
  <c r="AA7" i="6" s="1"/>
  <c r="U7" i="6"/>
  <c r="V7" i="6" s="1"/>
  <c r="Z6" i="6"/>
  <c r="AA6" i="6" s="1"/>
  <c r="U6" i="6"/>
  <c r="W6" i="6" s="1"/>
  <c r="Z5" i="6"/>
  <c r="U5" i="6"/>
  <c r="W5" i="6" s="1"/>
  <c r="W292" i="5"/>
  <c r="V292" i="5"/>
  <c r="U292" i="5"/>
  <c r="W291" i="5"/>
  <c r="V291" i="5"/>
  <c r="U291" i="5"/>
  <c r="W290" i="5"/>
  <c r="V290" i="5"/>
  <c r="U290" i="5"/>
  <c r="W289" i="5"/>
  <c r="V289" i="5"/>
  <c r="U289" i="5"/>
  <c r="W288" i="5"/>
  <c r="V288" i="5"/>
  <c r="U288" i="5"/>
  <c r="W287" i="5"/>
  <c r="V287" i="5"/>
  <c r="U287" i="5"/>
  <c r="W286" i="5"/>
  <c r="V286" i="5"/>
  <c r="U286" i="5"/>
  <c r="W285" i="5"/>
  <c r="V285" i="5"/>
  <c r="U285" i="5"/>
  <c r="W284" i="5"/>
  <c r="V284" i="5"/>
  <c r="U284" i="5"/>
  <c r="W283" i="5"/>
  <c r="V283" i="5"/>
  <c r="U283" i="5"/>
  <c r="W282" i="5"/>
  <c r="V282" i="5"/>
  <c r="U282" i="5"/>
  <c r="W281" i="5"/>
  <c r="V281" i="5"/>
  <c r="U281" i="5"/>
  <c r="W280" i="5"/>
  <c r="V280" i="5"/>
  <c r="U280" i="5"/>
  <c r="W279" i="5"/>
  <c r="V279" i="5"/>
  <c r="U279" i="5"/>
  <c r="W278" i="5"/>
  <c r="V278" i="5"/>
  <c r="U278" i="5"/>
  <c r="W277" i="5"/>
  <c r="V277" i="5"/>
  <c r="U277" i="5"/>
  <c r="W276" i="5"/>
  <c r="V276" i="5"/>
  <c r="U276" i="5"/>
  <c r="W275" i="5"/>
  <c r="V275" i="5"/>
  <c r="U275" i="5"/>
  <c r="W274" i="5"/>
  <c r="V274" i="5"/>
  <c r="U274" i="5"/>
  <c r="W273" i="5"/>
  <c r="V273" i="5"/>
  <c r="U273" i="5"/>
  <c r="W272" i="5"/>
  <c r="V272" i="5"/>
  <c r="U272" i="5"/>
  <c r="W271" i="5"/>
  <c r="V271" i="5"/>
  <c r="U271" i="5"/>
  <c r="W270" i="5"/>
  <c r="V270" i="5"/>
  <c r="U270" i="5"/>
  <c r="W269" i="5"/>
  <c r="V269" i="5"/>
  <c r="U269" i="5"/>
  <c r="W268" i="5"/>
  <c r="V268" i="5"/>
  <c r="U268" i="5"/>
  <c r="W267" i="5"/>
  <c r="V267" i="5"/>
  <c r="U267" i="5"/>
  <c r="W266" i="5"/>
  <c r="V266" i="5"/>
  <c r="U266" i="5"/>
  <c r="W265" i="5"/>
  <c r="V265" i="5"/>
  <c r="U265" i="5"/>
  <c r="W264" i="5"/>
  <c r="V264" i="5"/>
  <c r="U264" i="5"/>
  <c r="W263" i="5"/>
  <c r="V263" i="5"/>
  <c r="U263" i="5"/>
  <c r="W262" i="5"/>
  <c r="V262" i="5"/>
  <c r="U262" i="5"/>
  <c r="W261" i="5"/>
  <c r="V261" i="5"/>
  <c r="U261" i="5"/>
  <c r="W260" i="5"/>
  <c r="V260" i="5"/>
  <c r="U260" i="5"/>
  <c r="W259" i="5"/>
  <c r="V259" i="5"/>
  <c r="U259" i="5"/>
  <c r="W258" i="5"/>
  <c r="V258" i="5"/>
  <c r="U258" i="5"/>
  <c r="W257" i="5"/>
  <c r="V257" i="5"/>
  <c r="U257" i="5"/>
  <c r="W256" i="5"/>
  <c r="V256" i="5"/>
  <c r="U256" i="5"/>
  <c r="W255" i="5"/>
  <c r="V255" i="5"/>
  <c r="U255" i="5"/>
  <c r="W254" i="5"/>
  <c r="V254" i="5"/>
  <c r="U254" i="5"/>
  <c r="W253" i="5"/>
  <c r="V253" i="5"/>
  <c r="U253" i="5"/>
  <c r="W252" i="5"/>
  <c r="V252" i="5"/>
  <c r="U252" i="5"/>
  <c r="W251" i="5"/>
  <c r="V251" i="5"/>
  <c r="U251" i="5"/>
  <c r="W250" i="5"/>
  <c r="V250" i="5"/>
  <c r="U250" i="5"/>
  <c r="W249" i="5"/>
  <c r="V249" i="5"/>
  <c r="U249" i="5"/>
  <c r="W248" i="5"/>
  <c r="V248" i="5"/>
  <c r="U248" i="5"/>
  <c r="W247" i="5"/>
  <c r="V247" i="5"/>
  <c r="U247" i="5"/>
  <c r="W246" i="5"/>
  <c r="V246" i="5"/>
  <c r="U246" i="5"/>
  <c r="W245" i="5"/>
  <c r="V245" i="5"/>
  <c r="U245" i="5"/>
  <c r="W244" i="5"/>
  <c r="V244" i="5"/>
  <c r="U244" i="5"/>
  <c r="W243" i="5"/>
  <c r="V243" i="5"/>
  <c r="U243" i="5"/>
  <c r="W242" i="5"/>
  <c r="V242" i="5"/>
  <c r="U242" i="5"/>
  <c r="W241" i="5"/>
  <c r="V241" i="5"/>
  <c r="U241" i="5"/>
  <c r="W240" i="5"/>
  <c r="V240" i="5"/>
  <c r="U240" i="5"/>
  <c r="W239" i="5"/>
  <c r="V239" i="5"/>
  <c r="U239" i="5"/>
  <c r="W238" i="5"/>
  <c r="V238" i="5"/>
  <c r="U238" i="5"/>
  <c r="W237" i="5"/>
  <c r="V237" i="5"/>
  <c r="U237" i="5"/>
  <c r="W236" i="5"/>
  <c r="V236" i="5"/>
  <c r="U236" i="5"/>
  <c r="W235" i="5"/>
  <c r="V235" i="5"/>
  <c r="U235" i="5"/>
  <c r="W234" i="5"/>
  <c r="V234" i="5"/>
  <c r="U234" i="5"/>
  <c r="W233" i="5"/>
  <c r="V233" i="5"/>
  <c r="U233" i="5"/>
  <c r="W232" i="5"/>
  <c r="V232" i="5"/>
  <c r="U232" i="5"/>
  <c r="W231" i="5"/>
  <c r="V231" i="5"/>
  <c r="U231" i="5"/>
  <c r="W230" i="5"/>
  <c r="V230" i="5"/>
  <c r="U230" i="5"/>
  <c r="W229" i="5"/>
  <c r="V229" i="5"/>
  <c r="U229" i="5"/>
  <c r="W228" i="5"/>
  <c r="V228" i="5"/>
  <c r="U228" i="5"/>
  <c r="W227" i="5"/>
  <c r="V227" i="5"/>
  <c r="U227" i="5"/>
  <c r="W226" i="5"/>
  <c r="V226" i="5"/>
  <c r="U226" i="5"/>
  <c r="W225" i="5"/>
  <c r="V225" i="5"/>
  <c r="U225" i="5"/>
  <c r="W224" i="5"/>
  <c r="V224" i="5"/>
  <c r="U224" i="5"/>
  <c r="W223" i="5"/>
  <c r="V223" i="5"/>
  <c r="U223" i="5"/>
  <c r="W222" i="5"/>
  <c r="V222" i="5"/>
  <c r="U222" i="5"/>
  <c r="W221" i="5"/>
  <c r="V221" i="5"/>
  <c r="U221" i="5"/>
  <c r="W220" i="5"/>
  <c r="V220" i="5"/>
  <c r="U220" i="5"/>
  <c r="W219" i="5"/>
  <c r="V219" i="5"/>
  <c r="U219" i="5"/>
  <c r="W218" i="5"/>
  <c r="V218" i="5"/>
  <c r="U218" i="5"/>
  <c r="W217" i="5"/>
  <c r="V217" i="5"/>
  <c r="U217" i="5"/>
  <c r="W216" i="5"/>
  <c r="V216" i="5"/>
  <c r="U216" i="5"/>
  <c r="W215" i="5"/>
  <c r="V215" i="5"/>
  <c r="U215" i="5"/>
  <c r="W214" i="5"/>
  <c r="V214" i="5"/>
  <c r="U214" i="5"/>
  <c r="W213" i="5"/>
  <c r="V213" i="5"/>
  <c r="U213" i="5"/>
  <c r="W212" i="5"/>
  <c r="V212" i="5"/>
  <c r="U212" i="5"/>
  <c r="W211" i="5"/>
  <c r="V211" i="5"/>
  <c r="U211" i="5"/>
  <c r="W210" i="5"/>
  <c r="V210" i="5"/>
  <c r="U210" i="5"/>
  <c r="W209" i="5"/>
  <c r="V209" i="5"/>
  <c r="U209" i="5"/>
  <c r="W208" i="5"/>
  <c r="V208" i="5"/>
  <c r="U208" i="5"/>
  <c r="W207" i="5"/>
  <c r="V207" i="5"/>
  <c r="U207" i="5"/>
  <c r="W206" i="5"/>
  <c r="V206" i="5"/>
  <c r="U206" i="5"/>
  <c r="W205" i="5"/>
  <c r="V205" i="5"/>
  <c r="U205" i="5"/>
  <c r="W204" i="5"/>
  <c r="V204" i="5"/>
  <c r="U204" i="5"/>
  <c r="W203" i="5"/>
  <c r="V203" i="5"/>
  <c r="U203" i="5"/>
  <c r="W202" i="5"/>
  <c r="V202" i="5"/>
  <c r="U202" i="5"/>
  <c r="W201" i="5"/>
  <c r="V201" i="5"/>
  <c r="U201" i="5"/>
  <c r="W200" i="5"/>
  <c r="V200" i="5"/>
  <c r="U200" i="5"/>
  <c r="W199" i="5"/>
  <c r="V199" i="5"/>
  <c r="U199" i="5"/>
  <c r="W198" i="5"/>
  <c r="V198" i="5"/>
  <c r="U198" i="5"/>
  <c r="W197" i="5"/>
  <c r="V197" i="5"/>
  <c r="U197" i="5"/>
  <c r="W196" i="5"/>
  <c r="V196" i="5"/>
  <c r="U196" i="5"/>
  <c r="W195" i="5"/>
  <c r="V195" i="5"/>
  <c r="U195" i="5"/>
  <c r="W194" i="5"/>
  <c r="V194" i="5"/>
  <c r="U194" i="5"/>
  <c r="W193" i="5"/>
  <c r="V193" i="5"/>
  <c r="U193" i="5"/>
  <c r="W192" i="5"/>
  <c r="V192" i="5"/>
  <c r="U192" i="5"/>
  <c r="W191" i="5"/>
  <c r="V191" i="5"/>
  <c r="U191" i="5"/>
  <c r="W190" i="5"/>
  <c r="V190" i="5"/>
  <c r="U190" i="5"/>
  <c r="W189" i="5"/>
  <c r="V189" i="5"/>
  <c r="U189" i="5"/>
  <c r="W188" i="5"/>
  <c r="V188" i="5"/>
  <c r="U188" i="5"/>
  <c r="W187" i="5"/>
  <c r="V187" i="5"/>
  <c r="U187" i="5"/>
  <c r="W186" i="5"/>
  <c r="V186" i="5"/>
  <c r="U186" i="5"/>
  <c r="W185" i="5"/>
  <c r="V185" i="5"/>
  <c r="U185" i="5"/>
  <c r="W184" i="5"/>
  <c r="V184" i="5"/>
  <c r="U184" i="5"/>
  <c r="W183" i="5"/>
  <c r="V183" i="5"/>
  <c r="U183" i="5"/>
  <c r="W182" i="5"/>
  <c r="V182" i="5"/>
  <c r="U182" i="5"/>
  <c r="W181" i="5"/>
  <c r="V181" i="5"/>
  <c r="U181" i="5"/>
  <c r="W180" i="5"/>
  <c r="V180" i="5"/>
  <c r="U180" i="5"/>
  <c r="W179" i="5"/>
  <c r="V179" i="5"/>
  <c r="U179" i="5"/>
  <c r="W178" i="5"/>
  <c r="V178" i="5"/>
  <c r="U178" i="5"/>
  <c r="W177" i="5"/>
  <c r="V177" i="5"/>
  <c r="U177" i="5"/>
  <c r="W176" i="5"/>
  <c r="V176" i="5"/>
  <c r="U176" i="5"/>
  <c r="W175" i="5"/>
  <c r="V175" i="5"/>
  <c r="U175" i="5"/>
  <c r="W174" i="5"/>
  <c r="V174" i="5"/>
  <c r="U174" i="5"/>
  <c r="W173" i="5"/>
  <c r="V173" i="5"/>
  <c r="U173" i="5"/>
  <c r="W172" i="5"/>
  <c r="V172" i="5"/>
  <c r="U172" i="5"/>
  <c r="W171" i="5"/>
  <c r="V171" i="5"/>
  <c r="U171" i="5"/>
  <c r="W170" i="5"/>
  <c r="V170" i="5"/>
  <c r="U170" i="5"/>
  <c r="W169" i="5"/>
  <c r="V169" i="5"/>
  <c r="U169" i="5"/>
  <c r="W168" i="5"/>
  <c r="V168" i="5"/>
  <c r="U168" i="5"/>
  <c r="W167" i="5"/>
  <c r="V167" i="5"/>
  <c r="U167" i="5"/>
  <c r="W166" i="5"/>
  <c r="V166" i="5"/>
  <c r="U166" i="5"/>
  <c r="W165" i="5"/>
  <c r="V165" i="5"/>
  <c r="U165" i="5"/>
  <c r="W164" i="5"/>
  <c r="V164" i="5"/>
  <c r="U164" i="5"/>
  <c r="W163" i="5"/>
  <c r="V163" i="5"/>
  <c r="U163" i="5"/>
  <c r="W162" i="5"/>
  <c r="V162" i="5"/>
  <c r="U162" i="5"/>
  <c r="W161" i="5"/>
  <c r="V161" i="5"/>
  <c r="U161" i="5"/>
  <c r="W160" i="5"/>
  <c r="V160" i="5"/>
  <c r="U160" i="5"/>
  <c r="W159" i="5"/>
  <c r="V159" i="5"/>
  <c r="U159" i="5"/>
  <c r="W158" i="5"/>
  <c r="V158" i="5"/>
  <c r="U158" i="5"/>
  <c r="W157" i="5"/>
  <c r="V157" i="5"/>
  <c r="U157" i="5"/>
  <c r="W156" i="5"/>
  <c r="V156" i="5"/>
  <c r="U156" i="5"/>
  <c r="W155" i="5"/>
  <c r="V155" i="5"/>
  <c r="U155" i="5"/>
  <c r="W154" i="5"/>
  <c r="V154" i="5"/>
  <c r="U154" i="5"/>
  <c r="W153" i="5"/>
  <c r="V153" i="5"/>
  <c r="U153" i="5"/>
  <c r="W152" i="5"/>
  <c r="V152" i="5"/>
  <c r="U152" i="5"/>
  <c r="W151" i="5"/>
  <c r="V151" i="5"/>
  <c r="U151" i="5"/>
  <c r="W150" i="5"/>
  <c r="V150" i="5"/>
  <c r="U150" i="5"/>
  <c r="W149" i="5"/>
  <c r="V149" i="5"/>
  <c r="U149" i="5"/>
  <c r="W148" i="5"/>
  <c r="V148" i="5"/>
  <c r="U148" i="5"/>
  <c r="W147" i="5"/>
  <c r="V147" i="5"/>
  <c r="U147" i="5"/>
  <c r="W146" i="5"/>
  <c r="V146" i="5"/>
  <c r="U146" i="5"/>
  <c r="W145" i="5"/>
  <c r="V145" i="5"/>
  <c r="U145" i="5"/>
  <c r="W144" i="5"/>
  <c r="V144" i="5"/>
  <c r="U144" i="5"/>
  <c r="W143" i="5"/>
  <c r="V143" i="5"/>
  <c r="U143" i="5"/>
  <c r="W142" i="5"/>
  <c r="V142" i="5"/>
  <c r="U142" i="5"/>
  <c r="W141" i="5"/>
  <c r="V141" i="5"/>
  <c r="U141" i="5"/>
  <c r="W140" i="5"/>
  <c r="V140" i="5"/>
  <c r="U140" i="5"/>
  <c r="W139" i="5"/>
  <c r="V139" i="5"/>
  <c r="U139" i="5"/>
  <c r="W138" i="5"/>
  <c r="V138" i="5"/>
  <c r="U138" i="5"/>
  <c r="W137" i="5"/>
  <c r="V137" i="5"/>
  <c r="U137" i="5"/>
  <c r="W136" i="5"/>
  <c r="V136" i="5"/>
  <c r="U136" i="5"/>
  <c r="W135" i="5"/>
  <c r="V135" i="5"/>
  <c r="U135" i="5"/>
  <c r="W134" i="5"/>
  <c r="V134" i="5"/>
  <c r="U134" i="5"/>
  <c r="W133" i="5"/>
  <c r="V133" i="5"/>
  <c r="U133" i="5"/>
  <c r="W132" i="5"/>
  <c r="V132" i="5"/>
  <c r="U132" i="5"/>
  <c r="W131" i="5"/>
  <c r="V131" i="5"/>
  <c r="U131" i="5"/>
  <c r="W130" i="5"/>
  <c r="V130" i="5"/>
  <c r="U130" i="5"/>
  <c r="W129" i="5"/>
  <c r="V129" i="5"/>
  <c r="U129" i="5"/>
  <c r="W128" i="5"/>
  <c r="V128" i="5"/>
  <c r="U128" i="5"/>
  <c r="W127" i="5"/>
  <c r="V127" i="5"/>
  <c r="U127" i="5"/>
  <c r="W126" i="5"/>
  <c r="V126" i="5"/>
  <c r="U126" i="5"/>
  <c r="W125" i="5"/>
  <c r="V125" i="5"/>
  <c r="U125" i="5"/>
  <c r="W124" i="5"/>
  <c r="V124" i="5"/>
  <c r="U124" i="5"/>
  <c r="W123" i="5"/>
  <c r="V123" i="5"/>
  <c r="U123" i="5"/>
  <c r="W122" i="5"/>
  <c r="V122" i="5"/>
  <c r="U122" i="5"/>
  <c r="W121" i="5"/>
  <c r="V121" i="5"/>
  <c r="U121" i="5"/>
  <c r="W120" i="5"/>
  <c r="V120" i="5"/>
  <c r="U120" i="5"/>
  <c r="W119" i="5"/>
  <c r="V119" i="5"/>
  <c r="U119" i="5"/>
  <c r="W118" i="5"/>
  <c r="V118" i="5"/>
  <c r="U118" i="5"/>
  <c r="W117" i="5"/>
  <c r="V117" i="5"/>
  <c r="U117" i="5"/>
  <c r="W116" i="5"/>
  <c r="V116" i="5"/>
  <c r="U116" i="5"/>
  <c r="W115" i="5"/>
  <c r="V115" i="5"/>
  <c r="U115" i="5"/>
  <c r="W114" i="5"/>
  <c r="V114" i="5"/>
  <c r="U114" i="5"/>
  <c r="W113" i="5"/>
  <c r="V113" i="5"/>
  <c r="U113" i="5"/>
  <c r="W112" i="5"/>
  <c r="V112" i="5"/>
  <c r="U112" i="5"/>
  <c r="W111" i="5"/>
  <c r="V111" i="5"/>
  <c r="U111" i="5"/>
  <c r="W110" i="5"/>
  <c r="V110" i="5"/>
  <c r="U110" i="5"/>
  <c r="W109" i="5"/>
  <c r="V109" i="5"/>
  <c r="U109" i="5"/>
  <c r="W108" i="5"/>
  <c r="V108" i="5"/>
  <c r="U108" i="5"/>
  <c r="W107" i="5"/>
  <c r="V107" i="5"/>
  <c r="U107" i="5"/>
  <c r="W106" i="5"/>
  <c r="V106" i="5"/>
  <c r="U106" i="5"/>
  <c r="W105" i="5"/>
  <c r="V105" i="5"/>
  <c r="U105" i="5"/>
  <c r="W104" i="5"/>
  <c r="V104" i="5"/>
  <c r="U104" i="5"/>
  <c r="W103" i="5"/>
  <c r="V103" i="5"/>
  <c r="U103" i="5"/>
  <c r="W102" i="5"/>
  <c r="V102" i="5"/>
  <c r="U102" i="5"/>
  <c r="W101" i="5"/>
  <c r="V101" i="5"/>
  <c r="U101" i="5"/>
  <c r="W100" i="5"/>
  <c r="V100" i="5"/>
  <c r="U100" i="5"/>
  <c r="W99" i="5"/>
  <c r="V99" i="5"/>
  <c r="U99" i="5"/>
  <c r="W98" i="5"/>
  <c r="V98" i="5"/>
  <c r="U98" i="5"/>
  <c r="W97" i="5"/>
  <c r="V97" i="5"/>
  <c r="U97" i="5"/>
  <c r="W96" i="5"/>
  <c r="V96" i="5"/>
  <c r="U96" i="5"/>
  <c r="W95" i="5"/>
  <c r="V95" i="5"/>
  <c r="U95" i="5"/>
  <c r="W94" i="5"/>
  <c r="V94" i="5"/>
  <c r="U94" i="5"/>
  <c r="W93" i="5"/>
  <c r="V93" i="5"/>
  <c r="U93" i="5"/>
  <c r="W92" i="5"/>
  <c r="V92" i="5"/>
  <c r="U92" i="5"/>
  <c r="W91" i="5"/>
  <c r="V91" i="5"/>
  <c r="U91" i="5"/>
  <c r="W90" i="5"/>
  <c r="V90" i="5"/>
  <c r="U90" i="5"/>
  <c r="W89" i="5"/>
  <c r="V89" i="5"/>
  <c r="U89" i="5"/>
  <c r="W88" i="5"/>
  <c r="V88" i="5"/>
  <c r="U88" i="5"/>
  <c r="W87" i="5"/>
  <c r="V87" i="5"/>
  <c r="U87" i="5"/>
  <c r="W86" i="5"/>
  <c r="V86" i="5"/>
  <c r="U86" i="5"/>
  <c r="W85" i="5"/>
  <c r="V85" i="5"/>
  <c r="U85" i="5"/>
  <c r="W84" i="5"/>
  <c r="V84" i="5"/>
  <c r="U84" i="5"/>
  <c r="W83" i="5"/>
  <c r="V83" i="5"/>
  <c r="U83" i="5"/>
  <c r="W82" i="5"/>
  <c r="V82" i="5"/>
  <c r="U82" i="5"/>
  <c r="W81" i="5"/>
  <c r="V81" i="5"/>
  <c r="U81" i="5"/>
  <c r="W80" i="5"/>
  <c r="V80" i="5"/>
  <c r="U80" i="5"/>
  <c r="W79" i="5"/>
  <c r="V79" i="5"/>
  <c r="U79" i="5"/>
  <c r="U78" i="5"/>
  <c r="W78" i="5" s="1"/>
  <c r="U77" i="5"/>
  <c r="W77" i="5" s="1"/>
  <c r="U76" i="5"/>
  <c r="V76" i="5" s="1"/>
  <c r="U75" i="5"/>
  <c r="V75" i="5" s="1"/>
  <c r="U74" i="5"/>
  <c r="W74" i="5" s="1"/>
  <c r="U73" i="5"/>
  <c r="W73" i="5" s="1"/>
  <c r="U72" i="5"/>
  <c r="W72" i="5" s="1"/>
  <c r="W71" i="5"/>
  <c r="U71" i="5"/>
  <c r="V71" i="5" s="1"/>
  <c r="U70" i="5"/>
  <c r="W70" i="5" s="1"/>
  <c r="U69" i="5"/>
  <c r="W69" i="5" s="1"/>
  <c r="W68" i="5"/>
  <c r="U68" i="5"/>
  <c r="V68" i="5" s="1"/>
  <c r="W67" i="5"/>
  <c r="U67" i="5"/>
  <c r="V67" i="5" s="1"/>
  <c r="U52" i="5"/>
  <c r="W52" i="5" s="1"/>
  <c r="U51" i="5"/>
  <c r="W51" i="5" s="1"/>
  <c r="U50" i="5"/>
  <c r="V50" i="5" s="1"/>
  <c r="U49" i="5"/>
  <c r="W49" i="5" s="1"/>
  <c r="U48" i="5"/>
  <c r="W48" i="5" s="1"/>
  <c r="U47" i="5"/>
  <c r="W47" i="5" s="1"/>
  <c r="U46" i="5"/>
  <c r="W46" i="5" s="1"/>
  <c r="U45" i="5"/>
  <c r="W45" i="5" s="1"/>
  <c r="U44" i="5"/>
  <c r="W44" i="5" s="1"/>
  <c r="U43" i="5"/>
  <c r="W43" i="5" s="1"/>
  <c r="U42" i="5"/>
  <c r="W42" i="5" s="1"/>
  <c r="U41" i="5"/>
  <c r="W41" i="5" s="1"/>
  <c r="U40" i="5"/>
  <c r="W40" i="5" s="1"/>
  <c r="U39" i="5"/>
  <c r="W39" i="5" s="1"/>
  <c r="U38" i="5"/>
  <c r="W38" i="5" s="1"/>
  <c r="U37" i="5"/>
  <c r="W37" i="5" s="1"/>
  <c r="U36" i="5"/>
  <c r="V36" i="5" s="1"/>
  <c r="U35" i="5"/>
  <c r="V35" i="5" s="1"/>
  <c r="U34" i="5"/>
  <c r="W34" i="5" s="1"/>
  <c r="U33" i="5"/>
  <c r="W33" i="5" s="1"/>
  <c r="U32" i="5"/>
  <c r="W32" i="5" s="1"/>
  <c r="U31" i="5"/>
  <c r="W31" i="5" s="1"/>
  <c r="U30" i="5"/>
  <c r="W30" i="5" s="1"/>
  <c r="U29" i="5"/>
  <c r="W29" i="5" s="1"/>
  <c r="U28" i="5"/>
  <c r="W28" i="5" s="1"/>
  <c r="U27" i="5"/>
  <c r="V27" i="5" s="1"/>
  <c r="U26" i="5"/>
  <c r="W26" i="5" s="1"/>
  <c r="U25" i="5"/>
  <c r="V25" i="5" s="1"/>
  <c r="U24" i="5"/>
  <c r="V24" i="5" s="1"/>
  <c r="U23" i="5"/>
  <c r="W23" i="5" s="1"/>
  <c r="U22" i="5"/>
  <c r="V22" i="5" s="1"/>
  <c r="U21" i="5"/>
  <c r="W21" i="5" s="1"/>
  <c r="U20" i="5"/>
  <c r="V20" i="5" s="1"/>
  <c r="U19" i="5"/>
  <c r="V19" i="5" s="1"/>
  <c r="U18" i="5"/>
  <c r="W18" i="5" s="1"/>
  <c r="U17" i="5"/>
  <c r="W17" i="5" s="1"/>
  <c r="U16" i="5"/>
  <c r="V16" i="5" s="1"/>
  <c r="U15" i="5"/>
  <c r="W15" i="5" s="1"/>
  <c r="U14" i="5"/>
  <c r="V14" i="5" s="1"/>
  <c r="U13" i="5"/>
  <c r="W13" i="5" s="1"/>
  <c r="U12" i="5"/>
  <c r="W12" i="5" s="1"/>
  <c r="U11" i="5"/>
  <c r="V11" i="5" s="1"/>
  <c r="U10" i="5"/>
  <c r="W10" i="5" s="1"/>
  <c r="U9" i="5"/>
  <c r="W9" i="5" s="1"/>
  <c r="U8" i="5"/>
  <c r="W8" i="5" s="1"/>
  <c r="U7" i="5"/>
  <c r="W7" i="5" s="1"/>
  <c r="U6" i="5"/>
  <c r="W6" i="5" s="1"/>
  <c r="Z5" i="5"/>
  <c r="U5" i="5"/>
  <c r="W5" i="5" s="1"/>
  <c r="W244" i="4"/>
  <c r="W243" i="4"/>
  <c r="U217" i="4"/>
  <c r="U216" i="4"/>
  <c r="U215" i="4"/>
  <c r="Z318" i="3"/>
  <c r="AA318" i="3" s="1"/>
  <c r="W318" i="3"/>
  <c r="V318" i="3"/>
  <c r="U318" i="3"/>
  <c r="Z317" i="3"/>
  <c r="AA317" i="3" s="1"/>
  <c r="W317" i="3"/>
  <c r="V317" i="3"/>
  <c r="U317" i="3"/>
  <c r="Z316" i="3"/>
  <c r="W316" i="3"/>
  <c r="V316" i="3"/>
  <c r="U316" i="3"/>
  <c r="Z315" i="3"/>
  <c r="W315" i="3"/>
  <c r="V315" i="3"/>
  <c r="U315" i="3"/>
  <c r="Z314" i="3"/>
  <c r="W314" i="3"/>
  <c r="V314" i="3"/>
  <c r="U314" i="3"/>
  <c r="Z313" i="3"/>
  <c r="W313" i="3"/>
  <c r="V313" i="3"/>
  <c r="U313" i="3"/>
  <c r="Z312" i="3"/>
  <c r="W312" i="3"/>
  <c r="V312" i="3"/>
  <c r="U312" i="3"/>
  <c r="Z311" i="3"/>
  <c r="W311" i="3"/>
  <c r="V311" i="3"/>
  <c r="U311" i="3"/>
  <c r="Z310" i="3"/>
  <c r="W310" i="3"/>
  <c r="V310" i="3"/>
  <c r="U310" i="3"/>
  <c r="Z309" i="3"/>
  <c r="W309" i="3"/>
  <c r="V309" i="3"/>
  <c r="U309" i="3"/>
  <c r="W308" i="3"/>
  <c r="V308" i="3"/>
  <c r="U308" i="3"/>
  <c r="W307" i="3"/>
  <c r="V307" i="3"/>
  <c r="U307" i="3"/>
  <c r="W306" i="3"/>
  <c r="V306" i="3"/>
  <c r="U306" i="3"/>
  <c r="W305" i="3"/>
  <c r="V305" i="3"/>
  <c r="U305" i="3"/>
  <c r="W304" i="3"/>
  <c r="V304" i="3"/>
  <c r="U304" i="3"/>
  <c r="W303" i="3"/>
  <c r="V303" i="3"/>
  <c r="U303" i="3"/>
  <c r="W302" i="3"/>
  <c r="V302" i="3"/>
  <c r="U302" i="3"/>
  <c r="W301" i="3"/>
  <c r="V301" i="3"/>
  <c r="U301" i="3"/>
  <c r="W300" i="3"/>
  <c r="V300" i="3"/>
  <c r="U300" i="3"/>
  <c r="W299" i="3"/>
  <c r="V299" i="3"/>
  <c r="U299" i="3"/>
  <c r="W298" i="3"/>
  <c r="V298" i="3"/>
  <c r="U298" i="3"/>
  <c r="W297" i="3"/>
  <c r="V297" i="3"/>
  <c r="U297" i="3"/>
  <c r="W296" i="3"/>
  <c r="V296" i="3"/>
  <c r="U296" i="3"/>
  <c r="W295" i="3"/>
  <c r="V295" i="3"/>
  <c r="U295" i="3"/>
  <c r="W294" i="3"/>
  <c r="V294" i="3"/>
  <c r="U294" i="3"/>
  <c r="W293" i="3"/>
  <c r="V293" i="3"/>
  <c r="U293" i="3"/>
  <c r="W292" i="3"/>
  <c r="V292" i="3"/>
  <c r="U292" i="3"/>
  <c r="W291" i="3"/>
  <c r="V291" i="3"/>
  <c r="U291" i="3"/>
  <c r="W290" i="3"/>
  <c r="V290" i="3"/>
  <c r="U290" i="3"/>
  <c r="W289" i="3"/>
  <c r="V289" i="3"/>
  <c r="U289" i="3"/>
  <c r="W288" i="3"/>
  <c r="V288" i="3"/>
  <c r="U288" i="3"/>
  <c r="W287" i="3"/>
  <c r="V287" i="3"/>
  <c r="U287" i="3"/>
  <c r="W286" i="3"/>
  <c r="V286" i="3"/>
  <c r="U286" i="3"/>
  <c r="W285" i="3"/>
  <c r="V285" i="3"/>
  <c r="U285" i="3"/>
  <c r="W284" i="3"/>
  <c r="V284" i="3"/>
  <c r="U284" i="3"/>
  <c r="W283" i="3"/>
  <c r="V283" i="3"/>
  <c r="U283" i="3"/>
  <c r="W282" i="3"/>
  <c r="V282" i="3"/>
  <c r="U282" i="3"/>
  <c r="W281" i="3"/>
  <c r="V281" i="3"/>
  <c r="U281" i="3"/>
  <c r="W280" i="3"/>
  <c r="V280" i="3"/>
  <c r="U280" i="3"/>
  <c r="W279" i="3"/>
  <c r="V279" i="3"/>
  <c r="U279" i="3"/>
  <c r="W278" i="3"/>
  <c r="V278" i="3"/>
  <c r="U278" i="3"/>
  <c r="W277" i="3"/>
  <c r="V277" i="3"/>
  <c r="U277" i="3"/>
  <c r="W276" i="3"/>
  <c r="V276" i="3"/>
  <c r="U276" i="3"/>
  <c r="W275" i="3"/>
  <c r="V275" i="3"/>
  <c r="U275" i="3"/>
  <c r="W274" i="3"/>
  <c r="V274" i="3"/>
  <c r="U274" i="3"/>
  <c r="W273" i="3"/>
  <c r="V273" i="3"/>
  <c r="U273" i="3"/>
  <c r="W272" i="3"/>
  <c r="V272" i="3"/>
  <c r="U272" i="3"/>
  <c r="W271" i="3"/>
  <c r="V271" i="3"/>
  <c r="U271" i="3"/>
  <c r="W270" i="3"/>
  <c r="V270" i="3"/>
  <c r="U270" i="3"/>
  <c r="W269" i="3"/>
  <c r="V269" i="3"/>
  <c r="U269" i="3"/>
  <c r="W268" i="3"/>
  <c r="V268" i="3"/>
  <c r="U268" i="3"/>
  <c r="W267" i="3"/>
  <c r="V267" i="3"/>
  <c r="U267" i="3"/>
  <c r="W266" i="3"/>
  <c r="V266" i="3"/>
  <c r="U266" i="3"/>
  <c r="W265" i="3"/>
  <c r="V265" i="3"/>
  <c r="U265" i="3"/>
  <c r="W264" i="3"/>
  <c r="V264" i="3"/>
  <c r="U264" i="3"/>
  <c r="W263" i="3"/>
  <c r="V263" i="3"/>
  <c r="U263" i="3"/>
  <c r="W262" i="3"/>
  <c r="V262" i="3"/>
  <c r="U262" i="3"/>
  <c r="W261" i="3"/>
  <c r="V261" i="3"/>
  <c r="U261" i="3"/>
  <c r="W260" i="3"/>
  <c r="V260" i="3"/>
  <c r="U260" i="3"/>
  <c r="W259" i="3"/>
  <c r="V259" i="3"/>
  <c r="U259" i="3"/>
  <c r="W258" i="3"/>
  <c r="V258" i="3"/>
  <c r="U258" i="3"/>
  <c r="W257" i="3"/>
  <c r="V257" i="3"/>
  <c r="U257" i="3"/>
  <c r="W256" i="3"/>
  <c r="V256" i="3"/>
  <c r="U256" i="3"/>
  <c r="W255" i="3"/>
  <c r="V255" i="3"/>
  <c r="U255" i="3"/>
  <c r="W254" i="3"/>
  <c r="V254" i="3"/>
  <c r="U254" i="3"/>
  <c r="W253" i="3"/>
  <c r="V253" i="3"/>
  <c r="U253" i="3"/>
  <c r="W252" i="3"/>
  <c r="V252" i="3"/>
  <c r="U252" i="3"/>
  <c r="W251" i="3"/>
  <c r="V251" i="3"/>
  <c r="U251" i="3"/>
  <c r="W250" i="3"/>
  <c r="V250" i="3"/>
  <c r="U250" i="3"/>
  <c r="W249" i="3"/>
  <c r="V249" i="3"/>
  <c r="U249" i="3"/>
  <c r="W248" i="3"/>
  <c r="V248" i="3"/>
  <c r="U248" i="3"/>
  <c r="W247" i="3"/>
  <c r="V247" i="3"/>
  <c r="U247" i="3"/>
  <c r="W246" i="3"/>
  <c r="V246" i="3"/>
  <c r="U246" i="3"/>
  <c r="W245" i="3"/>
  <c r="V245" i="3"/>
  <c r="U245" i="3"/>
  <c r="W244" i="3"/>
  <c r="V244" i="3"/>
  <c r="U244" i="3"/>
  <c r="W243" i="3"/>
  <c r="V243" i="3"/>
  <c r="U243" i="3"/>
  <c r="W242" i="3"/>
  <c r="V242" i="3"/>
  <c r="U242" i="3"/>
  <c r="W241" i="3"/>
  <c r="V241" i="3"/>
  <c r="U241" i="3"/>
  <c r="W240" i="3"/>
  <c r="V240" i="3"/>
  <c r="U240" i="3"/>
  <c r="W239" i="3"/>
  <c r="V239" i="3"/>
  <c r="U239" i="3"/>
  <c r="W238" i="3"/>
  <c r="V238" i="3"/>
  <c r="U238" i="3"/>
  <c r="W237" i="3"/>
  <c r="V237" i="3"/>
  <c r="U237" i="3"/>
  <c r="W236" i="3"/>
  <c r="V236" i="3"/>
  <c r="U236" i="3"/>
  <c r="W235" i="3"/>
  <c r="V235" i="3"/>
  <c r="U235" i="3"/>
  <c r="W234" i="3"/>
  <c r="V234" i="3"/>
  <c r="U234" i="3"/>
  <c r="W233" i="3"/>
  <c r="V233" i="3"/>
  <c r="U233" i="3"/>
  <c r="W232" i="3"/>
  <c r="V232" i="3"/>
  <c r="U232" i="3"/>
  <c r="W231" i="3"/>
  <c r="V231" i="3"/>
  <c r="U231" i="3"/>
  <c r="W230" i="3"/>
  <c r="V230" i="3"/>
  <c r="U230" i="3"/>
  <c r="W229" i="3"/>
  <c r="V229" i="3"/>
  <c r="U229" i="3"/>
  <c r="W228" i="3"/>
  <c r="V228" i="3"/>
  <c r="U228" i="3"/>
  <c r="W227" i="3"/>
  <c r="V227" i="3"/>
  <c r="U227" i="3"/>
  <c r="W226" i="3"/>
  <c r="V226" i="3"/>
  <c r="U226" i="3"/>
  <c r="W225" i="3"/>
  <c r="V225" i="3"/>
  <c r="U225" i="3"/>
  <c r="W224" i="3"/>
  <c r="V224" i="3"/>
  <c r="U224" i="3"/>
  <c r="W223" i="3"/>
  <c r="V223" i="3"/>
  <c r="U223" i="3"/>
  <c r="W222" i="3"/>
  <c r="V222" i="3"/>
  <c r="U222" i="3"/>
  <c r="U131" i="3"/>
  <c r="V131" i="3" s="1"/>
  <c r="U130" i="3"/>
  <c r="W130" i="3" s="1"/>
  <c r="U129" i="3"/>
  <c r="W129" i="3" s="1"/>
  <c r="U127" i="3"/>
  <c r="W127" i="3" s="1"/>
  <c r="U126" i="3"/>
  <c r="W126" i="3" s="1"/>
  <c r="U125" i="3"/>
  <c r="W125" i="3" s="1"/>
  <c r="U124" i="3"/>
  <c r="W124" i="3" s="1"/>
  <c r="U123" i="3"/>
  <c r="V123" i="3" s="1"/>
  <c r="U122" i="3"/>
  <c r="W122" i="3" s="1"/>
  <c r="U121" i="3"/>
  <c r="V121" i="3" s="1"/>
  <c r="U120" i="3"/>
  <c r="V120" i="3" s="1"/>
  <c r="U119" i="3"/>
  <c r="W119" i="3" s="1"/>
  <c r="U118" i="3"/>
  <c r="W118" i="3" s="1"/>
  <c r="U117" i="3"/>
  <c r="W117" i="3" s="1"/>
  <c r="U116" i="3"/>
  <c r="V116" i="3" s="1"/>
  <c r="U115" i="3"/>
  <c r="W115" i="3" s="1"/>
  <c r="U114" i="3"/>
  <c r="U113" i="3"/>
  <c r="W113" i="3" s="1"/>
  <c r="U112" i="3"/>
  <c r="W112" i="3" s="1"/>
  <c r="U111" i="3"/>
  <c r="V111" i="3" s="1"/>
  <c r="U110" i="3"/>
  <c r="W110" i="3" s="1"/>
  <c r="U109" i="3"/>
  <c r="V109" i="3" s="1"/>
  <c r="U108" i="3"/>
  <c r="V108" i="3" s="1"/>
  <c r="U107" i="3"/>
  <c r="W107" i="3" s="1"/>
  <c r="U106" i="3"/>
  <c r="W106" i="3" s="1"/>
  <c r="U104" i="3"/>
  <c r="W104" i="3" s="1"/>
  <c r="U103" i="3"/>
  <c r="V103" i="3" s="1"/>
  <c r="U102" i="3"/>
  <c r="W102" i="3" s="1"/>
  <c r="U101" i="3"/>
  <c r="V101" i="3" s="1"/>
  <c r="U99" i="3"/>
  <c r="W99" i="3" s="1"/>
  <c r="U98" i="3"/>
  <c r="W98" i="3" s="1"/>
  <c r="U97" i="3"/>
  <c r="W97" i="3" s="1"/>
  <c r="U96" i="3"/>
  <c r="W96" i="3" s="1"/>
  <c r="U95" i="3"/>
  <c r="W95" i="3" s="1"/>
  <c r="U93" i="3"/>
  <c r="W93" i="3" s="1"/>
  <c r="U92" i="3"/>
  <c r="W92" i="3" s="1"/>
  <c r="U91" i="3"/>
  <c r="W91" i="3" s="1"/>
  <c r="U90" i="3"/>
  <c r="W90" i="3" s="1"/>
  <c r="U89" i="3"/>
  <c r="V89" i="3" s="1"/>
  <c r="U87" i="3"/>
  <c r="V87" i="3" s="1"/>
  <c r="U82" i="3"/>
  <c r="V82" i="3" s="1"/>
  <c r="U80" i="3"/>
  <c r="V80" i="3" s="1"/>
  <c r="U78" i="3"/>
  <c r="V78" i="3" s="1"/>
  <c r="U75" i="3"/>
  <c r="W75" i="3" s="1"/>
  <c r="U74" i="3"/>
  <c r="W74" i="3" s="1"/>
  <c r="U73" i="3"/>
  <c r="W73" i="3" s="1"/>
  <c r="U72" i="3"/>
  <c r="V72" i="3" s="1"/>
  <c r="U71" i="3"/>
  <c r="V71" i="3" s="1"/>
  <c r="U70" i="3"/>
  <c r="V70" i="3" s="1"/>
  <c r="U84" i="3"/>
  <c r="V84" i="3" s="1"/>
  <c r="U83" i="3"/>
  <c r="W83" i="3" s="1"/>
  <c r="U68" i="3"/>
  <c r="W68" i="3" s="1"/>
  <c r="U67" i="3"/>
  <c r="V67" i="3" s="1"/>
  <c r="U65" i="3"/>
  <c r="V65" i="3" s="1"/>
  <c r="U64" i="3"/>
  <c r="W64" i="3" s="1"/>
  <c r="U62" i="3"/>
  <c r="W62" i="3" s="1"/>
  <c r="U61" i="3"/>
  <c r="W61" i="3" s="1"/>
  <c r="U60" i="3"/>
  <c r="W60" i="3" s="1"/>
  <c r="U58" i="3"/>
  <c r="V58" i="3" s="1"/>
  <c r="U57" i="3"/>
  <c r="W57" i="3" s="1"/>
  <c r="U55" i="3"/>
  <c r="W55" i="3" s="1"/>
  <c r="U54" i="3"/>
  <c r="V54" i="3" s="1"/>
  <c r="U52" i="3"/>
  <c r="W52" i="3" s="1"/>
  <c r="U51" i="3"/>
  <c r="V51" i="3" s="1"/>
  <c r="U49" i="3"/>
  <c r="W49" i="3" s="1"/>
  <c r="U48" i="3"/>
  <c r="W48" i="3" s="1"/>
  <c r="U47" i="3"/>
  <c r="V47" i="3" s="1"/>
  <c r="U45" i="3"/>
  <c r="W45" i="3" s="1"/>
  <c r="U44" i="3"/>
  <c r="V44" i="3" s="1"/>
  <c r="U42" i="3"/>
  <c r="W42" i="3" s="1"/>
  <c r="U41" i="3"/>
  <c r="W41" i="3" s="1"/>
  <c r="U40" i="3"/>
  <c r="W40" i="3" s="1"/>
  <c r="U38" i="3"/>
  <c r="W38" i="3" s="1"/>
  <c r="U37" i="3"/>
  <c r="W37" i="3" s="1"/>
  <c r="U36" i="3"/>
  <c r="W36" i="3" s="1"/>
  <c r="U33" i="3"/>
  <c r="W33" i="3" s="1"/>
  <c r="U31" i="3"/>
  <c r="W31" i="3" s="1"/>
  <c r="U30" i="3"/>
  <c r="W30" i="3" s="1"/>
  <c r="U28" i="3"/>
  <c r="W28" i="3" s="1"/>
  <c r="U27" i="3"/>
  <c r="V27" i="3" s="1"/>
  <c r="U26" i="3"/>
  <c r="W26" i="3" s="1"/>
  <c r="U24" i="3"/>
  <c r="V24" i="3" s="1"/>
  <c r="U23" i="3"/>
  <c r="W23" i="3" s="1"/>
  <c r="U22" i="3"/>
  <c r="W22" i="3" s="1"/>
  <c r="U20" i="3"/>
  <c r="W20" i="3" s="1"/>
  <c r="U17" i="3"/>
  <c r="W17" i="3" s="1"/>
  <c r="U16" i="3"/>
  <c r="W16" i="3" s="1"/>
  <c r="U14" i="3"/>
  <c r="W14" i="3" s="1"/>
  <c r="U13" i="3"/>
  <c r="V13" i="3" s="1"/>
  <c r="U11" i="3"/>
  <c r="W11" i="3" s="1"/>
  <c r="U10" i="3"/>
  <c r="W10" i="3" s="1"/>
  <c r="U9" i="3"/>
  <c r="W9" i="3" s="1"/>
  <c r="U7" i="3"/>
  <c r="W7" i="3" s="1"/>
  <c r="U6" i="3"/>
  <c r="W6" i="3" s="1"/>
  <c r="Z5" i="3"/>
  <c r="U5" i="3"/>
  <c r="W5" i="3" s="1"/>
  <c r="W76" i="5" l="1"/>
  <c r="W75" i="5"/>
  <c r="V70" i="5"/>
  <c r="V72" i="5"/>
  <c r="V78" i="5"/>
  <c r="V74" i="5"/>
  <c r="V69" i="5"/>
  <c r="V73" i="5"/>
  <c r="V77" i="5"/>
  <c r="V46" i="6"/>
  <c r="W44" i="6"/>
  <c r="V43" i="6"/>
  <c r="V49" i="6"/>
  <c r="V45" i="6"/>
  <c r="V47" i="6"/>
  <c r="AA36" i="6"/>
  <c r="AA57" i="5"/>
  <c r="AA27" i="5"/>
  <c r="AA14" i="5"/>
  <c r="AA18" i="5"/>
  <c r="AA32" i="5"/>
  <c r="AA37" i="5"/>
  <c r="AA22" i="5"/>
  <c r="AA53" i="5"/>
  <c r="AA9" i="5"/>
  <c r="AA43" i="5"/>
  <c r="AA48" i="5"/>
  <c r="W215" i="4"/>
  <c r="V215" i="4"/>
  <c r="W216" i="4"/>
  <c r="V216" i="4"/>
  <c r="W217" i="4"/>
  <c r="V217" i="4"/>
  <c r="AA28" i="6"/>
  <c r="AA25" i="6"/>
  <c r="V34" i="6"/>
  <c r="W31" i="6"/>
  <c r="V28" i="6"/>
  <c r="V29" i="6"/>
  <c r="V30" i="6"/>
  <c r="V33" i="6"/>
  <c r="V32" i="6"/>
  <c r="V35" i="6"/>
  <c r="V25" i="6"/>
  <c r="V27" i="6"/>
  <c r="V26" i="6"/>
  <c r="W131" i="3"/>
  <c r="V130" i="3"/>
  <c r="V129" i="3"/>
  <c r="V114" i="3"/>
  <c r="W114" i="3"/>
  <c r="W14" i="5"/>
  <c r="V7" i="5"/>
  <c r="AA5" i="5"/>
  <c r="V31" i="5"/>
  <c r="V6" i="5"/>
  <c r="W24" i="5"/>
  <c r="V39" i="5"/>
  <c r="V9" i="5"/>
  <c r="V17" i="5"/>
  <c r="V34" i="5"/>
  <c r="W27" i="5"/>
  <c r="V44" i="5"/>
  <c r="V29" i="5"/>
  <c r="W36" i="5"/>
  <c r="V11" i="6"/>
  <c r="V6" i="6"/>
  <c r="V12" i="6"/>
  <c r="V17" i="6"/>
  <c r="V22" i="6"/>
  <c r="AA12" i="6"/>
  <c r="AA18" i="6"/>
  <c r="AA5" i="6"/>
  <c r="C15" i="1" s="1"/>
  <c r="V49" i="5"/>
  <c r="W50" i="5"/>
  <c r="V51" i="5"/>
  <c r="V52" i="5"/>
  <c r="V48" i="5"/>
  <c r="V45" i="5"/>
  <c r="V46" i="5"/>
  <c r="V47" i="5"/>
  <c r="V43" i="5"/>
  <c r="V41" i="5"/>
  <c r="V40" i="5"/>
  <c r="V37" i="5"/>
  <c r="V42" i="5"/>
  <c r="V38" i="5"/>
  <c r="W35" i="5"/>
  <c r="V32" i="5"/>
  <c r="V33" i="5"/>
  <c r="V30" i="5"/>
  <c r="V28" i="5"/>
  <c r="W25" i="5"/>
  <c r="V26" i="5"/>
  <c r="W22" i="5"/>
  <c r="V23" i="5"/>
  <c r="W19" i="5"/>
  <c r="W20" i="5"/>
  <c r="V21" i="5"/>
  <c r="V18" i="5"/>
  <c r="W16" i="5"/>
  <c r="V15" i="5"/>
  <c r="V10" i="5"/>
  <c r="W11" i="5"/>
  <c r="V12" i="5"/>
  <c r="V13" i="5"/>
  <c r="V8" i="5"/>
  <c r="V5" i="5"/>
  <c r="AA22" i="6"/>
  <c r="W23" i="6"/>
  <c r="V24" i="6"/>
  <c r="W18" i="6"/>
  <c r="V19" i="6"/>
  <c r="V20" i="6"/>
  <c r="V21" i="6"/>
  <c r="V14" i="6"/>
  <c r="V13" i="6"/>
  <c r="V15" i="6"/>
  <c r="V16" i="6"/>
  <c r="W7" i="6"/>
  <c r="V8" i="6"/>
  <c r="V5" i="6"/>
  <c r="V10" i="6"/>
  <c r="V9" i="6"/>
  <c r="W111" i="3"/>
  <c r="V127" i="3"/>
  <c r="V126" i="3"/>
  <c r="V125" i="3"/>
  <c r="V119" i="3"/>
  <c r="V124" i="3"/>
  <c r="W120" i="3"/>
  <c r="W123" i="3"/>
  <c r="W121" i="3"/>
  <c r="V122" i="3"/>
  <c r="V118" i="3"/>
  <c r="V113" i="3"/>
  <c r="V115" i="3"/>
  <c r="W116" i="3"/>
  <c r="V112" i="3"/>
  <c r="V117" i="3"/>
  <c r="W109" i="3"/>
  <c r="V110" i="3"/>
  <c r="W108" i="3"/>
  <c r="V104" i="3"/>
  <c r="V106" i="3"/>
  <c r="V107" i="3"/>
  <c r="V99" i="3"/>
  <c r="W103" i="3"/>
  <c r="W101" i="3"/>
  <c r="V102" i="3"/>
  <c r="V93" i="3"/>
  <c r="V95" i="3"/>
  <c r="V96" i="3"/>
  <c r="V97" i="3"/>
  <c r="V98" i="3"/>
  <c r="W87" i="3"/>
  <c r="V91" i="3"/>
  <c r="V92" i="3"/>
  <c r="W80" i="3"/>
  <c r="W82" i="3"/>
  <c r="W89" i="3"/>
  <c r="V90" i="3"/>
  <c r="W78" i="3"/>
  <c r="V74" i="3"/>
  <c r="V75" i="3"/>
  <c r="V73" i="3"/>
  <c r="W70" i="3"/>
  <c r="W71" i="3"/>
  <c r="W72" i="3"/>
  <c r="W84" i="3"/>
  <c r="V83" i="3"/>
  <c r="V68" i="3"/>
  <c r="W47" i="3"/>
  <c r="W67" i="3"/>
  <c r="W51" i="3"/>
  <c r="W58" i="3"/>
  <c r="W44" i="3"/>
  <c r="W65" i="3"/>
  <c r="W54" i="3"/>
  <c r="V61" i="3"/>
  <c r="V5" i="3"/>
  <c r="V20" i="3"/>
  <c r="V45" i="3"/>
  <c r="V52" i="3"/>
  <c r="V60" i="3"/>
  <c r="V48" i="3"/>
  <c r="V55" i="3"/>
  <c r="V62" i="3"/>
  <c r="V19" i="3"/>
  <c r="V49" i="3"/>
  <c r="V57" i="3"/>
  <c r="V64" i="3"/>
  <c r="V42" i="3"/>
  <c r="V40" i="3"/>
  <c r="V41" i="3"/>
  <c r="V37" i="3"/>
  <c r="V38" i="3"/>
  <c r="W27" i="3"/>
  <c r="V28" i="3"/>
  <c r="AA5" i="3"/>
  <c r="H24" i="8"/>
  <c r="V16" i="3"/>
  <c r="V17" i="3"/>
  <c r="V36" i="3"/>
  <c r="V30" i="3"/>
  <c r="V31" i="3"/>
  <c r="V33" i="3"/>
  <c r="W24" i="3"/>
  <c r="V26" i="3"/>
  <c r="V23" i="3"/>
  <c r="V22" i="3"/>
  <c r="V14" i="3"/>
  <c r="W13" i="3"/>
  <c r="V10" i="3"/>
  <c r="V11" i="3"/>
  <c r="V9" i="3"/>
  <c r="H20" i="8"/>
  <c r="H21" i="8"/>
  <c r="H25" i="8"/>
  <c r="K25" i="8" s="1"/>
  <c r="V6" i="7"/>
  <c r="H18" i="8"/>
  <c r="V9" i="7"/>
  <c r="W8" i="7"/>
  <c r="V7" i="7"/>
  <c r="F16" i="1"/>
  <c r="F13" i="1"/>
  <c r="V5" i="7"/>
  <c r="F89" i="1"/>
  <c r="F38" i="1"/>
  <c r="F113" i="1"/>
  <c r="F66" i="1"/>
  <c r="F61" i="1"/>
  <c r="F30" i="1"/>
  <c r="F41" i="1"/>
  <c r="F49" i="1"/>
  <c r="F64" i="1"/>
  <c r="F22" i="1"/>
  <c r="F33" i="1"/>
  <c r="F54" i="1"/>
  <c r="F72" i="1"/>
  <c r="F69" i="1"/>
  <c r="F25" i="1"/>
  <c r="F46" i="1"/>
  <c r="H28" i="8"/>
  <c r="H26" i="8"/>
  <c r="H22" i="8"/>
  <c r="H19" i="8"/>
  <c r="H17" i="8"/>
  <c r="H9" i="8"/>
  <c r="H23" i="8"/>
  <c r="V7" i="3"/>
  <c r="F15" i="1"/>
  <c r="V6" i="3"/>
  <c r="E17" i="1"/>
  <c r="F28" i="1"/>
  <c r="F36" i="1"/>
  <c r="F44" i="1"/>
  <c r="F52" i="1"/>
  <c r="F57" i="1"/>
  <c r="F119" i="1"/>
  <c r="F111" i="1"/>
  <c r="F103" i="1"/>
  <c r="F95" i="1"/>
  <c r="F87" i="1"/>
  <c r="F79" i="1"/>
  <c r="F71" i="1"/>
  <c r="F63" i="1"/>
  <c r="F114" i="1"/>
  <c r="F106" i="1"/>
  <c r="F98" i="1"/>
  <c r="F90" i="1"/>
  <c r="F82" i="1"/>
  <c r="F117" i="1"/>
  <c r="F109" i="1"/>
  <c r="F101" i="1"/>
  <c r="F93" i="1"/>
  <c r="F85" i="1"/>
  <c r="F77" i="1"/>
  <c r="F120" i="1"/>
  <c r="F112" i="1"/>
  <c r="F104" i="1"/>
  <c r="F96" i="1"/>
  <c r="F88" i="1"/>
  <c r="F80" i="1"/>
  <c r="F115" i="1"/>
  <c r="F107" i="1"/>
  <c r="F99" i="1"/>
  <c r="F91" i="1"/>
  <c r="F83" i="1"/>
  <c r="F75" i="1"/>
  <c r="F67" i="1"/>
  <c r="F59" i="1"/>
  <c r="F118" i="1"/>
  <c r="F110" i="1"/>
  <c r="F102" i="1"/>
  <c r="F94" i="1"/>
  <c r="F86" i="1"/>
  <c r="F78" i="1"/>
  <c r="F70" i="1"/>
  <c r="F116" i="1"/>
  <c r="F108" i="1"/>
  <c r="F100" i="1"/>
  <c r="F92" i="1"/>
  <c r="F84" i="1"/>
  <c r="F27" i="1"/>
  <c r="F35" i="1"/>
  <c r="F43" i="1"/>
  <c r="F51" i="1"/>
  <c r="F56" i="1"/>
  <c r="F76" i="1"/>
  <c r="F24" i="1"/>
  <c r="F32" i="1"/>
  <c r="F40" i="1"/>
  <c r="F48" i="1"/>
  <c r="F58" i="1"/>
  <c r="F60" i="1"/>
  <c r="F62" i="1"/>
  <c r="F81" i="1"/>
  <c r="F105" i="1"/>
  <c r="F21" i="1"/>
  <c r="F29" i="1"/>
  <c r="F37" i="1"/>
  <c r="F45" i="1"/>
  <c r="F53" i="1"/>
  <c r="F73" i="1"/>
  <c r="F14" i="1"/>
  <c r="F26" i="1"/>
  <c r="F34" i="1"/>
  <c r="F42" i="1"/>
  <c r="F50" i="1"/>
  <c r="F65" i="1"/>
  <c r="F121" i="1"/>
  <c r="F12" i="1"/>
  <c r="F23" i="1"/>
  <c r="F31" i="1"/>
  <c r="F39" i="1"/>
  <c r="F47" i="1"/>
  <c r="F55" i="1"/>
  <c r="F68" i="1"/>
  <c r="F74" i="1"/>
  <c r="F97" i="1"/>
  <c r="H27" i="8"/>
  <c r="F10" i="8" l="1"/>
  <c r="F13" i="8"/>
  <c r="F12" i="8"/>
  <c r="F11" i="8"/>
  <c r="E22" i="1"/>
  <c r="E13" i="8"/>
  <c r="E12" i="8"/>
  <c r="E11" i="8"/>
  <c r="E10" i="8"/>
  <c r="D22" i="1"/>
  <c r="C14" i="1"/>
  <c r="F4" i="1"/>
  <c r="C12" i="1"/>
  <c r="C10" i="8"/>
  <c r="C12" i="8"/>
  <c r="C13" i="8"/>
  <c r="C11" i="8"/>
  <c r="F8" i="1"/>
  <c r="F7" i="1"/>
  <c r="F6" i="1"/>
  <c r="D11" i="8"/>
  <c r="D12" i="8"/>
  <c r="D10" i="8"/>
  <c r="D13" i="8"/>
  <c r="B55" i="1"/>
  <c r="B22" i="1"/>
  <c r="B23" i="1"/>
  <c r="B35" i="1"/>
  <c r="B47" i="1"/>
  <c r="B41" i="1"/>
  <c r="B31" i="1"/>
  <c r="B24" i="1"/>
  <c r="B36" i="1"/>
  <c r="B48" i="1"/>
  <c r="B29" i="1"/>
  <c r="B46" i="1"/>
  <c r="B25" i="1"/>
  <c r="B37" i="1"/>
  <c r="B49" i="1"/>
  <c r="B51" i="1"/>
  <c r="B30" i="1"/>
  <c r="B34" i="1"/>
  <c r="B26" i="1"/>
  <c r="B38" i="1"/>
  <c r="B50" i="1"/>
  <c r="B39" i="1"/>
  <c r="B42" i="1"/>
  <c r="B27" i="1"/>
  <c r="B28" i="1"/>
  <c r="B40" i="1"/>
  <c r="B43" i="1"/>
  <c r="B32" i="1"/>
  <c r="B44" i="1"/>
  <c r="B45" i="1"/>
  <c r="B33" i="1"/>
  <c r="B54" i="1"/>
  <c r="B52" i="1"/>
  <c r="B53" i="1"/>
  <c r="B21" i="1"/>
  <c r="B59" i="1"/>
  <c r="B71" i="1"/>
  <c r="B83" i="1"/>
  <c r="B95" i="1"/>
  <c r="B107" i="1"/>
  <c r="B61" i="1"/>
  <c r="B85" i="1"/>
  <c r="B109" i="1"/>
  <c r="B62" i="1"/>
  <c r="B86" i="1"/>
  <c r="B110" i="1"/>
  <c r="B63" i="1"/>
  <c r="B87" i="1"/>
  <c r="B64" i="1"/>
  <c r="B88" i="1"/>
  <c r="B65" i="1"/>
  <c r="B89" i="1"/>
  <c r="B66" i="1"/>
  <c r="B90" i="1"/>
  <c r="B79" i="1"/>
  <c r="B103" i="1"/>
  <c r="B56" i="1"/>
  <c r="B80" i="1"/>
  <c r="B104" i="1"/>
  <c r="B69" i="1"/>
  <c r="B93" i="1"/>
  <c r="B58" i="1"/>
  <c r="B82" i="1"/>
  <c r="B106" i="1"/>
  <c r="B60" i="1"/>
  <c r="B72" i="1"/>
  <c r="B84" i="1"/>
  <c r="B96" i="1"/>
  <c r="B108" i="1"/>
  <c r="B73" i="1"/>
  <c r="B97" i="1"/>
  <c r="B74" i="1"/>
  <c r="B98" i="1"/>
  <c r="B75" i="1"/>
  <c r="B99" i="1"/>
  <c r="B76" i="1"/>
  <c r="B100" i="1"/>
  <c r="B77" i="1"/>
  <c r="B101" i="1"/>
  <c r="B78" i="1"/>
  <c r="B102" i="1"/>
  <c r="B67" i="1"/>
  <c r="B91" i="1"/>
  <c r="B68" i="1"/>
  <c r="B92" i="1"/>
  <c r="B57" i="1"/>
  <c r="B81" i="1"/>
  <c r="B105" i="1"/>
  <c r="B70" i="1"/>
  <c r="B94" i="1"/>
  <c r="E102" i="1"/>
  <c r="E68" i="1"/>
  <c r="E69" i="1"/>
  <c r="E35" i="1"/>
  <c r="D98" i="1"/>
  <c r="D107" i="1"/>
  <c r="D99" i="1"/>
  <c r="D113" i="1"/>
  <c r="D108" i="1"/>
  <c r="D26" i="1"/>
  <c r="D34" i="1"/>
  <c r="D91" i="1"/>
  <c r="D38" i="1"/>
  <c r="D24" i="1"/>
  <c r="D84" i="1"/>
  <c r="D33" i="1"/>
  <c r="D54" i="1"/>
  <c r="D40" i="1"/>
  <c r="D105" i="1"/>
  <c r="D23" i="1"/>
  <c r="D46" i="1"/>
  <c r="D121" i="1"/>
  <c r="D55" i="1"/>
  <c r="D100" i="1"/>
  <c r="D92" i="1"/>
  <c r="D41" i="1"/>
  <c r="D75" i="1"/>
  <c r="D37" i="1"/>
  <c r="D60" i="1"/>
  <c r="D30" i="1"/>
  <c r="D120" i="1"/>
  <c r="D61" i="1"/>
  <c r="D85" i="1"/>
  <c r="D36" i="1"/>
  <c r="D50" i="1"/>
  <c r="D106" i="1"/>
  <c r="D88" i="1"/>
  <c r="D96" i="1"/>
  <c r="D104" i="1"/>
  <c r="D58" i="1"/>
  <c r="D69" i="1"/>
  <c r="D32" i="1"/>
  <c r="D35" i="1"/>
  <c r="D28" i="1"/>
  <c r="D114" i="1"/>
  <c r="D25" i="1"/>
  <c r="D67" i="1"/>
  <c r="D112" i="1"/>
  <c r="D53" i="1"/>
  <c r="D70" i="1"/>
  <c r="D77" i="1"/>
  <c r="D93" i="1"/>
  <c r="D42" i="1"/>
  <c r="D71" i="1"/>
  <c r="D27" i="1"/>
  <c r="D118" i="1"/>
  <c r="D29" i="1"/>
  <c r="D79" i="1"/>
  <c r="D43" i="1"/>
  <c r="D83" i="1"/>
  <c r="D72" i="1"/>
  <c r="D119" i="1"/>
  <c r="D51" i="1"/>
  <c r="D47" i="1"/>
  <c r="D45" i="1"/>
  <c r="D87" i="1"/>
  <c r="D39" i="1"/>
  <c r="D95" i="1"/>
  <c r="D103" i="1"/>
  <c r="D78" i="1"/>
  <c r="D64" i="1"/>
  <c r="D111" i="1"/>
  <c r="D74" i="1"/>
  <c r="D68" i="1"/>
  <c r="D80" i="1"/>
  <c r="D76" i="1"/>
  <c r="D115" i="1"/>
  <c r="D101" i="1"/>
  <c r="D116" i="1"/>
  <c r="D66" i="1"/>
  <c r="D21" i="1"/>
  <c r="D59" i="1"/>
  <c r="D57" i="1"/>
  <c r="D86" i="1"/>
  <c r="D117" i="1"/>
  <c r="D73" i="1"/>
  <c r="D56" i="1"/>
  <c r="D63" i="1"/>
  <c r="D109" i="1"/>
  <c r="D94" i="1"/>
  <c r="D82" i="1"/>
  <c r="D81" i="1"/>
  <c r="D48" i="1"/>
  <c r="D31" i="1"/>
  <c r="D89" i="1"/>
  <c r="D62" i="1"/>
  <c r="D65" i="1"/>
  <c r="D52" i="1"/>
  <c r="D49" i="1"/>
  <c r="D102" i="1"/>
  <c r="D90" i="1"/>
  <c r="D44" i="1"/>
  <c r="D110" i="1"/>
  <c r="D97" i="1"/>
  <c r="E73" i="1"/>
  <c r="E74" i="1"/>
  <c r="E82" i="1"/>
  <c r="E90" i="1"/>
  <c r="E97" i="1"/>
  <c r="E23" i="1"/>
  <c r="E94" i="1"/>
  <c r="E106" i="1"/>
  <c r="E78" i="1"/>
  <c r="E59" i="1"/>
  <c r="E98" i="1"/>
  <c r="E114" i="1"/>
  <c r="E63" i="1"/>
  <c r="E27" i="1"/>
  <c r="E77" i="1"/>
  <c r="E79" i="1"/>
  <c r="E30" i="1"/>
  <c r="E38" i="1"/>
  <c r="E66" i="1"/>
  <c r="E75" i="1"/>
  <c r="E61" i="1"/>
  <c r="E105" i="1"/>
  <c r="E58" i="1"/>
  <c r="E113" i="1"/>
  <c r="E57" i="1"/>
  <c r="E121" i="1"/>
  <c r="E29" i="1"/>
  <c r="E67" i="1"/>
  <c r="E49" i="1"/>
  <c r="E48" i="1"/>
  <c r="E83" i="1"/>
  <c r="E26" i="1"/>
  <c r="E91" i="1"/>
  <c r="E41" i="1"/>
  <c r="E21" i="1"/>
  <c r="E99" i="1"/>
  <c r="E24" i="1"/>
  <c r="E40" i="1"/>
  <c r="E109" i="1"/>
  <c r="E118" i="1"/>
  <c r="E117" i="1"/>
  <c r="E44" i="1"/>
  <c r="E25" i="1"/>
  <c r="E103" i="1"/>
  <c r="E80" i="1"/>
  <c r="E92" i="1"/>
  <c r="E81" i="1"/>
  <c r="E120" i="1"/>
  <c r="E100" i="1"/>
  <c r="E43" i="1"/>
  <c r="E52" i="1"/>
  <c r="E87" i="1"/>
  <c r="E70" i="1"/>
  <c r="E32" i="1"/>
  <c r="E115" i="1"/>
  <c r="E65" i="1"/>
  <c r="E56" i="1"/>
  <c r="E55" i="1"/>
  <c r="E111" i="1"/>
  <c r="E53" i="1"/>
  <c r="E76" i="1"/>
  <c r="E88" i="1"/>
  <c r="E45" i="1"/>
  <c r="E42" i="1"/>
  <c r="E85" i="1"/>
  <c r="E108" i="1"/>
  <c r="E46" i="1"/>
  <c r="E50" i="1"/>
  <c r="E84" i="1"/>
  <c r="E36" i="1"/>
  <c r="E110" i="1"/>
  <c r="E39" i="1"/>
  <c r="E93" i="1"/>
  <c r="E116" i="1"/>
  <c r="E51" i="1"/>
  <c r="E107" i="1"/>
  <c r="E95" i="1"/>
  <c r="E64" i="1"/>
  <c r="E72" i="1"/>
  <c r="E86" i="1"/>
  <c r="E47" i="1"/>
  <c r="E28" i="1"/>
  <c r="E89" i="1"/>
  <c r="E101" i="1"/>
  <c r="E54" i="1"/>
  <c r="E31" i="1"/>
  <c r="E34" i="1"/>
  <c r="E37" i="1"/>
  <c r="E104" i="1"/>
  <c r="E60" i="1"/>
  <c r="E33" i="1"/>
  <c r="E96" i="1"/>
  <c r="E119" i="1"/>
  <c r="E71" i="1"/>
  <c r="E62" i="1"/>
  <c r="E112" i="1"/>
  <c r="C21" i="1"/>
  <c r="C119" i="1"/>
  <c r="C94" i="1"/>
  <c r="C95" i="1"/>
  <c r="C51" i="1"/>
  <c r="C91" i="1"/>
  <c r="C118" i="1"/>
  <c r="C115" i="1"/>
  <c r="C84" i="1"/>
  <c r="C92" i="1"/>
  <c r="C43" i="1"/>
  <c r="C85" i="1"/>
  <c r="C101" i="1"/>
  <c r="C55" i="1"/>
  <c r="C50" i="1"/>
  <c r="C117" i="1"/>
  <c r="C81" i="1"/>
  <c r="C49" i="1"/>
  <c r="C89" i="1"/>
  <c r="C83" i="1"/>
  <c r="C45" i="1"/>
  <c r="C76" i="1"/>
  <c r="C100" i="1"/>
  <c r="C120" i="1"/>
  <c r="C116" i="1"/>
  <c r="C97" i="1"/>
  <c r="C74" i="1"/>
  <c r="C42" i="1"/>
  <c r="C40" i="1"/>
  <c r="C82" i="1"/>
  <c r="C41" i="1"/>
  <c r="C79" i="1"/>
  <c r="C88" i="1"/>
  <c r="C77" i="1"/>
  <c r="C44" i="1"/>
  <c r="C93" i="1"/>
  <c r="C108" i="1"/>
  <c r="C109" i="1"/>
  <c r="C105" i="1"/>
  <c r="C47" i="1"/>
  <c r="C112" i="1"/>
  <c r="C113" i="1"/>
  <c r="C90" i="1"/>
  <c r="C121" i="1"/>
  <c r="C98" i="1"/>
  <c r="C96" i="1"/>
  <c r="C75" i="1"/>
  <c r="C72" i="1"/>
  <c r="C106" i="1"/>
  <c r="C80" i="1"/>
  <c r="C39" i="1"/>
  <c r="C48" i="1"/>
  <c r="C114" i="1"/>
  <c r="C78" i="1"/>
  <c r="C53" i="1"/>
  <c r="C104" i="1"/>
  <c r="C87" i="1"/>
  <c r="C86" i="1"/>
  <c r="C46" i="1"/>
  <c r="C99" i="1"/>
  <c r="C103" i="1"/>
  <c r="C102" i="1"/>
  <c r="C52" i="1"/>
  <c r="C73" i="1"/>
  <c r="C54" i="1"/>
  <c r="C107" i="1"/>
  <c r="C111" i="1"/>
  <c r="C110" i="1"/>
  <c r="B115" i="1"/>
  <c r="J25" i="8"/>
  <c r="B114" i="1"/>
  <c r="B120" i="1"/>
  <c r="B118" i="1"/>
  <c r="B113" i="1"/>
  <c r="B119" i="1"/>
  <c r="B111" i="1"/>
  <c r="B117" i="1"/>
  <c r="B121" i="1"/>
  <c r="B112" i="1"/>
  <c r="B116" i="1"/>
  <c r="I18" i="8"/>
  <c r="J18" i="8" s="1"/>
  <c r="I24" i="8"/>
  <c r="J24" i="8" s="1"/>
  <c r="I26" i="8"/>
  <c r="J26" i="8" s="1"/>
  <c r="I20" i="8"/>
  <c r="I21" i="8"/>
  <c r="K21" i="8" s="1"/>
  <c r="I22" i="8"/>
  <c r="K22" i="8" s="1"/>
  <c r="I25" i="8"/>
  <c r="I23" i="8"/>
  <c r="J23" i="8" s="1"/>
  <c r="I17" i="8"/>
  <c r="J17" i="8" s="1"/>
  <c r="I28" i="8"/>
  <c r="K26" i="8"/>
  <c r="I19" i="8"/>
  <c r="J19" i="8" s="1"/>
  <c r="I27" i="8"/>
  <c r="J27" i="8" s="1"/>
  <c r="K20" i="8" l="1"/>
  <c r="J20" i="8"/>
  <c r="D13" i="1"/>
  <c r="C17" i="1"/>
  <c r="H13" i="8"/>
  <c r="H11" i="8"/>
  <c r="J21" i="8"/>
  <c r="K24" i="8"/>
  <c r="K23" i="8"/>
  <c r="D15" i="1"/>
  <c r="D12" i="1"/>
  <c r="D14" i="1"/>
  <c r="D16" i="1"/>
  <c r="K18" i="8"/>
  <c r="K17" i="8"/>
  <c r="J22" i="8"/>
  <c r="K27" i="8"/>
  <c r="K19" i="8"/>
  <c r="H10" i="8"/>
  <c r="H12" i="8"/>
</calcChain>
</file>

<file path=xl/sharedStrings.xml><?xml version="1.0" encoding="utf-8"?>
<sst xmlns="http://schemas.openxmlformats.org/spreadsheetml/2006/main" count="4977" uniqueCount="778">
  <si>
    <t>商品半成品與調理設備應用盤點｜總覽目錄</t>
  </si>
  <si>
    <t>盤點基本資訊（黃底請填寫）</t>
  </si>
  <si>
    <t>本廠總體統計（自動計算）</t>
  </si>
  <si>
    <t>盤點工廠</t>
  </si>
  <si>
    <t>生產總品項數</t>
  </si>
  <si>
    <t>盤點日期</t>
  </si>
  <si>
    <t>半成品總筆數</t>
  </si>
  <si>
    <t>盤點負責人</t>
  </si>
  <si>
    <r>
      <rPr>
        <b/>
        <sz val="10"/>
        <color rgb="FF444441"/>
        <rFont val="Noto Sans CJK SC"/>
        <family val="2"/>
      </rPr>
      <t>資料缺漏</t>
    </r>
    <r>
      <rPr>
        <b/>
        <sz val="10"/>
        <color rgb="FF444441"/>
        <rFont val="微軟正黑體"/>
        <family val="2"/>
        <charset val="136"/>
      </rPr>
      <t>/</t>
    </r>
    <r>
      <rPr>
        <b/>
        <sz val="10"/>
        <color rgb="FF444441"/>
        <rFont val="Noto Sans CJK SC"/>
        <family val="2"/>
      </rPr>
      <t>矛盾筆數</t>
    </r>
  </si>
  <si>
    <t>單一設備依賴筆數</t>
  </si>
  <si>
    <t>免調理半成品筆數</t>
  </si>
  <si>
    <t>商品分類分布</t>
  </si>
  <si>
    <t>分類</t>
  </si>
  <si>
    <t>品項數</t>
  </si>
  <si>
    <t>品項佔比</t>
  </si>
  <si>
    <t>半成品筆數</t>
  </si>
  <si>
    <t>半成品佔比</t>
  </si>
  <si>
    <t>18℃</t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</si>
  <si>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飯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</si>
  <si>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麵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</si>
  <si>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其他</t>
    </r>
  </si>
  <si>
    <t>冷凍品</t>
  </si>
  <si>
    <t>合計</t>
  </si>
  <si>
    <t>商品目錄（自動列出各分頁不重複品項，勿手動修改）</t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</si>
  <si>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飯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</si>
  <si>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麵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</si>
  <si>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其他</t>
    </r>
  </si>
  <si>
    <t>商品半成品與調理設備應用展開一覽表｜填寫說明</t>
  </si>
  <si>
    <t>目的</t>
  </si>
  <si>
    <t>盤點本廠商品之半成品組成，及各半成品應用之熱調理設備，據以掌握設備應用狀態（初步以「應用半成品數」衡量），並透過風險示警提前辨識設備依賴集中與資料缺漏。本檔為單一工廠使用，每廠一檔。</t>
  </si>
  <si>
    <t>工作表結構</t>
  </si>
  <si>
    <t>分頁歸類原則</t>
  </si>
  <si>
    <t>風險示警邏輯</t>
  </si>
  <si>
    <t>⚠ 資料缺漏（紅）</t>
  </si>
  <si>
    <t>⚠ 勾選矛盾（紅）</t>
  </si>
  <si>
    <t>同時勾選「無使用調理設備」與任一設備欄 → 邏輯矛盾，請擇一修正。</t>
  </si>
  <si>
    <t>▲ 單一設備依賴（黃）</t>
  </si>
  <si>
    <t>○ 免調理（灰藍）</t>
  </si>
  <si>
    <t>已確認不使用任何調理設備之半成品，不列入設備風險評估。</t>
  </si>
  <si>
    <t>設備依賴集中（統計分頁）</t>
  </si>
  <si>
    <t>資料來源建議</t>
  </si>
  <si>
    <t>半成品組成依本廠指示書（規格書）版本填寫，請於「備註」欄註記指示書編號與版本日期，以利追溯與稽核。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</si>
  <si>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18℃</t>
    </r>
  </si>
  <si>
    <t>商品資訊</t>
  </si>
  <si>
    <r>
      <rPr>
        <b/>
        <sz val="12"/>
        <color rgb="FF444441"/>
        <rFont val="Noto Sans CJK SC"/>
        <family val="2"/>
      </rPr>
      <t>熱調理區（使用者填「</t>
    </r>
    <r>
      <rPr>
        <b/>
        <sz val="12"/>
        <color rgb="FF444441"/>
        <rFont val="微軟正黑體"/>
        <family val="2"/>
        <charset val="136"/>
      </rPr>
      <t>V</t>
    </r>
    <r>
      <rPr>
        <b/>
        <sz val="12"/>
        <color rgb="FF444441"/>
        <rFont val="Noto Sans CJK SC"/>
        <family val="2"/>
      </rPr>
      <t>」；免調理者勾最右欄）</t>
    </r>
  </si>
  <si>
    <t>自動計算與風險檢核（勿手動修改）</t>
  </si>
  <si>
    <t>建檔資訊（手填）</t>
  </si>
  <si>
    <t>工廠</t>
  </si>
  <si>
    <r>
      <rPr>
        <b/>
        <sz val="12"/>
        <color rgb="FFFFFFFF"/>
        <rFont val="Noto Sans CJK SC"/>
        <family val="2"/>
      </rPr>
      <t xml:space="preserve">商品分類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細分品類</t>
    </r>
    <r>
      <rPr>
        <b/>
        <sz val="12"/>
        <color rgb="FFFFFFFF"/>
        <rFont val="微軟正黑體"/>
        <family val="2"/>
        <charset val="136"/>
      </rPr>
      <t>)</t>
    </r>
  </si>
  <si>
    <t>商品名稱</t>
  </si>
  <si>
    <t>半成品名稱</t>
  </si>
  <si>
    <t>單位用量</t>
  </si>
  <si>
    <r>
      <rPr>
        <b/>
        <sz val="12"/>
        <color rgb="FFFFFFFF"/>
        <rFont val="Noto Sans CJK SC"/>
        <family val="2"/>
      </rPr>
      <t xml:space="preserve">製程率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填數字</t>
    </r>
    <r>
      <rPr>
        <b/>
        <sz val="12"/>
        <color rgb="FFFFFFFF"/>
        <rFont val="微軟正黑體"/>
        <family val="2"/>
        <charset val="136"/>
      </rPr>
      <t>)</t>
    </r>
  </si>
  <si>
    <t>炊飯</t>
  </si>
  <si>
    <t>煮麵</t>
  </si>
  <si>
    <t>烤箱</t>
  </si>
  <si>
    <t>炙燒</t>
  </si>
  <si>
    <t>蒸箱</t>
  </si>
  <si>
    <t>油炸機</t>
  </si>
  <si>
    <t>二重釜</t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</si>
  <si>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日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</si>
  <si>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台</t>
    </r>
    <r>
      <rPr>
        <b/>
        <sz val="11"/>
        <color rgb="FFFFFFFF"/>
        <rFont val="微軟正黑體"/>
        <family val="2"/>
        <charset val="136"/>
      </rPr>
      <t>)</t>
    </r>
  </si>
  <si>
    <t>蛋皮機</t>
  </si>
  <si>
    <t>壓力鍋</t>
  </si>
  <si>
    <t>無使用
調理設備</t>
  </si>
  <si>
    <t>使用
設備數</t>
  </si>
  <si>
    <t>檢核結果</t>
  </si>
  <si>
    <t>風險說明</t>
  </si>
  <si>
    <r>
      <rPr>
        <b/>
        <sz val="12"/>
        <color rgb="FFFFFFFF"/>
        <rFont val="Noto Sans CJK SC"/>
        <family val="2"/>
      </rPr>
      <t xml:space="preserve">備註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指示書編號</t>
    </r>
    <r>
      <rPr>
        <b/>
        <sz val="12"/>
        <color rgb="FFFFFFFF"/>
        <rFont val="微軟正黑體"/>
        <family val="2"/>
        <charset val="136"/>
      </rPr>
      <t>/</t>
    </r>
    <r>
      <rPr>
        <b/>
        <sz val="12"/>
        <color rgb="FFFFFFFF"/>
        <rFont val="Noto Sans CJK SC"/>
        <family val="2"/>
      </rPr>
      <t>版本</t>
    </r>
    <r>
      <rPr>
        <b/>
        <sz val="12"/>
        <color rgb="FFFFFFFF"/>
        <rFont val="微軟正黑體"/>
        <family val="2"/>
        <charset val="136"/>
      </rPr>
      <t>)</t>
    </r>
  </si>
  <si>
    <t>建檔人員</t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</si>
  <si>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Y</t>
    </r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</si>
  <si>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Z</t>
    </r>
  </si>
  <si>
    <t>數值</t>
  </si>
  <si>
    <t>單位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</si>
  <si>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飯</t>
    </r>
  </si>
  <si>
    <t>公克</t>
  </si>
  <si>
    <t>V</t>
  </si>
  <si>
    <t>個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</si>
  <si>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麵</t>
    </r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</si>
  <si>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其他</t>
    </r>
  </si>
  <si>
    <t>商品半成品與調理設備應用展開一覽表｜冷凍品</t>
  </si>
  <si>
    <t>設備應用統計與風險示警（自動跨分頁彙總，僅藍字參數可調整）</t>
  </si>
  <si>
    <t>風險門檻參數</t>
  </si>
  <si>
    <t>高依賴門檻（佔比 ≥）</t>
  </si>
  <si>
    <r>
      <rPr>
        <sz val="9"/>
        <color rgb="FF808080"/>
        <rFont val="Noto Sans CJK SC"/>
        <family val="2"/>
      </rPr>
      <t>應用半成品數佔全部（五分頁合計）比重達此值 → 高依賴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紅</t>
    </r>
    <r>
      <rPr>
        <sz val="9"/>
        <color rgb="FF808080"/>
        <rFont val="微軟正黑體"/>
        <family val="2"/>
        <charset val="136"/>
      </rPr>
      <t>)</t>
    </r>
  </si>
  <si>
    <t>中度關注門檻（佔比 ≥）</t>
  </si>
  <si>
    <r>
      <rPr>
        <sz val="9"/>
        <color rgb="FF808080"/>
        <rFont val="Noto Sans CJK SC"/>
        <family val="2"/>
      </rPr>
      <t>達此值 → 中度關注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黃</t>
    </r>
    <r>
      <rPr>
        <sz val="9"/>
        <color rgb="FF808080"/>
        <rFont val="微軟正黑體"/>
        <family val="2"/>
        <charset val="136"/>
      </rPr>
      <t>)</t>
    </r>
  </si>
  <si>
    <t>低使用門檻（半成品數 ≤）</t>
  </si>
  <si>
    <r>
      <rPr>
        <sz val="9"/>
        <color rgb="FF808080"/>
        <rFont val="Noto Sans CJK SC"/>
        <family val="2"/>
      </rPr>
      <t>應用數為此值以下 → 閒置確認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灰</t>
    </r>
    <r>
      <rPr>
        <sz val="9"/>
        <color rgb="FF808080"/>
        <rFont val="微軟正黑體"/>
        <family val="2"/>
        <charset val="136"/>
      </rPr>
      <t>)</t>
    </r>
  </si>
  <si>
    <t>各分頁半成品筆數與資料品質</t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</si>
  <si>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飯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</si>
  <si>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麵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</si>
  <si>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其他</t>
    </r>
  </si>
  <si>
    <t>資料缺漏筆數</t>
  </si>
  <si>
    <t>勾選矛盾筆數</t>
  </si>
  <si>
    <t>免調理筆數</t>
  </si>
  <si>
    <r>
      <rPr>
        <b/>
        <sz val="11"/>
        <color rgb="FF444441"/>
        <rFont val="Noto Sans CJK SC"/>
        <family val="2"/>
      </rPr>
      <t xml:space="preserve">設備 </t>
    </r>
    <r>
      <rPr>
        <b/>
        <sz val="11"/>
        <color rgb="FF444441"/>
        <rFont val="微軟正黑體"/>
        <family val="2"/>
        <charset val="136"/>
      </rPr>
      <t xml:space="preserve">× </t>
    </r>
    <r>
      <rPr>
        <b/>
        <sz val="11"/>
        <color rgb="FF444441"/>
        <rFont val="Noto Sans CJK SC"/>
        <family val="2"/>
      </rPr>
      <t>分類 應用半成品數交叉統計與風險示警</t>
    </r>
  </si>
  <si>
    <t>設備名稱</t>
  </si>
  <si>
    <t>佔全部比重</t>
  </si>
  <si>
    <t>風險等級</t>
  </si>
  <si>
    <r>
      <rPr>
        <b/>
        <sz val="10"/>
        <color rgb="FFFFFFFF"/>
        <rFont val="Noto Sans CJK SC"/>
        <family val="2"/>
      </rPr>
      <t xml:space="preserve">風險說明 </t>
    </r>
    <r>
      <rPr>
        <b/>
        <sz val="10"/>
        <color rgb="FFFFFFFF"/>
        <rFont val="微軟正黑體"/>
        <family val="2"/>
        <charset val="136"/>
      </rPr>
      <t xml:space="preserve">/ </t>
    </r>
    <r>
      <rPr>
        <b/>
        <sz val="10"/>
        <color rgb="FFFFFFFF"/>
        <rFont val="Noto Sans CJK SC"/>
        <family val="2"/>
      </rPr>
      <t>建議行動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</si>
  <si>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日</t>
    </r>
    <r>
      <rPr>
        <sz val="10"/>
        <color rgb="FF444441"/>
        <rFont val="微軟正黑體"/>
        <family val="2"/>
        <charset val="136"/>
      </rPr>
      <t>)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</si>
  <si>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台</t>
    </r>
    <r>
      <rPr>
        <sz val="10"/>
        <color rgb="FF444441"/>
        <rFont val="微軟正黑體"/>
        <family val="2"/>
        <charset val="136"/>
      </rPr>
      <t>)</t>
    </r>
  </si>
  <si>
    <t>無使用調理設備</t>
  </si>
  <si>
    <t>—</t>
  </si>
  <si>
    <r>
      <rPr>
        <sz val="9"/>
        <color rgb="FF444441"/>
        <rFont val="Noto Sans CJK SC"/>
        <family val="2"/>
      </rPr>
      <t>免調理半成品（外購</t>
    </r>
    <r>
      <rPr>
        <sz val="9"/>
        <color rgb="FF444441"/>
        <rFont val="微軟正黑體"/>
        <family val="2"/>
        <charset val="136"/>
      </rPr>
      <t>/</t>
    </r>
    <r>
      <rPr>
        <sz val="9"/>
        <color rgb="FF444441"/>
        <rFont val="Noto Sans CJK SC"/>
        <family val="2"/>
      </rPr>
      <t>僅切配等），不列入設備風險評估</t>
    </r>
  </si>
  <si>
    <t>飯糰</t>
    <phoneticPr fontId="27" type="noConversion"/>
  </si>
  <si>
    <t>填寫字體規範「微軟正黑體」，字體大小「10」號</t>
    <phoneticPr fontId="27" type="noConversion"/>
  </si>
  <si>
    <t>「總覽」＝本廠盤點資訊與商品目錄；盤點明細依溫層分 5 個分頁：「18℃」「4℃飯」「4℃麵」「4℃其他」「冷凍品」，欄位結構完全一致；「設備應用統計」自動跨分頁彙總，勿手動修改（藍字參數除外）。</t>
  </si>
  <si>
    <t>商品依販售溫層與品類歸入對應分頁；同一商品的所有半成品填在同一分頁。分頁內的「商品分類」欄可再填細分品類（如飯糰、壽司、便當、涼麵、甜點等）。</t>
    <phoneticPr fontId="27" type="noConversion"/>
  </si>
  <si>
    <t>填寫規則 1</t>
  </si>
  <si>
    <t>填寫規則 2</t>
  </si>
  <si>
    <t>每一列代表「一個商品 × 一項半成品」。同一商品有 3 項半成品即填 3 列，且每列的工廠、商品名稱都要填（勿留空、勿合併儲存格），統計公式才能正確計算。</t>
  </si>
  <si>
    <t>填寫規則 3</t>
  </si>
  <si>
    <t>設備欄位（炊飯～壓力鍋共 11 項）：該半成品有使用者，於對應欄位下拉選「V」。若半成品完全不經過任何調理設備（外購即食、僅切配等），請於「無使用調理設備」欄選「V」，不可與設備欄同時勾選。</t>
  </si>
  <si>
    <t>填寫規則 4</t>
  </si>
  <si>
    <t>單位用量分兩欄：「數值」填數字、「單位」下拉選公克或個。製程率直接填數字（如 92），系統自動顯示為 92%。尚未確認者可先留白，不影響設備統計。</t>
  </si>
  <si>
    <t>填寫規則 5</t>
  </si>
  <si>
    <t>每列須填「建檔人員」（X欄），作為資料異常時的追溯與確認窗口；「備註」欄請註記指示書編號與版本日期。</t>
  </si>
  <si>
    <t>填寫規則 6</t>
    <phoneticPr fontId="27" type="noConversion"/>
  </si>
  <si>
    <t>各分頁 Y、Z 為系統用隱藏欄（供總覽目錄與品項數計算），請勿刪除或修改。</t>
  </si>
  <si>
    <t>門檻可於「設備應用統計」C3:C5 藍字儲存格調整。檢核結果共五種狀態：</t>
  </si>
  <si>
    <t>半成品已填名稱，但 11 個設備欄與「無使用調理設備」皆未勾選 → 須補填，或確認為免調理並勾選「無使用調理設備」。</t>
  </si>
  <si>
    <t>半成品僅使用 1 台設備 → 該設備故障或排修時無替代製程，須確認備援方案。</t>
  </si>
  <si>
    <r>
      <t>應用半成品數 ÷ 全部半成品數（五分頁合計）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30% → 高依賴（紅）；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15% → 中度關注（黃）；= 0 → 閒置確認（灰）；其餘正常（綠）。</t>
    </r>
  </si>
  <si>
    <t>煮16+11湖鹽飯(109年)</t>
  </si>
  <si>
    <t>拌鹽烤豬肉片(114年)</t>
  </si>
  <si>
    <t>大溪</t>
    <phoneticPr fontId="27" type="noConversion"/>
  </si>
  <si>
    <t>112年拌鮪魚沙拉</t>
  </si>
  <si>
    <t>蒸-全熟雞肉絲CL(113年)</t>
  </si>
  <si>
    <t>炙燒韓式牛五花</t>
  </si>
  <si>
    <t>炒油蔥醬</t>
  </si>
  <si>
    <t>洋蔥壹號醬</t>
  </si>
  <si>
    <t>煮16+11湖鹽飯(肉鬆)</t>
  </si>
  <si>
    <t>煮三杯料</t>
  </si>
  <si>
    <t>拌蒜香五花肉</t>
  </si>
  <si>
    <t>煮乾燒醬</t>
  </si>
  <si>
    <t>炒蝦仁(9號)(大飯糰)</t>
  </si>
  <si>
    <t>煮牛蒡大麥飯</t>
  </si>
  <si>
    <t>水煮毛豆仁(111年)</t>
  </si>
  <si>
    <t>煮洋蔥豬肉</t>
  </si>
  <si>
    <t>煮一見鍾情飯</t>
  </si>
  <si>
    <t>煮柚檸醬油</t>
  </si>
  <si>
    <t>切筋子1cm</t>
  </si>
  <si>
    <t>新冷凍銀鮭碎肉</t>
  </si>
  <si>
    <t>拌鮭魚奶油醬</t>
  </si>
  <si>
    <t>日式醬油飯</t>
  </si>
  <si>
    <t>拌韓式辣鮪魚</t>
  </si>
  <si>
    <t>炒韓式泡菜</t>
  </si>
  <si>
    <t>韓式辣醬飯</t>
  </si>
  <si>
    <t>拌鮭魚沙拉(114年)</t>
  </si>
  <si>
    <t>拌明太子龍蝦沙拉(114年)</t>
  </si>
  <si>
    <t>焙炒芝麻肉鬆(飯糰)</t>
  </si>
  <si>
    <t>(V)114蔬食鮪魚</t>
  </si>
  <si>
    <t>調味扇貝柱-F</t>
  </si>
  <si>
    <t>個</t>
    <phoneticPr fontId="27" type="noConversion"/>
  </si>
  <si>
    <t>壹號醬炙烤牛飯糰</t>
    <phoneticPr fontId="27" type="noConversion"/>
  </si>
  <si>
    <t>贅沢鮭魚肚飯糰</t>
    <phoneticPr fontId="27" type="noConversion"/>
  </si>
  <si>
    <t>烤銀鮭魚肚</t>
  </si>
  <si>
    <t>雞肉飯飯糰</t>
    <phoneticPr fontId="27" type="noConversion"/>
  </si>
  <si>
    <t>鮪魚飯糰</t>
    <phoneticPr fontId="27" type="noConversion"/>
  </si>
  <si>
    <t>鹽蔥燒肉飯糰</t>
    <phoneticPr fontId="27" type="noConversion"/>
  </si>
  <si>
    <t>煮五目炊飯(115年)</t>
  </si>
  <si>
    <t>煮醬油膏</t>
  </si>
  <si>
    <t>北海道秋鮭親子飯糰</t>
    <phoneticPr fontId="27" type="noConversion"/>
  </si>
  <si>
    <t>明太子龍蝦風味沙拉飯糰</t>
    <phoneticPr fontId="27" type="noConversion"/>
  </si>
  <si>
    <t>熟成紅鮭飯糰</t>
    <phoneticPr fontId="27" type="noConversion"/>
  </si>
  <si>
    <t>經典肉鬆飯糰</t>
    <phoneticPr fontId="27" type="noConversion"/>
  </si>
  <si>
    <t>蔬食鮪魚飯糰</t>
    <phoneticPr fontId="27" type="noConversion"/>
  </si>
  <si>
    <t>兩粒飯糰 (鮪魚.焦糖鮭魚)</t>
    <phoneticPr fontId="27" type="noConversion"/>
  </si>
  <si>
    <t>拌鮭魚沙拉(兩粒)</t>
  </si>
  <si>
    <t>拌焦糖沙拉</t>
  </si>
  <si>
    <t>煮五穀大麥飯</t>
  </si>
  <si>
    <t>煮柚子醬油(雞胸用)</t>
  </si>
  <si>
    <t>切烤柚香雞胸肉</t>
  </si>
  <si>
    <t>日式鮭魚茶泡烤飯</t>
  </si>
  <si>
    <t>糖燻野郎三十天熟成牛飯(115年)</t>
  </si>
  <si>
    <t>細切海苔(2mm*5cm)</t>
  </si>
  <si>
    <t>2019傳統芥末醬</t>
  </si>
  <si>
    <t>調味鮭魚熟碎肉CL</t>
  </si>
  <si>
    <t>泡飯-柴魚湯凍(115年)</t>
  </si>
  <si>
    <t>泡飯用-炒蛋碎(115年)</t>
  </si>
  <si>
    <t>消毒蔥花</t>
  </si>
  <si>
    <t>自製香鬆(115年)</t>
  </si>
  <si>
    <t>冷藏便當飯(109年)</t>
  </si>
  <si>
    <t>烤黑胡椒洋蔥絲</t>
  </si>
  <si>
    <t>切-烤牛五花(115年)</t>
  </si>
  <si>
    <t>野郎醬(112年)</t>
  </si>
  <si>
    <t>辣炒酸菜碎</t>
  </si>
  <si>
    <t>小磨坊殺菌七味唐辛子(B070</t>
  </si>
  <si>
    <t>烤大三角飯糰(115年)</t>
  </si>
  <si>
    <t>便當</t>
    <phoneticPr fontId="27" type="noConversion"/>
  </si>
  <si>
    <t>煮麥仁薑黃飯(113年)</t>
  </si>
  <si>
    <t>(V)川燙小青花菜</t>
  </si>
  <si>
    <t>煮紅蘿蔔塊(VN101)</t>
  </si>
  <si>
    <t>蒜炒紅k高麗菜(111年)</t>
  </si>
  <si>
    <t>切烤雞胸肉(111年)</t>
  </si>
  <si>
    <t>透明湯凍(明膠)</t>
  </si>
  <si>
    <t>煮布格麥飯</t>
  </si>
  <si>
    <t>煮茄汁豆腐</t>
  </si>
  <si>
    <t>川燙青白花菜</t>
  </si>
  <si>
    <t>義式炒洋菇片(115年)</t>
  </si>
  <si>
    <t>川燙毛豆玉米</t>
  </si>
  <si>
    <t>雙拼炒混蔬</t>
  </si>
  <si>
    <t>炒筍絲冬粉</t>
  </si>
  <si>
    <t>醬香醬汁</t>
  </si>
  <si>
    <t>炒酸菜</t>
  </si>
  <si>
    <t>8切-烤湖鹽香腸</t>
  </si>
  <si>
    <t>蒜炒紅K油菜(A7)</t>
  </si>
  <si>
    <t>烤照燒雞腿丁</t>
  </si>
  <si>
    <t>炒豆酥</t>
  </si>
  <si>
    <t>十八穀米飯(112年)</t>
  </si>
  <si>
    <t>炒紅K碎蛋</t>
  </si>
  <si>
    <t>煮多穀紫米飯</t>
  </si>
  <si>
    <t>餐盒用-三色高麗菜</t>
  </si>
  <si>
    <t>炒黑胡椒豆芽(餐盒)</t>
  </si>
  <si>
    <t>蒜香奶油檸檬醬</t>
  </si>
  <si>
    <t>辣滷冬粉</t>
  </si>
  <si>
    <t>炒蔥花碎蛋</t>
  </si>
  <si>
    <t>烤12切家常豆腐</t>
  </si>
  <si>
    <t>6切-烤醃漬咖哩腿排</t>
  </si>
  <si>
    <t>地中海布格麥烤魚餐盒</t>
    <phoneticPr fontId="27" type="noConversion"/>
  </si>
  <si>
    <t>烤去骨鱈魚片</t>
  </si>
  <si>
    <t>嫩烤香料雞胸排蔬滿盒</t>
    <phoneticPr fontId="27" type="noConversion"/>
  </si>
  <si>
    <t>60切-烤豆腐蛋白丁</t>
  </si>
  <si>
    <t>整顆切片水煮蛋</t>
  </si>
  <si>
    <t>烤黑胡椒清肉排</t>
  </si>
  <si>
    <t>懷舊滷雙拼便當</t>
    <phoneticPr fontId="27" type="noConversion"/>
  </si>
  <si>
    <t>蒸薄切里肌片</t>
  </si>
  <si>
    <t>蒸黑滷D4棒</t>
  </si>
  <si>
    <t>海陸雙拼肉肉餐盒</t>
    <phoneticPr fontId="27" type="noConversion"/>
  </si>
  <si>
    <t>烤厚烘蔥蛋(114年)</t>
  </si>
  <si>
    <t>烤蛋白餐盒</t>
    <phoneticPr fontId="27" type="noConversion"/>
  </si>
  <si>
    <t>6切-烤義式腿排(113年)</t>
  </si>
  <si>
    <t>蔬活腿排補力餐盒</t>
    <phoneticPr fontId="27" type="noConversion"/>
  </si>
  <si>
    <t>義式烤馬鈴薯</t>
  </si>
  <si>
    <t>香檸奶油魚排蔬滿盒</t>
    <phoneticPr fontId="27" type="noConversion"/>
  </si>
  <si>
    <t>蒸玉米塊</t>
  </si>
  <si>
    <t>烤巴沙魚排</t>
  </si>
  <si>
    <t>香腸腿排雙拼便當</t>
    <phoneticPr fontId="27" type="noConversion"/>
  </si>
  <si>
    <t>7切-烤蜜汁腿排</t>
  </si>
  <si>
    <t>對切-烤蒜味香腸(台畜)</t>
  </si>
  <si>
    <t>焗飯-奶香白醬(114年)</t>
  </si>
  <si>
    <t>12切-德式香腸</t>
  </si>
  <si>
    <t>炒培根片(114年)</t>
  </si>
  <si>
    <t>蒸蛤蜊-肉(VN151)</t>
  </si>
  <si>
    <t>新精選雙色起司絲</t>
  </si>
  <si>
    <t>焗飯-義式蕃茄紅醬</t>
  </si>
  <si>
    <t>4切-焗烤起司片(大)</t>
  </si>
  <si>
    <t>10切-好粗煙燻德腸</t>
  </si>
  <si>
    <t>西班牙燉飯(115年)</t>
  </si>
  <si>
    <t>煮蝦湯凍</t>
  </si>
  <si>
    <t>油煮蛤蜊-肉(燉飯)</t>
  </si>
  <si>
    <t>蒸燻腸片</t>
  </si>
  <si>
    <t>西班牙烤雞腿丁(115年)</t>
  </si>
  <si>
    <t>歐姆蛋-黑咖哩醬</t>
  </si>
  <si>
    <t>歐姆蛋(110年)</t>
  </si>
  <si>
    <t>川燙紅蘿蔔塊2cm</t>
  </si>
  <si>
    <t>8切-日式里肌豬排</t>
  </si>
  <si>
    <t>奶香起司醬</t>
  </si>
  <si>
    <t>燉飯青醬(115年)</t>
  </si>
  <si>
    <t>烤燉飯魚排</t>
  </si>
  <si>
    <t>川燙紅椒玉米</t>
  </si>
  <si>
    <t>蘑菇白醬</t>
  </si>
  <si>
    <t>5切法式炸雞排</t>
  </si>
  <si>
    <t>混-黑胡椒粒洋香菜葉(歐姆蛋飯用)</t>
  </si>
  <si>
    <t>煮16+11壽司飯(114年)</t>
  </si>
  <si>
    <t>4切手卷火腿</t>
  </si>
  <si>
    <t>消毒小黃瓜條</t>
  </si>
  <si>
    <t>80切-烤薄蛋磚</t>
  </si>
  <si>
    <t>焙炒芝麻肉鬆</t>
  </si>
  <si>
    <t>殺菌洋香菜葉KU(250公克)</t>
  </si>
  <si>
    <t>熟化去皮馬鈴薯滾刀17-23公克</t>
  </si>
  <si>
    <t>熟化帶皮黃肉地瓜滾刀7-13公克 (340公克/包)</t>
  </si>
  <si>
    <t>對切-蒸新蟹味棒</t>
  </si>
  <si>
    <t>拌海鮮總匯沙拉(手卷)</t>
  </si>
  <si>
    <t>拌鮪魚沙拉(手卷)</t>
  </si>
  <si>
    <t>對切-殺菌蟹味條</t>
  </si>
  <si>
    <t>48切-柴魚蛋磚</t>
  </si>
  <si>
    <t>拌鮭魚沙拉(手卷)</t>
  </si>
  <si>
    <t>調味油豆腐皮(全素)</t>
  </si>
  <si>
    <t>蒸蟹味棒CL</t>
  </si>
  <si>
    <t>(V)消毒小黃瓜絲</t>
  </si>
  <si>
    <t>煮酸辣醬(115.07)</t>
  </si>
  <si>
    <t>炫彩壽司豆皮-黃</t>
  </si>
  <si>
    <t>益利抹醬A7</t>
  </si>
  <si>
    <t>煮泰式檸檬醬</t>
  </si>
  <si>
    <t>(V)川燙紅蘿蔔絲3mm</t>
  </si>
  <si>
    <t>炫彩壽司豆皮-梔子紫</t>
  </si>
  <si>
    <t>煮一見鍾情飯</t>
    <phoneticPr fontId="27" type="noConversion"/>
  </si>
  <si>
    <t>冷凍鮭魚骰子丁(蔥鹽風味)</t>
    <phoneticPr fontId="27" type="noConversion"/>
  </si>
  <si>
    <t>鹽蔥醬(飯糰)</t>
    <phoneticPr fontId="27" type="noConversion"/>
  </si>
  <si>
    <t>冷凍調味鱒鮭魚卵公克L10-3</t>
  </si>
  <si>
    <t>健身G肉餐盒</t>
    <phoneticPr fontId="27" type="noConversion"/>
  </si>
  <si>
    <t>肉鬆火腿細卷</t>
    <phoneticPr fontId="27" type="noConversion"/>
  </si>
  <si>
    <t>大溪</t>
    <phoneticPr fontId="27" type="noConversion"/>
  </si>
  <si>
    <t>煮16+11壽司飯(115年)(4度)</t>
  </si>
  <si>
    <t>10切手卷火腿</t>
  </si>
  <si>
    <t>鮪魚昆布細卷</t>
    <phoneticPr fontId="27" type="noConversion"/>
  </si>
  <si>
    <t>拌細卷鮪魚沙拉(115年)</t>
  </si>
  <si>
    <t>海陸雙拼壽司</t>
    <phoneticPr fontId="27" type="noConversion"/>
  </si>
  <si>
    <t>拌紐奧良風味沙拉</t>
  </si>
  <si>
    <t>3切-烤卜蜂紐奧良腿排</t>
  </si>
  <si>
    <t>F-101日式蛋黃醬</t>
  </si>
  <si>
    <t>真空殺菌蟹味條</t>
  </si>
  <si>
    <t>消毒切美生菜絲(1cm)</t>
  </si>
  <si>
    <t>麻油雞飯糰</t>
    <phoneticPr fontId="27" type="noConversion"/>
  </si>
  <si>
    <t>拌-麻油飯</t>
  </si>
  <si>
    <t>切麻油雞湯炒菇-雞</t>
  </si>
  <si>
    <t>麻油雞湯炒菇-菇</t>
  </si>
  <si>
    <t>麻油雞湯凍</t>
  </si>
  <si>
    <t>紅標米酒(大)</t>
  </si>
  <si>
    <t>金門高粱香腸飯糰</t>
    <phoneticPr fontId="27" type="noConversion"/>
  </si>
  <si>
    <t>傳統飯糰用飯(115年)</t>
  </si>
  <si>
    <t>烤蒜味湖鹽香腸</t>
  </si>
  <si>
    <t>炒酸菜豬絞肉</t>
  </si>
  <si>
    <t>厚香料優格咖哩烤雞飯卷</t>
    <phoneticPr fontId="27" type="noConversion"/>
  </si>
  <si>
    <t>大口用飯(112年)</t>
  </si>
  <si>
    <t>5切-烤咖哩雞腿排</t>
  </si>
  <si>
    <t>煮飯卷歐姆蛋</t>
  </si>
  <si>
    <t>煮飯卷咖哩醬</t>
  </si>
  <si>
    <t>韓式辣炒豬肉飯卷</t>
    <phoneticPr fontId="27" type="noConversion"/>
  </si>
  <si>
    <t>炒菠菜(飯卷)</t>
  </si>
  <si>
    <t>煮燒肉辣醬</t>
  </si>
  <si>
    <t>炒辣豬肉(飯卷)</t>
  </si>
  <si>
    <t>小吃</t>
    <phoneticPr fontId="27" type="noConversion"/>
  </si>
  <si>
    <t>越式牛肉寬粉</t>
    <phoneticPr fontId="27" type="noConversion"/>
  </si>
  <si>
    <t>蒜頭酥</t>
  </si>
  <si>
    <t>煮牛肉片(A7)</t>
  </si>
  <si>
    <t>三合一味噌湯</t>
    <phoneticPr fontId="27" type="noConversion"/>
  </si>
  <si>
    <t>味噌湯-湯凍(115年)</t>
  </si>
  <si>
    <t>川燙貢丸</t>
  </si>
  <si>
    <t>味噌湯-滑蛋</t>
  </si>
  <si>
    <t>馬鈴薯玉米濃湯</t>
  </si>
  <si>
    <t>B0012AT6118粗粒黑胡椒AF</t>
  </si>
  <si>
    <t>玉米濃湯(115年版)</t>
  </si>
  <si>
    <t>蒸蛋湯</t>
  </si>
  <si>
    <t>蒸蛋體</t>
  </si>
  <si>
    <t>蒸蛋湯</t>
    <phoneticPr fontId="27" type="noConversion"/>
  </si>
  <si>
    <t>馬鈴薯玉米濃湯</t>
    <phoneticPr fontId="27" type="noConversion"/>
  </si>
  <si>
    <t>大滿足香辣涼麵(115年)</t>
  </si>
  <si>
    <t>大滿足麻醬涼麵(115年)</t>
  </si>
  <si>
    <t>大滿足麻醬涼麵(區)</t>
  </si>
  <si>
    <t>和風涓絲冷麵</t>
    <phoneticPr fontId="27" type="noConversion"/>
  </si>
  <si>
    <t>2021傳統芥茉醬</t>
  </si>
  <si>
    <t>嘉義崇文白醋涼麵</t>
    <phoneticPr fontId="27" type="noConversion"/>
  </si>
  <si>
    <t>F-生蒜包</t>
  </si>
  <si>
    <t>嘉義涼麵醬汁包</t>
  </si>
  <si>
    <t>白醋沙拉醬包</t>
  </si>
  <si>
    <t>大滿足香辣涼麵(115年)</t>
    <phoneticPr fontId="27" type="noConversion"/>
  </si>
  <si>
    <t>2021香辣醬油包</t>
  </si>
  <si>
    <t>2022香辣麻醬包</t>
  </si>
  <si>
    <t>大滿足香辣涼麵(區)</t>
    <phoneticPr fontId="27" type="noConversion"/>
  </si>
  <si>
    <t>大滿足麻醬涼麵(115年)</t>
    <phoneticPr fontId="27" type="noConversion"/>
  </si>
  <si>
    <t>2024原味醬油包</t>
  </si>
  <si>
    <t>2021原味麻醬包</t>
  </si>
  <si>
    <t>招牌雞絲胡麻涼麵</t>
    <phoneticPr fontId="27" type="noConversion"/>
  </si>
  <si>
    <t>F-2025胡麻拌麵醬</t>
  </si>
  <si>
    <t>煮傳統冷麵</t>
  </si>
  <si>
    <t>蒸-解凍手撕雞</t>
  </si>
  <si>
    <t>炒醬香豆瓣肉燥</t>
  </si>
  <si>
    <t>日式胡麻雞絲冷麵</t>
    <phoneticPr fontId="27" type="noConversion"/>
  </si>
  <si>
    <t>煮2025屯京冷麵</t>
  </si>
  <si>
    <t>日式蕎麥沾麵</t>
    <phoneticPr fontId="27" type="noConversion"/>
  </si>
  <si>
    <t>2023和風蕎麥醬汁</t>
  </si>
  <si>
    <t>煮熊本蕎麥生麵(角#18)</t>
  </si>
  <si>
    <t>月見烏龍冷麵</t>
    <phoneticPr fontId="27" type="noConversion"/>
  </si>
  <si>
    <t>F-2026日式烏龍醬汁</t>
  </si>
  <si>
    <t>大溪_2024.09.18_健身G肉餐盒_2026.07校正</t>
    <phoneticPr fontId="27" type="noConversion"/>
  </si>
  <si>
    <t>大溪_2025.05.28_嫩烤香料雞胸排蔬滿盒_2026.07校正</t>
    <phoneticPr fontId="27" type="noConversion"/>
  </si>
  <si>
    <t>大溪_2026.05.13_懷舊滷雙拼便當_2026.07校正</t>
    <phoneticPr fontId="27" type="noConversion"/>
  </si>
  <si>
    <t>大溪_2025.10.01_海陸雙拼肉肉餐盒_2026.07校正</t>
    <phoneticPr fontId="27" type="noConversion"/>
  </si>
  <si>
    <t>大溪_2024.09.25_烤蛋白餐盒_2026.07校正</t>
    <phoneticPr fontId="27" type="noConversion"/>
  </si>
  <si>
    <t>大溪_2026.06.24_糖燻野郎三十天熟成牛飯_2026.07校正</t>
    <phoneticPr fontId="27" type="noConversion"/>
  </si>
  <si>
    <t>大溪_2026.07.08_日式鮭魚茶泡烤飯.2026.07校正</t>
    <phoneticPr fontId="27" type="noConversion"/>
  </si>
  <si>
    <t>大溪_2026.07.01地中海布格麥烤魚餐盒_2026.07校正</t>
    <phoneticPr fontId="27" type="noConversion"/>
  </si>
  <si>
    <t>大溪_2025.10.01_蔬活腿排補力餐盒_2026.07校正</t>
    <phoneticPr fontId="27" type="noConversion"/>
  </si>
  <si>
    <t>大溪_2026.04.01香檸奶油魚排蔬滿盒_2026.07校正</t>
    <phoneticPr fontId="27" type="noConversion"/>
  </si>
  <si>
    <t>大溪_2025.10.29_香腸腿排雙拼便當_2026.07校正</t>
    <phoneticPr fontId="27" type="noConversion"/>
  </si>
  <si>
    <t>大溪_2025.05.27_二配哞哞培根奶香海陸焗飯_2026.07校正</t>
    <phoneticPr fontId="27" type="noConversion"/>
  </si>
  <si>
    <t>大溪_2026.06.23_二配西班牙風味海鮮燉飯_2026.07校正</t>
    <phoneticPr fontId="27" type="noConversion"/>
  </si>
  <si>
    <t>大溪_2026.03.03.二配濃起司燻腸紅醬焗烤飯_2026.07校正</t>
    <phoneticPr fontId="27" type="noConversion"/>
  </si>
  <si>
    <t>大溪_2024.10.16_二配里肌豬排可可咖哩歐姆蛋飯_2026.07校正</t>
    <phoneticPr fontId="27" type="noConversion"/>
  </si>
  <si>
    <t>大溪_2026.05.12_二配香烤魚排青醬燉飯_2026.07校正</t>
    <phoneticPr fontId="27" type="noConversion"/>
  </si>
  <si>
    <t>大溪_2024.10.16_二配黃金雞排蘑菇白醬歐姆蛋飯_2026.07校正</t>
    <phoneticPr fontId="27" type="noConversion"/>
  </si>
  <si>
    <t>蒸蛋高湯</t>
    <phoneticPr fontId="27" type="noConversion"/>
  </si>
  <si>
    <t>煮白細麵生(方#5/膠片)</t>
    <phoneticPr fontId="27" type="noConversion"/>
  </si>
  <si>
    <t>大溪_2026.04.15_大滿足香辣涼麵(區)_2026.07校正</t>
    <phoneticPr fontId="27" type="noConversion"/>
  </si>
  <si>
    <t>大溪_2026.04.15_大滿足香辣涼麵_2026.07校正</t>
    <phoneticPr fontId="27" type="noConversion"/>
  </si>
  <si>
    <t>大溪_2026.04.15_大滿足麻醬涼麵_2026.07校正</t>
    <phoneticPr fontId="27" type="noConversion"/>
  </si>
  <si>
    <t>大溪_2026.04.15_大滿足麻醬涼麵(區)_2026.07校正</t>
    <phoneticPr fontId="27" type="noConversion"/>
  </si>
  <si>
    <t>大溪_2026.05.20_日式胡麻雞絲冷麵_2026.07校正</t>
    <phoneticPr fontId="27" type="noConversion"/>
  </si>
  <si>
    <t>大溪_2026.05.27_嘉義崇文白醋涼麵_2026.07校正</t>
    <phoneticPr fontId="27" type="noConversion"/>
  </si>
  <si>
    <t>大溪_2026.07.08_日式蕎麥沾麵_2026.07校正</t>
    <phoneticPr fontId="27" type="noConversion"/>
  </si>
  <si>
    <t>1150722月見烏龍冷麵.確認版(1)</t>
    <phoneticPr fontId="27" type="noConversion"/>
  </si>
  <si>
    <t>大溪_2026.04.15_和風涓絲冷麵_2026.07校正</t>
    <phoneticPr fontId="27" type="noConversion"/>
  </si>
  <si>
    <t>大溪_2026.06.03_招牌雞絲胡麻涼麵_2026.07校正</t>
    <phoneticPr fontId="27" type="noConversion"/>
  </si>
  <si>
    <t>大溪_2026.06.10_越式牛肉寬粉_2026.07校正</t>
    <phoneticPr fontId="27" type="noConversion"/>
  </si>
  <si>
    <t>1150601蒸蛋湯.確認版(2)更新商品規格書</t>
    <phoneticPr fontId="27" type="noConversion"/>
  </si>
  <si>
    <t>1150601三合一味噌湯.確認版(2)更新商品規格書</t>
    <phoneticPr fontId="27" type="noConversion"/>
  </si>
  <si>
    <t>1150601馬鈴薯玉米濃湯.確認版(1)更新商品規格書</t>
    <phoneticPr fontId="27" type="noConversion"/>
  </si>
  <si>
    <t>大溪廠_2026.04.15_柚檸海灣貝飯糰_2026.07校正</t>
    <phoneticPr fontId="27" type="noConversion"/>
  </si>
  <si>
    <t>1150715筋子銀鮭飯糰.確認版(1)</t>
    <phoneticPr fontId="27" type="noConversion"/>
  </si>
  <si>
    <t>大溪_2025.12.31_鮭魚奶油醬油飯糰_2026.07校正</t>
    <phoneticPr fontId="27" type="noConversion"/>
  </si>
  <si>
    <t>大溪廠_2026.05.13_黑胡椒洋蔥豬飯糰_2026.07校正</t>
    <phoneticPr fontId="27" type="noConversion"/>
  </si>
  <si>
    <t>代工品</t>
    <phoneticPr fontId="27" type="noConversion"/>
  </si>
  <si>
    <t>大溪_2026.04.07_大飯糰乾燒風味鮮蝦_2026.06校正</t>
    <phoneticPr fontId="27" type="noConversion"/>
  </si>
  <si>
    <t>大溪廠_2026.06.30_大飯糰泡菜鮪魚_2026.07校正</t>
    <phoneticPr fontId="27" type="noConversion"/>
  </si>
  <si>
    <t>大溪_2025.11.25_大飯糰韓式蒜烤豬五花_2026.07校正</t>
    <phoneticPr fontId="27" type="noConversion"/>
  </si>
  <si>
    <t>大溪_2025.04.30_芝麻香鬆飯糰_2026.07校正</t>
    <phoneticPr fontId="27" type="noConversion"/>
  </si>
  <si>
    <t>大溪_2025.09.10_北海道秋鮭親子飯糰_2026.07校正</t>
    <phoneticPr fontId="27" type="noConversion"/>
  </si>
  <si>
    <t>大溪_2024.05.15_壹號醬炙烤牛飯糰_2026.06校正</t>
    <phoneticPr fontId="27" type="noConversion"/>
  </si>
  <si>
    <t>大溪_2025.05.14_明太子龍蝦風味沙拉飯糰.2026.07校正</t>
    <phoneticPr fontId="27" type="noConversion"/>
  </si>
  <si>
    <t>大溪_2025.09.03_熟成紅鮭飯糰_2026.07校正</t>
    <phoneticPr fontId="27" type="noConversion"/>
  </si>
  <si>
    <t>大溪_2025.10.01_經典肉鬆飯糰_2026.07校正</t>
  </si>
  <si>
    <t>大溪_2025.10.01_經典肉鬆飯糰_2026.07校正</t>
    <phoneticPr fontId="27" type="noConversion"/>
  </si>
  <si>
    <t>大溪_2025.07.23_蔬食鮪魚飯糰_2026.07校正</t>
    <phoneticPr fontId="27" type="noConversion"/>
  </si>
  <si>
    <t>大溪_2025.04.16_贅沢鮭魚肚飯糰_2026.07校正</t>
    <phoneticPr fontId="27" type="noConversion"/>
  </si>
  <si>
    <t>大溪_2023.08.09_雞肉飯飯糰_2026.06校正</t>
    <phoneticPr fontId="27" type="noConversion"/>
  </si>
  <si>
    <t>大溪_2023.08.09_雞肉飯飯糰_2026.06校正</t>
  </si>
  <si>
    <t>大溪_2023.04.19_鮪魚飯糰_2026.06校正</t>
    <phoneticPr fontId="27" type="noConversion"/>
  </si>
  <si>
    <t>大溪_2023.08.16_鹽蔥燒肉飯糰_2026.06校正</t>
    <phoneticPr fontId="27" type="noConversion"/>
  </si>
  <si>
    <t>大溪廠_2026.06.23_鮭魚毛豆炊飯飯糰_2026.07校正</t>
    <phoneticPr fontId="27" type="noConversion"/>
  </si>
  <si>
    <t>大溪_2025.10.29_兩粒飯糰(鮪魚.焦糖鮭魚)_2026.07校正</t>
    <phoneticPr fontId="27" type="noConversion"/>
  </si>
  <si>
    <t>大溪_2026.06.30_柚香雞胸五穀飯糰_2026.06校正</t>
    <phoneticPr fontId="27" type="noConversion"/>
  </si>
  <si>
    <t>1150331溏心蛋五目飯糰.確認版(2)更新裏表頁寫法</t>
    <phoneticPr fontId="27" type="noConversion"/>
  </si>
  <si>
    <t>大溪廠_2026.04.08_經典人氣雙手卷_2026.07校正</t>
    <phoneticPr fontId="27" type="noConversion"/>
  </si>
  <si>
    <t>大溪廠_2026.04.08_鮭鮪海饌雙手卷_2026.07校正</t>
    <phoneticPr fontId="27" type="noConversion"/>
  </si>
  <si>
    <t>1150722青木瓜雞絲泰泰雙手卷.確認版(2)青木瓜絲更新品規</t>
    <phoneticPr fontId="27" type="noConversion"/>
  </si>
  <si>
    <t>1150722鹽蔥生鮭飯糰.確認版(1)</t>
    <phoneticPr fontId="27" type="noConversion"/>
  </si>
  <si>
    <t>1130626麻油雞飯糰.確認版(5)新增微波QR碼</t>
    <phoneticPr fontId="27" type="noConversion"/>
  </si>
  <si>
    <t>1150708金門高粱香腸飯糰.確認版(1)</t>
    <phoneticPr fontId="27" type="noConversion"/>
  </si>
  <si>
    <t>大溪_2026.05.13_鮪魚昆布細卷_2026.07校正</t>
    <phoneticPr fontId="27" type="noConversion"/>
  </si>
  <si>
    <t>大溪_2026.05.13_肉鬆火腿細卷_2026.07校正</t>
    <phoneticPr fontId="27" type="noConversion"/>
  </si>
  <si>
    <t>大溪_2026.05.27_海陸雙拼壽司_2026.07校正</t>
    <phoneticPr fontId="27" type="noConversion"/>
  </si>
  <si>
    <t>大溪廠_2026.06.03_厚香料優格咖哩烤雞飯卷_2026.07校正</t>
  </si>
  <si>
    <t>大溪廠_2026.06.03_厚香料優格咖哩烤雞飯卷_2026.07校正</t>
    <phoneticPr fontId="27" type="noConversion"/>
  </si>
  <si>
    <t>大溪廠_2026.05.20_韓式辣炒豬肉飯卷_2026.07校正</t>
    <phoneticPr fontId="27" type="noConversion"/>
  </si>
  <si>
    <t>V</t>
    <phoneticPr fontId="27" type="noConversion"/>
  </si>
  <si>
    <t>鰹魚昆布醬油包</t>
    <phoneticPr fontId="27" type="noConversion"/>
  </si>
  <si>
    <t>煮白細麵生(方#12)(113年)</t>
    <phoneticPr fontId="27" type="noConversion"/>
  </si>
  <si>
    <t>清洗蔥花</t>
    <phoneticPr fontId="27" type="noConversion"/>
  </si>
  <si>
    <t>小黃瓜絲</t>
    <phoneticPr fontId="27" type="noConversion"/>
  </si>
  <si>
    <t>煮中華冷麵(111年)</t>
    <phoneticPr fontId="27" type="noConversion"/>
  </si>
  <si>
    <t>混合細切蘿蔔絲</t>
    <phoneticPr fontId="27" type="noConversion"/>
  </si>
  <si>
    <t>蒸手撕雞</t>
    <phoneticPr fontId="27" type="noConversion"/>
  </si>
  <si>
    <t>解凍玉子蛋絲</t>
    <phoneticPr fontId="27" type="noConversion"/>
  </si>
  <si>
    <t>清洗小黃瓜絲</t>
    <phoneticPr fontId="27" type="noConversion"/>
  </si>
  <si>
    <t>蒸珍珍蟹味絲CL</t>
    <phoneticPr fontId="27" type="noConversion"/>
  </si>
  <si>
    <t>煮海帶芽(厚)(114年)</t>
    <phoneticPr fontId="27" type="noConversion"/>
  </si>
  <si>
    <t>帶殼溫泉蛋</t>
    <phoneticPr fontId="27" type="noConversion"/>
  </si>
  <si>
    <t>烏龍冷麵(113年)</t>
    <phoneticPr fontId="27" type="noConversion"/>
  </si>
  <si>
    <t>煮寬粉(115年)</t>
    <phoneticPr fontId="27" type="noConversion"/>
  </si>
  <si>
    <t>清洗洋蔥絲</t>
    <phoneticPr fontId="27" type="noConversion"/>
  </si>
  <si>
    <t>115年川燙綠豆芽</t>
    <phoneticPr fontId="27" type="noConversion"/>
  </si>
  <si>
    <t>越式湯凍(115年)</t>
    <phoneticPr fontId="27" type="noConversion"/>
  </si>
  <si>
    <t>川燙蔥花</t>
    <phoneticPr fontId="27" type="noConversion"/>
  </si>
  <si>
    <t>川燙馬鈴薯丁(1x1cm)</t>
    <phoneticPr fontId="27" type="noConversion"/>
  </si>
  <si>
    <t>川燙玉米粒</t>
    <phoneticPr fontId="27" type="noConversion"/>
  </si>
  <si>
    <t>V</t>
    <phoneticPr fontId="27" type="noConversion"/>
  </si>
  <si>
    <t>180切-蒸家常豆腐</t>
    <phoneticPr fontId="27" type="noConversion"/>
  </si>
  <si>
    <t>醬燒炙烤牛飯糰</t>
  </si>
  <si>
    <t>16+11湖鹽飯(109年)</t>
  </si>
  <si>
    <t>煮日式洋蔥醬</t>
  </si>
  <si>
    <t>115年炙燒牛五花</t>
  </si>
  <si>
    <t>飯糰</t>
    <phoneticPr fontId="27" type="noConversion"/>
  </si>
  <si>
    <t>1150826醬燒炙烤牛飯糰.試產版(1)</t>
  </si>
  <si>
    <t>莊子儀</t>
    <phoneticPr fontId="27" type="noConversion"/>
  </si>
  <si>
    <t>益活雞胸補力餐盒</t>
  </si>
  <si>
    <t>麥仁薑黃飯(113年)</t>
  </si>
  <si>
    <t>川燙青花菜</t>
  </si>
  <si>
    <t>拆袋-熟化帶皮紅肉地瓜滾刀7-13g</t>
  </si>
  <si>
    <t>蒸益活雞胸丁</t>
  </si>
  <si>
    <t>蒜炒洋菇片(115年)</t>
  </si>
  <si>
    <t>蒸96切-大漢板豆腐</t>
  </si>
  <si>
    <t>蒜炒紅蘿蔔塊</t>
  </si>
  <si>
    <t>透明湯凍(113年)</t>
  </si>
  <si>
    <t>對切水煮蛋</t>
  </si>
  <si>
    <t>便當</t>
    <phoneticPr fontId="27" type="noConversion"/>
  </si>
  <si>
    <t>1150819益活雞胸補力餐盒.試產版(5)-賣項調整(切刀板)</t>
  </si>
  <si>
    <t>莊子儀</t>
    <phoneticPr fontId="27" type="noConversion"/>
  </si>
  <si>
    <t>原味海苔(透明膠膜)</t>
  </si>
  <si>
    <t>大溪</t>
  </si>
  <si>
    <t>原味海苔(極選膠膜)</t>
  </si>
  <si>
    <t>日式三角芥末海苔</t>
  </si>
  <si>
    <t>大溪廠_2026.04.15_柚檸海灣貝飯糰_2026.07校正</t>
  </si>
  <si>
    <t>原味海苔(透明膠膜)</t>
    <phoneticPr fontId="27" type="noConversion"/>
  </si>
  <si>
    <t>全家三角原味海苔(蔬食版)</t>
  </si>
  <si>
    <t>全家大三角海苔(新版)</t>
  </si>
  <si>
    <t>原味大海苔-(112膠膜)</t>
  </si>
  <si>
    <t>16+11湖鹽飯(肉鬆)</t>
  </si>
  <si>
    <t>(V)炒海苔香鬆</t>
  </si>
  <si>
    <t>原味海苔（極選系列）</t>
  </si>
  <si>
    <t>一見鍾情飯</t>
  </si>
  <si>
    <t>解凍-紅鮭</t>
  </si>
  <si>
    <t>解凍-辛子明太子醬</t>
  </si>
  <si>
    <t>三角原味海苔(極選版)</t>
  </si>
  <si>
    <t>原味海苔(極選膠膜)</t>
    <phoneticPr fontId="27" type="noConversion"/>
  </si>
  <si>
    <t>日式醬油三角海苔CL升級版</t>
    <phoneticPr fontId="27" type="noConversion"/>
  </si>
  <si>
    <t>個</t>
    <phoneticPr fontId="27" type="noConversion"/>
  </si>
  <si>
    <t>原味海苔(透明膠膜)</t>
    <phoneticPr fontId="27" type="noConversion"/>
  </si>
  <si>
    <t>韓式三角玫瑰鹽海苔CL(白版)</t>
  </si>
  <si>
    <t>114年拌鮪魚沙拉(平替)</t>
    <phoneticPr fontId="27" type="noConversion"/>
  </si>
  <si>
    <t>原味海苔(透明膠膜)</t>
    <phoneticPr fontId="27" type="noConversion"/>
  </si>
  <si>
    <t>飯糰</t>
  </si>
  <si>
    <t>1150331溏心蛋五目飯糰.確認版(2)更新裏表頁寫法</t>
  </si>
  <si>
    <t>對切屯京溫泉蛋</t>
  </si>
  <si>
    <t>全家八切燒海苔</t>
  </si>
  <si>
    <t>卷海苔(全形)</t>
  </si>
  <si>
    <t>卷海苔(全形)</t>
    <phoneticPr fontId="27" type="noConversion"/>
  </si>
  <si>
    <t>大溪廠_2026.04.08_經典人氣雙手卷_2026.07校正</t>
  </si>
  <si>
    <t>濾汁-泰式青木瓜絲</t>
  </si>
  <si>
    <t xml:space="preserve">三角原味海苔(極選版) </t>
  </si>
  <si>
    <t>1150722鹽蔥生鮭飯糰.確認版(1)</t>
  </si>
  <si>
    <t>莊子儀</t>
  </si>
  <si>
    <t>1150715筋子銀鮭飯糰.確認版(1)</t>
  </si>
  <si>
    <t>大溪_2025.12.31_鮭魚奶油醬油飯糰_2026.07校正</t>
  </si>
  <si>
    <t>大溪廠_2026.05.13_黑胡椒洋蔥豬飯糰_2026.07校正</t>
  </si>
  <si>
    <t>代工品</t>
  </si>
  <si>
    <t>大溪_2026.04.07_大飯糰乾燒風味鮮蝦_2026.06校正</t>
  </si>
  <si>
    <t>大溪廠_2026.06.30_大飯糰泡菜鮪魚_2026.07校正</t>
  </si>
  <si>
    <t>大溪_2025.11.25_大飯糰韓式蒜烤豬五花_2026.07校正</t>
  </si>
  <si>
    <t>大溪_2025.04.30_芝麻香鬆飯糰_2026.07校正</t>
  </si>
  <si>
    <t>大溪_2025.09.10_北海道秋鮭親子飯糰_2026.07校正</t>
  </si>
  <si>
    <t>大溪_2024.05.15_壹號醬炙烤牛飯糰_2026.06校正</t>
  </si>
  <si>
    <t>大溪_2025.05.14_明太子龍蝦風味沙拉飯糰.2026.07校正</t>
  </si>
  <si>
    <t>大溪_2025.09.03_熟成紅鮭飯糰_2026.07校正</t>
  </si>
  <si>
    <t>大溪_2025.07.23_蔬食鮪魚飯糰_2026.07校正</t>
  </si>
  <si>
    <t>大溪_2025.04.16_贅沢鮭魚肚飯糰_2026.07校正</t>
  </si>
  <si>
    <t>大溪_2023.04.19_鮪魚飯糰_2026.06校正</t>
  </si>
  <si>
    <t>大溪_2023.08.16_鹽蔥燒肉飯糰_2026.06校正</t>
  </si>
  <si>
    <t>大溪_2025.10.29_兩粒飯糰(鮪魚.焦糖鮭魚)_2026.07校正</t>
  </si>
  <si>
    <t>115年16+11壽司飯</t>
  </si>
  <si>
    <t>冷凍鮭魚骰子丁(蔥鹽風味)</t>
  </si>
  <si>
    <t>壽司-日式醬油</t>
  </si>
  <si>
    <t>1150729醬油生鮭脆卷.確認版(1).xlsx</t>
  </si>
  <si>
    <t>1150729醬油生鮭脆卷.確認版(1).xlsx</t>
    <phoneticPr fontId="27" type="noConversion"/>
  </si>
  <si>
    <t>醬油生鮭脆卷</t>
    <phoneticPr fontId="27" type="noConversion"/>
  </si>
  <si>
    <t>原味海苔(手卷膠膜)</t>
  </si>
  <si>
    <t>蒜炒紅K高麗菜(111年)</t>
  </si>
  <si>
    <t>炒玉米筍</t>
  </si>
  <si>
    <t>烤醃藍尾鱈魚(115年)</t>
  </si>
  <si>
    <t>毛豆炒豆乾丁</t>
  </si>
  <si>
    <t>鹹酥雞椒鹽粉</t>
  </si>
  <si>
    <t>1150819香烤鱈魚輕蔬餐盒.確認版(2)修正內容.xlsx</t>
  </si>
  <si>
    <t>1150819香烤鱈魚輕蔬餐盒.確認版(2)修正內容.xlsx</t>
    <phoneticPr fontId="27" type="noConversion"/>
  </si>
  <si>
    <t>香烤鱈魚輕蔬餐盒</t>
    <phoneticPr fontId="27" type="noConversion"/>
  </si>
  <si>
    <t>香蕉卡士達泡芙</t>
    <phoneticPr fontId="27" type="noConversion"/>
  </si>
  <si>
    <t>甜點</t>
    <phoneticPr fontId="27" type="noConversion"/>
  </si>
  <si>
    <t>香蕉卡士達鮮奶油115</t>
    <phoneticPr fontId="27" type="noConversion"/>
  </si>
  <si>
    <t>香蕉巧克力淋面</t>
    <phoneticPr fontId="27" type="noConversion"/>
  </si>
  <si>
    <t>泡芙生地B</t>
    <phoneticPr fontId="27" type="noConversion"/>
  </si>
  <si>
    <t>260819香蕉卡士達泡芙.xlsx</t>
  </si>
  <si>
    <t>莊子儀</t>
    <phoneticPr fontId="27" type="noConversion"/>
  </si>
  <si>
    <t>解凍-鮪魚泥</t>
  </si>
  <si>
    <t>鹽蔥醬(脆卷)</t>
  </si>
  <si>
    <t>蔥花生鮪魚脆卷</t>
  </si>
  <si>
    <t>香濃明太子嫩雞飯卷</t>
    <phoneticPr fontId="27" type="noConversion"/>
  </si>
  <si>
    <t>1150826香濃明太子嫩雞飯卷.試產版(1).xlsx</t>
  </si>
  <si>
    <t>112年大口用飯</t>
  </si>
  <si>
    <t>拌飯卷明太子沙拉</t>
  </si>
  <si>
    <t>切碳烤雞胸排</t>
  </si>
  <si>
    <t>傳統飯糰用飯</t>
  </si>
  <si>
    <t>原味肉鬆CL</t>
  </si>
  <si>
    <t>115年炒碎脯</t>
  </si>
  <si>
    <t>炸吐司邊</t>
  </si>
  <si>
    <t>50切-蔥蛋磚</t>
  </si>
  <si>
    <t>飯糰</t>
    <phoneticPr fontId="27" type="noConversion"/>
  </si>
  <si>
    <t>經典傳統飯糰</t>
    <phoneticPr fontId="27" type="noConversion"/>
  </si>
  <si>
    <t>1150916經典傳統飯糰.試產版(2)補吐司品規.xlsx</t>
    <phoneticPr fontId="27" type="noConversion"/>
  </si>
  <si>
    <t>里肌肉蛋紫米飯糰</t>
    <phoneticPr fontId="27" type="noConversion"/>
  </si>
  <si>
    <t>1150923里肌肉蛋紫米飯糰.試產版(2)補吐司品規，調整微波設定.xlsx</t>
  </si>
  <si>
    <t>煮紫米飯</t>
  </si>
  <si>
    <t>6切-炸醬香里肌片</t>
  </si>
  <si>
    <t>炸土司邊</t>
  </si>
  <si>
    <t>4切滷蛋</t>
  </si>
  <si>
    <t>明太子-柚子風味F</t>
  </si>
  <si>
    <t>解凍海灣貝</t>
  </si>
  <si>
    <t>1151014宮崎柚子明太子干貝飯糰.試產版(2)修正飯步留、干貝品規.xlsx</t>
  </si>
  <si>
    <t>1150826蔥花生鮪魚脆卷.確認版(1).xlsx</t>
  </si>
  <si>
    <t>OK</t>
  </si>
  <si>
    <t>無異常</t>
  </si>
  <si>
    <t>○ 免調理</t>
  </si>
  <si>
    <t>免調理半成品（外購/僅切配等），不列入設備風險評估</t>
  </si>
  <si>
    <t>▲ 單一設備依賴</t>
  </si>
  <si>
    <t>僅依賴1台設備，須確認故障/排修時之備援製程</t>
  </si>
  <si>
    <t>115年煮蒲燒醬</t>
  </si>
  <si>
    <t>115年蒸鰻魚片</t>
  </si>
  <si>
    <t>蒲燒鰻魚飯糰</t>
  </si>
  <si>
    <t>1151021蒲燒鰻魚飯糰.試產版(2)修正飯步留.xlsx</t>
  </si>
  <si>
    <t>1151028日本稻荷壽司.試產版(2)更新裏表文字敘述、豆皮品規.xlsx</t>
  </si>
  <si>
    <t>114年16+11壽司飯</t>
  </si>
  <si>
    <t>濾汁115年豆皮</t>
  </si>
  <si>
    <t>1151014和風豆乳鍋.試產版(1).xlsx</t>
  </si>
  <si>
    <t>煮冬粉(115年)</t>
  </si>
  <si>
    <t>煮味噌豬肉片</t>
  </si>
  <si>
    <t>川燙90切豆腐</t>
  </si>
  <si>
    <t>煮味噌高麗菜</t>
  </si>
  <si>
    <t>煮海帶芽(厚)(114年)</t>
  </si>
  <si>
    <t>川燙蛤蜊(S)</t>
  </si>
  <si>
    <t>川燙紅蘿蔔花</t>
  </si>
  <si>
    <t>味噌豆乳湯凍</t>
  </si>
  <si>
    <t>和風豆乳鍋</t>
    <phoneticPr fontId="27" type="noConversion"/>
  </si>
  <si>
    <t>生鱈魚子鮭魚美乃滋飯糰</t>
  </si>
  <si>
    <t>1150902生鱈魚子鮭魚美乃滋飯糰.試產版(1).xlsx</t>
  </si>
  <si>
    <t>解凍-Kanehuku鱈魚子醬</t>
  </si>
  <si>
    <t>拌bongo鮭魚沙拉</t>
  </si>
  <si>
    <t>1150902蛋黃挽肉飯糰.試產版(1)(濃郁版).xlsx</t>
  </si>
  <si>
    <t>和風滷肉</t>
  </si>
  <si>
    <t>混合蛋黃醬</t>
  </si>
  <si>
    <t>Kewpie美乃滋</t>
  </si>
  <si>
    <t>切美生菜絲1cm</t>
  </si>
  <si>
    <t>對切拉長蝦</t>
  </si>
  <si>
    <t>生菜鮮蝦脆卷</t>
  </si>
  <si>
    <t>1150916生菜鮮蝦脆卷.試產版(1).xlsx</t>
  </si>
  <si>
    <t>16+11湖鹽飯</t>
  </si>
  <si>
    <t>煮熊本味噌醬</t>
  </si>
  <si>
    <t>烤清酒雞腿片</t>
  </si>
  <si>
    <t>九州麥味噌雞肉飯糰</t>
  </si>
  <si>
    <t>1150930熊本麥味噌雞肉飯糰.試產版(2)補充注意事項.xlsx</t>
  </si>
  <si>
    <t>主食</t>
    <phoneticPr fontId="27" type="noConversion"/>
  </si>
  <si>
    <t>起司棉被海陸白醬焗烤飯</t>
    <phoneticPr fontId="27" type="noConversion"/>
  </si>
  <si>
    <t>新低溫飯</t>
  </si>
  <si>
    <t>1150915二配起司棉被海陸白醬焗烤飯.試產版(4)-修正組裝設定.xlsx</t>
  </si>
  <si>
    <t>焗飯-奶香白醬(115年)</t>
  </si>
  <si>
    <t>4切-焗烤雙色起司片</t>
  </si>
  <si>
    <t>12切-湖鹽德式香腸</t>
  </si>
  <si>
    <t>油煮蛤蜊-肉</t>
  </si>
  <si>
    <t>炒解凍11N培根片</t>
  </si>
  <si>
    <t>洋香菜葉KU</t>
  </si>
  <si>
    <t>宮崎柚子明太子干貝飯糰</t>
  </si>
  <si>
    <t>角原味海苔240（極選雙）</t>
  </si>
  <si>
    <t>三角原味海苔240（極選雙）</t>
  </si>
  <si>
    <t>日本稻荷壽司</t>
  </si>
  <si>
    <t>蛋黃挽肉飯糰</t>
  </si>
  <si>
    <t>韓式泡菜冷麵</t>
  </si>
  <si>
    <t xml:space="preserve">煮白細麵生(方#10) </t>
  </si>
  <si>
    <t>1150805韓式泡菜冷麵.試產版(1).xlsx</t>
  </si>
  <si>
    <t>煮麻油海帶芽</t>
  </si>
  <si>
    <t>瀝-僑瑞泡菜片</t>
  </si>
  <si>
    <t>F-韓式涼麵醬包</t>
  </si>
  <si>
    <t>哞哞培根奶香海陸焗飯</t>
    <phoneticPr fontId="27" type="noConversion"/>
  </si>
  <si>
    <t>濃起司燻腸紅醬焗烤飯</t>
    <phoneticPr fontId="27" type="noConversion"/>
  </si>
  <si>
    <t>西班牙風味海鮮燉飯</t>
    <phoneticPr fontId="27" type="noConversion"/>
  </si>
  <si>
    <t>里肌豬排可可咖哩歐姆蛋飯</t>
    <phoneticPr fontId="27" type="noConversion"/>
  </si>
  <si>
    <t>香烤魚排青醬燉飯</t>
    <phoneticPr fontId="27" type="noConversion"/>
  </si>
  <si>
    <t>黃金雞排蘑菇白醬歐姆蛋飯</t>
    <phoneticPr fontId="27" type="noConversion"/>
  </si>
  <si>
    <t>壽司手卷</t>
    <phoneticPr fontId="27" type="noConversion"/>
  </si>
  <si>
    <t>壽司手卷</t>
    <phoneticPr fontId="27" type="noConversion"/>
  </si>
  <si>
    <t>柚檸海灣貝飯糰</t>
    <phoneticPr fontId="27" type="noConversion"/>
  </si>
  <si>
    <t>筋子銀鮭飯糰</t>
    <phoneticPr fontId="27" type="noConversion"/>
  </si>
  <si>
    <t>鮭魚奶油醬油飯糰</t>
    <phoneticPr fontId="27" type="noConversion"/>
  </si>
  <si>
    <t>黑胡椒洋蔥豬飯糰</t>
    <phoneticPr fontId="27" type="noConversion"/>
  </si>
  <si>
    <t>三杯醬爆菇菇飯糰</t>
    <phoneticPr fontId="27" type="noConversion"/>
  </si>
  <si>
    <t>大飯糰乾燒風味鮮蝦</t>
    <phoneticPr fontId="27" type="noConversion"/>
  </si>
  <si>
    <t>大飯糰泡菜鮪魚</t>
    <phoneticPr fontId="27" type="noConversion"/>
  </si>
  <si>
    <t>大飯糰韓式蒜烤豬五花</t>
    <phoneticPr fontId="27" type="noConversion"/>
  </si>
  <si>
    <t>芝麻香鬆飯糰</t>
    <phoneticPr fontId="27" type="noConversion"/>
  </si>
  <si>
    <t>鮭魚毛豆炊飯飯糰</t>
    <phoneticPr fontId="27" type="noConversion"/>
  </si>
  <si>
    <t>柚香雞胸五穀飯糰</t>
    <phoneticPr fontId="27" type="noConversion"/>
  </si>
  <si>
    <t>溏心蛋五目飯糰</t>
    <phoneticPr fontId="27" type="noConversion"/>
  </si>
  <si>
    <t>經典人氣雙手卷</t>
    <phoneticPr fontId="27" type="noConversion"/>
  </si>
  <si>
    <t>鮭鮪海饌雙手卷</t>
    <phoneticPr fontId="27" type="noConversion"/>
  </si>
  <si>
    <t>長野稻荷壽司</t>
    <phoneticPr fontId="27" type="noConversion"/>
  </si>
  <si>
    <t>青木瓜雞絲泰泰雙手卷</t>
    <phoneticPr fontId="27" type="noConversion"/>
  </si>
  <si>
    <t>鹽蔥生鮭飯糰</t>
    <phoneticPr fontId="27" type="noConversion"/>
  </si>
  <si>
    <t>季節調理麵</t>
    <phoneticPr fontId="27" type="noConversion"/>
  </si>
  <si>
    <t>煮16+11湖鹽飯(109年)</t>
    <phoneticPr fontId="27" type="noConversion"/>
  </si>
  <si>
    <t>小吃</t>
  </si>
  <si>
    <t>韓式部隊鍋</t>
    <phoneticPr fontId="27" type="noConversion"/>
  </si>
  <si>
    <t>煮CL麵塊(鍋物)</t>
  </si>
  <si>
    <t>1151028韓式部隊鍋.試產版(1).xlsx</t>
  </si>
  <si>
    <t>炒泡菜大白菜</t>
  </si>
  <si>
    <t>四切三明治火腿4mm片</t>
  </si>
  <si>
    <t>八切蒸四角魚板</t>
  </si>
  <si>
    <t>蒸64切-大漢板豆腐</t>
  </si>
  <si>
    <t>潔淨切達芝士片</t>
  </si>
  <si>
    <t>煮部隊鍋湯凍</t>
  </si>
  <si>
    <t>消毒-小黃瓜條</t>
  </si>
  <si>
    <t>公分</t>
    <phoneticPr fontId="27" type="noConversion"/>
  </si>
  <si>
    <t>小黃瓜壽司卷</t>
  </si>
  <si>
    <t>1151007小黃瓜壽司卷.試產版(2)補上小黃瓜允收標準圖.xlsx</t>
  </si>
  <si>
    <t>香料烤魚青醬燉飯</t>
    <phoneticPr fontId="27" type="noConversion"/>
  </si>
  <si>
    <t>1151021二配香料烤魚青醬燉飯.試產版(1).xlsx</t>
  </si>
  <si>
    <t>莊子儀</t>
    <phoneticPr fontId="27" type="noConversion"/>
  </si>
  <si>
    <t>烤燉飯魚排(紅)</t>
  </si>
  <si>
    <t>主食</t>
  </si>
  <si>
    <t>黑胡椒鐵板雞腿排飯</t>
  </si>
  <si>
    <t>1151013二配黑胡椒鐵板雞腿排飯.試產版(2)-指示書修正.xlsx</t>
  </si>
  <si>
    <t>黑胡椒醬(115年)</t>
  </si>
  <si>
    <t/>
  </si>
  <si>
    <t>狠飽-烤大太陽蛋</t>
  </si>
  <si>
    <t>5切-烤狠飽雞腿排</t>
  </si>
  <si>
    <t>照燒青甘魚飯糰</t>
  </si>
  <si>
    <t>1151111照燒青甘魚飯糰.試產版(1).xlsx</t>
  </si>
  <si>
    <t>煮照燒豆薯醬</t>
  </si>
  <si>
    <t>粗剝-蒸鰤魚</t>
  </si>
  <si>
    <t>三角原味海苔240（白版）</t>
  </si>
  <si>
    <t>蔥鹽雞腿排飯</t>
  </si>
  <si>
    <t>花椰穀物飯</t>
  </si>
  <si>
    <t>1151027二配蔥鹽雞腿排飯.試產版(2)修正調理頁.xlsx</t>
  </si>
  <si>
    <t>炒青江菜</t>
  </si>
  <si>
    <t>川燙白花菜</t>
  </si>
  <si>
    <t>4切-烤蔥鹽雞腿排</t>
  </si>
  <si>
    <t>蔥鹽雞湯凍</t>
  </si>
  <si>
    <t>蔥鹽</t>
  </si>
  <si>
    <t>炒辣椒圓片</t>
  </si>
  <si>
    <t>菠菜牛肉蛋拌飯</t>
  </si>
  <si>
    <t>1151027二配菠菜牛肉蛋拌飯.試產版(2)修正調理頁.xlsx</t>
  </si>
  <si>
    <t>炒蛋</t>
  </si>
  <si>
    <t>炒菠菜油菜</t>
  </si>
  <si>
    <t>炒和尚頭牛肉</t>
  </si>
  <si>
    <t>煮糙米紅藜飯</t>
  </si>
  <si>
    <t>香炒紅K高麗菜</t>
  </si>
  <si>
    <t>切義美滷豆干</t>
  </si>
  <si>
    <t>烤醬香腿丁</t>
  </si>
  <si>
    <t>油烤栗子地瓜</t>
  </si>
  <si>
    <t>輕藜蔬活腿丁餐盒</t>
  </si>
  <si>
    <t>1151028輕藜蔬活腿丁餐盒.試產版(1).xlsx</t>
  </si>
  <si>
    <t>蔬活雞胸補力餐盒</t>
  </si>
  <si>
    <t>1151028蔬活雞胸補力餐盒.試產版(2)修正半成品名稱.xlsx</t>
  </si>
  <si>
    <t>蒜炒紅K高麗菜(115年)</t>
  </si>
  <si>
    <t>4切-烤塔香益活雞胸排</t>
  </si>
  <si>
    <t>焦糖色湯凍</t>
  </si>
  <si>
    <t>洋香菜葉 KU</t>
  </si>
  <si>
    <t>熱調理麵</t>
  </si>
  <si>
    <t>麻油菇菇拌麵</t>
  </si>
  <si>
    <t>(V)煮素黃油麵生(圓#16)</t>
  </si>
  <si>
    <t>1151111麻油菇菇拌麵.試產版(1)-新增八大及成分展開.xlsx</t>
  </si>
  <si>
    <t>(V)煮麻油燴汁</t>
  </si>
  <si>
    <t>(V)炒薑味高麗菜</t>
  </si>
  <si>
    <t>(V)炒切片杏鮑菇(燴麵用)</t>
  </si>
  <si>
    <t>(V)炒-切小平菇</t>
  </si>
  <si>
    <t>(V)烤調味薑片</t>
  </si>
  <si>
    <t>(V)混麻油</t>
  </si>
  <si>
    <t>(V)川燙枸杞</t>
  </si>
  <si>
    <t>115年切筋子(1.25cm)</t>
  </si>
  <si>
    <t>明太子鮭魚卵飯糰</t>
  </si>
  <si>
    <t>1151223明太子鮭魚卵飯糰.試產版(1).xlsx</t>
  </si>
  <si>
    <t>解凍-清珠明太子</t>
  </si>
  <si>
    <t>高熔點起司(再製起司)</t>
  </si>
  <si>
    <t>博多明太子乳酪飯糰</t>
  </si>
  <si>
    <t>1151223博多明太子乳酪飯糰.試產版(1).xlsx</t>
  </si>
  <si>
    <t>狀態</t>
    <phoneticPr fontId="27" type="noConversion"/>
  </si>
  <si>
    <t>下架</t>
  </si>
  <si>
    <t>架上</t>
  </si>
  <si>
    <t>日式鮭魚茶泡烤飯</t>
    <phoneticPr fontId="27" type="noConversion"/>
  </si>
  <si>
    <t>待上架</t>
  </si>
  <si>
    <t xml:space="preserve">主食 </t>
    <phoneticPr fontId="27" type="noConversion"/>
  </si>
  <si>
    <t>完熟番茄燻腸焗烤飯</t>
    <phoneticPr fontId="27" type="noConversion"/>
  </si>
  <si>
    <t>1151118二配完熟番茄燻腸焗烤飯.試產版(1).xlsx</t>
  </si>
  <si>
    <t>焗飯-奶紅醬</t>
  </si>
  <si>
    <t>10切-厚實脆皮德腸</t>
  </si>
  <si>
    <t>椒鹽檸檬鯖魚飯糰</t>
  </si>
  <si>
    <t>1151125椒鹽檸檬鯖魚飯糰.試產版(1).xlsx</t>
  </si>
  <si>
    <t>拌椒鹽檸檬鯖魚</t>
  </si>
  <si>
    <t>莓果淋醬</t>
  </si>
  <si>
    <t>莓果蕾亞起司慕斯鮮奶油</t>
  </si>
  <si>
    <t>蕾亞起司慕斯鮮奶油</t>
  </si>
  <si>
    <t>熟塔皮(80:20)</t>
  </si>
  <si>
    <t>莓莓乳酪慕斯蛋糕</t>
  </si>
  <si>
    <t>甜點</t>
    <phoneticPr fontId="27" type="noConversion"/>
  </si>
  <si>
    <t>-</t>
    <phoneticPr fontId="27" type="noConversion"/>
  </si>
  <si>
    <t>261125莓莓乳酪慕斯蛋糕.xlsx</t>
  </si>
  <si>
    <t>松露雞白湯拉麵</t>
  </si>
  <si>
    <t>煮拉麵(115年)</t>
  </si>
  <si>
    <t>1151125松露雞白湯拉麵.試產版(1).xlsx</t>
  </si>
  <si>
    <t>清洗紫洋蔥絲</t>
  </si>
  <si>
    <t>炒調味筍干</t>
  </si>
  <si>
    <t>切-烤原淬醃漬嫩雞胸CL</t>
  </si>
  <si>
    <t>清洗青蔥絲</t>
  </si>
  <si>
    <t>Coccia 純素松露醬</t>
  </si>
  <si>
    <t>雞白湯凍(115年)</t>
  </si>
  <si>
    <t>東京豚骨風味拉麵</t>
  </si>
  <si>
    <t>1151209東京豚骨風味拉麵.試產版(1).xlsx</t>
  </si>
  <si>
    <t>蒸醬香五花叉燒切片CL</t>
  </si>
  <si>
    <t>清洗蔥花</t>
  </si>
  <si>
    <t>豚骨醬油湯凍(114年)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</si>
</sst>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.0\%"/>
    <numFmt numFmtId="178" formatCode="0\%"/>
    <numFmt xmlns="http://schemas.openxmlformats.org/spreadsheetml/2006/main" numFmtId="179" formatCode="0"/>
  </numFmts>
  <fonts count="59"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36"/>
      <scheme val="minor"/>
    </font>
    <font>
      <b/>
      <sz val="18"/>
      <color rgb="FFFFFFFF"/>
      <name val="Noto Sans CJK SC"/>
      <family val="2"/>
    </font>
    <font>
      <b/>
      <sz val="12"/>
      <color rgb="FF444441"/>
      <name val="Noto Sans CJK SC"/>
      <family val="2"/>
    </font>
    <font>
      <b/>
      <sz val="10"/>
      <color rgb="FF444441"/>
      <name val="Noto Sans CJK SC"/>
      <family val="2"/>
    </font>
    <font>
      <sz val="10"/>
      <color rgb="FF444441"/>
      <name val="微軟正黑體"/>
      <family val="2"/>
      <charset val="136"/>
    </font>
    <font>
      <b/>
      <sz val="11"/>
      <color rgb="FF444441"/>
      <name val="微軟正黑體"/>
      <family val="2"/>
      <charset val="136"/>
    </font>
    <font>
      <b/>
      <sz val="10"/>
      <color rgb="FF444441"/>
      <name val="微軟正黑體"/>
      <family val="2"/>
      <charset val="136"/>
    </font>
    <font>
      <b/>
      <sz val="10"/>
      <color rgb="FFFFFFFF"/>
      <name val="Noto Sans CJK SC"/>
      <family val="2"/>
    </font>
    <font>
      <sz val="10"/>
      <color rgb="FF444441"/>
      <name val="Noto Sans CJK SC"/>
      <family val="2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</font>
    <font>
      <b/>
      <sz val="9"/>
      <color rgb="FF808080"/>
      <name val="Noto Sans CJK SC"/>
      <family val="2"/>
    </font>
    <font>
      <sz val="9"/>
      <color rgb="FF444441"/>
      <name val="微軟正黑體"/>
      <family val="2"/>
      <charset val="136"/>
    </font>
    <font>
      <b/>
      <sz val="18"/>
      <color rgb="FFFFFFFF"/>
      <name val="微軟正黑體"/>
      <family val="2"/>
      <charset val="136"/>
    </font>
    <font>
      <b/>
      <sz val="12"/>
      <color rgb="FF444441"/>
      <name val="微軟正黑體"/>
      <family val="2"/>
      <charset val="136"/>
    </font>
    <font>
      <b/>
      <sz val="12"/>
      <color rgb="FFFFFFFF"/>
      <name val="Noto Sans CJK SC"/>
      <family val="2"/>
    </font>
    <font>
      <b/>
      <sz val="12"/>
      <color rgb="FFFFFFFF"/>
      <name val="微軟正黑體"/>
      <family val="2"/>
      <charset val="136"/>
    </font>
    <font>
      <sz val="8"/>
      <color rgb="FF808080"/>
      <name val="Noto Sans CJK SC"/>
      <family val="2"/>
    </font>
    <font>
      <sz val="8"/>
      <color rgb="FF808080"/>
      <name val="微軟正黑體"/>
      <family val="2"/>
      <charset val="136"/>
    </font>
    <font>
      <b/>
      <sz val="14"/>
      <color rgb="FF2E7D32"/>
      <name val="Noto Sans CJK SC"/>
      <family val="2"/>
    </font>
    <font>
      <b/>
      <sz val="10"/>
      <color rgb="FF0000FF"/>
      <name val="微軟正黑體"/>
      <family val="2"/>
      <charset val="136"/>
    </font>
    <font>
      <sz val="9"/>
      <color rgb="FF808080"/>
      <name val="Noto Sans CJK SC"/>
      <family val="2"/>
    </font>
    <font>
      <sz val="9"/>
      <color rgb="FF808080"/>
      <name val="微軟正黑體"/>
      <family val="2"/>
      <charset val="136"/>
    </font>
    <font>
      <b/>
      <sz val="11"/>
      <color rgb="FF444441"/>
      <name val="Noto Sans CJK SC"/>
      <family val="2"/>
    </font>
    <font>
      <b/>
      <sz val="10"/>
      <color rgb="FFFFFFFF"/>
      <name val="微軟正黑體"/>
      <family val="2"/>
      <charset val="136"/>
    </font>
    <font>
      <sz val="9"/>
      <color rgb="FF444441"/>
      <name val="Noto Sans CJK SC"/>
      <family val="2"/>
    </font>
    <font>
      <sz val="9"/>
      <name val="細明體"/>
      <family val="3"/>
      <charset val="136"/>
    </font>
    <font>
      <b/>
      <sz val="16"/>
      <color rgb="FF2E7D3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name val="ＭＳ Ｐゴシック"/>
      <family val="2"/>
      <charset val="128"/>
    </font>
    <font>
      <sz val="11"/>
      <name val="ＭＳ Ｐゴシック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19"/>
      <name val="新細明體"/>
      <family val="1"/>
      <charset val="136"/>
    </font>
    <font>
      <sz val="14"/>
      <name val="ＭＳ 明朝"/>
      <family val="3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color rgb="FF444441"/>
      <name val="細明體"/>
      <family val="3"/>
      <charset val="136"/>
    </font>
    <font>
      <b/>
      <sz val="12"/>
      <color rgb="FFFFFFFF"/>
      <name val="細明體"/>
      <family val="3"/>
      <charset val="136"/>
    </font>
    <font xmlns="http://schemas.openxmlformats.org/spreadsheetml/2006/main">
      <sz val="10"/>
      <color theme="1"/>
      <name val="微軟正黑體"/>
      <family val="2"/>
    </font>
    <font xmlns="http://schemas.openxmlformats.org/spreadsheetml/2006/main">
      <sz val="11"/>
      <color theme="1"/>
      <name val="Calibri"/>
      <family val="2"/>
    </font>
    <font xmlns="http://schemas.openxmlformats.org/spreadsheetml/2006/main">
      <b/>
      <sz val="10"/>
      <color theme="1"/>
      <name val="微軟正黑體"/>
      <family val="2"/>
    </font>
  </fonts>
  <fills count="32">
    <fill>
      <patternFill patternType="none"/>
    </fill>
    <fill>
      <patternFill patternType="gray125"/>
    </fill>
    <fill>
      <patternFill patternType="solid">
        <fgColor rgb="FF00A44A"/>
        <bgColor rgb="FF2E7D32"/>
      </patternFill>
    </fill>
    <fill>
      <patternFill patternType="solid">
        <fgColor rgb="FFFAEEDA"/>
        <bgColor rgb="FFFDECEA"/>
      </patternFill>
    </fill>
    <fill>
      <patternFill patternType="solid">
        <fgColor rgb="FFFFFFCC"/>
        <bgColor rgb="FFFAEEDA"/>
      </patternFill>
    </fill>
    <fill>
      <patternFill patternType="solid">
        <fgColor rgb="FF444441"/>
        <bgColor rgb="FF333399"/>
      </patternFill>
    </fill>
    <fill>
      <patternFill patternType="solid">
        <fgColor rgb="FF1F77B4"/>
        <bgColor rgb="FF1F5FA8"/>
      </patternFill>
    </fill>
    <fill>
      <patternFill patternType="solid">
        <fgColor rgb="FFE07B00"/>
        <bgColor rgb="FFFF9900"/>
      </patternFill>
    </fill>
    <fill>
      <patternFill patternType="solid">
        <fgColor rgb="FF7B4FA6"/>
        <bgColor rgb="FF8064A2"/>
      </patternFill>
    </fill>
    <fill>
      <patternFill patternType="solid">
        <fgColor rgb="FF2A9DB0"/>
        <bgColor rgb="FF4BACC6"/>
      </patternFill>
    </fill>
    <fill>
      <patternFill patternType="solid">
        <fgColor rgb="FF808080"/>
        <bgColor rgb="FF878787"/>
      </patternFill>
    </fill>
    <fill>
      <patternFill patternType="solid">
        <fgColor rgb="FFEAF6F1"/>
        <bgColor rgb="FFEDEDED"/>
      </patternFill>
    </fill>
    <fill>
      <patternFill patternType="solid">
        <fgColor rgb="FFEDEDED"/>
        <bgColor rgb="FFEAF6F1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 xmlns="http://schemas.openxmlformats.org/spreadsheetml/2006/main">
      <patternFill patternType="solid">
        <fgColor rgb="FFE7EEF5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150">
    <xf numFmtId="0" fontId="0" fillId="0" borderId="0"/>
    <xf numFmtId="0" fontId="33" fillId="0" borderId="0"/>
    <xf numFmtId="38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4" fillId="0" borderId="0"/>
    <xf numFmtId="0" fontId="33" fillId="0" borderId="0"/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7" fillId="0" borderId="0">
      <alignment vertical="center"/>
    </xf>
    <xf numFmtId="0" fontId="3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7" fillId="0" borderId="0">
      <alignment vertical="center"/>
    </xf>
    <xf numFmtId="0" fontId="37" fillId="0" borderId="0">
      <alignment vertical="center"/>
    </xf>
    <xf numFmtId="0" fontId="34" fillId="0" borderId="0"/>
    <xf numFmtId="0" fontId="33" fillId="0" borderId="0"/>
    <xf numFmtId="0" fontId="33" fillId="0" borderId="0"/>
    <xf numFmtId="0" fontId="37" fillId="0" borderId="0">
      <alignment vertical="center"/>
    </xf>
    <xf numFmtId="0" fontId="33" fillId="0" borderId="0"/>
    <xf numFmtId="43" fontId="38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3" fillId="24" borderId="5" applyNumberFormat="0" applyAlignment="0" applyProtection="0">
      <alignment vertical="center"/>
    </xf>
    <xf numFmtId="0" fontId="43" fillId="24" borderId="5" applyNumberFormat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34" fillId="16" borderId="7" applyNumberFormat="0" applyFont="0" applyAlignment="0" applyProtection="0">
      <alignment vertical="center"/>
    </xf>
    <xf numFmtId="0" fontId="34" fillId="16" borderId="7" applyNumberFormat="0" applyFont="0" applyAlignment="0" applyProtection="0">
      <alignment vertical="center"/>
    </xf>
    <xf numFmtId="0" fontId="33" fillId="16" borderId="7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9" borderId="5" applyNumberFormat="0" applyAlignment="0" applyProtection="0">
      <alignment vertical="center"/>
    </xf>
    <xf numFmtId="0" fontId="50" fillId="19" borderId="5" applyNumberFormat="0" applyAlignment="0" applyProtection="0">
      <alignment vertical="center"/>
    </xf>
    <xf numFmtId="0" fontId="51" fillId="24" borderId="11" applyNumberFormat="0" applyAlignment="0" applyProtection="0">
      <alignment vertical="center"/>
    </xf>
    <xf numFmtId="0" fontId="51" fillId="24" borderId="11" applyNumberFormat="0" applyAlignment="0" applyProtection="0">
      <alignment vertical="center"/>
    </xf>
    <xf numFmtId="0" fontId="52" fillId="29" borderId="12" applyNumberFormat="0" applyAlignment="0" applyProtection="0">
      <alignment vertical="center"/>
    </xf>
    <xf numFmtId="0" fontId="52" fillId="29" borderId="12" applyNumberFormat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0"/>
    <xf numFmtId="38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38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3" fillId="0" borderId="0"/>
    <xf numFmtId="38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8" fillId="0" borderId="0" applyFont="0" applyFill="0" applyBorder="0" applyAlignment="0" applyProtection="0"/>
    <xf numFmtId="38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16" borderId="7" applyNumberFormat="0" applyFont="0" applyAlignment="0" applyProtection="0">
      <alignment vertical="center"/>
    </xf>
    <xf numFmtId="38" fontId="33" fillId="0" borderId="0" applyFont="0" applyFill="0" applyBorder="0" applyAlignment="0" applyProtection="0"/>
    <xf numFmtId="0" fontId="33" fillId="0" borderId="0"/>
    <xf numFmtId="38" fontId="33" fillId="0" borderId="0" applyFont="0" applyFill="0" applyBorder="0" applyAlignment="0" applyProtection="0"/>
    <xf numFmtId="0" fontId="34" fillId="0" borderId="0"/>
    <xf numFmtId="9" fontId="33" fillId="0" borderId="0" applyFont="0" applyFill="0" applyBorder="0" applyAlignment="0" applyProtection="0"/>
    <xf numFmtId="0" fontId="34" fillId="0" borderId="0"/>
    <xf numFmtId="0" fontId="33" fillId="0" borderId="0"/>
    <xf numFmtId="0" fontId="33" fillId="0" borderId="0"/>
    <xf numFmtId="0" fontId="34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/>
    <xf xmlns="http://schemas.openxmlformats.org/spreadsheetml/2006/main" numFmtId="0" fontId="57" fillId="0" borderId="0"/>
  </cellStyleXfs>
  <cellXfs count="79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4" fillId="0" borderId="0" xfId="0" applyFont="1"/>
    <xf numFmtId="0" fontId="18" fillId="0" borderId="0" xfId="0" applyFont="1"/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/>
    <xf numFmtId="0" fontId="9" fillId="0" borderId="0" xfId="0" applyFont="1"/>
    <xf numFmtId="176" fontId="21" fillId="4" borderId="1" xfId="0" applyNumberFormat="1" applyFont="1" applyFill="1" applyBorder="1"/>
    <xf numFmtId="0" fontId="22" fillId="0" borderId="0" xfId="0" applyFont="1"/>
    <xf numFmtId="1" fontId="21" fillId="4" borderId="1" xfId="0" applyNumberFormat="1" applyFont="1" applyFill="1" applyBorder="1"/>
    <xf numFmtId="0" fontId="24" fillId="0" borderId="0" xfId="0" applyFont="1"/>
    <xf numFmtId="0" fontId="25" fillId="5" borderId="1" xfId="0" applyFont="1" applyFill="1" applyBorder="1" applyAlignment="1">
      <alignment horizontal="center"/>
    </xf>
    <xf numFmtId="0" fontId="4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177" fontId="3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5" fillId="5" borderId="13" xfId="0" applyFont="1" applyFill="1" applyBorder="1" applyAlignment="1">
      <alignment horizontal="center" vertical="center" wrapText="1"/>
    </xf>
    <xf numFmtId="0" fontId="55" fillId="5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xmlns="http://schemas.openxmlformats.org/spreadsheetml/2006/main" numFmtId="179" fontId="56" fillId="0" borderId="0" xfId="1149" applyNumberFormat="1" applyFont="1" applyFill="1" applyBorder="1" applyAlignment="1">
      <alignment vertical="center" wrapText="1"/>
    </xf>
    <xf xmlns="http://schemas.openxmlformats.org/spreadsheetml/2006/main" numFmtId="0" fontId="58" fillId="31" borderId="0" xfId="1149" applyNumberFormat="1" applyFont="1" applyFill="1" applyBorder="1" applyAlignment="1">
      <alignment vertical="center"/>
    </xf>
    <xf xmlns="http://schemas.openxmlformats.org/spreadsheetml/2006/main" numFmtId="0" fontId="58" fillId="31" borderId="0" xfId="1149" applyNumberFormat="1" applyFont="1" applyFill="1" applyBorder="1" applyAlignment="1">
      <alignment vertical="center" wrapText="1"/>
    </xf>
    <xf xmlns="http://schemas.openxmlformats.org/spreadsheetml/2006/main" numFmtId="0" fontId="56" fillId="0" borderId="0" xfId="1149" applyNumberFormat="1" applyFont="1" applyFill="1" applyBorder="1" applyAlignment="1">
      <alignment vertical="center"/>
    </xf>
    <xf xmlns="http://schemas.openxmlformats.org/spreadsheetml/2006/main" numFmtId="0" fontId="56" fillId="0" borderId="0" xfId="1149" applyNumberFormat="1" applyFont="1" applyFill="1" applyBorder="1" applyAlignment="1">
      <alignment vertical="center" wrapText="1"/>
    </xf>
  </cellXfs>
  <cellStyles count="1149">
    <cellStyle name="20% - 輔色1 2" xfId="6"/>
    <cellStyle name="20% - 輔色1 3" xfId="7"/>
    <cellStyle name="20% - 輔色2 2" xfId="8"/>
    <cellStyle name="20% - 輔色2 3" xfId="9"/>
    <cellStyle name="20% - 輔色3 2" xfId="10"/>
    <cellStyle name="20% - 輔色3 3" xfId="11"/>
    <cellStyle name="20% - 輔色4 2" xfId="12"/>
    <cellStyle name="20% - 輔色4 3" xfId="13"/>
    <cellStyle name="20% - 輔色5 2" xfId="14"/>
    <cellStyle name="20% - 輔色5 3" xfId="15"/>
    <cellStyle name="20% - 輔色6 2" xfId="16"/>
    <cellStyle name="20% - 輔色6 3" xfId="17"/>
    <cellStyle name="40% - 輔色1 2" xfId="18"/>
    <cellStyle name="40% - 輔色1 3" xfId="19"/>
    <cellStyle name="40% - 輔色2 2" xfId="20"/>
    <cellStyle name="40% - 輔色2 3" xfId="21"/>
    <cellStyle name="40% - 輔色3 2" xfId="22"/>
    <cellStyle name="40% - 輔色3 3" xfId="23"/>
    <cellStyle name="40% - 輔色4 2" xfId="24"/>
    <cellStyle name="40% - 輔色4 3" xfId="25"/>
    <cellStyle name="40% - 輔色5 2" xfId="26"/>
    <cellStyle name="40% - 輔色5 3" xfId="27"/>
    <cellStyle name="40% - 輔色6 2" xfId="28"/>
    <cellStyle name="40% - 輔色6 3" xfId="29"/>
    <cellStyle name="60% - 輔色1 2" xfId="30"/>
    <cellStyle name="60% - 輔色1 3" xfId="31"/>
    <cellStyle name="60% - 輔色2 2" xfId="32"/>
    <cellStyle name="60% - 輔色2 3" xfId="33"/>
    <cellStyle name="60% - 輔色3 2" xfId="34"/>
    <cellStyle name="60% - 輔色3 3" xfId="35"/>
    <cellStyle name="60% - 輔色4 2" xfId="36"/>
    <cellStyle name="60% - 輔色4 3" xfId="37"/>
    <cellStyle name="60% - 輔色5 2" xfId="38"/>
    <cellStyle name="60% - 輔色5 3" xfId="39"/>
    <cellStyle name="60% - 輔色6 2" xfId="40"/>
    <cellStyle name="60% - 輔色6 3" xfId="41"/>
    <cellStyle name="一般" xfId="0" builtinId="0"/>
    <cellStyle name="一般 10" xfId="42"/>
    <cellStyle name="一般 11" xfId="1105"/>
    <cellStyle name="一般 11 2 2" xfId="1139"/>
    <cellStyle name="一般 11 2 2 10" xfId="1143"/>
    <cellStyle name="一般 11 2 2 4" xfId="1144"/>
    <cellStyle name="一般 11 2 2 5 10" xfId="1137"/>
    <cellStyle name="一般 11 4 5 9" xfId="1147"/>
    <cellStyle name="一般 12" xfId="1096"/>
    <cellStyle name="一般 12 2" xfId="1102"/>
    <cellStyle name="一般 13" xfId="1106"/>
    <cellStyle name="一般 13 5" xfId="1146"/>
    <cellStyle name="一般 14" xfId="1"/>
    <cellStyle name="一般 2" xfId="43"/>
    <cellStyle name="一般 2 10" xfId="44"/>
    <cellStyle name="一般 2 10 2" xfId="4"/>
    <cellStyle name="一般 2 10 2 2" xfId="5"/>
    <cellStyle name="一般 2 10 2 2 2" xfId="45"/>
    <cellStyle name="一般 2 10 2 2 2 2" xfId="1141"/>
    <cellStyle name="一般 2 10 2 2 2 3" xfId="1142"/>
    <cellStyle name="一般 2 10 2 3" xfId="46"/>
    <cellStyle name="一般 2 11" xfId="47"/>
    <cellStyle name="一般 2 11 2" xfId="48"/>
    <cellStyle name="一般 2 11 2 2" xfId="1099"/>
    <cellStyle name="一般 2 11 3" xfId="1107"/>
    <cellStyle name="一般 2 12" xfId="49"/>
    <cellStyle name="一般 2 12 2" xfId="50"/>
    <cellStyle name="一般 2 12 3" xfId="1108"/>
    <cellStyle name="一般 2 13" xfId="51"/>
    <cellStyle name="一般 2 13 2" xfId="52"/>
    <cellStyle name="一般 2 13 3" xfId="1109"/>
    <cellStyle name="一般 2 14" xfId="53"/>
    <cellStyle name="一般 2 14 2" xfId="54"/>
    <cellStyle name="一般 2 14 3" xfId="1110"/>
    <cellStyle name="一般 2 15" xfId="55"/>
    <cellStyle name="一般 2 15 2" xfId="56"/>
    <cellStyle name="一般 2 15 3" xfId="1111"/>
    <cellStyle name="一般 2 2" xfId="57"/>
    <cellStyle name="一般 2 2 2" xfId="58"/>
    <cellStyle name="一般 2 2 2 2" xfId="59"/>
    <cellStyle name="一般 2 2 2 2 2" xfId="60"/>
    <cellStyle name="一般 2 2 2 2 3" xfId="1112"/>
    <cellStyle name="一般 2 2 3" xfId="61"/>
    <cellStyle name="一般 2 2 4" xfId="1113"/>
    <cellStyle name="一般 2 3" xfId="62"/>
    <cellStyle name="一般 2 3 2" xfId="63"/>
    <cellStyle name="一般 2 3 3" xfId="1114"/>
    <cellStyle name="一般 2 4" xfId="64"/>
    <cellStyle name="一般 2 4 2" xfId="65"/>
    <cellStyle name="一般 2 4 3" xfId="1115"/>
    <cellStyle name="一般 2 5" xfId="66"/>
    <cellStyle name="一般 2 5 2" xfId="67"/>
    <cellStyle name="一般 2 5 3" xfId="1116"/>
    <cellStyle name="一般 2 6" xfId="68"/>
    <cellStyle name="一般 2 6 2" xfId="69"/>
    <cellStyle name="一般 2 6 3" xfId="1117"/>
    <cellStyle name="一般 2 7" xfId="70"/>
    <cellStyle name="一般 2 7 2" xfId="71"/>
    <cellStyle name="一般 2 7 3" xfId="1118"/>
    <cellStyle name="一般 2 8" xfId="72"/>
    <cellStyle name="一般 2 8 2" xfId="73"/>
    <cellStyle name="一般 2 8 3" xfId="1119"/>
    <cellStyle name="一般 2 9" xfId="74"/>
    <cellStyle name="一般 2 9 2" xfId="75"/>
    <cellStyle name="一般 2 9 3" xfId="1120"/>
    <cellStyle name="一般 2_1000419五彩鮮蔬鮭魚飯試產一" xfId="76"/>
    <cellStyle name="一般 3" xfId="77"/>
    <cellStyle name="一般 3 2" xfId="78"/>
    <cellStyle name="一般 3 3" xfId="79"/>
    <cellStyle name="一般 3 4" xfId="80"/>
    <cellStyle name="一般 3 5" xfId="81"/>
    <cellStyle name="一般 3 6" xfId="82"/>
    <cellStyle name="一般 3 7" xfId="83"/>
    <cellStyle name="一般 3 8" xfId="84"/>
    <cellStyle name="一般 3 9" xfId="85"/>
    <cellStyle name="一般 3_(北屏)0714花生太陽蛋三明治.試產版2-1" xfId="86"/>
    <cellStyle name="一般 38" xfId="1148"/>
    <cellStyle name="一般 4" xfId="87"/>
    <cellStyle name="一般 4 2" xfId="88"/>
    <cellStyle name="一般 5" xfId="89"/>
    <cellStyle name="一般 5 2" xfId="90"/>
    <cellStyle name="一般 5 3" xfId="91"/>
    <cellStyle name="一般 6" xfId="92"/>
    <cellStyle name="一般 6 2" xfId="93"/>
    <cellStyle name="一般 6 3" xfId="94"/>
    <cellStyle name="一般 7" xfId="95"/>
    <cellStyle name="一般 7 2" xfId="96"/>
    <cellStyle name="一般 8" xfId="97"/>
    <cellStyle name="一般 9" xfId="98"/>
    <cellStyle name="千分位 2" xfId="99"/>
    <cellStyle name="千分位 2 2" xfId="1121"/>
    <cellStyle name="千分位[0] 10" xfId="1136"/>
    <cellStyle name="千分位[0] 2" xfId="100"/>
    <cellStyle name="千分位[0] 2 2" xfId="101"/>
    <cellStyle name="千分位[0] 2 2 2" xfId="102"/>
    <cellStyle name="千分位[0] 2 2 2 2" xfId="1145"/>
    <cellStyle name="千分位[0] 2 2 2 3 2 2" xfId="1138"/>
    <cellStyle name="千分位[0] 2 2 3" xfId="103"/>
    <cellStyle name="千分位[0] 2 3" xfId="104"/>
    <cellStyle name="千分位[0] 2 3 2" xfId="1100"/>
    <cellStyle name="千分位[0] 3" xfId="105"/>
    <cellStyle name="千分位[0] 3 2" xfId="106"/>
    <cellStyle name="千分位[0] 3 3" xfId="1122"/>
    <cellStyle name="千分位[0] 4" xfId="107"/>
    <cellStyle name="千分位[0] 4 2" xfId="108"/>
    <cellStyle name="千分位[0] 4 2 2" xfId="109"/>
    <cellStyle name="千分位[0] 4 3" xfId="110"/>
    <cellStyle name="千分位[0] 5" xfId="111"/>
    <cellStyle name="千分位[0] 5 2" xfId="112"/>
    <cellStyle name="千分位[0] 5 3" xfId="113"/>
    <cellStyle name="千分位[0] 6" xfId="114"/>
    <cellStyle name="千分位[0] 6 2" xfId="115"/>
    <cellStyle name="千分位[0] 7" xfId="116"/>
    <cellStyle name="千分位[0] 8" xfId="2"/>
    <cellStyle name="千分位[0] 9" xfId="1097"/>
    <cellStyle name="千分位[0] 9 2" xfId="1103"/>
    <cellStyle name="中等 2" xfId="117"/>
    <cellStyle name="中等 3" xfId="118"/>
    <cellStyle name="未定義" xfId="119"/>
    <cellStyle name="未定義 2" xfId="120"/>
    <cellStyle name="合計 2" xfId="121"/>
    <cellStyle name="合計 3" xfId="122"/>
    <cellStyle name="好 2" xfId="123"/>
    <cellStyle name="好 3" xfId="124"/>
    <cellStyle name="好_(北屏)0714花生太陽蛋三明治.試產版2-1" xfId="125"/>
    <cellStyle name="好_(全)日式炸雞親子飯_2012.12.04改" xfId="126"/>
    <cellStyle name="好_(晉欣)0714花生太陽蛋" xfId="127"/>
    <cellStyle name="好_(晉欣)990928勝利豬排三明治--廠務版" xfId="128"/>
    <cellStyle name="好_(晉欣)洋芋炸雞排三明治" xfId="129"/>
    <cellStyle name="好_(晉欣)黃金起士咖哩豬排三明治" xfId="130"/>
    <cellStyle name="好_02芹香海帶" xfId="131"/>
    <cellStyle name="好_0426魚香肉絲-晉欣調理版" xfId="132"/>
    <cellStyle name="好_04豆瓣桂筍" xfId="133"/>
    <cellStyle name="好_0524冷藏北京酢醬麵-晉欣調理版" xfId="134"/>
    <cellStyle name="好_07鮮菇總滙" xfId="135"/>
    <cellStyle name="好_0917日式味噌豚鍋" xfId="136"/>
    <cellStyle name="好_0917台式麻辣鍋" xfId="137"/>
    <cellStyle name="好_0923日式味噌豚鍋" xfId="138"/>
    <cellStyle name="好_1000104薑汁燒肉米堡-確(1)" xfId="139"/>
    <cellStyle name="好_1000411火腿洋芋沙拉佐鮮蔬 試產版2" xfId="140"/>
    <cellStyle name="好_1000411義式雞蛋沙拉 確認版(1)-加貼膠帶版" xfId="141"/>
    <cellStyle name="好_1000412手工雞蛋沙拉三明治.試產版(2)" xfId="142"/>
    <cellStyle name="好_1000531厚切豬排蛋三明治.試1版" xfId="143"/>
    <cellStyle name="好_1001220大口炭烤起司牛肉堡-上市版-屏榮" xfId="144"/>
    <cellStyle name="好_1023日式味噌豚鍋-A" xfId="145"/>
    <cellStyle name="好_10沙茶肉片" xfId="146"/>
    <cellStyle name="好_20100511照燒香雞堡飯糰確1版(廠務)" xfId="147"/>
    <cellStyle name="好_35元麻辣燙" xfId="148"/>
    <cellStyle name="好_951219火腿蛋炒飯-980331" xfId="149"/>
    <cellStyle name="好_96.10.23中式紫米傳統飯糰─廠務版" xfId="150"/>
    <cellStyle name="好_970112冷藏熱烈一番味噌拉麵(調理版)" xfId="151"/>
    <cellStyle name="好_970127冷藏壹番涼麵.確認版(1)" xfId="152"/>
    <cellStyle name="好_970318海苔雞便當(調理版)" xfId="153"/>
    <cellStyle name="好_970401陽光三明治-超厚豬排晉欣版)" xfId="154"/>
    <cellStyle name="好_970414冷藏正宗鰹露蕎麥涼麵.(調理版)" xfId="155"/>
    <cellStyle name="好_970421沙茶魷魚羹(調理版)" xfId="156"/>
    <cellStyle name="好_970505火腿蛋炒飯(調理版)" xfId="157"/>
    <cellStyle name="好_970505冷藏超大份量肉醬義大利麵(調理版)" xfId="158"/>
    <cellStyle name="好_970519陽光鮪魚沙拉(調理版)" xfId="159"/>
    <cellStyle name="好_970520薑汁燒肉便當(廠務版)" xfId="160"/>
    <cellStyle name="好_970520薑汁燒肉便當(調理版)" xfId="161"/>
    <cellStyle name="好_970609冷藏香烤豬排鐵板麵-蘑菇醬.(調理版)" xfId="162"/>
    <cellStyle name="好_970610台式烤肉飯(廠務版)(配菜更換為雪裏紅)" xfId="163"/>
    <cellStyle name="好_970624鮪魚手卷" xfId="164"/>
    <cellStyle name="好_970624鮪魚飯糰" xfId="165"/>
    <cellStyle name="好_970714冷藏韓式泡菜冷麵(調理版)" xfId="166"/>
    <cellStyle name="好_970715香辣雞腿排便當(調理版)" xfId="167"/>
    <cellStyle name="好_970722傳統池上便當-確10" xfId="168"/>
    <cellStyle name="好_970728冷藏日式炒麵(調理版)" xfId="169"/>
    <cellStyle name="好_970729黃金鮪魚&amp;手工蛋沙三明治-廠務版" xfId="170"/>
    <cellStyle name="好_970729黃金鮪魚&amp;手工蛋沙三明治確(3)版" xfId="171"/>
    <cellStyle name="好_970729雙色薯沙三明治確(4)版" xfId="172"/>
    <cellStyle name="好_970730冷藏香烤豬排鐵板麵-更改大口肉片蘑菇醬.(調理版)" xfId="173"/>
    <cellStyle name="好_970804冷藏北海道奶油鮭魚焗烤麵.確認版(5)" xfId="174"/>
    <cellStyle name="好_970804冷藏北海道鮭魚義大利焗烤麵(調理版)" xfId="175"/>
    <cellStyle name="好_970811陽光火腿蛋沙拉(調理版)-1" xfId="176"/>
    <cellStyle name="好_970818沙茶豬柳燴飯(調理版)" xfId="177"/>
    <cellStyle name="好_970819 彰化老店排骨便當-確6" xfId="178"/>
    <cellStyle name="好_970902日式燒肉便浶廠務版)" xfId="179"/>
    <cellStyle name="好_970902日式燒肉便當(廠務版)" xfId="180"/>
    <cellStyle name="好_970902日式燒肉便當(調理版)" xfId="181"/>
    <cellStyle name="好_970908雙餡獨享PIZZA(調理版)" xfId="182"/>
    <cellStyle name="好_970915冷藏起司培根焗麵(調理版)" xfId="183"/>
    <cellStyle name="好_970915冷藏起司培根焗麵-基因改造(調理版)" xfId="184"/>
    <cellStyle name="好_970922宮保雞丁雞燴飯-調理版" xfId="185"/>
    <cellStyle name="好_970923黃金鮪魚蛋三明治-晉欣" xfId="186"/>
    <cellStyle name="好_970929鍋燒意麵-基因改造(調理版)" xfId="187"/>
    <cellStyle name="好_970930傳統壽司組合確3版" xfId="188"/>
    <cellStyle name="好_971002超值便當" xfId="189"/>
    <cellStyle name="好_971008過年便當" xfId="190"/>
    <cellStyle name="好_971020冷藏排骨麵-廠務版-改麵價" xfId="191"/>
    <cellStyle name="好_971021椒鹽雞腿便當(0922提報)" xfId="192"/>
    <cellStyle name="好_971103冷藏一番亭熱烈擔擔麵(調理版)" xfId="193"/>
    <cellStyle name="好_971103沙茶豬肉火鍋.晉欣調理版" xfId="194"/>
    <cellStyle name="好_971103韓式泡菜火鍋.晉欣調理版" xfId="195"/>
    <cellStyle name="好_971110奶油嫩雞義大利麵(調理版)" xfId="196"/>
    <cellStyle name="好_971118北海道鮭魚飯糰廠務版" xfId="197"/>
    <cellStyle name="好_971201冷藏蕃茄海鮮焗麵(調理版)" xfId="198"/>
    <cellStyle name="好_971204福氣團圓便當(豆干版)補提報-2" xfId="199"/>
    <cellStyle name="好_971208冷藏美式燻腸義大利麵-(調理版)" xfId="200"/>
    <cellStyle name="好_971208冷藏美式燻腸義大利麵修改毛利-(廠務版)-加10%水塩度下修-加貼標" xfId="201"/>
    <cellStyle name="好_971215超BIG-肉絲蛋炒飯-晉欣調理版無SOYAUP" xfId="202"/>
    <cellStyle name="好_971216中式蔥蛋烤香腸飯糰-調理(換香腸)" xfId="203"/>
    <cellStyle name="好_971222咖哩烏龍麵(調理版)" xfId="204"/>
    <cellStyle name="好_971223池上招牌飯包.確6" xfId="205"/>
    <cellStyle name="好_980106咖哩雞肉鍋飯--確7" xfId="206"/>
    <cellStyle name="好_980106花壽司組合確1版" xfId="207"/>
    <cellStyle name="好_980112七福卷確2版-廠務" xfId="208"/>
    <cellStyle name="好_980120麻辣豆腐鍋飯--春節期間盒裝豆腐分切3" xfId="209"/>
    <cellStyle name="好_980202黑胡椒豬柳燴飯-確(1)" xfId="210"/>
    <cellStyle name="好_980203古早味傳統香腸飯--確3" xfId="211"/>
    <cellStyle name="好_980210蒙古烤肉鍋飯--確2" xfId="212"/>
    <cellStyle name="好_980216什錦花椰菜(1)" xfId="213"/>
    <cellStyle name="好_980216什錦花椰菜-廠務(5)" xfId="214"/>
    <cellStyle name="好_980216培根高麗菜(6)" xfId="215"/>
    <cellStyle name="好_980216黑胡椒雞鐵板刈包-確(2)" xfId="216"/>
    <cellStyle name="好_980216醬爆牛肉(5)--改塩度" xfId="217"/>
    <cellStyle name="好_980217肉鬆玉米三明治確2版" xfId="218"/>
    <cellStyle name="好_980223元氣-咖哩雞蛋包飯確4版-廠務" xfId="219"/>
    <cellStyle name="好_980303椒鹽香雞排便當-確4(製造日980308  9：00修改總重)" xfId="220"/>
    <cellStyle name="好_980310陽光三明治-黃金蝦堡確3版" xfId="221"/>
    <cellStyle name="好_980310新超值-香炸雞排便當--確7(炸時間修正" xfId="222"/>
    <cellStyle name="好_980310新超值-香炸雞排便當--確8(更換主菜--大成)" xfId="223"/>
    <cellStyle name="好_980310新超值-香炸雞排便當--確8(更換主菜--大成)高麗菜更改配方" xfId="224"/>
    <cellStyle name="好_980317起士牛肉堡確3版廠務版" xfId="225"/>
    <cellStyle name="好_980317新超值-醬燒烤雞便當--確5(乾木耳絲)" xfId="226"/>
    <cellStyle name="好_980323什錦花椰菜-確(1)" xfId="227"/>
    <cellStyle name="好_980323什錦花椰菜-調理版(2)" xfId="228"/>
    <cellStyle name="好_980323脆炒中卷-晉欣調理版" xfId="229"/>
    <cellStyle name="好_980323脆炒中卷-調理版(2)" xfId="230"/>
    <cellStyle name="好_980323培根高麗菜-調理版(2)" xfId="231"/>
    <cellStyle name="好_980323黑胡椒豬柳丁-晉欣調理版" xfId="232"/>
    <cellStyle name="好_980323黑胡椒豬柳-晉欣調理版" xfId="233"/>
    <cellStyle name="好_980323黑胡椒豬柳-調理版(2)" xfId="234"/>
    <cellStyle name="好_980323辣子雞丁-晉欣調理版" xfId="235"/>
    <cellStyle name="好_980323辣子雞丁-調理版(2)" xfId="236"/>
    <cellStyle name="好_980323醬爆牛肉- 確(1)" xfId="237"/>
    <cellStyle name="好_980323醬爆牛肉- 調理版(2)" xfId="238"/>
    <cellStyle name="好_980323醬爆牛肉-晉欣調理版" xfId="239"/>
    <cellStyle name="好_980324筍香拌飯-炸豬排便當-確4" xfId="240"/>
    <cellStyle name="好_980330冷藏香菇肉羹麵(確一)" xfId="241"/>
    <cellStyle name="好_980330冷藏義式臘腸焗烤飯.(調理版)" xfId="242"/>
    <cellStyle name="好_980406什錦豆腐-晉欣調理版" xfId="243"/>
    <cellStyle name="好_980413什錦豆腐-晉欣調理版" xfId="244"/>
    <cellStyle name="好_980413螞蟻上樹-晉欣調理版" xfId="245"/>
    <cellStyle name="好_980414辣子雞丁-晉欣調理版" xfId="246"/>
    <cellStyle name="好_980414韓式梨汁牛肉飯糰確2版" xfId="247"/>
    <cellStyle name="好_980420-肉燥高麗菜-確(3)" xfId="248"/>
    <cellStyle name="好_980420豉汁燒肉--晉欣調理版" xfId="249"/>
    <cellStyle name="好_980420陽光多彩鮮蔬沙拉-確七" xfId="250"/>
    <cellStyle name="好_980421招牌火腿蛋三明治確1版" xfId="251"/>
    <cellStyle name="好_980427冷藏哨子麵-晉欣調理版" xfId="252"/>
    <cellStyle name="好_980427花椰時蔬-晉欣調理版" xfId="253"/>
    <cellStyle name="好_980427彩椒肉絲-晉欣調理版" xfId="254"/>
    <cellStyle name="好_980427魚香干絲-晉欣調理版" xfId="255"/>
    <cellStyle name="好_980428素京醬排骨便當-廠務版" xfId="256"/>
    <cellStyle name="好_980428素京醬排骨便當-確11" xfId="257"/>
    <cellStyle name="好_980504彩椒肉絲-晉欣試吃品調理版" xfId="258"/>
    <cellStyle name="好_980504彩椒肉絲-晉欣調理版" xfId="259"/>
    <cellStyle name="好_980504醬燒魚-晉欣調理版" xfId="260"/>
    <cellStyle name="好_980504鐵板百頁-晉欣調理版" xfId="261"/>
    <cellStyle name="好_980505香菇肉羹飯-調理版(1)" xfId="262"/>
    <cellStyle name="好_980505彰化老店排骨便當-確11" xfId="263"/>
    <cellStyle name="好_980511冷藏超大份量肉醬義大利麵.(調理版)" xfId="264"/>
    <cellStyle name="好_980511陽光火腿鮮蔬沙拉-確二" xfId="265"/>
    <cellStyle name="好_980518冷藏什錦冬粉-確五" xfId="266"/>
    <cellStyle name="好_980518冷藏功夫麵-試產一" xfId="267"/>
    <cellStyle name="好_980519超值雙享–烤雞+京醬肉片便當0506-確6" xfId="268"/>
    <cellStyle name="好_980526法式烤春雞三明治試1版" xfId="269"/>
    <cellStyle name="好_980601冷藏奶油培根義大利麵-確四" xfId="270"/>
    <cellStyle name="好_980601彩椒肉絲-晉欣調理版" xfId="271"/>
    <cellStyle name="好_980608冷藏沙茶綜合羹冬粉.(晉欣調理版)" xfId="272"/>
    <cellStyle name="好_980609三杯雞便當-確3" xfId="273"/>
    <cellStyle name="好_980609沙拉稻荷2入確3版" xfId="274"/>
    <cellStyle name="好_980615沙茶牛肉- 晉欣調理版" xfId="275"/>
    <cellStyle name="好_980616起士玉米蛋三明治.試產版-晉欣" xfId="276"/>
    <cellStyle name="好_980622三杯雞丁- 晉欣調理版" xfId="277"/>
    <cellStyle name="好_980706陽光和風野菜沙拉-晉欣調理版" xfId="278"/>
    <cellStyle name="好_980714法式烤春雞三明治確4版" xfId="279"/>
    <cellStyle name="好_980714法式烤春雞三明治確6版" xfId="280"/>
    <cellStyle name="好_980714法式烤春雞三明治確6版-廠務" xfId="281"/>
    <cellStyle name="好_980714法式烤春雞三明治確9版" xfId="282"/>
    <cellStyle name="好_980714花生太陽蛋三明治確2版" xfId="283"/>
    <cellStyle name="好_980714蔥燒排骨便當確3版" xfId="284"/>
    <cellStyle name="好_980721彩椒肉絲.試產(1)" xfId="285"/>
    <cellStyle name="好_980721港式雙寶飯確3版廠務版" xfId="286"/>
    <cellStyle name="好_980721鮪魚蛋沙拉三明治確6版" xfId="287"/>
    <cellStyle name="好_980727冷藏貢丸米粉湯晉欣調理版" xfId="288"/>
    <cellStyle name="好_980727筍香肉絲" xfId="289"/>
    <cellStyle name="好_980727筍香肉絲-試(2)" xfId="290"/>
    <cellStyle name="好_980727辣子雞丁- 晉欣調理版" xfId="291"/>
    <cellStyle name="好_980728蜜汁香雞排便當-確6" xfId="292"/>
    <cellStyle name="好_980825日式三色雞便當確3版" xfId="293"/>
    <cellStyle name="好_980907冷藏花生錦絲涼麵.晉欣調理版" xfId="294"/>
    <cellStyle name="好_980908洋芋炸雞排三明治廠務版(指示書修正)" xfId="295"/>
    <cellStyle name="好_980922日式咖哩雞飯糰確1版" xfId="296"/>
    <cellStyle name="好_980922和風咖哩雞排便當確1版" xfId="297"/>
    <cellStyle name="好_980922黃金起士咖哩豬排三明治.試產版(1)" xfId="298"/>
    <cellStyle name="好_980922黃金起士咖哩豬排三明治-試1版" xfId="299"/>
    <cellStyle name="好_980栣23醬爆牛肉-晉欣調理版" xfId="300"/>
    <cellStyle name="好_981006迷你便當-三色便當(晉欣)" xfId="301"/>
    <cellStyle name="好_981006黃金蛋皮-普羅旺斯雞排飯糰試2版" xfId="302"/>
    <cellStyle name="好_981006新超值-宮保雞丁便當-確6-廠務版" xfId="303"/>
    <cellStyle name="好_981013黃金起士咖哩豬排三明治-確1版" xfId="304"/>
    <cellStyle name="好_981019冷藏蔥燒牛肉麵-晉欣試產1" xfId="305"/>
    <cellStyle name="好_981020大口義式香草腿排飯糰確1版" xfId="306"/>
    <cellStyle name="好_981020大口義式香草腿排飯糰確3版" xfId="307"/>
    <cellStyle name="好_981109冷藏牛肉湯麵晉欣廠務版" xfId="308"/>
    <cellStyle name="好_981109冷藏波隆納肉醬義大利麵 晉欣調理版" xfId="309"/>
    <cellStyle name="好_981116冷藏台南鍋燒意麵(晉欣調理版)" xfId="310"/>
    <cellStyle name="好_981116冷藏韓式泡菜鍋-廠務" xfId="311"/>
    <cellStyle name="好_981117熱炒68-黑胡椒豬柳便當確3版" xfId="312"/>
    <cellStyle name="好_981117熱炒68-黑胡椒豬柳便當確4版(更改九層塔)" xfId="313"/>
    <cellStyle name="好_981117熱炒系列-三杯雞" xfId="314"/>
    <cellStyle name="好_981117熱炒系列-三杯雞丁" xfId="315"/>
    <cellStyle name="好_981117熱炒系列-黑胡椒豬柳" xfId="316"/>
    <cellStyle name="好_981207冷藏赤坂豚骨拉麵晉欣調理版" xfId="317"/>
    <cellStyle name="好_981214冷藏府城擔仔麵晉欣調理版" xfId="318"/>
    <cellStyle name="好_981215中式蔥蛋烤香腸飯糰試1版" xfId="319"/>
    <cellStyle name="好_981215豬肉漢堡試1版" xfId="320"/>
    <cellStyle name="好_981221冷藏奶油龍蝦義大利麵確認版" xfId="321"/>
    <cellStyle name="好_981229火腿起司飯糰試1版" xfId="322"/>
    <cellStyle name="好_981229迷你-香菇雞便當確5版" xfId="323"/>
    <cellStyle name="好_98818蟹肉沙拉飯糰確1版" xfId="324"/>
    <cellStyle name="好_98818蟹肉沙拉飯糰確1版-廠2010" xfId="325"/>
    <cellStyle name="好_990104沙茶牛肉- 晉欣廠務版" xfId="326"/>
    <cellStyle name="好_990105新超值-黃金豬排便當確3版" xfId="327"/>
    <cellStyle name="好_990126冷藏帕瑪森起司焗麵-晉欣調理版" xfId="328"/>
    <cellStyle name="好_990126虎福卷確3版" xfId="329"/>
    <cellStyle name="好_990222冷藏蛋奶培根義大利麵 晉欣調理版" xfId="330"/>
    <cellStyle name="好_990222冷藏番茄肉醬義大利晉欣確認版0126" xfId="331"/>
    <cellStyle name="好_990311泰式辣炒牛肉" xfId="332"/>
    <cellStyle name="好_990405川味麻辣涼麵-晉欣廠務版" xfId="333"/>
    <cellStyle name="好_990405蝦醬高麗菜-晉欣廠務版(愛味佳能7)" xfId="334"/>
    <cellStyle name="好_990412陽光多彩鮮蔬沙拉-晉欣廠務版" xfId="335"/>
    <cellStyle name="好_990412陽光多彩鮮蔬沙拉-調理版" xfId="336"/>
    <cellStyle name="好_990412義式雞蛋沙拉-晉欣廠務版(蒸馬鈴薯丁)" xfId="337"/>
    <cellStyle name="好_990413千層火腿鮮蔬三明治確1版(廠)" xfId="338"/>
    <cellStyle name="好_990419和風黑醋蕃茄菇沙拉-晉欣廠務版" xfId="339"/>
    <cellStyle name="好_990419馬鈴薯沙拉佐鮮蔬-晉欣廠務版" xfId="340"/>
    <cellStyle name="好_990419馬鈴薯沙拉佐鮮蔬晉欣調理版" xfId="341"/>
    <cellStyle name="好_990419馬鈴薯沙拉佐鮮蔬-試產版" xfId="342"/>
    <cellStyle name="好_990426陽光鮪魚沙拉-晉欣廠務版_增加秤重標準" xfId="343"/>
    <cellStyle name="好_990510冷藏起司雞排義大利麵.晉欣試產版" xfId="344"/>
    <cellStyle name="好_990510冷藏韓式涼麵晉欣廠務版-蒸泡菜" xfId="345"/>
    <cellStyle name="好_990510冷藏韓式涼麵-試產版" xfId="346"/>
    <cellStyle name="好_990510冷藏韓式涼麵-調理版" xfId="347"/>
    <cellStyle name="好_990531冷藏蒜炒羅勒培根義大利麵 晉欣調理版" xfId="348"/>
    <cellStyle name="好_990531辛口咖哩雞燴飯-晉欣調理版" xfId="349"/>
    <cellStyle name="好_990531陽光多彩鮮蔬沙拉-廠務版" xfId="350"/>
    <cellStyle name="好_990608滷香雞腿便當確2版" xfId="351"/>
    <cellStyle name="好_990614冷藏讚岐烏龍冷麵廠務版" xfId="352"/>
    <cellStyle name="好_990614冷藏讚岐烏龍冷麵調理版" xfId="353"/>
    <cellStyle name="好_990614馬鈴薯沙拉佐鮮蔬-千島晉欣廠務版" xfId="354"/>
    <cellStyle name="好_990614馬鈴薯沙拉佐鮮蔬-千島晉欣廠務版-紫高麗絲、牛番茄修正" xfId="355"/>
    <cellStyle name="好_990614鄉村甜薯沙拉晉欣廠務版-紅地瓜修正" xfId="356"/>
    <cellStyle name="好_990628火腿蛋蛋炒飯-晉欣調理版" xfId="357"/>
    <cellStyle name="好_990705燻雞玉米沙拉.廠務版" xfId="358"/>
    <cellStyle name="好_990721XO醬蛋炒飯-晉欣版" xfId="359"/>
    <cellStyle name="好_990721火腿蛋蛋炒飯-晉欣版" xfId="360"/>
    <cellStyle name="好_99076傳統滷味便當0402確認(1)晉欣" xfId="361"/>
    <cellStyle name="好_990802冷藏奶油燻雞義大利麵.北屏" xfId="362"/>
    <cellStyle name="好_990802冷藏隨手杯黑胡椒麵晉欣廠務版" xfId="363"/>
    <cellStyle name="好_990824彰化老店排骨飯-晉欣" xfId="364"/>
    <cellStyle name="好_990831花壽司調理修正cas號碼" xfId="365"/>
    <cellStyle name="好_990906火腿玉子沙拉-晉欣廠務版" xfId="366"/>
    <cellStyle name="好_990928勝利豬排三明治--廠務版修正" xfId="367"/>
    <cellStyle name="好_991004冷藏清水排骨酥麵晉欣調理版" xfId="368"/>
    <cellStyle name="好_991116黃金日式咖哩豬排三明治-廠務版1" xfId="369"/>
    <cellStyle name="好_BIG蕃茄炒飯" xfId="370"/>
    <cellStyle name="好_HMR-炸豆腐" xfId="371"/>
    <cellStyle name="好_人氣雙手卷(地瓜版)" xfId="372"/>
    <cellStyle name="好_人氣雙手卷OK" xfId="373"/>
    <cellStyle name="好_千層火腿玉米沙拉三明治" xfId="374"/>
    <cellStyle name="好_大口肉鬆蛋飯糰─華福" xfId="375"/>
    <cellStyle name="好_大口咖哩豬排飯糰試1版(廠務)" xfId="376"/>
    <cellStyle name="好_大口炭烤豬排飯糰" xfId="377"/>
    <cellStyle name="好_大口黃金蛋皮飯糰" xfId="378"/>
    <cellStyle name="好_大口黃金蛋皮飯糰(黑胡椒洋蔥)" xfId="379"/>
    <cellStyle name="好_大口黑胡椒牛肉漢堡飯糰" xfId="380"/>
    <cellStyle name="好_大吉大利三明治" xfId="381"/>
    <cellStyle name="好_中式黑胡椒醬" xfId="382"/>
    <cellStyle name="好_中式傳統肉鬆飯糰" xfId="383"/>
    <cellStyle name="好_中式傳統糯米飯糰(廠務)試1" xfId="384"/>
    <cellStyle name="好_中式蔥蛋烤香腸飯糰" xfId="385"/>
    <cellStyle name="好_什錦燴飯" xfId="386"/>
    <cellStyle name="好_元氣壽司雙組合" xfId="387"/>
    <cellStyle name="好_元氣蝦堡三明治-美生菜-行銷會議成本試算60g" xfId="388"/>
    <cellStyle name="好_午餐壽司組合" xfId="389"/>
    <cellStyle name="好_手工雞沙肉醬-焗烤厚片" xfId="390"/>
    <cellStyle name="好_日本一番三明治-鮪魚-2" xfId="391"/>
    <cellStyle name="好_日式三色雞便當" xfId="392"/>
    <cellStyle name="好_日式味噌豚鍋--白味噌醬" xfId="393"/>
    <cellStyle name="好_日式味噌豚鍋--紅味噌醬" xfId="394"/>
    <cellStyle name="好_日式咖哩雞肉飯糰" xfId="395"/>
    <cellStyle name="好_日式炒麵堡" xfId="396"/>
    <cellStyle name="好_日式洋蔥味噌鮭魚鍋" xfId="397"/>
    <cellStyle name="好_日式唐揚雞親子飯_2012.11.15" xfId="398"/>
    <cellStyle name="好_日式章魚-PIZZA" xfId="399"/>
    <cellStyle name="好_日式雞唐揚便當自製" xfId="400"/>
    <cellStyle name="好_木須肉0325" xfId="401"/>
    <cellStyle name="好_火腿三明治" xfId="402"/>
    <cellStyle name="好_火腿起司生菜沙拉-晉欣廠務版" xfId="403"/>
    <cellStyle name="好_火腿鮪魚三明治" xfId="404"/>
    <cellStyle name="好_功夫麵" xfId="405"/>
    <cellStyle name="好_古奈屋咖哩烏龍麵--禂度上修(奶油麵粉50g)" xfId="406"/>
    <cellStyle name="好_台式麻辣鍋" xfId="407"/>
    <cellStyle name="好_台式鹹粥" xfId="408"/>
    <cellStyle name="好_奶油摩佐起司焗麵" xfId="409"/>
    <cellStyle name="好_奶油龍蝦焗麵(調理版)" xfId="410"/>
    <cellStyle name="好_奶油龍蝦義大利麵" xfId="411"/>
    <cellStyle name="好_奶油雞丁焗烤麵" xfId="412"/>
    <cellStyle name="好_玉子火腿沙拉" xfId="413"/>
    <cellStyle name="好_玉米蛋沙三明治(20元)" xfId="414"/>
    <cellStyle name="好_白豆醬鲂魚" xfId="415"/>
    <cellStyle name="好_吐司規範" xfId="416"/>
    <cellStyle name="好_池上招牌便當-1" xfId="417"/>
    <cellStyle name="好_肉順ږ沙拉三明治$18(模仿)" xfId="418"/>
    <cellStyle name="好_肉鬆火腿蛋堡" xfId="419"/>
    <cellStyle name="好_肉鬆蛋沙拉三明治$18" xfId="420"/>
    <cellStyle name="好_肉鬆蛋沙拉三明治$18(模仿)" xfId="421"/>
    <cellStyle name="好_肉鬆鮪魚三明治-105" xfId="422"/>
    <cellStyle name="好_西西里海鮮焗烤飯" xfId="423"/>
    <cellStyle name="好_西西里鮪魚蔬菜焗烤飯" xfId="424"/>
    <cellStyle name="好_冷藏九州豚骨拉麵半個蛋" xfId="425"/>
    <cellStyle name="好_冷藏奶油燻雞義大利麵 晉欣試產版" xfId="426"/>
    <cellStyle name="好_冷藏奶油燻雞義大利麵 晉欣調理版" xfId="427"/>
    <cellStyle name="好_冷藏沙茶乾拌麵" xfId="428"/>
    <cellStyle name="好_冷藏沙茶燒肉炒麵-改正好的" xfId="429"/>
    <cellStyle name="好_冷藏咖哩炒麵" xfId="430"/>
    <cellStyle name="好_冷藏紅燒牛肉麵" xfId="431"/>
    <cellStyle name="好_冷藏美式燻腸義大利麵(南區)" xfId="432"/>
    <cellStyle name="好_冷藏香菇雞麵線" xfId="433"/>
    <cellStyle name="好_冷藏海鮮湯麵" xfId="434"/>
    <cellStyle name="好_冷藏海鮮湯麵-干貝" xfId="435"/>
    <cellStyle name="好_冷藏海鮮麵" xfId="436"/>
    <cellStyle name="好_冷藏魚香乾拌麵" xfId="437"/>
    <cellStyle name="好_冷藏榨菜肉絲乾麵- 晉欣調理版" xfId="438"/>
    <cellStyle name="好_冷藏精燉肉燥乾拌麵-升級版" xfId="439"/>
    <cellStyle name="好_冷藏精燉肉燥乾拌麵-調理版0627" xfId="440"/>
    <cellStyle name="好_冷藏蔥燒牛肉麵--35g" xfId="441"/>
    <cellStyle name="好_冷藏蘑菇雞排鐵板麵" xfId="442"/>
    <cellStyle name="好_沙茶肉片炒麵A" xfId="443"/>
    <cellStyle name="好_沙茶肉片燴飯" xfId="444"/>
    <cellStyle name="好_沙茶豬肉便當" xfId="445"/>
    <cellStyle name="好_和風雞絲飯糰-鹽" xfId="446"/>
    <cellStyle name="好_咖哩焗烤飯" xfId="447"/>
    <cellStyle name="好_咖哩豬便當-0618" xfId="448"/>
    <cellStyle name="好_咖哩鍋便當" xfId="449"/>
    <cellStyle name="好_咖哩雞肉烏龍麵" xfId="450"/>
    <cellStyle name="好_咖哩雞肉焗烤飯" xfId="451"/>
    <cellStyle name="好_法式烤春雞三明治" xfId="452"/>
    <cellStyle name="好_炒雞肉絲參考配方" xfId="453"/>
    <cellStyle name="好_芙蓉桂筍-(晉欣調理版)" xfId="454"/>
    <cellStyle name="好_芹香豆干" xfId="455"/>
    <cellStyle name="好_青椒牛柳" xfId="456"/>
    <cellStyle name="好_屏榮-1000412手工雞蛋沙拉三明治.試產版(1)" xfId="457"/>
    <cellStyle name="好_屏榮-1000412手工雞蛋沙拉三明治.試產版(1) (version 1)" xfId="458"/>
    <cellStyle name="好_洋蔥牛肉" xfId="459"/>
    <cellStyle name="好_洋蔥牛肉片" xfId="460"/>
    <cellStyle name="好_紅酒牛肉-燴炒飯" xfId="461"/>
    <cellStyle name="好_紅酒牛肉-燴炒飯(2)" xfId="462"/>
    <cellStyle name="好_紅燒羊肉AJ700 - 寬條冬粉" xfId="463"/>
    <cellStyle name="好_紅燒魯肉" xfId="464"/>
    <cellStyle name="好_美乃滋明太子飯糰" xfId="465"/>
    <cellStyle name="好_美乃滋明太子飯糰(夾心)" xfId="466"/>
    <cellStyle name="好_茄汁雞丁蛋飯糰" xfId="467"/>
    <cellStyle name="好_茄汁雞排堡飯糰(新)" xfId="468"/>
    <cellStyle name="好_香烤豬排蘑菇醬鐵板麵-更改大口肉片" xfId="469"/>
    <cellStyle name="好_香草烤雞三明治" xfId="470"/>
    <cellStyle name="好_香菇肉羹飯" xfId="471"/>
    <cellStyle name="好_香蒜培根義大利麵-區" xfId="472"/>
    <cellStyle name="好_家鄉居雞" xfId="473"/>
    <cellStyle name="好_拿坡里義大利麵-燻雞瑞輝" xfId="474"/>
    <cellStyle name="好_泰式辣炒牛肉" xfId="475"/>
    <cellStyle name="好_烤肉三明治(肉2片美生菜版)改" xfId="476"/>
    <cellStyle name="好_烤肉香腸三明治(肉1.5片小黃瓜版)" xfId="477"/>
    <cellStyle name="好_烤豬肉片三明治( 蛋片版)" xfId="478"/>
    <cellStyle name="好_烤豬肉片三明治(火腿版)" xfId="479"/>
    <cellStyle name="好_起士火腿烤蛋堡" xfId="480"/>
    <cellStyle name="好_起士火腿蛋堡" xfId="481"/>
    <cellStyle name="好_迷你便當-香菇雞" xfId="482"/>
    <cellStyle name="好_商務-香炸雞排_2012.12.04" xfId="483"/>
    <cellStyle name="好_清蒸鲂魚" xfId="484"/>
    <cellStyle name="好_焗烤奶油明太子飯糰" xfId="485"/>
    <cellStyle name="好_焗烤鮭魚飯糰" xfId="486"/>
    <cellStyle name="好_野菇拌飯" xfId="487"/>
    <cellStyle name="好_普羅旺斯烤雞蛋皮飯糰" xfId="488"/>
    <cellStyle name="好_椒麻雞" xfId="489"/>
    <cellStyle name="好_番茄肉醬義大利麵" xfId="490"/>
    <cellStyle name="好_番茄雞肉義大利麵-區" xfId="491"/>
    <cellStyle name="好_超厚火腿多汁蛋沙拉三明治" xfId="492"/>
    <cellStyle name="好_超厚火腿多汁鮪魚三明治" xfId="493"/>
    <cellStyle name="好_開陽滷白菜" xfId="494"/>
    <cellStyle name="好_陽春湯麵-" xfId="495"/>
    <cellStyle name="好_黃金起士双醬薯餅三明治" xfId="496"/>
    <cellStyle name="好_黑胡椒肉片鐵板麵" xfId="497"/>
    <cellStyle name="好_黑胡椒肉片鐵板麵--黑胡椒醬" xfId="498"/>
    <cellStyle name="好_黑胡椒肉排鐵板麵" xfId="499"/>
    <cellStyle name="好_黑胡椒豬肉燴麵" xfId="500"/>
    <cellStyle name="好_圓形飯糰-烤蛋" xfId="501"/>
    <cellStyle name="好_新超值Ⅱ-雞排+糖醋豬肉便當" xfId="502"/>
    <cellStyle name="好_新超值-沙茶豬肉便當" xfId="503"/>
    <cellStyle name="好_新增Microsoft Excel 工作表" xfId="504"/>
    <cellStyle name="好_煙燻鮭魚細卷" xfId="505"/>
    <cellStyle name="好_煙燻鮭魚細卷-鮭魚改用芙滋+華昇的" xfId="506"/>
    <cellStyle name="好_照燒燻雞三明治" xfId="507"/>
    <cellStyle name="好_照燒雞三明治" xfId="508"/>
    <cellStyle name="好_照燒鱒鮭沙拉飯糰(105)" xfId="509"/>
    <cellStyle name="好_義式起司牛肉堡" xfId="510"/>
    <cellStyle name="好_壽司三明治-外" xfId="511"/>
    <cellStyle name="好_滷雞腿便當1--OK" xfId="512"/>
    <cellStyle name="好_滷雞腿便當2--OK" xfId="513"/>
    <cellStyle name="好_蒙古鍋" xfId="514"/>
    <cellStyle name="好_蒲燒鯛魚飯糰(140片)-1221試-提報" xfId="515"/>
    <cellStyle name="好_辣味鮪魚飯糰" xfId="516"/>
    <cellStyle name="好_辣味雞胸排便當" xfId="517"/>
    <cellStyle name="好_辣醬肉燥麵" xfId="518"/>
    <cellStyle name="好_墨西哥牛肉堡" xfId="519"/>
    <cellStyle name="好_熱炒系列-三杯尤魚" xfId="520"/>
    <cellStyle name="好_熱炒系列-回鍋肉" xfId="521"/>
    <cellStyle name="好_熱炒系列-黑胡椒豬柳" xfId="522"/>
    <cellStyle name="好_熱炒系列-蜜汁排骨-1" xfId="523"/>
    <cellStyle name="好_稻荷壽司2入" xfId="524"/>
    <cellStyle name="好_稻荷壽司2入1" xfId="525"/>
    <cellStyle name="好_蔥油雞" xfId="526"/>
    <cellStyle name="好_蔬菜類非綠色蔬菜" xfId="527"/>
    <cellStyle name="好_複本 980915日式三色雞便當色差" xfId="528"/>
    <cellStyle name="好_複製 -990427焗烤茄汁肉醬飯糰試2版" xfId="529"/>
    <cellStyle name="好_複製 -咖哩雞肉焗烤飯" xfId="530"/>
    <cellStyle name="好_豬肉蛋堡(黑胡椒版)" xfId="531"/>
    <cellStyle name="好_豬排蛋中式飯糰" xfId="532"/>
    <cellStyle name="好_醋溜肉片" xfId="533"/>
    <cellStyle name="好_魷魚羹湯" xfId="534"/>
    <cellStyle name="好_燒烤牛肉堡" xfId="535"/>
    <cellStyle name="好_燒烤風-韓式烤肉飯" xfId="536"/>
    <cellStyle name="好_糖醋甜不辣" xfId="537"/>
    <cellStyle name="好_糖醋雞丁" xfId="538"/>
    <cellStyle name="好_蕃茄炒飯" xfId="539"/>
    <cellStyle name="好_蕃茄蛋炒飯調理版" xfId="540"/>
    <cellStyle name="好_鴛鴦鍋-麻辣+昆布柴魚" xfId="541"/>
    <cellStyle name="好_總會三明治" xfId="542"/>
    <cellStyle name="好_醣醋G丁" xfId="543"/>
    <cellStyle name="好_鍋燒意麵--後加沙茶" xfId="544"/>
    <cellStyle name="好_韓式泡菜鍋" xfId="545"/>
    <cellStyle name="好_韓式炊飯炊飯飯糰調理版" xfId="546"/>
    <cellStyle name="好_鮪魚三明治" xfId="547"/>
    <cellStyle name="好_鮪魚茄汁薯餅法式三明治(小黃瓜)" xfId="548"/>
    <cellStyle name="好_鮪魚蛋沙拉三明治試1" xfId="549"/>
    <cellStyle name="好_鮭魚沙拉飯糰(陶30g)" xfId="550"/>
    <cellStyle name="好_鮭魚雞蛋沙拉" xfId="551"/>
    <cellStyle name="好_鮮菇總滙" xfId="552"/>
    <cellStyle name="好_鮮蔬肉鬆三明治" xfId="553"/>
    <cellStyle name="好_燻雞沙威瑪" xfId="554"/>
    <cellStyle name="好_醬汁雞肉飯糰" xfId="555"/>
    <cellStyle name="好_雙蛋多汁三明治" xfId="556"/>
    <cellStyle name="好_雙響纖蔬沙拉三明治" xfId="557"/>
    <cellStyle name="好_雙響纖蔬沙拉三明治(j五彩)" xfId="558"/>
    <cellStyle name="好_雞蛋沙拉三明治" xfId="559"/>
    <cellStyle name="好_雞蛋馬鈴薯沙拉三明治" xfId="560"/>
    <cellStyle name="好_羅勒海瓜子義大利麵" xfId="561"/>
    <cellStyle name="好_蟹肉絲豆腐煲" xfId="562"/>
    <cellStyle name="好_蘑菇腿排鐵板麵" xfId="563"/>
    <cellStyle name="好_蘑菇醬鐵板麵-確認--拉麵" xfId="564"/>
    <cellStyle name="好_蠔油時蔬" xfId="565"/>
    <cellStyle name="好_鹹魚雞粒炒飯" xfId="566"/>
    <cellStyle name="好_鐵板豆腐" xfId="567"/>
    <cellStyle name="好_鹽飯960822" xfId="568"/>
    <cellStyle name="百分比 10" xfId="1140"/>
    <cellStyle name="百分比 2" xfId="569"/>
    <cellStyle name="百分比 2 10" xfId="570"/>
    <cellStyle name="百分比 2 10 2" xfId="571"/>
    <cellStyle name="百分比 2 10 2 2" xfId="1101"/>
    <cellStyle name="百分比 2 10 3" xfId="1123"/>
    <cellStyle name="百分比 2 11" xfId="572"/>
    <cellStyle name="百分比 2 11 2" xfId="573"/>
    <cellStyle name="百分比 2 11 3" xfId="1124"/>
    <cellStyle name="百分比 2 12" xfId="574"/>
    <cellStyle name="百分比 2 12 2" xfId="575"/>
    <cellStyle name="百分比 2 12 3" xfId="1125"/>
    <cellStyle name="百分比 2 13" xfId="576"/>
    <cellStyle name="百分比 2 13 2" xfId="577"/>
    <cellStyle name="百分比 2 13 3" xfId="1126"/>
    <cellStyle name="百分比 2 14" xfId="578"/>
    <cellStyle name="百分比 2 14 2" xfId="579"/>
    <cellStyle name="百分比 2 14 3" xfId="1127"/>
    <cellStyle name="百分比 2 15" xfId="580"/>
    <cellStyle name="百分比 2 2" xfId="581"/>
    <cellStyle name="百分比 2 2 2" xfId="582"/>
    <cellStyle name="百分比 2 2 2 2" xfId="583"/>
    <cellStyle name="百分比 2 2 2 2 2" xfId="584"/>
    <cellStyle name="百分比 2 2 2 2 3" xfId="585"/>
    <cellStyle name="百分比 2 2 3" xfId="586"/>
    <cellStyle name="百分比 2 3" xfId="587"/>
    <cellStyle name="百分比 2 3 2" xfId="588"/>
    <cellStyle name="百分比 2 3 3" xfId="1128"/>
    <cellStyle name="百分比 2 4" xfId="589"/>
    <cellStyle name="百分比 2 4 2" xfId="590"/>
    <cellStyle name="百分比 2 4 3" xfId="1129"/>
    <cellStyle name="百分比 2 5" xfId="591"/>
    <cellStyle name="百分比 2 5 2" xfId="592"/>
    <cellStyle name="百分比 2 5 3" xfId="1130"/>
    <cellStyle name="百分比 2 6" xfId="593"/>
    <cellStyle name="百分比 2 6 2" xfId="594"/>
    <cellStyle name="百分比 2 6 3" xfId="1131"/>
    <cellStyle name="百分比 2 7" xfId="595"/>
    <cellStyle name="百分比 2 7 2" xfId="596"/>
    <cellStyle name="百分比 2 7 3" xfId="1132"/>
    <cellStyle name="百分比 2 8" xfId="597"/>
    <cellStyle name="百分比 2 8 2" xfId="598"/>
    <cellStyle name="百分比 2 8 3" xfId="1133"/>
    <cellStyle name="百分比 2 9" xfId="599"/>
    <cellStyle name="百分比 2 9 2" xfId="600"/>
    <cellStyle name="百分比 2 9 3" xfId="1134"/>
    <cellStyle name="百分比 3" xfId="601"/>
    <cellStyle name="百分比 3 2" xfId="602"/>
    <cellStyle name="百分比 4" xfId="603"/>
    <cellStyle name="百分比 4 2" xfId="604"/>
    <cellStyle name="百分比 4 2 2" xfId="605"/>
    <cellStyle name="百分比 4 3" xfId="606"/>
    <cellStyle name="百分比 4 4" xfId="607"/>
    <cellStyle name="百分比 5" xfId="608"/>
    <cellStyle name="百分比 5 2" xfId="609"/>
    <cellStyle name="百分比 5 3" xfId="610"/>
    <cellStyle name="百分比 6" xfId="611"/>
    <cellStyle name="百分比 6 2" xfId="612"/>
    <cellStyle name="百分比 7" xfId="613"/>
    <cellStyle name="百分比 8" xfId="3"/>
    <cellStyle name="百分比 9" xfId="1098"/>
    <cellStyle name="百分比 9 2" xfId="1104"/>
    <cellStyle name="計算方式 2" xfId="614"/>
    <cellStyle name="計算方式 3" xfId="615"/>
    <cellStyle name="連結的儲存格 2" xfId="616"/>
    <cellStyle name="連結的儲存格 3" xfId="617"/>
    <cellStyle name="備註 2" xfId="618"/>
    <cellStyle name="備註 2 2" xfId="619"/>
    <cellStyle name="備註 2 3" xfId="1135"/>
    <cellStyle name="備註 3" xfId="620"/>
    <cellStyle name="說明文字 2" xfId="621"/>
    <cellStyle name="說明文字 3" xfId="622"/>
    <cellStyle name="輔色1 2" xfId="623"/>
    <cellStyle name="輔色1 3" xfId="624"/>
    <cellStyle name="輔色2 2" xfId="625"/>
    <cellStyle name="輔色2 3" xfId="626"/>
    <cellStyle name="輔色3 2" xfId="627"/>
    <cellStyle name="輔色3 3" xfId="628"/>
    <cellStyle name="輔色4 2" xfId="629"/>
    <cellStyle name="輔色4 3" xfId="630"/>
    <cellStyle name="輔色5 2" xfId="631"/>
    <cellStyle name="輔色5 3" xfId="632"/>
    <cellStyle name="輔色6 2" xfId="633"/>
    <cellStyle name="輔色6 3" xfId="634"/>
    <cellStyle name="標題 1 2" xfId="635"/>
    <cellStyle name="標題 1 3" xfId="636"/>
    <cellStyle name="標題 2 2" xfId="637"/>
    <cellStyle name="標題 2 3" xfId="638"/>
    <cellStyle name="標題 3 2" xfId="639"/>
    <cellStyle name="標題 3 3" xfId="640"/>
    <cellStyle name="標題 4 2" xfId="641"/>
    <cellStyle name="標題 4 3" xfId="642"/>
    <cellStyle name="標題 5" xfId="643"/>
    <cellStyle name="標題 6" xfId="644"/>
    <cellStyle name="輸入 2" xfId="645"/>
    <cellStyle name="輸入 3" xfId="646"/>
    <cellStyle name="輸出 2" xfId="647"/>
    <cellStyle name="輸出 3" xfId="648"/>
    <cellStyle name="檢查儲存格 2" xfId="649"/>
    <cellStyle name="檢查儲存格 3" xfId="650"/>
    <cellStyle name="壞 2" xfId="651"/>
    <cellStyle name="壞 3" xfId="652"/>
    <cellStyle name="壞_(北屏)0714花生太陽蛋三明治.試產版2-1" xfId="653"/>
    <cellStyle name="壞_(全)日式炸雞親子飯_2012.12.04改" xfId="654"/>
    <cellStyle name="壞_(晉欣)0714花生太陽蛋" xfId="655"/>
    <cellStyle name="壞_(晉欣)990928勝利豬排三明治--廠務版" xfId="656"/>
    <cellStyle name="壞_(晉欣)洋芋炸雞排三明治" xfId="657"/>
    <cellStyle name="壞_(晉欣)黃金起士咖哩豬排三明治" xfId="658"/>
    <cellStyle name="壞_02芹香海帶" xfId="659"/>
    <cellStyle name="壞_0426魚香肉絲-晉欣調理版" xfId="660"/>
    <cellStyle name="壞_04豆瓣桂筍" xfId="661"/>
    <cellStyle name="壞_0524冷藏北京酢醬麵-晉欣調理版" xfId="662"/>
    <cellStyle name="壞_07鮮菇總滙" xfId="663"/>
    <cellStyle name="壞_0917日式味噌豚鍋" xfId="664"/>
    <cellStyle name="壞_0917台式麻辣鍋" xfId="665"/>
    <cellStyle name="壞_0923日式味噌豚鍋" xfId="666"/>
    <cellStyle name="壞_1000104薑汁燒肉米堡-確(1)" xfId="667"/>
    <cellStyle name="壞_1000411火腿洋芋沙拉佐鮮蔬 試產版2" xfId="668"/>
    <cellStyle name="壞_1000411義式雞蛋沙拉 確認版(1)-加貼膠帶版" xfId="669"/>
    <cellStyle name="壞_1000412手工雞蛋沙拉三明治.試產版(2)" xfId="670"/>
    <cellStyle name="壞_1000531厚切豬排蛋三明治.試1版" xfId="671"/>
    <cellStyle name="壞_1001220大口炭烤起司牛肉堡-上市版-屏榮" xfId="672"/>
    <cellStyle name="壞_1023日式味噌豚鍋-A" xfId="673"/>
    <cellStyle name="壞_10沙茶肉片" xfId="674"/>
    <cellStyle name="壞_20100511照燒香雞堡飯糰確1版(廠務)" xfId="675"/>
    <cellStyle name="壞_35元麻辣燙" xfId="676"/>
    <cellStyle name="壞_951219火腿蛋炒飯-980331" xfId="677"/>
    <cellStyle name="壞_96.10.23中式紫米傳統飯糰─廠務版" xfId="678"/>
    <cellStyle name="壞_970112冷藏熱烈一番味噌拉麵(調理版)" xfId="679"/>
    <cellStyle name="壞_970127冷藏壹番涼麵.確認版(1)" xfId="680"/>
    <cellStyle name="壞_970318海苔雞便當(調理版)" xfId="681"/>
    <cellStyle name="壞_970401陽光三明治-超厚豬排晉欣版)" xfId="682"/>
    <cellStyle name="壞_970414冷藏正宗鰹露蕎麥涼麵.(調理版)" xfId="683"/>
    <cellStyle name="壞_970421沙茶魷魚羹(調理版)" xfId="684"/>
    <cellStyle name="壞_970505火腿蛋炒飯(調理版)" xfId="685"/>
    <cellStyle name="壞_970505冷藏超大份量肉醬義大利麵(調理版)" xfId="686"/>
    <cellStyle name="壞_970519陽光鮪魚沙拉(調理版)" xfId="687"/>
    <cellStyle name="壞_970520薑汁燒肉便當(廠務版)" xfId="688"/>
    <cellStyle name="壞_970520薑汁燒肉便當(調理版)" xfId="689"/>
    <cellStyle name="壞_970609冷藏香烤豬排鐵板麵-蘑菇醬.(調理版)" xfId="690"/>
    <cellStyle name="壞_970610台式烤肉飯(廠務版)(配菜更換為雪裏紅)" xfId="691"/>
    <cellStyle name="壞_970624鮪魚手卷" xfId="692"/>
    <cellStyle name="壞_970624鮪魚飯糰" xfId="693"/>
    <cellStyle name="壞_970714冷藏韓式泡菜冷麵(調理版)" xfId="694"/>
    <cellStyle name="壞_970715香辣雞腿排便當(調理版)" xfId="695"/>
    <cellStyle name="壞_970722傳統池上便當-確10" xfId="696"/>
    <cellStyle name="壞_970728冷藏日式炒麵(調理版)" xfId="697"/>
    <cellStyle name="壞_970729黃金鮪魚&amp;手工蛋沙三明治-廠務版" xfId="698"/>
    <cellStyle name="壞_970729黃金鮪魚&amp;手工蛋沙三明治確(3)版" xfId="699"/>
    <cellStyle name="壞_970729雙色薯沙三明治確(4)版" xfId="700"/>
    <cellStyle name="壞_970730冷藏香烤豬排鐵板麵-更改大口肉片蘑菇醬.(調理版)" xfId="701"/>
    <cellStyle name="壞_970804冷藏北海道奶油鮭魚焗烤麵.確認版(5)" xfId="702"/>
    <cellStyle name="壞_970804冷藏北海道鮭魚義大利焗烤麵(調理版)" xfId="703"/>
    <cellStyle name="壞_970811陽光火腿蛋沙拉(調理版)-1" xfId="704"/>
    <cellStyle name="壞_970818沙茶豬柳燴飯(調理版)" xfId="705"/>
    <cellStyle name="壞_970819 彰化老店排骨便當-確6" xfId="706"/>
    <cellStyle name="壞_970902日式燒肉便當(廠務版)" xfId="707"/>
    <cellStyle name="壞_970902日式燒肉便當(調理版)" xfId="708"/>
    <cellStyle name="壞_970908雙餡獨享PIZZA(調理版)" xfId="709"/>
    <cellStyle name="壞_970915冷藏起司培根焗麵(調理版)" xfId="710"/>
    <cellStyle name="壞_970915冷藏起司培根焗麵-基因改造(調理版)" xfId="711"/>
    <cellStyle name="壞_970922宮保雞丁雞燴飯-調理版" xfId="712"/>
    <cellStyle name="壞_970923黃金鮪魚蛋三明治-晉欣" xfId="713"/>
    <cellStyle name="壞_970929鍋燒意麵-基因改造(調理版)" xfId="714"/>
    <cellStyle name="壞_970930傳統壽司組合確3版" xfId="715"/>
    <cellStyle name="壞_971002超值便當" xfId="716"/>
    <cellStyle name="壞_971008過年便當" xfId="717"/>
    <cellStyle name="壞_971020冷藏排骨麵-廠務版-改麵價" xfId="718"/>
    <cellStyle name="壞_971021椒鹽雞腿便當(0922提報)" xfId="719"/>
    <cellStyle name="壞_971103冷藏一番亭熱烈擔擔麵(調理版)" xfId="720"/>
    <cellStyle name="壞_971103沙茶豬肉火鍋.晉欣調理版" xfId="721"/>
    <cellStyle name="壞_971103韓式泡菜火鍋.晉欣調理版" xfId="722"/>
    <cellStyle name="壞_971110奶油嫩雞義大利麵(調理版)" xfId="723"/>
    <cellStyle name="壞_971118北海道鮭魚飯糰廠務版" xfId="724"/>
    <cellStyle name="壞_971201冷藏蕃茄海鮮焗麵(調理版)" xfId="725"/>
    <cellStyle name="壞_971204福氣團圓便當(豆干版)補提報-2" xfId="726"/>
    <cellStyle name="壞_971208冷藏美式燻腸義大利麵-(調理版)" xfId="727"/>
    <cellStyle name="壞_971208冷藏美式燻腸義大利麵修改毛利-(廠務版)-加10%水塩度下修-加貼標" xfId="728"/>
    <cellStyle name="壞_971215超BIG-肉絲蛋炒飯-晉欣調理版無SOYAUP" xfId="729"/>
    <cellStyle name="壞_971216中式蔥蛋烤香腸飯糰-調理(換香腸)" xfId="730"/>
    <cellStyle name="壞_971222咖哩烏龍麵(調理版)" xfId="731"/>
    <cellStyle name="壞_971223池上招牌飯包.確6" xfId="732"/>
    <cellStyle name="壞_980106咖哩雞肉鍋飯--確7" xfId="733"/>
    <cellStyle name="壞_980106花壽司組合確1版" xfId="734"/>
    <cellStyle name="壞_980112七福卷確2版-廠務" xfId="735"/>
    <cellStyle name="壞_980120麻辣豆腐鍋飯--春節期間盒裝豆腐分切3" xfId="736"/>
    <cellStyle name="壞_980202黑胡椒豬柳燴飯-確(1)" xfId="737"/>
    <cellStyle name="壞_980203古早味傳統香腸飯--確3" xfId="738"/>
    <cellStyle name="壞_980210蒙古烤肉鍋飯--確2" xfId="739"/>
    <cellStyle name="壞_980216什錦花椰菜(1)" xfId="740"/>
    <cellStyle name="壞_980216什錦花椰菜-廠務(5)" xfId="741"/>
    <cellStyle name="壞_980216培根高麗菜(6)" xfId="742"/>
    <cellStyle name="壞_980216黑胡椒雞鐵板刈包-確(2)" xfId="743"/>
    <cellStyle name="壞_980216醬爆牛肉(5)--改塩度" xfId="744"/>
    <cellStyle name="壞_980217肉鬆玉米三明治確2版" xfId="745"/>
    <cellStyle name="壞_980223元氣-咖哩雞蛋包飯確4版-廠務" xfId="746"/>
    <cellStyle name="壞_980303椒鹽香雞排便當-確4(製造日980308  9：00修改總重)" xfId="747"/>
    <cellStyle name="壞_980310陽光三明治-黃金蝦堡確3版" xfId="748"/>
    <cellStyle name="壞_980310新超值-香炸雞排便當--確7(炸時間修正" xfId="749"/>
    <cellStyle name="壞_980310新超值-香炸雞排便當--確8(更換主菜--大成)" xfId="750"/>
    <cellStyle name="壞_980310新超值-香炸雞排便當--確8(更換主菜--大成)高麗菜更改配方" xfId="751"/>
    <cellStyle name="壞_980317起士牛肉堡確3版廠務版" xfId="752"/>
    <cellStyle name="壞_980317新超值-醬燒烤雞便當--確5(乾木耳絲)" xfId="753"/>
    <cellStyle name="壞_980323什錦花椰菜-確(1)" xfId="754"/>
    <cellStyle name="壞_980323什錦花椰菜-調理版(2)" xfId="755"/>
    <cellStyle name="壞_980323脆炒中卷-晉欣調理版" xfId="756"/>
    <cellStyle name="壞_980323脆炒中卷-調理版(2)" xfId="757"/>
    <cellStyle name="壞_980323培根高麗菜-調理版(2)" xfId="758"/>
    <cellStyle name="壞_980323黑胡椒豬柳丁-晉欣調理版" xfId="759"/>
    <cellStyle name="壞_980323黑胡椒豬柳-晉欣調理版" xfId="760"/>
    <cellStyle name="壞_980323黑胡椒豬柳-調理版(2)" xfId="761"/>
    <cellStyle name="壞_980323辣子雞丁-晉欣調理版" xfId="762"/>
    <cellStyle name="壞_980323辣子雞丁-調理版(2)" xfId="763"/>
    <cellStyle name="壞_980323醬爆牛肉- 確(1)" xfId="764"/>
    <cellStyle name="壞_980323醬爆牛肉- 調理版(2)" xfId="765"/>
    <cellStyle name="壞_980323醬爆牛肉-晉欣調理版" xfId="766"/>
    <cellStyle name="壞_980324筍香拌飯-炸豬排便當-確4" xfId="767"/>
    <cellStyle name="壞_980330冷藏香菇肉羹麵(確一)" xfId="768"/>
    <cellStyle name="壞_980330冷藏義式臘腸焗烤飯.(調理版)" xfId="769"/>
    <cellStyle name="壞_980406什錦豆腐-晉欣調理版" xfId="770"/>
    <cellStyle name="壞_980413什錦豆腐-晉欣調理版" xfId="771"/>
    <cellStyle name="壞_980413螞蟻上樹-晉欣調理版" xfId="772"/>
    <cellStyle name="壞_980414辣子雞丁-晉欣調理版" xfId="773"/>
    <cellStyle name="壞_980414韓式梨汁牛肉飯糰確2版" xfId="774"/>
    <cellStyle name="壞_980420-肉燥高麗菜-確(3)" xfId="775"/>
    <cellStyle name="壞_980420豉汁燒肉--晉欣調理版" xfId="776"/>
    <cellStyle name="壞_980420陽光多彩鮮蔬沙拉-確七" xfId="777"/>
    <cellStyle name="壞_980421招牌火腿蛋三明治確1版" xfId="778"/>
    <cellStyle name="壞_980427冷藏哨子麵-晉欣調理版" xfId="779"/>
    <cellStyle name="壞_980427花椰時蔬-晉欣調理版" xfId="780"/>
    <cellStyle name="壞_980427彩椒肉絲-晉欣調理版" xfId="781"/>
    <cellStyle name="壞_980427魚香干絲-晉欣調理版" xfId="782"/>
    <cellStyle name="壞_980428素京醬排骨便當-廠務版" xfId="783"/>
    <cellStyle name="壞_980428素京醬排骨便當-確11" xfId="784"/>
    <cellStyle name="壞_980504彩椒肉絲-晉欣試吃品調理版" xfId="785"/>
    <cellStyle name="壞_980504彩椒肉絲-晉欣調理版" xfId="786"/>
    <cellStyle name="壞_980504醬燒魚-晉欣調理版" xfId="787"/>
    <cellStyle name="壞_980504鐵板百頁-晉欣調理版" xfId="788"/>
    <cellStyle name="壞_980505香菇肉羹飯-調理版(1)" xfId="789"/>
    <cellStyle name="壞_980505彰化老店排骨便當-確11" xfId="790"/>
    <cellStyle name="壞_980511冷藏超大份量肉醬義大利麵.(調理版)" xfId="791"/>
    <cellStyle name="壞_980511陽光火腿鮮蔬沙拉-確二" xfId="792"/>
    <cellStyle name="壞_980518冷藏什錦冬粉-確五" xfId="793"/>
    <cellStyle name="壞_980518冷藏功夫麵-試產一" xfId="794"/>
    <cellStyle name="壞_980519超值雙享–烤雞+京醬肉片便當0506-確6" xfId="795"/>
    <cellStyle name="壞_980526法式烤春雞三明治試1版" xfId="796"/>
    <cellStyle name="壞_980601冷藏奶油培根義大利麵-確四" xfId="797"/>
    <cellStyle name="壞_980601彩椒肉絲-晉欣調理版" xfId="798"/>
    <cellStyle name="壞_980608冷藏沙茶綜合羹冬粉.(晉欣調理版)" xfId="799"/>
    <cellStyle name="壞_980609三杯雞便當-確3" xfId="800"/>
    <cellStyle name="壞_980609沙拉稻荷2入確3版" xfId="801"/>
    <cellStyle name="壞_980615沙茶牛肉- 晉欣調理版" xfId="802"/>
    <cellStyle name="壞_980616起士玉米蛋三明治.試產版-晉欣" xfId="803"/>
    <cellStyle name="壞_980622三杯雞丁- 晉欣調理版" xfId="804"/>
    <cellStyle name="壞_980706陽光和風野菜沙拉-晉欣調理版" xfId="805"/>
    <cellStyle name="壞_980714法式烤春雞三明治確4版" xfId="806"/>
    <cellStyle name="壞_980714法式烤春雞三明治確6版" xfId="807"/>
    <cellStyle name="壞_980714法式烤春雞三明治確6版-廠務" xfId="808"/>
    <cellStyle name="壞_980714法式烤春雞三明治確9版" xfId="809"/>
    <cellStyle name="壞_980714花生太陽蛋三明治確2版" xfId="810"/>
    <cellStyle name="壞_980714蔥燒排骨便當確3版" xfId="811"/>
    <cellStyle name="壞_980721彩椒肉絲.試產(1)" xfId="812"/>
    <cellStyle name="壞_980721港式雙寶飯確3版廠務版" xfId="813"/>
    <cellStyle name="壞_980721鮪魚蛋沙拉三明治確6版" xfId="814"/>
    <cellStyle name="壞_980727冷藏貢丸米粉湯晉欣調理版" xfId="815"/>
    <cellStyle name="壞_980727筍香肉絲" xfId="816"/>
    <cellStyle name="壞_980727筍香肉絲-試(2)" xfId="817"/>
    <cellStyle name="壞_980727辣子雞丁- 晉欣調理版" xfId="818"/>
    <cellStyle name="壞_980728蜜汁香雞排便當-確6" xfId="819"/>
    <cellStyle name="壞_980825日式三色雞便當確3版" xfId="820"/>
    <cellStyle name="壞_980907冷藏花生錦絲涼麵.晉欣調理版" xfId="821"/>
    <cellStyle name="壞_980908洋芋炸雞排三明治廠務版(指示書修正)" xfId="822"/>
    <cellStyle name="壞_980922日式咖哩雞飯糰確1版" xfId="823"/>
    <cellStyle name="壞_980922和風咖哩雞排便當確1版" xfId="824"/>
    <cellStyle name="壞_980922黃金起士咖哩豬排三明治.試產版(1)" xfId="825"/>
    <cellStyle name="壞_980922黃金起士咖哩豬排三明治-試1版" xfId="826"/>
    <cellStyle name="壞_981006迷你便當-三色便當(晉欣)" xfId="827"/>
    <cellStyle name="壞_981006黃金蛋皮-普羅旺斯雞排飯糰試2版" xfId="828"/>
    <cellStyle name="壞_981006新超值-宮保雞丁便當-確6-廠務版" xfId="829"/>
    <cellStyle name="壞_981013黃金起士咖哩豬排三明治-確1版" xfId="830"/>
    <cellStyle name="壞_981019冷藏蔥燒牛肉麵-晉欣試產1" xfId="831"/>
    <cellStyle name="壞_981020大口義式香草腿排飯糰確1版" xfId="832"/>
    <cellStyle name="壞_981020大口義式香草腿排飯糰確3版" xfId="833"/>
    <cellStyle name="壞_981109冷藏牛肉湯麵晉欣廠務版" xfId="834"/>
    <cellStyle name="壞_981109冷藏波隆納肉醬義大利麵 晉欣調理版" xfId="835"/>
    <cellStyle name="壞_981116冷藏台南鍋燒意麵(晉欣調理版)" xfId="836"/>
    <cellStyle name="壞_981116冷藏韓式泡菜鍋-廠務" xfId="837"/>
    <cellStyle name="壞_981117熱炒68-黑胡椒豬柳便當確3版" xfId="838"/>
    <cellStyle name="壞_981117熱炒68-黑胡椒豬柳便當確4版(更改九層塔)" xfId="839"/>
    <cellStyle name="壞_981117熱炒系列-三杯雞" xfId="840"/>
    <cellStyle name="壞_981117熱炒系列-三杯雞丁" xfId="841"/>
    <cellStyle name="壞_981117熱炒系列-黑胡椒豬柳" xfId="842"/>
    <cellStyle name="壞_981207冷藏赤坂豚骨拉麵晉欣調理版" xfId="843"/>
    <cellStyle name="壞_981214冷藏府城擔仔麵晉欣調理版" xfId="844"/>
    <cellStyle name="壞_981215中式蔥蛋烤香腸飯糰試1版" xfId="845"/>
    <cellStyle name="壞_981215豬肉漢堡試1版" xfId="846"/>
    <cellStyle name="壞_981221冷藏奶油龍蝦義大利麵確認版" xfId="847"/>
    <cellStyle name="壞_981229火腿起司飯糰試1版" xfId="848"/>
    <cellStyle name="壞_981229迷你-香菇雞便當確5版" xfId="849"/>
    <cellStyle name="壞_98818蟹肉沙拉飯糰確1版" xfId="850"/>
    <cellStyle name="壞_98818蟹肉沙拉飯糰確1版-廠2010" xfId="851"/>
    <cellStyle name="壞_990104沙茶牛肉- 晉欣廠務版" xfId="852"/>
    <cellStyle name="壞_990105新超值-黃金豬排便當確3版" xfId="853"/>
    <cellStyle name="壞_990126冷藏帕瑪森起司焗麵-晉欣調理版" xfId="854"/>
    <cellStyle name="壞_990126虎福卷確3版" xfId="855"/>
    <cellStyle name="壞_990222冷藏蛋奶培根義大利麵 晉欣調理版" xfId="856"/>
    <cellStyle name="壞_990222冷藏番茄肉醬義大利晉欣確認版0126" xfId="857"/>
    <cellStyle name="壞_990311泰式辣炒牛肉" xfId="858"/>
    <cellStyle name="壞_990405川味麻辣涼麵-晉欣廠務版" xfId="859"/>
    <cellStyle name="壞_990405蝦醬高麗菜-晉欣廠務版(愛味佳能7)" xfId="860"/>
    <cellStyle name="壞_990412陽光多彩鮮蔬沙拉-晉欣廠務版" xfId="861"/>
    <cellStyle name="壞_990412陽光多彩鮮蔬沙拉-調理版" xfId="862"/>
    <cellStyle name="壞_990412義式雞蛋沙拉-晉欣廠務版(蒸馬鈴薯丁)" xfId="863"/>
    <cellStyle name="壞_990413千層火腿鮮蔬三明治確1版(廠)" xfId="864"/>
    <cellStyle name="壞_990419和風黑醋蕃茄菇沙拉-晉欣廠務版" xfId="865"/>
    <cellStyle name="壞_990419馬鈴薯沙拉佐鮮蔬-晉欣廠務版" xfId="866"/>
    <cellStyle name="壞_990419馬鈴薯沙拉佐鮮蔬晉欣調理版" xfId="867"/>
    <cellStyle name="壞_990419馬鈴薯沙拉佐鮮蔬-試產版" xfId="868"/>
    <cellStyle name="壞_990426陽光鮪魚沙拉-晉欣廠務版_增加秤重標準" xfId="869"/>
    <cellStyle name="壞_990510冷藏起司雞排義大利麵.晉欣試產版" xfId="870"/>
    <cellStyle name="壞_990510冷藏韓式涼麵晉欣廠務版-蒸泡菜" xfId="871"/>
    <cellStyle name="壞_990510冷藏韓式涼麵-試產版" xfId="872"/>
    <cellStyle name="壞_990510冷藏韓式涼麵-調理版" xfId="873"/>
    <cellStyle name="壞_990531冷藏蒜炒羅勒培根義大利麵 晉欣調理版" xfId="874"/>
    <cellStyle name="壞_990531辛口咖哩雞燴飯-晉欣調理版" xfId="875"/>
    <cellStyle name="壞_990531陽光多彩鮮蔬沙拉-廠務版" xfId="876"/>
    <cellStyle name="壞_990608滷香雞腿便當確2版" xfId="877"/>
    <cellStyle name="壞_990614冷藏讚岐烏龍冷麵廠務版" xfId="878"/>
    <cellStyle name="壞_990614冷藏讚岐烏龍冷麵調理版" xfId="879"/>
    <cellStyle name="壞_990614馬鈴薯沙拉佐鮮蔬-千島晉欣廠務版" xfId="880"/>
    <cellStyle name="壞_990614馬鈴薯沙拉佐鮮蔬-千島晉欣廠務版-紫高麗絲、牛番茄修正" xfId="881"/>
    <cellStyle name="壞_990614鄉村甜薯沙拉晉欣廠務版-紅地瓜修正" xfId="882"/>
    <cellStyle name="壞_990628火腿蛋蛋炒飯-晉欣調理版" xfId="883"/>
    <cellStyle name="壞_990705燻雞玉米沙拉.廠務版" xfId="884"/>
    <cellStyle name="壞_990721XO醬蛋炒飯-晉欣版" xfId="885"/>
    <cellStyle name="壞_990721火腿蛋蛋炒飯-晉欣版" xfId="886"/>
    <cellStyle name="壞_99076傳統滷味便當0402確認(1)晉欣" xfId="887"/>
    <cellStyle name="壞_990802冷藏奶油燻雞義大利麵.北屏" xfId="888"/>
    <cellStyle name="壞_990802冷藏隨手杯黑胡椒麵晉欣廠務版" xfId="889"/>
    <cellStyle name="壞_990824彰化老店排骨飯-晉欣" xfId="890"/>
    <cellStyle name="壞_990831花壽司調理修正cas號碼" xfId="891"/>
    <cellStyle name="壞_990906火腿玉子沙拉-晉欣廠務版" xfId="892"/>
    <cellStyle name="壞_990928勝利豬排三明治--廠務版修正" xfId="893"/>
    <cellStyle name="壞_991004冷藏清水排骨酥麵晉欣調理版" xfId="894"/>
    <cellStyle name="壞_991116黃金日式咖哩豬排三明治-廠務版1" xfId="895"/>
    <cellStyle name="壞_BIG蕃茄炒飯" xfId="896"/>
    <cellStyle name="壞_HMR-炸豆腐" xfId="897"/>
    <cellStyle name="壞_人氣雙手卷(地瓜版)" xfId="898"/>
    <cellStyle name="壞_人氣雙手卷OK" xfId="899"/>
    <cellStyle name="壞_千層火腿玉米沙拉三明治" xfId="900"/>
    <cellStyle name="壞_大口肉鬆蛋飯糰─華福" xfId="901"/>
    <cellStyle name="壞_大口咖哩豬排飯糰試1版(廠務)" xfId="902"/>
    <cellStyle name="壞_大口炭烤豬排飯糰" xfId="903"/>
    <cellStyle name="壞_大口黃金蛋皮飯糰" xfId="904"/>
    <cellStyle name="壞_大口黃金蛋皮飯糰(黑胡椒洋蔥)" xfId="905"/>
    <cellStyle name="壞_大口黑胡椒牛肉漢堡飯糰" xfId="906"/>
    <cellStyle name="壞_大吉大利三明治" xfId="907"/>
    <cellStyle name="壞_中式黑胡椒醬" xfId="908"/>
    <cellStyle name="壞_中式傳統肉鬆飯糰" xfId="909"/>
    <cellStyle name="壞_中式傳統糯米飯糰(廠務)試1" xfId="910"/>
    <cellStyle name="壞_中式蔥蛋烤香腸飯糰" xfId="911"/>
    <cellStyle name="壞_什錦燴飯" xfId="912"/>
    <cellStyle name="壞_元氣壽司雙組合" xfId="913"/>
    <cellStyle name="壞_元氣蝦堡三明治-美生菜-行銷會議成本試算60g" xfId="914"/>
    <cellStyle name="壞_午餐壽司組合" xfId="915"/>
    <cellStyle name="壞_手工雞沙肉醬-焗烤厚片" xfId="916"/>
    <cellStyle name="壞_日本一番三明治-鮪魚-2" xfId="917"/>
    <cellStyle name="壞_日式三色雞便當" xfId="918"/>
    <cellStyle name="壞_日式味噌豚鍋--白味噌醬" xfId="919"/>
    <cellStyle name="壞_日式味噌豚鍋--紅味噌醬" xfId="920"/>
    <cellStyle name="壞_日式咖哩雞肉飯糰" xfId="921"/>
    <cellStyle name="壞_日式炒麵堡" xfId="922"/>
    <cellStyle name="壞_日式洋蔥味噌鮭魚鍋" xfId="923"/>
    <cellStyle name="壞_日式唐揚雞親子飯_2012.11.15" xfId="924"/>
    <cellStyle name="壞_日式章魚-PIZZA" xfId="925"/>
    <cellStyle name="壞_日式雞唐揚便當自製" xfId="926"/>
    <cellStyle name="壞_木須肉0325" xfId="927"/>
    <cellStyle name="壞_火腿三明治" xfId="928"/>
    <cellStyle name="壞_火腿起司生菜沙拉-晉欣廠務版" xfId="929"/>
    <cellStyle name="壞_火腿鮪魚三明治" xfId="930"/>
    <cellStyle name="壞_功夫麵" xfId="931"/>
    <cellStyle name="壞_古奈屋咖哩烏龍麵--禂度上修(奶油麵粉50g)" xfId="932"/>
    <cellStyle name="壞_台式麻辣鍋" xfId="933"/>
    <cellStyle name="壞_台式鹹粥" xfId="934"/>
    <cellStyle name="壞_奶油摩佐起司焗麵" xfId="935"/>
    <cellStyle name="壞_奶油龍蝦焗麵(調理版)" xfId="936"/>
    <cellStyle name="壞_奶油龍蝦義大利麵" xfId="937"/>
    <cellStyle name="壞_奶油雞丁焗烤麵" xfId="938"/>
    <cellStyle name="壞_玉子火腿沙拉" xfId="939"/>
    <cellStyle name="壞_玉米蛋沙三明治(20元)" xfId="940"/>
    <cellStyle name="壞_白豆醬鲂魚" xfId="941"/>
    <cellStyle name="壞_吐司規範" xfId="942"/>
    <cellStyle name="壞_池上招牌便當-1" xfId="943"/>
    <cellStyle name="壞_肉鬆火腿蛋堡" xfId="944"/>
    <cellStyle name="壞_肉鬆蛋沙拉三明治$18" xfId="945"/>
    <cellStyle name="壞_肉鬆蛋沙拉三明治$18(模仿)" xfId="946"/>
    <cellStyle name="壞_肉鬆鮪魚三明治-105" xfId="947"/>
    <cellStyle name="壞_西西里海鮮焗烤飯" xfId="948"/>
    <cellStyle name="壞_西西里鮪魚蔬菜焗烤飯" xfId="949"/>
    <cellStyle name="壞_冷藏九州豚骨拉麵半個蛋" xfId="950"/>
    <cellStyle name="壞_冷藏奶油燻雞義大利麵 晉欣試產版" xfId="951"/>
    <cellStyle name="壞_冷藏奶油燻雞義大利麵 晉欣調理版" xfId="952"/>
    <cellStyle name="壞_冷藏沙茶乾拌麵" xfId="953"/>
    <cellStyle name="壞_冷藏沙茶燒肉炒麵-改正好的" xfId="954"/>
    <cellStyle name="壞_冷藏咖哩炒麵" xfId="955"/>
    <cellStyle name="壞_冷藏紅燒牛肉麵" xfId="956"/>
    <cellStyle name="壞_冷藏美式燻腸義大利麵(南區)" xfId="957"/>
    <cellStyle name="壞_冷藏香菇雞麵線" xfId="958"/>
    <cellStyle name="壞_冷藏海鮮湯麵" xfId="959"/>
    <cellStyle name="壞_冷藏海鮮湯麵-干貝" xfId="960"/>
    <cellStyle name="壞_冷藏海鮮麵" xfId="961"/>
    <cellStyle name="壞_冷藏魚香乾拌麵" xfId="962"/>
    <cellStyle name="壞_冷藏榨菜肉絲乾麵- 晉欣調理版" xfId="963"/>
    <cellStyle name="壞_冷藏精燉肉燥乾拌麵-升級版" xfId="964"/>
    <cellStyle name="壞_冷藏精燉肉燥乾拌麵-調理版0627" xfId="965"/>
    <cellStyle name="壞_冷藏蔥燒牛肉麵--35g" xfId="966"/>
    <cellStyle name="壞_冷藏蘑菇雞排鐵板麵" xfId="967"/>
    <cellStyle name="壞_沙茶肉片炒麵A" xfId="968"/>
    <cellStyle name="壞_沙茶肉片燴飯" xfId="969"/>
    <cellStyle name="壞_沙茶豬肉便當" xfId="970"/>
    <cellStyle name="壞_和風雞絲飯糰-鹽" xfId="971"/>
    <cellStyle name="壞_咖哩焗烤飯" xfId="972"/>
    <cellStyle name="壞_咖哩豬便當-0618" xfId="973"/>
    <cellStyle name="壞_咖哩鍋便當" xfId="974"/>
    <cellStyle name="壞_咖哩雞肉烏龍麵" xfId="975"/>
    <cellStyle name="壞_咖哩雞肉焗烤飯" xfId="976"/>
    <cellStyle name="壞_法式烤春雞三明治" xfId="977"/>
    <cellStyle name="壞_炒雞肉絲參考配方" xfId="978"/>
    <cellStyle name="壞_芙蓉桂筍-(晉欣調理版)" xfId="979"/>
    <cellStyle name="壞_芹香豆干" xfId="980"/>
    <cellStyle name="壞_青椒牛柳" xfId="981"/>
    <cellStyle name="壞_屏榮-1000412手工雞蛋沙拉三明治.試產版(1)" xfId="982"/>
    <cellStyle name="壞_屏榮-1000412手工雞蛋沙拉三明治.試產版(1) (version 1)" xfId="983"/>
    <cellStyle name="壞_洋蔥牛肉" xfId="984"/>
    <cellStyle name="壞_洋蔥牛肉片" xfId="985"/>
    <cellStyle name="壞_紅酒牛肉-燴炒飯" xfId="986"/>
    <cellStyle name="壞_紅酒牛肉-燴炒飯(2)" xfId="987"/>
    <cellStyle name="壞_紅燒羊肉AJ700 - 寬條冬粉" xfId="988"/>
    <cellStyle name="壞_紅燒魯肉" xfId="989"/>
    <cellStyle name="壞_美乃滋明太子飯糰" xfId="990"/>
    <cellStyle name="壞_美乃滋明太子飯糰(夾心)" xfId="991"/>
    <cellStyle name="壞_茄汁雞丁蛋飯糰" xfId="992"/>
    <cellStyle name="壞_茄汁雞排堡飯糰(新)" xfId="993"/>
    <cellStyle name="壞_香烤豬排蘑菇醬鐵板麵-更改大口肉片" xfId="994"/>
    <cellStyle name="壞_香草烤雞三明治" xfId="995"/>
    <cellStyle name="壞_香菇肉羹飯" xfId="996"/>
    <cellStyle name="壞_香蒜培根義大利麵-區" xfId="997"/>
    <cellStyle name="壞_家鄉居雞" xfId="998"/>
    <cellStyle name="壞_拿坡里義大利麵-燻雞瑞輝" xfId="999"/>
    <cellStyle name="壞_泰式辣炒牛肉" xfId="1000"/>
    <cellStyle name="壞_烤肉三明治(肉2片美生菜版)改" xfId="1001"/>
    <cellStyle name="壞_烤肉香腸三明治(肉1.5片小黃瓜版)" xfId="1002"/>
    <cellStyle name="壞_烤豬肉片三明治( 蛋片版)" xfId="1003"/>
    <cellStyle name="壞_烤豬肉片三明治(火腿版)" xfId="1004"/>
    <cellStyle name="壞_起士火腿烤蛋堡" xfId="1005"/>
    <cellStyle name="壞_起士火腿蛋堡" xfId="1006"/>
    <cellStyle name="壞_迷你便當-香菇雞" xfId="1007"/>
    <cellStyle name="壞_商務-香炸雞排_2012.12.04" xfId="1008"/>
    <cellStyle name="壞_清蒸鲂魚" xfId="1009"/>
    <cellStyle name="壞_焗烤奶油明太子飯糰" xfId="1010"/>
    <cellStyle name="壞_焗烤鮭魚飯糰" xfId="1011"/>
    <cellStyle name="壞_野菇拌飯" xfId="1012"/>
    <cellStyle name="壞_普羅旺斯烤雞蛋皮飯糰" xfId="1013"/>
    <cellStyle name="壞_椒麻雞" xfId="1014"/>
    <cellStyle name="壞_番茄肉醬義大利麵" xfId="1015"/>
    <cellStyle name="壞_番茄雞肉義大利麵-區" xfId="1016"/>
    <cellStyle name="壞_超厚火腿多汁蛋沙拉三明治" xfId="1017"/>
    <cellStyle name="壞_超厚火腿多汁鮪魚三明治" xfId="1018"/>
    <cellStyle name="壞_開陽滷白菜" xfId="1019"/>
    <cellStyle name="壞_陽春湯麵-" xfId="1020"/>
    <cellStyle name="壞_黃金起士双醬薯餅三明治" xfId="1021"/>
    <cellStyle name="壞_黑胡椒肉片鐵板麵" xfId="1022"/>
    <cellStyle name="壞_黑胡椒肉片鐵板麵--黑胡椒醬" xfId="1023"/>
    <cellStyle name="壞_黑胡椒肉排鐵板麵" xfId="1024"/>
    <cellStyle name="壞_黑胡椒豬肉燴麵" xfId="1025"/>
    <cellStyle name="壞_圓形飯糰-烤蛋" xfId="1026"/>
    <cellStyle name="壞_新超值Ⅱ-雞排+糖醋豬肉便當" xfId="1027"/>
    <cellStyle name="壞_新超值-沙茶豬肉便當" xfId="1028"/>
    <cellStyle name="壞_新增Microsoft Excel 工作表" xfId="1029"/>
    <cellStyle name="壞_煙燻鮭魚細卷" xfId="1030"/>
    <cellStyle name="壞_煙燻鮭魚細卷-鮭魚改用芙滋+華昇的" xfId="1031"/>
    <cellStyle name="壞_照燒燻雞三明治" xfId="1032"/>
    <cellStyle name="壞_照燒雞三明治" xfId="1033"/>
    <cellStyle name="壞_照燒鱒鮭沙拉飯糰(105)" xfId="1034"/>
    <cellStyle name="壞_義式起司牛肉堡" xfId="1035"/>
    <cellStyle name="壞_壽司三明治-外" xfId="1036"/>
    <cellStyle name="壞_滷雞腿便當1--OK" xfId="1037"/>
    <cellStyle name="壞_滷雞腿便當2--OK" xfId="1038"/>
    <cellStyle name="壞_蒙古鍋" xfId="1039"/>
    <cellStyle name="壞_蒲燒鯛魚飯糰(140片)-1221試-提報" xfId="1040"/>
    <cellStyle name="壞_辣味鮪魚飯糰" xfId="1041"/>
    <cellStyle name="壞_辣味雞胸排便當" xfId="1042"/>
    <cellStyle name="壞_辣醬肉燥麵" xfId="1043"/>
    <cellStyle name="壞_墨西哥牛肉堡" xfId="1044"/>
    <cellStyle name="壞_熱炒系列-三杯尤魚" xfId="1045"/>
    <cellStyle name="壞_熱炒系列-回鍋肉" xfId="1046"/>
    <cellStyle name="壞_熱炒系列-黑胡椒豬柳" xfId="1047"/>
    <cellStyle name="壞_熱炒系列-蜜汁排骨-1" xfId="1048"/>
    <cellStyle name="壞_稻荷壽司2入" xfId="1049"/>
    <cellStyle name="壞_稻荷壽司2入1" xfId="1050"/>
    <cellStyle name="壞_蔥油雞" xfId="1051"/>
    <cellStyle name="壞_蔬菜類非綠色蔬菜" xfId="1052"/>
    <cellStyle name="壞_複本 980915日式三色雞便當色差" xfId="1053"/>
    <cellStyle name="壞_複製 -990427焗烤茄汁肉醬飯糰試2版" xfId="1054"/>
    <cellStyle name="壞_複製 -咖哩雞肉焗烤飯" xfId="1055"/>
    <cellStyle name="壞_豬肉蛋堡(黑胡椒版)" xfId="1056"/>
    <cellStyle name="壞_豬排蛋中式飯糰" xfId="1057"/>
    <cellStyle name="壞_醋溜肉片" xfId="1058"/>
    <cellStyle name="壞_魷魚羹湯" xfId="1059"/>
    <cellStyle name="壞_燒烤牛肉堡" xfId="1060"/>
    <cellStyle name="壞_燒烤風-韓式烤肉飯" xfId="1061"/>
    <cellStyle name="壞_糖醋甜不辣" xfId="1062"/>
    <cellStyle name="壞_糖醋雞丁" xfId="1063"/>
    <cellStyle name="壞_蕃茄炒飯" xfId="1064"/>
    <cellStyle name="壞_蕃茄蛋炒飯調理版" xfId="1065"/>
    <cellStyle name="壞_鴛鴦鍋-麻辣+昆布柴魚" xfId="1066"/>
    <cellStyle name="壞_總會三明治" xfId="1067"/>
    <cellStyle name="壞_醣醋G丁" xfId="1068"/>
    <cellStyle name="壞_鍋燒意麵--後加沙茶" xfId="1069"/>
    <cellStyle name="壞_韓式泡菜鍋" xfId="1070"/>
    <cellStyle name="壞_韓式炊飯炊飯飯糰調理版" xfId="1071"/>
    <cellStyle name="壞_鮪魚三明治" xfId="1072"/>
    <cellStyle name="壞_鮪魚茄汁薯餅法式三明治(小黃瓜)" xfId="1073"/>
    <cellStyle name="壞_鮪魚蛋沙拉三明治試1" xfId="1074"/>
    <cellStyle name="壞_鮭魚沙拉飯糰(陶30g)" xfId="1075"/>
    <cellStyle name="壞_鮭魚雞蛋沙拉" xfId="1076"/>
    <cellStyle name="壞_鮮菇總滙" xfId="1077"/>
    <cellStyle name="壞_鮮蔬肉鬆三明治" xfId="1078"/>
    <cellStyle name="壞_燻雞沙威瑪" xfId="1079"/>
    <cellStyle name="壞_醬汁雞肉飯糰" xfId="1080"/>
    <cellStyle name="壞_雙蛋多汁三明治" xfId="1081"/>
    <cellStyle name="壞_雙響纖蔬沙拉三明治" xfId="1082"/>
    <cellStyle name="壞_雙響纖蔬沙拉三明治(j五彩)" xfId="1083"/>
    <cellStyle name="壞_雞蛋沙拉三明治" xfId="1084"/>
    <cellStyle name="壞_雞蛋馬鈴薯沙拉三明治" xfId="1085"/>
    <cellStyle name="壞_羅勒海瓜子義大利麵" xfId="1086"/>
    <cellStyle name="壞_蟹肉絲豆腐煲" xfId="1087"/>
    <cellStyle name="壞_蘑菇腿排鐵板麵" xfId="1088"/>
    <cellStyle name="壞_蘑菇醬鐵板麵-確認--拉麵" xfId="1089"/>
    <cellStyle name="壞_蠔油時蔬" xfId="1090"/>
    <cellStyle name="壞_鹹魚雞粒炒飯" xfId="1091"/>
    <cellStyle name="壞_鐵板豆腐" xfId="1092"/>
    <cellStyle name="壞_鹽飯960822" xfId="1093"/>
    <cellStyle name="警告文字 2" xfId="1094"/>
    <cellStyle name="警告文字 3" xfId="1095"/>
  </cellStyles>
  <dxfs count="110"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  <fill>
        <patternFill>
          <bgColor rgb="FFC6EFCE"/>
        </patternFill>
      </fill>
    </dxf>
    <dxf>
      <font>
        <sz val="10"/>
        <color rgb="FF808080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 xmlns="http://schemas.openxmlformats.org/spreadsheetml/2006/main">
      <fill>
        <patternFill patternType="solid">
          <bgColor rgb="FFFFF2CC"/>
        </patternFill>
      </fill>
    </dxf>
    <dxf xmlns="http://schemas.openxmlformats.org/spreadsheetml/2006/main"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77B4"/>
      <rgbColor rgb="FFBFBFBF"/>
      <rgbColor rgb="FF808080"/>
      <rgbColor rgb="FF9999FF"/>
      <rgbColor rgb="FFC0504D"/>
      <rgbColor rgb="FFFFFFCC"/>
      <rgbColor rgb="FFEAF6F1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A44A"/>
      <rgbColor rgb="FF0000FF"/>
      <rgbColor rgb="FF00CCFF"/>
      <rgbColor rgb="FFEDEDED"/>
      <rgbColor rgb="FFC6EFCE"/>
      <rgbColor rgb="FFFFEB9C"/>
      <rgbColor rgb="FFFDECEA"/>
      <rgbColor rgb="FFFAEEDA"/>
      <rgbColor rgb="FFCC99FF"/>
      <rgbColor rgb="FFFFC7CE"/>
      <rgbColor rgb="FF4F81BD"/>
      <rgbColor rgb="FF4BACC6"/>
      <rgbColor rgb="FF9BBB59"/>
      <rgbColor rgb="FFFFCC00"/>
      <rgbColor rgb="FFFF9900"/>
      <rgbColor rgb="FFE07B00"/>
      <rgbColor rgb="FF8064A2"/>
      <rgbColor rgb="FF878787"/>
      <rgbColor rgb="FF003366"/>
      <rgbColor rgb="FF2A9DB0"/>
      <rgbColor rgb="FF003300"/>
      <rgbColor rgb="FF2E7D32"/>
      <rgbColor rgb="FF993300"/>
      <rgbColor rgb="FF7B4FA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品項數分類分布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總覽!$C$11</c:f>
              <c:strCache>
                <c:ptCount val="1"/>
                <c:pt idx="0">
                  <c:v>品項數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28-43F5-8E85-FAAB026E6BD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28-43F5-8E85-FAAB026E6BD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E28-43F5-8E85-FAAB026E6BD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E28-43F5-8E85-FAAB026E6BD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E28-43F5-8E85-FAAB026E6BD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8-43F5-8E85-FAAB026E6BD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8-43F5-8E85-FAAB026E6BD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28-43F5-8E85-FAAB026E6BD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28-43F5-8E85-FAAB026E6BD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28-43F5-8E85-FAAB026E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總覽!$B$12:$B$16</c:f>
              <c:strCache>
                <c:ptCount val="5"/>
                <c:pt idx="0">
                  <c:v>18℃</c:v>
                </c:pt>
                <c:pt idx="1">
                  <c:v>4℃飯</c:v>
                </c:pt>
                <c:pt idx="2">
                  <c:v>4℃麵</c:v>
                </c:pt>
                <c:pt idx="3">
                  <c:v>4℃其他</c:v>
                </c:pt>
                <c:pt idx="4">
                  <c:v>冷凍品</c:v>
                </c:pt>
              </c:strCache>
            </c:strRef>
          </c:cat>
          <c:val>
            <c:numRef>
              <c:f>總覽!$C$12:$C$16</c:f>
              <c:numCache>
                <c:formatCode>General</c:formatCode>
                <c:ptCount val="5"/>
                <c:pt idx="0">
                  <c:v>38.0</c:v>
                </c:pt>
                <c:pt idx="1">
                  <c:v>40.0</c:v>
                </c:pt>
                <c:pt idx="2">
                  <c:v>14.0</c:v>
                </c:pt>
                <c:pt idx="3">
                  <c:v>8.0</c:v>
                </c:pt>
                <c:pt idx="4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28-43F5-8E85-FAAB026E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各調理設備應用半成品數（依分類堆疊）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設備應用統計!$C$16</c:f>
              <c:strCache>
                <c:ptCount val="1"/>
                <c:pt idx="0">
                  <c:v>18℃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設備應用統計!$C$17:$C$28</c:f>
              <c:numCache>
                <c:formatCode>General</c:formatCode>
                <c:ptCount val="12"/>
                <c:pt idx="0">
                  <c:v>43.0</c:v>
                </c:pt>
                <c:pt idx="1">
                  <c:v>0.0</c:v>
                </c:pt>
                <c:pt idx="2">
                  <c:v>9.0</c:v>
                </c:pt>
                <c:pt idx="3">
                  <c:v>4.0</c:v>
                </c:pt>
                <c:pt idx="4">
                  <c:v>8.0</c:v>
                </c:pt>
                <c:pt idx="5">
                  <c:v>0.0</c:v>
                </c:pt>
                <c:pt idx="6">
                  <c:v>83.0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69.0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B-46D8-925A-02B30A50ABE7}"/>
            </c:ext>
          </c:extLst>
        </c:ser>
        <c:ser>
          <c:idx val="1"/>
          <c:order val="1"/>
          <c:tx>
            <c:strRef>
              <c:f>設備應用統計!$D$16</c:f>
              <c:strCache>
                <c:ptCount val="1"/>
                <c:pt idx="0">
                  <c:v>4℃飯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設備應用統計!$D$17:$D$28</c:f>
              <c:numCache>
                <c:formatCode>General</c:formatCode>
                <c:ptCount val="12"/>
                <c:pt idx="0">
                  <c:v>40.0</c:v>
                </c:pt>
                <c:pt idx="1">
                  <c:v>0.0</c:v>
                </c:pt>
                <c:pt idx="2">
                  <c:v>42.0</c:v>
                </c:pt>
                <c:pt idx="3">
                  <c:v>1.0</c:v>
                </c:pt>
                <c:pt idx="4">
                  <c:v>13.0</c:v>
                </c:pt>
                <c:pt idx="5">
                  <c:v>5.0</c:v>
                </c:pt>
                <c:pt idx="6">
                  <c:v>119.0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56.0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B-46D8-925A-02B30A50ABE7}"/>
            </c:ext>
          </c:extLst>
        </c:ser>
        <c:ser>
          <c:idx val="2"/>
          <c:order val="2"/>
          <c:tx>
            <c:strRef>
              <c:f>設備應用統計!$E$16</c:f>
              <c:strCache>
                <c:ptCount val="1"/>
                <c:pt idx="0">
                  <c:v>4℃麵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設備應用統計!$E$17:$E$28</c:f>
              <c:numCache>
                <c:formatCode>General</c:formatCode>
                <c:ptCount val="12"/>
                <c:pt idx="0">
                  <c:v>0.0</c:v>
                </c:pt>
                <c:pt idx="1">
                  <c:v>14.0</c:v>
                </c:pt>
                <c:pt idx="2">
                  <c:v>2.0</c:v>
                </c:pt>
                <c:pt idx="3">
                  <c:v>0.0</c:v>
                </c:pt>
                <c:pt idx="4">
                  <c:v>5.0</c:v>
                </c:pt>
                <c:pt idx="5">
                  <c:v>0.0</c:v>
                </c:pt>
                <c:pt idx="6">
                  <c:v>14.0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39.0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B-46D8-925A-02B30A50ABE7}"/>
            </c:ext>
          </c:extLst>
        </c:ser>
        <c:ser>
          <c:idx val="3"/>
          <c:order val="3"/>
          <c:tx>
            <c:strRef>
              <c:f>設備應用統計!$F$16</c:f>
              <c:strCache>
                <c:ptCount val="1"/>
                <c:pt idx="0">
                  <c:v>4℃其他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設備應用統計!$F$17:$F$28</c:f>
              <c:numCache>
                <c:formatCode>General</c:formatCode>
                <c:ptCount val="12"/>
                <c:pt idx="0">
                  <c:v>0.0</c:v>
                </c:pt>
                <c:pt idx="1">
                  <c:v>3.0</c:v>
                </c:pt>
                <c:pt idx="2">
                  <c:v>2.0</c:v>
                </c:pt>
                <c:pt idx="3">
                  <c:v>0.0</c:v>
                </c:pt>
                <c:pt idx="4">
                  <c:v>4.0</c:v>
                </c:pt>
                <c:pt idx="5">
                  <c:v>0.0</c:v>
                </c:pt>
                <c:pt idx="6">
                  <c:v>27.0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B-46D8-925A-02B30A50ABE7}"/>
            </c:ext>
          </c:extLst>
        </c:ser>
        <c:ser>
          <c:idx val="4"/>
          <c:order val="4"/>
          <c:tx>
            <c:strRef>
              <c:f>設備應用統計!$G$16</c:f>
              <c:strCache>
                <c:ptCount val="1"/>
                <c:pt idx="0">
                  <c:v>冷凍品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設備應用統計!$G$17:$G$28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B-46D8-925A-02B30A50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58908"/>
        <c:axId val="78137627"/>
      </c:barChart>
      <c:catAx>
        <c:axId val="71558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8137627"/>
        <c:crosses val="autoZero"/>
        <c:auto val="1"/>
        <c:lblAlgn val="ctr"/>
        <c:lblOffset val="100"/>
        <c:noMultiLvlLbl val="0"/>
      </c:catAx>
      <c:valAx>
        <c:axId val="78137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半成品數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1558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542160</xdr:colOff>
      <xdr:row>14</xdr:row>
      <xdr:rowOff>181885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133560</xdr:rowOff>
    </xdr:from>
    <xdr:to>
      <xdr:col>9</xdr:col>
      <xdr:colOff>472120</xdr:colOff>
      <xdr:row>46</xdr:row>
      <xdr:rowOff>134640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41"/>
  </sheetPr>
  <dimension ref="A1:F339"/>
  <sheetViews>
    <sheetView showGridLines="0" topLeftCell="A52" zoomScaleNormal="100" workbookViewId="0">
      <selection activeCell="F13" sqref="F13"/>
    </sheetView>
  </sheetViews>
  <sheetFormatPr defaultColWidth="8.7265625" defaultRowHeight="14.5"/>
  <cols>
    <col min="1" max="1" width="3" customWidth="1"/>
    <col min="2" max="2" width="20" customWidth="1"/>
    <col min="3" max="6" width="22" customWidth="1"/>
    <col min="7" max="7" width="3" customWidth="1"/>
  </cols>
  <sheetData>
    <row r="1" spans="2:6" ht="30" customHeight="1">
      <c r="B1" s="60" t="s">
        <v>0</v>
      </c>
      <c r="C1" s="60"/>
      <c r="D1" s="60"/>
      <c r="E1" s="60"/>
      <c r="F1" s="60"/>
    </row>
    <row r="3" spans="2:6" ht="15.5">
      <c r="B3" s="1" t="s">
        <v>1</v>
      </c>
      <c r="E3" s="1" t="s">
        <v>2</v>
      </c>
    </row>
    <row r="4" spans="2:6">
      <c r="B4" s="2" t="s">
        <v>3</v>
      </c>
      <c r="C4" s="3"/>
      <c r="E4" s="4" t="s">
        <v>4</v>
      </c>
      <c xmlns="http://schemas.openxmlformats.org/spreadsheetml/2006/main" r="F4" s="5">
        <f>SUM(MAX('18℃'!$AA$5:$AA$319),MAX('4℃飯'!$AA$5:$AA$319),MAX('4℃麵'!$AA$5:$AA$310),MAX('4℃其他'!$AA$5:$AA$322),MAX(冷凍品!$AA$5:$AA$322))</f>
        <v>100.0</v>
      </c>
    </row>
    <row r="5" spans="2:6">
      <c r="B5" s="2" t="s">
        <v>5</v>
      </c>
      <c r="C5" s="3"/>
      <c r="E5" s="4" t="s">
        <v>6</v>
      </c>
      <c xmlns="http://schemas.openxmlformats.org/spreadsheetml/2006/main" r="F5" s="5">
        <f>COUNTA('18℃'!$E$5:$E$319)+COUNTA('4℃飯'!$E$5:$E$319)+COUNTA('4℃麵'!$E$5:$E$310)+COUNTA('4℃其他'!$E$5:$E$322)+COUNTA(冷凍品!$E$5:$E$322)</f>
        <v>535.0</v>
      </c>
    </row>
    <row r="6" spans="2:6">
      <c r="B6" s="2" t="s">
        <v>7</v>
      </c>
      <c r="C6" s="3"/>
      <c r="E6" s="4" t="s">
        <v>8</v>
      </c>
      <c xmlns="http://schemas.openxmlformats.org/spreadsheetml/2006/main" r="F6" s="5">
        <f>COUNTIF('18℃'!$V$5:$V$319,"⚠*")+COUNTIF('4℃飯'!$V$5:$V$319,"⚠*")+COUNTIF('4℃麵'!$V$5:$V$310,"⚠*")+COUNTIF('4℃其他'!$V$5:$V$322,"⚠*")+COUNTIF(冷凍品!$V$5:$V$322,"⚠*")</f>
        <v>0.0</v>
      </c>
    </row>
    <row r="7" spans="2:6">
      <c r="E7" s="4" t="s">
        <v>9</v>
      </c>
      <c xmlns="http://schemas.openxmlformats.org/spreadsheetml/2006/main" r="F7" s="5">
        <f>COUNTIF('18℃'!$V$5:$V$319,"▲ 單一設備依賴")+COUNTIF('4℃飯'!$V$5:$V$319,"▲ 單一設備依賴")+COUNTIF('4℃麵'!$V$5:$V$310,"▲ 單一設備依賴")+COUNTIF('4℃其他'!$V$5:$V$322,"▲ 單一設備依賴")+COUNTIF(冷凍品!$V$5:$V$322,"▲ 單一設備依賴")</f>
        <v>292.0</v>
      </c>
    </row>
    <row r="8" spans="2:6">
      <c r="E8" s="4" t="s">
        <v>10</v>
      </c>
      <c xmlns="http://schemas.openxmlformats.org/spreadsheetml/2006/main" r="F8" s="5">
        <f>COUNTIF('18℃'!$V$5:$V$319,"○ 免調理")+COUNTIF('4℃飯'!$V$5:$V$319,"○ 免調理")+COUNTIF('4℃麵'!$V$5:$V$310,"○ 免調理")+COUNTIF('4℃其他'!$V$5:$V$322,"○ 免調理")+COUNTIF(冷凍品!$V$5:$V$322,"○ 免調理")</f>
        <v>171.0</v>
      </c>
    </row>
    <row r="10" spans="2:6" ht="15.5">
      <c r="B10" s="1" t="s">
        <v>11</v>
      </c>
    </row>
    <row r="11" spans="2:6"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</row>
    <row r="12" spans="2:6">
      <c r="B12" s="7" t="s">
        <v>17</v>
      </c>
      <c xmlns="http://schemas.openxmlformats.org/spreadsheetml/2006/main" r="C12" s="7">
        <f>MAX('18℃'!$AA$5:$AA$319)</f>
        <v>38.0</v>
      </c>
      <c xmlns="http://schemas.openxmlformats.org/spreadsheetml/2006/main" r="D12" s="8">
        <f>IF($F$4=0,0,C12/$F$4)</f>
        <v>0.38</v>
      </c>
      <c xmlns="http://schemas.openxmlformats.org/spreadsheetml/2006/main" r="E12" s="7">
        <f>COUNTA('18℃'!$E$5:$E$319)</f>
        <v>165.0</v>
      </c>
      <c xmlns="http://schemas.openxmlformats.org/spreadsheetml/2006/main" r="F12" s="8">
        <f>IF($F$5=0,0,E12/$F$5)</f>
        <v>0.308411214953271</v>
      </c>
    </row>
    <row r="13" spans="2:6">
      <c r="B13" s="7" t="s">
        <v>18</v>
      </c>
      <c xmlns="http://schemas.openxmlformats.org/spreadsheetml/2006/main" r="C13" s="7">
        <f>MAX('4℃飯'!$AA$5:$AA$319)</f>
        <v>40.0</v>
      </c>
      <c xmlns="http://schemas.openxmlformats.org/spreadsheetml/2006/main" r="D13" s="8">
        <f>IF($F$4=0,0,C13/$F$4)</f>
        <v>0.4</v>
      </c>
      <c xmlns="http://schemas.openxmlformats.org/spreadsheetml/2006/main" r="E13" s="7">
        <f>COUNTA('4℃飯'!$E$5:$E$319)</f>
        <v>254.0</v>
      </c>
      <c xmlns="http://schemas.openxmlformats.org/spreadsheetml/2006/main" r="F13" s="8">
        <f>IF($F$5=0,0,E13/$F$5)</f>
        <v>0.474766355140187</v>
      </c>
    </row>
    <row r="14" spans="2:6">
      <c r="B14" s="7" t="s">
        <v>19</v>
      </c>
      <c xmlns="http://schemas.openxmlformats.org/spreadsheetml/2006/main" r="C14" s="7">
        <f>MAX('4℃麵'!$AA$5:$AA$310)</f>
        <v>14.0</v>
      </c>
      <c xmlns="http://schemas.openxmlformats.org/spreadsheetml/2006/main" r="D14" s="8">
        <f>IF($F$4=0,0,C14/$F$4)</f>
        <v>0.14</v>
      </c>
      <c xmlns="http://schemas.openxmlformats.org/spreadsheetml/2006/main" r="E14" s="7">
        <f>COUNTA('4℃麵'!$E$5:$E$310)</f>
        <v>74.0</v>
      </c>
      <c xmlns="http://schemas.openxmlformats.org/spreadsheetml/2006/main" r="F14" s="8">
        <f>IF($F$5=0,0,E14/$F$5)</f>
        <v>0.138317757009346</v>
      </c>
    </row>
    <row r="15" spans="2:6">
      <c r="B15" s="7" t="s">
        <v>20</v>
      </c>
      <c xmlns="http://schemas.openxmlformats.org/spreadsheetml/2006/main" r="C15" s="7">
        <f>MAX('4℃其他'!$AA$5:$AA$322)</f>
        <v>8.0</v>
      </c>
      <c xmlns="http://schemas.openxmlformats.org/spreadsheetml/2006/main" r="D15" s="8">
        <f>IF($F$4=0,0,C15/$F$4)</f>
        <v>0.08</v>
      </c>
      <c xmlns="http://schemas.openxmlformats.org/spreadsheetml/2006/main" r="E15" s="7">
        <f>COUNTA('4℃其他'!$E$5:$E$322)</f>
        <v>42.0</v>
      </c>
      <c xmlns="http://schemas.openxmlformats.org/spreadsheetml/2006/main" r="F15" s="8">
        <f>IF($F$5=0,0,E15/$F$5)</f>
        <v>0.0785046728971963</v>
      </c>
    </row>
    <row r="16" spans="2:6">
      <c r="B16" s="9" t="s">
        <v>21</v>
      </c>
      <c xmlns="http://schemas.openxmlformats.org/spreadsheetml/2006/main" r="C16" s="7">
        <f>MAX(冷凍品!$AA$5:$AA$322)</f>
        <v>0.0</v>
      </c>
      <c xmlns="http://schemas.openxmlformats.org/spreadsheetml/2006/main" r="D16" s="8">
        <f>IF($F$4=0,0,C16/$F$4)</f>
        <v>0.0</v>
      </c>
      <c xmlns="http://schemas.openxmlformats.org/spreadsheetml/2006/main" r="E16" s="7">
        <f>COUNTA(冷凍品!$E$5:$E$322)</f>
        <v>0.0</v>
      </c>
      <c xmlns="http://schemas.openxmlformats.org/spreadsheetml/2006/main" r="F16" s="8">
        <f>IF($F$5=0,0,E16/$F$5)</f>
        <v>0.0</v>
      </c>
    </row>
    <row r="17" spans="2:6">
      <c r="B17" s="10" t="s">
        <v>22</v>
      </c>
      <c xmlns="http://schemas.openxmlformats.org/spreadsheetml/2006/main" r="C17" s="10">
        <f>SUM(C12:C16)</f>
        <v>100.0</v>
      </c>
      <c r="D17" s="11"/>
      <c xmlns="http://schemas.openxmlformats.org/spreadsheetml/2006/main" r="E17" s="10">
        <f>SUM(E12:E16)</f>
        <v>535.0</v>
      </c>
      <c r="F17" s="11"/>
    </row>
    <row r="19" spans="2:6" ht="15.5">
      <c r="B19" s="1" t="s">
        <v>23</v>
      </c>
    </row>
    <row r="20" spans="2:6">
      <c r="B20" s="12" t="s">
        <v>17</v>
      </c>
      <c r="C20" s="13" t="s">
        <v>24</v>
      </c>
      <c r="D20" s="14" t="s">
        <v>25</v>
      </c>
      <c r="E20" s="15" t="s">
        <v>26</v>
      </c>
      <c r="F20" s="16" t="s">
        <v>21</v>
      </c>
    </row>
    <row r="21" spans="2:6">
      <c xmlns="http://schemas.openxmlformats.org/spreadsheetml/2006/main" r="B21" s="17" t="str">
        <f>"品項數："&amp;MAX('18℃'!$AA$5:$AA$319)</f>
        <v>品項數：38</v>
      </c>
      <c xmlns="http://schemas.openxmlformats.org/spreadsheetml/2006/main" r="C21" s="17" t="str">
        <f>"品項數："&amp;MAX('4℃飯'!$AA$5:$AA$319)</f>
        <v>品項數：40</v>
      </c>
      <c xmlns="http://schemas.openxmlformats.org/spreadsheetml/2006/main" r="D21" s="17" t="str">
        <f>"品項數："&amp;MAX('4℃麵'!$AA$5:$AA$310)</f>
        <v>品項數：14</v>
      </c>
      <c xmlns="http://schemas.openxmlformats.org/spreadsheetml/2006/main" r="E21" s="17" t="str">
        <f>"品項數："&amp;MAX('4℃其他'!$AA$5:$AA$322)</f>
        <v>品項數：8</v>
      </c>
      <c xmlns="http://schemas.openxmlformats.org/spreadsheetml/2006/main" r="F21" s="17" t="str">
        <f>"品項數："&amp;MAX(冷凍品!$AA$5:$AA$322)</f>
        <v>品項數：0</v>
      </c>
    </row>
    <row r="22" spans="2:6">
      <c xmlns="http://schemas.openxmlformats.org/spreadsheetml/2006/main" r="B22" s="18" t="str">
        <f>IF(1&gt;MAX('18℃'!$AA$5:$AA$319),"",HYPERLINK("#'18℃'!D"&amp;(MATCH(1,'18℃'!$AA$5:$AA$319,0)+4),INDEX('18℃'!$D$5:$D$319,MATCH(1,'18℃'!$AA$5:$AA$319,0))))</f>
        <v>柚檸海灣貝飯糰</v>
      </c>
      <c xmlns="http://schemas.openxmlformats.org/spreadsheetml/2006/main" r="C22" s="18" t="str">
        <f>IF(1&gt;MAX('4℃飯'!$AA$5:$AA$319),"",HYPERLINK("#'4℃飯'!D"&amp;(MATCH(1,'4℃飯'!$AA$5:$AA$319,0)+4),INDEX('4℃飯'!$D$5:$D$319,MATCH(1,'4℃飯'!$AA$5:$AA$319,0))))</f>
        <v>日式鮭魚茶泡烤飯</v>
      </c>
      <c xmlns="http://schemas.openxmlformats.org/spreadsheetml/2006/main" r="D22" s="18" t="str">
        <f>IF(1&gt;MAX('4℃麵'!$AA$5:$AA$310),"",HYPERLINK("#'4℃麵'!D"&amp;(MATCH(1,'4℃麵'!$AA$5:$AA$310,0)+4),INDEX('4℃麵'!$D$5:$D$310,MATCH(1,'4℃麵'!$AA$5:$AA$310,0))))</f>
        <v>和風涓絲冷麵</v>
      </c>
      <c xmlns="http://schemas.openxmlformats.org/spreadsheetml/2006/main" r="E22" s="18" t="str">
        <f>IF(1&gt;MAX('4℃其他'!$AA$5:$AA$322),"",HYPERLINK("#'4℃其他'!D"&amp;(MATCH(1,'4℃其他'!$AA$5:$AA$322,0)+4),INDEX('4℃其他'!$D$5:$D$322,MATCH(1,'4℃其他'!$AA$5:$AA$322,0))))</f>
        <v>越式牛肉寬粉</v>
      </c>
      <c xmlns="http://schemas.openxmlformats.org/spreadsheetml/2006/main" r="F22" s="18" t="str">
        <f>IF(1&gt;MAX('冷凍品'!$AA$5:$AA$322),"",HYPERLINK("#'冷凍品'!D"&amp;(MATCH(1,'冷凍品'!$AA$5:$AA$322,0)+4),INDEX('冷凍品'!$D$5:$D$322,MATCH(1,'冷凍品'!$AA$5:$AA$322,0))))</f>
        <v/>
      </c>
    </row>
    <row r="23" spans="2:6">
      <c xmlns="http://schemas.openxmlformats.org/spreadsheetml/2006/main" r="B23" s="18" t="str">
        <f>IF(2&gt;MAX('18℃'!$AA$5:$AA$319),"",HYPERLINK("#'18℃'!D"&amp;(MATCH(2,'18℃'!$AA$5:$AA$319,0)+4),INDEX('18℃'!$D$5:$D$319,MATCH(2,'18℃'!$AA$5:$AA$319,0))))</f>
        <v>筋子銀鮭飯糰</v>
      </c>
      <c xmlns="http://schemas.openxmlformats.org/spreadsheetml/2006/main" r="C23" s="18" t="str">
        <f>IF(2&gt;MAX('4℃飯'!$AA$5:$AA$319),"",HYPERLINK("#'4℃飯'!D"&amp;(MATCH(2,'4℃飯'!$AA$5:$AA$319,0)+4),INDEX('4℃飯'!$D$5:$D$319,MATCH(2,'4℃飯'!$AA$5:$AA$319,0))))</f>
        <v>糖燻野郎三十天熟成牛飯(115年)</v>
      </c>
      <c xmlns="http://schemas.openxmlformats.org/spreadsheetml/2006/main" r="D23" s="18" t="str">
        <f>IF(2&gt;MAX('4℃麵'!$AA$5:$AA$310),"",HYPERLINK("#'4℃麵'!D"&amp;(MATCH(2,'4℃麵'!$AA$5:$AA$310,0)+4),INDEX('4℃麵'!$D$5:$D$310,MATCH(2,'4℃麵'!$AA$5:$AA$310,0))))</f>
        <v>嘉義崇文白醋涼麵</v>
      </c>
      <c xmlns="http://schemas.openxmlformats.org/spreadsheetml/2006/main" r="E23" s="18" t="str">
        <f>IF(2&gt;MAX('4℃其他'!$AA$5:$AA$322),"",HYPERLINK("#'4℃其他'!D"&amp;(MATCH(2,'4℃其他'!$AA$5:$AA$322,0)+4),INDEX('4℃其他'!$D$5:$D$322,MATCH(2,'4℃其他'!$AA$5:$AA$322,0))))</f>
        <v>三合一味噌湯</v>
      </c>
      <c xmlns="http://schemas.openxmlformats.org/spreadsheetml/2006/main" r="F23" s="18" t="str">
        <f>IF(2&gt;MAX('冷凍品'!$AA$5:$AA$322),"",HYPERLINK("#'冷凍品'!D"&amp;(MATCH(2,'冷凍品'!$AA$5:$AA$322,0)+4),INDEX('冷凍品'!$D$5:$D$322,MATCH(2,'冷凍品'!$AA$5:$AA$322,0))))</f>
        <v/>
      </c>
    </row>
    <row r="24" spans="2:6">
      <c xmlns="http://schemas.openxmlformats.org/spreadsheetml/2006/main" r="B24" s="18" t="str">
        <f>IF(3&gt;MAX('18℃'!$AA$5:$AA$319),"",HYPERLINK("#'18℃'!D"&amp;(MATCH(3,'18℃'!$AA$5:$AA$319,0)+4),INDEX('18℃'!$D$5:$D$319,MATCH(3,'18℃'!$AA$5:$AA$319,0))))</f>
        <v>鮭魚奶油醬油飯糰</v>
      </c>
      <c xmlns="http://schemas.openxmlformats.org/spreadsheetml/2006/main" r="C24" s="18" t="str">
        <f>IF(3&gt;MAX('4℃飯'!$AA$5:$AA$319),"",HYPERLINK("#'4℃飯'!D"&amp;(MATCH(3,'4℃飯'!$AA$5:$AA$319,0)+4),INDEX('4℃飯'!$D$5:$D$319,MATCH(3,'4℃飯'!$AA$5:$AA$319,0))))</f>
        <v>健身G肉餐盒</v>
      </c>
      <c xmlns="http://schemas.openxmlformats.org/spreadsheetml/2006/main" r="D24" s="18" t="str">
        <f>IF(3&gt;MAX('4℃麵'!$AA$5:$AA$310),"",HYPERLINK("#'4℃麵'!D"&amp;(MATCH(3,'4℃麵'!$AA$5:$AA$310,0)+4),INDEX('4℃麵'!$D$5:$D$310,MATCH(3,'4℃麵'!$AA$5:$AA$310,0))))</f>
        <v>大滿足香辣涼麵(115年)</v>
      </c>
      <c xmlns="http://schemas.openxmlformats.org/spreadsheetml/2006/main" r="E24" s="18" t="str">
        <f>IF(3&gt;MAX('4℃其他'!$AA$5:$AA$322),"",HYPERLINK("#'4℃其他'!D"&amp;(MATCH(3,'4℃其他'!$AA$5:$AA$322,0)+4),INDEX('4℃其他'!$D$5:$D$322,MATCH(3,'4℃其他'!$AA$5:$AA$322,0))))</f>
        <v>馬鈴薯玉米濃湯</v>
      </c>
      <c xmlns="http://schemas.openxmlformats.org/spreadsheetml/2006/main" r="F24" s="18" t="str">
        <f>IF(3&gt;MAX('冷凍品'!$AA$5:$AA$322),"",HYPERLINK("#'冷凍品'!D"&amp;(MATCH(3,'冷凍品'!$AA$5:$AA$322,0)+4),INDEX('冷凍品'!$D$5:$D$322,MATCH(3,'冷凍品'!$AA$5:$AA$322,0))))</f>
        <v/>
      </c>
    </row>
    <row r="25" spans="2:6">
      <c xmlns="http://schemas.openxmlformats.org/spreadsheetml/2006/main" r="B25" s="18" t="str">
        <f>IF(4&gt;MAX('18℃'!$AA$5:$AA$319),"",HYPERLINK("#'18℃'!D"&amp;(MATCH(4,'18℃'!$AA$5:$AA$319,0)+4),INDEX('18℃'!$D$5:$D$319,MATCH(4,'18℃'!$AA$5:$AA$319,0))))</f>
        <v>黑胡椒洋蔥豬飯糰</v>
      </c>
      <c xmlns="http://schemas.openxmlformats.org/spreadsheetml/2006/main" r="C25" s="18" t="str">
        <f>IF(4&gt;MAX('4℃飯'!$AA$5:$AA$319),"",HYPERLINK("#'4℃飯'!D"&amp;(MATCH(4,'4℃飯'!$AA$5:$AA$319,0)+4),INDEX('4℃飯'!$D$5:$D$319,MATCH(4,'4℃飯'!$AA$5:$AA$319,0))))</f>
        <v>地中海布格麥烤魚餐盒</v>
      </c>
      <c xmlns="http://schemas.openxmlformats.org/spreadsheetml/2006/main" r="D25" s="18" t="str">
        <f>IF(4&gt;MAX('4℃麵'!$AA$5:$AA$310),"",HYPERLINK("#'4℃麵'!D"&amp;(MATCH(4,'4℃麵'!$AA$5:$AA$310,0)+4),INDEX('4℃麵'!$D$5:$D$310,MATCH(4,'4℃麵'!$AA$5:$AA$310,0))))</f>
        <v>大滿足香辣涼麵(區)</v>
      </c>
      <c xmlns="http://schemas.openxmlformats.org/spreadsheetml/2006/main" r="E25" s="18" t="str">
        <f>IF(4&gt;MAX('4℃其他'!$AA$5:$AA$322),"",HYPERLINK("#'4℃其他'!D"&amp;(MATCH(4,'4℃其他'!$AA$5:$AA$322,0)+4),INDEX('4℃其他'!$D$5:$D$322,MATCH(4,'4℃其他'!$AA$5:$AA$322,0))))</f>
        <v>蒸蛋湯</v>
      </c>
      <c xmlns="http://schemas.openxmlformats.org/spreadsheetml/2006/main" r="F25" s="18" t="str">
        <f>IF(4&gt;MAX('冷凍品'!$AA$5:$AA$322),"",HYPERLINK("#'冷凍品'!D"&amp;(MATCH(4,'冷凍品'!$AA$5:$AA$322,0)+4),INDEX('冷凍品'!$D$5:$D$322,MATCH(4,'冷凍品'!$AA$5:$AA$322,0))))</f>
        <v/>
      </c>
    </row>
    <row r="26" spans="2:6">
      <c xmlns="http://schemas.openxmlformats.org/spreadsheetml/2006/main" r="B26" s="18" t="str">
        <f>IF(5&gt;MAX('18℃'!$AA$5:$AA$319),"",HYPERLINK("#'18℃'!D"&amp;(MATCH(5,'18℃'!$AA$5:$AA$319,0)+4),INDEX('18℃'!$D$5:$D$319,MATCH(5,'18℃'!$AA$5:$AA$319,0))))</f>
        <v>三杯醬爆菇菇飯糰</v>
      </c>
      <c xmlns="http://schemas.openxmlformats.org/spreadsheetml/2006/main" r="C26" s="18" t="str">
        <f>IF(5&gt;MAX('4℃飯'!$AA$5:$AA$319),"",HYPERLINK("#'4℃飯'!D"&amp;(MATCH(5,'4℃飯'!$AA$5:$AA$319,0)+4),INDEX('4℃飯'!$D$5:$D$319,MATCH(5,'4℃飯'!$AA$5:$AA$319,0))))</f>
        <v>嫩烤香料雞胸排蔬滿盒</v>
      </c>
      <c xmlns="http://schemas.openxmlformats.org/spreadsheetml/2006/main" r="D26" s="18" t="str">
        <f>IF(5&gt;MAX('4℃麵'!$AA$5:$AA$310),"",HYPERLINK("#'4℃麵'!D"&amp;(MATCH(5,'4℃麵'!$AA$5:$AA$310,0)+4),INDEX('4℃麵'!$D$5:$D$310,MATCH(5,'4℃麵'!$AA$5:$AA$310,0))))</f>
        <v>大滿足麻醬涼麵(115年)</v>
      </c>
      <c xmlns="http://schemas.openxmlformats.org/spreadsheetml/2006/main" r="E26" s="18" t="str">
        <f>IF(5&gt;MAX('4℃其他'!$AA$5:$AA$322),"",HYPERLINK("#'4℃其他'!D"&amp;(MATCH(5,'4℃其他'!$AA$5:$AA$322,0)+4),INDEX('4℃其他'!$D$5:$D$322,MATCH(5,'4℃其他'!$AA$5:$AA$322,0))))</f>
        <v>香蕉卡士達泡芙</v>
      </c>
      <c xmlns="http://schemas.openxmlformats.org/spreadsheetml/2006/main" r="F26" s="18" t="str">
        <f>IF(5&gt;MAX('冷凍品'!$AA$5:$AA$322),"",HYPERLINK("#'冷凍品'!D"&amp;(MATCH(5,'冷凍品'!$AA$5:$AA$322,0)+4),INDEX('冷凍品'!$D$5:$D$322,MATCH(5,'冷凍品'!$AA$5:$AA$322,0))))</f>
        <v/>
      </c>
    </row>
    <row r="27" spans="2:6">
      <c xmlns="http://schemas.openxmlformats.org/spreadsheetml/2006/main" r="B27" s="18" t="str">
        <f>IF(6&gt;MAX('18℃'!$AA$5:$AA$319),"",HYPERLINK("#'18℃'!D"&amp;(MATCH(6,'18℃'!$AA$5:$AA$319,0)+4),INDEX('18℃'!$D$5:$D$319,MATCH(6,'18℃'!$AA$5:$AA$319,0))))</f>
        <v>大飯糰乾燒風味鮮蝦</v>
      </c>
      <c xmlns="http://schemas.openxmlformats.org/spreadsheetml/2006/main" r="C27" s="18" t="str">
        <f>IF(6&gt;MAX('4℃飯'!$AA$5:$AA$319),"",HYPERLINK("#'4℃飯'!D"&amp;(MATCH(6,'4℃飯'!$AA$5:$AA$319,0)+4),INDEX('4℃飯'!$D$5:$D$319,MATCH(6,'4℃飯'!$AA$5:$AA$319,0))))</f>
        <v>懷舊滷雙拼便當</v>
      </c>
      <c xmlns="http://schemas.openxmlformats.org/spreadsheetml/2006/main" r="D27" s="18" t="str">
        <f>IF(6&gt;MAX('4℃麵'!$AA$5:$AA$310),"",HYPERLINK("#'4℃麵'!D"&amp;(MATCH(6,'4℃麵'!$AA$5:$AA$310,0)+4),INDEX('4℃麵'!$D$5:$D$310,MATCH(6,'4℃麵'!$AA$5:$AA$310,0))))</f>
        <v>大滿足麻醬涼麵(區)</v>
      </c>
      <c xmlns="http://schemas.openxmlformats.org/spreadsheetml/2006/main" r="E27" s="18" t="str">
        <f>IF(6&gt;MAX('4℃其他'!$AA$5:$AA$322),"",HYPERLINK("#'4℃其他'!D"&amp;(MATCH(6,'4℃其他'!$AA$5:$AA$322,0)+4),INDEX('4℃其他'!$D$5:$D$322,MATCH(6,'4℃其他'!$AA$5:$AA$322,0))))</f>
        <v>和風豆乳鍋</v>
      </c>
      <c xmlns="http://schemas.openxmlformats.org/spreadsheetml/2006/main" r="F27" s="18" t="str">
        <f>IF(6&gt;MAX('冷凍品'!$AA$5:$AA$322),"",HYPERLINK("#'冷凍品'!D"&amp;(MATCH(6,'冷凍品'!$AA$5:$AA$322,0)+4),INDEX('冷凍品'!$D$5:$D$322,MATCH(6,'冷凍品'!$AA$5:$AA$322,0))))</f>
        <v/>
      </c>
    </row>
    <row r="28" spans="2:6">
      <c xmlns="http://schemas.openxmlformats.org/spreadsheetml/2006/main" r="B28" s="18" t="str">
        <f>IF(7&gt;MAX('18℃'!$AA$5:$AA$319),"",HYPERLINK("#'18℃'!D"&amp;(MATCH(7,'18℃'!$AA$5:$AA$319,0)+4),INDEX('18℃'!$D$5:$D$319,MATCH(7,'18℃'!$AA$5:$AA$319,0))))</f>
        <v>大飯糰泡菜鮪魚</v>
      </c>
      <c xmlns="http://schemas.openxmlformats.org/spreadsheetml/2006/main" r="C28" s="18" t="str">
        <f>IF(7&gt;MAX('4℃飯'!$AA$5:$AA$319),"",HYPERLINK("#'4℃飯'!D"&amp;(MATCH(7,'4℃飯'!$AA$5:$AA$319,0)+4),INDEX('4℃飯'!$D$5:$D$319,MATCH(7,'4℃飯'!$AA$5:$AA$319,0))))</f>
        <v>海陸雙拼肉肉餐盒</v>
      </c>
      <c xmlns="http://schemas.openxmlformats.org/spreadsheetml/2006/main" r="D28" s="18" t="str">
        <f>IF(7&gt;MAX('4℃麵'!$AA$5:$AA$310),"",HYPERLINK("#'4℃麵'!D"&amp;(MATCH(7,'4℃麵'!$AA$5:$AA$310,0)+4),INDEX('4℃麵'!$D$5:$D$310,MATCH(7,'4℃麵'!$AA$5:$AA$310,0))))</f>
        <v>招牌雞絲胡麻涼麵</v>
      </c>
      <c xmlns="http://schemas.openxmlformats.org/spreadsheetml/2006/main" r="E28" s="18" t="str">
        <f>IF(7&gt;MAX('4℃其他'!$AA$5:$AA$322),"",HYPERLINK("#'4℃其他'!D"&amp;(MATCH(7,'4℃其他'!$AA$5:$AA$322,0)+4),INDEX('4℃其他'!$D$5:$D$322,MATCH(7,'4℃其他'!$AA$5:$AA$322,0))))</f>
        <v>韓式部隊鍋</v>
      </c>
      <c xmlns="http://schemas.openxmlformats.org/spreadsheetml/2006/main" r="F28" s="18" t="str">
        <f>IF(7&gt;MAX('冷凍品'!$AA$5:$AA$322),"",HYPERLINK("#'冷凍品'!D"&amp;(MATCH(7,'冷凍品'!$AA$5:$AA$322,0)+4),INDEX('冷凍品'!$D$5:$D$322,MATCH(7,'冷凍品'!$AA$5:$AA$322,0))))</f>
        <v/>
      </c>
    </row>
    <row r="29" spans="2:6">
      <c xmlns="http://schemas.openxmlformats.org/spreadsheetml/2006/main" r="B29" s="18" t="str">
        <f>IF(8&gt;MAX('18℃'!$AA$5:$AA$319),"",HYPERLINK("#'18℃'!D"&amp;(MATCH(8,'18℃'!$AA$5:$AA$319,0)+4),INDEX('18℃'!$D$5:$D$319,MATCH(8,'18℃'!$AA$5:$AA$319,0))))</f>
        <v>大飯糰韓式蒜烤豬五花</v>
      </c>
      <c xmlns="http://schemas.openxmlformats.org/spreadsheetml/2006/main" r="C29" s="18" t="str">
        <f>IF(8&gt;MAX('4℃飯'!$AA$5:$AA$319),"",HYPERLINK("#'4℃飯'!D"&amp;(MATCH(8,'4℃飯'!$AA$5:$AA$319,0)+4),INDEX('4℃飯'!$D$5:$D$319,MATCH(8,'4℃飯'!$AA$5:$AA$319,0))))</f>
        <v>烤蛋白餐盒</v>
      </c>
      <c xmlns="http://schemas.openxmlformats.org/spreadsheetml/2006/main" r="D29" s="18" t="str">
        <f>IF(8&gt;MAX('4℃麵'!$AA$5:$AA$310),"",HYPERLINK("#'4℃麵'!D"&amp;(MATCH(8,'4℃麵'!$AA$5:$AA$310,0)+4),INDEX('4℃麵'!$D$5:$D$310,MATCH(8,'4℃麵'!$AA$5:$AA$310,0))))</f>
        <v>日式胡麻雞絲冷麵</v>
      </c>
      <c xmlns="http://schemas.openxmlformats.org/spreadsheetml/2006/main" r="E29" s="18" t="str">
        <f>IF(8&gt;MAX('4℃其他'!$AA$5:$AA$322),"",HYPERLINK("#'4℃其他'!D"&amp;(MATCH(8,'4℃其他'!$AA$5:$AA$322,0)+4),INDEX('4℃其他'!$D$5:$D$322,MATCH(8,'4℃其他'!$AA$5:$AA$322,0))))</f>
        <v>莓莓乳酪慕斯蛋糕</v>
      </c>
      <c xmlns="http://schemas.openxmlformats.org/spreadsheetml/2006/main" r="F29" s="18" t="str">
        <f>IF(8&gt;MAX('冷凍品'!$AA$5:$AA$322),"",HYPERLINK("#'冷凍品'!D"&amp;(MATCH(8,'冷凍品'!$AA$5:$AA$322,0)+4),INDEX('冷凍品'!$D$5:$D$322,MATCH(8,'冷凍品'!$AA$5:$AA$322,0))))</f>
        <v/>
      </c>
    </row>
    <row r="30" spans="2:6">
      <c xmlns="http://schemas.openxmlformats.org/spreadsheetml/2006/main" r="B30" s="18" t="str">
        <f>IF(9&gt;MAX('18℃'!$AA$5:$AA$319),"",HYPERLINK("#'18℃'!D"&amp;(MATCH(9,'18℃'!$AA$5:$AA$319,0)+4),INDEX('18℃'!$D$5:$D$319,MATCH(9,'18℃'!$AA$5:$AA$319,0))))</f>
        <v>芝麻香鬆飯糰</v>
      </c>
      <c xmlns="http://schemas.openxmlformats.org/spreadsheetml/2006/main" r="C30" s="18" t="str">
        <f>IF(9&gt;MAX('4℃飯'!$AA$5:$AA$319),"",HYPERLINK("#'4℃飯'!D"&amp;(MATCH(9,'4℃飯'!$AA$5:$AA$319,0)+4),INDEX('4℃飯'!$D$5:$D$319,MATCH(9,'4℃飯'!$AA$5:$AA$319,0))))</f>
        <v>蔬活腿排補力餐盒</v>
      </c>
      <c xmlns="http://schemas.openxmlformats.org/spreadsheetml/2006/main" r="D30" s="18" t="str">
        <f>IF(9&gt;MAX('4℃麵'!$AA$5:$AA$310),"",HYPERLINK("#'4℃麵'!D"&amp;(MATCH(9,'4℃麵'!$AA$5:$AA$310,0)+4),INDEX('4℃麵'!$D$5:$D$310,MATCH(9,'4℃麵'!$AA$5:$AA$310,0))))</f>
        <v>日式蕎麥沾麵</v>
      </c>
      <c xmlns="http://schemas.openxmlformats.org/spreadsheetml/2006/main" r="E30" s="18" t="str">
        <f>IF(9&gt;MAX('4℃其他'!$AA$5:$AA$322),"",HYPERLINK("#'4℃其他'!D"&amp;(MATCH(9,'4℃其他'!$AA$5:$AA$322,0)+4),INDEX('4℃其他'!$D$5:$D$322,MATCH(9,'4℃其他'!$AA$5:$AA$322,0))))</f>
        <v/>
      </c>
      <c xmlns="http://schemas.openxmlformats.org/spreadsheetml/2006/main" r="F30" s="18" t="str">
        <f>IF(9&gt;MAX('冷凍品'!$AA$5:$AA$322),"",HYPERLINK("#'冷凍品'!D"&amp;(MATCH(9,'冷凍品'!$AA$5:$AA$322,0)+4),INDEX('冷凍品'!$D$5:$D$322,MATCH(9,'冷凍品'!$AA$5:$AA$322,0))))</f>
        <v/>
      </c>
    </row>
    <row r="31" spans="2:6">
      <c xmlns="http://schemas.openxmlformats.org/spreadsheetml/2006/main" r="B31" s="18" t="str">
        <f>IF(10&gt;MAX('18℃'!$AA$5:$AA$319),"",HYPERLINK("#'18℃'!D"&amp;(MATCH(10,'18℃'!$AA$5:$AA$319,0)+4),INDEX('18℃'!$D$5:$D$319,MATCH(10,'18℃'!$AA$5:$AA$319,0))))</f>
        <v>北海道秋鮭親子飯糰</v>
      </c>
      <c xmlns="http://schemas.openxmlformats.org/spreadsheetml/2006/main" r="C31" s="18" t="str">
        <f>IF(10&gt;MAX('4℃飯'!$AA$5:$AA$319),"",HYPERLINK("#'4℃飯'!D"&amp;(MATCH(10,'4℃飯'!$AA$5:$AA$319,0)+4),INDEX('4℃飯'!$D$5:$D$319,MATCH(10,'4℃飯'!$AA$5:$AA$319,0))))</f>
        <v>香檸奶油魚排蔬滿盒</v>
      </c>
      <c xmlns="http://schemas.openxmlformats.org/spreadsheetml/2006/main" r="D31" s="18" t="str">
        <f>IF(10&gt;MAX('4℃麵'!$AA$5:$AA$310),"",HYPERLINK("#'4℃麵'!D"&amp;(MATCH(10,'4℃麵'!$AA$5:$AA$310,0)+4),INDEX('4℃麵'!$D$5:$D$310,MATCH(10,'4℃麵'!$AA$5:$AA$310,0))))</f>
        <v>月見烏龍冷麵</v>
      </c>
      <c xmlns="http://schemas.openxmlformats.org/spreadsheetml/2006/main" r="E31" s="18" t="str">
        <f>IF(10&gt;MAX('4℃其他'!$AA$5:$AA$322),"",HYPERLINK("#'4℃其他'!D"&amp;(MATCH(10,'4℃其他'!$AA$5:$AA$322,0)+4),INDEX('4℃其他'!$D$5:$D$322,MATCH(10,'4℃其他'!$AA$5:$AA$322,0))))</f>
        <v/>
      </c>
      <c xmlns="http://schemas.openxmlformats.org/spreadsheetml/2006/main" r="F31" s="18" t="str">
        <f>IF(10&gt;MAX('冷凍品'!$AA$5:$AA$322),"",HYPERLINK("#'冷凍品'!D"&amp;(MATCH(10,'冷凍品'!$AA$5:$AA$322,0)+4),INDEX('冷凍品'!$D$5:$D$322,MATCH(10,'冷凍品'!$AA$5:$AA$322,0))))</f>
        <v/>
      </c>
    </row>
    <row r="32" spans="2:6">
      <c xmlns="http://schemas.openxmlformats.org/spreadsheetml/2006/main" r="B32" s="18" t="str">
        <f>IF(11&gt;MAX('18℃'!$AA$5:$AA$319),"",HYPERLINK("#'18℃'!D"&amp;(MATCH(11,'18℃'!$AA$5:$AA$319,0)+4),INDEX('18℃'!$D$5:$D$319,MATCH(11,'18℃'!$AA$5:$AA$319,0))))</f>
        <v>壹號醬炙烤牛飯糰</v>
      </c>
      <c xmlns="http://schemas.openxmlformats.org/spreadsheetml/2006/main" r="C32" s="18" t="str">
        <f>IF(11&gt;MAX('4℃飯'!$AA$5:$AA$319),"",HYPERLINK("#'4℃飯'!D"&amp;(MATCH(11,'4℃飯'!$AA$5:$AA$319,0)+4),INDEX('4℃飯'!$D$5:$D$319,MATCH(11,'4℃飯'!$AA$5:$AA$319,0))))</f>
        <v>香腸腿排雙拼便當</v>
      </c>
      <c xmlns="http://schemas.openxmlformats.org/spreadsheetml/2006/main" r="D32" s="18" t="str">
        <f>IF(11&gt;MAX('4℃麵'!$AA$5:$AA$310),"",HYPERLINK("#'4℃麵'!D"&amp;(MATCH(11,'4℃麵'!$AA$5:$AA$310,0)+4),INDEX('4℃麵'!$D$5:$D$310,MATCH(11,'4℃麵'!$AA$5:$AA$310,0))))</f>
        <v>韓式泡菜冷麵</v>
      </c>
      <c xmlns="http://schemas.openxmlformats.org/spreadsheetml/2006/main" r="E32" s="18" t="str">
        <f>IF(11&gt;MAX('4℃其他'!$AA$5:$AA$322),"",HYPERLINK("#'4℃其他'!D"&amp;(MATCH(11,'4℃其他'!$AA$5:$AA$322,0)+4),INDEX('4℃其他'!$D$5:$D$322,MATCH(11,'4℃其他'!$AA$5:$AA$322,0))))</f>
        <v/>
      </c>
      <c xmlns="http://schemas.openxmlformats.org/spreadsheetml/2006/main" r="F32" s="18" t="str">
        <f>IF(11&gt;MAX('冷凍品'!$AA$5:$AA$322),"",HYPERLINK("#'冷凍品'!D"&amp;(MATCH(11,'冷凍品'!$AA$5:$AA$322,0)+4),INDEX('冷凍品'!$D$5:$D$322,MATCH(11,'冷凍品'!$AA$5:$AA$322,0))))</f>
        <v/>
      </c>
    </row>
    <row r="33" spans="2:6">
      <c xmlns="http://schemas.openxmlformats.org/spreadsheetml/2006/main" r="B33" s="18" t="str">
        <f>IF(12&gt;MAX('18℃'!$AA$5:$AA$319),"",HYPERLINK("#'18℃'!D"&amp;(MATCH(12,'18℃'!$AA$5:$AA$319,0)+4),INDEX('18℃'!$D$5:$D$319,MATCH(12,'18℃'!$AA$5:$AA$319,0))))</f>
        <v>明太子龍蝦風味沙拉飯糰</v>
      </c>
      <c xmlns="http://schemas.openxmlformats.org/spreadsheetml/2006/main" r="C33" s="18" t="str">
        <f>IF(12&gt;MAX('4℃飯'!$AA$5:$AA$319),"",HYPERLINK("#'4℃飯'!D"&amp;(MATCH(12,'4℃飯'!$AA$5:$AA$319,0)+4),INDEX('4℃飯'!$D$5:$D$319,MATCH(12,'4℃飯'!$AA$5:$AA$319,0))))</f>
        <v>哞哞培根奶香海陸焗飯</v>
      </c>
      <c xmlns="http://schemas.openxmlformats.org/spreadsheetml/2006/main" r="D33" s="18" t="str">
        <f>IF(12&gt;MAX('4℃麵'!$AA$5:$AA$310),"",HYPERLINK("#'4℃麵'!D"&amp;(MATCH(12,'4℃麵'!$AA$5:$AA$310,0)+4),INDEX('4℃麵'!$D$5:$D$310,MATCH(12,'4℃麵'!$AA$5:$AA$310,0))))</f>
        <v>麻油菇菇拌麵</v>
      </c>
      <c xmlns="http://schemas.openxmlformats.org/spreadsheetml/2006/main" r="E33" s="18" t="str">
        <f>IF(12&gt;MAX('4℃其他'!$AA$5:$AA$322),"",HYPERLINK("#'4℃其他'!D"&amp;(MATCH(12,'4℃其他'!$AA$5:$AA$322,0)+4),INDEX('4℃其他'!$D$5:$D$322,MATCH(12,'4℃其他'!$AA$5:$AA$322,0))))</f>
        <v/>
      </c>
      <c xmlns="http://schemas.openxmlformats.org/spreadsheetml/2006/main" r="F33" s="18" t="str">
        <f>IF(12&gt;MAX('冷凍品'!$AA$5:$AA$322),"",HYPERLINK("#'冷凍品'!D"&amp;(MATCH(12,'冷凍品'!$AA$5:$AA$322,0)+4),INDEX('冷凍品'!$D$5:$D$322,MATCH(12,'冷凍品'!$AA$5:$AA$322,0))))</f>
        <v/>
      </c>
    </row>
    <row r="34" spans="2:6">
      <c xmlns="http://schemas.openxmlformats.org/spreadsheetml/2006/main" r="B34" s="18" t="str">
        <f>IF(13&gt;MAX('18℃'!$AA$5:$AA$319),"",HYPERLINK("#'18℃'!D"&amp;(MATCH(13,'18℃'!$AA$5:$AA$319,0)+4),INDEX('18℃'!$D$5:$D$319,MATCH(13,'18℃'!$AA$5:$AA$319,0))))</f>
        <v>熟成紅鮭飯糰</v>
      </c>
      <c xmlns="http://schemas.openxmlformats.org/spreadsheetml/2006/main" r="C34" s="18" t="str">
        <f>IF(13&gt;MAX('4℃飯'!$AA$5:$AA$319),"",HYPERLINK("#'4℃飯'!D"&amp;(MATCH(13,'4℃飯'!$AA$5:$AA$319,0)+4),INDEX('4℃飯'!$D$5:$D$319,MATCH(13,'4℃飯'!$AA$5:$AA$319,0))))</f>
        <v>濃起司燻腸紅醬焗烤飯</v>
      </c>
      <c xmlns="http://schemas.openxmlformats.org/spreadsheetml/2006/main" r="D34" s="18" t="str">
        <f>IF(13&gt;MAX('4℃麵'!$AA$5:$AA$310),"",HYPERLINK("#'4℃麵'!D"&amp;(MATCH(13,'4℃麵'!$AA$5:$AA$310,0)+4),INDEX('4℃麵'!$D$5:$D$310,MATCH(13,'4℃麵'!$AA$5:$AA$310,0))))</f>
        <v>松露雞白湯拉麵</v>
      </c>
      <c xmlns="http://schemas.openxmlformats.org/spreadsheetml/2006/main" r="E34" s="18" t="str">
        <f>IF(13&gt;MAX('4℃其他'!$AA$5:$AA$322),"",HYPERLINK("#'4℃其他'!D"&amp;(MATCH(13,'4℃其他'!$AA$5:$AA$322,0)+4),INDEX('4℃其他'!$D$5:$D$322,MATCH(13,'4℃其他'!$AA$5:$AA$322,0))))</f>
        <v/>
      </c>
      <c xmlns="http://schemas.openxmlformats.org/spreadsheetml/2006/main" r="F34" s="18" t="str">
        <f>IF(13&gt;MAX('冷凍品'!$AA$5:$AA$322),"",HYPERLINK("#'冷凍品'!D"&amp;(MATCH(13,'冷凍品'!$AA$5:$AA$322,0)+4),INDEX('冷凍品'!$D$5:$D$322,MATCH(13,'冷凍品'!$AA$5:$AA$322,0))))</f>
        <v/>
      </c>
    </row>
    <row r="35" spans="2:6">
      <c xmlns="http://schemas.openxmlformats.org/spreadsheetml/2006/main" r="B35" s="18" t="str">
        <f>IF(14&gt;MAX('18℃'!$AA$5:$AA$319),"",HYPERLINK("#'18℃'!D"&amp;(MATCH(14,'18℃'!$AA$5:$AA$319,0)+4),INDEX('18℃'!$D$5:$D$319,MATCH(14,'18℃'!$AA$5:$AA$319,0))))</f>
        <v>經典肉鬆飯糰</v>
      </c>
      <c xmlns="http://schemas.openxmlformats.org/spreadsheetml/2006/main" r="C35" s="18" t="str">
        <f>IF(14&gt;MAX('4℃飯'!$AA$5:$AA$319),"",HYPERLINK("#'4℃飯'!D"&amp;(MATCH(14,'4℃飯'!$AA$5:$AA$319,0)+4),INDEX('4℃飯'!$D$5:$D$319,MATCH(14,'4℃飯'!$AA$5:$AA$319,0))))</f>
        <v>西班牙風味海鮮燉飯</v>
      </c>
      <c xmlns="http://schemas.openxmlformats.org/spreadsheetml/2006/main" r="D35" s="18" t="str">
        <f>IF(14&gt;MAX('4℃麵'!$AA$5:$AA$310),"",HYPERLINK("#'4℃麵'!D"&amp;(MATCH(14,'4℃麵'!$AA$5:$AA$310,0)+4),INDEX('4℃麵'!$D$5:$D$310,MATCH(14,'4℃麵'!$AA$5:$AA$310,0))))</f>
        <v>東京豚骨風味拉麵</v>
      </c>
      <c xmlns="http://schemas.openxmlformats.org/spreadsheetml/2006/main" r="E35" s="18" t="str">
        <f>IF(14&gt;MAX('4℃其他'!$AA$5:$AA$322),"",HYPERLINK("#'4℃其他'!D"&amp;(MATCH(14,'4℃其他'!$AA$5:$AA$322,0)+4),INDEX('4℃其他'!$D$5:$D$322,MATCH(14,'4℃其他'!$AA$5:$AA$322,0))))</f>
        <v/>
      </c>
      <c xmlns="http://schemas.openxmlformats.org/spreadsheetml/2006/main" r="F35" s="18" t="str">
        <f>IF(14&gt;MAX('冷凍品'!$AA$5:$AA$322),"",HYPERLINK("#'冷凍品'!D"&amp;(MATCH(14,'冷凍品'!$AA$5:$AA$322,0)+4),INDEX('冷凍品'!$D$5:$D$322,MATCH(14,'冷凍品'!$AA$5:$AA$322,0))))</f>
        <v/>
      </c>
    </row>
    <row r="36" spans="2:6">
      <c xmlns="http://schemas.openxmlformats.org/spreadsheetml/2006/main" r="B36" s="18" t="str">
        <f>IF(15&gt;MAX('18℃'!$AA$5:$AA$319),"",HYPERLINK("#'18℃'!D"&amp;(MATCH(15,'18℃'!$AA$5:$AA$319,0)+4),INDEX('18℃'!$D$5:$D$319,MATCH(15,'18℃'!$AA$5:$AA$319,0))))</f>
        <v>蔬食鮪魚飯糰</v>
      </c>
      <c xmlns="http://schemas.openxmlformats.org/spreadsheetml/2006/main" r="C36" s="18" t="str">
        <f>IF(15&gt;MAX('4℃飯'!$AA$5:$AA$319),"",HYPERLINK("#'4℃飯'!D"&amp;(MATCH(15,'4℃飯'!$AA$5:$AA$319,0)+4),INDEX('4℃飯'!$D$5:$D$319,MATCH(15,'4℃飯'!$AA$5:$AA$319,0))))</f>
        <v>里肌豬排可可咖哩歐姆蛋飯</v>
      </c>
      <c xmlns="http://schemas.openxmlformats.org/spreadsheetml/2006/main" r="D36" s="18" t="str">
        <f>IF(15&gt;MAX('4℃麵'!$AA$5:$AA$310),"",HYPERLINK("#'4℃麵'!D"&amp;(MATCH(15,'4℃麵'!$AA$5:$AA$310,0)+4),INDEX('4℃麵'!$D$5:$D$310,MATCH(15,'4℃麵'!$AA$5:$AA$310,0))))</f>
        <v/>
      </c>
      <c xmlns="http://schemas.openxmlformats.org/spreadsheetml/2006/main" r="E36" s="18" t="str">
        <f>IF(15&gt;MAX('4℃其他'!$AA$5:$AA$322),"",HYPERLINK("#'4℃其他'!D"&amp;(MATCH(15,'4℃其他'!$AA$5:$AA$322,0)+4),INDEX('4℃其他'!$D$5:$D$322,MATCH(15,'4℃其他'!$AA$5:$AA$322,0))))</f>
        <v/>
      </c>
      <c xmlns="http://schemas.openxmlformats.org/spreadsheetml/2006/main" r="F36" s="18" t="str">
        <f>IF(15&gt;MAX('冷凍品'!$AA$5:$AA$322),"",HYPERLINK("#'冷凍品'!D"&amp;(MATCH(15,'冷凍品'!$AA$5:$AA$322,0)+4),INDEX('冷凍品'!$D$5:$D$322,MATCH(15,'冷凍品'!$AA$5:$AA$322,0))))</f>
        <v/>
      </c>
    </row>
    <row r="37" spans="2:6">
      <c xmlns="http://schemas.openxmlformats.org/spreadsheetml/2006/main" r="B37" s="18" t="str">
        <f>IF(16&gt;MAX('18℃'!$AA$5:$AA$319),"",HYPERLINK("#'18℃'!D"&amp;(MATCH(16,'18℃'!$AA$5:$AA$319,0)+4),INDEX('18℃'!$D$5:$D$319,MATCH(16,'18℃'!$AA$5:$AA$319,0))))</f>
        <v>贅沢鮭魚肚飯糰</v>
      </c>
      <c xmlns="http://schemas.openxmlformats.org/spreadsheetml/2006/main" r="C37" s="18" t="str">
        <f>IF(16&gt;MAX('4℃飯'!$AA$5:$AA$319),"",HYPERLINK("#'4℃飯'!D"&amp;(MATCH(16,'4℃飯'!$AA$5:$AA$319,0)+4),INDEX('4℃飯'!$D$5:$D$319,MATCH(16,'4℃飯'!$AA$5:$AA$319,0))))</f>
        <v>香料烤魚青醬燉飯</v>
      </c>
      <c xmlns="http://schemas.openxmlformats.org/spreadsheetml/2006/main" r="D37" s="18" t="str">
        <f>IF(16&gt;MAX('4℃麵'!$AA$5:$AA$310),"",HYPERLINK("#'4℃麵'!D"&amp;(MATCH(16,'4℃麵'!$AA$5:$AA$310,0)+4),INDEX('4℃麵'!$D$5:$D$310,MATCH(16,'4℃麵'!$AA$5:$AA$310,0))))</f>
        <v/>
      </c>
      <c xmlns="http://schemas.openxmlformats.org/spreadsheetml/2006/main" r="E37" s="18" t="str">
        <f>IF(16&gt;MAX('4℃其他'!$AA$5:$AA$322),"",HYPERLINK("#'4℃其他'!D"&amp;(MATCH(16,'4℃其他'!$AA$5:$AA$322,0)+4),INDEX('4℃其他'!$D$5:$D$322,MATCH(16,'4℃其他'!$AA$5:$AA$322,0))))</f>
        <v/>
      </c>
      <c xmlns="http://schemas.openxmlformats.org/spreadsheetml/2006/main" r="F37" s="18" t="str">
        <f>IF(16&gt;MAX('冷凍品'!$AA$5:$AA$322),"",HYPERLINK("#'冷凍品'!D"&amp;(MATCH(16,'冷凍品'!$AA$5:$AA$322,0)+4),INDEX('冷凍品'!$D$5:$D$322,MATCH(16,'冷凍品'!$AA$5:$AA$322,0))))</f>
        <v/>
      </c>
    </row>
    <row r="38" spans="2:6">
      <c xmlns="http://schemas.openxmlformats.org/spreadsheetml/2006/main" r="B38" s="18" t="str">
        <f>IF(17&gt;MAX('18℃'!$AA$5:$AA$319),"",HYPERLINK("#'18℃'!D"&amp;(MATCH(17,'18℃'!$AA$5:$AA$319,0)+4),INDEX('18℃'!$D$5:$D$319,MATCH(17,'18℃'!$AA$5:$AA$319,0))))</f>
        <v>雞肉飯飯糰</v>
      </c>
      <c xmlns="http://schemas.openxmlformats.org/spreadsheetml/2006/main" r="C38" s="18" t="str">
        <f>IF(17&gt;MAX('4℃飯'!$AA$5:$AA$319),"",HYPERLINK("#'4℃飯'!D"&amp;(MATCH(17,'4℃飯'!$AA$5:$AA$319,0)+4),INDEX('4℃飯'!$D$5:$D$319,MATCH(17,'4℃飯'!$AA$5:$AA$319,0))))</f>
        <v>黃金雞排蘑菇白醬歐姆蛋飯</v>
      </c>
      <c xmlns="http://schemas.openxmlformats.org/spreadsheetml/2006/main" r="D38" s="18" t="str">
        <f>IF(17&gt;MAX('4℃麵'!$AA$5:$AA$310),"",HYPERLINK("#'4℃麵'!D"&amp;(MATCH(17,'4℃麵'!$AA$5:$AA$310,0)+4),INDEX('4℃麵'!$D$5:$D$310,MATCH(17,'4℃麵'!$AA$5:$AA$310,0))))</f>
        <v/>
      </c>
      <c xmlns="http://schemas.openxmlformats.org/spreadsheetml/2006/main" r="E38" s="18" t="str">
        <f>IF(17&gt;MAX('4℃其他'!$AA$5:$AA$322),"",HYPERLINK("#'4℃其他'!D"&amp;(MATCH(17,'4℃其他'!$AA$5:$AA$322,0)+4),INDEX('4℃其他'!$D$5:$D$322,MATCH(17,'4℃其他'!$AA$5:$AA$322,0))))</f>
        <v/>
      </c>
      <c xmlns="http://schemas.openxmlformats.org/spreadsheetml/2006/main" r="F38" s="18" t="str">
        <f>IF(17&gt;MAX('冷凍品'!$AA$5:$AA$322),"",HYPERLINK("#'冷凍品'!D"&amp;(MATCH(17,'冷凍品'!$AA$5:$AA$322,0)+4),INDEX('冷凍品'!$D$5:$D$322,MATCH(17,'冷凍品'!$AA$5:$AA$322,0))))</f>
        <v/>
      </c>
    </row>
    <row r="39" spans="2:6">
      <c xmlns="http://schemas.openxmlformats.org/spreadsheetml/2006/main" r="B39" s="18" t="str">
        <f>IF(18&gt;MAX('18℃'!$AA$5:$AA$319),"",HYPERLINK("#'18℃'!D"&amp;(MATCH(18,'18℃'!$AA$5:$AA$319,0)+4),INDEX('18℃'!$D$5:$D$319,MATCH(18,'18℃'!$AA$5:$AA$319,0))))</f>
        <v>鮪魚飯糰</v>
      </c>
      <c xmlns="http://schemas.openxmlformats.org/spreadsheetml/2006/main" r="C39" s="18" t="str">
        <f>IF(18&gt;MAX('4℃飯'!$AA$5:$AA$319),"",HYPERLINK("#'4℃飯'!D"&amp;(MATCH(18,'4℃飯'!$AA$5:$AA$319,0)+4),INDEX('4℃飯'!$D$5:$D$319,MATCH(18,'4℃飯'!$AA$5:$AA$319,0))))</f>
        <v>益活雞胸補力餐盒</v>
      </c>
      <c xmlns="http://schemas.openxmlformats.org/spreadsheetml/2006/main" r="D39" s="18" t="str">
        <f>IF(18&gt;MAX('4℃麵'!$AA$5:$AA$310),"",HYPERLINK("#'4℃麵'!D"&amp;(MATCH(18,'4℃麵'!$AA$5:$AA$310,0)+4),INDEX('4℃麵'!$D$5:$D$310,MATCH(18,'4℃麵'!$AA$5:$AA$310,0))))</f>
        <v/>
      </c>
      <c xmlns="http://schemas.openxmlformats.org/spreadsheetml/2006/main" r="E39" s="18" t="str">
        <f>IF(18&gt;MAX('4℃其他'!$AA$5:$AA$322),"",HYPERLINK("#'4℃其他'!D"&amp;(MATCH(18,'4℃其他'!$AA$5:$AA$322,0)+4),INDEX('4℃其他'!$D$5:$D$322,MATCH(18,'4℃其他'!$AA$5:$AA$322,0))))</f>
        <v/>
      </c>
      <c xmlns="http://schemas.openxmlformats.org/spreadsheetml/2006/main" r="F39" s="18" t="str">
        <f>IF(18&gt;MAX('冷凍品'!$AA$5:$AA$322),"",HYPERLINK("#'冷凍品'!D"&amp;(MATCH(18,'冷凍品'!$AA$5:$AA$322,0)+4),INDEX('冷凍品'!$D$5:$D$322,MATCH(18,'冷凍品'!$AA$5:$AA$322,0))))</f>
        <v/>
      </c>
    </row>
    <row r="40" spans="2:6">
      <c xmlns="http://schemas.openxmlformats.org/spreadsheetml/2006/main" r="B40" s="18" t="str">
        <f>IF(19&gt;MAX('18℃'!$AA$5:$AA$319),"",HYPERLINK("#'18℃'!D"&amp;(MATCH(19,'18℃'!$AA$5:$AA$319,0)+4),INDEX('18℃'!$D$5:$D$319,MATCH(19,'18℃'!$AA$5:$AA$319,0))))</f>
        <v>鹽蔥燒肉飯糰</v>
      </c>
      <c xmlns="http://schemas.openxmlformats.org/spreadsheetml/2006/main" r="C40" s="18" t="str">
        <f>IF(19&gt;MAX('4℃飯'!$AA$5:$AA$319),"",HYPERLINK("#'4℃飯'!D"&amp;(MATCH(19,'4℃飯'!$AA$5:$AA$319,0)+4),INDEX('4℃飯'!$D$5:$D$319,MATCH(19,'4℃飯'!$AA$5:$AA$319,0))))</f>
        <v>香烤鱈魚輕蔬餐盒</v>
      </c>
      <c xmlns="http://schemas.openxmlformats.org/spreadsheetml/2006/main" r="D40" s="18" t="str">
        <f>IF(19&gt;MAX('4℃麵'!$AA$5:$AA$310),"",HYPERLINK("#'4℃麵'!D"&amp;(MATCH(19,'4℃麵'!$AA$5:$AA$310,0)+4),INDEX('4℃麵'!$D$5:$D$310,MATCH(19,'4℃麵'!$AA$5:$AA$310,0))))</f>
        <v/>
      </c>
      <c xmlns="http://schemas.openxmlformats.org/spreadsheetml/2006/main" r="E40" s="18" t="str">
        <f>IF(19&gt;MAX('4℃其他'!$AA$5:$AA$322),"",HYPERLINK("#'4℃其他'!D"&amp;(MATCH(19,'4℃其他'!$AA$5:$AA$322,0)+4),INDEX('4℃其他'!$D$5:$D$322,MATCH(19,'4℃其他'!$AA$5:$AA$322,0))))</f>
        <v/>
      </c>
      <c xmlns="http://schemas.openxmlformats.org/spreadsheetml/2006/main" r="F40" s="18" t="str">
        <f>IF(19&gt;MAX('冷凍品'!$AA$5:$AA$322),"",HYPERLINK("#'冷凍品'!D"&amp;(MATCH(19,'冷凍品'!$AA$5:$AA$322,0)+4),INDEX('冷凍品'!$D$5:$D$322,MATCH(19,'冷凍品'!$AA$5:$AA$322,0))))</f>
        <v/>
      </c>
    </row>
    <row r="41" spans="2:6">
      <c xmlns="http://schemas.openxmlformats.org/spreadsheetml/2006/main" r="B41" s="18" t="str">
        <f>IF(20&gt;MAX('18℃'!$AA$5:$AA$319),"",HYPERLINK("#'18℃'!D"&amp;(MATCH(20,'18℃'!$AA$5:$AA$319,0)+4),INDEX('18℃'!$D$5:$D$319,MATCH(20,'18℃'!$AA$5:$AA$319,0))))</f>
        <v>鮭魚毛豆炊飯飯糰</v>
      </c>
      <c xmlns="http://schemas.openxmlformats.org/spreadsheetml/2006/main" r="C41" s="18" t="str">
        <f>IF(20&gt;MAX('4℃飯'!$AA$5:$AA$319),"",HYPERLINK("#'4℃飯'!D"&amp;(MATCH(20,'4℃飯'!$AA$5:$AA$319,0)+4),INDEX('4℃飯'!$D$5:$D$319,MATCH(20,'4℃飯'!$AA$5:$AA$319,0))))</f>
        <v>香濃明太子嫩雞飯卷</v>
      </c>
      <c xmlns="http://schemas.openxmlformats.org/spreadsheetml/2006/main" r="D41" s="18" t="str">
        <f>IF(20&gt;MAX('4℃麵'!$AA$5:$AA$310),"",HYPERLINK("#'4℃麵'!D"&amp;(MATCH(20,'4℃麵'!$AA$5:$AA$310,0)+4),INDEX('4℃麵'!$D$5:$D$310,MATCH(20,'4℃麵'!$AA$5:$AA$310,0))))</f>
        <v/>
      </c>
      <c xmlns="http://schemas.openxmlformats.org/spreadsheetml/2006/main" r="E41" s="18" t="str">
        <f>IF(20&gt;MAX('4℃其他'!$AA$5:$AA$322),"",HYPERLINK("#'4℃其他'!D"&amp;(MATCH(20,'4℃其他'!$AA$5:$AA$322,0)+4),INDEX('4℃其他'!$D$5:$D$322,MATCH(20,'4℃其他'!$AA$5:$AA$322,0))))</f>
        <v/>
      </c>
      <c xmlns="http://schemas.openxmlformats.org/spreadsheetml/2006/main" r="F41" s="18" t="str">
        <f>IF(20&gt;MAX('冷凍品'!$AA$5:$AA$322),"",HYPERLINK("#'冷凍品'!D"&amp;(MATCH(20,'冷凍品'!$AA$5:$AA$322,0)+4),INDEX('冷凍品'!$D$5:$D$322,MATCH(20,'冷凍品'!$AA$5:$AA$322,0))))</f>
        <v/>
      </c>
    </row>
    <row r="42" spans="2:6">
      <c xmlns="http://schemas.openxmlformats.org/spreadsheetml/2006/main" r="B42" s="18" t="str">
        <f>IF(21&gt;MAX('18℃'!$AA$5:$AA$319),"",HYPERLINK("#'18℃'!D"&amp;(MATCH(21,'18℃'!$AA$5:$AA$319,0)+4),INDEX('18℃'!$D$5:$D$319,MATCH(21,'18℃'!$AA$5:$AA$319,0))))</f>
        <v>兩粒飯糰 (鮪魚.焦糖鮭魚)</v>
      </c>
      <c xmlns="http://schemas.openxmlformats.org/spreadsheetml/2006/main" r="C42" s="18" t="str">
        <f>IF(21&gt;MAX('4℃飯'!$AA$5:$AA$319),"",HYPERLINK("#'4℃飯'!D"&amp;(MATCH(21,'4℃飯'!$AA$5:$AA$319,0)+4),INDEX('4℃飯'!$D$5:$D$319,MATCH(21,'4℃飯'!$AA$5:$AA$319,0))))</f>
        <v>經典傳統飯糰</v>
      </c>
      <c xmlns="http://schemas.openxmlformats.org/spreadsheetml/2006/main" r="D42" s="18" t="str">
        <f>IF(21&gt;MAX('4℃麵'!$AA$5:$AA$310),"",HYPERLINK("#'4℃麵'!D"&amp;(MATCH(21,'4℃麵'!$AA$5:$AA$310,0)+4),INDEX('4℃麵'!$D$5:$D$310,MATCH(21,'4℃麵'!$AA$5:$AA$310,0))))</f>
        <v/>
      </c>
      <c xmlns="http://schemas.openxmlformats.org/spreadsheetml/2006/main" r="E42" s="18" t="str">
        <f>IF(21&gt;MAX('4℃其他'!$AA$5:$AA$322),"",HYPERLINK("#'4℃其他'!D"&amp;(MATCH(21,'4℃其他'!$AA$5:$AA$322,0)+4),INDEX('4℃其他'!$D$5:$D$322,MATCH(21,'4℃其他'!$AA$5:$AA$322,0))))</f>
        <v/>
      </c>
      <c xmlns="http://schemas.openxmlformats.org/spreadsheetml/2006/main" r="F42" s="18" t="str">
        <f>IF(21&gt;MAX('冷凍品'!$AA$5:$AA$322),"",HYPERLINK("#'冷凍品'!D"&amp;(MATCH(21,'冷凍品'!$AA$5:$AA$322,0)+4),INDEX('冷凍品'!$D$5:$D$322,MATCH(21,'冷凍品'!$AA$5:$AA$322,0))))</f>
        <v/>
      </c>
    </row>
    <row r="43" spans="2:6">
      <c xmlns="http://schemas.openxmlformats.org/spreadsheetml/2006/main" r="B43" s="18" t="str">
        <f>IF(22&gt;MAX('18℃'!$AA$5:$AA$319),"",HYPERLINK("#'18℃'!D"&amp;(MATCH(22,'18℃'!$AA$5:$AA$319,0)+4),INDEX('18℃'!$D$5:$D$319,MATCH(22,'18℃'!$AA$5:$AA$319,0))))</f>
        <v>柚香雞胸五穀飯糰</v>
      </c>
      <c xmlns="http://schemas.openxmlformats.org/spreadsheetml/2006/main" r="C43" s="18" t="str">
        <f>IF(22&gt;MAX('4℃飯'!$AA$5:$AA$319),"",HYPERLINK("#'4℃飯'!D"&amp;(MATCH(22,'4℃飯'!$AA$5:$AA$319,0)+4),INDEX('4℃飯'!$D$5:$D$319,MATCH(22,'4℃飯'!$AA$5:$AA$319,0))))</f>
        <v>里肌肉蛋紫米飯糰</v>
      </c>
      <c xmlns="http://schemas.openxmlformats.org/spreadsheetml/2006/main" r="D43" s="18" t="str">
        <f>IF(22&gt;MAX('4℃麵'!$AA$5:$AA$310),"",HYPERLINK("#'4℃麵'!D"&amp;(MATCH(22,'4℃麵'!$AA$5:$AA$310,0)+4),INDEX('4℃麵'!$D$5:$D$310,MATCH(22,'4℃麵'!$AA$5:$AA$310,0))))</f>
        <v/>
      </c>
      <c xmlns="http://schemas.openxmlformats.org/spreadsheetml/2006/main" r="E43" s="18" t="str">
        <f>IF(22&gt;MAX('4℃其他'!$AA$5:$AA$322),"",HYPERLINK("#'4℃其他'!D"&amp;(MATCH(22,'4℃其他'!$AA$5:$AA$322,0)+4),INDEX('4℃其他'!$D$5:$D$322,MATCH(22,'4℃其他'!$AA$5:$AA$322,0))))</f>
        <v/>
      </c>
      <c xmlns="http://schemas.openxmlformats.org/spreadsheetml/2006/main" r="F43" s="18" t="str">
        <f>IF(22&gt;MAX('冷凍品'!$AA$5:$AA$322),"",HYPERLINK("#'冷凍品'!D"&amp;(MATCH(22,'冷凍品'!$AA$5:$AA$322,0)+4),INDEX('冷凍品'!$D$5:$D$322,MATCH(22,'冷凍品'!$AA$5:$AA$322,0))))</f>
        <v/>
      </c>
    </row>
    <row r="44" spans="2:6">
      <c xmlns="http://schemas.openxmlformats.org/spreadsheetml/2006/main" r="B44" s="18" t="str">
        <f>IF(23&gt;MAX('18℃'!$AA$5:$AA$319),"",HYPERLINK("#'18℃'!D"&amp;(MATCH(23,'18℃'!$AA$5:$AA$319,0)+4),INDEX('18℃'!$D$5:$D$319,MATCH(23,'18℃'!$AA$5:$AA$319,0))))</f>
        <v>溏心蛋五目飯糰</v>
      </c>
      <c xmlns="http://schemas.openxmlformats.org/spreadsheetml/2006/main" r="C44" s="18" t="str">
        <f>IF(23&gt;MAX('4℃飯'!$AA$5:$AA$319),"",HYPERLINK("#'4℃飯'!D"&amp;(MATCH(23,'4℃飯'!$AA$5:$AA$319,0)+4),INDEX('4℃飯'!$D$5:$D$319,MATCH(23,'4℃飯'!$AA$5:$AA$319,0))))</f>
        <v>蔥花生鮪魚脆卷</v>
      </c>
      <c xmlns="http://schemas.openxmlformats.org/spreadsheetml/2006/main" r="D44" s="18" t="str">
        <f>IF(23&gt;MAX('4℃麵'!$AA$5:$AA$310),"",HYPERLINK("#'4℃麵'!D"&amp;(MATCH(23,'4℃麵'!$AA$5:$AA$310,0)+4),INDEX('4℃麵'!$D$5:$D$310,MATCH(23,'4℃麵'!$AA$5:$AA$310,0))))</f>
        <v/>
      </c>
      <c xmlns="http://schemas.openxmlformats.org/spreadsheetml/2006/main" r="E44" s="18" t="str">
        <f>IF(23&gt;MAX('4℃其他'!$AA$5:$AA$322),"",HYPERLINK("#'4℃其他'!D"&amp;(MATCH(23,'4℃其他'!$AA$5:$AA$322,0)+4),INDEX('4℃其他'!$D$5:$D$322,MATCH(23,'4℃其他'!$AA$5:$AA$322,0))))</f>
        <v/>
      </c>
      <c xmlns="http://schemas.openxmlformats.org/spreadsheetml/2006/main" r="F44" s="18" t="str">
        <f>IF(23&gt;MAX('冷凍品'!$AA$5:$AA$322),"",HYPERLINK("#'冷凍品'!D"&amp;(MATCH(23,'冷凍品'!$AA$5:$AA$322,0)+4),INDEX('冷凍品'!$D$5:$D$322,MATCH(23,'冷凍品'!$AA$5:$AA$322,0))))</f>
        <v/>
      </c>
    </row>
    <row r="45" spans="2:6">
      <c xmlns="http://schemas.openxmlformats.org/spreadsheetml/2006/main" r="B45" s="18" t="str">
        <f>IF(24&gt;MAX('18℃'!$AA$5:$AA$319),"",HYPERLINK("#'18℃'!D"&amp;(MATCH(24,'18℃'!$AA$5:$AA$319,0)+4),INDEX('18℃'!$D$5:$D$319,MATCH(24,'18℃'!$AA$5:$AA$319,0))))</f>
        <v>經典人氣雙手卷</v>
      </c>
      <c xmlns="http://schemas.openxmlformats.org/spreadsheetml/2006/main" r="C45" s="18" t="str">
        <f>IF(24&gt;MAX('4℃飯'!$AA$5:$AA$319),"",HYPERLINK("#'4℃飯'!D"&amp;(MATCH(24,'4℃飯'!$AA$5:$AA$319,0)+4),INDEX('4℃飯'!$D$5:$D$319,MATCH(24,'4℃飯'!$AA$5:$AA$319,0))))</f>
        <v>醬油生鮭脆卷</v>
      </c>
      <c xmlns="http://schemas.openxmlformats.org/spreadsheetml/2006/main" r="D45" s="18" t="str">
        <f>IF(24&gt;MAX('4℃麵'!$AA$5:$AA$310),"",HYPERLINK("#'4℃麵'!D"&amp;(MATCH(24,'4℃麵'!$AA$5:$AA$310,0)+4),INDEX('4℃麵'!$D$5:$D$310,MATCH(24,'4℃麵'!$AA$5:$AA$310,0))))</f>
        <v/>
      </c>
      <c xmlns="http://schemas.openxmlformats.org/spreadsheetml/2006/main" r="E45" s="18" t="str">
        <f>IF(24&gt;MAX('4℃其他'!$AA$5:$AA$322),"",HYPERLINK("#'4℃其他'!D"&amp;(MATCH(24,'4℃其他'!$AA$5:$AA$322,0)+4),INDEX('4℃其他'!$D$5:$D$322,MATCH(24,'4℃其他'!$AA$5:$AA$322,0))))</f>
        <v/>
      </c>
      <c xmlns="http://schemas.openxmlformats.org/spreadsheetml/2006/main" r="F45" s="18" t="str">
        <f>IF(24&gt;MAX('冷凍品'!$AA$5:$AA$322),"",HYPERLINK("#'冷凍品'!D"&amp;(MATCH(24,'冷凍品'!$AA$5:$AA$322,0)+4),INDEX('冷凍品'!$D$5:$D$322,MATCH(24,'冷凍品'!$AA$5:$AA$322,0))))</f>
        <v/>
      </c>
    </row>
    <row r="46" spans="2:6">
      <c xmlns="http://schemas.openxmlformats.org/spreadsheetml/2006/main" r="B46" s="18" t="str">
        <f>IF(25&gt;MAX('18℃'!$AA$5:$AA$319),"",HYPERLINK("#'18℃'!D"&amp;(MATCH(25,'18℃'!$AA$5:$AA$319,0)+4),INDEX('18℃'!$D$5:$D$319,MATCH(25,'18℃'!$AA$5:$AA$319,0))))</f>
        <v>鮭鮪海饌雙手卷</v>
      </c>
      <c xmlns="http://schemas.openxmlformats.org/spreadsheetml/2006/main" r="C46" s="18" t="str">
        <f>IF(25&gt;MAX('4℃飯'!$AA$5:$AA$319),"",HYPERLINK("#'4℃飯'!D"&amp;(MATCH(25,'4℃飯'!$AA$5:$AA$319,0)+4),INDEX('4℃飯'!$D$5:$D$319,MATCH(25,'4℃飯'!$AA$5:$AA$319,0))))</f>
        <v>生菜鮮蝦脆卷</v>
      </c>
      <c xmlns="http://schemas.openxmlformats.org/spreadsheetml/2006/main" r="D46" s="18" t="str">
        <f>IF(25&gt;MAX('4℃麵'!$AA$5:$AA$310),"",HYPERLINK("#'4℃麵'!D"&amp;(MATCH(25,'4℃麵'!$AA$5:$AA$310,0)+4),INDEX('4℃麵'!$D$5:$D$310,MATCH(25,'4℃麵'!$AA$5:$AA$310,0))))</f>
        <v/>
      </c>
      <c xmlns="http://schemas.openxmlformats.org/spreadsheetml/2006/main" r="E46" s="18" t="str">
        <f>IF(25&gt;MAX('4℃其他'!$AA$5:$AA$322),"",HYPERLINK("#'4℃其他'!D"&amp;(MATCH(25,'4℃其他'!$AA$5:$AA$322,0)+4),INDEX('4℃其他'!$D$5:$D$322,MATCH(25,'4℃其他'!$AA$5:$AA$322,0))))</f>
        <v/>
      </c>
      <c xmlns="http://schemas.openxmlformats.org/spreadsheetml/2006/main" r="F46" s="18" t="str">
        <f>IF(25&gt;MAX('冷凍品'!$AA$5:$AA$322),"",HYPERLINK("#'冷凍品'!D"&amp;(MATCH(25,'冷凍品'!$AA$5:$AA$322,0)+4),INDEX('冷凍品'!$D$5:$D$322,MATCH(25,'冷凍品'!$AA$5:$AA$322,0))))</f>
        <v/>
      </c>
    </row>
    <row r="47" spans="2:6">
      <c xmlns="http://schemas.openxmlformats.org/spreadsheetml/2006/main" r="B47" s="18" t="str">
        <f>IF(26&gt;MAX('18℃'!$AA$5:$AA$319),"",HYPERLINK("#'18℃'!D"&amp;(MATCH(26,'18℃'!$AA$5:$AA$319,0)+4),INDEX('18℃'!$D$5:$D$319,MATCH(26,'18℃'!$AA$5:$AA$319,0))))</f>
        <v>長野稻荷壽司</v>
      </c>
      <c xmlns="http://schemas.openxmlformats.org/spreadsheetml/2006/main" r="C47" s="18" t="str">
        <f>IF(26&gt;MAX('4℃飯'!$AA$5:$AA$319),"",HYPERLINK("#'4℃飯'!D"&amp;(MATCH(26,'4℃飯'!$AA$5:$AA$319,0)+4),INDEX('4℃飯'!$D$5:$D$319,MATCH(26,'4℃飯'!$AA$5:$AA$319,0))))</f>
        <v>起司棉被海陸白醬焗烤飯</v>
      </c>
      <c xmlns="http://schemas.openxmlformats.org/spreadsheetml/2006/main" r="D47" s="18" t="str">
        <f>IF(26&gt;MAX('4℃麵'!$AA$5:$AA$310),"",HYPERLINK("#'4℃麵'!D"&amp;(MATCH(26,'4℃麵'!$AA$5:$AA$310,0)+4),INDEX('4℃麵'!$D$5:$D$310,MATCH(26,'4℃麵'!$AA$5:$AA$310,0))))</f>
        <v/>
      </c>
      <c xmlns="http://schemas.openxmlformats.org/spreadsheetml/2006/main" r="E47" s="18" t="str">
        <f>IF(26&gt;MAX('4℃其他'!$AA$5:$AA$322),"",HYPERLINK("#'4℃其他'!D"&amp;(MATCH(26,'4℃其他'!$AA$5:$AA$322,0)+4),INDEX('4℃其他'!$D$5:$D$322,MATCH(26,'4℃其他'!$AA$5:$AA$322,0))))</f>
        <v/>
      </c>
      <c xmlns="http://schemas.openxmlformats.org/spreadsheetml/2006/main" r="F47" s="18" t="str">
        <f>IF(26&gt;MAX('冷凍品'!$AA$5:$AA$322),"",HYPERLINK("#'冷凍品'!D"&amp;(MATCH(26,'冷凍品'!$AA$5:$AA$322,0)+4),INDEX('冷凍品'!$D$5:$D$322,MATCH(26,'冷凍品'!$AA$5:$AA$322,0))))</f>
        <v/>
      </c>
    </row>
    <row r="48" spans="2:6">
      <c xmlns="http://schemas.openxmlformats.org/spreadsheetml/2006/main" r="B48" s="18" t="str">
        <f>IF(27&gt;MAX('18℃'!$AA$5:$AA$319),"",HYPERLINK("#'18℃'!D"&amp;(MATCH(27,'18℃'!$AA$5:$AA$319,0)+4),INDEX('18℃'!$D$5:$D$319,MATCH(27,'18℃'!$AA$5:$AA$319,0))))</f>
        <v>青木瓜雞絲泰泰雙手卷</v>
      </c>
      <c xmlns="http://schemas.openxmlformats.org/spreadsheetml/2006/main" r="C48" s="18" t="str">
        <f>IF(27&gt;MAX('4℃飯'!$AA$5:$AA$319),"",HYPERLINK("#'4℃飯'!D"&amp;(MATCH(27,'4℃飯'!$AA$5:$AA$319,0)+4),INDEX('4℃飯'!$D$5:$D$319,MATCH(27,'4℃飯'!$AA$5:$AA$319,0))))</f>
        <v>肉鬆火腿細卷</v>
      </c>
      <c xmlns="http://schemas.openxmlformats.org/spreadsheetml/2006/main" r="D48" s="18" t="str">
        <f>IF(27&gt;MAX('4℃麵'!$AA$5:$AA$310),"",HYPERLINK("#'4℃麵'!D"&amp;(MATCH(27,'4℃麵'!$AA$5:$AA$310,0)+4),INDEX('4℃麵'!$D$5:$D$310,MATCH(27,'4℃麵'!$AA$5:$AA$310,0))))</f>
        <v/>
      </c>
      <c xmlns="http://schemas.openxmlformats.org/spreadsheetml/2006/main" r="E48" s="18" t="str">
        <f>IF(27&gt;MAX('4℃其他'!$AA$5:$AA$322),"",HYPERLINK("#'4℃其他'!D"&amp;(MATCH(27,'4℃其他'!$AA$5:$AA$322,0)+4),INDEX('4℃其他'!$D$5:$D$322,MATCH(27,'4℃其他'!$AA$5:$AA$322,0))))</f>
        <v/>
      </c>
      <c xmlns="http://schemas.openxmlformats.org/spreadsheetml/2006/main" r="F48" s="18" t="str">
        <f>IF(27&gt;MAX('冷凍品'!$AA$5:$AA$322),"",HYPERLINK("#'冷凍品'!D"&amp;(MATCH(27,'冷凍品'!$AA$5:$AA$322,0)+4),INDEX('冷凍品'!$D$5:$D$322,MATCH(27,'冷凍品'!$AA$5:$AA$322,0))))</f>
        <v/>
      </c>
    </row>
    <row r="49" spans="2:6">
      <c xmlns="http://schemas.openxmlformats.org/spreadsheetml/2006/main" r="B49" s="18" t="str">
        <f>IF(28&gt;MAX('18℃'!$AA$5:$AA$319),"",HYPERLINK("#'18℃'!D"&amp;(MATCH(28,'18℃'!$AA$5:$AA$319,0)+4),INDEX('18℃'!$D$5:$D$319,MATCH(28,'18℃'!$AA$5:$AA$319,0))))</f>
        <v>鹽蔥生鮭飯糰</v>
      </c>
      <c xmlns="http://schemas.openxmlformats.org/spreadsheetml/2006/main" r="C49" s="18" t="str">
        <f>IF(28&gt;MAX('4℃飯'!$AA$5:$AA$319),"",HYPERLINK("#'4℃飯'!D"&amp;(MATCH(28,'4℃飯'!$AA$5:$AA$319,0)+4),INDEX('4℃飯'!$D$5:$D$319,MATCH(28,'4℃飯'!$AA$5:$AA$319,0))))</f>
        <v>鮪魚昆布細卷</v>
      </c>
      <c xmlns="http://schemas.openxmlformats.org/spreadsheetml/2006/main" r="D49" s="18" t="str">
        <f>IF(28&gt;MAX('4℃麵'!$AA$5:$AA$310),"",HYPERLINK("#'4℃麵'!D"&amp;(MATCH(28,'4℃麵'!$AA$5:$AA$310,0)+4),INDEX('4℃麵'!$D$5:$D$310,MATCH(28,'4℃麵'!$AA$5:$AA$310,0))))</f>
        <v/>
      </c>
      <c xmlns="http://schemas.openxmlformats.org/spreadsheetml/2006/main" r="E49" s="18" t="str">
        <f>IF(28&gt;MAX('4℃其他'!$AA$5:$AA$322),"",HYPERLINK("#'4℃其他'!D"&amp;(MATCH(28,'4℃其他'!$AA$5:$AA$322,0)+4),INDEX('4℃其他'!$D$5:$D$322,MATCH(28,'4℃其他'!$AA$5:$AA$322,0))))</f>
        <v/>
      </c>
      <c xmlns="http://schemas.openxmlformats.org/spreadsheetml/2006/main" r="F49" s="18" t="str">
        <f>IF(28&gt;MAX('冷凍品'!$AA$5:$AA$322),"",HYPERLINK("#'冷凍品'!D"&amp;(MATCH(28,'冷凍品'!$AA$5:$AA$322,0)+4),INDEX('冷凍品'!$D$5:$D$322,MATCH(28,'冷凍品'!$AA$5:$AA$322,0))))</f>
        <v/>
      </c>
    </row>
    <row r="50" spans="2:6">
      <c xmlns="http://schemas.openxmlformats.org/spreadsheetml/2006/main" r="B50" s="18" t="str">
        <f>IF(29&gt;MAX('18℃'!$AA$5:$AA$319),"",HYPERLINK("#'18℃'!D"&amp;(MATCH(29,'18℃'!$AA$5:$AA$319,0)+4),INDEX('18℃'!$D$5:$D$319,MATCH(29,'18℃'!$AA$5:$AA$319,0))))</f>
        <v>醬燒炙烤牛飯糰</v>
      </c>
      <c xmlns="http://schemas.openxmlformats.org/spreadsheetml/2006/main" r="C50" s="18" t="str">
        <f>IF(29&gt;MAX('4℃飯'!$AA$5:$AA$319),"",HYPERLINK("#'4℃飯'!D"&amp;(MATCH(29,'4℃飯'!$AA$5:$AA$319,0)+4),INDEX('4℃飯'!$D$5:$D$319,MATCH(29,'4℃飯'!$AA$5:$AA$319,0))))</f>
        <v>海陸雙拼壽司</v>
      </c>
      <c xmlns="http://schemas.openxmlformats.org/spreadsheetml/2006/main" r="D50" s="18" t="str">
        <f>IF(29&gt;MAX('4℃麵'!$AA$5:$AA$310),"",HYPERLINK("#'4℃麵'!D"&amp;(MATCH(29,'4℃麵'!$AA$5:$AA$310,0)+4),INDEX('4℃麵'!$D$5:$D$310,MATCH(29,'4℃麵'!$AA$5:$AA$310,0))))</f>
        <v/>
      </c>
      <c xmlns="http://schemas.openxmlformats.org/spreadsheetml/2006/main" r="E50" s="18" t="str">
        <f>IF(29&gt;MAX('4℃其他'!$AA$5:$AA$322),"",HYPERLINK("#'4℃其他'!D"&amp;(MATCH(29,'4℃其他'!$AA$5:$AA$322,0)+4),INDEX('4℃其他'!$D$5:$D$322,MATCH(29,'4℃其他'!$AA$5:$AA$322,0))))</f>
        <v/>
      </c>
      <c xmlns="http://schemas.openxmlformats.org/spreadsheetml/2006/main" r="F50" s="18" t="str">
        <f>IF(29&gt;MAX('冷凍品'!$AA$5:$AA$322),"",HYPERLINK("#'冷凍品'!D"&amp;(MATCH(29,'冷凍品'!$AA$5:$AA$322,0)+4),INDEX('冷凍品'!$D$5:$D$322,MATCH(29,'冷凍品'!$AA$5:$AA$322,0))))</f>
        <v/>
      </c>
    </row>
    <row r="51" spans="2:6">
      <c xmlns="http://schemas.openxmlformats.org/spreadsheetml/2006/main" r="B51" s="18" t="str">
        <f>IF(30&gt;MAX('18℃'!$AA$5:$AA$319),"",HYPERLINK("#'18℃'!D"&amp;(MATCH(30,'18℃'!$AA$5:$AA$319,0)+4),INDEX('18℃'!$D$5:$D$319,MATCH(30,'18℃'!$AA$5:$AA$319,0))))</f>
        <v>宮崎柚子明太子干貝飯糰</v>
      </c>
      <c xmlns="http://schemas.openxmlformats.org/spreadsheetml/2006/main" r="C51" s="18" t="str">
        <f>IF(30&gt;MAX('4℃飯'!$AA$5:$AA$319),"",HYPERLINK("#'4℃飯'!D"&amp;(MATCH(30,'4℃飯'!$AA$5:$AA$319,0)+4),INDEX('4℃飯'!$D$5:$D$319,MATCH(30,'4℃飯'!$AA$5:$AA$319,0))))</f>
        <v>麻油雞飯糰</v>
      </c>
      <c xmlns="http://schemas.openxmlformats.org/spreadsheetml/2006/main" r="D51" s="18" t="str">
        <f>IF(30&gt;MAX('4℃麵'!$AA$5:$AA$310),"",HYPERLINK("#'4℃麵'!D"&amp;(MATCH(30,'4℃麵'!$AA$5:$AA$310,0)+4),INDEX('4℃麵'!$D$5:$D$310,MATCH(30,'4℃麵'!$AA$5:$AA$310,0))))</f>
        <v/>
      </c>
      <c xmlns="http://schemas.openxmlformats.org/spreadsheetml/2006/main" r="E51" s="18" t="str">
        <f>IF(30&gt;MAX('4℃其他'!$AA$5:$AA$322),"",HYPERLINK("#'4℃其他'!D"&amp;(MATCH(30,'4℃其他'!$AA$5:$AA$322,0)+4),INDEX('4℃其他'!$D$5:$D$322,MATCH(30,'4℃其他'!$AA$5:$AA$322,0))))</f>
        <v/>
      </c>
      <c xmlns="http://schemas.openxmlformats.org/spreadsheetml/2006/main" r="F51" s="18" t="str">
        <f>IF(30&gt;MAX('冷凍品'!$AA$5:$AA$322),"",HYPERLINK("#'冷凍品'!D"&amp;(MATCH(30,'冷凍品'!$AA$5:$AA$322,0)+4),INDEX('冷凍品'!$D$5:$D$322,MATCH(30,'冷凍品'!$AA$5:$AA$322,0))))</f>
        <v/>
      </c>
    </row>
    <row r="52" spans="2:6">
      <c xmlns="http://schemas.openxmlformats.org/spreadsheetml/2006/main" r="B52" s="18" t="str">
        <f>IF(31&gt;MAX('18℃'!$AA$5:$AA$319),"",HYPERLINK("#'18℃'!D"&amp;(MATCH(31,'18℃'!$AA$5:$AA$319,0)+4),INDEX('18℃'!$D$5:$D$319,MATCH(31,'18℃'!$AA$5:$AA$319,0))))</f>
        <v>蒲燒鰻魚飯糰</v>
      </c>
      <c xmlns="http://schemas.openxmlformats.org/spreadsheetml/2006/main" r="C52" s="18" t="str">
        <f>IF(31&gt;MAX('4℃飯'!$AA$5:$AA$319),"",HYPERLINK("#'4℃飯'!D"&amp;(MATCH(31,'4℃飯'!$AA$5:$AA$319,0)+4),INDEX('4℃飯'!$D$5:$D$319,MATCH(31,'4℃飯'!$AA$5:$AA$319,0))))</f>
        <v>金門高粱香腸飯糰</v>
      </c>
      <c xmlns="http://schemas.openxmlformats.org/spreadsheetml/2006/main" r="D52" s="18" t="str">
        <f>IF(31&gt;MAX('4℃麵'!$AA$5:$AA$310),"",HYPERLINK("#'4℃麵'!D"&amp;(MATCH(31,'4℃麵'!$AA$5:$AA$310,0)+4),INDEX('4℃麵'!$D$5:$D$310,MATCH(31,'4℃麵'!$AA$5:$AA$310,0))))</f>
        <v/>
      </c>
      <c xmlns="http://schemas.openxmlformats.org/spreadsheetml/2006/main" r="E52" s="18" t="str">
        <f>IF(31&gt;MAX('4℃其他'!$AA$5:$AA$322),"",HYPERLINK("#'4℃其他'!D"&amp;(MATCH(31,'4℃其他'!$AA$5:$AA$322,0)+4),INDEX('4℃其他'!$D$5:$D$322,MATCH(31,'4℃其他'!$AA$5:$AA$322,0))))</f>
        <v/>
      </c>
      <c xmlns="http://schemas.openxmlformats.org/spreadsheetml/2006/main" r="F52" s="18" t="str">
        <f>IF(31&gt;MAX('冷凍品'!$AA$5:$AA$322),"",HYPERLINK("#'冷凍品'!D"&amp;(MATCH(31,'冷凍品'!$AA$5:$AA$322,0)+4),INDEX('冷凍品'!$D$5:$D$322,MATCH(31,'冷凍品'!$AA$5:$AA$322,0))))</f>
        <v/>
      </c>
    </row>
    <row r="53" spans="2:6">
      <c xmlns="http://schemas.openxmlformats.org/spreadsheetml/2006/main" r="B53" s="18" t="str">
        <f>IF(32&gt;MAX('18℃'!$AA$5:$AA$319),"",HYPERLINK("#'18℃'!D"&amp;(MATCH(32,'18℃'!$AA$5:$AA$319,0)+4),INDEX('18℃'!$D$5:$D$319,MATCH(32,'18℃'!$AA$5:$AA$319,0))))</f>
        <v>生鱈魚子鮭魚飯糰</v>
      </c>
      <c xmlns="http://schemas.openxmlformats.org/spreadsheetml/2006/main" r="C53" s="18" t="str">
        <f>IF(32&gt;MAX('4℃飯'!$AA$5:$AA$319),"",HYPERLINK("#'4℃飯'!D"&amp;(MATCH(32,'4℃飯'!$AA$5:$AA$319,0)+4),INDEX('4℃飯'!$D$5:$D$319,MATCH(32,'4℃飯'!$AA$5:$AA$319,0))))</f>
        <v>厚香料優格咖哩烤雞飯卷</v>
      </c>
      <c xmlns="http://schemas.openxmlformats.org/spreadsheetml/2006/main" r="D53" s="18" t="str">
        <f>IF(32&gt;MAX('4℃麵'!$AA$5:$AA$310),"",HYPERLINK("#'4℃麵'!D"&amp;(MATCH(32,'4℃麵'!$AA$5:$AA$310,0)+4),INDEX('4℃麵'!$D$5:$D$310,MATCH(32,'4℃麵'!$AA$5:$AA$310,0))))</f>
        <v/>
      </c>
      <c xmlns="http://schemas.openxmlformats.org/spreadsheetml/2006/main" r="E53" s="18" t="str">
        <f>IF(32&gt;MAX('4℃其他'!$AA$5:$AA$322),"",HYPERLINK("#'4℃其他'!D"&amp;(MATCH(32,'4℃其他'!$AA$5:$AA$322,0)+4),INDEX('4℃其他'!$D$5:$D$322,MATCH(32,'4℃其他'!$AA$5:$AA$322,0))))</f>
        <v/>
      </c>
      <c xmlns="http://schemas.openxmlformats.org/spreadsheetml/2006/main" r="F53" s="18" t="str">
        <f>IF(32&gt;MAX('冷凍品'!$AA$5:$AA$322),"",HYPERLINK("#'冷凍品'!D"&amp;(MATCH(32,'冷凍品'!$AA$5:$AA$322,0)+4),INDEX('冷凍品'!$D$5:$D$322,MATCH(32,'冷凍品'!$AA$5:$AA$322,0))))</f>
        <v/>
      </c>
    </row>
    <row r="54" spans="2:6">
      <c xmlns="http://schemas.openxmlformats.org/spreadsheetml/2006/main" r="B54" s="18" t="str">
        <f>IF(33&gt;MAX('18℃'!$AA$5:$AA$319),"",HYPERLINK("#'18℃'!D"&amp;(MATCH(33,'18℃'!$AA$5:$AA$319,0)+4),INDEX('18℃'!$D$5:$D$319,MATCH(33,'18℃'!$AA$5:$AA$319,0))))</f>
        <v>卵黃牛挽肉飯糰</v>
      </c>
      <c xmlns="http://schemas.openxmlformats.org/spreadsheetml/2006/main" r="C54" s="18" t="str">
        <f>IF(33&gt;MAX('4℃飯'!$AA$5:$AA$319),"",HYPERLINK("#'4℃飯'!D"&amp;(MATCH(33,'4℃飯'!$AA$5:$AA$319,0)+4),INDEX('4℃飯'!$D$5:$D$319,MATCH(33,'4℃飯'!$AA$5:$AA$319,0))))</f>
        <v>韓式辣炒豬肉飯卷</v>
      </c>
      <c xmlns="http://schemas.openxmlformats.org/spreadsheetml/2006/main" r="D54" s="18" t="str">
        <f>IF(33&gt;MAX('4℃麵'!$AA$5:$AA$310),"",HYPERLINK("#'4℃麵'!D"&amp;(MATCH(33,'4℃麵'!$AA$5:$AA$310,0)+4),INDEX('4℃麵'!$D$5:$D$310,MATCH(33,'4℃麵'!$AA$5:$AA$310,0))))</f>
        <v/>
      </c>
      <c xmlns="http://schemas.openxmlformats.org/spreadsheetml/2006/main" r="E54" s="18" t="str">
        <f>IF(33&gt;MAX('4℃其他'!$AA$5:$AA$322),"",HYPERLINK("#'4℃其他'!D"&amp;(MATCH(33,'4℃其他'!$AA$5:$AA$322,0)+4),INDEX('4℃其他'!$D$5:$D$322,MATCH(33,'4℃其他'!$AA$5:$AA$322,0))))</f>
        <v/>
      </c>
      <c xmlns="http://schemas.openxmlformats.org/spreadsheetml/2006/main" r="F54" s="18" t="str">
        <f>IF(33&gt;MAX('冷凍品'!$AA$5:$AA$322),"",HYPERLINK("#'冷凍品'!D"&amp;(MATCH(33,'冷凍品'!$AA$5:$AA$322,0)+4),INDEX('冷凍品'!$D$5:$D$322,MATCH(33,'冷凍品'!$AA$5:$AA$322,0))))</f>
        <v/>
      </c>
    </row>
    <row r="55" spans="2:6">
      <c xmlns="http://schemas.openxmlformats.org/spreadsheetml/2006/main" r="B55" s="18" t="str">
        <f>IF(34&gt;MAX('18℃'!$AA$5:$AA$319),"",HYPERLINK("#'18℃'!D"&amp;(MATCH(34,'18℃'!$AA$5:$AA$319,0)+4),INDEX('18℃'!$D$5:$D$319,MATCH(34,'18℃'!$AA$5:$AA$319,0))))</f>
        <v>熊本麥味噌雞肉飯糰</v>
      </c>
      <c xmlns="http://schemas.openxmlformats.org/spreadsheetml/2006/main" r="C55" s="18" t="str">
        <f>IF(34&gt;MAX('4℃飯'!$AA$5:$AA$319),"",HYPERLINK("#'4℃飯'!D"&amp;(MATCH(34,'4℃飯'!$AA$5:$AA$319,0)+4),INDEX('4℃飯'!$D$5:$D$319,MATCH(34,'4℃飯'!$AA$5:$AA$319,0))))</f>
        <v>小黃瓜壽司卷</v>
      </c>
      <c xmlns="http://schemas.openxmlformats.org/spreadsheetml/2006/main" r="D55" s="18" t="str">
        <f>IF(34&gt;MAX('4℃麵'!$AA$5:$AA$310),"",HYPERLINK("#'4℃麵'!D"&amp;(MATCH(34,'4℃麵'!$AA$5:$AA$310,0)+4),INDEX('4℃麵'!$D$5:$D$310,MATCH(34,'4℃麵'!$AA$5:$AA$310,0))))</f>
        <v/>
      </c>
      <c xmlns="http://schemas.openxmlformats.org/spreadsheetml/2006/main" r="E55" s="18" t="str">
        <f>IF(34&gt;MAX('4℃其他'!$AA$5:$AA$322),"",HYPERLINK("#'4℃其他'!D"&amp;(MATCH(34,'4℃其他'!$AA$5:$AA$322,0)+4),INDEX('4℃其他'!$D$5:$D$322,MATCH(34,'4℃其他'!$AA$5:$AA$322,0))))</f>
        <v/>
      </c>
      <c xmlns="http://schemas.openxmlformats.org/spreadsheetml/2006/main" r="F55" s="18" t="str">
        <f>IF(34&gt;MAX('冷凍品'!$AA$5:$AA$322),"",HYPERLINK("#'冷凍品'!D"&amp;(MATCH(34,'冷凍品'!$AA$5:$AA$322,0)+4),INDEX('冷凍品'!$D$5:$D$322,MATCH(34,'冷凍品'!$AA$5:$AA$322,0))))</f>
        <v/>
      </c>
    </row>
    <row r="56" spans="2:6">
      <c xmlns="http://schemas.openxmlformats.org/spreadsheetml/2006/main" r="B56" s="18" t="str">
        <f>IF(35&gt;MAX('18℃'!$AA$5:$AA$319),"",HYPERLINK("#'18℃'!D"&amp;(MATCH(35,'18℃'!$AA$5:$AA$319,0)+4),INDEX('18℃'!$D$5:$D$319,MATCH(35,'18℃'!$AA$5:$AA$319,0))))</f>
        <v>照燒青甘魚飯糰</v>
      </c>
      <c xmlns="http://schemas.openxmlformats.org/spreadsheetml/2006/main" r="C56" s="18" t="str">
        <f>IF(35&gt;MAX('4℃飯'!$AA$5:$AA$319),"",HYPERLINK("#'4℃飯'!D"&amp;(MATCH(35,'4℃飯'!$AA$5:$AA$319,0)+4),INDEX('4℃飯'!$D$5:$D$319,MATCH(35,'4℃飯'!$AA$5:$AA$319,0))))</f>
        <v>黑胡椒鐵板雞腿排飯</v>
      </c>
      <c xmlns="http://schemas.openxmlformats.org/spreadsheetml/2006/main" r="D56" s="18" t="str">
        <f>IF(35&gt;MAX('4℃麵'!$AA$5:$AA$310),"",HYPERLINK("#'4℃麵'!D"&amp;(MATCH(35,'4℃麵'!$AA$5:$AA$310,0)+4),INDEX('4℃麵'!$D$5:$D$310,MATCH(35,'4℃麵'!$AA$5:$AA$310,0))))</f>
        <v/>
      </c>
      <c xmlns="http://schemas.openxmlformats.org/spreadsheetml/2006/main" r="E56" s="18" t="str">
        <f>IF(35&gt;MAX('4℃其他'!$AA$5:$AA$322),"",HYPERLINK("#'4℃其他'!D"&amp;(MATCH(35,'4℃其他'!$AA$5:$AA$322,0)+4),INDEX('4℃其他'!$D$5:$D$322,MATCH(35,'4℃其他'!$AA$5:$AA$322,0))))</f>
        <v/>
      </c>
      <c xmlns="http://schemas.openxmlformats.org/spreadsheetml/2006/main" r="F56" s="18" t="str">
        <f>IF(35&gt;MAX('冷凍品'!$AA$5:$AA$322),"",HYPERLINK("#'冷凍品'!D"&amp;(MATCH(35,'冷凍品'!$AA$5:$AA$322,0)+4),INDEX('冷凍品'!$D$5:$D$322,MATCH(35,'冷凍品'!$AA$5:$AA$322,0))))</f>
        <v/>
      </c>
    </row>
    <row r="57" spans="2:6">
      <c xmlns="http://schemas.openxmlformats.org/spreadsheetml/2006/main" r="B57" s="18" t="str">
        <f>IF(36&gt;MAX('18℃'!$AA$5:$AA$319),"",HYPERLINK("#'18℃'!D"&amp;(MATCH(36,'18℃'!$AA$5:$AA$319,0)+4),INDEX('18℃'!$D$5:$D$319,MATCH(36,'18℃'!$AA$5:$AA$319,0))))</f>
        <v>明太子鮭魚卵飯糰</v>
      </c>
      <c xmlns="http://schemas.openxmlformats.org/spreadsheetml/2006/main" r="C57" s="18" t="str">
        <f>IF(36&gt;MAX('4℃飯'!$AA$5:$AA$319),"",HYPERLINK("#'4℃飯'!D"&amp;(MATCH(36,'4℃飯'!$AA$5:$AA$319,0)+4),INDEX('4℃飯'!$D$5:$D$319,MATCH(36,'4℃飯'!$AA$5:$AA$319,0))))</f>
        <v>蔥鹽雞腿排飯</v>
      </c>
      <c xmlns="http://schemas.openxmlformats.org/spreadsheetml/2006/main" r="D57" s="18" t="str">
        <f>IF(36&gt;MAX('4℃麵'!$AA$5:$AA$310),"",HYPERLINK("#'4℃麵'!D"&amp;(MATCH(36,'4℃麵'!$AA$5:$AA$310,0)+4),INDEX('4℃麵'!$D$5:$D$310,MATCH(36,'4℃麵'!$AA$5:$AA$310,0))))</f>
        <v/>
      </c>
      <c xmlns="http://schemas.openxmlformats.org/spreadsheetml/2006/main" r="E57" s="18" t="str">
        <f>IF(36&gt;MAX('4℃其他'!$AA$5:$AA$322),"",HYPERLINK("#'4℃其他'!D"&amp;(MATCH(36,'4℃其他'!$AA$5:$AA$322,0)+4),INDEX('4℃其他'!$D$5:$D$322,MATCH(36,'4℃其他'!$AA$5:$AA$322,0))))</f>
        <v/>
      </c>
      <c xmlns="http://schemas.openxmlformats.org/spreadsheetml/2006/main" r="F57" s="18" t="str">
        <f>IF(36&gt;MAX('冷凍品'!$AA$5:$AA$322),"",HYPERLINK("#'冷凍品'!D"&amp;(MATCH(36,'冷凍品'!$AA$5:$AA$322,0)+4),INDEX('冷凍品'!$D$5:$D$322,MATCH(36,'冷凍品'!$AA$5:$AA$322,0))))</f>
        <v/>
      </c>
    </row>
    <row r="58" spans="2:6">
      <c xmlns="http://schemas.openxmlformats.org/spreadsheetml/2006/main" r="B58" s="18" t="str">
        <f>IF(37&gt;MAX('18℃'!$AA$5:$AA$319),"",HYPERLINK("#'18℃'!D"&amp;(MATCH(37,'18℃'!$AA$5:$AA$319,0)+4),INDEX('18℃'!$D$5:$D$319,MATCH(37,'18℃'!$AA$5:$AA$319,0))))</f>
        <v>博多明太子乳酪飯糰</v>
      </c>
      <c xmlns="http://schemas.openxmlformats.org/spreadsheetml/2006/main" r="C58" s="18" t="str">
        <f>IF(37&gt;MAX('4℃飯'!$AA$5:$AA$319),"",HYPERLINK("#'4℃飯'!D"&amp;(MATCH(37,'4℃飯'!$AA$5:$AA$319,0)+4),INDEX('4℃飯'!$D$5:$D$319,MATCH(37,'4℃飯'!$AA$5:$AA$319,0))))</f>
        <v>菠菜牛肉蛋拌飯</v>
      </c>
      <c xmlns="http://schemas.openxmlformats.org/spreadsheetml/2006/main" r="D58" s="18" t="str">
        <f>IF(37&gt;MAX('4℃麵'!$AA$5:$AA$310),"",HYPERLINK("#'4℃麵'!D"&amp;(MATCH(37,'4℃麵'!$AA$5:$AA$310,0)+4),INDEX('4℃麵'!$D$5:$D$310,MATCH(37,'4℃麵'!$AA$5:$AA$310,0))))</f>
        <v/>
      </c>
      <c xmlns="http://schemas.openxmlformats.org/spreadsheetml/2006/main" r="E58" s="18" t="str">
        <f>IF(37&gt;MAX('4℃其他'!$AA$5:$AA$322),"",HYPERLINK("#'4℃其他'!D"&amp;(MATCH(37,'4℃其他'!$AA$5:$AA$322,0)+4),INDEX('4℃其他'!$D$5:$D$322,MATCH(37,'4℃其他'!$AA$5:$AA$322,0))))</f>
        <v/>
      </c>
      <c xmlns="http://schemas.openxmlformats.org/spreadsheetml/2006/main" r="F58" s="18" t="str">
        <f>IF(37&gt;MAX('冷凍品'!$AA$5:$AA$322),"",HYPERLINK("#'冷凍品'!D"&amp;(MATCH(37,'冷凍品'!$AA$5:$AA$322,0)+4),INDEX('冷凍品'!$D$5:$D$322,MATCH(37,'冷凍品'!$AA$5:$AA$322,0))))</f>
        <v/>
      </c>
    </row>
    <row r="59" spans="2:6">
      <c xmlns="http://schemas.openxmlformats.org/spreadsheetml/2006/main" r="B59" s="18" t="str">
        <f>IF(38&gt;MAX('18℃'!$AA$5:$AA$319),"",HYPERLINK("#'18℃'!D"&amp;(MATCH(38,'18℃'!$AA$5:$AA$319,0)+4),INDEX('18℃'!$D$5:$D$319,MATCH(38,'18℃'!$AA$5:$AA$319,0))))</f>
        <v>椒鹽檸檬鯖魚飯糰</v>
      </c>
      <c xmlns="http://schemas.openxmlformats.org/spreadsheetml/2006/main" r="C59" s="18" t="str">
        <f>IF(38&gt;MAX('4℃飯'!$AA$5:$AA$319),"",HYPERLINK("#'4℃飯'!D"&amp;(MATCH(38,'4℃飯'!$AA$5:$AA$319,0)+4),INDEX('4℃飯'!$D$5:$D$319,MATCH(38,'4℃飯'!$AA$5:$AA$319,0))))</f>
        <v>輕藜蔬活腿丁餐盒</v>
      </c>
      <c xmlns="http://schemas.openxmlformats.org/spreadsheetml/2006/main" r="D59" s="18" t="str">
        <f>IF(38&gt;MAX('4℃麵'!$AA$5:$AA$310),"",HYPERLINK("#'4℃麵'!D"&amp;(MATCH(38,'4℃麵'!$AA$5:$AA$310,0)+4),INDEX('4℃麵'!$D$5:$D$310,MATCH(38,'4℃麵'!$AA$5:$AA$310,0))))</f>
        <v/>
      </c>
      <c xmlns="http://schemas.openxmlformats.org/spreadsheetml/2006/main" r="E59" s="18" t="str">
        <f>IF(38&gt;MAX('4℃其他'!$AA$5:$AA$322),"",HYPERLINK("#'4℃其他'!D"&amp;(MATCH(38,'4℃其他'!$AA$5:$AA$322,0)+4),INDEX('4℃其他'!$D$5:$D$322,MATCH(38,'4℃其他'!$AA$5:$AA$322,0))))</f>
        <v/>
      </c>
      <c xmlns="http://schemas.openxmlformats.org/spreadsheetml/2006/main" r="F59" s="18" t="str">
        <f>IF(38&gt;MAX('冷凍品'!$AA$5:$AA$322),"",HYPERLINK("#'冷凍品'!D"&amp;(MATCH(38,'冷凍品'!$AA$5:$AA$322,0)+4),INDEX('冷凍品'!$D$5:$D$322,MATCH(38,'冷凍品'!$AA$5:$AA$322,0))))</f>
        <v/>
      </c>
    </row>
    <row r="60" spans="2:6">
      <c xmlns="http://schemas.openxmlformats.org/spreadsheetml/2006/main" r="B60" s="18" t="str">
        <f>IF(39&gt;MAX('18℃'!$AA$5:$AA$319),"",HYPERLINK("#'18℃'!D"&amp;(MATCH(39,'18℃'!$AA$5:$AA$319,0)+4),INDEX('18℃'!$D$5:$D$319,MATCH(39,'18℃'!$AA$5:$AA$319,0))))</f>
        <v/>
      </c>
      <c xmlns="http://schemas.openxmlformats.org/spreadsheetml/2006/main" r="C60" s="18" t="str">
        <f>IF(39&gt;MAX('4℃飯'!$AA$5:$AA$319),"",HYPERLINK("#'4℃飯'!D"&amp;(MATCH(39,'4℃飯'!$AA$5:$AA$319,0)+4),INDEX('4℃飯'!$D$5:$D$319,MATCH(39,'4℃飯'!$AA$5:$AA$319,0))))</f>
        <v>蔬活雞胸補力餐盒</v>
      </c>
      <c xmlns="http://schemas.openxmlformats.org/spreadsheetml/2006/main" r="D60" s="18" t="str">
        <f>IF(39&gt;MAX('4℃麵'!$AA$5:$AA$310),"",HYPERLINK("#'4℃麵'!D"&amp;(MATCH(39,'4℃麵'!$AA$5:$AA$310,0)+4),INDEX('4℃麵'!$D$5:$D$310,MATCH(39,'4℃麵'!$AA$5:$AA$310,0))))</f>
        <v/>
      </c>
      <c xmlns="http://schemas.openxmlformats.org/spreadsheetml/2006/main" r="E60" s="18" t="str">
        <f>IF(39&gt;MAX('4℃其他'!$AA$5:$AA$322),"",HYPERLINK("#'4℃其他'!D"&amp;(MATCH(39,'4℃其他'!$AA$5:$AA$322,0)+4),INDEX('4℃其他'!$D$5:$D$322,MATCH(39,'4℃其他'!$AA$5:$AA$322,0))))</f>
        <v/>
      </c>
      <c xmlns="http://schemas.openxmlformats.org/spreadsheetml/2006/main" r="F60" s="18" t="str">
        <f>IF(39&gt;MAX('冷凍品'!$AA$5:$AA$322),"",HYPERLINK("#'冷凍品'!D"&amp;(MATCH(39,'冷凍品'!$AA$5:$AA$322,0)+4),INDEX('冷凍品'!$D$5:$D$322,MATCH(39,'冷凍品'!$AA$5:$AA$322,0))))</f>
        <v/>
      </c>
    </row>
    <row r="61" spans="2:6">
      <c xmlns="http://schemas.openxmlformats.org/spreadsheetml/2006/main" r="B61" s="18" t="str">
        <f>IF(40&gt;MAX('18℃'!$AA$5:$AA$319),"",HYPERLINK("#'18℃'!D"&amp;(MATCH(40,'18℃'!$AA$5:$AA$319,0)+4),INDEX('18℃'!$D$5:$D$319,MATCH(40,'18℃'!$AA$5:$AA$319,0))))</f>
        <v/>
      </c>
      <c xmlns="http://schemas.openxmlformats.org/spreadsheetml/2006/main" r="C61" s="18" t="str">
        <f>IF(40&gt;MAX('4℃飯'!$AA$5:$AA$319),"",HYPERLINK("#'4℃飯'!D"&amp;(MATCH(40,'4℃飯'!$AA$5:$AA$319,0)+4),INDEX('4℃飯'!$D$5:$D$319,MATCH(40,'4℃飯'!$AA$5:$AA$319,0))))</f>
        <v>完熟番茄燻腸焗烤飯</v>
      </c>
      <c xmlns="http://schemas.openxmlformats.org/spreadsheetml/2006/main" r="D61" s="18" t="str">
        <f>IF(40&gt;MAX('4℃麵'!$AA$5:$AA$310),"",HYPERLINK("#'4℃麵'!D"&amp;(MATCH(40,'4℃麵'!$AA$5:$AA$310,0)+4),INDEX('4℃麵'!$D$5:$D$310,MATCH(40,'4℃麵'!$AA$5:$AA$310,0))))</f>
        <v/>
      </c>
      <c xmlns="http://schemas.openxmlformats.org/spreadsheetml/2006/main" r="E61" s="18" t="str">
        <f>IF(40&gt;MAX('4℃其他'!$AA$5:$AA$322),"",HYPERLINK("#'4℃其他'!D"&amp;(MATCH(40,'4℃其他'!$AA$5:$AA$322,0)+4),INDEX('4℃其他'!$D$5:$D$322,MATCH(40,'4℃其他'!$AA$5:$AA$322,0))))</f>
        <v/>
      </c>
      <c xmlns="http://schemas.openxmlformats.org/spreadsheetml/2006/main" r="F61" s="18" t="str">
        <f>IF(40&gt;MAX('冷凍品'!$AA$5:$AA$322),"",HYPERLINK("#'冷凍品'!D"&amp;(MATCH(40,'冷凍品'!$AA$5:$AA$322,0)+4),INDEX('冷凍品'!$D$5:$D$322,MATCH(40,'冷凍品'!$AA$5:$AA$322,0))))</f>
        <v/>
      </c>
    </row>
    <row r="62" spans="2:6">
      <c xmlns="http://schemas.openxmlformats.org/spreadsheetml/2006/main" r="B62" s="18" t="str">
        <f>IF(41&gt;MAX('18℃'!$AA$5:$AA$319),"",HYPERLINK("#'18℃'!D"&amp;(MATCH(41,'18℃'!$AA$5:$AA$319,0)+4),INDEX('18℃'!$D$5:$D$319,MATCH(41,'18℃'!$AA$5:$AA$319,0))))</f>
        <v/>
      </c>
      <c xmlns="http://schemas.openxmlformats.org/spreadsheetml/2006/main" r="C62" s="18" t="str">
        <f>IF(41&gt;MAX('4℃飯'!$AA$5:$AA$319),"",HYPERLINK("#'4℃飯'!D"&amp;(MATCH(41,'4℃飯'!$AA$5:$AA$319,0)+4),INDEX('4℃飯'!$D$5:$D$319,MATCH(41,'4℃飯'!$AA$5:$AA$319,0))))</f>
        <v/>
      </c>
      <c xmlns="http://schemas.openxmlformats.org/spreadsheetml/2006/main" r="D62" s="18" t="str">
        <f>IF(41&gt;MAX('4℃麵'!$AA$5:$AA$310),"",HYPERLINK("#'4℃麵'!D"&amp;(MATCH(41,'4℃麵'!$AA$5:$AA$310,0)+4),INDEX('4℃麵'!$D$5:$D$310,MATCH(41,'4℃麵'!$AA$5:$AA$310,0))))</f>
        <v/>
      </c>
      <c xmlns="http://schemas.openxmlformats.org/spreadsheetml/2006/main" r="E62" s="18" t="str">
        <f>IF(41&gt;MAX('4℃其他'!$AA$5:$AA$322),"",HYPERLINK("#'4℃其他'!D"&amp;(MATCH(41,'4℃其他'!$AA$5:$AA$322,0)+4),INDEX('4℃其他'!$D$5:$D$322,MATCH(41,'4℃其他'!$AA$5:$AA$322,0))))</f>
        <v/>
      </c>
      <c xmlns="http://schemas.openxmlformats.org/spreadsheetml/2006/main" r="F62" s="18" t="str">
        <f>IF(41&gt;MAX('冷凍品'!$AA$5:$AA$322),"",HYPERLINK("#'冷凍品'!D"&amp;(MATCH(41,'冷凍品'!$AA$5:$AA$322,0)+4),INDEX('冷凍品'!$D$5:$D$322,MATCH(41,'冷凍品'!$AA$5:$AA$322,0))))</f>
        <v/>
      </c>
    </row>
    <row r="63" spans="2:6">
      <c xmlns="http://schemas.openxmlformats.org/spreadsheetml/2006/main" r="B63" s="18" t="str">
        <f>IF(42&gt;MAX('18℃'!$AA$5:$AA$319),"",HYPERLINK("#'18℃'!D"&amp;(MATCH(42,'18℃'!$AA$5:$AA$319,0)+4),INDEX('18℃'!$D$5:$D$319,MATCH(42,'18℃'!$AA$5:$AA$319,0))))</f>
        <v/>
      </c>
      <c xmlns="http://schemas.openxmlformats.org/spreadsheetml/2006/main" r="C63" s="18" t="str">
        <f>IF(42&gt;MAX('4℃飯'!$AA$5:$AA$319),"",HYPERLINK("#'4℃飯'!D"&amp;(MATCH(42,'4℃飯'!$AA$5:$AA$319,0)+4),INDEX('4℃飯'!$D$5:$D$319,MATCH(42,'4℃飯'!$AA$5:$AA$319,0))))</f>
        <v/>
      </c>
      <c xmlns="http://schemas.openxmlformats.org/spreadsheetml/2006/main" r="D63" s="18" t="str">
        <f>IF(42&gt;MAX('4℃麵'!$AA$5:$AA$310),"",HYPERLINK("#'4℃麵'!D"&amp;(MATCH(42,'4℃麵'!$AA$5:$AA$310,0)+4),INDEX('4℃麵'!$D$5:$D$310,MATCH(42,'4℃麵'!$AA$5:$AA$310,0))))</f>
        <v/>
      </c>
      <c xmlns="http://schemas.openxmlformats.org/spreadsheetml/2006/main" r="E63" s="18" t="str">
        <f>IF(42&gt;MAX('4℃其他'!$AA$5:$AA$322),"",HYPERLINK("#'4℃其他'!D"&amp;(MATCH(42,'4℃其他'!$AA$5:$AA$322,0)+4),INDEX('4℃其他'!$D$5:$D$322,MATCH(42,'4℃其他'!$AA$5:$AA$322,0))))</f>
        <v/>
      </c>
      <c xmlns="http://schemas.openxmlformats.org/spreadsheetml/2006/main" r="F63" s="18" t="str">
        <f>IF(42&gt;MAX('冷凍品'!$AA$5:$AA$322),"",HYPERLINK("#'冷凍品'!D"&amp;(MATCH(42,'冷凍品'!$AA$5:$AA$322,0)+4),INDEX('冷凍品'!$D$5:$D$322,MATCH(42,'冷凍品'!$AA$5:$AA$322,0))))</f>
        <v/>
      </c>
    </row>
    <row r="64" spans="2:6">
      <c xmlns="http://schemas.openxmlformats.org/spreadsheetml/2006/main" r="B64" s="18" t="str">
        <f>IF(43&gt;MAX('18℃'!$AA$5:$AA$319),"",HYPERLINK("#'18℃'!D"&amp;(MATCH(43,'18℃'!$AA$5:$AA$319,0)+4),INDEX('18℃'!$D$5:$D$319,MATCH(43,'18℃'!$AA$5:$AA$319,0))))</f>
        <v/>
      </c>
      <c xmlns="http://schemas.openxmlformats.org/spreadsheetml/2006/main" r="C64" s="18" t="str">
        <f>IF(43&gt;MAX('4℃飯'!$AA$5:$AA$319),"",HYPERLINK("#'4℃飯'!D"&amp;(MATCH(43,'4℃飯'!$AA$5:$AA$319,0)+4),INDEX('4℃飯'!$D$5:$D$319,MATCH(43,'4℃飯'!$AA$5:$AA$319,0))))</f>
        <v/>
      </c>
      <c xmlns="http://schemas.openxmlformats.org/spreadsheetml/2006/main" r="D64" s="18" t="str">
        <f>IF(43&gt;MAX('4℃麵'!$AA$5:$AA$310),"",HYPERLINK("#'4℃麵'!D"&amp;(MATCH(43,'4℃麵'!$AA$5:$AA$310,0)+4),INDEX('4℃麵'!$D$5:$D$310,MATCH(43,'4℃麵'!$AA$5:$AA$310,0))))</f>
        <v/>
      </c>
      <c xmlns="http://schemas.openxmlformats.org/spreadsheetml/2006/main" r="E64" s="18" t="str">
        <f>IF(43&gt;MAX('4℃其他'!$AA$5:$AA$322),"",HYPERLINK("#'4℃其他'!D"&amp;(MATCH(43,'4℃其他'!$AA$5:$AA$322,0)+4),INDEX('4℃其他'!$D$5:$D$322,MATCH(43,'4℃其他'!$AA$5:$AA$322,0))))</f>
        <v/>
      </c>
      <c xmlns="http://schemas.openxmlformats.org/spreadsheetml/2006/main" r="F64" s="18" t="str">
        <f>IF(43&gt;MAX('冷凍品'!$AA$5:$AA$322),"",HYPERLINK("#'冷凍品'!D"&amp;(MATCH(43,'冷凍品'!$AA$5:$AA$322,0)+4),INDEX('冷凍品'!$D$5:$D$322,MATCH(43,'冷凍品'!$AA$5:$AA$322,0))))</f>
        <v/>
      </c>
    </row>
    <row r="65" spans="2:6">
      <c xmlns="http://schemas.openxmlformats.org/spreadsheetml/2006/main" r="B65" s="18" t="str">
        <f>IF(44&gt;MAX('18℃'!$AA$5:$AA$319),"",HYPERLINK("#'18℃'!D"&amp;(MATCH(44,'18℃'!$AA$5:$AA$319,0)+4),INDEX('18℃'!$D$5:$D$319,MATCH(44,'18℃'!$AA$5:$AA$319,0))))</f>
        <v/>
      </c>
      <c xmlns="http://schemas.openxmlformats.org/spreadsheetml/2006/main" r="C65" s="18" t="str">
        <f>IF(44&gt;MAX('4℃飯'!$AA$5:$AA$319),"",HYPERLINK("#'4℃飯'!D"&amp;(MATCH(44,'4℃飯'!$AA$5:$AA$319,0)+4),INDEX('4℃飯'!$D$5:$D$319,MATCH(44,'4℃飯'!$AA$5:$AA$319,0))))</f>
        <v/>
      </c>
      <c xmlns="http://schemas.openxmlformats.org/spreadsheetml/2006/main" r="D65" s="18" t="str">
        <f>IF(44&gt;MAX('4℃麵'!$AA$5:$AA$310),"",HYPERLINK("#'4℃麵'!D"&amp;(MATCH(44,'4℃麵'!$AA$5:$AA$310,0)+4),INDEX('4℃麵'!$D$5:$D$310,MATCH(44,'4℃麵'!$AA$5:$AA$310,0))))</f>
        <v/>
      </c>
      <c xmlns="http://schemas.openxmlformats.org/spreadsheetml/2006/main" r="E65" s="18" t="str">
        <f>IF(44&gt;MAX('4℃其他'!$AA$5:$AA$322),"",HYPERLINK("#'4℃其他'!D"&amp;(MATCH(44,'4℃其他'!$AA$5:$AA$322,0)+4),INDEX('4℃其他'!$D$5:$D$322,MATCH(44,'4℃其他'!$AA$5:$AA$322,0))))</f>
        <v/>
      </c>
      <c xmlns="http://schemas.openxmlformats.org/spreadsheetml/2006/main" r="F65" s="18" t="str">
        <f>IF(44&gt;MAX('冷凍品'!$AA$5:$AA$322),"",HYPERLINK("#'冷凍品'!D"&amp;(MATCH(44,'冷凍品'!$AA$5:$AA$322,0)+4),INDEX('冷凍品'!$D$5:$D$322,MATCH(44,'冷凍品'!$AA$5:$AA$322,0))))</f>
        <v/>
      </c>
    </row>
    <row r="66" spans="2:6">
      <c xmlns="http://schemas.openxmlformats.org/spreadsheetml/2006/main" r="B66" s="18" t="str">
        <f>IF(45&gt;MAX('18℃'!$AA$5:$AA$319),"",HYPERLINK("#'18℃'!D"&amp;(MATCH(45,'18℃'!$AA$5:$AA$319,0)+4),INDEX('18℃'!$D$5:$D$319,MATCH(45,'18℃'!$AA$5:$AA$319,0))))</f>
        <v/>
      </c>
      <c xmlns="http://schemas.openxmlformats.org/spreadsheetml/2006/main" r="C66" s="18" t="str">
        <f>IF(45&gt;MAX('4℃飯'!$AA$5:$AA$319),"",HYPERLINK("#'4℃飯'!D"&amp;(MATCH(45,'4℃飯'!$AA$5:$AA$319,0)+4),INDEX('4℃飯'!$D$5:$D$319,MATCH(45,'4℃飯'!$AA$5:$AA$319,0))))</f>
        <v/>
      </c>
      <c xmlns="http://schemas.openxmlformats.org/spreadsheetml/2006/main" r="D66" s="18" t="str">
        <f>IF(45&gt;MAX('4℃麵'!$AA$5:$AA$310),"",HYPERLINK("#'4℃麵'!D"&amp;(MATCH(45,'4℃麵'!$AA$5:$AA$310,0)+4),INDEX('4℃麵'!$D$5:$D$310,MATCH(45,'4℃麵'!$AA$5:$AA$310,0))))</f>
        <v/>
      </c>
      <c xmlns="http://schemas.openxmlformats.org/spreadsheetml/2006/main" r="E66" s="18" t="str">
        <f>IF(45&gt;MAX('4℃其他'!$AA$5:$AA$322),"",HYPERLINK("#'4℃其他'!D"&amp;(MATCH(45,'4℃其他'!$AA$5:$AA$322,0)+4),INDEX('4℃其他'!$D$5:$D$322,MATCH(45,'4℃其他'!$AA$5:$AA$322,0))))</f>
        <v/>
      </c>
      <c xmlns="http://schemas.openxmlformats.org/spreadsheetml/2006/main" r="F66" s="18" t="str">
        <f>IF(45&gt;MAX('冷凍品'!$AA$5:$AA$322),"",HYPERLINK("#'冷凍品'!D"&amp;(MATCH(45,'冷凍品'!$AA$5:$AA$322,0)+4),INDEX('冷凍品'!$D$5:$D$322,MATCH(45,'冷凍品'!$AA$5:$AA$322,0))))</f>
        <v/>
      </c>
    </row>
    <row r="67" spans="2:6">
      <c xmlns="http://schemas.openxmlformats.org/spreadsheetml/2006/main" r="B67" s="18" t="str">
        <f>IF(46&gt;MAX('18℃'!$AA$5:$AA$319),"",HYPERLINK("#'18℃'!D"&amp;(MATCH(46,'18℃'!$AA$5:$AA$319,0)+4),INDEX('18℃'!$D$5:$D$319,MATCH(46,'18℃'!$AA$5:$AA$319,0))))</f>
        <v/>
      </c>
      <c xmlns="http://schemas.openxmlformats.org/spreadsheetml/2006/main" r="C67" s="18" t="str">
        <f>IF(46&gt;MAX('4℃飯'!$AA$5:$AA$319),"",HYPERLINK("#'4℃飯'!D"&amp;(MATCH(46,'4℃飯'!$AA$5:$AA$319,0)+4),INDEX('4℃飯'!$D$5:$D$319,MATCH(46,'4℃飯'!$AA$5:$AA$319,0))))</f>
        <v/>
      </c>
      <c xmlns="http://schemas.openxmlformats.org/spreadsheetml/2006/main" r="D67" s="18" t="str">
        <f>IF(46&gt;MAX('4℃麵'!$AA$5:$AA$310),"",HYPERLINK("#'4℃麵'!D"&amp;(MATCH(46,'4℃麵'!$AA$5:$AA$310,0)+4),INDEX('4℃麵'!$D$5:$D$310,MATCH(46,'4℃麵'!$AA$5:$AA$310,0))))</f>
        <v/>
      </c>
      <c xmlns="http://schemas.openxmlformats.org/spreadsheetml/2006/main" r="E67" s="18" t="str">
        <f>IF(46&gt;MAX('4℃其他'!$AA$5:$AA$322),"",HYPERLINK("#'4℃其他'!D"&amp;(MATCH(46,'4℃其他'!$AA$5:$AA$322,0)+4),INDEX('4℃其他'!$D$5:$D$322,MATCH(46,'4℃其他'!$AA$5:$AA$322,0))))</f>
        <v/>
      </c>
      <c xmlns="http://schemas.openxmlformats.org/spreadsheetml/2006/main" r="F67" s="18" t="str">
        <f>IF(46&gt;MAX('冷凍品'!$AA$5:$AA$322),"",HYPERLINK("#'冷凍品'!D"&amp;(MATCH(46,'冷凍品'!$AA$5:$AA$322,0)+4),INDEX('冷凍品'!$D$5:$D$322,MATCH(46,'冷凍品'!$AA$5:$AA$322,0))))</f>
        <v/>
      </c>
    </row>
    <row r="68" spans="2:6">
      <c xmlns="http://schemas.openxmlformats.org/spreadsheetml/2006/main" r="B68" s="18" t="str">
        <f>IF(47&gt;MAX('18℃'!$AA$5:$AA$319),"",HYPERLINK("#'18℃'!D"&amp;(MATCH(47,'18℃'!$AA$5:$AA$319,0)+4),INDEX('18℃'!$D$5:$D$319,MATCH(47,'18℃'!$AA$5:$AA$319,0))))</f>
        <v/>
      </c>
      <c xmlns="http://schemas.openxmlformats.org/spreadsheetml/2006/main" r="C68" s="18" t="str">
        <f>IF(47&gt;MAX('4℃飯'!$AA$5:$AA$319),"",HYPERLINK("#'4℃飯'!D"&amp;(MATCH(47,'4℃飯'!$AA$5:$AA$319,0)+4),INDEX('4℃飯'!$D$5:$D$319,MATCH(47,'4℃飯'!$AA$5:$AA$319,0))))</f>
        <v/>
      </c>
      <c xmlns="http://schemas.openxmlformats.org/spreadsheetml/2006/main" r="D68" s="18" t="str">
        <f>IF(47&gt;MAX('4℃麵'!$AA$5:$AA$310),"",HYPERLINK("#'4℃麵'!D"&amp;(MATCH(47,'4℃麵'!$AA$5:$AA$310,0)+4),INDEX('4℃麵'!$D$5:$D$310,MATCH(47,'4℃麵'!$AA$5:$AA$310,0))))</f>
        <v/>
      </c>
      <c xmlns="http://schemas.openxmlformats.org/spreadsheetml/2006/main" r="E68" s="18" t="str">
        <f>IF(47&gt;MAX('4℃其他'!$AA$5:$AA$322),"",HYPERLINK("#'4℃其他'!D"&amp;(MATCH(47,'4℃其他'!$AA$5:$AA$322,0)+4),INDEX('4℃其他'!$D$5:$D$322,MATCH(47,'4℃其他'!$AA$5:$AA$322,0))))</f>
        <v/>
      </c>
      <c xmlns="http://schemas.openxmlformats.org/spreadsheetml/2006/main" r="F68" s="18" t="str">
        <f>IF(47&gt;MAX('冷凍品'!$AA$5:$AA$322),"",HYPERLINK("#'冷凍品'!D"&amp;(MATCH(47,'冷凍品'!$AA$5:$AA$322,0)+4),INDEX('冷凍品'!$D$5:$D$322,MATCH(47,'冷凍品'!$AA$5:$AA$322,0))))</f>
        <v/>
      </c>
    </row>
    <row r="69" spans="2:6">
      <c xmlns="http://schemas.openxmlformats.org/spreadsheetml/2006/main" r="B69" s="18" t="str">
        <f>IF(48&gt;MAX('18℃'!$AA$5:$AA$319),"",HYPERLINK("#'18℃'!D"&amp;(MATCH(48,'18℃'!$AA$5:$AA$319,0)+4),INDEX('18℃'!$D$5:$D$319,MATCH(48,'18℃'!$AA$5:$AA$319,0))))</f>
        <v/>
      </c>
      <c xmlns="http://schemas.openxmlformats.org/spreadsheetml/2006/main" r="C69" s="18" t="str">
        <f>IF(48&gt;MAX('4℃飯'!$AA$5:$AA$319),"",HYPERLINK("#'4℃飯'!D"&amp;(MATCH(48,'4℃飯'!$AA$5:$AA$319,0)+4),INDEX('4℃飯'!$D$5:$D$319,MATCH(48,'4℃飯'!$AA$5:$AA$319,0))))</f>
        <v/>
      </c>
      <c xmlns="http://schemas.openxmlformats.org/spreadsheetml/2006/main" r="D69" s="18" t="str">
        <f>IF(48&gt;MAX('4℃麵'!$AA$5:$AA$310),"",HYPERLINK("#'4℃麵'!D"&amp;(MATCH(48,'4℃麵'!$AA$5:$AA$310,0)+4),INDEX('4℃麵'!$D$5:$D$310,MATCH(48,'4℃麵'!$AA$5:$AA$310,0))))</f>
        <v/>
      </c>
      <c xmlns="http://schemas.openxmlformats.org/spreadsheetml/2006/main" r="E69" s="18" t="str">
        <f>IF(48&gt;MAX('4℃其他'!$AA$5:$AA$322),"",HYPERLINK("#'4℃其他'!D"&amp;(MATCH(48,'4℃其他'!$AA$5:$AA$322,0)+4),INDEX('4℃其他'!$D$5:$D$322,MATCH(48,'4℃其他'!$AA$5:$AA$322,0))))</f>
        <v/>
      </c>
      <c xmlns="http://schemas.openxmlformats.org/spreadsheetml/2006/main" r="F69" s="18" t="str">
        <f>IF(48&gt;MAX('冷凍品'!$AA$5:$AA$322),"",HYPERLINK("#'冷凍品'!D"&amp;(MATCH(48,'冷凍品'!$AA$5:$AA$322,0)+4),INDEX('冷凍品'!$D$5:$D$322,MATCH(48,'冷凍品'!$AA$5:$AA$322,0))))</f>
        <v/>
      </c>
    </row>
    <row r="70" spans="2:6">
      <c xmlns="http://schemas.openxmlformats.org/spreadsheetml/2006/main" r="B70" s="18" t="str">
        <f>IF(49&gt;MAX('18℃'!$AA$5:$AA$319),"",HYPERLINK("#'18℃'!D"&amp;(MATCH(49,'18℃'!$AA$5:$AA$319,0)+4),INDEX('18℃'!$D$5:$D$319,MATCH(49,'18℃'!$AA$5:$AA$319,0))))</f>
        <v/>
      </c>
      <c xmlns="http://schemas.openxmlformats.org/spreadsheetml/2006/main" r="C70" s="18" t="str">
        <f>IF(49&gt;MAX('4℃飯'!$AA$5:$AA$319),"",HYPERLINK("#'4℃飯'!D"&amp;(MATCH(49,'4℃飯'!$AA$5:$AA$319,0)+4),INDEX('4℃飯'!$D$5:$D$319,MATCH(49,'4℃飯'!$AA$5:$AA$319,0))))</f>
        <v/>
      </c>
      <c xmlns="http://schemas.openxmlformats.org/spreadsheetml/2006/main" r="D70" s="18" t="str">
        <f>IF(49&gt;MAX('4℃麵'!$AA$5:$AA$310),"",HYPERLINK("#'4℃麵'!D"&amp;(MATCH(49,'4℃麵'!$AA$5:$AA$310,0)+4),INDEX('4℃麵'!$D$5:$D$310,MATCH(49,'4℃麵'!$AA$5:$AA$310,0))))</f>
        <v/>
      </c>
      <c xmlns="http://schemas.openxmlformats.org/spreadsheetml/2006/main" r="E70" s="18" t="str">
        <f>IF(49&gt;MAX('4℃其他'!$AA$5:$AA$322),"",HYPERLINK("#'4℃其他'!D"&amp;(MATCH(49,'4℃其他'!$AA$5:$AA$322,0)+4),INDEX('4℃其他'!$D$5:$D$322,MATCH(49,'4℃其他'!$AA$5:$AA$322,0))))</f>
        <v/>
      </c>
      <c xmlns="http://schemas.openxmlformats.org/spreadsheetml/2006/main" r="F70" s="18" t="str">
        <f>IF(49&gt;MAX('冷凍品'!$AA$5:$AA$322),"",HYPERLINK("#'冷凍品'!D"&amp;(MATCH(49,'冷凍品'!$AA$5:$AA$322,0)+4),INDEX('冷凍品'!$D$5:$D$322,MATCH(49,'冷凍品'!$AA$5:$AA$322,0))))</f>
        <v/>
      </c>
    </row>
    <row r="71" spans="2:6">
      <c xmlns="http://schemas.openxmlformats.org/spreadsheetml/2006/main" r="B71" s="18" t="str">
        <f>IF(50&gt;MAX('18℃'!$AA$5:$AA$319),"",HYPERLINK("#'18℃'!D"&amp;(MATCH(50,'18℃'!$AA$5:$AA$319,0)+4),INDEX('18℃'!$D$5:$D$319,MATCH(50,'18℃'!$AA$5:$AA$319,0))))</f>
        <v/>
      </c>
      <c xmlns="http://schemas.openxmlformats.org/spreadsheetml/2006/main" r="C71" s="18" t="str">
        <f>IF(50&gt;MAX('4℃飯'!$AA$5:$AA$319),"",HYPERLINK("#'4℃飯'!D"&amp;(MATCH(50,'4℃飯'!$AA$5:$AA$319,0)+4),INDEX('4℃飯'!$D$5:$D$319,MATCH(50,'4℃飯'!$AA$5:$AA$319,0))))</f>
        <v/>
      </c>
      <c xmlns="http://schemas.openxmlformats.org/spreadsheetml/2006/main" r="D71" s="18" t="str">
        <f>IF(50&gt;MAX('4℃麵'!$AA$5:$AA$310),"",HYPERLINK("#'4℃麵'!D"&amp;(MATCH(50,'4℃麵'!$AA$5:$AA$310,0)+4),INDEX('4℃麵'!$D$5:$D$310,MATCH(50,'4℃麵'!$AA$5:$AA$310,0))))</f>
        <v/>
      </c>
      <c xmlns="http://schemas.openxmlformats.org/spreadsheetml/2006/main" r="E71" s="18" t="str">
        <f>IF(50&gt;MAX('4℃其他'!$AA$5:$AA$322),"",HYPERLINK("#'4℃其他'!D"&amp;(MATCH(50,'4℃其他'!$AA$5:$AA$322,0)+4),INDEX('4℃其他'!$D$5:$D$322,MATCH(50,'4℃其他'!$AA$5:$AA$322,0))))</f>
        <v/>
      </c>
      <c xmlns="http://schemas.openxmlformats.org/spreadsheetml/2006/main" r="F71" s="18" t="str">
        <f>IF(50&gt;MAX('冷凍品'!$AA$5:$AA$322),"",HYPERLINK("#'冷凍品'!D"&amp;(MATCH(50,'冷凍品'!$AA$5:$AA$322,0)+4),INDEX('冷凍品'!$D$5:$D$322,MATCH(50,'冷凍品'!$AA$5:$AA$322,0))))</f>
        <v/>
      </c>
    </row>
    <row r="72" spans="2:6">
      <c xmlns="http://schemas.openxmlformats.org/spreadsheetml/2006/main" r="B72" s="18" t="str">
        <f>IF(51&gt;MAX('18℃'!$AA$5:$AA$319),"",HYPERLINK("#'18℃'!D"&amp;(MATCH(51,'18℃'!$AA$5:$AA$319,0)+4),INDEX('18℃'!$D$5:$D$319,MATCH(51,'18℃'!$AA$5:$AA$319,0))))</f>
        <v/>
      </c>
      <c xmlns="http://schemas.openxmlformats.org/spreadsheetml/2006/main" r="C72" s="18" t="str">
        <f>IF(51&gt;MAX('4℃飯'!$AA$5:$AA$319),"",HYPERLINK("#'4℃飯'!D"&amp;(MATCH(51,'4℃飯'!$AA$5:$AA$319,0)+4),INDEX('4℃飯'!$D$5:$D$319,MATCH(51,'4℃飯'!$AA$5:$AA$319,0))))</f>
        <v/>
      </c>
      <c xmlns="http://schemas.openxmlformats.org/spreadsheetml/2006/main" r="D72" s="18" t="str">
        <f>IF(51&gt;MAX('4℃麵'!$AA$5:$AA$310),"",HYPERLINK("#'4℃麵'!D"&amp;(MATCH(51,'4℃麵'!$AA$5:$AA$310,0)+4),INDEX('4℃麵'!$D$5:$D$310,MATCH(51,'4℃麵'!$AA$5:$AA$310,0))))</f>
        <v/>
      </c>
      <c xmlns="http://schemas.openxmlformats.org/spreadsheetml/2006/main" r="E72" s="18" t="str">
        <f>IF(51&gt;MAX('4℃其他'!$AA$5:$AA$322),"",HYPERLINK("#'4℃其他'!D"&amp;(MATCH(51,'4℃其他'!$AA$5:$AA$322,0)+4),INDEX('4℃其他'!$D$5:$D$322,MATCH(51,'4℃其他'!$AA$5:$AA$322,0))))</f>
        <v/>
      </c>
      <c xmlns="http://schemas.openxmlformats.org/spreadsheetml/2006/main" r="F72" s="18" t="str">
        <f>IF(51&gt;MAX('冷凍品'!$AA$5:$AA$322),"",HYPERLINK("#'冷凍品'!D"&amp;(MATCH(51,'冷凍品'!$AA$5:$AA$322,0)+4),INDEX('冷凍品'!$D$5:$D$322,MATCH(51,'冷凍品'!$AA$5:$AA$322,0))))</f>
        <v/>
      </c>
    </row>
    <row r="73" spans="2:6">
      <c xmlns="http://schemas.openxmlformats.org/spreadsheetml/2006/main" r="B73" s="18" t="str">
        <f>IF(52&gt;MAX('18℃'!$AA$5:$AA$319),"",HYPERLINK("#'18℃'!D"&amp;(MATCH(52,'18℃'!$AA$5:$AA$319,0)+4),INDEX('18℃'!$D$5:$D$319,MATCH(52,'18℃'!$AA$5:$AA$319,0))))</f>
        <v/>
      </c>
      <c xmlns="http://schemas.openxmlformats.org/spreadsheetml/2006/main" r="C73" s="18" t="str">
        <f>IF(52&gt;MAX('4℃飯'!$AA$5:$AA$319),"",HYPERLINK("#'4℃飯'!D"&amp;(MATCH(52,'4℃飯'!$AA$5:$AA$319,0)+4),INDEX('4℃飯'!$D$5:$D$319,MATCH(52,'4℃飯'!$AA$5:$AA$319,0))))</f>
        <v/>
      </c>
      <c xmlns="http://schemas.openxmlformats.org/spreadsheetml/2006/main" r="D73" s="18" t="str">
        <f>IF(52&gt;MAX('4℃麵'!$AA$5:$AA$310),"",HYPERLINK("#'4℃麵'!D"&amp;(MATCH(52,'4℃麵'!$AA$5:$AA$310,0)+4),INDEX('4℃麵'!$D$5:$D$310,MATCH(52,'4℃麵'!$AA$5:$AA$310,0))))</f>
        <v/>
      </c>
      <c xmlns="http://schemas.openxmlformats.org/spreadsheetml/2006/main" r="E73" s="18" t="str">
        <f>IF(52&gt;MAX('4℃其他'!$AA$5:$AA$322),"",HYPERLINK("#'4℃其他'!D"&amp;(MATCH(52,'4℃其他'!$AA$5:$AA$322,0)+4),INDEX('4℃其他'!$D$5:$D$322,MATCH(52,'4℃其他'!$AA$5:$AA$322,0))))</f>
        <v/>
      </c>
      <c xmlns="http://schemas.openxmlformats.org/spreadsheetml/2006/main" r="F73" s="18" t="str">
        <f>IF(52&gt;MAX('冷凍品'!$AA$5:$AA$322),"",HYPERLINK("#'冷凍品'!D"&amp;(MATCH(52,'冷凍品'!$AA$5:$AA$322,0)+4),INDEX('冷凍品'!$D$5:$D$322,MATCH(52,'冷凍品'!$AA$5:$AA$322,0))))</f>
        <v/>
      </c>
    </row>
    <row r="74" spans="2:6">
      <c xmlns="http://schemas.openxmlformats.org/spreadsheetml/2006/main" r="B74" s="18" t="str">
        <f>IF(53&gt;MAX('18℃'!$AA$5:$AA$319),"",HYPERLINK("#'18℃'!D"&amp;(MATCH(53,'18℃'!$AA$5:$AA$319,0)+4),INDEX('18℃'!$D$5:$D$319,MATCH(53,'18℃'!$AA$5:$AA$319,0))))</f>
        <v/>
      </c>
      <c xmlns="http://schemas.openxmlformats.org/spreadsheetml/2006/main" r="C74" s="18" t="str">
        <f>IF(53&gt;MAX('4℃飯'!$AA$5:$AA$319),"",HYPERLINK("#'4℃飯'!D"&amp;(MATCH(53,'4℃飯'!$AA$5:$AA$319,0)+4),INDEX('4℃飯'!$D$5:$D$319,MATCH(53,'4℃飯'!$AA$5:$AA$319,0))))</f>
        <v/>
      </c>
      <c xmlns="http://schemas.openxmlformats.org/spreadsheetml/2006/main" r="D74" s="18" t="str">
        <f>IF(53&gt;MAX('4℃麵'!$AA$5:$AA$310),"",HYPERLINK("#'4℃麵'!D"&amp;(MATCH(53,'4℃麵'!$AA$5:$AA$310,0)+4),INDEX('4℃麵'!$D$5:$D$310,MATCH(53,'4℃麵'!$AA$5:$AA$310,0))))</f>
        <v/>
      </c>
      <c xmlns="http://schemas.openxmlformats.org/spreadsheetml/2006/main" r="E74" s="18" t="str">
        <f>IF(53&gt;MAX('4℃其他'!$AA$5:$AA$322),"",HYPERLINK("#'4℃其他'!D"&amp;(MATCH(53,'4℃其他'!$AA$5:$AA$322,0)+4),INDEX('4℃其他'!$D$5:$D$322,MATCH(53,'4℃其他'!$AA$5:$AA$322,0))))</f>
        <v/>
      </c>
      <c xmlns="http://schemas.openxmlformats.org/spreadsheetml/2006/main" r="F74" s="18" t="str">
        <f>IF(53&gt;MAX('冷凍品'!$AA$5:$AA$322),"",HYPERLINK("#'冷凍品'!D"&amp;(MATCH(53,'冷凍品'!$AA$5:$AA$322,0)+4),INDEX('冷凍品'!$D$5:$D$322,MATCH(53,'冷凍品'!$AA$5:$AA$322,0))))</f>
        <v/>
      </c>
    </row>
    <row r="75" spans="2:6">
      <c xmlns="http://schemas.openxmlformats.org/spreadsheetml/2006/main" r="B75" s="18" t="str">
        <f>IF(54&gt;MAX('18℃'!$AA$5:$AA$319),"",HYPERLINK("#'18℃'!D"&amp;(MATCH(54,'18℃'!$AA$5:$AA$319,0)+4),INDEX('18℃'!$D$5:$D$319,MATCH(54,'18℃'!$AA$5:$AA$319,0))))</f>
        <v/>
      </c>
      <c xmlns="http://schemas.openxmlformats.org/spreadsheetml/2006/main" r="C75" s="18" t="str">
        <f>IF(54&gt;MAX('4℃飯'!$AA$5:$AA$319),"",HYPERLINK("#'4℃飯'!D"&amp;(MATCH(54,'4℃飯'!$AA$5:$AA$319,0)+4),INDEX('4℃飯'!$D$5:$D$319,MATCH(54,'4℃飯'!$AA$5:$AA$319,0))))</f>
        <v/>
      </c>
      <c xmlns="http://schemas.openxmlformats.org/spreadsheetml/2006/main" r="D75" s="18" t="str">
        <f>IF(54&gt;MAX('4℃麵'!$AA$5:$AA$310),"",HYPERLINK("#'4℃麵'!D"&amp;(MATCH(54,'4℃麵'!$AA$5:$AA$310,0)+4),INDEX('4℃麵'!$D$5:$D$310,MATCH(54,'4℃麵'!$AA$5:$AA$310,0))))</f>
        <v/>
      </c>
      <c xmlns="http://schemas.openxmlformats.org/spreadsheetml/2006/main" r="E75" s="18" t="str">
        <f>IF(54&gt;MAX('4℃其他'!$AA$5:$AA$322),"",HYPERLINK("#'4℃其他'!D"&amp;(MATCH(54,'4℃其他'!$AA$5:$AA$322,0)+4),INDEX('4℃其他'!$D$5:$D$322,MATCH(54,'4℃其他'!$AA$5:$AA$322,0))))</f>
        <v/>
      </c>
      <c xmlns="http://schemas.openxmlformats.org/spreadsheetml/2006/main" r="F75" s="18" t="str">
        <f>IF(54&gt;MAX('冷凍品'!$AA$5:$AA$322),"",HYPERLINK("#'冷凍品'!D"&amp;(MATCH(54,'冷凍品'!$AA$5:$AA$322,0)+4),INDEX('冷凍品'!$D$5:$D$322,MATCH(54,'冷凍品'!$AA$5:$AA$322,0))))</f>
        <v/>
      </c>
    </row>
    <row r="76" spans="2:6">
      <c xmlns="http://schemas.openxmlformats.org/spreadsheetml/2006/main" r="B76" s="18" t="str">
        <f>IF(55&gt;MAX('18℃'!$AA$5:$AA$319),"",HYPERLINK("#'18℃'!D"&amp;(MATCH(55,'18℃'!$AA$5:$AA$319,0)+4),INDEX('18℃'!$D$5:$D$319,MATCH(55,'18℃'!$AA$5:$AA$319,0))))</f>
        <v/>
      </c>
      <c xmlns="http://schemas.openxmlformats.org/spreadsheetml/2006/main" r="C76" s="18" t="str">
        <f>IF(55&gt;MAX('4℃飯'!$AA$5:$AA$319),"",HYPERLINK("#'4℃飯'!D"&amp;(MATCH(55,'4℃飯'!$AA$5:$AA$319,0)+4),INDEX('4℃飯'!$D$5:$D$319,MATCH(55,'4℃飯'!$AA$5:$AA$319,0))))</f>
        <v/>
      </c>
      <c xmlns="http://schemas.openxmlformats.org/spreadsheetml/2006/main" r="D76" s="18" t="str">
        <f>IF(55&gt;MAX('4℃麵'!$AA$5:$AA$310),"",HYPERLINK("#'4℃麵'!D"&amp;(MATCH(55,'4℃麵'!$AA$5:$AA$310,0)+4),INDEX('4℃麵'!$D$5:$D$310,MATCH(55,'4℃麵'!$AA$5:$AA$310,0))))</f>
        <v/>
      </c>
      <c xmlns="http://schemas.openxmlformats.org/spreadsheetml/2006/main" r="E76" s="18" t="str">
        <f>IF(55&gt;MAX('4℃其他'!$AA$5:$AA$322),"",HYPERLINK("#'4℃其他'!D"&amp;(MATCH(55,'4℃其他'!$AA$5:$AA$322,0)+4),INDEX('4℃其他'!$D$5:$D$322,MATCH(55,'4℃其他'!$AA$5:$AA$322,0))))</f>
        <v/>
      </c>
      <c xmlns="http://schemas.openxmlformats.org/spreadsheetml/2006/main" r="F76" s="18" t="str">
        <f>IF(55&gt;MAX('冷凍品'!$AA$5:$AA$322),"",HYPERLINK("#'冷凍品'!D"&amp;(MATCH(55,'冷凍品'!$AA$5:$AA$322,0)+4),INDEX('冷凍品'!$D$5:$D$322,MATCH(55,'冷凍品'!$AA$5:$AA$322,0))))</f>
        <v/>
      </c>
    </row>
    <row r="77" spans="2:6">
      <c xmlns="http://schemas.openxmlformats.org/spreadsheetml/2006/main" r="B77" s="18" t="str">
        <f>IF(56&gt;MAX('18℃'!$AA$5:$AA$319),"",HYPERLINK("#'18℃'!D"&amp;(MATCH(56,'18℃'!$AA$5:$AA$319,0)+4),INDEX('18℃'!$D$5:$D$319,MATCH(56,'18℃'!$AA$5:$AA$319,0))))</f>
        <v/>
      </c>
      <c xmlns="http://schemas.openxmlformats.org/spreadsheetml/2006/main" r="C77" s="18" t="str">
        <f>IF(56&gt;MAX('4℃飯'!$AA$5:$AA$319),"",HYPERLINK("#'4℃飯'!D"&amp;(MATCH(56,'4℃飯'!$AA$5:$AA$319,0)+4),INDEX('4℃飯'!$D$5:$D$319,MATCH(56,'4℃飯'!$AA$5:$AA$319,0))))</f>
        <v/>
      </c>
      <c xmlns="http://schemas.openxmlformats.org/spreadsheetml/2006/main" r="D77" s="18" t="str">
        <f>IF(56&gt;MAX('4℃麵'!$AA$5:$AA$310),"",HYPERLINK("#'4℃麵'!D"&amp;(MATCH(56,'4℃麵'!$AA$5:$AA$310,0)+4),INDEX('4℃麵'!$D$5:$D$310,MATCH(56,'4℃麵'!$AA$5:$AA$310,0))))</f>
        <v/>
      </c>
      <c xmlns="http://schemas.openxmlformats.org/spreadsheetml/2006/main" r="E77" s="18" t="str">
        <f>IF(56&gt;MAX('4℃其他'!$AA$5:$AA$322),"",HYPERLINK("#'4℃其他'!D"&amp;(MATCH(56,'4℃其他'!$AA$5:$AA$322,0)+4),INDEX('4℃其他'!$D$5:$D$322,MATCH(56,'4℃其他'!$AA$5:$AA$322,0))))</f>
        <v/>
      </c>
      <c xmlns="http://schemas.openxmlformats.org/spreadsheetml/2006/main" r="F77" s="18" t="str">
        <f>IF(56&gt;MAX('冷凍品'!$AA$5:$AA$322),"",HYPERLINK("#'冷凍品'!D"&amp;(MATCH(56,'冷凍品'!$AA$5:$AA$322,0)+4),INDEX('冷凍品'!$D$5:$D$322,MATCH(56,'冷凍品'!$AA$5:$AA$322,0))))</f>
        <v/>
      </c>
    </row>
    <row r="78" spans="2:6">
      <c xmlns="http://schemas.openxmlformats.org/spreadsheetml/2006/main" r="B78" s="18" t="str">
        <f>IF(57&gt;MAX('18℃'!$AA$5:$AA$319),"",HYPERLINK("#'18℃'!D"&amp;(MATCH(57,'18℃'!$AA$5:$AA$319,0)+4),INDEX('18℃'!$D$5:$D$319,MATCH(57,'18℃'!$AA$5:$AA$319,0))))</f>
        <v/>
      </c>
      <c xmlns="http://schemas.openxmlformats.org/spreadsheetml/2006/main" r="C78" s="18" t="str">
        <f>IF(57&gt;MAX('4℃飯'!$AA$5:$AA$319),"",HYPERLINK("#'4℃飯'!D"&amp;(MATCH(57,'4℃飯'!$AA$5:$AA$319,0)+4),INDEX('4℃飯'!$D$5:$D$319,MATCH(57,'4℃飯'!$AA$5:$AA$319,0))))</f>
        <v/>
      </c>
      <c xmlns="http://schemas.openxmlformats.org/spreadsheetml/2006/main" r="D78" s="18" t="str">
        <f>IF(57&gt;MAX('4℃麵'!$AA$5:$AA$310),"",HYPERLINK("#'4℃麵'!D"&amp;(MATCH(57,'4℃麵'!$AA$5:$AA$310,0)+4),INDEX('4℃麵'!$D$5:$D$310,MATCH(57,'4℃麵'!$AA$5:$AA$310,0))))</f>
        <v/>
      </c>
      <c xmlns="http://schemas.openxmlformats.org/spreadsheetml/2006/main" r="E78" s="18" t="str">
        <f>IF(57&gt;MAX('4℃其他'!$AA$5:$AA$322),"",HYPERLINK("#'4℃其他'!D"&amp;(MATCH(57,'4℃其他'!$AA$5:$AA$322,0)+4),INDEX('4℃其他'!$D$5:$D$322,MATCH(57,'4℃其他'!$AA$5:$AA$322,0))))</f>
        <v/>
      </c>
      <c xmlns="http://schemas.openxmlformats.org/spreadsheetml/2006/main" r="F78" s="18" t="str">
        <f>IF(57&gt;MAX('冷凍品'!$AA$5:$AA$322),"",HYPERLINK("#'冷凍品'!D"&amp;(MATCH(57,'冷凍品'!$AA$5:$AA$322,0)+4),INDEX('冷凍品'!$D$5:$D$322,MATCH(57,'冷凍品'!$AA$5:$AA$322,0))))</f>
        <v/>
      </c>
    </row>
    <row r="79" spans="2:6">
      <c xmlns="http://schemas.openxmlformats.org/spreadsheetml/2006/main" r="B79" s="18" t="str">
        <f>IF(58&gt;MAX('18℃'!$AA$5:$AA$319),"",HYPERLINK("#'18℃'!D"&amp;(MATCH(58,'18℃'!$AA$5:$AA$319,0)+4),INDEX('18℃'!$D$5:$D$319,MATCH(58,'18℃'!$AA$5:$AA$319,0))))</f>
        <v/>
      </c>
      <c xmlns="http://schemas.openxmlformats.org/spreadsheetml/2006/main" r="C79" s="18" t="str">
        <f>IF(58&gt;MAX('4℃飯'!$AA$5:$AA$319),"",HYPERLINK("#'4℃飯'!D"&amp;(MATCH(58,'4℃飯'!$AA$5:$AA$319,0)+4),INDEX('4℃飯'!$D$5:$D$319,MATCH(58,'4℃飯'!$AA$5:$AA$319,0))))</f>
        <v/>
      </c>
      <c xmlns="http://schemas.openxmlformats.org/spreadsheetml/2006/main" r="D79" s="18" t="str">
        <f>IF(58&gt;MAX('4℃麵'!$AA$5:$AA$310),"",HYPERLINK("#'4℃麵'!D"&amp;(MATCH(58,'4℃麵'!$AA$5:$AA$310,0)+4),INDEX('4℃麵'!$D$5:$D$310,MATCH(58,'4℃麵'!$AA$5:$AA$310,0))))</f>
        <v/>
      </c>
      <c xmlns="http://schemas.openxmlformats.org/spreadsheetml/2006/main" r="E79" s="18" t="str">
        <f>IF(58&gt;MAX('4℃其他'!$AA$5:$AA$322),"",HYPERLINK("#'4℃其他'!D"&amp;(MATCH(58,'4℃其他'!$AA$5:$AA$322,0)+4),INDEX('4℃其他'!$D$5:$D$322,MATCH(58,'4℃其他'!$AA$5:$AA$322,0))))</f>
        <v/>
      </c>
      <c xmlns="http://schemas.openxmlformats.org/spreadsheetml/2006/main" r="F79" s="18" t="str">
        <f>IF(58&gt;MAX('冷凍品'!$AA$5:$AA$322),"",HYPERLINK("#'冷凍品'!D"&amp;(MATCH(58,'冷凍品'!$AA$5:$AA$322,0)+4),INDEX('冷凍品'!$D$5:$D$322,MATCH(58,'冷凍品'!$AA$5:$AA$322,0))))</f>
        <v/>
      </c>
    </row>
    <row r="80" spans="2:6">
      <c xmlns="http://schemas.openxmlformats.org/spreadsheetml/2006/main" r="B80" s="18" t="str">
        <f>IF(59&gt;MAX('18℃'!$AA$5:$AA$319),"",HYPERLINK("#'18℃'!D"&amp;(MATCH(59,'18℃'!$AA$5:$AA$319,0)+4),INDEX('18℃'!$D$5:$D$319,MATCH(59,'18℃'!$AA$5:$AA$319,0))))</f>
        <v/>
      </c>
      <c xmlns="http://schemas.openxmlformats.org/spreadsheetml/2006/main" r="C80" s="18" t="str">
        <f>IF(59&gt;MAX('4℃飯'!$AA$5:$AA$319),"",HYPERLINK("#'4℃飯'!D"&amp;(MATCH(59,'4℃飯'!$AA$5:$AA$319,0)+4),INDEX('4℃飯'!$D$5:$D$319,MATCH(59,'4℃飯'!$AA$5:$AA$319,0))))</f>
        <v/>
      </c>
      <c xmlns="http://schemas.openxmlformats.org/spreadsheetml/2006/main" r="D80" s="18" t="str">
        <f>IF(59&gt;MAX('4℃麵'!$AA$5:$AA$310),"",HYPERLINK("#'4℃麵'!D"&amp;(MATCH(59,'4℃麵'!$AA$5:$AA$310,0)+4),INDEX('4℃麵'!$D$5:$D$310,MATCH(59,'4℃麵'!$AA$5:$AA$310,0))))</f>
        <v/>
      </c>
      <c xmlns="http://schemas.openxmlformats.org/spreadsheetml/2006/main" r="E80" s="18" t="str">
        <f>IF(59&gt;MAX('4℃其他'!$AA$5:$AA$322),"",HYPERLINK("#'4℃其他'!D"&amp;(MATCH(59,'4℃其他'!$AA$5:$AA$322,0)+4),INDEX('4℃其他'!$D$5:$D$322,MATCH(59,'4℃其他'!$AA$5:$AA$322,0))))</f>
        <v/>
      </c>
      <c xmlns="http://schemas.openxmlformats.org/spreadsheetml/2006/main" r="F80" s="18" t="str">
        <f>IF(59&gt;MAX('冷凍品'!$AA$5:$AA$322),"",HYPERLINK("#'冷凍品'!D"&amp;(MATCH(59,'冷凍品'!$AA$5:$AA$322,0)+4),INDEX('冷凍品'!$D$5:$D$322,MATCH(59,'冷凍品'!$AA$5:$AA$322,0))))</f>
        <v/>
      </c>
    </row>
    <row r="81" spans="2:6">
      <c xmlns="http://schemas.openxmlformats.org/spreadsheetml/2006/main" r="B81" s="18" t="str">
        <f>IF(60&gt;MAX('18℃'!$AA$5:$AA$319),"",HYPERLINK("#'18℃'!D"&amp;(MATCH(60,'18℃'!$AA$5:$AA$319,0)+4),INDEX('18℃'!$D$5:$D$319,MATCH(60,'18℃'!$AA$5:$AA$319,0))))</f>
        <v/>
      </c>
      <c xmlns="http://schemas.openxmlformats.org/spreadsheetml/2006/main" r="C81" s="18" t="str">
        <f>IF(60&gt;MAX('4℃飯'!$AA$5:$AA$319),"",HYPERLINK("#'4℃飯'!D"&amp;(MATCH(60,'4℃飯'!$AA$5:$AA$319,0)+4),INDEX('4℃飯'!$D$5:$D$319,MATCH(60,'4℃飯'!$AA$5:$AA$319,0))))</f>
        <v/>
      </c>
      <c xmlns="http://schemas.openxmlformats.org/spreadsheetml/2006/main" r="D81" s="18" t="str">
        <f>IF(60&gt;MAX('4℃麵'!$AA$5:$AA$310),"",HYPERLINK("#'4℃麵'!D"&amp;(MATCH(60,'4℃麵'!$AA$5:$AA$310,0)+4),INDEX('4℃麵'!$D$5:$D$310,MATCH(60,'4℃麵'!$AA$5:$AA$310,0))))</f>
        <v/>
      </c>
      <c xmlns="http://schemas.openxmlformats.org/spreadsheetml/2006/main" r="E81" s="18" t="str">
        <f>IF(60&gt;MAX('4℃其他'!$AA$5:$AA$322),"",HYPERLINK("#'4℃其他'!D"&amp;(MATCH(60,'4℃其他'!$AA$5:$AA$322,0)+4),INDEX('4℃其他'!$D$5:$D$322,MATCH(60,'4℃其他'!$AA$5:$AA$322,0))))</f>
        <v/>
      </c>
      <c xmlns="http://schemas.openxmlformats.org/spreadsheetml/2006/main" r="F81" s="18" t="str">
        <f>IF(60&gt;MAX('冷凍品'!$AA$5:$AA$322),"",HYPERLINK("#'冷凍品'!D"&amp;(MATCH(60,'冷凍品'!$AA$5:$AA$322,0)+4),INDEX('冷凍品'!$D$5:$D$322,MATCH(60,'冷凍品'!$AA$5:$AA$322,0))))</f>
        <v/>
      </c>
    </row>
    <row r="82" spans="2:6">
      <c xmlns="http://schemas.openxmlformats.org/spreadsheetml/2006/main" r="B82" s="18" t="str">
        <f>IF(61&gt;MAX('18℃'!$AA$5:$AA$319),"",HYPERLINK("#'18℃'!D"&amp;(MATCH(61,'18℃'!$AA$5:$AA$319,0)+4),INDEX('18℃'!$D$5:$D$319,MATCH(61,'18℃'!$AA$5:$AA$319,0))))</f>
        <v/>
      </c>
      <c xmlns="http://schemas.openxmlformats.org/spreadsheetml/2006/main" r="C82" s="18" t="str">
        <f>IF(61&gt;MAX('4℃飯'!$AA$5:$AA$319),"",HYPERLINK("#'4℃飯'!D"&amp;(MATCH(61,'4℃飯'!$AA$5:$AA$319,0)+4),INDEX('4℃飯'!$D$5:$D$319,MATCH(61,'4℃飯'!$AA$5:$AA$319,0))))</f>
        <v/>
      </c>
      <c xmlns="http://schemas.openxmlformats.org/spreadsheetml/2006/main" r="D82" s="18" t="str">
        <f>IF(61&gt;MAX('4℃麵'!$AA$5:$AA$310),"",HYPERLINK("#'4℃麵'!D"&amp;(MATCH(61,'4℃麵'!$AA$5:$AA$310,0)+4),INDEX('4℃麵'!$D$5:$D$310,MATCH(61,'4℃麵'!$AA$5:$AA$310,0))))</f>
        <v/>
      </c>
      <c xmlns="http://schemas.openxmlformats.org/spreadsheetml/2006/main" r="E82" s="18" t="str">
        <f>IF(61&gt;MAX('4℃其他'!$AA$5:$AA$322),"",HYPERLINK("#'4℃其他'!D"&amp;(MATCH(61,'4℃其他'!$AA$5:$AA$322,0)+4),INDEX('4℃其他'!$D$5:$D$322,MATCH(61,'4℃其他'!$AA$5:$AA$322,0))))</f>
        <v/>
      </c>
      <c xmlns="http://schemas.openxmlformats.org/spreadsheetml/2006/main" r="F82" s="18" t="str">
        <f>IF(61&gt;MAX('冷凍品'!$AA$5:$AA$322),"",HYPERLINK("#'冷凍品'!D"&amp;(MATCH(61,'冷凍品'!$AA$5:$AA$322,0)+4),INDEX('冷凍品'!$D$5:$D$322,MATCH(61,'冷凍品'!$AA$5:$AA$322,0))))</f>
        <v/>
      </c>
    </row>
    <row r="83" spans="2:6">
      <c xmlns="http://schemas.openxmlformats.org/spreadsheetml/2006/main" r="B83" s="18" t="str">
        <f>IF(62&gt;MAX('18℃'!$AA$5:$AA$319),"",HYPERLINK("#'18℃'!D"&amp;(MATCH(62,'18℃'!$AA$5:$AA$319,0)+4),INDEX('18℃'!$D$5:$D$319,MATCH(62,'18℃'!$AA$5:$AA$319,0))))</f>
        <v/>
      </c>
      <c xmlns="http://schemas.openxmlformats.org/spreadsheetml/2006/main" r="C83" s="18" t="str">
        <f>IF(62&gt;MAX('4℃飯'!$AA$5:$AA$319),"",HYPERLINK("#'4℃飯'!D"&amp;(MATCH(62,'4℃飯'!$AA$5:$AA$319,0)+4),INDEX('4℃飯'!$D$5:$D$319,MATCH(62,'4℃飯'!$AA$5:$AA$319,0))))</f>
        <v/>
      </c>
      <c xmlns="http://schemas.openxmlformats.org/spreadsheetml/2006/main" r="D83" s="18" t="str">
        <f>IF(62&gt;MAX('4℃麵'!$AA$5:$AA$310),"",HYPERLINK("#'4℃麵'!D"&amp;(MATCH(62,'4℃麵'!$AA$5:$AA$310,0)+4),INDEX('4℃麵'!$D$5:$D$310,MATCH(62,'4℃麵'!$AA$5:$AA$310,0))))</f>
        <v/>
      </c>
      <c xmlns="http://schemas.openxmlformats.org/spreadsheetml/2006/main" r="E83" s="18" t="str">
        <f>IF(62&gt;MAX('4℃其他'!$AA$5:$AA$322),"",HYPERLINK("#'4℃其他'!D"&amp;(MATCH(62,'4℃其他'!$AA$5:$AA$322,0)+4),INDEX('4℃其他'!$D$5:$D$322,MATCH(62,'4℃其他'!$AA$5:$AA$322,0))))</f>
        <v/>
      </c>
      <c xmlns="http://schemas.openxmlformats.org/spreadsheetml/2006/main" r="F83" s="18" t="str">
        <f>IF(62&gt;MAX('冷凍品'!$AA$5:$AA$322),"",HYPERLINK("#'冷凍品'!D"&amp;(MATCH(62,'冷凍品'!$AA$5:$AA$322,0)+4),INDEX('冷凍品'!$D$5:$D$322,MATCH(62,'冷凍品'!$AA$5:$AA$322,0))))</f>
        <v/>
      </c>
    </row>
    <row r="84" spans="2:6">
      <c xmlns="http://schemas.openxmlformats.org/spreadsheetml/2006/main" r="B84" s="18" t="str">
        <f>IF(63&gt;MAX('18℃'!$AA$5:$AA$319),"",HYPERLINK("#'18℃'!D"&amp;(MATCH(63,'18℃'!$AA$5:$AA$319,0)+4),INDEX('18℃'!$D$5:$D$319,MATCH(63,'18℃'!$AA$5:$AA$319,0))))</f>
        <v/>
      </c>
      <c xmlns="http://schemas.openxmlformats.org/spreadsheetml/2006/main" r="C84" s="18" t="str">
        <f>IF(63&gt;MAX('4℃飯'!$AA$5:$AA$319),"",HYPERLINK("#'4℃飯'!D"&amp;(MATCH(63,'4℃飯'!$AA$5:$AA$319,0)+4),INDEX('4℃飯'!$D$5:$D$319,MATCH(63,'4℃飯'!$AA$5:$AA$319,0))))</f>
        <v/>
      </c>
      <c xmlns="http://schemas.openxmlformats.org/spreadsheetml/2006/main" r="D84" s="18" t="str">
        <f>IF(63&gt;MAX('4℃麵'!$AA$5:$AA$310),"",HYPERLINK("#'4℃麵'!D"&amp;(MATCH(63,'4℃麵'!$AA$5:$AA$310,0)+4),INDEX('4℃麵'!$D$5:$D$310,MATCH(63,'4℃麵'!$AA$5:$AA$310,0))))</f>
        <v/>
      </c>
      <c xmlns="http://schemas.openxmlformats.org/spreadsheetml/2006/main" r="E84" s="18" t="str">
        <f>IF(63&gt;MAX('4℃其他'!$AA$5:$AA$322),"",HYPERLINK("#'4℃其他'!D"&amp;(MATCH(63,'4℃其他'!$AA$5:$AA$322,0)+4),INDEX('4℃其他'!$D$5:$D$322,MATCH(63,'4℃其他'!$AA$5:$AA$322,0))))</f>
        <v/>
      </c>
      <c xmlns="http://schemas.openxmlformats.org/spreadsheetml/2006/main" r="F84" s="18" t="str">
        <f>IF(63&gt;MAX('冷凍品'!$AA$5:$AA$322),"",HYPERLINK("#'冷凍品'!D"&amp;(MATCH(63,'冷凍品'!$AA$5:$AA$322,0)+4),INDEX('冷凍品'!$D$5:$D$322,MATCH(63,'冷凍品'!$AA$5:$AA$322,0))))</f>
        <v/>
      </c>
    </row>
    <row r="85" spans="2:6">
      <c xmlns="http://schemas.openxmlformats.org/spreadsheetml/2006/main" r="B85" s="18" t="str">
        <f>IF(64&gt;MAX('18℃'!$AA$5:$AA$319),"",HYPERLINK("#'18℃'!D"&amp;(MATCH(64,'18℃'!$AA$5:$AA$319,0)+4),INDEX('18℃'!$D$5:$D$319,MATCH(64,'18℃'!$AA$5:$AA$319,0))))</f>
        <v/>
      </c>
      <c xmlns="http://schemas.openxmlformats.org/spreadsheetml/2006/main" r="C85" s="18" t="str">
        <f>IF(64&gt;MAX('4℃飯'!$AA$5:$AA$319),"",HYPERLINK("#'4℃飯'!D"&amp;(MATCH(64,'4℃飯'!$AA$5:$AA$319,0)+4),INDEX('4℃飯'!$D$5:$D$319,MATCH(64,'4℃飯'!$AA$5:$AA$319,0))))</f>
        <v/>
      </c>
      <c xmlns="http://schemas.openxmlformats.org/spreadsheetml/2006/main" r="D85" s="18" t="str">
        <f>IF(64&gt;MAX('4℃麵'!$AA$5:$AA$310),"",HYPERLINK("#'4℃麵'!D"&amp;(MATCH(64,'4℃麵'!$AA$5:$AA$310,0)+4),INDEX('4℃麵'!$D$5:$D$310,MATCH(64,'4℃麵'!$AA$5:$AA$310,0))))</f>
        <v/>
      </c>
      <c xmlns="http://schemas.openxmlformats.org/spreadsheetml/2006/main" r="E85" s="18" t="str">
        <f>IF(64&gt;MAX('4℃其他'!$AA$5:$AA$322),"",HYPERLINK("#'4℃其他'!D"&amp;(MATCH(64,'4℃其他'!$AA$5:$AA$322,0)+4),INDEX('4℃其他'!$D$5:$D$322,MATCH(64,'4℃其他'!$AA$5:$AA$322,0))))</f>
        <v/>
      </c>
      <c xmlns="http://schemas.openxmlformats.org/spreadsheetml/2006/main" r="F85" s="18" t="str">
        <f>IF(64&gt;MAX('冷凍品'!$AA$5:$AA$322),"",HYPERLINK("#'冷凍品'!D"&amp;(MATCH(64,'冷凍品'!$AA$5:$AA$322,0)+4),INDEX('冷凍品'!$D$5:$D$322,MATCH(64,'冷凍品'!$AA$5:$AA$322,0))))</f>
        <v/>
      </c>
    </row>
    <row r="86" spans="2:6">
      <c xmlns="http://schemas.openxmlformats.org/spreadsheetml/2006/main" r="B86" s="18" t="str">
        <f>IF(65&gt;MAX('18℃'!$AA$5:$AA$319),"",HYPERLINK("#'18℃'!D"&amp;(MATCH(65,'18℃'!$AA$5:$AA$319,0)+4),INDEX('18℃'!$D$5:$D$319,MATCH(65,'18℃'!$AA$5:$AA$319,0))))</f>
        <v/>
      </c>
      <c xmlns="http://schemas.openxmlformats.org/spreadsheetml/2006/main" r="C86" s="18" t="str">
        <f>IF(65&gt;MAX('4℃飯'!$AA$5:$AA$319),"",HYPERLINK("#'4℃飯'!D"&amp;(MATCH(65,'4℃飯'!$AA$5:$AA$319,0)+4),INDEX('4℃飯'!$D$5:$D$319,MATCH(65,'4℃飯'!$AA$5:$AA$319,0))))</f>
        <v/>
      </c>
      <c xmlns="http://schemas.openxmlformats.org/spreadsheetml/2006/main" r="D86" s="18" t="str">
        <f>IF(65&gt;MAX('4℃麵'!$AA$5:$AA$310),"",HYPERLINK("#'4℃麵'!D"&amp;(MATCH(65,'4℃麵'!$AA$5:$AA$310,0)+4),INDEX('4℃麵'!$D$5:$D$310,MATCH(65,'4℃麵'!$AA$5:$AA$310,0))))</f>
        <v/>
      </c>
      <c xmlns="http://schemas.openxmlformats.org/spreadsheetml/2006/main" r="E86" s="18" t="str">
        <f>IF(65&gt;MAX('4℃其他'!$AA$5:$AA$322),"",HYPERLINK("#'4℃其他'!D"&amp;(MATCH(65,'4℃其他'!$AA$5:$AA$322,0)+4),INDEX('4℃其他'!$D$5:$D$322,MATCH(65,'4℃其他'!$AA$5:$AA$322,0))))</f>
        <v/>
      </c>
      <c xmlns="http://schemas.openxmlformats.org/spreadsheetml/2006/main" r="F86" s="18" t="str">
        <f>IF(65&gt;MAX('冷凍品'!$AA$5:$AA$322),"",HYPERLINK("#'冷凍品'!D"&amp;(MATCH(65,'冷凍品'!$AA$5:$AA$322,0)+4),INDEX('冷凍品'!$D$5:$D$322,MATCH(65,'冷凍品'!$AA$5:$AA$322,0))))</f>
        <v/>
      </c>
    </row>
    <row r="87" spans="2:6">
      <c xmlns="http://schemas.openxmlformats.org/spreadsheetml/2006/main" r="B87" s="18" t="str">
        <f>IF(66&gt;MAX('18℃'!$AA$5:$AA$319),"",HYPERLINK("#'18℃'!D"&amp;(MATCH(66,'18℃'!$AA$5:$AA$319,0)+4),INDEX('18℃'!$D$5:$D$319,MATCH(66,'18℃'!$AA$5:$AA$319,0))))</f>
        <v/>
      </c>
      <c xmlns="http://schemas.openxmlformats.org/spreadsheetml/2006/main" r="C87" s="18" t="str">
        <f>IF(66&gt;MAX('4℃飯'!$AA$5:$AA$319),"",HYPERLINK("#'4℃飯'!D"&amp;(MATCH(66,'4℃飯'!$AA$5:$AA$319,0)+4),INDEX('4℃飯'!$D$5:$D$319,MATCH(66,'4℃飯'!$AA$5:$AA$319,0))))</f>
        <v/>
      </c>
      <c xmlns="http://schemas.openxmlformats.org/spreadsheetml/2006/main" r="D87" s="18" t="str">
        <f>IF(66&gt;MAX('4℃麵'!$AA$5:$AA$310),"",HYPERLINK("#'4℃麵'!D"&amp;(MATCH(66,'4℃麵'!$AA$5:$AA$310,0)+4),INDEX('4℃麵'!$D$5:$D$310,MATCH(66,'4℃麵'!$AA$5:$AA$310,0))))</f>
        <v/>
      </c>
      <c xmlns="http://schemas.openxmlformats.org/spreadsheetml/2006/main" r="E87" s="18" t="str">
        <f>IF(66&gt;MAX('4℃其他'!$AA$5:$AA$322),"",HYPERLINK("#'4℃其他'!D"&amp;(MATCH(66,'4℃其他'!$AA$5:$AA$322,0)+4),INDEX('4℃其他'!$D$5:$D$322,MATCH(66,'4℃其他'!$AA$5:$AA$322,0))))</f>
        <v/>
      </c>
      <c xmlns="http://schemas.openxmlformats.org/spreadsheetml/2006/main" r="F87" s="18" t="str">
        <f>IF(66&gt;MAX('冷凍品'!$AA$5:$AA$322),"",HYPERLINK("#'冷凍品'!D"&amp;(MATCH(66,'冷凍品'!$AA$5:$AA$322,0)+4),INDEX('冷凍品'!$D$5:$D$322,MATCH(66,'冷凍品'!$AA$5:$AA$322,0))))</f>
        <v/>
      </c>
    </row>
    <row r="88" spans="2:6">
      <c xmlns="http://schemas.openxmlformats.org/spreadsheetml/2006/main" r="B88" s="18" t="str">
        <f>IF(67&gt;MAX('18℃'!$AA$5:$AA$319),"",HYPERLINK("#'18℃'!D"&amp;(MATCH(67,'18℃'!$AA$5:$AA$319,0)+4),INDEX('18℃'!$D$5:$D$319,MATCH(67,'18℃'!$AA$5:$AA$319,0))))</f>
        <v/>
      </c>
      <c xmlns="http://schemas.openxmlformats.org/spreadsheetml/2006/main" r="C88" s="18" t="str">
        <f>IF(67&gt;MAX('4℃飯'!$AA$5:$AA$319),"",HYPERLINK("#'4℃飯'!D"&amp;(MATCH(67,'4℃飯'!$AA$5:$AA$319,0)+4),INDEX('4℃飯'!$D$5:$D$319,MATCH(67,'4℃飯'!$AA$5:$AA$319,0))))</f>
        <v/>
      </c>
      <c xmlns="http://schemas.openxmlformats.org/spreadsheetml/2006/main" r="D88" s="18" t="str">
        <f>IF(67&gt;MAX('4℃麵'!$AA$5:$AA$310),"",HYPERLINK("#'4℃麵'!D"&amp;(MATCH(67,'4℃麵'!$AA$5:$AA$310,0)+4),INDEX('4℃麵'!$D$5:$D$310,MATCH(67,'4℃麵'!$AA$5:$AA$310,0))))</f>
        <v/>
      </c>
      <c xmlns="http://schemas.openxmlformats.org/spreadsheetml/2006/main" r="E88" s="18" t="str">
        <f>IF(67&gt;MAX('4℃其他'!$AA$5:$AA$322),"",HYPERLINK("#'4℃其他'!D"&amp;(MATCH(67,'4℃其他'!$AA$5:$AA$322,0)+4),INDEX('4℃其他'!$D$5:$D$322,MATCH(67,'4℃其他'!$AA$5:$AA$322,0))))</f>
        <v/>
      </c>
      <c xmlns="http://schemas.openxmlformats.org/spreadsheetml/2006/main" r="F88" s="18" t="str">
        <f>IF(67&gt;MAX('冷凍品'!$AA$5:$AA$322),"",HYPERLINK("#'冷凍品'!D"&amp;(MATCH(67,'冷凍品'!$AA$5:$AA$322,0)+4),INDEX('冷凍品'!$D$5:$D$322,MATCH(67,'冷凍品'!$AA$5:$AA$322,0))))</f>
        <v/>
      </c>
    </row>
    <row r="89" spans="2:6">
      <c xmlns="http://schemas.openxmlformats.org/spreadsheetml/2006/main" r="B89" s="18" t="str">
        <f>IF(68&gt;MAX('18℃'!$AA$5:$AA$319),"",HYPERLINK("#'18℃'!D"&amp;(MATCH(68,'18℃'!$AA$5:$AA$319,0)+4),INDEX('18℃'!$D$5:$D$319,MATCH(68,'18℃'!$AA$5:$AA$319,0))))</f>
        <v/>
      </c>
      <c xmlns="http://schemas.openxmlformats.org/spreadsheetml/2006/main" r="C89" s="18" t="str">
        <f>IF(68&gt;MAX('4℃飯'!$AA$5:$AA$319),"",HYPERLINK("#'4℃飯'!D"&amp;(MATCH(68,'4℃飯'!$AA$5:$AA$319,0)+4),INDEX('4℃飯'!$D$5:$D$319,MATCH(68,'4℃飯'!$AA$5:$AA$319,0))))</f>
        <v/>
      </c>
      <c xmlns="http://schemas.openxmlformats.org/spreadsheetml/2006/main" r="D89" s="18" t="str">
        <f>IF(68&gt;MAX('4℃麵'!$AA$5:$AA$310),"",HYPERLINK("#'4℃麵'!D"&amp;(MATCH(68,'4℃麵'!$AA$5:$AA$310,0)+4),INDEX('4℃麵'!$D$5:$D$310,MATCH(68,'4℃麵'!$AA$5:$AA$310,0))))</f>
        <v/>
      </c>
      <c xmlns="http://schemas.openxmlformats.org/spreadsheetml/2006/main" r="E89" s="18" t="str">
        <f>IF(68&gt;MAX('4℃其他'!$AA$5:$AA$322),"",HYPERLINK("#'4℃其他'!D"&amp;(MATCH(68,'4℃其他'!$AA$5:$AA$322,0)+4),INDEX('4℃其他'!$D$5:$D$322,MATCH(68,'4℃其他'!$AA$5:$AA$322,0))))</f>
        <v/>
      </c>
      <c xmlns="http://schemas.openxmlformats.org/spreadsheetml/2006/main" r="F89" s="18" t="str">
        <f>IF(68&gt;MAX('冷凍品'!$AA$5:$AA$322),"",HYPERLINK("#'冷凍品'!D"&amp;(MATCH(68,'冷凍品'!$AA$5:$AA$322,0)+4),INDEX('冷凍品'!$D$5:$D$322,MATCH(68,'冷凍品'!$AA$5:$AA$322,0))))</f>
        <v/>
      </c>
    </row>
    <row r="90" spans="2:6">
      <c xmlns="http://schemas.openxmlformats.org/spreadsheetml/2006/main" r="B90" s="18" t="str">
        <f>IF(69&gt;MAX('18℃'!$AA$5:$AA$319),"",HYPERLINK("#'18℃'!D"&amp;(MATCH(69,'18℃'!$AA$5:$AA$319,0)+4),INDEX('18℃'!$D$5:$D$319,MATCH(69,'18℃'!$AA$5:$AA$319,0))))</f>
        <v/>
      </c>
      <c xmlns="http://schemas.openxmlformats.org/spreadsheetml/2006/main" r="C90" s="18" t="str">
        <f>IF(69&gt;MAX('4℃飯'!$AA$5:$AA$319),"",HYPERLINK("#'4℃飯'!D"&amp;(MATCH(69,'4℃飯'!$AA$5:$AA$319,0)+4),INDEX('4℃飯'!$D$5:$D$319,MATCH(69,'4℃飯'!$AA$5:$AA$319,0))))</f>
        <v/>
      </c>
      <c xmlns="http://schemas.openxmlformats.org/spreadsheetml/2006/main" r="D90" s="18" t="str">
        <f>IF(69&gt;MAX('4℃麵'!$AA$5:$AA$310),"",HYPERLINK("#'4℃麵'!D"&amp;(MATCH(69,'4℃麵'!$AA$5:$AA$310,0)+4),INDEX('4℃麵'!$D$5:$D$310,MATCH(69,'4℃麵'!$AA$5:$AA$310,0))))</f>
        <v/>
      </c>
      <c xmlns="http://schemas.openxmlformats.org/spreadsheetml/2006/main" r="E90" s="18" t="str">
        <f>IF(69&gt;MAX('4℃其他'!$AA$5:$AA$322),"",HYPERLINK("#'4℃其他'!D"&amp;(MATCH(69,'4℃其他'!$AA$5:$AA$322,0)+4),INDEX('4℃其他'!$D$5:$D$322,MATCH(69,'4℃其他'!$AA$5:$AA$322,0))))</f>
        <v/>
      </c>
      <c xmlns="http://schemas.openxmlformats.org/spreadsheetml/2006/main" r="F90" s="18" t="str">
        <f>IF(69&gt;MAX('冷凍品'!$AA$5:$AA$322),"",HYPERLINK("#'冷凍品'!D"&amp;(MATCH(69,'冷凍品'!$AA$5:$AA$322,0)+4),INDEX('冷凍品'!$D$5:$D$322,MATCH(69,'冷凍品'!$AA$5:$AA$322,0))))</f>
        <v/>
      </c>
    </row>
    <row r="91" spans="2:6">
      <c xmlns="http://schemas.openxmlformats.org/spreadsheetml/2006/main" r="B91" s="18" t="str">
        <f>IF(70&gt;MAX('18℃'!$AA$5:$AA$319),"",HYPERLINK("#'18℃'!D"&amp;(MATCH(70,'18℃'!$AA$5:$AA$319,0)+4),INDEX('18℃'!$D$5:$D$319,MATCH(70,'18℃'!$AA$5:$AA$319,0))))</f>
        <v/>
      </c>
      <c xmlns="http://schemas.openxmlformats.org/spreadsheetml/2006/main" r="C91" s="18" t="str">
        <f>IF(70&gt;MAX('4℃飯'!$AA$5:$AA$319),"",HYPERLINK("#'4℃飯'!D"&amp;(MATCH(70,'4℃飯'!$AA$5:$AA$319,0)+4),INDEX('4℃飯'!$D$5:$D$319,MATCH(70,'4℃飯'!$AA$5:$AA$319,0))))</f>
        <v/>
      </c>
      <c xmlns="http://schemas.openxmlformats.org/spreadsheetml/2006/main" r="D91" s="18" t="str">
        <f>IF(70&gt;MAX('4℃麵'!$AA$5:$AA$310),"",HYPERLINK("#'4℃麵'!D"&amp;(MATCH(70,'4℃麵'!$AA$5:$AA$310,0)+4),INDEX('4℃麵'!$D$5:$D$310,MATCH(70,'4℃麵'!$AA$5:$AA$310,0))))</f>
        <v/>
      </c>
      <c xmlns="http://schemas.openxmlformats.org/spreadsheetml/2006/main" r="E91" s="18" t="str">
        <f>IF(70&gt;MAX('4℃其他'!$AA$5:$AA$322),"",HYPERLINK("#'4℃其他'!D"&amp;(MATCH(70,'4℃其他'!$AA$5:$AA$322,0)+4),INDEX('4℃其他'!$D$5:$D$322,MATCH(70,'4℃其他'!$AA$5:$AA$322,0))))</f>
        <v/>
      </c>
      <c xmlns="http://schemas.openxmlformats.org/spreadsheetml/2006/main" r="F91" s="18" t="str">
        <f>IF(70&gt;MAX('冷凍品'!$AA$5:$AA$322),"",HYPERLINK("#'冷凍品'!D"&amp;(MATCH(70,'冷凍品'!$AA$5:$AA$322,0)+4),INDEX('冷凍品'!$D$5:$D$322,MATCH(70,'冷凍品'!$AA$5:$AA$322,0))))</f>
        <v/>
      </c>
    </row>
    <row r="92" spans="2:6">
      <c xmlns="http://schemas.openxmlformats.org/spreadsheetml/2006/main" r="B92" s="18" t="str">
        <f>IF(71&gt;MAX('18℃'!$AA$5:$AA$319),"",HYPERLINK("#'18℃'!D"&amp;(MATCH(71,'18℃'!$AA$5:$AA$319,0)+4),INDEX('18℃'!$D$5:$D$319,MATCH(71,'18℃'!$AA$5:$AA$319,0))))</f>
        <v/>
      </c>
      <c xmlns="http://schemas.openxmlformats.org/spreadsheetml/2006/main" r="C92" s="18" t="str">
        <f>IF(71&gt;MAX('4℃飯'!$AA$5:$AA$319),"",HYPERLINK("#'4℃飯'!D"&amp;(MATCH(71,'4℃飯'!$AA$5:$AA$319,0)+4),INDEX('4℃飯'!$D$5:$D$319,MATCH(71,'4℃飯'!$AA$5:$AA$319,0))))</f>
        <v/>
      </c>
      <c xmlns="http://schemas.openxmlformats.org/spreadsheetml/2006/main" r="D92" s="18" t="str">
        <f>IF(71&gt;MAX('4℃麵'!$AA$5:$AA$310),"",HYPERLINK("#'4℃麵'!D"&amp;(MATCH(71,'4℃麵'!$AA$5:$AA$310,0)+4),INDEX('4℃麵'!$D$5:$D$310,MATCH(71,'4℃麵'!$AA$5:$AA$310,0))))</f>
        <v/>
      </c>
      <c xmlns="http://schemas.openxmlformats.org/spreadsheetml/2006/main" r="E92" s="18" t="str">
        <f>IF(71&gt;MAX('4℃其他'!$AA$5:$AA$322),"",HYPERLINK("#'4℃其他'!D"&amp;(MATCH(71,'4℃其他'!$AA$5:$AA$322,0)+4),INDEX('4℃其他'!$D$5:$D$322,MATCH(71,'4℃其他'!$AA$5:$AA$322,0))))</f>
        <v/>
      </c>
      <c xmlns="http://schemas.openxmlformats.org/spreadsheetml/2006/main" r="F92" s="18" t="str">
        <f>IF(71&gt;MAX('冷凍品'!$AA$5:$AA$322),"",HYPERLINK("#'冷凍品'!D"&amp;(MATCH(71,'冷凍品'!$AA$5:$AA$322,0)+4),INDEX('冷凍品'!$D$5:$D$322,MATCH(71,'冷凍品'!$AA$5:$AA$322,0))))</f>
        <v/>
      </c>
    </row>
    <row r="93" spans="2:6">
      <c xmlns="http://schemas.openxmlformats.org/spreadsheetml/2006/main" r="B93" s="18" t="str">
        <f>IF(72&gt;MAX('18℃'!$AA$5:$AA$319),"",HYPERLINK("#'18℃'!D"&amp;(MATCH(72,'18℃'!$AA$5:$AA$319,0)+4),INDEX('18℃'!$D$5:$D$319,MATCH(72,'18℃'!$AA$5:$AA$319,0))))</f>
        <v/>
      </c>
      <c xmlns="http://schemas.openxmlformats.org/spreadsheetml/2006/main" r="C93" s="18" t="str">
        <f>IF(72&gt;MAX('4℃飯'!$AA$5:$AA$319),"",HYPERLINK("#'4℃飯'!D"&amp;(MATCH(72,'4℃飯'!$AA$5:$AA$319,0)+4),INDEX('4℃飯'!$D$5:$D$319,MATCH(72,'4℃飯'!$AA$5:$AA$319,0))))</f>
        <v/>
      </c>
      <c xmlns="http://schemas.openxmlformats.org/spreadsheetml/2006/main" r="D93" s="18" t="str">
        <f>IF(72&gt;MAX('4℃麵'!$AA$5:$AA$310),"",HYPERLINK("#'4℃麵'!D"&amp;(MATCH(72,'4℃麵'!$AA$5:$AA$310,0)+4),INDEX('4℃麵'!$D$5:$D$310,MATCH(72,'4℃麵'!$AA$5:$AA$310,0))))</f>
        <v/>
      </c>
      <c xmlns="http://schemas.openxmlformats.org/spreadsheetml/2006/main" r="E93" s="18" t="str">
        <f>IF(72&gt;MAX('4℃其他'!$AA$5:$AA$322),"",HYPERLINK("#'4℃其他'!D"&amp;(MATCH(72,'4℃其他'!$AA$5:$AA$322,0)+4),INDEX('4℃其他'!$D$5:$D$322,MATCH(72,'4℃其他'!$AA$5:$AA$322,0))))</f>
        <v/>
      </c>
      <c xmlns="http://schemas.openxmlformats.org/spreadsheetml/2006/main" r="F93" s="18" t="str">
        <f>IF(72&gt;MAX('冷凍品'!$AA$5:$AA$322),"",HYPERLINK("#'冷凍品'!D"&amp;(MATCH(72,'冷凍品'!$AA$5:$AA$322,0)+4),INDEX('冷凍品'!$D$5:$D$322,MATCH(72,'冷凍品'!$AA$5:$AA$322,0))))</f>
        <v/>
      </c>
    </row>
    <row r="94" spans="2:6">
      <c xmlns="http://schemas.openxmlformats.org/spreadsheetml/2006/main" r="B94" s="18" t="str">
        <f>IF(73&gt;MAX('18℃'!$AA$5:$AA$319),"",HYPERLINK("#'18℃'!D"&amp;(MATCH(73,'18℃'!$AA$5:$AA$319,0)+4),INDEX('18℃'!$D$5:$D$319,MATCH(73,'18℃'!$AA$5:$AA$319,0))))</f>
        <v/>
      </c>
      <c xmlns="http://schemas.openxmlformats.org/spreadsheetml/2006/main" r="C94" s="18" t="str">
        <f>IF(73&gt;MAX('4℃飯'!$AA$5:$AA$319),"",HYPERLINK("#'4℃飯'!D"&amp;(MATCH(73,'4℃飯'!$AA$5:$AA$319,0)+4),INDEX('4℃飯'!$D$5:$D$319,MATCH(73,'4℃飯'!$AA$5:$AA$319,0))))</f>
        <v/>
      </c>
      <c xmlns="http://schemas.openxmlformats.org/spreadsheetml/2006/main" r="D94" s="18" t="str">
        <f>IF(73&gt;MAX('4℃麵'!$AA$5:$AA$310),"",HYPERLINK("#'4℃麵'!D"&amp;(MATCH(73,'4℃麵'!$AA$5:$AA$310,0)+4),INDEX('4℃麵'!$D$5:$D$310,MATCH(73,'4℃麵'!$AA$5:$AA$310,0))))</f>
        <v/>
      </c>
      <c xmlns="http://schemas.openxmlformats.org/spreadsheetml/2006/main" r="E94" s="18" t="str">
        <f>IF(73&gt;MAX('4℃其他'!$AA$5:$AA$322),"",HYPERLINK("#'4℃其他'!D"&amp;(MATCH(73,'4℃其他'!$AA$5:$AA$322,0)+4),INDEX('4℃其他'!$D$5:$D$322,MATCH(73,'4℃其他'!$AA$5:$AA$322,0))))</f>
        <v/>
      </c>
      <c xmlns="http://schemas.openxmlformats.org/spreadsheetml/2006/main" r="F94" s="18" t="str">
        <f>IF(73&gt;MAX('冷凍品'!$AA$5:$AA$322),"",HYPERLINK("#'冷凍品'!D"&amp;(MATCH(73,'冷凍品'!$AA$5:$AA$322,0)+4),INDEX('冷凍品'!$D$5:$D$322,MATCH(73,'冷凍品'!$AA$5:$AA$322,0))))</f>
        <v/>
      </c>
    </row>
    <row r="95" spans="2:6">
      <c xmlns="http://schemas.openxmlformats.org/spreadsheetml/2006/main" r="B95" s="18" t="str">
        <f>IF(74&gt;MAX('18℃'!$AA$5:$AA$319),"",HYPERLINK("#'18℃'!D"&amp;(MATCH(74,'18℃'!$AA$5:$AA$319,0)+4),INDEX('18℃'!$D$5:$D$319,MATCH(74,'18℃'!$AA$5:$AA$319,0))))</f>
        <v/>
      </c>
      <c xmlns="http://schemas.openxmlformats.org/spreadsheetml/2006/main" r="C95" s="18" t="str">
        <f>IF(74&gt;MAX('4℃飯'!$AA$5:$AA$319),"",HYPERLINK("#'4℃飯'!D"&amp;(MATCH(74,'4℃飯'!$AA$5:$AA$319,0)+4),INDEX('4℃飯'!$D$5:$D$319,MATCH(74,'4℃飯'!$AA$5:$AA$319,0))))</f>
        <v/>
      </c>
      <c xmlns="http://schemas.openxmlformats.org/spreadsheetml/2006/main" r="D95" s="18" t="str">
        <f>IF(74&gt;MAX('4℃麵'!$AA$5:$AA$310),"",HYPERLINK("#'4℃麵'!D"&amp;(MATCH(74,'4℃麵'!$AA$5:$AA$310,0)+4),INDEX('4℃麵'!$D$5:$D$310,MATCH(74,'4℃麵'!$AA$5:$AA$310,0))))</f>
        <v/>
      </c>
      <c xmlns="http://schemas.openxmlformats.org/spreadsheetml/2006/main" r="E95" s="18" t="str">
        <f>IF(74&gt;MAX('4℃其他'!$AA$5:$AA$322),"",HYPERLINK("#'4℃其他'!D"&amp;(MATCH(74,'4℃其他'!$AA$5:$AA$322,0)+4),INDEX('4℃其他'!$D$5:$D$322,MATCH(74,'4℃其他'!$AA$5:$AA$322,0))))</f>
        <v/>
      </c>
      <c xmlns="http://schemas.openxmlformats.org/spreadsheetml/2006/main" r="F95" s="18" t="str">
        <f>IF(74&gt;MAX('冷凍品'!$AA$5:$AA$322),"",HYPERLINK("#'冷凍品'!D"&amp;(MATCH(74,'冷凍品'!$AA$5:$AA$322,0)+4),INDEX('冷凍品'!$D$5:$D$322,MATCH(74,'冷凍品'!$AA$5:$AA$322,0))))</f>
        <v/>
      </c>
    </row>
    <row r="96" spans="2:6">
      <c xmlns="http://schemas.openxmlformats.org/spreadsheetml/2006/main" r="B96" s="18" t="str">
        <f>IF(75&gt;MAX('18℃'!$AA$5:$AA$319),"",HYPERLINK("#'18℃'!D"&amp;(MATCH(75,'18℃'!$AA$5:$AA$319,0)+4),INDEX('18℃'!$D$5:$D$319,MATCH(75,'18℃'!$AA$5:$AA$319,0))))</f>
        <v/>
      </c>
      <c xmlns="http://schemas.openxmlformats.org/spreadsheetml/2006/main" r="C96" s="18" t="str">
        <f>IF(75&gt;MAX('4℃飯'!$AA$5:$AA$319),"",HYPERLINK("#'4℃飯'!D"&amp;(MATCH(75,'4℃飯'!$AA$5:$AA$319,0)+4),INDEX('4℃飯'!$D$5:$D$319,MATCH(75,'4℃飯'!$AA$5:$AA$319,0))))</f>
        <v/>
      </c>
      <c xmlns="http://schemas.openxmlformats.org/spreadsheetml/2006/main" r="D96" s="18" t="str">
        <f>IF(75&gt;MAX('4℃麵'!$AA$5:$AA$310),"",HYPERLINK("#'4℃麵'!D"&amp;(MATCH(75,'4℃麵'!$AA$5:$AA$310,0)+4),INDEX('4℃麵'!$D$5:$D$310,MATCH(75,'4℃麵'!$AA$5:$AA$310,0))))</f>
        <v/>
      </c>
      <c xmlns="http://schemas.openxmlformats.org/spreadsheetml/2006/main" r="E96" s="18" t="str">
        <f>IF(75&gt;MAX('4℃其他'!$AA$5:$AA$322),"",HYPERLINK("#'4℃其他'!D"&amp;(MATCH(75,'4℃其他'!$AA$5:$AA$322,0)+4),INDEX('4℃其他'!$D$5:$D$322,MATCH(75,'4℃其他'!$AA$5:$AA$322,0))))</f>
        <v/>
      </c>
      <c xmlns="http://schemas.openxmlformats.org/spreadsheetml/2006/main" r="F96" s="18" t="str">
        <f>IF(75&gt;MAX('冷凍品'!$AA$5:$AA$322),"",HYPERLINK("#'冷凍品'!D"&amp;(MATCH(75,'冷凍品'!$AA$5:$AA$322,0)+4),INDEX('冷凍品'!$D$5:$D$322,MATCH(75,'冷凍品'!$AA$5:$AA$322,0))))</f>
        <v/>
      </c>
    </row>
    <row r="97" spans="2:6">
      <c xmlns="http://schemas.openxmlformats.org/spreadsheetml/2006/main" r="B97" s="18" t="str">
        <f>IF(76&gt;MAX('18℃'!$AA$5:$AA$319),"",HYPERLINK("#'18℃'!D"&amp;(MATCH(76,'18℃'!$AA$5:$AA$319,0)+4),INDEX('18℃'!$D$5:$D$319,MATCH(76,'18℃'!$AA$5:$AA$319,0))))</f>
        <v/>
      </c>
      <c xmlns="http://schemas.openxmlformats.org/spreadsheetml/2006/main" r="C97" s="18" t="str">
        <f>IF(76&gt;MAX('4℃飯'!$AA$5:$AA$319),"",HYPERLINK("#'4℃飯'!D"&amp;(MATCH(76,'4℃飯'!$AA$5:$AA$319,0)+4),INDEX('4℃飯'!$D$5:$D$319,MATCH(76,'4℃飯'!$AA$5:$AA$319,0))))</f>
        <v/>
      </c>
      <c xmlns="http://schemas.openxmlformats.org/spreadsheetml/2006/main" r="D97" s="18" t="str">
        <f>IF(76&gt;MAX('4℃麵'!$AA$5:$AA$310),"",HYPERLINK("#'4℃麵'!D"&amp;(MATCH(76,'4℃麵'!$AA$5:$AA$310,0)+4),INDEX('4℃麵'!$D$5:$D$310,MATCH(76,'4℃麵'!$AA$5:$AA$310,0))))</f>
        <v/>
      </c>
      <c xmlns="http://schemas.openxmlformats.org/spreadsheetml/2006/main" r="E97" s="18" t="str">
        <f>IF(76&gt;MAX('4℃其他'!$AA$5:$AA$322),"",HYPERLINK("#'4℃其他'!D"&amp;(MATCH(76,'4℃其他'!$AA$5:$AA$322,0)+4),INDEX('4℃其他'!$D$5:$D$322,MATCH(76,'4℃其他'!$AA$5:$AA$322,0))))</f>
        <v/>
      </c>
      <c xmlns="http://schemas.openxmlformats.org/spreadsheetml/2006/main" r="F97" s="18" t="str">
        <f>IF(76&gt;MAX('冷凍品'!$AA$5:$AA$322),"",HYPERLINK("#'冷凍品'!D"&amp;(MATCH(76,'冷凍品'!$AA$5:$AA$322,0)+4),INDEX('冷凍品'!$D$5:$D$322,MATCH(76,'冷凍品'!$AA$5:$AA$322,0))))</f>
        <v/>
      </c>
    </row>
    <row r="98" spans="2:6">
      <c xmlns="http://schemas.openxmlformats.org/spreadsheetml/2006/main" r="B98" s="18" t="str">
        <f>IF(77&gt;MAX('18℃'!$AA$5:$AA$319),"",HYPERLINK("#'18℃'!D"&amp;(MATCH(77,'18℃'!$AA$5:$AA$319,0)+4),INDEX('18℃'!$D$5:$D$319,MATCH(77,'18℃'!$AA$5:$AA$319,0))))</f>
        <v/>
      </c>
      <c xmlns="http://schemas.openxmlformats.org/spreadsheetml/2006/main" r="C98" s="18" t="str">
        <f>IF(77&gt;MAX('4℃飯'!$AA$5:$AA$319),"",HYPERLINK("#'4℃飯'!D"&amp;(MATCH(77,'4℃飯'!$AA$5:$AA$319,0)+4),INDEX('4℃飯'!$D$5:$D$319,MATCH(77,'4℃飯'!$AA$5:$AA$319,0))))</f>
        <v/>
      </c>
      <c xmlns="http://schemas.openxmlformats.org/spreadsheetml/2006/main" r="D98" s="18" t="str">
        <f>IF(77&gt;MAX('4℃麵'!$AA$5:$AA$310),"",HYPERLINK("#'4℃麵'!D"&amp;(MATCH(77,'4℃麵'!$AA$5:$AA$310,0)+4),INDEX('4℃麵'!$D$5:$D$310,MATCH(77,'4℃麵'!$AA$5:$AA$310,0))))</f>
        <v/>
      </c>
      <c xmlns="http://schemas.openxmlformats.org/spreadsheetml/2006/main" r="E98" s="18" t="str">
        <f>IF(77&gt;MAX('4℃其他'!$AA$5:$AA$322),"",HYPERLINK("#'4℃其他'!D"&amp;(MATCH(77,'4℃其他'!$AA$5:$AA$322,0)+4),INDEX('4℃其他'!$D$5:$D$322,MATCH(77,'4℃其他'!$AA$5:$AA$322,0))))</f>
        <v/>
      </c>
      <c xmlns="http://schemas.openxmlformats.org/spreadsheetml/2006/main" r="F98" s="18" t="str">
        <f>IF(77&gt;MAX('冷凍品'!$AA$5:$AA$322),"",HYPERLINK("#'冷凍品'!D"&amp;(MATCH(77,'冷凍品'!$AA$5:$AA$322,0)+4),INDEX('冷凍品'!$D$5:$D$322,MATCH(77,'冷凍品'!$AA$5:$AA$322,0))))</f>
        <v/>
      </c>
    </row>
    <row r="99" spans="2:6">
      <c xmlns="http://schemas.openxmlformats.org/spreadsheetml/2006/main" r="B99" s="18" t="str">
        <f>IF(78&gt;MAX('18℃'!$AA$5:$AA$319),"",HYPERLINK("#'18℃'!D"&amp;(MATCH(78,'18℃'!$AA$5:$AA$319,0)+4),INDEX('18℃'!$D$5:$D$319,MATCH(78,'18℃'!$AA$5:$AA$319,0))))</f>
        <v/>
      </c>
      <c xmlns="http://schemas.openxmlformats.org/spreadsheetml/2006/main" r="C99" s="18" t="str">
        <f>IF(78&gt;MAX('4℃飯'!$AA$5:$AA$319),"",HYPERLINK("#'4℃飯'!D"&amp;(MATCH(78,'4℃飯'!$AA$5:$AA$319,0)+4),INDEX('4℃飯'!$D$5:$D$319,MATCH(78,'4℃飯'!$AA$5:$AA$319,0))))</f>
        <v/>
      </c>
      <c xmlns="http://schemas.openxmlformats.org/spreadsheetml/2006/main" r="D99" s="18" t="str">
        <f>IF(78&gt;MAX('4℃麵'!$AA$5:$AA$310),"",HYPERLINK("#'4℃麵'!D"&amp;(MATCH(78,'4℃麵'!$AA$5:$AA$310,0)+4),INDEX('4℃麵'!$D$5:$D$310,MATCH(78,'4℃麵'!$AA$5:$AA$310,0))))</f>
        <v/>
      </c>
      <c xmlns="http://schemas.openxmlformats.org/spreadsheetml/2006/main" r="E99" s="18" t="str">
        <f>IF(78&gt;MAX('4℃其他'!$AA$5:$AA$322),"",HYPERLINK("#'4℃其他'!D"&amp;(MATCH(78,'4℃其他'!$AA$5:$AA$322,0)+4),INDEX('4℃其他'!$D$5:$D$322,MATCH(78,'4℃其他'!$AA$5:$AA$322,0))))</f>
        <v/>
      </c>
      <c xmlns="http://schemas.openxmlformats.org/spreadsheetml/2006/main" r="F99" s="18" t="str">
        <f>IF(78&gt;MAX('冷凍品'!$AA$5:$AA$322),"",HYPERLINK("#'冷凍品'!D"&amp;(MATCH(78,'冷凍品'!$AA$5:$AA$322,0)+4),INDEX('冷凍品'!$D$5:$D$322,MATCH(78,'冷凍品'!$AA$5:$AA$322,0))))</f>
        <v/>
      </c>
    </row>
    <row r="100" spans="2:6">
      <c xmlns="http://schemas.openxmlformats.org/spreadsheetml/2006/main" r="B100" s="18" t="str">
        <f>IF(79&gt;MAX('18℃'!$AA$5:$AA$319),"",HYPERLINK("#'18℃'!D"&amp;(MATCH(79,'18℃'!$AA$5:$AA$319,0)+4),INDEX('18℃'!$D$5:$D$319,MATCH(79,'18℃'!$AA$5:$AA$319,0))))</f>
        <v/>
      </c>
      <c xmlns="http://schemas.openxmlformats.org/spreadsheetml/2006/main" r="C100" s="18" t="str">
        <f>IF(79&gt;MAX('4℃飯'!$AA$5:$AA$319),"",HYPERLINK("#'4℃飯'!D"&amp;(MATCH(79,'4℃飯'!$AA$5:$AA$319,0)+4),INDEX('4℃飯'!$D$5:$D$319,MATCH(79,'4℃飯'!$AA$5:$AA$319,0))))</f>
        <v/>
      </c>
      <c xmlns="http://schemas.openxmlformats.org/spreadsheetml/2006/main" r="D100" s="18" t="str">
        <f>IF(79&gt;MAX('4℃麵'!$AA$5:$AA$310),"",HYPERLINK("#'4℃麵'!D"&amp;(MATCH(79,'4℃麵'!$AA$5:$AA$310,0)+4),INDEX('4℃麵'!$D$5:$D$310,MATCH(79,'4℃麵'!$AA$5:$AA$310,0))))</f>
        <v/>
      </c>
      <c xmlns="http://schemas.openxmlformats.org/spreadsheetml/2006/main" r="E100" s="18" t="str">
        <f>IF(79&gt;MAX('4℃其他'!$AA$5:$AA$322),"",HYPERLINK("#'4℃其他'!D"&amp;(MATCH(79,'4℃其他'!$AA$5:$AA$322,0)+4),INDEX('4℃其他'!$D$5:$D$322,MATCH(79,'4℃其他'!$AA$5:$AA$322,0))))</f>
        <v/>
      </c>
      <c xmlns="http://schemas.openxmlformats.org/spreadsheetml/2006/main" r="F100" s="18" t="str">
        <f>IF(79&gt;MAX('冷凍品'!$AA$5:$AA$322),"",HYPERLINK("#'冷凍品'!D"&amp;(MATCH(79,'冷凍品'!$AA$5:$AA$322,0)+4),INDEX('冷凍品'!$D$5:$D$322,MATCH(79,'冷凍品'!$AA$5:$AA$322,0))))</f>
        <v/>
      </c>
    </row>
    <row r="101" spans="2:6">
      <c xmlns="http://schemas.openxmlformats.org/spreadsheetml/2006/main" r="B101" s="18" t="str">
        <f>IF(80&gt;MAX('18℃'!$AA$5:$AA$319),"",HYPERLINK("#'18℃'!D"&amp;(MATCH(80,'18℃'!$AA$5:$AA$319,0)+4),INDEX('18℃'!$D$5:$D$319,MATCH(80,'18℃'!$AA$5:$AA$319,0))))</f>
        <v/>
      </c>
      <c xmlns="http://schemas.openxmlformats.org/spreadsheetml/2006/main" r="C101" s="18" t="str">
        <f>IF(80&gt;MAX('4℃飯'!$AA$5:$AA$319),"",HYPERLINK("#'4℃飯'!D"&amp;(MATCH(80,'4℃飯'!$AA$5:$AA$319,0)+4),INDEX('4℃飯'!$D$5:$D$319,MATCH(80,'4℃飯'!$AA$5:$AA$319,0))))</f>
        <v/>
      </c>
      <c xmlns="http://schemas.openxmlformats.org/spreadsheetml/2006/main" r="D101" s="18" t="str">
        <f>IF(80&gt;MAX('4℃麵'!$AA$5:$AA$310),"",HYPERLINK("#'4℃麵'!D"&amp;(MATCH(80,'4℃麵'!$AA$5:$AA$310,0)+4),INDEX('4℃麵'!$D$5:$D$310,MATCH(80,'4℃麵'!$AA$5:$AA$310,0))))</f>
        <v/>
      </c>
      <c xmlns="http://schemas.openxmlformats.org/spreadsheetml/2006/main" r="E101" s="18" t="str">
        <f>IF(80&gt;MAX('4℃其他'!$AA$5:$AA$322),"",HYPERLINK("#'4℃其他'!D"&amp;(MATCH(80,'4℃其他'!$AA$5:$AA$322,0)+4),INDEX('4℃其他'!$D$5:$D$322,MATCH(80,'4℃其他'!$AA$5:$AA$322,0))))</f>
        <v/>
      </c>
      <c xmlns="http://schemas.openxmlformats.org/spreadsheetml/2006/main" r="F101" s="18" t="str">
        <f>IF(80&gt;MAX('冷凍品'!$AA$5:$AA$322),"",HYPERLINK("#'冷凍品'!D"&amp;(MATCH(80,'冷凍品'!$AA$5:$AA$322,0)+4),INDEX('冷凍品'!$D$5:$D$322,MATCH(80,'冷凍品'!$AA$5:$AA$322,0))))</f>
        <v/>
      </c>
    </row>
    <row r="102" spans="2:6">
      <c xmlns="http://schemas.openxmlformats.org/spreadsheetml/2006/main" r="B102" s="18" t="str">
        <f>IF(81&gt;MAX('18℃'!$AA$5:$AA$319),"",HYPERLINK("#'18℃'!D"&amp;(MATCH(81,'18℃'!$AA$5:$AA$319,0)+4),INDEX('18℃'!$D$5:$D$319,MATCH(81,'18℃'!$AA$5:$AA$319,0))))</f>
        <v/>
      </c>
      <c xmlns="http://schemas.openxmlformats.org/spreadsheetml/2006/main" r="C102" s="18" t="str">
        <f>IF(81&gt;MAX('4℃飯'!$AA$5:$AA$319),"",HYPERLINK("#'4℃飯'!D"&amp;(MATCH(81,'4℃飯'!$AA$5:$AA$319,0)+4),INDEX('4℃飯'!$D$5:$D$319,MATCH(81,'4℃飯'!$AA$5:$AA$319,0))))</f>
        <v/>
      </c>
      <c xmlns="http://schemas.openxmlformats.org/spreadsheetml/2006/main" r="D102" s="18" t="str">
        <f>IF(81&gt;MAX('4℃麵'!$AA$5:$AA$310),"",HYPERLINK("#'4℃麵'!D"&amp;(MATCH(81,'4℃麵'!$AA$5:$AA$310,0)+4),INDEX('4℃麵'!$D$5:$D$310,MATCH(81,'4℃麵'!$AA$5:$AA$310,0))))</f>
        <v/>
      </c>
      <c xmlns="http://schemas.openxmlformats.org/spreadsheetml/2006/main" r="E102" s="18" t="str">
        <f>IF(81&gt;MAX('4℃其他'!$AA$5:$AA$322),"",HYPERLINK("#'4℃其他'!D"&amp;(MATCH(81,'4℃其他'!$AA$5:$AA$322,0)+4),INDEX('4℃其他'!$D$5:$D$322,MATCH(81,'4℃其他'!$AA$5:$AA$322,0))))</f>
        <v/>
      </c>
      <c xmlns="http://schemas.openxmlformats.org/spreadsheetml/2006/main" r="F102" s="18" t="str">
        <f>IF(81&gt;MAX('冷凍品'!$AA$5:$AA$322),"",HYPERLINK("#'冷凍品'!D"&amp;(MATCH(81,'冷凍品'!$AA$5:$AA$322,0)+4),INDEX('冷凍品'!$D$5:$D$322,MATCH(81,'冷凍品'!$AA$5:$AA$322,0))))</f>
        <v/>
      </c>
    </row>
    <row r="103" spans="2:6">
      <c xmlns="http://schemas.openxmlformats.org/spreadsheetml/2006/main" r="B103" s="18" t="str">
        <f>IF(82&gt;MAX('18℃'!$AA$5:$AA$319),"",HYPERLINK("#'18℃'!D"&amp;(MATCH(82,'18℃'!$AA$5:$AA$319,0)+4),INDEX('18℃'!$D$5:$D$319,MATCH(82,'18℃'!$AA$5:$AA$319,0))))</f>
        <v/>
      </c>
      <c xmlns="http://schemas.openxmlformats.org/spreadsheetml/2006/main" r="C103" s="18" t="str">
        <f>IF(82&gt;MAX('4℃飯'!$AA$5:$AA$319),"",HYPERLINK("#'4℃飯'!D"&amp;(MATCH(82,'4℃飯'!$AA$5:$AA$319,0)+4),INDEX('4℃飯'!$D$5:$D$319,MATCH(82,'4℃飯'!$AA$5:$AA$319,0))))</f>
        <v/>
      </c>
      <c xmlns="http://schemas.openxmlformats.org/spreadsheetml/2006/main" r="D103" s="18" t="str">
        <f>IF(82&gt;MAX('4℃麵'!$AA$5:$AA$310),"",HYPERLINK("#'4℃麵'!D"&amp;(MATCH(82,'4℃麵'!$AA$5:$AA$310,0)+4),INDEX('4℃麵'!$D$5:$D$310,MATCH(82,'4℃麵'!$AA$5:$AA$310,0))))</f>
        <v/>
      </c>
      <c xmlns="http://schemas.openxmlformats.org/spreadsheetml/2006/main" r="E103" s="18" t="str">
        <f>IF(82&gt;MAX('4℃其他'!$AA$5:$AA$322),"",HYPERLINK("#'4℃其他'!D"&amp;(MATCH(82,'4℃其他'!$AA$5:$AA$322,0)+4),INDEX('4℃其他'!$D$5:$D$322,MATCH(82,'4℃其他'!$AA$5:$AA$322,0))))</f>
        <v/>
      </c>
      <c xmlns="http://schemas.openxmlformats.org/spreadsheetml/2006/main" r="F103" s="18" t="str">
        <f>IF(82&gt;MAX('冷凍品'!$AA$5:$AA$322),"",HYPERLINK("#'冷凍品'!D"&amp;(MATCH(82,'冷凍品'!$AA$5:$AA$322,0)+4),INDEX('冷凍品'!$D$5:$D$322,MATCH(82,'冷凍品'!$AA$5:$AA$322,0))))</f>
        <v/>
      </c>
    </row>
    <row r="104" spans="2:6">
      <c xmlns="http://schemas.openxmlformats.org/spreadsheetml/2006/main" r="B104" s="18" t="str">
        <f>IF(83&gt;MAX('18℃'!$AA$5:$AA$319),"",HYPERLINK("#'18℃'!D"&amp;(MATCH(83,'18℃'!$AA$5:$AA$319,0)+4),INDEX('18℃'!$D$5:$D$319,MATCH(83,'18℃'!$AA$5:$AA$319,0))))</f>
        <v/>
      </c>
      <c xmlns="http://schemas.openxmlformats.org/spreadsheetml/2006/main" r="C104" s="18" t="str">
        <f>IF(83&gt;MAX('4℃飯'!$AA$5:$AA$319),"",HYPERLINK("#'4℃飯'!D"&amp;(MATCH(83,'4℃飯'!$AA$5:$AA$319,0)+4),INDEX('4℃飯'!$D$5:$D$319,MATCH(83,'4℃飯'!$AA$5:$AA$319,0))))</f>
        <v/>
      </c>
      <c xmlns="http://schemas.openxmlformats.org/spreadsheetml/2006/main" r="D104" s="18" t="str">
        <f>IF(83&gt;MAX('4℃麵'!$AA$5:$AA$310),"",HYPERLINK("#'4℃麵'!D"&amp;(MATCH(83,'4℃麵'!$AA$5:$AA$310,0)+4),INDEX('4℃麵'!$D$5:$D$310,MATCH(83,'4℃麵'!$AA$5:$AA$310,0))))</f>
        <v/>
      </c>
      <c xmlns="http://schemas.openxmlformats.org/spreadsheetml/2006/main" r="E104" s="18" t="str">
        <f>IF(83&gt;MAX('4℃其他'!$AA$5:$AA$322),"",HYPERLINK("#'4℃其他'!D"&amp;(MATCH(83,'4℃其他'!$AA$5:$AA$322,0)+4),INDEX('4℃其他'!$D$5:$D$322,MATCH(83,'4℃其他'!$AA$5:$AA$322,0))))</f>
        <v/>
      </c>
      <c xmlns="http://schemas.openxmlformats.org/spreadsheetml/2006/main" r="F104" s="18" t="str">
        <f>IF(83&gt;MAX('冷凍品'!$AA$5:$AA$322),"",HYPERLINK("#'冷凍品'!D"&amp;(MATCH(83,'冷凍品'!$AA$5:$AA$322,0)+4),INDEX('冷凍品'!$D$5:$D$322,MATCH(83,'冷凍品'!$AA$5:$AA$322,0))))</f>
        <v/>
      </c>
    </row>
    <row r="105" spans="2:6">
      <c xmlns="http://schemas.openxmlformats.org/spreadsheetml/2006/main" r="B105" s="18" t="str">
        <f>IF(84&gt;MAX('18℃'!$AA$5:$AA$319),"",HYPERLINK("#'18℃'!D"&amp;(MATCH(84,'18℃'!$AA$5:$AA$319,0)+4),INDEX('18℃'!$D$5:$D$319,MATCH(84,'18℃'!$AA$5:$AA$319,0))))</f>
        <v/>
      </c>
      <c xmlns="http://schemas.openxmlformats.org/spreadsheetml/2006/main" r="C105" s="18" t="str">
        <f>IF(84&gt;MAX('4℃飯'!$AA$5:$AA$319),"",HYPERLINK("#'4℃飯'!D"&amp;(MATCH(84,'4℃飯'!$AA$5:$AA$319,0)+4),INDEX('4℃飯'!$D$5:$D$319,MATCH(84,'4℃飯'!$AA$5:$AA$319,0))))</f>
        <v/>
      </c>
      <c xmlns="http://schemas.openxmlformats.org/spreadsheetml/2006/main" r="D105" s="18" t="str">
        <f>IF(84&gt;MAX('4℃麵'!$AA$5:$AA$310),"",HYPERLINK("#'4℃麵'!D"&amp;(MATCH(84,'4℃麵'!$AA$5:$AA$310,0)+4),INDEX('4℃麵'!$D$5:$D$310,MATCH(84,'4℃麵'!$AA$5:$AA$310,0))))</f>
        <v/>
      </c>
      <c xmlns="http://schemas.openxmlformats.org/spreadsheetml/2006/main" r="E105" s="18" t="str">
        <f>IF(84&gt;MAX('4℃其他'!$AA$5:$AA$322),"",HYPERLINK("#'4℃其他'!D"&amp;(MATCH(84,'4℃其他'!$AA$5:$AA$322,0)+4),INDEX('4℃其他'!$D$5:$D$322,MATCH(84,'4℃其他'!$AA$5:$AA$322,0))))</f>
        <v/>
      </c>
      <c xmlns="http://schemas.openxmlformats.org/spreadsheetml/2006/main" r="F105" s="18" t="str">
        <f>IF(84&gt;MAX('冷凍品'!$AA$5:$AA$322),"",HYPERLINK("#'冷凍品'!D"&amp;(MATCH(84,'冷凍品'!$AA$5:$AA$322,0)+4),INDEX('冷凍品'!$D$5:$D$322,MATCH(84,'冷凍品'!$AA$5:$AA$322,0))))</f>
        <v/>
      </c>
    </row>
    <row r="106" spans="2:6">
      <c xmlns="http://schemas.openxmlformats.org/spreadsheetml/2006/main" r="B106" s="18" t="str">
        <f>IF(85&gt;MAX('18℃'!$AA$5:$AA$319),"",HYPERLINK("#'18℃'!D"&amp;(MATCH(85,'18℃'!$AA$5:$AA$319,0)+4),INDEX('18℃'!$D$5:$D$319,MATCH(85,'18℃'!$AA$5:$AA$319,0))))</f>
        <v/>
      </c>
      <c xmlns="http://schemas.openxmlformats.org/spreadsheetml/2006/main" r="C106" s="18" t="str">
        <f>IF(85&gt;MAX('4℃飯'!$AA$5:$AA$319),"",HYPERLINK("#'4℃飯'!D"&amp;(MATCH(85,'4℃飯'!$AA$5:$AA$319,0)+4),INDEX('4℃飯'!$D$5:$D$319,MATCH(85,'4℃飯'!$AA$5:$AA$319,0))))</f>
        <v/>
      </c>
      <c xmlns="http://schemas.openxmlformats.org/spreadsheetml/2006/main" r="D106" s="18" t="str">
        <f>IF(85&gt;MAX('4℃麵'!$AA$5:$AA$310),"",HYPERLINK("#'4℃麵'!D"&amp;(MATCH(85,'4℃麵'!$AA$5:$AA$310,0)+4),INDEX('4℃麵'!$D$5:$D$310,MATCH(85,'4℃麵'!$AA$5:$AA$310,0))))</f>
        <v/>
      </c>
      <c xmlns="http://schemas.openxmlformats.org/spreadsheetml/2006/main" r="E106" s="18" t="str">
        <f>IF(85&gt;MAX('4℃其他'!$AA$5:$AA$322),"",HYPERLINK("#'4℃其他'!D"&amp;(MATCH(85,'4℃其他'!$AA$5:$AA$322,0)+4),INDEX('4℃其他'!$D$5:$D$322,MATCH(85,'4℃其他'!$AA$5:$AA$322,0))))</f>
        <v/>
      </c>
      <c xmlns="http://schemas.openxmlformats.org/spreadsheetml/2006/main" r="F106" s="18" t="str">
        <f>IF(85&gt;MAX('冷凍品'!$AA$5:$AA$322),"",HYPERLINK("#'冷凍品'!D"&amp;(MATCH(85,'冷凍品'!$AA$5:$AA$322,0)+4),INDEX('冷凍品'!$D$5:$D$322,MATCH(85,'冷凍品'!$AA$5:$AA$322,0))))</f>
        <v/>
      </c>
    </row>
    <row r="107" spans="2:6">
      <c xmlns="http://schemas.openxmlformats.org/spreadsheetml/2006/main" r="B107" s="18" t="str">
        <f>IF(86&gt;MAX('18℃'!$AA$5:$AA$319),"",HYPERLINK("#'18℃'!D"&amp;(MATCH(86,'18℃'!$AA$5:$AA$319,0)+4),INDEX('18℃'!$D$5:$D$319,MATCH(86,'18℃'!$AA$5:$AA$319,0))))</f>
        <v/>
      </c>
      <c xmlns="http://schemas.openxmlformats.org/spreadsheetml/2006/main" r="C107" s="18" t="str">
        <f>IF(86&gt;MAX('4℃飯'!$AA$5:$AA$319),"",HYPERLINK("#'4℃飯'!D"&amp;(MATCH(86,'4℃飯'!$AA$5:$AA$319,0)+4),INDEX('4℃飯'!$D$5:$D$319,MATCH(86,'4℃飯'!$AA$5:$AA$319,0))))</f>
        <v/>
      </c>
      <c xmlns="http://schemas.openxmlformats.org/spreadsheetml/2006/main" r="D107" s="18" t="str">
        <f>IF(86&gt;MAX('4℃麵'!$AA$5:$AA$310),"",HYPERLINK("#'4℃麵'!D"&amp;(MATCH(86,'4℃麵'!$AA$5:$AA$310,0)+4),INDEX('4℃麵'!$D$5:$D$310,MATCH(86,'4℃麵'!$AA$5:$AA$310,0))))</f>
        <v/>
      </c>
      <c xmlns="http://schemas.openxmlformats.org/spreadsheetml/2006/main" r="E107" s="18" t="str">
        <f>IF(86&gt;MAX('4℃其他'!$AA$5:$AA$322),"",HYPERLINK("#'4℃其他'!D"&amp;(MATCH(86,'4℃其他'!$AA$5:$AA$322,0)+4),INDEX('4℃其他'!$D$5:$D$322,MATCH(86,'4℃其他'!$AA$5:$AA$322,0))))</f>
        <v/>
      </c>
      <c xmlns="http://schemas.openxmlformats.org/spreadsheetml/2006/main" r="F107" s="18" t="str">
        <f>IF(86&gt;MAX('冷凍品'!$AA$5:$AA$322),"",HYPERLINK("#'冷凍品'!D"&amp;(MATCH(86,'冷凍品'!$AA$5:$AA$322,0)+4),INDEX('冷凍品'!$D$5:$D$322,MATCH(86,'冷凍品'!$AA$5:$AA$322,0))))</f>
        <v/>
      </c>
    </row>
    <row r="108" spans="2:6">
      <c xmlns="http://schemas.openxmlformats.org/spreadsheetml/2006/main" r="B108" s="18" t="str">
        <f>IF(87&gt;MAX('18℃'!$AA$5:$AA$319),"",HYPERLINK("#'18℃'!D"&amp;(MATCH(87,'18℃'!$AA$5:$AA$319,0)+4),INDEX('18℃'!$D$5:$D$319,MATCH(87,'18℃'!$AA$5:$AA$319,0))))</f>
        <v/>
      </c>
      <c xmlns="http://schemas.openxmlformats.org/spreadsheetml/2006/main" r="C108" s="18" t="str">
        <f>IF(87&gt;MAX('4℃飯'!$AA$5:$AA$319),"",HYPERLINK("#'4℃飯'!D"&amp;(MATCH(87,'4℃飯'!$AA$5:$AA$319,0)+4),INDEX('4℃飯'!$D$5:$D$319,MATCH(87,'4℃飯'!$AA$5:$AA$319,0))))</f>
        <v/>
      </c>
      <c xmlns="http://schemas.openxmlformats.org/spreadsheetml/2006/main" r="D108" s="18" t="str">
        <f>IF(87&gt;MAX('4℃麵'!$AA$5:$AA$310),"",HYPERLINK("#'4℃麵'!D"&amp;(MATCH(87,'4℃麵'!$AA$5:$AA$310,0)+4),INDEX('4℃麵'!$D$5:$D$310,MATCH(87,'4℃麵'!$AA$5:$AA$310,0))))</f>
        <v/>
      </c>
      <c xmlns="http://schemas.openxmlformats.org/spreadsheetml/2006/main" r="E108" s="18" t="str">
        <f>IF(87&gt;MAX('4℃其他'!$AA$5:$AA$322),"",HYPERLINK("#'4℃其他'!D"&amp;(MATCH(87,'4℃其他'!$AA$5:$AA$322,0)+4),INDEX('4℃其他'!$D$5:$D$322,MATCH(87,'4℃其他'!$AA$5:$AA$322,0))))</f>
        <v/>
      </c>
      <c xmlns="http://schemas.openxmlformats.org/spreadsheetml/2006/main" r="F108" s="18" t="str">
        <f>IF(87&gt;MAX('冷凍品'!$AA$5:$AA$322),"",HYPERLINK("#'冷凍品'!D"&amp;(MATCH(87,'冷凍品'!$AA$5:$AA$322,0)+4),INDEX('冷凍品'!$D$5:$D$322,MATCH(87,'冷凍品'!$AA$5:$AA$322,0))))</f>
        <v/>
      </c>
    </row>
    <row r="109" spans="2:6">
      <c xmlns="http://schemas.openxmlformats.org/spreadsheetml/2006/main" r="B109" s="18" t="str">
        <f>IF(88&gt;MAX('18℃'!$AA$5:$AA$319),"",HYPERLINK("#'18℃'!D"&amp;(MATCH(88,'18℃'!$AA$5:$AA$319,0)+4),INDEX('18℃'!$D$5:$D$319,MATCH(88,'18℃'!$AA$5:$AA$319,0))))</f>
        <v/>
      </c>
      <c xmlns="http://schemas.openxmlformats.org/spreadsheetml/2006/main" r="C109" s="18" t="str">
        <f>IF(88&gt;MAX('4℃飯'!$AA$5:$AA$319),"",HYPERLINK("#'4℃飯'!D"&amp;(MATCH(88,'4℃飯'!$AA$5:$AA$319,0)+4),INDEX('4℃飯'!$D$5:$D$319,MATCH(88,'4℃飯'!$AA$5:$AA$319,0))))</f>
        <v/>
      </c>
      <c xmlns="http://schemas.openxmlformats.org/spreadsheetml/2006/main" r="D109" s="18" t="str">
        <f>IF(88&gt;MAX('4℃麵'!$AA$5:$AA$310),"",HYPERLINK("#'4℃麵'!D"&amp;(MATCH(88,'4℃麵'!$AA$5:$AA$310,0)+4),INDEX('4℃麵'!$D$5:$D$310,MATCH(88,'4℃麵'!$AA$5:$AA$310,0))))</f>
        <v/>
      </c>
      <c xmlns="http://schemas.openxmlformats.org/spreadsheetml/2006/main" r="E109" s="18" t="str">
        <f>IF(88&gt;MAX('4℃其他'!$AA$5:$AA$322),"",HYPERLINK("#'4℃其他'!D"&amp;(MATCH(88,'4℃其他'!$AA$5:$AA$322,0)+4),INDEX('4℃其他'!$D$5:$D$322,MATCH(88,'4℃其他'!$AA$5:$AA$322,0))))</f>
        <v/>
      </c>
      <c xmlns="http://schemas.openxmlformats.org/spreadsheetml/2006/main" r="F109" s="18" t="str">
        <f>IF(88&gt;MAX('冷凍品'!$AA$5:$AA$322),"",HYPERLINK("#'冷凍品'!D"&amp;(MATCH(88,'冷凍品'!$AA$5:$AA$322,0)+4),INDEX('冷凍品'!$D$5:$D$322,MATCH(88,'冷凍品'!$AA$5:$AA$322,0))))</f>
        <v/>
      </c>
    </row>
    <row r="110" spans="2:6">
      <c xmlns="http://schemas.openxmlformats.org/spreadsheetml/2006/main" r="B110" s="18" t="str">
        <f>IF(89&gt;MAX('18℃'!$AA$5:$AA$319),"",HYPERLINK("#'18℃'!D"&amp;(MATCH(89,'18℃'!$AA$5:$AA$319,0)+4),INDEX('18℃'!$D$5:$D$319,MATCH(89,'18℃'!$AA$5:$AA$319,0))))</f>
        <v/>
      </c>
      <c xmlns="http://schemas.openxmlformats.org/spreadsheetml/2006/main" r="C110" s="18" t="str">
        <f>IF(89&gt;MAX('4℃飯'!$AA$5:$AA$319),"",HYPERLINK("#'4℃飯'!D"&amp;(MATCH(89,'4℃飯'!$AA$5:$AA$319,0)+4),INDEX('4℃飯'!$D$5:$D$319,MATCH(89,'4℃飯'!$AA$5:$AA$319,0))))</f>
        <v/>
      </c>
      <c xmlns="http://schemas.openxmlformats.org/spreadsheetml/2006/main" r="D110" s="18" t="str">
        <f>IF(89&gt;MAX('4℃麵'!$AA$5:$AA$310),"",HYPERLINK("#'4℃麵'!D"&amp;(MATCH(89,'4℃麵'!$AA$5:$AA$310,0)+4),INDEX('4℃麵'!$D$5:$D$310,MATCH(89,'4℃麵'!$AA$5:$AA$310,0))))</f>
        <v/>
      </c>
      <c xmlns="http://schemas.openxmlformats.org/spreadsheetml/2006/main" r="E110" s="18" t="str">
        <f>IF(89&gt;MAX('4℃其他'!$AA$5:$AA$322),"",HYPERLINK("#'4℃其他'!D"&amp;(MATCH(89,'4℃其他'!$AA$5:$AA$322,0)+4),INDEX('4℃其他'!$D$5:$D$322,MATCH(89,'4℃其他'!$AA$5:$AA$322,0))))</f>
        <v/>
      </c>
      <c xmlns="http://schemas.openxmlformats.org/spreadsheetml/2006/main" r="F110" s="18" t="str">
        <f>IF(89&gt;MAX('冷凍品'!$AA$5:$AA$322),"",HYPERLINK("#'冷凍品'!D"&amp;(MATCH(89,'冷凍品'!$AA$5:$AA$322,0)+4),INDEX('冷凍品'!$D$5:$D$322,MATCH(89,'冷凍品'!$AA$5:$AA$322,0))))</f>
        <v/>
      </c>
    </row>
    <row r="111" spans="2:6">
      <c xmlns="http://schemas.openxmlformats.org/spreadsheetml/2006/main" r="B111" s="18" t="str">
        <f>IF(90&gt;MAX('18℃'!$AA$5:$AA$319),"",HYPERLINK("#'18℃'!D"&amp;(MATCH(90,'18℃'!$AA$5:$AA$319,0)+4),INDEX('18℃'!$D$5:$D$319,MATCH(90,'18℃'!$AA$5:$AA$319,0))))</f>
        <v/>
      </c>
      <c xmlns="http://schemas.openxmlformats.org/spreadsheetml/2006/main" r="C111" s="18" t="str">
        <f>IF(90&gt;MAX('4℃飯'!$AA$5:$AA$319),"",HYPERLINK("#'4℃飯'!D"&amp;(MATCH(90,'4℃飯'!$AA$5:$AA$319,0)+4),INDEX('4℃飯'!$D$5:$D$319,MATCH(90,'4℃飯'!$AA$5:$AA$319,0))))</f>
        <v/>
      </c>
      <c xmlns="http://schemas.openxmlformats.org/spreadsheetml/2006/main" r="D111" s="18" t="str">
        <f>IF(90&gt;MAX('4℃麵'!$AA$5:$AA$310),"",HYPERLINK("#'4℃麵'!D"&amp;(MATCH(90,'4℃麵'!$AA$5:$AA$310,0)+4),INDEX('4℃麵'!$D$5:$D$310,MATCH(90,'4℃麵'!$AA$5:$AA$310,0))))</f>
        <v/>
      </c>
      <c xmlns="http://schemas.openxmlformats.org/spreadsheetml/2006/main" r="E111" s="18" t="str">
        <f>IF(90&gt;MAX('4℃其他'!$AA$5:$AA$322),"",HYPERLINK("#'4℃其他'!D"&amp;(MATCH(90,'4℃其他'!$AA$5:$AA$322,0)+4),INDEX('4℃其他'!$D$5:$D$322,MATCH(90,'4℃其他'!$AA$5:$AA$322,0))))</f>
        <v/>
      </c>
      <c xmlns="http://schemas.openxmlformats.org/spreadsheetml/2006/main" r="F111" s="18" t="str">
        <f>IF(90&gt;MAX('冷凍品'!$AA$5:$AA$322),"",HYPERLINK("#'冷凍品'!D"&amp;(MATCH(90,'冷凍品'!$AA$5:$AA$322,0)+4),INDEX('冷凍品'!$D$5:$D$322,MATCH(90,'冷凍品'!$AA$5:$AA$322,0))))</f>
        <v/>
      </c>
    </row>
    <row r="112" spans="2:6">
      <c xmlns="http://schemas.openxmlformats.org/spreadsheetml/2006/main" r="B112" s="18" t="str">
        <f>IF(91&gt;MAX('18℃'!$AA$5:$AA$319),"",HYPERLINK("#'18℃'!D"&amp;(MATCH(91,'18℃'!$AA$5:$AA$319,0)+4),INDEX('18℃'!$D$5:$D$319,MATCH(91,'18℃'!$AA$5:$AA$319,0))))</f>
        <v/>
      </c>
      <c xmlns="http://schemas.openxmlformats.org/spreadsheetml/2006/main" r="C112" s="18" t="str">
        <f>IF(91&gt;MAX('4℃飯'!$AA$5:$AA$319),"",HYPERLINK("#'4℃飯'!D"&amp;(MATCH(91,'4℃飯'!$AA$5:$AA$319,0)+4),INDEX('4℃飯'!$D$5:$D$319,MATCH(91,'4℃飯'!$AA$5:$AA$319,0))))</f>
        <v/>
      </c>
      <c xmlns="http://schemas.openxmlformats.org/spreadsheetml/2006/main" r="D112" s="18" t="str">
        <f>IF(91&gt;MAX('4℃麵'!$AA$5:$AA$310),"",HYPERLINK("#'4℃麵'!D"&amp;(MATCH(91,'4℃麵'!$AA$5:$AA$310,0)+4),INDEX('4℃麵'!$D$5:$D$310,MATCH(91,'4℃麵'!$AA$5:$AA$310,0))))</f>
        <v/>
      </c>
      <c xmlns="http://schemas.openxmlformats.org/spreadsheetml/2006/main" r="E112" s="18" t="str">
        <f>IF(91&gt;MAX('4℃其他'!$AA$5:$AA$322),"",HYPERLINK("#'4℃其他'!D"&amp;(MATCH(91,'4℃其他'!$AA$5:$AA$322,0)+4),INDEX('4℃其他'!$D$5:$D$322,MATCH(91,'4℃其他'!$AA$5:$AA$322,0))))</f>
        <v/>
      </c>
      <c xmlns="http://schemas.openxmlformats.org/spreadsheetml/2006/main" r="F112" s="18" t="str">
        <f>IF(91&gt;MAX('冷凍品'!$AA$5:$AA$322),"",HYPERLINK("#'冷凍品'!D"&amp;(MATCH(91,'冷凍品'!$AA$5:$AA$322,0)+4),INDEX('冷凍品'!$D$5:$D$322,MATCH(91,'冷凍品'!$AA$5:$AA$322,0))))</f>
        <v/>
      </c>
    </row>
    <row r="113" spans="2:6">
      <c xmlns="http://schemas.openxmlformats.org/spreadsheetml/2006/main" r="B113" s="18" t="str">
        <f>IF(92&gt;MAX('18℃'!$AA$5:$AA$319),"",HYPERLINK("#'18℃'!D"&amp;(MATCH(92,'18℃'!$AA$5:$AA$319,0)+4),INDEX('18℃'!$D$5:$D$319,MATCH(92,'18℃'!$AA$5:$AA$319,0))))</f>
        <v/>
      </c>
      <c xmlns="http://schemas.openxmlformats.org/spreadsheetml/2006/main" r="C113" s="18" t="str">
        <f>IF(92&gt;MAX('4℃飯'!$AA$5:$AA$319),"",HYPERLINK("#'4℃飯'!D"&amp;(MATCH(92,'4℃飯'!$AA$5:$AA$319,0)+4),INDEX('4℃飯'!$D$5:$D$319,MATCH(92,'4℃飯'!$AA$5:$AA$319,0))))</f>
        <v/>
      </c>
      <c xmlns="http://schemas.openxmlformats.org/spreadsheetml/2006/main" r="D113" s="18" t="str">
        <f>IF(92&gt;MAX('4℃麵'!$AA$5:$AA$310),"",HYPERLINK("#'4℃麵'!D"&amp;(MATCH(92,'4℃麵'!$AA$5:$AA$310,0)+4),INDEX('4℃麵'!$D$5:$D$310,MATCH(92,'4℃麵'!$AA$5:$AA$310,0))))</f>
        <v/>
      </c>
      <c xmlns="http://schemas.openxmlformats.org/spreadsheetml/2006/main" r="E113" s="18" t="str">
        <f>IF(92&gt;MAX('4℃其他'!$AA$5:$AA$322),"",HYPERLINK("#'4℃其他'!D"&amp;(MATCH(92,'4℃其他'!$AA$5:$AA$322,0)+4),INDEX('4℃其他'!$D$5:$D$322,MATCH(92,'4℃其他'!$AA$5:$AA$322,0))))</f>
        <v/>
      </c>
      <c xmlns="http://schemas.openxmlformats.org/spreadsheetml/2006/main" r="F113" s="18" t="str">
        <f>IF(92&gt;MAX('冷凍品'!$AA$5:$AA$322),"",HYPERLINK("#'冷凍品'!D"&amp;(MATCH(92,'冷凍品'!$AA$5:$AA$322,0)+4),INDEX('冷凍品'!$D$5:$D$322,MATCH(92,'冷凍品'!$AA$5:$AA$322,0))))</f>
        <v/>
      </c>
    </row>
    <row r="114" spans="2:6">
      <c xmlns="http://schemas.openxmlformats.org/spreadsheetml/2006/main" r="B114" s="18" t="str">
        <f>IF(93&gt;MAX('18℃'!$AA$5:$AA$319),"",HYPERLINK("#'18℃'!D"&amp;(MATCH(93,'18℃'!$AA$5:$AA$319,0)+4),INDEX('18℃'!$D$5:$D$319,MATCH(93,'18℃'!$AA$5:$AA$319,0))))</f>
        <v/>
      </c>
      <c xmlns="http://schemas.openxmlformats.org/spreadsheetml/2006/main" r="C114" s="18" t="str">
        <f>IF(93&gt;MAX('4℃飯'!$AA$5:$AA$319),"",HYPERLINK("#'4℃飯'!D"&amp;(MATCH(93,'4℃飯'!$AA$5:$AA$319,0)+4),INDEX('4℃飯'!$D$5:$D$319,MATCH(93,'4℃飯'!$AA$5:$AA$319,0))))</f>
        <v/>
      </c>
      <c xmlns="http://schemas.openxmlformats.org/spreadsheetml/2006/main" r="D114" s="18" t="str">
        <f>IF(93&gt;MAX('4℃麵'!$AA$5:$AA$310),"",HYPERLINK("#'4℃麵'!D"&amp;(MATCH(93,'4℃麵'!$AA$5:$AA$310,0)+4),INDEX('4℃麵'!$D$5:$D$310,MATCH(93,'4℃麵'!$AA$5:$AA$310,0))))</f>
        <v/>
      </c>
      <c xmlns="http://schemas.openxmlformats.org/spreadsheetml/2006/main" r="E114" s="18" t="str">
        <f>IF(93&gt;MAX('4℃其他'!$AA$5:$AA$322),"",HYPERLINK("#'4℃其他'!D"&amp;(MATCH(93,'4℃其他'!$AA$5:$AA$322,0)+4),INDEX('4℃其他'!$D$5:$D$322,MATCH(93,'4℃其他'!$AA$5:$AA$322,0))))</f>
        <v/>
      </c>
      <c xmlns="http://schemas.openxmlformats.org/spreadsheetml/2006/main" r="F114" s="18" t="str">
        <f>IF(93&gt;MAX('冷凍品'!$AA$5:$AA$322),"",HYPERLINK("#'冷凍品'!D"&amp;(MATCH(93,'冷凍品'!$AA$5:$AA$322,0)+4),INDEX('冷凍品'!$D$5:$D$322,MATCH(93,'冷凍品'!$AA$5:$AA$322,0))))</f>
        <v/>
      </c>
    </row>
    <row r="115" spans="2:6">
      <c xmlns="http://schemas.openxmlformats.org/spreadsheetml/2006/main" r="B115" s="18" t="str">
        <f>IF(94&gt;MAX('18℃'!$AA$5:$AA$319),"",HYPERLINK("#'18℃'!D"&amp;(MATCH(94,'18℃'!$AA$5:$AA$319,0)+4),INDEX('18℃'!$D$5:$D$319,MATCH(94,'18℃'!$AA$5:$AA$319,0))))</f>
        <v/>
      </c>
      <c xmlns="http://schemas.openxmlformats.org/spreadsheetml/2006/main" r="C115" s="18" t="str">
        <f>IF(94&gt;MAX('4℃飯'!$AA$5:$AA$319),"",HYPERLINK("#'4℃飯'!D"&amp;(MATCH(94,'4℃飯'!$AA$5:$AA$319,0)+4),INDEX('4℃飯'!$D$5:$D$319,MATCH(94,'4℃飯'!$AA$5:$AA$319,0))))</f>
        <v/>
      </c>
      <c xmlns="http://schemas.openxmlformats.org/spreadsheetml/2006/main" r="D115" s="18" t="str">
        <f>IF(94&gt;MAX('4℃麵'!$AA$5:$AA$310),"",HYPERLINK("#'4℃麵'!D"&amp;(MATCH(94,'4℃麵'!$AA$5:$AA$310,0)+4),INDEX('4℃麵'!$D$5:$D$310,MATCH(94,'4℃麵'!$AA$5:$AA$310,0))))</f>
        <v/>
      </c>
      <c xmlns="http://schemas.openxmlformats.org/spreadsheetml/2006/main" r="E115" s="18" t="str">
        <f>IF(94&gt;MAX('4℃其他'!$AA$5:$AA$322),"",HYPERLINK("#'4℃其他'!D"&amp;(MATCH(94,'4℃其他'!$AA$5:$AA$322,0)+4),INDEX('4℃其他'!$D$5:$D$322,MATCH(94,'4℃其他'!$AA$5:$AA$322,0))))</f>
        <v/>
      </c>
      <c xmlns="http://schemas.openxmlformats.org/spreadsheetml/2006/main" r="F115" s="18" t="str">
        <f>IF(94&gt;MAX('冷凍品'!$AA$5:$AA$322),"",HYPERLINK("#'冷凍品'!D"&amp;(MATCH(94,'冷凍品'!$AA$5:$AA$322,0)+4),INDEX('冷凍品'!$D$5:$D$322,MATCH(94,'冷凍品'!$AA$5:$AA$322,0))))</f>
        <v/>
      </c>
    </row>
    <row r="116" spans="2:6">
      <c xmlns="http://schemas.openxmlformats.org/spreadsheetml/2006/main" r="B116" s="18" t="str">
        <f>IF(95&gt;MAX('18℃'!$AA$5:$AA$319),"",HYPERLINK("#'18℃'!D"&amp;(MATCH(95,'18℃'!$AA$5:$AA$319,0)+4),INDEX('18℃'!$D$5:$D$319,MATCH(95,'18℃'!$AA$5:$AA$319,0))))</f>
        <v/>
      </c>
      <c xmlns="http://schemas.openxmlformats.org/spreadsheetml/2006/main" r="C116" s="18" t="str">
        <f>IF(95&gt;MAX('4℃飯'!$AA$5:$AA$319),"",HYPERLINK("#'4℃飯'!D"&amp;(MATCH(95,'4℃飯'!$AA$5:$AA$319,0)+4),INDEX('4℃飯'!$D$5:$D$319,MATCH(95,'4℃飯'!$AA$5:$AA$319,0))))</f>
        <v/>
      </c>
      <c xmlns="http://schemas.openxmlformats.org/spreadsheetml/2006/main" r="D116" s="18" t="str">
        <f>IF(95&gt;MAX('4℃麵'!$AA$5:$AA$310),"",HYPERLINK("#'4℃麵'!D"&amp;(MATCH(95,'4℃麵'!$AA$5:$AA$310,0)+4),INDEX('4℃麵'!$D$5:$D$310,MATCH(95,'4℃麵'!$AA$5:$AA$310,0))))</f>
        <v/>
      </c>
      <c xmlns="http://schemas.openxmlformats.org/spreadsheetml/2006/main" r="E116" s="18" t="str">
        <f>IF(95&gt;MAX('4℃其他'!$AA$5:$AA$322),"",HYPERLINK("#'4℃其他'!D"&amp;(MATCH(95,'4℃其他'!$AA$5:$AA$322,0)+4),INDEX('4℃其他'!$D$5:$D$322,MATCH(95,'4℃其他'!$AA$5:$AA$322,0))))</f>
        <v/>
      </c>
      <c xmlns="http://schemas.openxmlformats.org/spreadsheetml/2006/main" r="F116" s="18" t="str">
        <f>IF(95&gt;MAX('冷凍品'!$AA$5:$AA$322),"",HYPERLINK("#'冷凍品'!D"&amp;(MATCH(95,'冷凍品'!$AA$5:$AA$322,0)+4),INDEX('冷凍品'!$D$5:$D$322,MATCH(95,'冷凍品'!$AA$5:$AA$322,0))))</f>
        <v/>
      </c>
    </row>
    <row r="117" spans="2:6">
      <c xmlns="http://schemas.openxmlformats.org/spreadsheetml/2006/main" r="B117" s="18" t="str">
        <f>IF(96&gt;MAX('18℃'!$AA$5:$AA$319),"",HYPERLINK("#'18℃'!D"&amp;(MATCH(96,'18℃'!$AA$5:$AA$319,0)+4),INDEX('18℃'!$D$5:$D$319,MATCH(96,'18℃'!$AA$5:$AA$319,0))))</f>
        <v/>
      </c>
      <c xmlns="http://schemas.openxmlformats.org/spreadsheetml/2006/main" r="C117" s="18" t="str">
        <f>IF(96&gt;MAX('4℃飯'!$AA$5:$AA$319),"",HYPERLINK("#'4℃飯'!D"&amp;(MATCH(96,'4℃飯'!$AA$5:$AA$319,0)+4),INDEX('4℃飯'!$D$5:$D$319,MATCH(96,'4℃飯'!$AA$5:$AA$319,0))))</f>
        <v/>
      </c>
      <c xmlns="http://schemas.openxmlformats.org/spreadsheetml/2006/main" r="D117" s="18" t="str">
        <f>IF(96&gt;MAX('4℃麵'!$AA$5:$AA$310),"",HYPERLINK("#'4℃麵'!D"&amp;(MATCH(96,'4℃麵'!$AA$5:$AA$310,0)+4),INDEX('4℃麵'!$D$5:$D$310,MATCH(96,'4℃麵'!$AA$5:$AA$310,0))))</f>
        <v/>
      </c>
      <c xmlns="http://schemas.openxmlformats.org/spreadsheetml/2006/main" r="E117" s="18" t="str">
        <f>IF(96&gt;MAX('4℃其他'!$AA$5:$AA$322),"",HYPERLINK("#'4℃其他'!D"&amp;(MATCH(96,'4℃其他'!$AA$5:$AA$322,0)+4),INDEX('4℃其他'!$D$5:$D$322,MATCH(96,'4℃其他'!$AA$5:$AA$322,0))))</f>
        <v/>
      </c>
      <c xmlns="http://schemas.openxmlformats.org/spreadsheetml/2006/main" r="F117" s="18" t="str">
        <f>IF(96&gt;MAX('冷凍品'!$AA$5:$AA$322),"",HYPERLINK("#'冷凍品'!D"&amp;(MATCH(96,'冷凍品'!$AA$5:$AA$322,0)+4),INDEX('冷凍品'!$D$5:$D$322,MATCH(96,'冷凍品'!$AA$5:$AA$322,0))))</f>
        <v/>
      </c>
    </row>
    <row r="118" spans="2:6">
      <c xmlns="http://schemas.openxmlformats.org/spreadsheetml/2006/main" r="B118" s="18" t="str">
        <f>IF(97&gt;MAX('18℃'!$AA$5:$AA$319),"",HYPERLINK("#'18℃'!D"&amp;(MATCH(97,'18℃'!$AA$5:$AA$319,0)+4),INDEX('18℃'!$D$5:$D$319,MATCH(97,'18℃'!$AA$5:$AA$319,0))))</f>
        <v/>
      </c>
      <c xmlns="http://schemas.openxmlformats.org/spreadsheetml/2006/main" r="C118" s="18" t="str">
        <f>IF(97&gt;MAX('4℃飯'!$AA$5:$AA$319),"",HYPERLINK("#'4℃飯'!D"&amp;(MATCH(97,'4℃飯'!$AA$5:$AA$319,0)+4),INDEX('4℃飯'!$D$5:$D$319,MATCH(97,'4℃飯'!$AA$5:$AA$319,0))))</f>
        <v/>
      </c>
      <c xmlns="http://schemas.openxmlformats.org/spreadsheetml/2006/main" r="D118" s="18" t="str">
        <f>IF(97&gt;MAX('4℃麵'!$AA$5:$AA$310),"",HYPERLINK("#'4℃麵'!D"&amp;(MATCH(97,'4℃麵'!$AA$5:$AA$310,0)+4),INDEX('4℃麵'!$D$5:$D$310,MATCH(97,'4℃麵'!$AA$5:$AA$310,0))))</f>
        <v/>
      </c>
      <c xmlns="http://schemas.openxmlformats.org/spreadsheetml/2006/main" r="E118" s="18" t="str">
        <f>IF(97&gt;MAX('4℃其他'!$AA$5:$AA$322),"",HYPERLINK("#'4℃其他'!D"&amp;(MATCH(97,'4℃其他'!$AA$5:$AA$322,0)+4),INDEX('4℃其他'!$D$5:$D$322,MATCH(97,'4℃其他'!$AA$5:$AA$322,0))))</f>
        <v/>
      </c>
      <c xmlns="http://schemas.openxmlformats.org/spreadsheetml/2006/main" r="F118" s="18" t="str">
        <f>IF(97&gt;MAX('冷凍品'!$AA$5:$AA$322),"",HYPERLINK("#'冷凍品'!D"&amp;(MATCH(97,'冷凍品'!$AA$5:$AA$322,0)+4),INDEX('冷凍品'!$D$5:$D$322,MATCH(97,'冷凍品'!$AA$5:$AA$322,0))))</f>
        <v/>
      </c>
    </row>
    <row r="119" spans="2:6">
      <c xmlns="http://schemas.openxmlformats.org/spreadsheetml/2006/main" r="B119" s="18" t="str">
        <f>IF(98&gt;MAX('18℃'!$AA$5:$AA$319),"",HYPERLINK("#'18℃'!D"&amp;(MATCH(98,'18℃'!$AA$5:$AA$319,0)+4),INDEX('18℃'!$D$5:$D$319,MATCH(98,'18℃'!$AA$5:$AA$319,0))))</f>
        <v/>
      </c>
      <c xmlns="http://schemas.openxmlformats.org/spreadsheetml/2006/main" r="C119" s="18" t="str">
        <f>IF(98&gt;MAX('4℃飯'!$AA$5:$AA$319),"",HYPERLINK("#'4℃飯'!D"&amp;(MATCH(98,'4℃飯'!$AA$5:$AA$319,0)+4),INDEX('4℃飯'!$D$5:$D$319,MATCH(98,'4℃飯'!$AA$5:$AA$319,0))))</f>
        <v/>
      </c>
      <c xmlns="http://schemas.openxmlformats.org/spreadsheetml/2006/main" r="D119" s="18" t="str">
        <f>IF(98&gt;MAX('4℃麵'!$AA$5:$AA$310),"",HYPERLINK("#'4℃麵'!D"&amp;(MATCH(98,'4℃麵'!$AA$5:$AA$310,0)+4),INDEX('4℃麵'!$D$5:$D$310,MATCH(98,'4℃麵'!$AA$5:$AA$310,0))))</f>
        <v/>
      </c>
      <c xmlns="http://schemas.openxmlformats.org/spreadsheetml/2006/main" r="E119" s="18" t="str">
        <f>IF(98&gt;MAX('4℃其他'!$AA$5:$AA$322),"",HYPERLINK("#'4℃其他'!D"&amp;(MATCH(98,'4℃其他'!$AA$5:$AA$322,0)+4),INDEX('4℃其他'!$D$5:$D$322,MATCH(98,'4℃其他'!$AA$5:$AA$322,0))))</f>
        <v/>
      </c>
      <c xmlns="http://schemas.openxmlformats.org/spreadsheetml/2006/main" r="F119" s="18" t="str">
        <f>IF(98&gt;MAX('冷凍品'!$AA$5:$AA$322),"",HYPERLINK("#'冷凍品'!D"&amp;(MATCH(98,'冷凍品'!$AA$5:$AA$322,0)+4),INDEX('冷凍品'!$D$5:$D$322,MATCH(98,'冷凍品'!$AA$5:$AA$322,0))))</f>
        <v/>
      </c>
    </row>
    <row r="120" spans="2:6">
      <c xmlns="http://schemas.openxmlformats.org/spreadsheetml/2006/main" r="B120" s="18" t="str">
        <f>IF(99&gt;MAX('18℃'!$AA$5:$AA$319),"",HYPERLINK("#'18℃'!D"&amp;(MATCH(99,'18℃'!$AA$5:$AA$319,0)+4),INDEX('18℃'!$D$5:$D$319,MATCH(99,'18℃'!$AA$5:$AA$319,0))))</f>
        <v/>
      </c>
      <c xmlns="http://schemas.openxmlformats.org/spreadsheetml/2006/main" r="C120" s="18" t="str">
        <f>IF(99&gt;MAX('4℃飯'!$AA$5:$AA$319),"",HYPERLINK("#'4℃飯'!D"&amp;(MATCH(99,'4℃飯'!$AA$5:$AA$319,0)+4),INDEX('4℃飯'!$D$5:$D$319,MATCH(99,'4℃飯'!$AA$5:$AA$319,0))))</f>
        <v/>
      </c>
      <c xmlns="http://schemas.openxmlformats.org/spreadsheetml/2006/main" r="D120" s="18" t="str">
        <f>IF(99&gt;MAX('4℃麵'!$AA$5:$AA$310),"",HYPERLINK("#'4℃麵'!D"&amp;(MATCH(99,'4℃麵'!$AA$5:$AA$310,0)+4),INDEX('4℃麵'!$D$5:$D$310,MATCH(99,'4℃麵'!$AA$5:$AA$310,0))))</f>
        <v/>
      </c>
      <c xmlns="http://schemas.openxmlformats.org/spreadsheetml/2006/main" r="E120" s="18" t="str">
        <f>IF(99&gt;MAX('4℃其他'!$AA$5:$AA$322),"",HYPERLINK("#'4℃其他'!D"&amp;(MATCH(99,'4℃其他'!$AA$5:$AA$322,0)+4),INDEX('4℃其他'!$D$5:$D$322,MATCH(99,'4℃其他'!$AA$5:$AA$322,0))))</f>
        <v/>
      </c>
      <c xmlns="http://schemas.openxmlformats.org/spreadsheetml/2006/main" r="F120" s="18" t="str">
        <f>IF(99&gt;MAX('冷凍品'!$AA$5:$AA$322),"",HYPERLINK("#'冷凍品'!D"&amp;(MATCH(99,'冷凍品'!$AA$5:$AA$322,0)+4),INDEX('冷凍品'!$D$5:$D$322,MATCH(99,'冷凍品'!$AA$5:$AA$322,0))))</f>
        <v/>
      </c>
    </row>
    <row r="121" spans="2:6">
      <c xmlns="http://schemas.openxmlformats.org/spreadsheetml/2006/main" r="B121" s="18" t="str">
        <f>IF(100&gt;MAX('18℃'!$AA$5:$AA$319),"",HYPERLINK("#'18℃'!D"&amp;(MATCH(100,'18℃'!$AA$5:$AA$319,0)+4),INDEX('18℃'!$D$5:$D$319,MATCH(100,'18℃'!$AA$5:$AA$319,0))))</f>
        <v/>
      </c>
      <c xmlns="http://schemas.openxmlformats.org/spreadsheetml/2006/main" r="C121" s="18" t="str">
        <f>IF(100&gt;MAX('4℃飯'!$AA$5:$AA$319),"",HYPERLINK("#'4℃飯'!D"&amp;(MATCH(100,'4℃飯'!$AA$5:$AA$319,0)+4),INDEX('4℃飯'!$D$5:$D$319,MATCH(100,'4℃飯'!$AA$5:$AA$319,0))))</f>
        <v/>
      </c>
      <c xmlns="http://schemas.openxmlformats.org/spreadsheetml/2006/main" r="D121" s="18" t="str">
        <f>IF(100&gt;MAX('4℃麵'!$AA$5:$AA$310),"",HYPERLINK("#'4℃麵'!D"&amp;(MATCH(100,'4℃麵'!$AA$5:$AA$310,0)+4),INDEX('4℃麵'!$D$5:$D$310,MATCH(100,'4℃麵'!$AA$5:$AA$310,0))))</f>
        <v/>
      </c>
      <c xmlns="http://schemas.openxmlformats.org/spreadsheetml/2006/main" r="E121" s="18" t="str">
        <f>IF(100&gt;MAX('4℃其他'!$AA$5:$AA$322),"",HYPERLINK("#'4℃其他'!D"&amp;(MATCH(100,'4℃其他'!$AA$5:$AA$322,0)+4),INDEX('4℃其他'!$D$5:$D$322,MATCH(100,'4℃其他'!$AA$5:$AA$322,0))))</f>
        <v/>
      </c>
      <c xmlns="http://schemas.openxmlformats.org/spreadsheetml/2006/main" r="F121" s="18" t="str">
        <f>IF(100&gt;MAX('冷凍品'!$AA$5:$AA$322),"",HYPERLINK("#'冷凍品'!D"&amp;(MATCH(100,'冷凍品'!$AA$5:$AA$322,0)+4),INDEX('冷凍品'!$D$5:$D$322,MATCH(100,'冷凍品'!$AA$5:$AA$322,0))))</f>
        <v/>
      </c>
    </row>
    <row r="122">
      <c xmlns="http://schemas.openxmlformats.org/spreadsheetml/2006/main" r="B122" s="18" t="str">
        <f>IF(101&gt;MAX('18℃'!$AA$5:$AA$319),"",HYPERLINK("#'18℃'!D"&amp;(MATCH(101,'18℃'!$AA$5:$AA$319,0)+4),INDEX('18℃'!$D$5:$D$319,MATCH(101,'18℃'!$AA$5:$AA$319,0))))</f>
        <v/>
      </c>
      <c xmlns="http://schemas.openxmlformats.org/spreadsheetml/2006/main" r="C122" s="18" t="str">
        <f>IF(101&gt;MAX('4℃飯'!$AA$5:$AA$319),"",HYPERLINK("#'4℃飯'!D"&amp;(MATCH(101,'4℃飯'!$AA$5:$AA$319,0)+4),INDEX('4℃飯'!$D$5:$D$319,MATCH(101,'4℃飯'!$AA$5:$AA$319,0))))</f>
        <v/>
      </c>
      <c xmlns="http://schemas.openxmlformats.org/spreadsheetml/2006/main" r="D122" s="18" t="str">
        <f>IF(101&gt;MAX('4℃麵'!$AA$5:$AA$310),"",HYPERLINK("#'4℃麵'!D"&amp;(MATCH(101,'4℃麵'!$AA$5:$AA$310,0)+4),INDEX('4℃麵'!$D$5:$D$310,MATCH(101,'4℃麵'!$AA$5:$AA$310,0))))</f>
        <v/>
      </c>
      <c xmlns="http://schemas.openxmlformats.org/spreadsheetml/2006/main" r="E122" s="18" t="str">
        <f>IF(101&gt;MAX('4℃其他'!$AA$5:$AA$322),"",HYPERLINK("#'4℃其他'!D"&amp;(MATCH(101,'4℃其他'!$AA$5:$AA$322,0)+4),INDEX('4℃其他'!$D$5:$D$322,MATCH(101,'4℃其他'!$AA$5:$AA$322,0))))</f>
        <v/>
      </c>
      <c xmlns="http://schemas.openxmlformats.org/spreadsheetml/2006/main" r="F122" s="18" t="str">
        <f>IF(101&gt;MAX('冷凍品'!$AA$5:$AA$322),"",HYPERLINK("#'冷凍品'!D"&amp;(MATCH(101,'冷凍品'!$AA$5:$AA$322,0)+4),INDEX('冷凍品'!$D$5:$D$322,MATCH(101,'冷凍品'!$AA$5:$AA$322,0))))</f>
        <v/>
      </c>
    </row>
    <row r="123">
      <c xmlns="http://schemas.openxmlformats.org/spreadsheetml/2006/main" r="B123" s="18" t="str">
        <f>IF(102&gt;MAX('18℃'!$AA$5:$AA$319),"",HYPERLINK("#'18℃'!D"&amp;(MATCH(102,'18℃'!$AA$5:$AA$319,0)+4),INDEX('18℃'!$D$5:$D$319,MATCH(102,'18℃'!$AA$5:$AA$319,0))))</f>
        <v/>
      </c>
      <c xmlns="http://schemas.openxmlformats.org/spreadsheetml/2006/main" r="C123" s="18" t="str">
        <f>IF(102&gt;MAX('4℃飯'!$AA$5:$AA$319),"",HYPERLINK("#'4℃飯'!D"&amp;(MATCH(102,'4℃飯'!$AA$5:$AA$319,0)+4),INDEX('4℃飯'!$D$5:$D$319,MATCH(102,'4℃飯'!$AA$5:$AA$319,0))))</f>
        <v/>
      </c>
      <c xmlns="http://schemas.openxmlformats.org/spreadsheetml/2006/main" r="D123" s="18" t="str">
        <f>IF(102&gt;MAX('4℃麵'!$AA$5:$AA$310),"",HYPERLINK("#'4℃麵'!D"&amp;(MATCH(102,'4℃麵'!$AA$5:$AA$310,0)+4),INDEX('4℃麵'!$D$5:$D$310,MATCH(102,'4℃麵'!$AA$5:$AA$310,0))))</f>
        <v/>
      </c>
      <c xmlns="http://schemas.openxmlformats.org/spreadsheetml/2006/main" r="E123" s="18" t="str">
        <f>IF(102&gt;MAX('4℃其他'!$AA$5:$AA$322),"",HYPERLINK("#'4℃其他'!D"&amp;(MATCH(102,'4℃其他'!$AA$5:$AA$322,0)+4),INDEX('4℃其他'!$D$5:$D$322,MATCH(102,'4℃其他'!$AA$5:$AA$322,0))))</f>
        <v/>
      </c>
      <c xmlns="http://schemas.openxmlformats.org/spreadsheetml/2006/main" r="F123" s="18" t="str">
        <f>IF(102&gt;MAX('冷凍品'!$AA$5:$AA$322),"",HYPERLINK("#'冷凍品'!D"&amp;(MATCH(102,'冷凍品'!$AA$5:$AA$322,0)+4),INDEX('冷凍品'!$D$5:$D$322,MATCH(102,'冷凍品'!$AA$5:$AA$322,0))))</f>
        <v/>
      </c>
    </row>
    <row r="124">
      <c xmlns="http://schemas.openxmlformats.org/spreadsheetml/2006/main" r="B124" s="18" t="str">
        <f>IF(103&gt;MAX('18℃'!$AA$5:$AA$319),"",HYPERLINK("#'18℃'!D"&amp;(MATCH(103,'18℃'!$AA$5:$AA$319,0)+4),INDEX('18℃'!$D$5:$D$319,MATCH(103,'18℃'!$AA$5:$AA$319,0))))</f>
        <v/>
      </c>
      <c xmlns="http://schemas.openxmlformats.org/spreadsheetml/2006/main" r="C124" s="18" t="str">
        <f>IF(103&gt;MAX('4℃飯'!$AA$5:$AA$319),"",HYPERLINK("#'4℃飯'!D"&amp;(MATCH(103,'4℃飯'!$AA$5:$AA$319,0)+4),INDEX('4℃飯'!$D$5:$D$319,MATCH(103,'4℃飯'!$AA$5:$AA$319,0))))</f>
        <v/>
      </c>
      <c xmlns="http://schemas.openxmlformats.org/spreadsheetml/2006/main" r="D124" s="18" t="str">
        <f>IF(103&gt;MAX('4℃麵'!$AA$5:$AA$310),"",HYPERLINK("#'4℃麵'!D"&amp;(MATCH(103,'4℃麵'!$AA$5:$AA$310,0)+4),INDEX('4℃麵'!$D$5:$D$310,MATCH(103,'4℃麵'!$AA$5:$AA$310,0))))</f>
        <v/>
      </c>
      <c xmlns="http://schemas.openxmlformats.org/spreadsheetml/2006/main" r="E124" s="18" t="str">
        <f>IF(103&gt;MAX('4℃其他'!$AA$5:$AA$322),"",HYPERLINK("#'4℃其他'!D"&amp;(MATCH(103,'4℃其他'!$AA$5:$AA$322,0)+4),INDEX('4℃其他'!$D$5:$D$322,MATCH(103,'4℃其他'!$AA$5:$AA$322,0))))</f>
        <v/>
      </c>
      <c xmlns="http://schemas.openxmlformats.org/spreadsheetml/2006/main" r="F124" s="18" t="str">
        <f>IF(103&gt;MAX('冷凍品'!$AA$5:$AA$322),"",HYPERLINK("#'冷凍品'!D"&amp;(MATCH(103,'冷凍品'!$AA$5:$AA$322,0)+4),INDEX('冷凍品'!$D$5:$D$322,MATCH(103,'冷凍品'!$AA$5:$AA$322,0))))</f>
        <v/>
      </c>
    </row>
    <row r="125">
      <c xmlns="http://schemas.openxmlformats.org/spreadsheetml/2006/main" r="B125" s="18" t="str">
        <f>IF(104&gt;MAX('18℃'!$AA$5:$AA$319),"",HYPERLINK("#'18℃'!D"&amp;(MATCH(104,'18℃'!$AA$5:$AA$319,0)+4),INDEX('18℃'!$D$5:$D$319,MATCH(104,'18℃'!$AA$5:$AA$319,0))))</f>
        <v/>
      </c>
      <c xmlns="http://schemas.openxmlformats.org/spreadsheetml/2006/main" r="C125" s="18" t="str">
        <f>IF(104&gt;MAX('4℃飯'!$AA$5:$AA$319),"",HYPERLINK("#'4℃飯'!D"&amp;(MATCH(104,'4℃飯'!$AA$5:$AA$319,0)+4),INDEX('4℃飯'!$D$5:$D$319,MATCH(104,'4℃飯'!$AA$5:$AA$319,0))))</f>
        <v/>
      </c>
      <c xmlns="http://schemas.openxmlformats.org/spreadsheetml/2006/main" r="D125" s="18" t="str">
        <f>IF(104&gt;MAX('4℃麵'!$AA$5:$AA$310),"",HYPERLINK("#'4℃麵'!D"&amp;(MATCH(104,'4℃麵'!$AA$5:$AA$310,0)+4),INDEX('4℃麵'!$D$5:$D$310,MATCH(104,'4℃麵'!$AA$5:$AA$310,0))))</f>
        <v/>
      </c>
      <c xmlns="http://schemas.openxmlformats.org/spreadsheetml/2006/main" r="E125" s="18" t="str">
        <f>IF(104&gt;MAX('4℃其他'!$AA$5:$AA$322),"",HYPERLINK("#'4℃其他'!D"&amp;(MATCH(104,'4℃其他'!$AA$5:$AA$322,0)+4),INDEX('4℃其他'!$D$5:$D$322,MATCH(104,'4℃其他'!$AA$5:$AA$322,0))))</f>
        <v/>
      </c>
      <c xmlns="http://schemas.openxmlformats.org/spreadsheetml/2006/main" r="F125" s="18" t="str">
        <f>IF(104&gt;MAX('冷凍品'!$AA$5:$AA$322),"",HYPERLINK("#'冷凍品'!D"&amp;(MATCH(104,'冷凍品'!$AA$5:$AA$322,0)+4),INDEX('冷凍品'!$D$5:$D$322,MATCH(104,'冷凍品'!$AA$5:$AA$322,0))))</f>
        <v/>
      </c>
    </row>
    <row r="126">
      <c xmlns="http://schemas.openxmlformats.org/spreadsheetml/2006/main" r="B126" s="18" t="str">
        <f>IF(105&gt;MAX('18℃'!$AA$5:$AA$319),"",HYPERLINK("#'18℃'!D"&amp;(MATCH(105,'18℃'!$AA$5:$AA$319,0)+4),INDEX('18℃'!$D$5:$D$319,MATCH(105,'18℃'!$AA$5:$AA$319,0))))</f>
        <v/>
      </c>
      <c xmlns="http://schemas.openxmlformats.org/spreadsheetml/2006/main" r="C126" s="18" t="str">
        <f>IF(105&gt;MAX('4℃飯'!$AA$5:$AA$319),"",HYPERLINK("#'4℃飯'!D"&amp;(MATCH(105,'4℃飯'!$AA$5:$AA$319,0)+4),INDEX('4℃飯'!$D$5:$D$319,MATCH(105,'4℃飯'!$AA$5:$AA$319,0))))</f>
        <v/>
      </c>
      <c xmlns="http://schemas.openxmlformats.org/spreadsheetml/2006/main" r="D126" s="18" t="str">
        <f>IF(105&gt;MAX('4℃麵'!$AA$5:$AA$310),"",HYPERLINK("#'4℃麵'!D"&amp;(MATCH(105,'4℃麵'!$AA$5:$AA$310,0)+4),INDEX('4℃麵'!$D$5:$D$310,MATCH(105,'4℃麵'!$AA$5:$AA$310,0))))</f>
        <v/>
      </c>
      <c xmlns="http://schemas.openxmlformats.org/spreadsheetml/2006/main" r="E126" s="18" t="str">
        <f>IF(105&gt;MAX('4℃其他'!$AA$5:$AA$322),"",HYPERLINK("#'4℃其他'!D"&amp;(MATCH(105,'4℃其他'!$AA$5:$AA$322,0)+4),INDEX('4℃其他'!$D$5:$D$322,MATCH(105,'4℃其他'!$AA$5:$AA$322,0))))</f>
        <v/>
      </c>
      <c xmlns="http://schemas.openxmlformats.org/spreadsheetml/2006/main" r="F126" s="18" t="str">
        <f>IF(105&gt;MAX('冷凍品'!$AA$5:$AA$322),"",HYPERLINK("#'冷凍品'!D"&amp;(MATCH(105,'冷凍品'!$AA$5:$AA$322,0)+4),INDEX('冷凍品'!$D$5:$D$322,MATCH(105,'冷凍品'!$AA$5:$AA$322,0))))</f>
        <v/>
      </c>
    </row>
    <row r="127">
      <c xmlns="http://schemas.openxmlformats.org/spreadsheetml/2006/main" r="B127" s="18" t="str">
        <f>IF(106&gt;MAX('18℃'!$AA$5:$AA$319),"",HYPERLINK("#'18℃'!D"&amp;(MATCH(106,'18℃'!$AA$5:$AA$319,0)+4),INDEX('18℃'!$D$5:$D$319,MATCH(106,'18℃'!$AA$5:$AA$319,0))))</f>
        <v/>
      </c>
      <c xmlns="http://schemas.openxmlformats.org/spreadsheetml/2006/main" r="C127" s="18" t="str">
        <f>IF(106&gt;MAX('4℃飯'!$AA$5:$AA$319),"",HYPERLINK("#'4℃飯'!D"&amp;(MATCH(106,'4℃飯'!$AA$5:$AA$319,0)+4),INDEX('4℃飯'!$D$5:$D$319,MATCH(106,'4℃飯'!$AA$5:$AA$319,0))))</f>
        <v/>
      </c>
      <c xmlns="http://schemas.openxmlformats.org/spreadsheetml/2006/main" r="D127" s="18" t="str">
        <f>IF(106&gt;MAX('4℃麵'!$AA$5:$AA$310),"",HYPERLINK("#'4℃麵'!D"&amp;(MATCH(106,'4℃麵'!$AA$5:$AA$310,0)+4),INDEX('4℃麵'!$D$5:$D$310,MATCH(106,'4℃麵'!$AA$5:$AA$310,0))))</f>
        <v/>
      </c>
      <c xmlns="http://schemas.openxmlformats.org/spreadsheetml/2006/main" r="E127" s="18" t="str">
        <f>IF(106&gt;MAX('4℃其他'!$AA$5:$AA$322),"",HYPERLINK("#'4℃其他'!D"&amp;(MATCH(106,'4℃其他'!$AA$5:$AA$322,0)+4),INDEX('4℃其他'!$D$5:$D$322,MATCH(106,'4℃其他'!$AA$5:$AA$322,0))))</f>
        <v/>
      </c>
      <c xmlns="http://schemas.openxmlformats.org/spreadsheetml/2006/main" r="F127" s="18" t="str">
        <f>IF(106&gt;MAX('冷凍品'!$AA$5:$AA$322),"",HYPERLINK("#'冷凍品'!D"&amp;(MATCH(106,'冷凍品'!$AA$5:$AA$322,0)+4),INDEX('冷凍品'!$D$5:$D$322,MATCH(106,'冷凍品'!$AA$5:$AA$322,0))))</f>
        <v/>
      </c>
    </row>
    <row r="128">
      <c xmlns="http://schemas.openxmlformats.org/spreadsheetml/2006/main" r="B128" s="18" t="str">
        <f>IF(107&gt;MAX('18℃'!$AA$5:$AA$319),"",HYPERLINK("#'18℃'!D"&amp;(MATCH(107,'18℃'!$AA$5:$AA$319,0)+4),INDEX('18℃'!$D$5:$D$319,MATCH(107,'18℃'!$AA$5:$AA$319,0))))</f>
        <v/>
      </c>
      <c xmlns="http://schemas.openxmlformats.org/spreadsheetml/2006/main" r="C128" s="18" t="str">
        <f>IF(107&gt;MAX('4℃飯'!$AA$5:$AA$319),"",HYPERLINK("#'4℃飯'!D"&amp;(MATCH(107,'4℃飯'!$AA$5:$AA$319,0)+4),INDEX('4℃飯'!$D$5:$D$319,MATCH(107,'4℃飯'!$AA$5:$AA$319,0))))</f>
        <v/>
      </c>
      <c xmlns="http://schemas.openxmlformats.org/spreadsheetml/2006/main" r="D128" s="18" t="str">
        <f>IF(107&gt;MAX('4℃麵'!$AA$5:$AA$310),"",HYPERLINK("#'4℃麵'!D"&amp;(MATCH(107,'4℃麵'!$AA$5:$AA$310,0)+4),INDEX('4℃麵'!$D$5:$D$310,MATCH(107,'4℃麵'!$AA$5:$AA$310,0))))</f>
        <v/>
      </c>
      <c xmlns="http://schemas.openxmlformats.org/spreadsheetml/2006/main" r="E128" s="18" t="str">
        <f>IF(107&gt;MAX('4℃其他'!$AA$5:$AA$322),"",HYPERLINK("#'4℃其他'!D"&amp;(MATCH(107,'4℃其他'!$AA$5:$AA$322,0)+4),INDEX('4℃其他'!$D$5:$D$322,MATCH(107,'4℃其他'!$AA$5:$AA$322,0))))</f>
        <v/>
      </c>
      <c xmlns="http://schemas.openxmlformats.org/spreadsheetml/2006/main" r="F128" s="18" t="str">
        <f>IF(107&gt;MAX('冷凍品'!$AA$5:$AA$322),"",HYPERLINK("#'冷凍品'!D"&amp;(MATCH(107,'冷凍品'!$AA$5:$AA$322,0)+4),INDEX('冷凍品'!$D$5:$D$322,MATCH(107,'冷凍品'!$AA$5:$AA$322,0))))</f>
        <v/>
      </c>
    </row>
    <row r="129">
      <c xmlns="http://schemas.openxmlformats.org/spreadsheetml/2006/main" r="B129" s="18" t="str">
        <f>IF(108&gt;MAX('18℃'!$AA$5:$AA$319),"",HYPERLINK("#'18℃'!D"&amp;(MATCH(108,'18℃'!$AA$5:$AA$319,0)+4),INDEX('18℃'!$D$5:$D$319,MATCH(108,'18℃'!$AA$5:$AA$319,0))))</f>
        <v/>
      </c>
      <c xmlns="http://schemas.openxmlformats.org/spreadsheetml/2006/main" r="C129" s="18" t="str">
        <f>IF(108&gt;MAX('4℃飯'!$AA$5:$AA$319),"",HYPERLINK("#'4℃飯'!D"&amp;(MATCH(108,'4℃飯'!$AA$5:$AA$319,0)+4),INDEX('4℃飯'!$D$5:$D$319,MATCH(108,'4℃飯'!$AA$5:$AA$319,0))))</f>
        <v/>
      </c>
      <c xmlns="http://schemas.openxmlformats.org/spreadsheetml/2006/main" r="D129" s="18" t="str">
        <f>IF(108&gt;MAX('4℃麵'!$AA$5:$AA$310),"",HYPERLINK("#'4℃麵'!D"&amp;(MATCH(108,'4℃麵'!$AA$5:$AA$310,0)+4),INDEX('4℃麵'!$D$5:$D$310,MATCH(108,'4℃麵'!$AA$5:$AA$310,0))))</f>
        <v/>
      </c>
      <c xmlns="http://schemas.openxmlformats.org/spreadsheetml/2006/main" r="E129" s="18" t="str">
        <f>IF(108&gt;MAX('4℃其他'!$AA$5:$AA$322),"",HYPERLINK("#'4℃其他'!D"&amp;(MATCH(108,'4℃其他'!$AA$5:$AA$322,0)+4),INDEX('4℃其他'!$D$5:$D$322,MATCH(108,'4℃其他'!$AA$5:$AA$322,0))))</f>
        <v/>
      </c>
      <c xmlns="http://schemas.openxmlformats.org/spreadsheetml/2006/main" r="F129" s="18" t="str">
        <f>IF(108&gt;MAX('冷凍品'!$AA$5:$AA$322),"",HYPERLINK("#'冷凍品'!D"&amp;(MATCH(108,'冷凍品'!$AA$5:$AA$322,0)+4),INDEX('冷凍品'!$D$5:$D$322,MATCH(108,'冷凍品'!$AA$5:$AA$322,0))))</f>
        <v/>
      </c>
    </row>
    <row r="130">
      <c xmlns="http://schemas.openxmlformats.org/spreadsheetml/2006/main" r="B130" s="18" t="str">
        <f>IF(109&gt;MAX('18℃'!$AA$5:$AA$319),"",HYPERLINK("#'18℃'!D"&amp;(MATCH(109,'18℃'!$AA$5:$AA$319,0)+4),INDEX('18℃'!$D$5:$D$319,MATCH(109,'18℃'!$AA$5:$AA$319,0))))</f>
        <v/>
      </c>
      <c xmlns="http://schemas.openxmlformats.org/spreadsheetml/2006/main" r="C130" s="18" t="str">
        <f>IF(109&gt;MAX('4℃飯'!$AA$5:$AA$319),"",HYPERLINK("#'4℃飯'!D"&amp;(MATCH(109,'4℃飯'!$AA$5:$AA$319,0)+4),INDEX('4℃飯'!$D$5:$D$319,MATCH(109,'4℃飯'!$AA$5:$AA$319,0))))</f>
        <v/>
      </c>
      <c xmlns="http://schemas.openxmlformats.org/spreadsheetml/2006/main" r="D130" s="18" t="str">
        <f>IF(109&gt;MAX('4℃麵'!$AA$5:$AA$310),"",HYPERLINK("#'4℃麵'!D"&amp;(MATCH(109,'4℃麵'!$AA$5:$AA$310,0)+4),INDEX('4℃麵'!$D$5:$D$310,MATCH(109,'4℃麵'!$AA$5:$AA$310,0))))</f>
        <v/>
      </c>
      <c xmlns="http://schemas.openxmlformats.org/spreadsheetml/2006/main" r="E130" s="18" t="str">
        <f>IF(109&gt;MAX('4℃其他'!$AA$5:$AA$322),"",HYPERLINK("#'4℃其他'!D"&amp;(MATCH(109,'4℃其他'!$AA$5:$AA$322,0)+4),INDEX('4℃其他'!$D$5:$D$322,MATCH(109,'4℃其他'!$AA$5:$AA$322,0))))</f>
        <v/>
      </c>
      <c xmlns="http://schemas.openxmlformats.org/spreadsheetml/2006/main" r="F130" s="18" t="str">
        <f>IF(109&gt;MAX('冷凍品'!$AA$5:$AA$322),"",HYPERLINK("#'冷凍品'!D"&amp;(MATCH(109,'冷凍品'!$AA$5:$AA$322,0)+4),INDEX('冷凍品'!$D$5:$D$322,MATCH(109,'冷凍品'!$AA$5:$AA$322,0))))</f>
        <v/>
      </c>
    </row>
    <row r="131">
      <c xmlns="http://schemas.openxmlformats.org/spreadsheetml/2006/main" r="B131" s="18" t="str">
        <f>IF(110&gt;MAX('18℃'!$AA$5:$AA$319),"",HYPERLINK("#'18℃'!D"&amp;(MATCH(110,'18℃'!$AA$5:$AA$319,0)+4),INDEX('18℃'!$D$5:$D$319,MATCH(110,'18℃'!$AA$5:$AA$319,0))))</f>
        <v/>
      </c>
      <c xmlns="http://schemas.openxmlformats.org/spreadsheetml/2006/main" r="C131" s="18" t="str">
        <f>IF(110&gt;MAX('4℃飯'!$AA$5:$AA$319),"",HYPERLINK("#'4℃飯'!D"&amp;(MATCH(110,'4℃飯'!$AA$5:$AA$319,0)+4),INDEX('4℃飯'!$D$5:$D$319,MATCH(110,'4℃飯'!$AA$5:$AA$319,0))))</f>
        <v/>
      </c>
      <c xmlns="http://schemas.openxmlformats.org/spreadsheetml/2006/main" r="D131" s="18" t="str">
        <f>IF(110&gt;MAX('4℃麵'!$AA$5:$AA$310),"",HYPERLINK("#'4℃麵'!D"&amp;(MATCH(110,'4℃麵'!$AA$5:$AA$310,0)+4),INDEX('4℃麵'!$D$5:$D$310,MATCH(110,'4℃麵'!$AA$5:$AA$310,0))))</f>
        <v/>
      </c>
      <c xmlns="http://schemas.openxmlformats.org/spreadsheetml/2006/main" r="E131" s="18" t="str">
        <f>IF(110&gt;MAX('4℃其他'!$AA$5:$AA$322),"",HYPERLINK("#'4℃其他'!D"&amp;(MATCH(110,'4℃其他'!$AA$5:$AA$322,0)+4),INDEX('4℃其他'!$D$5:$D$322,MATCH(110,'4℃其他'!$AA$5:$AA$322,0))))</f>
        <v/>
      </c>
      <c xmlns="http://schemas.openxmlformats.org/spreadsheetml/2006/main" r="F131" s="18" t="str">
        <f>IF(110&gt;MAX('冷凍品'!$AA$5:$AA$322),"",HYPERLINK("#'冷凍品'!D"&amp;(MATCH(110,'冷凍品'!$AA$5:$AA$322,0)+4),INDEX('冷凍品'!$D$5:$D$322,MATCH(110,'冷凍品'!$AA$5:$AA$322,0))))</f>
        <v/>
      </c>
    </row>
    <row r="132">
      <c xmlns="http://schemas.openxmlformats.org/spreadsheetml/2006/main" r="B132" s="18" t="str">
        <f>IF(111&gt;MAX('18℃'!$AA$5:$AA$319),"",HYPERLINK("#'18℃'!D"&amp;(MATCH(111,'18℃'!$AA$5:$AA$319,0)+4),INDEX('18℃'!$D$5:$D$319,MATCH(111,'18℃'!$AA$5:$AA$319,0))))</f>
        <v/>
      </c>
      <c xmlns="http://schemas.openxmlformats.org/spreadsheetml/2006/main" r="C132" s="18" t="str">
        <f>IF(111&gt;MAX('4℃飯'!$AA$5:$AA$319),"",HYPERLINK("#'4℃飯'!D"&amp;(MATCH(111,'4℃飯'!$AA$5:$AA$319,0)+4),INDEX('4℃飯'!$D$5:$D$319,MATCH(111,'4℃飯'!$AA$5:$AA$319,0))))</f>
        <v/>
      </c>
      <c xmlns="http://schemas.openxmlformats.org/spreadsheetml/2006/main" r="D132" s="18" t="str">
        <f>IF(111&gt;MAX('4℃麵'!$AA$5:$AA$310),"",HYPERLINK("#'4℃麵'!D"&amp;(MATCH(111,'4℃麵'!$AA$5:$AA$310,0)+4),INDEX('4℃麵'!$D$5:$D$310,MATCH(111,'4℃麵'!$AA$5:$AA$310,0))))</f>
        <v/>
      </c>
      <c xmlns="http://schemas.openxmlformats.org/spreadsheetml/2006/main" r="E132" s="18" t="str">
        <f>IF(111&gt;MAX('4℃其他'!$AA$5:$AA$322),"",HYPERLINK("#'4℃其他'!D"&amp;(MATCH(111,'4℃其他'!$AA$5:$AA$322,0)+4),INDEX('4℃其他'!$D$5:$D$322,MATCH(111,'4℃其他'!$AA$5:$AA$322,0))))</f>
        <v/>
      </c>
      <c xmlns="http://schemas.openxmlformats.org/spreadsheetml/2006/main" r="F132" s="18" t="str">
        <f>IF(111&gt;MAX('冷凍品'!$AA$5:$AA$322),"",HYPERLINK("#'冷凍品'!D"&amp;(MATCH(111,'冷凍品'!$AA$5:$AA$322,0)+4),INDEX('冷凍品'!$D$5:$D$322,MATCH(111,'冷凍品'!$AA$5:$AA$322,0))))</f>
        <v/>
      </c>
    </row>
    <row r="133">
      <c xmlns="http://schemas.openxmlformats.org/spreadsheetml/2006/main" r="B133" s="18" t="str">
        <f>IF(112&gt;MAX('18℃'!$AA$5:$AA$319),"",HYPERLINK("#'18℃'!D"&amp;(MATCH(112,'18℃'!$AA$5:$AA$319,0)+4),INDEX('18℃'!$D$5:$D$319,MATCH(112,'18℃'!$AA$5:$AA$319,0))))</f>
        <v/>
      </c>
      <c xmlns="http://schemas.openxmlformats.org/spreadsheetml/2006/main" r="C133" s="18" t="str">
        <f>IF(112&gt;MAX('4℃飯'!$AA$5:$AA$319),"",HYPERLINK("#'4℃飯'!D"&amp;(MATCH(112,'4℃飯'!$AA$5:$AA$319,0)+4),INDEX('4℃飯'!$D$5:$D$319,MATCH(112,'4℃飯'!$AA$5:$AA$319,0))))</f>
        <v/>
      </c>
      <c xmlns="http://schemas.openxmlformats.org/spreadsheetml/2006/main" r="D133" s="18" t="str">
        <f>IF(112&gt;MAX('4℃麵'!$AA$5:$AA$310),"",HYPERLINK("#'4℃麵'!D"&amp;(MATCH(112,'4℃麵'!$AA$5:$AA$310,0)+4),INDEX('4℃麵'!$D$5:$D$310,MATCH(112,'4℃麵'!$AA$5:$AA$310,0))))</f>
        <v/>
      </c>
      <c xmlns="http://schemas.openxmlformats.org/spreadsheetml/2006/main" r="E133" s="18" t="str">
        <f>IF(112&gt;MAX('4℃其他'!$AA$5:$AA$322),"",HYPERLINK("#'4℃其他'!D"&amp;(MATCH(112,'4℃其他'!$AA$5:$AA$322,0)+4),INDEX('4℃其他'!$D$5:$D$322,MATCH(112,'4℃其他'!$AA$5:$AA$322,0))))</f>
        <v/>
      </c>
      <c xmlns="http://schemas.openxmlformats.org/spreadsheetml/2006/main" r="F133" s="18" t="str">
        <f>IF(112&gt;MAX('冷凍品'!$AA$5:$AA$322),"",HYPERLINK("#'冷凍品'!D"&amp;(MATCH(112,'冷凍品'!$AA$5:$AA$322,0)+4),INDEX('冷凍品'!$D$5:$D$322,MATCH(112,'冷凍品'!$AA$5:$AA$322,0))))</f>
        <v/>
      </c>
    </row>
    <row r="134">
      <c xmlns="http://schemas.openxmlformats.org/spreadsheetml/2006/main" r="B134" s="18" t="str">
        <f>IF(113&gt;MAX('18℃'!$AA$5:$AA$319),"",HYPERLINK("#'18℃'!D"&amp;(MATCH(113,'18℃'!$AA$5:$AA$319,0)+4),INDEX('18℃'!$D$5:$D$319,MATCH(113,'18℃'!$AA$5:$AA$319,0))))</f>
        <v/>
      </c>
      <c xmlns="http://schemas.openxmlformats.org/spreadsheetml/2006/main" r="C134" s="18" t="str">
        <f>IF(113&gt;MAX('4℃飯'!$AA$5:$AA$319),"",HYPERLINK("#'4℃飯'!D"&amp;(MATCH(113,'4℃飯'!$AA$5:$AA$319,0)+4),INDEX('4℃飯'!$D$5:$D$319,MATCH(113,'4℃飯'!$AA$5:$AA$319,0))))</f>
        <v/>
      </c>
      <c xmlns="http://schemas.openxmlformats.org/spreadsheetml/2006/main" r="D134" s="18" t="str">
        <f>IF(113&gt;MAX('4℃麵'!$AA$5:$AA$310),"",HYPERLINK("#'4℃麵'!D"&amp;(MATCH(113,'4℃麵'!$AA$5:$AA$310,0)+4),INDEX('4℃麵'!$D$5:$D$310,MATCH(113,'4℃麵'!$AA$5:$AA$310,0))))</f>
        <v/>
      </c>
      <c xmlns="http://schemas.openxmlformats.org/spreadsheetml/2006/main" r="E134" s="18" t="str">
        <f>IF(113&gt;MAX('4℃其他'!$AA$5:$AA$322),"",HYPERLINK("#'4℃其他'!D"&amp;(MATCH(113,'4℃其他'!$AA$5:$AA$322,0)+4),INDEX('4℃其他'!$D$5:$D$322,MATCH(113,'4℃其他'!$AA$5:$AA$322,0))))</f>
        <v/>
      </c>
      <c xmlns="http://schemas.openxmlformats.org/spreadsheetml/2006/main" r="F134" s="18" t="str">
        <f>IF(113&gt;MAX('冷凍品'!$AA$5:$AA$322),"",HYPERLINK("#'冷凍品'!D"&amp;(MATCH(113,'冷凍品'!$AA$5:$AA$322,0)+4),INDEX('冷凍品'!$D$5:$D$322,MATCH(113,'冷凍品'!$AA$5:$AA$322,0))))</f>
        <v/>
      </c>
    </row>
    <row r="135">
      <c xmlns="http://schemas.openxmlformats.org/spreadsheetml/2006/main" r="B135" s="18" t="str">
        <f>IF(114&gt;MAX('18℃'!$AA$5:$AA$319),"",HYPERLINK("#'18℃'!D"&amp;(MATCH(114,'18℃'!$AA$5:$AA$319,0)+4),INDEX('18℃'!$D$5:$D$319,MATCH(114,'18℃'!$AA$5:$AA$319,0))))</f>
        <v/>
      </c>
      <c xmlns="http://schemas.openxmlformats.org/spreadsheetml/2006/main" r="C135" s="18" t="str">
        <f>IF(114&gt;MAX('4℃飯'!$AA$5:$AA$319),"",HYPERLINK("#'4℃飯'!D"&amp;(MATCH(114,'4℃飯'!$AA$5:$AA$319,0)+4),INDEX('4℃飯'!$D$5:$D$319,MATCH(114,'4℃飯'!$AA$5:$AA$319,0))))</f>
        <v/>
      </c>
      <c xmlns="http://schemas.openxmlformats.org/spreadsheetml/2006/main" r="D135" s="18" t="str">
        <f>IF(114&gt;MAX('4℃麵'!$AA$5:$AA$310),"",HYPERLINK("#'4℃麵'!D"&amp;(MATCH(114,'4℃麵'!$AA$5:$AA$310,0)+4),INDEX('4℃麵'!$D$5:$D$310,MATCH(114,'4℃麵'!$AA$5:$AA$310,0))))</f>
        <v/>
      </c>
      <c xmlns="http://schemas.openxmlformats.org/spreadsheetml/2006/main" r="E135" s="18" t="str">
        <f>IF(114&gt;MAX('4℃其他'!$AA$5:$AA$322),"",HYPERLINK("#'4℃其他'!D"&amp;(MATCH(114,'4℃其他'!$AA$5:$AA$322,0)+4),INDEX('4℃其他'!$D$5:$D$322,MATCH(114,'4℃其他'!$AA$5:$AA$322,0))))</f>
        <v/>
      </c>
      <c xmlns="http://schemas.openxmlformats.org/spreadsheetml/2006/main" r="F135" s="18" t="str">
        <f>IF(114&gt;MAX('冷凍品'!$AA$5:$AA$322),"",HYPERLINK("#'冷凍品'!D"&amp;(MATCH(114,'冷凍品'!$AA$5:$AA$322,0)+4),INDEX('冷凍品'!$D$5:$D$322,MATCH(114,'冷凍品'!$AA$5:$AA$322,0))))</f>
        <v/>
      </c>
    </row>
    <row r="136">
      <c xmlns="http://schemas.openxmlformats.org/spreadsheetml/2006/main" r="B136" s="18" t="str">
        <f>IF(115&gt;MAX('18℃'!$AA$5:$AA$319),"",HYPERLINK("#'18℃'!D"&amp;(MATCH(115,'18℃'!$AA$5:$AA$319,0)+4),INDEX('18℃'!$D$5:$D$319,MATCH(115,'18℃'!$AA$5:$AA$319,0))))</f>
        <v/>
      </c>
      <c xmlns="http://schemas.openxmlformats.org/spreadsheetml/2006/main" r="C136" s="18" t="str">
        <f>IF(115&gt;MAX('4℃飯'!$AA$5:$AA$319),"",HYPERLINK("#'4℃飯'!D"&amp;(MATCH(115,'4℃飯'!$AA$5:$AA$319,0)+4),INDEX('4℃飯'!$D$5:$D$319,MATCH(115,'4℃飯'!$AA$5:$AA$319,0))))</f>
        <v/>
      </c>
      <c xmlns="http://schemas.openxmlformats.org/spreadsheetml/2006/main" r="D136" s="18" t="str">
        <f>IF(115&gt;MAX('4℃麵'!$AA$5:$AA$310),"",HYPERLINK("#'4℃麵'!D"&amp;(MATCH(115,'4℃麵'!$AA$5:$AA$310,0)+4),INDEX('4℃麵'!$D$5:$D$310,MATCH(115,'4℃麵'!$AA$5:$AA$310,0))))</f>
        <v/>
      </c>
      <c xmlns="http://schemas.openxmlformats.org/spreadsheetml/2006/main" r="E136" s="18" t="str">
        <f>IF(115&gt;MAX('4℃其他'!$AA$5:$AA$322),"",HYPERLINK("#'4℃其他'!D"&amp;(MATCH(115,'4℃其他'!$AA$5:$AA$322,0)+4),INDEX('4℃其他'!$D$5:$D$322,MATCH(115,'4℃其他'!$AA$5:$AA$322,0))))</f>
        <v/>
      </c>
      <c xmlns="http://schemas.openxmlformats.org/spreadsheetml/2006/main" r="F136" s="18" t="str">
        <f>IF(115&gt;MAX('冷凍品'!$AA$5:$AA$322),"",HYPERLINK("#'冷凍品'!D"&amp;(MATCH(115,'冷凍品'!$AA$5:$AA$322,0)+4),INDEX('冷凍品'!$D$5:$D$322,MATCH(115,'冷凍品'!$AA$5:$AA$322,0))))</f>
        <v/>
      </c>
    </row>
    <row r="137">
      <c xmlns="http://schemas.openxmlformats.org/spreadsheetml/2006/main" r="B137" s="18" t="str">
        <f>IF(116&gt;MAX('18℃'!$AA$5:$AA$319),"",HYPERLINK("#'18℃'!D"&amp;(MATCH(116,'18℃'!$AA$5:$AA$319,0)+4),INDEX('18℃'!$D$5:$D$319,MATCH(116,'18℃'!$AA$5:$AA$319,0))))</f>
        <v/>
      </c>
      <c xmlns="http://schemas.openxmlformats.org/spreadsheetml/2006/main" r="C137" s="18" t="str">
        <f>IF(116&gt;MAX('4℃飯'!$AA$5:$AA$319),"",HYPERLINK("#'4℃飯'!D"&amp;(MATCH(116,'4℃飯'!$AA$5:$AA$319,0)+4),INDEX('4℃飯'!$D$5:$D$319,MATCH(116,'4℃飯'!$AA$5:$AA$319,0))))</f>
        <v/>
      </c>
      <c xmlns="http://schemas.openxmlformats.org/spreadsheetml/2006/main" r="D137" s="18" t="str">
        <f>IF(116&gt;MAX('4℃麵'!$AA$5:$AA$310),"",HYPERLINK("#'4℃麵'!D"&amp;(MATCH(116,'4℃麵'!$AA$5:$AA$310,0)+4),INDEX('4℃麵'!$D$5:$D$310,MATCH(116,'4℃麵'!$AA$5:$AA$310,0))))</f>
        <v/>
      </c>
      <c xmlns="http://schemas.openxmlformats.org/spreadsheetml/2006/main" r="E137" s="18" t="str">
        <f>IF(116&gt;MAX('4℃其他'!$AA$5:$AA$322),"",HYPERLINK("#'4℃其他'!D"&amp;(MATCH(116,'4℃其他'!$AA$5:$AA$322,0)+4),INDEX('4℃其他'!$D$5:$D$322,MATCH(116,'4℃其他'!$AA$5:$AA$322,0))))</f>
        <v/>
      </c>
      <c xmlns="http://schemas.openxmlformats.org/spreadsheetml/2006/main" r="F137" s="18" t="str">
        <f>IF(116&gt;MAX('冷凍品'!$AA$5:$AA$322),"",HYPERLINK("#'冷凍品'!D"&amp;(MATCH(116,'冷凍品'!$AA$5:$AA$322,0)+4),INDEX('冷凍品'!$D$5:$D$322,MATCH(116,'冷凍品'!$AA$5:$AA$322,0))))</f>
        <v/>
      </c>
    </row>
    <row r="138">
      <c xmlns="http://schemas.openxmlformats.org/spreadsheetml/2006/main" r="B138" s="18" t="str">
        <f>IF(117&gt;MAX('18℃'!$AA$5:$AA$319),"",HYPERLINK("#'18℃'!D"&amp;(MATCH(117,'18℃'!$AA$5:$AA$319,0)+4),INDEX('18℃'!$D$5:$D$319,MATCH(117,'18℃'!$AA$5:$AA$319,0))))</f>
        <v/>
      </c>
      <c xmlns="http://schemas.openxmlformats.org/spreadsheetml/2006/main" r="C138" s="18" t="str">
        <f>IF(117&gt;MAX('4℃飯'!$AA$5:$AA$319),"",HYPERLINK("#'4℃飯'!D"&amp;(MATCH(117,'4℃飯'!$AA$5:$AA$319,0)+4),INDEX('4℃飯'!$D$5:$D$319,MATCH(117,'4℃飯'!$AA$5:$AA$319,0))))</f>
        <v/>
      </c>
      <c xmlns="http://schemas.openxmlformats.org/spreadsheetml/2006/main" r="D138" s="18" t="str">
        <f>IF(117&gt;MAX('4℃麵'!$AA$5:$AA$310),"",HYPERLINK("#'4℃麵'!D"&amp;(MATCH(117,'4℃麵'!$AA$5:$AA$310,0)+4),INDEX('4℃麵'!$D$5:$D$310,MATCH(117,'4℃麵'!$AA$5:$AA$310,0))))</f>
        <v/>
      </c>
      <c xmlns="http://schemas.openxmlformats.org/spreadsheetml/2006/main" r="E138" s="18" t="str">
        <f>IF(117&gt;MAX('4℃其他'!$AA$5:$AA$322),"",HYPERLINK("#'4℃其他'!D"&amp;(MATCH(117,'4℃其他'!$AA$5:$AA$322,0)+4),INDEX('4℃其他'!$D$5:$D$322,MATCH(117,'4℃其他'!$AA$5:$AA$322,0))))</f>
        <v/>
      </c>
      <c xmlns="http://schemas.openxmlformats.org/spreadsheetml/2006/main" r="F138" s="18" t="str">
        <f>IF(117&gt;MAX('冷凍品'!$AA$5:$AA$322),"",HYPERLINK("#'冷凍品'!D"&amp;(MATCH(117,'冷凍品'!$AA$5:$AA$322,0)+4),INDEX('冷凍品'!$D$5:$D$322,MATCH(117,'冷凍品'!$AA$5:$AA$322,0))))</f>
        <v/>
      </c>
    </row>
    <row r="139">
      <c xmlns="http://schemas.openxmlformats.org/spreadsheetml/2006/main" r="B139" s="18" t="str">
        <f>IF(118&gt;MAX('18℃'!$AA$5:$AA$319),"",HYPERLINK("#'18℃'!D"&amp;(MATCH(118,'18℃'!$AA$5:$AA$319,0)+4),INDEX('18℃'!$D$5:$D$319,MATCH(118,'18℃'!$AA$5:$AA$319,0))))</f>
        <v/>
      </c>
      <c xmlns="http://schemas.openxmlformats.org/spreadsheetml/2006/main" r="C139" s="18" t="str">
        <f>IF(118&gt;MAX('4℃飯'!$AA$5:$AA$319),"",HYPERLINK("#'4℃飯'!D"&amp;(MATCH(118,'4℃飯'!$AA$5:$AA$319,0)+4),INDEX('4℃飯'!$D$5:$D$319,MATCH(118,'4℃飯'!$AA$5:$AA$319,0))))</f>
        <v/>
      </c>
      <c xmlns="http://schemas.openxmlformats.org/spreadsheetml/2006/main" r="D139" s="18" t="str">
        <f>IF(118&gt;MAX('4℃麵'!$AA$5:$AA$310),"",HYPERLINK("#'4℃麵'!D"&amp;(MATCH(118,'4℃麵'!$AA$5:$AA$310,0)+4),INDEX('4℃麵'!$D$5:$D$310,MATCH(118,'4℃麵'!$AA$5:$AA$310,0))))</f>
        <v/>
      </c>
      <c xmlns="http://schemas.openxmlformats.org/spreadsheetml/2006/main" r="E139" s="18" t="str">
        <f>IF(118&gt;MAX('4℃其他'!$AA$5:$AA$322),"",HYPERLINK("#'4℃其他'!D"&amp;(MATCH(118,'4℃其他'!$AA$5:$AA$322,0)+4),INDEX('4℃其他'!$D$5:$D$322,MATCH(118,'4℃其他'!$AA$5:$AA$322,0))))</f>
        <v/>
      </c>
      <c xmlns="http://schemas.openxmlformats.org/spreadsheetml/2006/main" r="F139" s="18" t="str">
        <f>IF(118&gt;MAX('冷凍品'!$AA$5:$AA$322),"",HYPERLINK("#'冷凍品'!D"&amp;(MATCH(118,'冷凍品'!$AA$5:$AA$322,0)+4),INDEX('冷凍品'!$D$5:$D$322,MATCH(118,'冷凍品'!$AA$5:$AA$322,0))))</f>
        <v/>
      </c>
    </row>
    <row r="140">
      <c xmlns="http://schemas.openxmlformats.org/spreadsheetml/2006/main" r="B140" s="18" t="str">
        <f>IF(119&gt;MAX('18℃'!$AA$5:$AA$319),"",HYPERLINK("#'18℃'!D"&amp;(MATCH(119,'18℃'!$AA$5:$AA$319,0)+4),INDEX('18℃'!$D$5:$D$319,MATCH(119,'18℃'!$AA$5:$AA$319,0))))</f>
        <v/>
      </c>
      <c xmlns="http://schemas.openxmlformats.org/spreadsheetml/2006/main" r="C140" s="18" t="str">
        <f>IF(119&gt;MAX('4℃飯'!$AA$5:$AA$319),"",HYPERLINK("#'4℃飯'!D"&amp;(MATCH(119,'4℃飯'!$AA$5:$AA$319,0)+4),INDEX('4℃飯'!$D$5:$D$319,MATCH(119,'4℃飯'!$AA$5:$AA$319,0))))</f>
        <v/>
      </c>
      <c xmlns="http://schemas.openxmlformats.org/spreadsheetml/2006/main" r="D140" s="18" t="str">
        <f>IF(119&gt;MAX('4℃麵'!$AA$5:$AA$310),"",HYPERLINK("#'4℃麵'!D"&amp;(MATCH(119,'4℃麵'!$AA$5:$AA$310,0)+4),INDEX('4℃麵'!$D$5:$D$310,MATCH(119,'4℃麵'!$AA$5:$AA$310,0))))</f>
        <v/>
      </c>
      <c xmlns="http://schemas.openxmlformats.org/spreadsheetml/2006/main" r="E140" s="18" t="str">
        <f>IF(119&gt;MAX('4℃其他'!$AA$5:$AA$322),"",HYPERLINK("#'4℃其他'!D"&amp;(MATCH(119,'4℃其他'!$AA$5:$AA$322,0)+4),INDEX('4℃其他'!$D$5:$D$322,MATCH(119,'4℃其他'!$AA$5:$AA$322,0))))</f>
        <v/>
      </c>
      <c xmlns="http://schemas.openxmlformats.org/spreadsheetml/2006/main" r="F140" s="18" t="str">
        <f>IF(119&gt;MAX('冷凍品'!$AA$5:$AA$322),"",HYPERLINK("#'冷凍品'!D"&amp;(MATCH(119,'冷凍品'!$AA$5:$AA$322,0)+4),INDEX('冷凍品'!$D$5:$D$322,MATCH(119,'冷凍品'!$AA$5:$AA$322,0))))</f>
        <v/>
      </c>
    </row>
    <row r="141">
      <c xmlns="http://schemas.openxmlformats.org/spreadsheetml/2006/main" r="B141" s="18" t="str">
        <f>IF(120&gt;MAX('18℃'!$AA$5:$AA$319),"",HYPERLINK("#'18℃'!D"&amp;(MATCH(120,'18℃'!$AA$5:$AA$319,0)+4),INDEX('18℃'!$D$5:$D$319,MATCH(120,'18℃'!$AA$5:$AA$319,0))))</f>
        <v/>
      </c>
      <c xmlns="http://schemas.openxmlformats.org/spreadsheetml/2006/main" r="C141" s="18" t="str">
        <f>IF(120&gt;MAX('4℃飯'!$AA$5:$AA$319),"",HYPERLINK("#'4℃飯'!D"&amp;(MATCH(120,'4℃飯'!$AA$5:$AA$319,0)+4),INDEX('4℃飯'!$D$5:$D$319,MATCH(120,'4℃飯'!$AA$5:$AA$319,0))))</f>
        <v/>
      </c>
      <c xmlns="http://schemas.openxmlformats.org/spreadsheetml/2006/main" r="D141" s="18" t="str">
        <f>IF(120&gt;MAX('4℃麵'!$AA$5:$AA$310),"",HYPERLINK("#'4℃麵'!D"&amp;(MATCH(120,'4℃麵'!$AA$5:$AA$310,0)+4),INDEX('4℃麵'!$D$5:$D$310,MATCH(120,'4℃麵'!$AA$5:$AA$310,0))))</f>
        <v/>
      </c>
      <c xmlns="http://schemas.openxmlformats.org/spreadsheetml/2006/main" r="E141" s="18" t="str">
        <f>IF(120&gt;MAX('4℃其他'!$AA$5:$AA$322),"",HYPERLINK("#'4℃其他'!D"&amp;(MATCH(120,'4℃其他'!$AA$5:$AA$322,0)+4),INDEX('4℃其他'!$D$5:$D$322,MATCH(120,'4℃其他'!$AA$5:$AA$322,0))))</f>
        <v/>
      </c>
      <c xmlns="http://schemas.openxmlformats.org/spreadsheetml/2006/main" r="F141" s="18" t="str">
        <f>IF(120&gt;MAX('冷凍品'!$AA$5:$AA$322),"",HYPERLINK("#'冷凍品'!D"&amp;(MATCH(120,'冷凍品'!$AA$5:$AA$322,0)+4),INDEX('冷凍品'!$D$5:$D$322,MATCH(120,'冷凍品'!$AA$5:$AA$322,0))))</f>
        <v/>
      </c>
    </row>
    <row r="142">
      <c xmlns="http://schemas.openxmlformats.org/spreadsheetml/2006/main" r="B142" s="18" t="str">
        <f>IF(121&gt;MAX('18℃'!$AA$5:$AA$319),"",HYPERLINK("#'18℃'!D"&amp;(MATCH(121,'18℃'!$AA$5:$AA$319,0)+4),INDEX('18℃'!$D$5:$D$319,MATCH(121,'18℃'!$AA$5:$AA$319,0))))</f>
        <v/>
      </c>
      <c xmlns="http://schemas.openxmlformats.org/spreadsheetml/2006/main" r="C142" s="18" t="str">
        <f>IF(121&gt;MAX('4℃飯'!$AA$5:$AA$319),"",HYPERLINK("#'4℃飯'!D"&amp;(MATCH(121,'4℃飯'!$AA$5:$AA$319,0)+4),INDEX('4℃飯'!$D$5:$D$319,MATCH(121,'4℃飯'!$AA$5:$AA$319,0))))</f>
        <v/>
      </c>
      <c xmlns="http://schemas.openxmlformats.org/spreadsheetml/2006/main" r="D142" s="18" t="str">
        <f>IF(121&gt;MAX('4℃麵'!$AA$5:$AA$310),"",HYPERLINK("#'4℃麵'!D"&amp;(MATCH(121,'4℃麵'!$AA$5:$AA$310,0)+4),INDEX('4℃麵'!$D$5:$D$310,MATCH(121,'4℃麵'!$AA$5:$AA$310,0))))</f>
        <v/>
      </c>
      <c xmlns="http://schemas.openxmlformats.org/spreadsheetml/2006/main" r="E142" s="18" t="str">
        <f>IF(121&gt;MAX('4℃其他'!$AA$5:$AA$322),"",HYPERLINK("#'4℃其他'!D"&amp;(MATCH(121,'4℃其他'!$AA$5:$AA$322,0)+4),INDEX('4℃其他'!$D$5:$D$322,MATCH(121,'4℃其他'!$AA$5:$AA$322,0))))</f>
        <v/>
      </c>
      <c xmlns="http://schemas.openxmlformats.org/spreadsheetml/2006/main" r="F142" s="18" t="str">
        <f>IF(121&gt;MAX('冷凍品'!$AA$5:$AA$322),"",HYPERLINK("#'冷凍品'!D"&amp;(MATCH(121,'冷凍品'!$AA$5:$AA$322,0)+4),INDEX('冷凍品'!$D$5:$D$322,MATCH(121,'冷凍品'!$AA$5:$AA$322,0))))</f>
        <v/>
      </c>
    </row>
    <row r="143">
      <c xmlns="http://schemas.openxmlformats.org/spreadsheetml/2006/main" r="B143" s="18" t="str">
        <f>IF(122&gt;MAX('18℃'!$AA$5:$AA$319),"",HYPERLINK("#'18℃'!D"&amp;(MATCH(122,'18℃'!$AA$5:$AA$319,0)+4),INDEX('18℃'!$D$5:$D$319,MATCH(122,'18℃'!$AA$5:$AA$319,0))))</f>
        <v/>
      </c>
      <c xmlns="http://schemas.openxmlformats.org/spreadsheetml/2006/main" r="C143" s="18" t="str">
        <f>IF(122&gt;MAX('4℃飯'!$AA$5:$AA$319),"",HYPERLINK("#'4℃飯'!D"&amp;(MATCH(122,'4℃飯'!$AA$5:$AA$319,0)+4),INDEX('4℃飯'!$D$5:$D$319,MATCH(122,'4℃飯'!$AA$5:$AA$319,0))))</f>
        <v/>
      </c>
      <c xmlns="http://schemas.openxmlformats.org/spreadsheetml/2006/main" r="D143" s="18" t="str">
        <f>IF(122&gt;MAX('4℃麵'!$AA$5:$AA$310),"",HYPERLINK("#'4℃麵'!D"&amp;(MATCH(122,'4℃麵'!$AA$5:$AA$310,0)+4),INDEX('4℃麵'!$D$5:$D$310,MATCH(122,'4℃麵'!$AA$5:$AA$310,0))))</f>
        <v/>
      </c>
      <c xmlns="http://schemas.openxmlformats.org/spreadsheetml/2006/main" r="E143" s="18" t="str">
        <f>IF(122&gt;MAX('4℃其他'!$AA$5:$AA$322),"",HYPERLINK("#'4℃其他'!D"&amp;(MATCH(122,'4℃其他'!$AA$5:$AA$322,0)+4),INDEX('4℃其他'!$D$5:$D$322,MATCH(122,'4℃其他'!$AA$5:$AA$322,0))))</f>
        <v/>
      </c>
      <c xmlns="http://schemas.openxmlformats.org/spreadsheetml/2006/main" r="F143" s="18" t="str">
        <f>IF(122&gt;MAX('冷凍品'!$AA$5:$AA$322),"",HYPERLINK("#'冷凍品'!D"&amp;(MATCH(122,'冷凍品'!$AA$5:$AA$322,0)+4),INDEX('冷凍品'!$D$5:$D$322,MATCH(122,'冷凍品'!$AA$5:$AA$322,0))))</f>
        <v/>
      </c>
    </row>
    <row r="144">
      <c xmlns="http://schemas.openxmlformats.org/spreadsheetml/2006/main" r="B144" s="18" t="str">
        <f>IF(123&gt;MAX('18℃'!$AA$5:$AA$319),"",HYPERLINK("#'18℃'!D"&amp;(MATCH(123,'18℃'!$AA$5:$AA$319,0)+4),INDEX('18℃'!$D$5:$D$319,MATCH(123,'18℃'!$AA$5:$AA$319,0))))</f>
        <v/>
      </c>
      <c xmlns="http://schemas.openxmlformats.org/spreadsheetml/2006/main" r="C144" s="18" t="str">
        <f>IF(123&gt;MAX('4℃飯'!$AA$5:$AA$319),"",HYPERLINK("#'4℃飯'!D"&amp;(MATCH(123,'4℃飯'!$AA$5:$AA$319,0)+4),INDEX('4℃飯'!$D$5:$D$319,MATCH(123,'4℃飯'!$AA$5:$AA$319,0))))</f>
        <v/>
      </c>
      <c xmlns="http://schemas.openxmlformats.org/spreadsheetml/2006/main" r="D144" s="18" t="str">
        <f>IF(123&gt;MAX('4℃麵'!$AA$5:$AA$310),"",HYPERLINK("#'4℃麵'!D"&amp;(MATCH(123,'4℃麵'!$AA$5:$AA$310,0)+4),INDEX('4℃麵'!$D$5:$D$310,MATCH(123,'4℃麵'!$AA$5:$AA$310,0))))</f>
        <v/>
      </c>
      <c xmlns="http://schemas.openxmlformats.org/spreadsheetml/2006/main" r="E144" s="18" t="str">
        <f>IF(123&gt;MAX('4℃其他'!$AA$5:$AA$322),"",HYPERLINK("#'4℃其他'!D"&amp;(MATCH(123,'4℃其他'!$AA$5:$AA$322,0)+4),INDEX('4℃其他'!$D$5:$D$322,MATCH(123,'4℃其他'!$AA$5:$AA$322,0))))</f>
        <v/>
      </c>
      <c xmlns="http://schemas.openxmlformats.org/spreadsheetml/2006/main" r="F144" s="18" t="str">
        <f>IF(123&gt;MAX('冷凍品'!$AA$5:$AA$322),"",HYPERLINK("#'冷凍品'!D"&amp;(MATCH(123,'冷凍品'!$AA$5:$AA$322,0)+4),INDEX('冷凍品'!$D$5:$D$322,MATCH(123,'冷凍品'!$AA$5:$AA$322,0))))</f>
        <v/>
      </c>
    </row>
    <row r="145">
      <c xmlns="http://schemas.openxmlformats.org/spreadsheetml/2006/main" r="B145" s="18" t="str">
        <f>IF(124&gt;MAX('18℃'!$AA$5:$AA$319),"",HYPERLINK("#'18℃'!D"&amp;(MATCH(124,'18℃'!$AA$5:$AA$319,0)+4),INDEX('18℃'!$D$5:$D$319,MATCH(124,'18℃'!$AA$5:$AA$319,0))))</f>
        <v/>
      </c>
      <c xmlns="http://schemas.openxmlformats.org/spreadsheetml/2006/main" r="C145" s="18" t="str">
        <f>IF(124&gt;MAX('4℃飯'!$AA$5:$AA$319),"",HYPERLINK("#'4℃飯'!D"&amp;(MATCH(124,'4℃飯'!$AA$5:$AA$319,0)+4),INDEX('4℃飯'!$D$5:$D$319,MATCH(124,'4℃飯'!$AA$5:$AA$319,0))))</f>
        <v/>
      </c>
      <c xmlns="http://schemas.openxmlformats.org/spreadsheetml/2006/main" r="D145" s="18" t="str">
        <f>IF(124&gt;MAX('4℃麵'!$AA$5:$AA$310),"",HYPERLINK("#'4℃麵'!D"&amp;(MATCH(124,'4℃麵'!$AA$5:$AA$310,0)+4),INDEX('4℃麵'!$D$5:$D$310,MATCH(124,'4℃麵'!$AA$5:$AA$310,0))))</f>
        <v/>
      </c>
      <c xmlns="http://schemas.openxmlformats.org/spreadsheetml/2006/main" r="E145" s="18" t="str">
        <f>IF(124&gt;MAX('4℃其他'!$AA$5:$AA$322),"",HYPERLINK("#'4℃其他'!D"&amp;(MATCH(124,'4℃其他'!$AA$5:$AA$322,0)+4),INDEX('4℃其他'!$D$5:$D$322,MATCH(124,'4℃其他'!$AA$5:$AA$322,0))))</f>
        <v/>
      </c>
      <c xmlns="http://schemas.openxmlformats.org/spreadsheetml/2006/main" r="F145" s="18" t="str">
        <f>IF(124&gt;MAX('冷凍品'!$AA$5:$AA$322),"",HYPERLINK("#'冷凍品'!D"&amp;(MATCH(124,'冷凍品'!$AA$5:$AA$322,0)+4),INDEX('冷凍品'!$D$5:$D$322,MATCH(124,'冷凍品'!$AA$5:$AA$322,0))))</f>
        <v/>
      </c>
    </row>
    <row r="146">
      <c xmlns="http://schemas.openxmlformats.org/spreadsheetml/2006/main" r="B146" s="18" t="str">
        <f>IF(125&gt;MAX('18℃'!$AA$5:$AA$319),"",HYPERLINK("#'18℃'!D"&amp;(MATCH(125,'18℃'!$AA$5:$AA$319,0)+4),INDEX('18℃'!$D$5:$D$319,MATCH(125,'18℃'!$AA$5:$AA$319,0))))</f>
        <v/>
      </c>
      <c xmlns="http://schemas.openxmlformats.org/spreadsheetml/2006/main" r="C146" s="18" t="str">
        <f>IF(125&gt;MAX('4℃飯'!$AA$5:$AA$319),"",HYPERLINK("#'4℃飯'!D"&amp;(MATCH(125,'4℃飯'!$AA$5:$AA$319,0)+4),INDEX('4℃飯'!$D$5:$D$319,MATCH(125,'4℃飯'!$AA$5:$AA$319,0))))</f>
        <v/>
      </c>
      <c xmlns="http://schemas.openxmlformats.org/spreadsheetml/2006/main" r="D146" s="18" t="str">
        <f>IF(125&gt;MAX('4℃麵'!$AA$5:$AA$310),"",HYPERLINK("#'4℃麵'!D"&amp;(MATCH(125,'4℃麵'!$AA$5:$AA$310,0)+4),INDEX('4℃麵'!$D$5:$D$310,MATCH(125,'4℃麵'!$AA$5:$AA$310,0))))</f>
        <v/>
      </c>
      <c xmlns="http://schemas.openxmlformats.org/spreadsheetml/2006/main" r="E146" s="18" t="str">
        <f>IF(125&gt;MAX('4℃其他'!$AA$5:$AA$322),"",HYPERLINK("#'4℃其他'!D"&amp;(MATCH(125,'4℃其他'!$AA$5:$AA$322,0)+4),INDEX('4℃其他'!$D$5:$D$322,MATCH(125,'4℃其他'!$AA$5:$AA$322,0))))</f>
        <v/>
      </c>
      <c xmlns="http://schemas.openxmlformats.org/spreadsheetml/2006/main" r="F146" s="18" t="str">
        <f>IF(125&gt;MAX('冷凍品'!$AA$5:$AA$322),"",HYPERLINK("#'冷凍品'!D"&amp;(MATCH(125,'冷凍品'!$AA$5:$AA$322,0)+4),INDEX('冷凍品'!$D$5:$D$322,MATCH(125,'冷凍品'!$AA$5:$AA$322,0))))</f>
        <v/>
      </c>
    </row>
    <row r="147">
      <c xmlns="http://schemas.openxmlformats.org/spreadsheetml/2006/main" r="B147" s="18" t="str">
        <f>IF(126&gt;MAX('18℃'!$AA$5:$AA$319),"",HYPERLINK("#'18℃'!D"&amp;(MATCH(126,'18℃'!$AA$5:$AA$319,0)+4),INDEX('18℃'!$D$5:$D$319,MATCH(126,'18℃'!$AA$5:$AA$319,0))))</f>
        <v/>
      </c>
      <c xmlns="http://schemas.openxmlformats.org/spreadsheetml/2006/main" r="C147" s="18" t="str">
        <f>IF(126&gt;MAX('4℃飯'!$AA$5:$AA$319),"",HYPERLINK("#'4℃飯'!D"&amp;(MATCH(126,'4℃飯'!$AA$5:$AA$319,0)+4),INDEX('4℃飯'!$D$5:$D$319,MATCH(126,'4℃飯'!$AA$5:$AA$319,0))))</f>
        <v/>
      </c>
      <c xmlns="http://schemas.openxmlformats.org/spreadsheetml/2006/main" r="D147" s="18" t="str">
        <f>IF(126&gt;MAX('4℃麵'!$AA$5:$AA$310),"",HYPERLINK("#'4℃麵'!D"&amp;(MATCH(126,'4℃麵'!$AA$5:$AA$310,0)+4),INDEX('4℃麵'!$D$5:$D$310,MATCH(126,'4℃麵'!$AA$5:$AA$310,0))))</f>
        <v/>
      </c>
      <c xmlns="http://schemas.openxmlformats.org/spreadsheetml/2006/main" r="E147" s="18" t="str">
        <f>IF(126&gt;MAX('4℃其他'!$AA$5:$AA$322),"",HYPERLINK("#'4℃其他'!D"&amp;(MATCH(126,'4℃其他'!$AA$5:$AA$322,0)+4),INDEX('4℃其他'!$D$5:$D$322,MATCH(126,'4℃其他'!$AA$5:$AA$322,0))))</f>
        <v/>
      </c>
      <c xmlns="http://schemas.openxmlformats.org/spreadsheetml/2006/main" r="F147" s="18" t="str">
        <f>IF(126&gt;MAX('冷凍品'!$AA$5:$AA$322),"",HYPERLINK("#'冷凍品'!D"&amp;(MATCH(126,'冷凍品'!$AA$5:$AA$322,0)+4),INDEX('冷凍品'!$D$5:$D$322,MATCH(126,'冷凍品'!$AA$5:$AA$322,0))))</f>
        <v/>
      </c>
    </row>
    <row r="148">
      <c xmlns="http://schemas.openxmlformats.org/spreadsheetml/2006/main" r="B148" s="18" t="str">
        <f>IF(127&gt;MAX('18℃'!$AA$5:$AA$319),"",HYPERLINK("#'18℃'!D"&amp;(MATCH(127,'18℃'!$AA$5:$AA$319,0)+4),INDEX('18℃'!$D$5:$D$319,MATCH(127,'18℃'!$AA$5:$AA$319,0))))</f>
        <v/>
      </c>
      <c xmlns="http://schemas.openxmlformats.org/spreadsheetml/2006/main" r="C148" s="18" t="str">
        <f>IF(127&gt;MAX('4℃飯'!$AA$5:$AA$319),"",HYPERLINK("#'4℃飯'!D"&amp;(MATCH(127,'4℃飯'!$AA$5:$AA$319,0)+4),INDEX('4℃飯'!$D$5:$D$319,MATCH(127,'4℃飯'!$AA$5:$AA$319,0))))</f>
        <v/>
      </c>
      <c xmlns="http://schemas.openxmlformats.org/spreadsheetml/2006/main" r="D148" s="18" t="str">
        <f>IF(127&gt;MAX('4℃麵'!$AA$5:$AA$310),"",HYPERLINK("#'4℃麵'!D"&amp;(MATCH(127,'4℃麵'!$AA$5:$AA$310,0)+4),INDEX('4℃麵'!$D$5:$D$310,MATCH(127,'4℃麵'!$AA$5:$AA$310,0))))</f>
        <v/>
      </c>
      <c xmlns="http://schemas.openxmlformats.org/spreadsheetml/2006/main" r="E148" s="18" t="str">
        <f>IF(127&gt;MAX('4℃其他'!$AA$5:$AA$322),"",HYPERLINK("#'4℃其他'!D"&amp;(MATCH(127,'4℃其他'!$AA$5:$AA$322,0)+4),INDEX('4℃其他'!$D$5:$D$322,MATCH(127,'4℃其他'!$AA$5:$AA$322,0))))</f>
        <v/>
      </c>
      <c xmlns="http://schemas.openxmlformats.org/spreadsheetml/2006/main" r="F148" s="18" t="str">
        <f>IF(127&gt;MAX('冷凍品'!$AA$5:$AA$322),"",HYPERLINK("#'冷凍品'!D"&amp;(MATCH(127,'冷凍品'!$AA$5:$AA$322,0)+4),INDEX('冷凍品'!$D$5:$D$322,MATCH(127,'冷凍品'!$AA$5:$AA$322,0))))</f>
        <v/>
      </c>
    </row>
    <row r="149">
      <c xmlns="http://schemas.openxmlformats.org/spreadsheetml/2006/main" r="B149" s="18" t="str">
        <f>IF(128&gt;MAX('18℃'!$AA$5:$AA$319),"",HYPERLINK("#'18℃'!D"&amp;(MATCH(128,'18℃'!$AA$5:$AA$319,0)+4),INDEX('18℃'!$D$5:$D$319,MATCH(128,'18℃'!$AA$5:$AA$319,0))))</f>
        <v/>
      </c>
      <c xmlns="http://schemas.openxmlformats.org/spreadsheetml/2006/main" r="C149" s="18" t="str">
        <f>IF(128&gt;MAX('4℃飯'!$AA$5:$AA$319),"",HYPERLINK("#'4℃飯'!D"&amp;(MATCH(128,'4℃飯'!$AA$5:$AA$319,0)+4),INDEX('4℃飯'!$D$5:$D$319,MATCH(128,'4℃飯'!$AA$5:$AA$319,0))))</f>
        <v/>
      </c>
      <c xmlns="http://schemas.openxmlformats.org/spreadsheetml/2006/main" r="D149" s="18" t="str">
        <f>IF(128&gt;MAX('4℃麵'!$AA$5:$AA$310),"",HYPERLINK("#'4℃麵'!D"&amp;(MATCH(128,'4℃麵'!$AA$5:$AA$310,0)+4),INDEX('4℃麵'!$D$5:$D$310,MATCH(128,'4℃麵'!$AA$5:$AA$310,0))))</f>
        <v/>
      </c>
      <c xmlns="http://schemas.openxmlformats.org/spreadsheetml/2006/main" r="E149" s="18" t="str">
        <f>IF(128&gt;MAX('4℃其他'!$AA$5:$AA$322),"",HYPERLINK("#'4℃其他'!D"&amp;(MATCH(128,'4℃其他'!$AA$5:$AA$322,0)+4),INDEX('4℃其他'!$D$5:$D$322,MATCH(128,'4℃其他'!$AA$5:$AA$322,0))))</f>
        <v/>
      </c>
      <c xmlns="http://schemas.openxmlformats.org/spreadsheetml/2006/main" r="F149" s="18" t="str">
        <f>IF(128&gt;MAX('冷凍品'!$AA$5:$AA$322),"",HYPERLINK("#'冷凍品'!D"&amp;(MATCH(128,'冷凍品'!$AA$5:$AA$322,0)+4),INDEX('冷凍品'!$D$5:$D$322,MATCH(128,'冷凍品'!$AA$5:$AA$322,0))))</f>
        <v/>
      </c>
    </row>
    <row r="150">
      <c xmlns="http://schemas.openxmlformats.org/spreadsheetml/2006/main" r="B150" s="18" t="str">
        <f>IF(129&gt;MAX('18℃'!$AA$5:$AA$319),"",HYPERLINK("#'18℃'!D"&amp;(MATCH(129,'18℃'!$AA$5:$AA$319,0)+4),INDEX('18℃'!$D$5:$D$319,MATCH(129,'18℃'!$AA$5:$AA$319,0))))</f>
        <v/>
      </c>
      <c xmlns="http://schemas.openxmlformats.org/spreadsheetml/2006/main" r="C150" s="18" t="str">
        <f>IF(129&gt;MAX('4℃飯'!$AA$5:$AA$319),"",HYPERLINK("#'4℃飯'!D"&amp;(MATCH(129,'4℃飯'!$AA$5:$AA$319,0)+4),INDEX('4℃飯'!$D$5:$D$319,MATCH(129,'4℃飯'!$AA$5:$AA$319,0))))</f>
        <v/>
      </c>
      <c xmlns="http://schemas.openxmlformats.org/spreadsheetml/2006/main" r="D150" s="18" t="str">
        <f>IF(129&gt;MAX('4℃麵'!$AA$5:$AA$310),"",HYPERLINK("#'4℃麵'!D"&amp;(MATCH(129,'4℃麵'!$AA$5:$AA$310,0)+4),INDEX('4℃麵'!$D$5:$D$310,MATCH(129,'4℃麵'!$AA$5:$AA$310,0))))</f>
        <v/>
      </c>
      <c xmlns="http://schemas.openxmlformats.org/spreadsheetml/2006/main" r="E150" s="18" t="str">
        <f>IF(129&gt;MAX('4℃其他'!$AA$5:$AA$322),"",HYPERLINK("#'4℃其他'!D"&amp;(MATCH(129,'4℃其他'!$AA$5:$AA$322,0)+4),INDEX('4℃其他'!$D$5:$D$322,MATCH(129,'4℃其他'!$AA$5:$AA$322,0))))</f>
        <v/>
      </c>
      <c xmlns="http://schemas.openxmlformats.org/spreadsheetml/2006/main" r="F150" s="18" t="str">
        <f>IF(129&gt;MAX('冷凍品'!$AA$5:$AA$322),"",HYPERLINK("#'冷凍品'!D"&amp;(MATCH(129,'冷凍品'!$AA$5:$AA$322,0)+4),INDEX('冷凍品'!$D$5:$D$322,MATCH(129,'冷凍品'!$AA$5:$AA$322,0))))</f>
        <v/>
      </c>
    </row>
    <row r="151">
      <c xmlns="http://schemas.openxmlformats.org/spreadsheetml/2006/main" r="B151" s="18" t="str">
        <f>IF(130&gt;MAX('18℃'!$AA$5:$AA$319),"",HYPERLINK("#'18℃'!D"&amp;(MATCH(130,'18℃'!$AA$5:$AA$319,0)+4),INDEX('18℃'!$D$5:$D$319,MATCH(130,'18℃'!$AA$5:$AA$319,0))))</f>
        <v/>
      </c>
      <c xmlns="http://schemas.openxmlformats.org/spreadsheetml/2006/main" r="C151" s="18" t="str">
        <f>IF(130&gt;MAX('4℃飯'!$AA$5:$AA$319),"",HYPERLINK("#'4℃飯'!D"&amp;(MATCH(130,'4℃飯'!$AA$5:$AA$319,0)+4),INDEX('4℃飯'!$D$5:$D$319,MATCH(130,'4℃飯'!$AA$5:$AA$319,0))))</f>
        <v/>
      </c>
      <c xmlns="http://schemas.openxmlformats.org/spreadsheetml/2006/main" r="D151" s="18" t="str">
        <f>IF(130&gt;MAX('4℃麵'!$AA$5:$AA$310),"",HYPERLINK("#'4℃麵'!D"&amp;(MATCH(130,'4℃麵'!$AA$5:$AA$310,0)+4),INDEX('4℃麵'!$D$5:$D$310,MATCH(130,'4℃麵'!$AA$5:$AA$310,0))))</f>
        <v/>
      </c>
      <c xmlns="http://schemas.openxmlformats.org/spreadsheetml/2006/main" r="E151" s="18" t="str">
        <f>IF(130&gt;MAX('4℃其他'!$AA$5:$AA$322),"",HYPERLINK("#'4℃其他'!D"&amp;(MATCH(130,'4℃其他'!$AA$5:$AA$322,0)+4),INDEX('4℃其他'!$D$5:$D$322,MATCH(130,'4℃其他'!$AA$5:$AA$322,0))))</f>
        <v/>
      </c>
      <c xmlns="http://schemas.openxmlformats.org/spreadsheetml/2006/main" r="F151" s="18" t="str">
        <f>IF(130&gt;MAX('冷凍品'!$AA$5:$AA$322),"",HYPERLINK("#'冷凍品'!D"&amp;(MATCH(130,'冷凍品'!$AA$5:$AA$322,0)+4),INDEX('冷凍品'!$D$5:$D$322,MATCH(130,'冷凍品'!$AA$5:$AA$322,0))))</f>
        <v/>
      </c>
    </row>
    <row r="152">
      <c xmlns="http://schemas.openxmlformats.org/spreadsheetml/2006/main" r="B152" s="18" t="str">
        <f>IF(131&gt;MAX('18℃'!$AA$5:$AA$319),"",HYPERLINK("#'18℃'!D"&amp;(MATCH(131,'18℃'!$AA$5:$AA$319,0)+4),INDEX('18℃'!$D$5:$D$319,MATCH(131,'18℃'!$AA$5:$AA$319,0))))</f>
        <v/>
      </c>
      <c xmlns="http://schemas.openxmlformats.org/spreadsheetml/2006/main" r="C152" s="18" t="str">
        <f>IF(131&gt;MAX('4℃飯'!$AA$5:$AA$319),"",HYPERLINK("#'4℃飯'!D"&amp;(MATCH(131,'4℃飯'!$AA$5:$AA$319,0)+4),INDEX('4℃飯'!$D$5:$D$319,MATCH(131,'4℃飯'!$AA$5:$AA$319,0))))</f>
        <v/>
      </c>
      <c xmlns="http://schemas.openxmlformats.org/spreadsheetml/2006/main" r="D152" s="18" t="str">
        <f>IF(131&gt;MAX('4℃麵'!$AA$5:$AA$310),"",HYPERLINK("#'4℃麵'!D"&amp;(MATCH(131,'4℃麵'!$AA$5:$AA$310,0)+4),INDEX('4℃麵'!$D$5:$D$310,MATCH(131,'4℃麵'!$AA$5:$AA$310,0))))</f>
        <v/>
      </c>
      <c xmlns="http://schemas.openxmlformats.org/spreadsheetml/2006/main" r="E152" s="18" t="str">
        <f>IF(131&gt;MAX('4℃其他'!$AA$5:$AA$322),"",HYPERLINK("#'4℃其他'!D"&amp;(MATCH(131,'4℃其他'!$AA$5:$AA$322,0)+4),INDEX('4℃其他'!$D$5:$D$322,MATCH(131,'4℃其他'!$AA$5:$AA$322,0))))</f>
        <v/>
      </c>
      <c xmlns="http://schemas.openxmlformats.org/spreadsheetml/2006/main" r="F152" s="18" t="str">
        <f>IF(131&gt;MAX('冷凍品'!$AA$5:$AA$322),"",HYPERLINK("#'冷凍品'!D"&amp;(MATCH(131,'冷凍品'!$AA$5:$AA$322,0)+4),INDEX('冷凍品'!$D$5:$D$322,MATCH(131,'冷凍品'!$AA$5:$AA$322,0))))</f>
        <v/>
      </c>
    </row>
    <row r="153">
      <c xmlns="http://schemas.openxmlformats.org/spreadsheetml/2006/main" r="B153" s="18" t="str">
        <f>IF(132&gt;MAX('18℃'!$AA$5:$AA$319),"",HYPERLINK("#'18℃'!D"&amp;(MATCH(132,'18℃'!$AA$5:$AA$319,0)+4),INDEX('18℃'!$D$5:$D$319,MATCH(132,'18℃'!$AA$5:$AA$319,0))))</f>
        <v/>
      </c>
      <c xmlns="http://schemas.openxmlformats.org/spreadsheetml/2006/main" r="C153" s="18" t="str">
        <f>IF(132&gt;MAX('4℃飯'!$AA$5:$AA$319),"",HYPERLINK("#'4℃飯'!D"&amp;(MATCH(132,'4℃飯'!$AA$5:$AA$319,0)+4),INDEX('4℃飯'!$D$5:$D$319,MATCH(132,'4℃飯'!$AA$5:$AA$319,0))))</f>
        <v/>
      </c>
      <c xmlns="http://schemas.openxmlformats.org/spreadsheetml/2006/main" r="D153" s="18" t="str">
        <f>IF(132&gt;MAX('4℃麵'!$AA$5:$AA$310),"",HYPERLINK("#'4℃麵'!D"&amp;(MATCH(132,'4℃麵'!$AA$5:$AA$310,0)+4),INDEX('4℃麵'!$D$5:$D$310,MATCH(132,'4℃麵'!$AA$5:$AA$310,0))))</f>
        <v/>
      </c>
      <c xmlns="http://schemas.openxmlformats.org/spreadsheetml/2006/main" r="E153" s="18" t="str">
        <f>IF(132&gt;MAX('4℃其他'!$AA$5:$AA$322),"",HYPERLINK("#'4℃其他'!D"&amp;(MATCH(132,'4℃其他'!$AA$5:$AA$322,0)+4),INDEX('4℃其他'!$D$5:$D$322,MATCH(132,'4℃其他'!$AA$5:$AA$322,0))))</f>
        <v/>
      </c>
      <c xmlns="http://schemas.openxmlformats.org/spreadsheetml/2006/main" r="F153" s="18" t="str">
        <f>IF(132&gt;MAX('冷凍品'!$AA$5:$AA$322),"",HYPERLINK("#'冷凍品'!D"&amp;(MATCH(132,'冷凍品'!$AA$5:$AA$322,0)+4),INDEX('冷凍品'!$D$5:$D$322,MATCH(132,'冷凍品'!$AA$5:$AA$322,0))))</f>
        <v/>
      </c>
    </row>
    <row r="154">
      <c xmlns="http://schemas.openxmlformats.org/spreadsheetml/2006/main" r="B154" s="18" t="str">
        <f>IF(133&gt;MAX('18℃'!$AA$5:$AA$319),"",HYPERLINK("#'18℃'!D"&amp;(MATCH(133,'18℃'!$AA$5:$AA$319,0)+4),INDEX('18℃'!$D$5:$D$319,MATCH(133,'18℃'!$AA$5:$AA$319,0))))</f>
        <v/>
      </c>
      <c xmlns="http://schemas.openxmlformats.org/spreadsheetml/2006/main" r="C154" s="18" t="str">
        <f>IF(133&gt;MAX('4℃飯'!$AA$5:$AA$319),"",HYPERLINK("#'4℃飯'!D"&amp;(MATCH(133,'4℃飯'!$AA$5:$AA$319,0)+4),INDEX('4℃飯'!$D$5:$D$319,MATCH(133,'4℃飯'!$AA$5:$AA$319,0))))</f>
        <v/>
      </c>
      <c xmlns="http://schemas.openxmlformats.org/spreadsheetml/2006/main" r="D154" s="18" t="str">
        <f>IF(133&gt;MAX('4℃麵'!$AA$5:$AA$310),"",HYPERLINK("#'4℃麵'!D"&amp;(MATCH(133,'4℃麵'!$AA$5:$AA$310,0)+4),INDEX('4℃麵'!$D$5:$D$310,MATCH(133,'4℃麵'!$AA$5:$AA$310,0))))</f>
        <v/>
      </c>
      <c xmlns="http://schemas.openxmlformats.org/spreadsheetml/2006/main" r="E154" s="18" t="str">
        <f>IF(133&gt;MAX('4℃其他'!$AA$5:$AA$322),"",HYPERLINK("#'4℃其他'!D"&amp;(MATCH(133,'4℃其他'!$AA$5:$AA$322,0)+4),INDEX('4℃其他'!$D$5:$D$322,MATCH(133,'4℃其他'!$AA$5:$AA$322,0))))</f>
        <v/>
      </c>
      <c xmlns="http://schemas.openxmlformats.org/spreadsheetml/2006/main" r="F154" s="18" t="str">
        <f>IF(133&gt;MAX('冷凍品'!$AA$5:$AA$322),"",HYPERLINK("#'冷凍品'!D"&amp;(MATCH(133,'冷凍品'!$AA$5:$AA$322,0)+4),INDEX('冷凍品'!$D$5:$D$322,MATCH(133,'冷凍品'!$AA$5:$AA$322,0))))</f>
        <v/>
      </c>
    </row>
    <row r="155">
      <c xmlns="http://schemas.openxmlformats.org/spreadsheetml/2006/main" r="B155" s="18" t="str">
        <f>IF(134&gt;MAX('18℃'!$AA$5:$AA$319),"",HYPERLINK("#'18℃'!D"&amp;(MATCH(134,'18℃'!$AA$5:$AA$319,0)+4),INDEX('18℃'!$D$5:$D$319,MATCH(134,'18℃'!$AA$5:$AA$319,0))))</f>
        <v/>
      </c>
      <c xmlns="http://schemas.openxmlformats.org/spreadsheetml/2006/main" r="C155" s="18" t="str">
        <f>IF(134&gt;MAX('4℃飯'!$AA$5:$AA$319),"",HYPERLINK("#'4℃飯'!D"&amp;(MATCH(134,'4℃飯'!$AA$5:$AA$319,0)+4),INDEX('4℃飯'!$D$5:$D$319,MATCH(134,'4℃飯'!$AA$5:$AA$319,0))))</f>
        <v/>
      </c>
      <c xmlns="http://schemas.openxmlformats.org/spreadsheetml/2006/main" r="D155" s="18" t="str">
        <f>IF(134&gt;MAX('4℃麵'!$AA$5:$AA$310),"",HYPERLINK("#'4℃麵'!D"&amp;(MATCH(134,'4℃麵'!$AA$5:$AA$310,0)+4),INDEX('4℃麵'!$D$5:$D$310,MATCH(134,'4℃麵'!$AA$5:$AA$310,0))))</f>
        <v/>
      </c>
      <c xmlns="http://schemas.openxmlformats.org/spreadsheetml/2006/main" r="E155" s="18" t="str">
        <f>IF(134&gt;MAX('4℃其他'!$AA$5:$AA$322),"",HYPERLINK("#'4℃其他'!D"&amp;(MATCH(134,'4℃其他'!$AA$5:$AA$322,0)+4),INDEX('4℃其他'!$D$5:$D$322,MATCH(134,'4℃其他'!$AA$5:$AA$322,0))))</f>
        <v/>
      </c>
      <c xmlns="http://schemas.openxmlformats.org/spreadsheetml/2006/main" r="F155" s="18" t="str">
        <f>IF(134&gt;MAX('冷凍品'!$AA$5:$AA$322),"",HYPERLINK("#'冷凍品'!D"&amp;(MATCH(134,'冷凍品'!$AA$5:$AA$322,0)+4),INDEX('冷凍品'!$D$5:$D$322,MATCH(134,'冷凍品'!$AA$5:$AA$322,0))))</f>
        <v/>
      </c>
    </row>
    <row r="156">
      <c xmlns="http://schemas.openxmlformats.org/spreadsheetml/2006/main" r="B156" s="18" t="str">
        <f>IF(135&gt;MAX('18℃'!$AA$5:$AA$319),"",HYPERLINK("#'18℃'!D"&amp;(MATCH(135,'18℃'!$AA$5:$AA$319,0)+4),INDEX('18℃'!$D$5:$D$319,MATCH(135,'18℃'!$AA$5:$AA$319,0))))</f>
        <v/>
      </c>
      <c xmlns="http://schemas.openxmlformats.org/spreadsheetml/2006/main" r="C156" s="18" t="str">
        <f>IF(135&gt;MAX('4℃飯'!$AA$5:$AA$319),"",HYPERLINK("#'4℃飯'!D"&amp;(MATCH(135,'4℃飯'!$AA$5:$AA$319,0)+4),INDEX('4℃飯'!$D$5:$D$319,MATCH(135,'4℃飯'!$AA$5:$AA$319,0))))</f>
        <v/>
      </c>
      <c xmlns="http://schemas.openxmlformats.org/spreadsheetml/2006/main" r="D156" s="18" t="str">
        <f>IF(135&gt;MAX('4℃麵'!$AA$5:$AA$310),"",HYPERLINK("#'4℃麵'!D"&amp;(MATCH(135,'4℃麵'!$AA$5:$AA$310,0)+4),INDEX('4℃麵'!$D$5:$D$310,MATCH(135,'4℃麵'!$AA$5:$AA$310,0))))</f>
        <v/>
      </c>
      <c xmlns="http://schemas.openxmlformats.org/spreadsheetml/2006/main" r="E156" s="18" t="str">
        <f>IF(135&gt;MAX('4℃其他'!$AA$5:$AA$322),"",HYPERLINK("#'4℃其他'!D"&amp;(MATCH(135,'4℃其他'!$AA$5:$AA$322,0)+4),INDEX('4℃其他'!$D$5:$D$322,MATCH(135,'4℃其他'!$AA$5:$AA$322,0))))</f>
        <v/>
      </c>
      <c xmlns="http://schemas.openxmlformats.org/spreadsheetml/2006/main" r="F156" s="18" t="str">
        <f>IF(135&gt;MAX('冷凍品'!$AA$5:$AA$322),"",HYPERLINK("#'冷凍品'!D"&amp;(MATCH(135,'冷凍品'!$AA$5:$AA$322,0)+4),INDEX('冷凍品'!$D$5:$D$322,MATCH(135,'冷凍品'!$AA$5:$AA$322,0))))</f>
        <v/>
      </c>
    </row>
    <row r="157">
      <c xmlns="http://schemas.openxmlformats.org/spreadsheetml/2006/main" r="B157" s="18" t="str">
        <f>IF(136&gt;MAX('18℃'!$AA$5:$AA$319),"",HYPERLINK("#'18℃'!D"&amp;(MATCH(136,'18℃'!$AA$5:$AA$319,0)+4),INDEX('18℃'!$D$5:$D$319,MATCH(136,'18℃'!$AA$5:$AA$319,0))))</f>
        <v/>
      </c>
      <c xmlns="http://schemas.openxmlformats.org/spreadsheetml/2006/main" r="C157" s="18" t="str">
        <f>IF(136&gt;MAX('4℃飯'!$AA$5:$AA$319),"",HYPERLINK("#'4℃飯'!D"&amp;(MATCH(136,'4℃飯'!$AA$5:$AA$319,0)+4),INDEX('4℃飯'!$D$5:$D$319,MATCH(136,'4℃飯'!$AA$5:$AA$319,0))))</f>
        <v/>
      </c>
      <c xmlns="http://schemas.openxmlformats.org/spreadsheetml/2006/main" r="D157" s="18" t="str">
        <f>IF(136&gt;MAX('4℃麵'!$AA$5:$AA$310),"",HYPERLINK("#'4℃麵'!D"&amp;(MATCH(136,'4℃麵'!$AA$5:$AA$310,0)+4),INDEX('4℃麵'!$D$5:$D$310,MATCH(136,'4℃麵'!$AA$5:$AA$310,0))))</f>
        <v/>
      </c>
      <c xmlns="http://schemas.openxmlformats.org/spreadsheetml/2006/main" r="E157" s="18" t="str">
        <f>IF(136&gt;MAX('4℃其他'!$AA$5:$AA$322),"",HYPERLINK("#'4℃其他'!D"&amp;(MATCH(136,'4℃其他'!$AA$5:$AA$322,0)+4),INDEX('4℃其他'!$D$5:$D$322,MATCH(136,'4℃其他'!$AA$5:$AA$322,0))))</f>
        <v/>
      </c>
      <c xmlns="http://schemas.openxmlformats.org/spreadsheetml/2006/main" r="F157" s="18" t="str">
        <f>IF(136&gt;MAX('冷凍品'!$AA$5:$AA$322),"",HYPERLINK("#'冷凍品'!D"&amp;(MATCH(136,'冷凍品'!$AA$5:$AA$322,0)+4),INDEX('冷凍品'!$D$5:$D$322,MATCH(136,'冷凍品'!$AA$5:$AA$322,0))))</f>
        <v/>
      </c>
    </row>
    <row r="158">
      <c xmlns="http://schemas.openxmlformats.org/spreadsheetml/2006/main" r="B158" s="18" t="str">
        <f>IF(137&gt;MAX('18℃'!$AA$5:$AA$319),"",HYPERLINK("#'18℃'!D"&amp;(MATCH(137,'18℃'!$AA$5:$AA$319,0)+4),INDEX('18℃'!$D$5:$D$319,MATCH(137,'18℃'!$AA$5:$AA$319,0))))</f>
        <v/>
      </c>
      <c xmlns="http://schemas.openxmlformats.org/spreadsheetml/2006/main" r="C158" s="18" t="str">
        <f>IF(137&gt;MAX('4℃飯'!$AA$5:$AA$319),"",HYPERLINK("#'4℃飯'!D"&amp;(MATCH(137,'4℃飯'!$AA$5:$AA$319,0)+4),INDEX('4℃飯'!$D$5:$D$319,MATCH(137,'4℃飯'!$AA$5:$AA$319,0))))</f>
        <v/>
      </c>
      <c xmlns="http://schemas.openxmlformats.org/spreadsheetml/2006/main" r="D158" s="18" t="str">
        <f>IF(137&gt;MAX('4℃麵'!$AA$5:$AA$310),"",HYPERLINK("#'4℃麵'!D"&amp;(MATCH(137,'4℃麵'!$AA$5:$AA$310,0)+4),INDEX('4℃麵'!$D$5:$D$310,MATCH(137,'4℃麵'!$AA$5:$AA$310,0))))</f>
        <v/>
      </c>
      <c xmlns="http://schemas.openxmlformats.org/spreadsheetml/2006/main" r="E158" s="18" t="str">
        <f>IF(137&gt;MAX('4℃其他'!$AA$5:$AA$322),"",HYPERLINK("#'4℃其他'!D"&amp;(MATCH(137,'4℃其他'!$AA$5:$AA$322,0)+4),INDEX('4℃其他'!$D$5:$D$322,MATCH(137,'4℃其他'!$AA$5:$AA$322,0))))</f>
        <v/>
      </c>
      <c xmlns="http://schemas.openxmlformats.org/spreadsheetml/2006/main" r="F158" s="18" t="str">
        <f>IF(137&gt;MAX('冷凍品'!$AA$5:$AA$322),"",HYPERLINK("#'冷凍品'!D"&amp;(MATCH(137,'冷凍品'!$AA$5:$AA$322,0)+4),INDEX('冷凍品'!$D$5:$D$322,MATCH(137,'冷凍品'!$AA$5:$AA$322,0))))</f>
        <v/>
      </c>
    </row>
    <row r="159">
      <c xmlns="http://schemas.openxmlformats.org/spreadsheetml/2006/main" r="B159" s="18" t="str">
        <f>IF(138&gt;MAX('18℃'!$AA$5:$AA$319),"",HYPERLINK("#'18℃'!D"&amp;(MATCH(138,'18℃'!$AA$5:$AA$319,0)+4),INDEX('18℃'!$D$5:$D$319,MATCH(138,'18℃'!$AA$5:$AA$319,0))))</f>
        <v/>
      </c>
      <c xmlns="http://schemas.openxmlformats.org/spreadsheetml/2006/main" r="C159" s="18" t="str">
        <f>IF(138&gt;MAX('4℃飯'!$AA$5:$AA$319),"",HYPERLINK("#'4℃飯'!D"&amp;(MATCH(138,'4℃飯'!$AA$5:$AA$319,0)+4),INDEX('4℃飯'!$D$5:$D$319,MATCH(138,'4℃飯'!$AA$5:$AA$319,0))))</f>
        <v/>
      </c>
      <c xmlns="http://schemas.openxmlformats.org/spreadsheetml/2006/main" r="D159" s="18" t="str">
        <f>IF(138&gt;MAX('4℃麵'!$AA$5:$AA$310),"",HYPERLINK("#'4℃麵'!D"&amp;(MATCH(138,'4℃麵'!$AA$5:$AA$310,0)+4),INDEX('4℃麵'!$D$5:$D$310,MATCH(138,'4℃麵'!$AA$5:$AA$310,0))))</f>
        <v/>
      </c>
      <c xmlns="http://schemas.openxmlformats.org/spreadsheetml/2006/main" r="E159" s="18" t="str">
        <f>IF(138&gt;MAX('4℃其他'!$AA$5:$AA$322),"",HYPERLINK("#'4℃其他'!D"&amp;(MATCH(138,'4℃其他'!$AA$5:$AA$322,0)+4),INDEX('4℃其他'!$D$5:$D$322,MATCH(138,'4℃其他'!$AA$5:$AA$322,0))))</f>
        <v/>
      </c>
      <c xmlns="http://schemas.openxmlformats.org/spreadsheetml/2006/main" r="F159" s="18" t="str">
        <f>IF(138&gt;MAX('冷凍品'!$AA$5:$AA$322),"",HYPERLINK("#'冷凍品'!D"&amp;(MATCH(138,'冷凍品'!$AA$5:$AA$322,0)+4),INDEX('冷凍品'!$D$5:$D$322,MATCH(138,'冷凍品'!$AA$5:$AA$322,0))))</f>
        <v/>
      </c>
    </row>
    <row r="160">
      <c xmlns="http://schemas.openxmlformats.org/spreadsheetml/2006/main" r="B160" s="18" t="str">
        <f>IF(139&gt;MAX('18℃'!$AA$5:$AA$319),"",HYPERLINK("#'18℃'!D"&amp;(MATCH(139,'18℃'!$AA$5:$AA$319,0)+4),INDEX('18℃'!$D$5:$D$319,MATCH(139,'18℃'!$AA$5:$AA$319,0))))</f>
        <v/>
      </c>
      <c xmlns="http://schemas.openxmlformats.org/spreadsheetml/2006/main" r="C160" s="18" t="str">
        <f>IF(139&gt;MAX('4℃飯'!$AA$5:$AA$319),"",HYPERLINK("#'4℃飯'!D"&amp;(MATCH(139,'4℃飯'!$AA$5:$AA$319,0)+4),INDEX('4℃飯'!$D$5:$D$319,MATCH(139,'4℃飯'!$AA$5:$AA$319,0))))</f>
        <v/>
      </c>
      <c xmlns="http://schemas.openxmlformats.org/spreadsheetml/2006/main" r="D160" s="18" t="str">
        <f>IF(139&gt;MAX('4℃麵'!$AA$5:$AA$310),"",HYPERLINK("#'4℃麵'!D"&amp;(MATCH(139,'4℃麵'!$AA$5:$AA$310,0)+4),INDEX('4℃麵'!$D$5:$D$310,MATCH(139,'4℃麵'!$AA$5:$AA$310,0))))</f>
        <v/>
      </c>
      <c xmlns="http://schemas.openxmlformats.org/spreadsheetml/2006/main" r="E160" s="18" t="str">
        <f>IF(139&gt;MAX('4℃其他'!$AA$5:$AA$322),"",HYPERLINK("#'4℃其他'!D"&amp;(MATCH(139,'4℃其他'!$AA$5:$AA$322,0)+4),INDEX('4℃其他'!$D$5:$D$322,MATCH(139,'4℃其他'!$AA$5:$AA$322,0))))</f>
        <v/>
      </c>
      <c xmlns="http://schemas.openxmlformats.org/spreadsheetml/2006/main" r="F160" s="18" t="str">
        <f>IF(139&gt;MAX('冷凍品'!$AA$5:$AA$322),"",HYPERLINK("#'冷凍品'!D"&amp;(MATCH(139,'冷凍品'!$AA$5:$AA$322,0)+4),INDEX('冷凍品'!$D$5:$D$322,MATCH(139,'冷凍品'!$AA$5:$AA$322,0))))</f>
        <v/>
      </c>
    </row>
    <row r="161">
      <c xmlns="http://schemas.openxmlformats.org/spreadsheetml/2006/main" r="B161" s="18" t="str">
        <f>IF(140&gt;MAX('18℃'!$AA$5:$AA$319),"",HYPERLINK("#'18℃'!D"&amp;(MATCH(140,'18℃'!$AA$5:$AA$319,0)+4),INDEX('18℃'!$D$5:$D$319,MATCH(140,'18℃'!$AA$5:$AA$319,0))))</f>
        <v/>
      </c>
      <c xmlns="http://schemas.openxmlformats.org/spreadsheetml/2006/main" r="C161" s="18" t="str">
        <f>IF(140&gt;MAX('4℃飯'!$AA$5:$AA$319),"",HYPERLINK("#'4℃飯'!D"&amp;(MATCH(140,'4℃飯'!$AA$5:$AA$319,0)+4),INDEX('4℃飯'!$D$5:$D$319,MATCH(140,'4℃飯'!$AA$5:$AA$319,0))))</f>
        <v/>
      </c>
      <c xmlns="http://schemas.openxmlformats.org/spreadsheetml/2006/main" r="D161" s="18" t="str">
        <f>IF(140&gt;MAX('4℃麵'!$AA$5:$AA$310),"",HYPERLINK("#'4℃麵'!D"&amp;(MATCH(140,'4℃麵'!$AA$5:$AA$310,0)+4),INDEX('4℃麵'!$D$5:$D$310,MATCH(140,'4℃麵'!$AA$5:$AA$310,0))))</f>
        <v/>
      </c>
      <c xmlns="http://schemas.openxmlformats.org/spreadsheetml/2006/main" r="E161" s="18" t="str">
        <f>IF(140&gt;MAX('4℃其他'!$AA$5:$AA$322),"",HYPERLINK("#'4℃其他'!D"&amp;(MATCH(140,'4℃其他'!$AA$5:$AA$322,0)+4),INDEX('4℃其他'!$D$5:$D$322,MATCH(140,'4℃其他'!$AA$5:$AA$322,0))))</f>
        <v/>
      </c>
      <c xmlns="http://schemas.openxmlformats.org/spreadsheetml/2006/main" r="F161" s="18" t="str">
        <f>IF(140&gt;MAX('冷凍品'!$AA$5:$AA$322),"",HYPERLINK("#'冷凍品'!D"&amp;(MATCH(140,'冷凍品'!$AA$5:$AA$322,0)+4),INDEX('冷凍品'!$D$5:$D$322,MATCH(140,'冷凍品'!$AA$5:$AA$322,0))))</f>
        <v/>
      </c>
    </row>
    <row r="162">
      <c xmlns="http://schemas.openxmlformats.org/spreadsheetml/2006/main" r="B162" s="18" t="str">
        <f>IF(141&gt;MAX('18℃'!$AA$5:$AA$319),"",HYPERLINK("#'18℃'!D"&amp;(MATCH(141,'18℃'!$AA$5:$AA$319,0)+4),INDEX('18℃'!$D$5:$D$319,MATCH(141,'18℃'!$AA$5:$AA$319,0))))</f>
        <v/>
      </c>
      <c xmlns="http://schemas.openxmlformats.org/spreadsheetml/2006/main" r="C162" s="18" t="str">
        <f>IF(141&gt;MAX('4℃飯'!$AA$5:$AA$319),"",HYPERLINK("#'4℃飯'!D"&amp;(MATCH(141,'4℃飯'!$AA$5:$AA$319,0)+4),INDEX('4℃飯'!$D$5:$D$319,MATCH(141,'4℃飯'!$AA$5:$AA$319,0))))</f>
        <v/>
      </c>
      <c xmlns="http://schemas.openxmlformats.org/spreadsheetml/2006/main" r="D162" s="18" t="str">
        <f>IF(141&gt;MAX('4℃麵'!$AA$5:$AA$310),"",HYPERLINK("#'4℃麵'!D"&amp;(MATCH(141,'4℃麵'!$AA$5:$AA$310,0)+4),INDEX('4℃麵'!$D$5:$D$310,MATCH(141,'4℃麵'!$AA$5:$AA$310,0))))</f>
        <v/>
      </c>
      <c xmlns="http://schemas.openxmlformats.org/spreadsheetml/2006/main" r="E162" s="18" t="str">
        <f>IF(141&gt;MAX('4℃其他'!$AA$5:$AA$322),"",HYPERLINK("#'4℃其他'!D"&amp;(MATCH(141,'4℃其他'!$AA$5:$AA$322,0)+4),INDEX('4℃其他'!$D$5:$D$322,MATCH(141,'4℃其他'!$AA$5:$AA$322,0))))</f>
        <v/>
      </c>
      <c xmlns="http://schemas.openxmlformats.org/spreadsheetml/2006/main" r="F162" s="18" t="str">
        <f>IF(141&gt;MAX('冷凍品'!$AA$5:$AA$322),"",HYPERLINK("#'冷凍品'!D"&amp;(MATCH(141,'冷凍品'!$AA$5:$AA$322,0)+4),INDEX('冷凍品'!$D$5:$D$322,MATCH(141,'冷凍品'!$AA$5:$AA$322,0))))</f>
        <v/>
      </c>
    </row>
    <row r="163">
      <c xmlns="http://schemas.openxmlformats.org/spreadsheetml/2006/main" r="B163" s="18" t="str">
        <f>IF(142&gt;MAX('18℃'!$AA$5:$AA$319),"",HYPERLINK("#'18℃'!D"&amp;(MATCH(142,'18℃'!$AA$5:$AA$319,0)+4),INDEX('18℃'!$D$5:$D$319,MATCH(142,'18℃'!$AA$5:$AA$319,0))))</f>
        <v/>
      </c>
      <c xmlns="http://schemas.openxmlformats.org/spreadsheetml/2006/main" r="C163" s="18" t="str">
        <f>IF(142&gt;MAX('4℃飯'!$AA$5:$AA$319),"",HYPERLINK("#'4℃飯'!D"&amp;(MATCH(142,'4℃飯'!$AA$5:$AA$319,0)+4),INDEX('4℃飯'!$D$5:$D$319,MATCH(142,'4℃飯'!$AA$5:$AA$319,0))))</f>
        <v/>
      </c>
      <c xmlns="http://schemas.openxmlformats.org/spreadsheetml/2006/main" r="D163" s="18" t="str">
        <f>IF(142&gt;MAX('4℃麵'!$AA$5:$AA$310),"",HYPERLINK("#'4℃麵'!D"&amp;(MATCH(142,'4℃麵'!$AA$5:$AA$310,0)+4),INDEX('4℃麵'!$D$5:$D$310,MATCH(142,'4℃麵'!$AA$5:$AA$310,0))))</f>
        <v/>
      </c>
      <c xmlns="http://schemas.openxmlformats.org/spreadsheetml/2006/main" r="E163" s="18" t="str">
        <f>IF(142&gt;MAX('4℃其他'!$AA$5:$AA$322),"",HYPERLINK("#'4℃其他'!D"&amp;(MATCH(142,'4℃其他'!$AA$5:$AA$322,0)+4),INDEX('4℃其他'!$D$5:$D$322,MATCH(142,'4℃其他'!$AA$5:$AA$322,0))))</f>
        <v/>
      </c>
      <c xmlns="http://schemas.openxmlformats.org/spreadsheetml/2006/main" r="F163" s="18" t="str">
        <f>IF(142&gt;MAX('冷凍品'!$AA$5:$AA$322),"",HYPERLINK("#'冷凍品'!D"&amp;(MATCH(142,'冷凍品'!$AA$5:$AA$322,0)+4),INDEX('冷凍品'!$D$5:$D$322,MATCH(142,'冷凍品'!$AA$5:$AA$322,0))))</f>
        <v/>
      </c>
    </row>
    <row r="164">
      <c xmlns="http://schemas.openxmlformats.org/spreadsheetml/2006/main" r="B164" s="18" t="str">
        <f>IF(143&gt;MAX('18℃'!$AA$5:$AA$319),"",HYPERLINK("#'18℃'!D"&amp;(MATCH(143,'18℃'!$AA$5:$AA$319,0)+4),INDEX('18℃'!$D$5:$D$319,MATCH(143,'18℃'!$AA$5:$AA$319,0))))</f>
        <v/>
      </c>
      <c xmlns="http://schemas.openxmlformats.org/spreadsheetml/2006/main" r="C164" s="18" t="str">
        <f>IF(143&gt;MAX('4℃飯'!$AA$5:$AA$319),"",HYPERLINK("#'4℃飯'!D"&amp;(MATCH(143,'4℃飯'!$AA$5:$AA$319,0)+4),INDEX('4℃飯'!$D$5:$D$319,MATCH(143,'4℃飯'!$AA$5:$AA$319,0))))</f>
        <v/>
      </c>
      <c xmlns="http://schemas.openxmlformats.org/spreadsheetml/2006/main" r="D164" s="18" t="str">
        <f>IF(143&gt;MAX('4℃麵'!$AA$5:$AA$310),"",HYPERLINK("#'4℃麵'!D"&amp;(MATCH(143,'4℃麵'!$AA$5:$AA$310,0)+4),INDEX('4℃麵'!$D$5:$D$310,MATCH(143,'4℃麵'!$AA$5:$AA$310,0))))</f>
        <v/>
      </c>
      <c xmlns="http://schemas.openxmlformats.org/spreadsheetml/2006/main" r="E164" s="18" t="str">
        <f>IF(143&gt;MAX('4℃其他'!$AA$5:$AA$322),"",HYPERLINK("#'4℃其他'!D"&amp;(MATCH(143,'4℃其他'!$AA$5:$AA$322,0)+4),INDEX('4℃其他'!$D$5:$D$322,MATCH(143,'4℃其他'!$AA$5:$AA$322,0))))</f>
        <v/>
      </c>
      <c xmlns="http://schemas.openxmlformats.org/spreadsheetml/2006/main" r="F164" s="18" t="str">
        <f>IF(143&gt;MAX('冷凍品'!$AA$5:$AA$322),"",HYPERLINK("#'冷凍品'!D"&amp;(MATCH(143,'冷凍品'!$AA$5:$AA$322,0)+4),INDEX('冷凍品'!$D$5:$D$322,MATCH(143,'冷凍品'!$AA$5:$AA$322,0))))</f>
        <v/>
      </c>
    </row>
    <row r="165">
      <c xmlns="http://schemas.openxmlformats.org/spreadsheetml/2006/main" r="B165" s="18" t="str">
        <f>IF(144&gt;MAX('18℃'!$AA$5:$AA$319),"",HYPERLINK("#'18℃'!D"&amp;(MATCH(144,'18℃'!$AA$5:$AA$319,0)+4),INDEX('18℃'!$D$5:$D$319,MATCH(144,'18℃'!$AA$5:$AA$319,0))))</f>
        <v/>
      </c>
      <c xmlns="http://schemas.openxmlformats.org/spreadsheetml/2006/main" r="C165" s="18" t="str">
        <f>IF(144&gt;MAX('4℃飯'!$AA$5:$AA$319),"",HYPERLINK("#'4℃飯'!D"&amp;(MATCH(144,'4℃飯'!$AA$5:$AA$319,0)+4),INDEX('4℃飯'!$D$5:$D$319,MATCH(144,'4℃飯'!$AA$5:$AA$319,0))))</f>
        <v/>
      </c>
      <c xmlns="http://schemas.openxmlformats.org/spreadsheetml/2006/main" r="D165" s="18" t="str">
        <f>IF(144&gt;MAX('4℃麵'!$AA$5:$AA$310),"",HYPERLINK("#'4℃麵'!D"&amp;(MATCH(144,'4℃麵'!$AA$5:$AA$310,0)+4),INDEX('4℃麵'!$D$5:$D$310,MATCH(144,'4℃麵'!$AA$5:$AA$310,0))))</f>
        <v/>
      </c>
      <c xmlns="http://schemas.openxmlformats.org/spreadsheetml/2006/main" r="E165" s="18" t="str">
        <f>IF(144&gt;MAX('4℃其他'!$AA$5:$AA$322),"",HYPERLINK("#'4℃其他'!D"&amp;(MATCH(144,'4℃其他'!$AA$5:$AA$322,0)+4),INDEX('4℃其他'!$D$5:$D$322,MATCH(144,'4℃其他'!$AA$5:$AA$322,0))))</f>
        <v/>
      </c>
      <c xmlns="http://schemas.openxmlformats.org/spreadsheetml/2006/main" r="F165" s="18" t="str">
        <f>IF(144&gt;MAX('冷凍品'!$AA$5:$AA$322),"",HYPERLINK("#'冷凍品'!D"&amp;(MATCH(144,'冷凍品'!$AA$5:$AA$322,0)+4),INDEX('冷凍品'!$D$5:$D$322,MATCH(144,'冷凍品'!$AA$5:$AA$322,0))))</f>
        <v/>
      </c>
    </row>
    <row r="166">
      <c xmlns="http://schemas.openxmlformats.org/spreadsheetml/2006/main" r="B166" s="18" t="str">
        <f>IF(145&gt;MAX('18℃'!$AA$5:$AA$319),"",HYPERLINK("#'18℃'!D"&amp;(MATCH(145,'18℃'!$AA$5:$AA$319,0)+4),INDEX('18℃'!$D$5:$D$319,MATCH(145,'18℃'!$AA$5:$AA$319,0))))</f>
        <v/>
      </c>
      <c xmlns="http://schemas.openxmlformats.org/spreadsheetml/2006/main" r="C166" s="18" t="str">
        <f>IF(145&gt;MAX('4℃飯'!$AA$5:$AA$319),"",HYPERLINK("#'4℃飯'!D"&amp;(MATCH(145,'4℃飯'!$AA$5:$AA$319,0)+4),INDEX('4℃飯'!$D$5:$D$319,MATCH(145,'4℃飯'!$AA$5:$AA$319,0))))</f>
        <v/>
      </c>
      <c xmlns="http://schemas.openxmlformats.org/spreadsheetml/2006/main" r="D166" s="18" t="str">
        <f>IF(145&gt;MAX('4℃麵'!$AA$5:$AA$310),"",HYPERLINK("#'4℃麵'!D"&amp;(MATCH(145,'4℃麵'!$AA$5:$AA$310,0)+4),INDEX('4℃麵'!$D$5:$D$310,MATCH(145,'4℃麵'!$AA$5:$AA$310,0))))</f>
        <v/>
      </c>
      <c xmlns="http://schemas.openxmlformats.org/spreadsheetml/2006/main" r="E166" s="18" t="str">
        <f>IF(145&gt;MAX('4℃其他'!$AA$5:$AA$322),"",HYPERLINK("#'4℃其他'!D"&amp;(MATCH(145,'4℃其他'!$AA$5:$AA$322,0)+4),INDEX('4℃其他'!$D$5:$D$322,MATCH(145,'4℃其他'!$AA$5:$AA$322,0))))</f>
        <v/>
      </c>
      <c xmlns="http://schemas.openxmlformats.org/spreadsheetml/2006/main" r="F166" s="18" t="str">
        <f>IF(145&gt;MAX('冷凍品'!$AA$5:$AA$322),"",HYPERLINK("#'冷凍品'!D"&amp;(MATCH(145,'冷凍品'!$AA$5:$AA$322,0)+4),INDEX('冷凍品'!$D$5:$D$322,MATCH(145,'冷凍品'!$AA$5:$AA$322,0))))</f>
        <v/>
      </c>
    </row>
    <row r="167">
      <c xmlns="http://schemas.openxmlformats.org/spreadsheetml/2006/main" r="B167" s="18" t="str">
        <f>IF(146&gt;MAX('18℃'!$AA$5:$AA$319),"",HYPERLINK("#'18℃'!D"&amp;(MATCH(146,'18℃'!$AA$5:$AA$319,0)+4),INDEX('18℃'!$D$5:$D$319,MATCH(146,'18℃'!$AA$5:$AA$319,0))))</f>
        <v/>
      </c>
      <c xmlns="http://schemas.openxmlformats.org/spreadsheetml/2006/main" r="C167" s="18" t="str">
        <f>IF(146&gt;MAX('4℃飯'!$AA$5:$AA$319),"",HYPERLINK("#'4℃飯'!D"&amp;(MATCH(146,'4℃飯'!$AA$5:$AA$319,0)+4),INDEX('4℃飯'!$D$5:$D$319,MATCH(146,'4℃飯'!$AA$5:$AA$319,0))))</f>
        <v/>
      </c>
      <c xmlns="http://schemas.openxmlformats.org/spreadsheetml/2006/main" r="D167" s="18" t="str">
        <f>IF(146&gt;MAX('4℃麵'!$AA$5:$AA$310),"",HYPERLINK("#'4℃麵'!D"&amp;(MATCH(146,'4℃麵'!$AA$5:$AA$310,0)+4),INDEX('4℃麵'!$D$5:$D$310,MATCH(146,'4℃麵'!$AA$5:$AA$310,0))))</f>
        <v/>
      </c>
      <c xmlns="http://schemas.openxmlformats.org/spreadsheetml/2006/main" r="E167" s="18" t="str">
        <f>IF(146&gt;MAX('4℃其他'!$AA$5:$AA$322),"",HYPERLINK("#'4℃其他'!D"&amp;(MATCH(146,'4℃其他'!$AA$5:$AA$322,0)+4),INDEX('4℃其他'!$D$5:$D$322,MATCH(146,'4℃其他'!$AA$5:$AA$322,0))))</f>
        <v/>
      </c>
      <c xmlns="http://schemas.openxmlformats.org/spreadsheetml/2006/main" r="F167" s="18" t="str">
        <f>IF(146&gt;MAX('冷凍品'!$AA$5:$AA$322),"",HYPERLINK("#'冷凍品'!D"&amp;(MATCH(146,'冷凍品'!$AA$5:$AA$322,0)+4),INDEX('冷凍品'!$D$5:$D$322,MATCH(146,'冷凍品'!$AA$5:$AA$322,0))))</f>
        <v/>
      </c>
    </row>
    <row r="168">
      <c xmlns="http://schemas.openxmlformats.org/spreadsheetml/2006/main" r="B168" s="18" t="str">
        <f>IF(147&gt;MAX('18℃'!$AA$5:$AA$319),"",HYPERLINK("#'18℃'!D"&amp;(MATCH(147,'18℃'!$AA$5:$AA$319,0)+4),INDEX('18℃'!$D$5:$D$319,MATCH(147,'18℃'!$AA$5:$AA$319,0))))</f>
        <v/>
      </c>
      <c xmlns="http://schemas.openxmlformats.org/spreadsheetml/2006/main" r="C168" s="18" t="str">
        <f>IF(147&gt;MAX('4℃飯'!$AA$5:$AA$319),"",HYPERLINK("#'4℃飯'!D"&amp;(MATCH(147,'4℃飯'!$AA$5:$AA$319,0)+4),INDEX('4℃飯'!$D$5:$D$319,MATCH(147,'4℃飯'!$AA$5:$AA$319,0))))</f>
        <v/>
      </c>
      <c xmlns="http://schemas.openxmlformats.org/spreadsheetml/2006/main" r="D168" s="18" t="str">
        <f>IF(147&gt;MAX('4℃麵'!$AA$5:$AA$310),"",HYPERLINK("#'4℃麵'!D"&amp;(MATCH(147,'4℃麵'!$AA$5:$AA$310,0)+4),INDEX('4℃麵'!$D$5:$D$310,MATCH(147,'4℃麵'!$AA$5:$AA$310,0))))</f>
        <v/>
      </c>
      <c xmlns="http://schemas.openxmlformats.org/spreadsheetml/2006/main" r="E168" s="18" t="str">
        <f>IF(147&gt;MAX('4℃其他'!$AA$5:$AA$322),"",HYPERLINK("#'4℃其他'!D"&amp;(MATCH(147,'4℃其他'!$AA$5:$AA$322,0)+4),INDEX('4℃其他'!$D$5:$D$322,MATCH(147,'4℃其他'!$AA$5:$AA$322,0))))</f>
        <v/>
      </c>
      <c xmlns="http://schemas.openxmlformats.org/spreadsheetml/2006/main" r="F168" s="18" t="str">
        <f>IF(147&gt;MAX('冷凍品'!$AA$5:$AA$322),"",HYPERLINK("#'冷凍品'!D"&amp;(MATCH(147,'冷凍品'!$AA$5:$AA$322,0)+4),INDEX('冷凍品'!$D$5:$D$322,MATCH(147,'冷凍品'!$AA$5:$AA$322,0))))</f>
        <v/>
      </c>
    </row>
    <row r="169">
      <c xmlns="http://schemas.openxmlformats.org/spreadsheetml/2006/main" r="B169" s="18" t="str">
        <f>IF(148&gt;MAX('18℃'!$AA$5:$AA$319),"",HYPERLINK("#'18℃'!D"&amp;(MATCH(148,'18℃'!$AA$5:$AA$319,0)+4),INDEX('18℃'!$D$5:$D$319,MATCH(148,'18℃'!$AA$5:$AA$319,0))))</f>
        <v/>
      </c>
      <c xmlns="http://schemas.openxmlformats.org/spreadsheetml/2006/main" r="C169" s="18" t="str">
        <f>IF(148&gt;MAX('4℃飯'!$AA$5:$AA$319),"",HYPERLINK("#'4℃飯'!D"&amp;(MATCH(148,'4℃飯'!$AA$5:$AA$319,0)+4),INDEX('4℃飯'!$D$5:$D$319,MATCH(148,'4℃飯'!$AA$5:$AA$319,0))))</f>
        <v/>
      </c>
      <c xmlns="http://schemas.openxmlformats.org/spreadsheetml/2006/main" r="D169" s="18" t="str">
        <f>IF(148&gt;MAX('4℃麵'!$AA$5:$AA$310),"",HYPERLINK("#'4℃麵'!D"&amp;(MATCH(148,'4℃麵'!$AA$5:$AA$310,0)+4),INDEX('4℃麵'!$D$5:$D$310,MATCH(148,'4℃麵'!$AA$5:$AA$310,0))))</f>
        <v/>
      </c>
      <c xmlns="http://schemas.openxmlformats.org/spreadsheetml/2006/main" r="E169" s="18" t="str">
        <f>IF(148&gt;MAX('4℃其他'!$AA$5:$AA$322),"",HYPERLINK("#'4℃其他'!D"&amp;(MATCH(148,'4℃其他'!$AA$5:$AA$322,0)+4),INDEX('4℃其他'!$D$5:$D$322,MATCH(148,'4℃其他'!$AA$5:$AA$322,0))))</f>
        <v/>
      </c>
      <c xmlns="http://schemas.openxmlformats.org/spreadsheetml/2006/main" r="F169" s="18" t="str">
        <f>IF(148&gt;MAX('冷凍品'!$AA$5:$AA$322),"",HYPERLINK("#'冷凍品'!D"&amp;(MATCH(148,'冷凍品'!$AA$5:$AA$322,0)+4),INDEX('冷凍品'!$D$5:$D$322,MATCH(148,'冷凍品'!$AA$5:$AA$322,0))))</f>
        <v/>
      </c>
    </row>
    <row r="170">
      <c xmlns="http://schemas.openxmlformats.org/spreadsheetml/2006/main" r="B170" s="18" t="str">
        <f>IF(149&gt;MAX('18℃'!$AA$5:$AA$319),"",HYPERLINK("#'18℃'!D"&amp;(MATCH(149,'18℃'!$AA$5:$AA$319,0)+4),INDEX('18℃'!$D$5:$D$319,MATCH(149,'18℃'!$AA$5:$AA$319,0))))</f>
        <v/>
      </c>
      <c xmlns="http://schemas.openxmlformats.org/spreadsheetml/2006/main" r="C170" s="18" t="str">
        <f>IF(149&gt;MAX('4℃飯'!$AA$5:$AA$319),"",HYPERLINK("#'4℃飯'!D"&amp;(MATCH(149,'4℃飯'!$AA$5:$AA$319,0)+4),INDEX('4℃飯'!$D$5:$D$319,MATCH(149,'4℃飯'!$AA$5:$AA$319,0))))</f>
        <v/>
      </c>
      <c xmlns="http://schemas.openxmlformats.org/spreadsheetml/2006/main" r="D170" s="18" t="str">
        <f>IF(149&gt;MAX('4℃麵'!$AA$5:$AA$310),"",HYPERLINK("#'4℃麵'!D"&amp;(MATCH(149,'4℃麵'!$AA$5:$AA$310,0)+4),INDEX('4℃麵'!$D$5:$D$310,MATCH(149,'4℃麵'!$AA$5:$AA$310,0))))</f>
        <v/>
      </c>
      <c xmlns="http://schemas.openxmlformats.org/spreadsheetml/2006/main" r="E170" s="18" t="str">
        <f>IF(149&gt;MAX('4℃其他'!$AA$5:$AA$322),"",HYPERLINK("#'4℃其他'!D"&amp;(MATCH(149,'4℃其他'!$AA$5:$AA$322,0)+4),INDEX('4℃其他'!$D$5:$D$322,MATCH(149,'4℃其他'!$AA$5:$AA$322,0))))</f>
        <v/>
      </c>
      <c xmlns="http://schemas.openxmlformats.org/spreadsheetml/2006/main" r="F170" s="18" t="str">
        <f>IF(149&gt;MAX('冷凍品'!$AA$5:$AA$322),"",HYPERLINK("#'冷凍品'!D"&amp;(MATCH(149,'冷凍品'!$AA$5:$AA$322,0)+4),INDEX('冷凍品'!$D$5:$D$322,MATCH(149,'冷凍品'!$AA$5:$AA$322,0))))</f>
        <v/>
      </c>
    </row>
    <row r="171">
      <c xmlns="http://schemas.openxmlformats.org/spreadsheetml/2006/main" r="B171" s="18" t="str">
        <f>IF(150&gt;MAX('18℃'!$AA$5:$AA$319),"",HYPERLINK("#'18℃'!D"&amp;(MATCH(150,'18℃'!$AA$5:$AA$319,0)+4),INDEX('18℃'!$D$5:$D$319,MATCH(150,'18℃'!$AA$5:$AA$319,0))))</f>
        <v/>
      </c>
      <c xmlns="http://schemas.openxmlformats.org/spreadsheetml/2006/main" r="C171" s="18" t="str">
        <f>IF(150&gt;MAX('4℃飯'!$AA$5:$AA$319),"",HYPERLINK("#'4℃飯'!D"&amp;(MATCH(150,'4℃飯'!$AA$5:$AA$319,0)+4),INDEX('4℃飯'!$D$5:$D$319,MATCH(150,'4℃飯'!$AA$5:$AA$319,0))))</f>
        <v/>
      </c>
      <c xmlns="http://schemas.openxmlformats.org/spreadsheetml/2006/main" r="D171" s="18" t="str">
        <f>IF(150&gt;MAX('4℃麵'!$AA$5:$AA$310),"",HYPERLINK("#'4℃麵'!D"&amp;(MATCH(150,'4℃麵'!$AA$5:$AA$310,0)+4),INDEX('4℃麵'!$D$5:$D$310,MATCH(150,'4℃麵'!$AA$5:$AA$310,0))))</f>
        <v/>
      </c>
      <c xmlns="http://schemas.openxmlformats.org/spreadsheetml/2006/main" r="E171" s="18" t="str">
        <f>IF(150&gt;MAX('4℃其他'!$AA$5:$AA$322),"",HYPERLINK("#'4℃其他'!D"&amp;(MATCH(150,'4℃其他'!$AA$5:$AA$322,0)+4),INDEX('4℃其他'!$D$5:$D$322,MATCH(150,'4℃其他'!$AA$5:$AA$322,0))))</f>
        <v/>
      </c>
      <c xmlns="http://schemas.openxmlformats.org/spreadsheetml/2006/main" r="F171" s="18" t="str">
        <f>IF(150&gt;MAX('冷凍品'!$AA$5:$AA$322),"",HYPERLINK("#'冷凍品'!D"&amp;(MATCH(150,'冷凍品'!$AA$5:$AA$322,0)+4),INDEX('冷凍品'!$D$5:$D$322,MATCH(150,'冷凍品'!$AA$5:$AA$322,0))))</f>
        <v/>
      </c>
    </row>
    <row r="172">
      <c xmlns="http://schemas.openxmlformats.org/spreadsheetml/2006/main" r="B172" s="18" t="str">
        <f>IF(151&gt;MAX('18℃'!$AA$5:$AA$319),"",HYPERLINK("#'18℃'!D"&amp;(MATCH(151,'18℃'!$AA$5:$AA$319,0)+4),INDEX('18℃'!$D$5:$D$319,MATCH(151,'18℃'!$AA$5:$AA$319,0))))</f>
        <v/>
      </c>
      <c xmlns="http://schemas.openxmlformats.org/spreadsheetml/2006/main" r="C172" s="18" t="str">
        <f>IF(151&gt;MAX('4℃飯'!$AA$5:$AA$319),"",HYPERLINK("#'4℃飯'!D"&amp;(MATCH(151,'4℃飯'!$AA$5:$AA$319,0)+4),INDEX('4℃飯'!$D$5:$D$319,MATCH(151,'4℃飯'!$AA$5:$AA$319,0))))</f>
        <v/>
      </c>
      <c xmlns="http://schemas.openxmlformats.org/spreadsheetml/2006/main" r="D172" s="18" t="str">
        <f>IF(151&gt;MAX('4℃麵'!$AA$5:$AA$310),"",HYPERLINK("#'4℃麵'!D"&amp;(MATCH(151,'4℃麵'!$AA$5:$AA$310,0)+4),INDEX('4℃麵'!$D$5:$D$310,MATCH(151,'4℃麵'!$AA$5:$AA$310,0))))</f>
        <v/>
      </c>
      <c xmlns="http://schemas.openxmlformats.org/spreadsheetml/2006/main" r="E172" s="18" t="str">
        <f>IF(151&gt;MAX('4℃其他'!$AA$5:$AA$322),"",HYPERLINK("#'4℃其他'!D"&amp;(MATCH(151,'4℃其他'!$AA$5:$AA$322,0)+4),INDEX('4℃其他'!$D$5:$D$322,MATCH(151,'4℃其他'!$AA$5:$AA$322,0))))</f>
        <v/>
      </c>
      <c xmlns="http://schemas.openxmlformats.org/spreadsheetml/2006/main" r="F172" s="18" t="str">
        <f>IF(151&gt;MAX('冷凍品'!$AA$5:$AA$322),"",HYPERLINK("#'冷凍品'!D"&amp;(MATCH(151,'冷凍品'!$AA$5:$AA$322,0)+4),INDEX('冷凍品'!$D$5:$D$322,MATCH(151,'冷凍品'!$AA$5:$AA$322,0))))</f>
        <v/>
      </c>
    </row>
    <row r="173">
      <c xmlns="http://schemas.openxmlformats.org/spreadsheetml/2006/main" r="B173" s="18" t="str">
        <f>IF(152&gt;MAX('18℃'!$AA$5:$AA$319),"",HYPERLINK("#'18℃'!D"&amp;(MATCH(152,'18℃'!$AA$5:$AA$319,0)+4),INDEX('18℃'!$D$5:$D$319,MATCH(152,'18℃'!$AA$5:$AA$319,0))))</f>
        <v/>
      </c>
      <c xmlns="http://schemas.openxmlformats.org/spreadsheetml/2006/main" r="C173" s="18" t="str">
        <f>IF(152&gt;MAX('4℃飯'!$AA$5:$AA$319),"",HYPERLINK("#'4℃飯'!D"&amp;(MATCH(152,'4℃飯'!$AA$5:$AA$319,0)+4),INDEX('4℃飯'!$D$5:$D$319,MATCH(152,'4℃飯'!$AA$5:$AA$319,0))))</f>
        <v/>
      </c>
      <c xmlns="http://schemas.openxmlformats.org/spreadsheetml/2006/main" r="D173" s="18" t="str">
        <f>IF(152&gt;MAX('4℃麵'!$AA$5:$AA$310),"",HYPERLINK("#'4℃麵'!D"&amp;(MATCH(152,'4℃麵'!$AA$5:$AA$310,0)+4),INDEX('4℃麵'!$D$5:$D$310,MATCH(152,'4℃麵'!$AA$5:$AA$310,0))))</f>
        <v/>
      </c>
      <c xmlns="http://schemas.openxmlformats.org/spreadsheetml/2006/main" r="E173" s="18" t="str">
        <f>IF(152&gt;MAX('4℃其他'!$AA$5:$AA$322),"",HYPERLINK("#'4℃其他'!D"&amp;(MATCH(152,'4℃其他'!$AA$5:$AA$322,0)+4),INDEX('4℃其他'!$D$5:$D$322,MATCH(152,'4℃其他'!$AA$5:$AA$322,0))))</f>
        <v/>
      </c>
      <c xmlns="http://schemas.openxmlformats.org/spreadsheetml/2006/main" r="F173" s="18" t="str">
        <f>IF(152&gt;MAX('冷凍品'!$AA$5:$AA$322),"",HYPERLINK("#'冷凍品'!D"&amp;(MATCH(152,'冷凍品'!$AA$5:$AA$322,0)+4),INDEX('冷凍品'!$D$5:$D$322,MATCH(152,'冷凍品'!$AA$5:$AA$322,0))))</f>
        <v/>
      </c>
    </row>
    <row r="174">
      <c xmlns="http://schemas.openxmlformats.org/spreadsheetml/2006/main" r="B174" s="18" t="str">
        <f>IF(153&gt;MAX('18℃'!$AA$5:$AA$319),"",HYPERLINK("#'18℃'!D"&amp;(MATCH(153,'18℃'!$AA$5:$AA$319,0)+4),INDEX('18℃'!$D$5:$D$319,MATCH(153,'18℃'!$AA$5:$AA$319,0))))</f>
        <v/>
      </c>
      <c xmlns="http://schemas.openxmlformats.org/spreadsheetml/2006/main" r="C174" s="18" t="str">
        <f>IF(153&gt;MAX('4℃飯'!$AA$5:$AA$319),"",HYPERLINK("#'4℃飯'!D"&amp;(MATCH(153,'4℃飯'!$AA$5:$AA$319,0)+4),INDEX('4℃飯'!$D$5:$D$319,MATCH(153,'4℃飯'!$AA$5:$AA$319,0))))</f>
        <v/>
      </c>
      <c xmlns="http://schemas.openxmlformats.org/spreadsheetml/2006/main" r="D174" s="18" t="str">
        <f>IF(153&gt;MAX('4℃麵'!$AA$5:$AA$310),"",HYPERLINK("#'4℃麵'!D"&amp;(MATCH(153,'4℃麵'!$AA$5:$AA$310,0)+4),INDEX('4℃麵'!$D$5:$D$310,MATCH(153,'4℃麵'!$AA$5:$AA$310,0))))</f>
        <v/>
      </c>
      <c xmlns="http://schemas.openxmlformats.org/spreadsheetml/2006/main" r="E174" s="18" t="str">
        <f>IF(153&gt;MAX('4℃其他'!$AA$5:$AA$322),"",HYPERLINK("#'4℃其他'!D"&amp;(MATCH(153,'4℃其他'!$AA$5:$AA$322,0)+4),INDEX('4℃其他'!$D$5:$D$322,MATCH(153,'4℃其他'!$AA$5:$AA$322,0))))</f>
        <v/>
      </c>
      <c xmlns="http://schemas.openxmlformats.org/spreadsheetml/2006/main" r="F174" s="18" t="str">
        <f>IF(153&gt;MAX('冷凍品'!$AA$5:$AA$322),"",HYPERLINK("#'冷凍品'!D"&amp;(MATCH(153,'冷凍品'!$AA$5:$AA$322,0)+4),INDEX('冷凍品'!$D$5:$D$322,MATCH(153,'冷凍品'!$AA$5:$AA$322,0))))</f>
        <v/>
      </c>
    </row>
    <row r="175">
      <c xmlns="http://schemas.openxmlformats.org/spreadsheetml/2006/main" r="B175" s="18" t="str">
        <f>IF(154&gt;MAX('18℃'!$AA$5:$AA$319),"",HYPERLINK("#'18℃'!D"&amp;(MATCH(154,'18℃'!$AA$5:$AA$319,0)+4),INDEX('18℃'!$D$5:$D$319,MATCH(154,'18℃'!$AA$5:$AA$319,0))))</f>
        <v/>
      </c>
      <c xmlns="http://schemas.openxmlformats.org/spreadsheetml/2006/main" r="C175" s="18" t="str">
        <f>IF(154&gt;MAX('4℃飯'!$AA$5:$AA$319),"",HYPERLINK("#'4℃飯'!D"&amp;(MATCH(154,'4℃飯'!$AA$5:$AA$319,0)+4),INDEX('4℃飯'!$D$5:$D$319,MATCH(154,'4℃飯'!$AA$5:$AA$319,0))))</f>
        <v/>
      </c>
      <c xmlns="http://schemas.openxmlformats.org/spreadsheetml/2006/main" r="D175" s="18" t="str">
        <f>IF(154&gt;MAX('4℃麵'!$AA$5:$AA$310),"",HYPERLINK("#'4℃麵'!D"&amp;(MATCH(154,'4℃麵'!$AA$5:$AA$310,0)+4),INDEX('4℃麵'!$D$5:$D$310,MATCH(154,'4℃麵'!$AA$5:$AA$310,0))))</f>
        <v/>
      </c>
      <c xmlns="http://schemas.openxmlformats.org/spreadsheetml/2006/main" r="E175" s="18" t="str">
        <f>IF(154&gt;MAX('4℃其他'!$AA$5:$AA$322),"",HYPERLINK("#'4℃其他'!D"&amp;(MATCH(154,'4℃其他'!$AA$5:$AA$322,0)+4),INDEX('4℃其他'!$D$5:$D$322,MATCH(154,'4℃其他'!$AA$5:$AA$322,0))))</f>
        <v/>
      </c>
      <c xmlns="http://schemas.openxmlformats.org/spreadsheetml/2006/main" r="F175" s="18" t="str">
        <f>IF(154&gt;MAX('冷凍品'!$AA$5:$AA$322),"",HYPERLINK("#'冷凍品'!D"&amp;(MATCH(154,'冷凍品'!$AA$5:$AA$322,0)+4),INDEX('冷凍品'!$D$5:$D$322,MATCH(154,'冷凍品'!$AA$5:$AA$322,0))))</f>
        <v/>
      </c>
    </row>
    <row r="176">
      <c xmlns="http://schemas.openxmlformats.org/spreadsheetml/2006/main" r="B176" s="18" t="str">
        <f>IF(155&gt;MAX('18℃'!$AA$5:$AA$319),"",HYPERLINK("#'18℃'!D"&amp;(MATCH(155,'18℃'!$AA$5:$AA$319,0)+4),INDEX('18℃'!$D$5:$D$319,MATCH(155,'18℃'!$AA$5:$AA$319,0))))</f>
        <v/>
      </c>
      <c xmlns="http://schemas.openxmlformats.org/spreadsheetml/2006/main" r="C176" s="18" t="str">
        <f>IF(155&gt;MAX('4℃飯'!$AA$5:$AA$319),"",HYPERLINK("#'4℃飯'!D"&amp;(MATCH(155,'4℃飯'!$AA$5:$AA$319,0)+4),INDEX('4℃飯'!$D$5:$D$319,MATCH(155,'4℃飯'!$AA$5:$AA$319,0))))</f>
        <v/>
      </c>
      <c xmlns="http://schemas.openxmlformats.org/spreadsheetml/2006/main" r="D176" s="18" t="str">
        <f>IF(155&gt;MAX('4℃麵'!$AA$5:$AA$310),"",HYPERLINK("#'4℃麵'!D"&amp;(MATCH(155,'4℃麵'!$AA$5:$AA$310,0)+4),INDEX('4℃麵'!$D$5:$D$310,MATCH(155,'4℃麵'!$AA$5:$AA$310,0))))</f>
        <v/>
      </c>
      <c xmlns="http://schemas.openxmlformats.org/spreadsheetml/2006/main" r="E176" s="18" t="str">
        <f>IF(155&gt;MAX('4℃其他'!$AA$5:$AA$322),"",HYPERLINK("#'4℃其他'!D"&amp;(MATCH(155,'4℃其他'!$AA$5:$AA$322,0)+4),INDEX('4℃其他'!$D$5:$D$322,MATCH(155,'4℃其他'!$AA$5:$AA$322,0))))</f>
        <v/>
      </c>
      <c xmlns="http://schemas.openxmlformats.org/spreadsheetml/2006/main" r="F176" s="18" t="str">
        <f>IF(155&gt;MAX('冷凍品'!$AA$5:$AA$322),"",HYPERLINK("#'冷凍品'!D"&amp;(MATCH(155,'冷凍品'!$AA$5:$AA$322,0)+4),INDEX('冷凍品'!$D$5:$D$322,MATCH(155,'冷凍品'!$AA$5:$AA$322,0))))</f>
        <v/>
      </c>
    </row>
    <row r="177">
      <c xmlns="http://schemas.openxmlformats.org/spreadsheetml/2006/main" r="B177" s="18" t="str">
        <f>IF(156&gt;MAX('18℃'!$AA$5:$AA$319),"",HYPERLINK("#'18℃'!D"&amp;(MATCH(156,'18℃'!$AA$5:$AA$319,0)+4),INDEX('18℃'!$D$5:$D$319,MATCH(156,'18℃'!$AA$5:$AA$319,0))))</f>
        <v/>
      </c>
      <c xmlns="http://schemas.openxmlformats.org/spreadsheetml/2006/main" r="C177" s="18" t="str">
        <f>IF(156&gt;MAX('4℃飯'!$AA$5:$AA$319),"",HYPERLINK("#'4℃飯'!D"&amp;(MATCH(156,'4℃飯'!$AA$5:$AA$319,0)+4),INDEX('4℃飯'!$D$5:$D$319,MATCH(156,'4℃飯'!$AA$5:$AA$319,0))))</f>
        <v/>
      </c>
      <c xmlns="http://schemas.openxmlformats.org/spreadsheetml/2006/main" r="D177" s="18" t="str">
        <f>IF(156&gt;MAX('4℃麵'!$AA$5:$AA$310),"",HYPERLINK("#'4℃麵'!D"&amp;(MATCH(156,'4℃麵'!$AA$5:$AA$310,0)+4),INDEX('4℃麵'!$D$5:$D$310,MATCH(156,'4℃麵'!$AA$5:$AA$310,0))))</f>
        <v/>
      </c>
      <c xmlns="http://schemas.openxmlformats.org/spreadsheetml/2006/main" r="E177" s="18" t="str">
        <f>IF(156&gt;MAX('4℃其他'!$AA$5:$AA$322),"",HYPERLINK("#'4℃其他'!D"&amp;(MATCH(156,'4℃其他'!$AA$5:$AA$322,0)+4),INDEX('4℃其他'!$D$5:$D$322,MATCH(156,'4℃其他'!$AA$5:$AA$322,0))))</f>
        <v/>
      </c>
      <c xmlns="http://schemas.openxmlformats.org/spreadsheetml/2006/main" r="F177" s="18" t="str">
        <f>IF(156&gt;MAX('冷凍品'!$AA$5:$AA$322),"",HYPERLINK("#'冷凍品'!D"&amp;(MATCH(156,'冷凍品'!$AA$5:$AA$322,0)+4),INDEX('冷凍品'!$D$5:$D$322,MATCH(156,'冷凍品'!$AA$5:$AA$322,0))))</f>
        <v/>
      </c>
    </row>
    <row r="178">
      <c xmlns="http://schemas.openxmlformats.org/spreadsheetml/2006/main" r="B178" s="18" t="str">
        <f>IF(157&gt;MAX('18℃'!$AA$5:$AA$319),"",HYPERLINK("#'18℃'!D"&amp;(MATCH(157,'18℃'!$AA$5:$AA$319,0)+4),INDEX('18℃'!$D$5:$D$319,MATCH(157,'18℃'!$AA$5:$AA$319,0))))</f>
        <v/>
      </c>
      <c xmlns="http://schemas.openxmlformats.org/spreadsheetml/2006/main" r="C178" s="18" t="str">
        <f>IF(157&gt;MAX('4℃飯'!$AA$5:$AA$319),"",HYPERLINK("#'4℃飯'!D"&amp;(MATCH(157,'4℃飯'!$AA$5:$AA$319,0)+4),INDEX('4℃飯'!$D$5:$D$319,MATCH(157,'4℃飯'!$AA$5:$AA$319,0))))</f>
        <v/>
      </c>
      <c xmlns="http://schemas.openxmlformats.org/spreadsheetml/2006/main" r="D178" s="18" t="str">
        <f>IF(157&gt;MAX('4℃麵'!$AA$5:$AA$310),"",HYPERLINK("#'4℃麵'!D"&amp;(MATCH(157,'4℃麵'!$AA$5:$AA$310,0)+4),INDEX('4℃麵'!$D$5:$D$310,MATCH(157,'4℃麵'!$AA$5:$AA$310,0))))</f>
        <v/>
      </c>
      <c xmlns="http://schemas.openxmlformats.org/spreadsheetml/2006/main" r="E178" s="18" t="str">
        <f>IF(157&gt;MAX('4℃其他'!$AA$5:$AA$322),"",HYPERLINK("#'4℃其他'!D"&amp;(MATCH(157,'4℃其他'!$AA$5:$AA$322,0)+4),INDEX('4℃其他'!$D$5:$D$322,MATCH(157,'4℃其他'!$AA$5:$AA$322,0))))</f>
        <v/>
      </c>
      <c xmlns="http://schemas.openxmlformats.org/spreadsheetml/2006/main" r="F178" s="18" t="str">
        <f>IF(157&gt;MAX('冷凍品'!$AA$5:$AA$322),"",HYPERLINK("#'冷凍品'!D"&amp;(MATCH(157,'冷凍品'!$AA$5:$AA$322,0)+4),INDEX('冷凍品'!$D$5:$D$322,MATCH(157,'冷凍品'!$AA$5:$AA$322,0))))</f>
        <v/>
      </c>
    </row>
    <row r="179">
      <c xmlns="http://schemas.openxmlformats.org/spreadsheetml/2006/main" r="B179" s="18" t="str">
        <f>IF(158&gt;MAX('18℃'!$AA$5:$AA$319),"",HYPERLINK("#'18℃'!D"&amp;(MATCH(158,'18℃'!$AA$5:$AA$319,0)+4),INDEX('18℃'!$D$5:$D$319,MATCH(158,'18℃'!$AA$5:$AA$319,0))))</f>
        <v/>
      </c>
      <c xmlns="http://schemas.openxmlformats.org/spreadsheetml/2006/main" r="C179" s="18" t="str">
        <f>IF(158&gt;MAX('4℃飯'!$AA$5:$AA$319),"",HYPERLINK("#'4℃飯'!D"&amp;(MATCH(158,'4℃飯'!$AA$5:$AA$319,0)+4),INDEX('4℃飯'!$D$5:$D$319,MATCH(158,'4℃飯'!$AA$5:$AA$319,0))))</f>
        <v/>
      </c>
      <c xmlns="http://schemas.openxmlformats.org/spreadsheetml/2006/main" r="D179" s="18" t="str">
        <f>IF(158&gt;MAX('4℃麵'!$AA$5:$AA$310),"",HYPERLINK("#'4℃麵'!D"&amp;(MATCH(158,'4℃麵'!$AA$5:$AA$310,0)+4),INDEX('4℃麵'!$D$5:$D$310,MATCH(158,'4℃麵'!$AA$5:$AA$310,0))))</f>
        <v/>
      </c>
      <c xmlns="http://schemas.openxmlformats.org/spreadsheetml/2006/main" r="E179" s="18" t="str">
        <f>IF(158&gt;MAX('4℃其他'!$AA$5:$AA$322),"",HYPERLINK("#'4℃其他'!D"&amp;(MATCH(158,'4℃其他'!$AA$5:$AA$322,0)+4),INDEX('4℃其他'!$D$5:$D$322,MATCH(158,'4℃其他'!$AA$5:$AA$322,0))))</f>
        <v/>
      </c>
      <c xmlns="http://schemas.openxmlformats.org/spreadsheetml/2006/main" r="F179" s="18" t="str">
        <f>IF(158&gt;MAX('冷凍品'!$AA$5:$AA$322),"",HYPERLINK("#'冷凍品'!D"&amp;(MATCH(158,'冷凍品'!$AA$5:$AA$322,0)+4),INDEX('冷凍品'!$D$5:$D$322,MATCH(158,'冷凍品'!$AA$5:$AA$322,0))))</f>
        <v/>
      </c>
    </row>
    <row r="180">
      <c xmlns="http://schemas.openxmlformats.org/spreadsheetml/2006/main" r="B180" s="18" t="str">
        <f>IF(159&gt;MAX('18℃'!$AA$5:$AA$319),"",HYPERLINK("#'18℃'!D"&amp;(MATCH(159,'18℃'!$AA$5:$AA$319,0)+4),INDEX('18℃'!$D$5:$D$319,MATCH(159,'18℃'!$AA$5:$AA$319,0))))</f>
        <v/>
      </c>
      <c xmlns="http://schemas.openxmlformats.org/spreadsheetml/2006/main" r="C180" s="18" t="str">
        <f>IF(159&gt;MAX('4℃飯'!$AA$5:$AA$319),"",HYPERLINK("#'4℃飯'!D"&amp;(MATCH(159,'4℃飯'!$AA$5:$AA$319,0)+4),INDEX('4℃飯'!$D$5:$D$319,MATCH(159,'4℃飯'!$AA$5:$AA$319,0))))</f>
        <v/>
      </c>
      <c xmlns="http://schemas.openxmlformats.org/spreadsheetml/2006/main" r="D180" s="18" t="str">
        <f>IF(159&gt;MAX('4℃麵'!$AA$5:$AA$310),"",HYPERLINK("#'4℃麵'!D"&amp;(MATCH(159,'4℃麵'!$AA$5:$AA$310,0)+4),INDEX('4℃麵'!$D$5:$D$310,MATCH(159,'4℃麵'!$AA$5:$AA$310,0))))</f>
        <v/>
      </c>
      <c xmlns="http://schemas.openxmlformats.org/spreadsheetml/2006/main" r="E180" s="18" t="str">
        <f>IF(159&gt;MAX('4℃其他'!$AA$5:$AA$322),"",HYPERLINK("#'4℃其他'!D"&amp;(MATCH(159,'4℃其他'!$AA$5:$AA$322,0)+4),INDEX('4℃其他'!$D$5:$D$322,MATCH(159,'4℃其他'!$AA$5:$AA$322,0))))</f>
        <v/>
      </c>
      <c xmlns="http://schemas.openxmlformats.org/spreadsheetml/2006/main" r="F180" s="18" t="str">
        <f>IF(159&gt;MAX('冷凍品'!$AA$5:$AA$322),"",HYPERLINK("#'冷凍品'!D"&amp;(MATCH(159,'冷凍品'!$AA$5:$AA$322,0)+4),INDEX('冷凍品'!$D$5:$D$322,MATCH(159,'冷凍品'!$AA$5:$AA$322,0))))</f>
        <v/>
      </c>
    </row>
    <row r="181">
      <c xmlns="http://schemas.openxmlformats.org/spreadsheetml/2006/main" r="B181" s="18" t="str">
        <f>IF(160&gt;MAX('18℃'!$AA$5:$AA$319),"",HYPERLINK("#'18℃'!D"&amp;(MATCH(160,'18℃'!$AA$5:$AA$319,0)+4),INDEX('18℃'!$D$5:$D$319,MATCH(160,'18℃'!$AA$5:$AA$319,0))))</f>
        <v/>
      </c>
      <c xmlns="http://schemas.openxmlformats.org/spreadsheetml/2006/main" r="C181" s="18" t="str">
        <f>IF(160&gt;MAX('4℃飯'!$AA$5:$AA$319),"",HYPERLINK("#'4℃飯'!D"&amp;(MATCH(160,'4℃飯'!$AA$5:$AA$319,0)+4),INDEX('4℃飯'!$D$5:$D$319,MATCH(160,'4℃飯'!$AA$5:$AA$319,0))))</f>
        <v/>
      </c>
      <c xmlns="http://schemas.openxmlformats.org/spreadsheetml/2006/main" r="D181" s="18" t="str">
        <f>IF(160&gt;MAX('4℃麵'!$AA$5:$AA$310),"",HYPERLINK("#'4℃麵'!D"&amp;(MATCH(160,'4℃麵'!$AA$5:$AA$310,0)+4),INDEX('4℃麵'!$D$5:$D$310,MATCH(160,'4℃麵'!$AA$5:$AA$310,0))))</f>
        <v/>
      </c>
      <c xmlns="http://schemas.openxmlformats.org/spreadsheetml/2006/main" r="E181" s="18" t="str">
        <f>IF(160&gt;MAX('4℃其他'!$AA$5:$AA$322),"",HYPERLINK("#'4℃其他'!D"&amp;(MATCH(160,'4℃其他'!$AA$5:$AA$322,0)+4),INDEX('4℃其他'!$D$5:$D$322,MATCH(160,'4℃其他'!$AA$5:$AA$322,0))))</f>
        <v/>
      </c>
      <c xmlns="http://schemas.openxmlformats.org/spreadsheetml/2006/main" r="F181" s="18" t="str">
        <f>IF(160&gt;MAX('冷凍品'!$AA$5:$AA$322),"",HYPERLINK("#'冷凍品'!D"&amp;(MATCH(160,'冷凍品'!$AA$5:$AA$322,0)+4),INDEX('冷凍品'!$D$5:$D$322,MATCH(160,'冷凍品'!$AA$5:$AA$322,0))))</f>
        <v/>
      </c>
    </row>
    <row r="182">
      <c xmlns="http://schemas.openxmlformats.org/spreadsheetml/2006/main" r="B182" s="18" t="str">
        <f>IF(161&gt;MAX('18℃'!$AA$5:$AA$319),"",HYPERLINK("#'18℃'!D"&amp;(MATCH(161,'18℃'!$AA$5:$AA$319,0)+4),INDEX('18℃'!$D$5:$D$319,MATCH(161,'18℃'!$AA$5:$AA$319,0))))</f>
        <v/>
      </c>
      <c xmlns="http://schemas.openxmlformats.org/spreadsheetml/2006/main" r="C182" s="18" t="str">
        <f>IF(161&gt;MAX('4℃飯'!$AA$5:$AA$319),"",HYPERLINK("#'4℃飯'!D"&amp;(MATCH(161,'4℃飯'!$AA$5:$AA$319,0)+4),INDEX('4℃飯'!$D$5:$D$319,MATCH(161,'4℃飯'!$AA$5:$AA$319,0))))</f>
        <v/>
      </c>
      <c xmlns="http://schemas.openxmlformats.org/spreadsheetml/2006/main" r="D182" s="18" t="str">
        <f>IF(161&gt;MAX('4℃麵'!$AA$5:$AA$310),"",HYPERLINK("#'4℃麵'!D"&amp;(MATCH(161,'4℃麵'!$AA$5:$AA$310,0)+4),INDEX('4℃麵'!$D$5:$D$310,MATCH(161,'4℃麵'!$AA$5:$AA$310,0))))</f>
        <v/>
      </c>
      <c xmlns="http://schemas.openxmlformats.org/spreadsheetml/2006/main" r="E182" s="18" t="str">
        <f>IF(161&gt;MAX('4℃其他'!$AA$5:$AA$322),"",HYPERLINK("#'4℃其他'!D"&amp;(MATCH(161,'4℃其他'!$AA$5:$AA$322,0)+4),INDEX('4℃其他'!$D$5:$D$322,MATCH(161,'4℃其他'!$AA$5:$AA$322,0))))</f>
        <v/>
      </c>
      <c xmlns="http://schemas.openxmlformats.org/spreadsheetml/2006/main" r="F182" s="18" t="str">
        <f>IF(161&gt;MAX('冷凍品'!$AA$5:$AA$322),"",HYPERLINK("#'冷凍品'!D"&amp;(MATCH(161,'冷凍品'!$AA$5:$AA$322,0)+4),INDEX('冷凍品'!$D$5:$D$322,MATCH(161,'冷凍品'!$AA$5:$AA$322,0))))</f>
        <v/>
      </c>
    </row>
    <row r="183">
      <c xmlns="http://schemas.openxmlformats.org/spreadsheetml/2006/main" r="B183" s="18" t="str">
        <f>IF(162&gt;MAX('18℃'!$AA$5:$AA$319),"",HYPERLINK("#'18℃'!D"&amp;(MATCH(162,'18℃'!$AA$5:$AA$319,0)+4),INDEX('18℃'!$D$5:$D$319,MATCH(162,'18℃'!$AA$5:$AA$319,0))))</f>
        <v/>
      </c>
      <c xmlns="http://schemas.openxmlformats.org/spreadsheetml/2006/main" r="C183" s="18" t="str">
        <f>IF(162&gt;MAX('4℃飯'!$AA$5:$AA$319),"",HYPERLINK("#'4℃飯'!D"&amp;(MATCH(162,'4℃飯'!$AA$5:$AA$319,0)+4),INDEX('4℃飯'!$D$5:$D$319,MATCH(162,'4℃飯'!$AA$5:$AA$319,0))))</f>
        <v/>
      </c>
      <c xmlns="http://schemas.openxmlformats.org/spreadsheetml/2006/main" r="D183" s="18" t="str">
        <f>IF(162&gt;MAX('4℃麵'!$AA$5:$AA$310),"",HYPERLINK("#'4℃麵'!D"&amp;(MATCH(162,'4℃麵'!$AA$5:$AA$310,0)+4),INDEX('4℃麵'!$D$5:$D$310,MATCH(162,'4℃麵'!$AA$5:$AA$310,0))))</f>
        <v/>
      </c>
      <c xmlns="http://schemas.openxmlformats.org/spreadsheetml/2006/main" r="E183" s="18" t="str">
        <f>IF(162&gt;MAX('4℃其他'!$AA$5:$AA$322),"",HYPERLINK("#'4℃其他'!D"&amp;(MATCH(162,'4℃其他'!$AA$5:$AA$322,0)+4),INDEX('4℃其他'!$D$5:$D$322,MATCH(162,'4℃其他'!$AA$5:$AA$322,0))))</f>
        <v/>
      </c>
      <c xmlns="http://schemas.openxmlformats.org/spreadsheetml/2006/main" r="F183" s="18" t="str">
        <f>IF(162&gt;MAX('冷凍品'!$AA$5:$AA$322),"",HYPERLINK("#'冷凍品'!D"&amp;(MATCH(162,'冷凍品'!$AA$5:$AA$322,0)+4),INDEX('冷凍品'!$D$5:$D$322,MATCH(162,'冷凍品'!$AA$5:$AA$322,0))))</f>
        <v/>
      </c>
    </row>
    <row r="184">
      <c xmlns="http://schemas.openxmlformats.org/spreadsheetml/2006/main" r="B184" s="18" t="str">
        <f>IF(163&gt;MAX('18℃'!$AA$5:$AA$319),"",HYPERLINK("#'18℃'!D"&amp;(MATCH(163,'18℃'!$AA$5:$AA$319,0)+4),INDEX('18℃'!$D$5:$D$319,MATCH(163,'18℃'!$AA$5:$AA$319,0))))</f>
        <v/>
      </c>
      <c xmlns="http://schemas.openxmlformats.org/spreadsheetml/2006/main" r="C184" s="18" t="str">
        <f>IF(163&gt;MAX('4℃飯'!$AA$5:$AA$319),"",HYPERLINK("#'4℃飯'!D"&amp;(MATCH(163,'4℃飯'!$AA$5:$AA$319,0)+4),INDEX('4℃飯'!$D$5:$D$319,MATCH(163,'4℃飯'!$AA$5:$AA$319,0))))</f>
        <v/>
      </c>
      <c xmlns="http://schemas.openxmlformats.org/spreadsheetml/2006/main" r="D184" s="18" t="str">
        <f>IF(163&gt;MAX('4℃麵'!$AA$5:$AA$310),"",HYPERLINK("#'4℃麵'!D"&amp;(MATCH(163,'4℃麵'!$AA$5:$AA$310,0)+4),INDEX('4℃麵'!$D$5:$D$310,MATCH(163,'4℃麵'!$AA$5:$AA$310,0))))</f>
        <v/>
      </c>
      <c xmlns="http://schemas.openxmlformats.org/spreadsheetml/2006/main" r="E184" s="18" t="str">
        <f>IF(163&gt;MAX('4℃其他'!$AA$5:$AA$322),"",HYPERLINK("#'4℃其他'!D"&amp;(MATCH(163,'4℃其他'!$AA$5:$AA$322,0)+4),INDEX('4℃其他'!$D$5:$D$322,MATCH(163,'4℃其他'!$AA$5:$AA$322,0))))</f>
        <v/>
      </c>
      <c xmlns="http://schemas.openxmlformats.org/spreadsheetml/2006/main" r="F184" s="18" t="str">
        <f>IF(163&gt;MAX('冷凍品'!$AA$5:$AA$322),"",HYPERLINK("#'冷凍品'!D"&amp;(MATCH(163,'冷凍品'!$AA$5:$AA$322,0)+4),INDEX('冷凍品'!$D$5:$D$322,MATCH(163,'冷凍品'!$AA$5:$AA$322,0))))</f>
        <v/>
      </c>
    </row>
    <row r="185">
      <c xmlns="http://schemas.openxmlformats.org/spreadsheetml/2006/main" r="B185" s="18" t="str">
        <f>IF(164&gt;MAX('18℃'!$AA$5:$AA$319),"",HYPERLINK("#'18℃'!D"&amp;(MATCH(164,'18℃'!$AA$5:$AA$319,0)+4),INDEX('18℃'!$D$5:$D$319,MATCH(164,'18℃'!$AA$5:$AA$319,0))))</f>
        <v/>
      </c>
      <c xmlns="http://schemas.openxmlformats.org/spreadsheetml/2006/main" r="C185" s="18" t="str">
        <f>IF(164&gt;MAX('4℃飯'!$AA$5:$AA$319),"",HYPERLINK("#'4℃飯'!D"&amp;(MATCH(164,'4℃飯'!$AA$5:$AA$319,0)+4),INDEX('4℃飯'!$D$5:$D$319,MATCH(164,'4℃飯'!$AA$5:$AA$319,0))))</f>
        <v/>
      </c>
      <c xmlns="http://schemas.openxmlformats.org/spreadsheetml/2006/main" r="D185" s="18" t="str">
        <f>IF(164&gt;MAX('4℃麵'!$AA$5:$AA$310),"",HYPERLINK("#'4℃麵'!D"&amp;(MATCH(164,'4℃麵'!$AA$5:$AA$310,0)+4),INDEX('4℃麵'!$D$5:$D$310,MATCH(164,'4℃麵'!$AA$5:$AA$310,0))))</f>
        <v/>
      </c>
      <c xmlns="http://schemas.openxmlformats.org/spreadsheetml/2006/main" r="E185" s="18" t="str">
        <f>IF(164&gt;MAX('4℃其他'!$AA$5:$AA$322),"",HYPERLINK("#'4℃其他'!D"&amp;(MATCH(164,'4℃其他'!$AA$5:$AA$322,0)+4),INDEX('4℃其他'!$D$5:$D$322,MATCH(164,'4℃其他'!$AA$5:$AA$322,0))))</f>
        <v/>
      </c>
      <c xmlns="http://schemas.openxmlformats.org/spreadsheetml/2006/main" r="F185" s="18" t="str">
        <f>IF(164&gt;MAX('冷凍品'!$AA$5:$AA$322),"",HYPERLINK("#'冷凍品'!D"&amp;(MATCH(164,'冷凍品'!$AA$5:$AA$322,0)+4),INDEX('冷凍品'!$D$5:$D$322,MATCH(164,'冷凍品'!$AA$5:$AA$322,0))))</f>
        <v/>
      </c>
    </row>
    <row r="186">
      <c xmlns="http://schemas.openxmlformats.org/spreadsheetml/2006/main" r="B186" s="18" t="str">
        <f>IF(165&gt;MAX('18℃'!$AA$5:$AA$319),"",HYPERLINK("#'18℃'!D"&amp;(MATCH(165,'18℃'!$AA$5:$AA$319,0)+4),INDEX('18℃'!$D$5:$D$319,MATCH(165,'18℃'!$AA$5:$AA$319,0))))</f>
        <v/>
      </c>
      <c xmlns="http://schemas.openxmlformats.org/spreadsheetml/2006/main" r="C186" s="18" t="str">
        <f>IF(165&gt;MAX('4℃飯'!$AA$5:$AA$319),"",HYPERLINK("#'4℃飯'!D"&amp;(MATCH(165,'4℃飯'!$AA$5:$AA$319,0)+4),INDEX('4℃飯'!$D$5:$D$319,MATCH(165,'4℃飯'!$AA$5:$AA$319,0))))</f>
        <v/>
      </c>
      <c xmlns="http://schemas.openxmlformats.org/spreadsheetml/2006/main" r="D186" s="18" t="str">
        <f>IF(165&gt;MAX('4℃麵'!$AA$5:$AA$310),"",HYPERLINK("#'4℃麵'!D"&amp;(MATCH(165,'4℃麵'!$AA$5:$AA$310,0)+4),INDEX('4℃麵'!$D$5:$D$310,MATCH(165,'4℃麵'!$AA$5:$AA$310,0))))</f>
        <v/>
      </c>
      <c xmlns="http://schemas.openxmlformats.org/spreadsheetml/2006/main" r="E186" s="18" t="str">
        <f>IF(165&gt;MAX('4℃其他'!$AA$5:$AA$322),"",HYPERLINK("#'4℃其他'!D"&amp;(MATCH(165,'4℃其他'!$AA$5:$AA$322,0)+4),INDEX('4℃其他'!$D$5:$D$322,MATCH(165,'4℃其他'!$AA$5:$AA$322,0))))</f>
        <v/>
      </c>
      <c xmlns="http://schemas.openxmlformats.org/spreadsheetml/2006/main" r="F186" s="18" t="str">
        <f>IF(165&gt;MAX('冷凍品'!$AA$5:$AA$322),"",HYPERLINK("#'冷凍品'!D"&amp;(MATCH(165,'冷凍品'!$AA$5:$AA$322,0)+4),INDEX('冷凍品'!$D$5:$D$322,MATCH(165,'冷凍品'!$AA$5:$AA$322,0))))</f>
        <v/>
      </c>
    </row>
    <row r="187">
      <c xmlns="http://schemas.openxmlformats.org/spreadsheetml/2006/main" r="B187" s="18" t="str">
        <f>IF(166&gt;MAX('18℃'!$AA$5:$AA$319),"",HYPERLINK("#'18℃'!D"&amp;(MATCH(166,'18℃'!$AA$5:$AA$319,0)+4),INDEX('18℃'!$D$5:$D$319,MATCH(166,'18℃'!$AA$5:$AA$319,0))))</f>
        <v/>
      </c>
      <c xmlns="http://schemas.openxmlformats.org/spreadsheetml/2006/main" r="C187" s="18" t="str">
        <f>IF(166&gt;MAX('4℃飯'!$AA$5:$AA$319),"",HYPERLINK("#'4℃飯'!D"&amp;(MATCH(166,'4℃飯'!$AA$5:$AA$319,0)+4),INDEX('4℃飯'!$D$5:$D$319,MATCH(166,'4℃飯'!$AA$5:$AA$319,0))))</f>
        <v/>
      </c>
      <c xmlns="http://schemas.openxmlformats.org/spreadsheetml/2006/main" r="D187" s="18" t="str">
        <f>IF(166&gt;MAX('4℃麵'!$AA$5:$AA$310),"",HYPERLINK("#'4℃麵'!D"&amp;(MATCH(166,'4℃麵'!$AA$5:$AA$310,0)+4),INDEX('4℃麵'!$D$5:$D$310,MATCH(166,'4℃麵'!$AA$5:$AA$310,0))))</f>
        <v/>
      </c>
      <c xmlns="http://schemas.openxmlformats.org/spreadsheetml/2006/main" r="E187" s="18" t="str">
        <f>IF(166&gt;MAX('4℃其他'!$AA$5:$AA$322),"",HYPERLINK("#'4℃其他'!D"&amp;(MATCH(166,'4℃其他'!$AA$5:$AA$322,0)+4),INDEX('4℃其他'!$D$5:$D$322,MATCH(166,'4℃其他'!$AA$5:$AA$322,0))))</f>
        <v/>
      </c>
      <c xmlns="http://schemas.openxmlformats.org/spreadsheetml/2006/main" r="F187" s="18" t="str">
        <f>IF(166&gt;MAX('冷凍品'!$AA$5:$AA$322),"",HYPERLINK("#'冷凍品'!D"&amp;(MATCH(166,'冷凍品'!$AA$5:$AA$322,0)+4),INDEX('冷凍品'!$D$5:$D$322,MATCH(166,'冷凍品'!$AA$5:$AA$322,0))))</f>
        <v/>
      </c>
    </row>
    <row r="188">
      <c xmlns="http://schemas.openxmlformats.org/spreadsheetml/2006/main" r="B188" s="18" t="str">
        <f>IF(167&gt;MAX('18℃'!$AA$5:$AA$319),"",HYPERLINK("#'18℃'!D"&amp;(MATCH(167,'18℃'!$AA$5:$AA$319,0)+4),INDEX('18℃'!$D$5:$D$319,MATCH(167,'18℃'!$AA$5:$AA$319,0))))</f>
        <v/>
      </c>
      <c xmlns="http://schemas.openxmlformats.org/spreadsheetml/2006/main" r="C188" s="18" t="str">
        <f>IF(167&gt;MAX('4℃飯'!$AA$5:$AA$319),"",HYPERLINK("#'4℃飯'!D"&amp;(MATCH(167,'4℃飯'!$AA$5:$AA$319,0)+4),INDEX('4℃飯'!$D$5:$D$319,MATCH(167,'4℃飯'!$AA$5:$AA$319,0))))</f>
        <v/>
      </c>
      <c xmlns="http://schemas.openxmlformats.org/spreadsheetml/2006/main" r="D188" s="18" t="str">
        <f>IF(167&gt;MAX('4℃麵'!$AA$5:$AA$310),"",HYPERLINK("#'4℃麵'!D"&amp;(MATCH(167,'4℃麵'!$AA$5:$AA$310,0)+4),INDEX('4℃麵'!$D$5:$D$310,MATCH(167,'4℃麵'!$AA$5:$AA$310,0))))</f>
        <v/>
      </c>
      <c xmlns="http://schemas.openxmlformats.org/spreadsheetml/2006/main" r="E188" s="18" t="str">
        <f>IF(167&gt;MAX('4℃其他'!$AA$5:$AA$322),"",HYPERLINK("#'4℃其他'!D"&amp;(MATCH(167,'4℃其他'!$AA$5:$AA$322,0)+4),INDEX('4℃其他'!$D$5:$D$322,MATCH(167,'4℃其他'!$AA$5:$AA$322,0))))</f>
        <v/>
      </c>
      <c xmlns="http://schemas.openxmlformats.org/spreadsheetml/2006/main" r="F188" s="18" t="str">
        <f>IF(167&gt;MAX('冷凍品'!$AA$5:$AA$322),"",HYPERLINK("#'冷凍品'!D"&amp;(MATCH(167,'冷凍品'!$AA$5:$AA$322,0)+4),INDEX('冷凍品'!$D$5:$D$322,MATCH(167,'冷凍品'!$AA$5:$AA$322,0))))</f>
        <v/>
      </c>
    </row>
    <row r="189">
      <c xmlns="http://schemas.openxmlformats.org/spreadsheetml/2006/main" r="B189" s="18" t="str">
        <f>IF(168&gt;MAX('18℃'!$AA$5:$AA$319),"",HYPERLINK("#'18℃'!D"&amp;(MATCH(168,'18℃'!$AA$5:$AA$319,0)+4),INDEX('18℃'!$D$5:$D$319,MATCH(168,'18℃'!$AA$5:$AA$319,0))))</f>
        <v/>
      </c>
      <c xmlns="http://schemas.openxmlformats.org/spreadsheetml/2006/main" r="C189" s="18" t="str">
        <f>IF(168&gt;MAX('4℃飯'!$AA$5:$AA$319),"",HYPERLINK("#'4℃飯'!D"&amp;(MATCH(168,'4℃飯'!$AA$5:$AA$319,0)+4),INDEX('4℃飯'!$D$5:$D$319,MATCH(168,'4℃飯'!$AA$5:$AA$319,0))))</f>
        <v/>
      </c>
      <c xmlns="http://schemas.openxmlformats.org/spreadsheetml/2006/main" r="D189" s="18" t="str">
        <f>IF(168&gt;MAX('4℃麵'!$AA$5:$AA$310),"",HYPERLINK("#'4℃麵'!D"&amp;(MATCH(168,'4℃麵'!$AA$5:$AA$310,0)+4),INDEX('4℃麵'!$D$5:$D$310,MATCH(168,'4℃麵'!$AA$5:$AA$310,0))))</f>
        <v/>
      </c>
      <c xmlns="http://schemas.openxmlformats.org/spreadsheetml/2006/main" r="E189" s="18" t="str">
        <f>IF(168&gt;MAX('4℃其他'!$AA$5:$AA$322),"",HYPERLINK("#'4℃其他'!D"&amp;(MATCH(168,'4℃其他'!$AA$5:$AA$322,0)+4),INDEX('4℃其他'!$D$5:$D$322,MATCH(168,'4℃其他'!$AA$5:$AA$322,0))))</f>
        <v/>
      </c>
      <c xmlns="http://schemas.openxmlformats.org/spreadsheetml/2006/main" r="F189" s="18" t="str">
        <f>IF(168&gt;MAX('冷凍品'!$AA$5:$AA$322),"",HYPERLINK("#'冷凍品'!D"&amp;(MATCH(168,'冷凍品'!$AA$5:$AA$322,0)+4),INDEX('冷凍品'!$D$5:$D$322,MATCH(168,'冷凍品'!$AA$5:$AA$322,0))))</f>
        <v/>
      </c>
    </row>
    <row r="190">
      <c xmlns="http://schemas.openxmlformats.org/spreadsheetml/2006/main" r="B190" s="18" t="str">
        <f>IF(169&gt;MAX('18℃'!$AA$5:$AA$319),"",HYPERLINK("#'18℃'!D"&amp;(MATCH(169,'18℃'!$AA$5:$AA$319,0)+4),INDEX('18℃'!$D$5:$D$319,MATCH(169,'18℃'!$AA$5:$AA$319,0))))</f>
        <v/>
      </c>
      <c xmlns="http://schemas.openxmlformats.org/spreadsheetml/2006/main" r="C190" s="18" t="str">
        <f>IF(169&gt;MAX('4℃飯'!$AA$5:$AA$319),"",HYPERLINK("#'4℃飯'!D"&amp;(MATCH(169,'4℃飯'!$AA$5:$AA$319,0)+4),INDEX('4℃飯'!$D$5:$D$319,MATCH(169,'4℃飯'!$AA$5:$AA$319,0))))</f>
        <v/>
      </c>
      <c xmlns="http://schemas.openxmlformats.org/spreadsheetml/2006/main" r="D190" s="18" t="str">
        <f>IF(169&gt;MAX('4℃麵'!$AA$5:$AA$310),"",HYPERLINK("#'4℃麵'!D"&amp;(MATCH(169,'4℃麵'!$AA$5:$AA$310,0)+4),INDEX('4℃麵'!$D$5:$D$310,MATCH(169,'4℃麵'!$AA$5:$AA$310,0))))</f>
        <v/>
      </c>
      <c xmlns="http://schemas.openxmlformats.org/spreadsheetml/2006/main" r="E190" s="18" t="str">
        <f>IF(169&gt;MAX('4℃其他'!$AA$5:$AA$322),"",HYPERLINK("#'4℃其他'!D"&amp;(MATCH(169,'4℃其他'!$AA$5:$AA$322,0)+4),INDEX('4℃其他'!$D$5:$D$322,MATCH(169,'4℃其他'!$AA$5:$AA$322,0))))</f>
        <v/>
      </c>
      <c xmlns="http://schemas.openxmlformats.org/spreadsheetml/2006/main" r="F190" s="18" t="str">
        <f>IF(169&gt;MAX('冷凍品'!$AA$5:$AA$322),"",HYPERLINK("#'冷凍品'!D"&amp;(MATCH(169,'冷凍品'!$AA$5:$AA$322,0)+4),INDEX('冷凍品'!$D$5:$D$322,MATCH(169,'冷凍品'!$AA$5:$AA$322,0))))</f>
        <v/>
      </c>
    </row>
    <row r="191">
      <c xmlns="http://schemas.openxmlformats.org/spreadsheetml/2006/main" r="B191" s="18" t="str">
        <f>IF(170&gt;MAX('18℃'!$AA$5:$AA$319),"",HYPERLINK("#'18℃'!D"&amp;(MATCH(170,'18℃'!$AA$5:$AA$319,0)+4),INDEX('18℃'!$D$5:$D$319,MATCH(170,'18℃'!$AA$5:$AA$319,0))))</f>
        <v/>
      </c>
      <c xmlns="http://schemas.openxmlformats.org/spreadsheetml/2006/main" r="C191" s="18" t="str">
        <f>IF(170&gt;MAX('4℃飯'!$AA$5:$AA$319),"",HYPERLINK("#'4℃飯'!D"&amp;(MATCH(170,'4℃飯'!$AA$5:$AA$319,0)+4),INDEX('4℃飯'!$D$5:$D$319,MATCH(170,'4℃飯'!$AA$5:$AA$319,0))))</f>
        <v/>
      </c>
      <c xmlns="http://schemas.openxmlformats.org/spreadsheetml/2006/main" r="D191" s="18" t="str">
        <f>IF(170&gt;MAX('4℃麵'!$AA$5:$AA$310),"",HYPERLINK("#'4℃麵'!D"&amp;(MATCH(170,'4℃麵'!$AA$5:$AA$310,0)+4),INDEX('4℃麵'!$D$5:$D$310,MATCH(170,'4℃麵'!$AA$5:$AA$310,0))))</f>
        <v/>
      </c>
      <c xmlns="http://schemas.openxmlformats.org/spreadsheetml/2006/main" r="E191" s="18" t="str">
        <f>IF(170&gt;MAX('4℃其他'!$AA$5:$AA$322),"",HYPERLINK("#'4℃其他'!D"&amp;(MATCH(170,'4℃其他'!$AA$5:$AA$322,0)+4),INDEX('4℃其他'!$D$5:$D$322,MATCH(170,'4℃其他'!$AA$5:$AA$322,0))))</f>
        <v/>
      </c>
      <c xmlns="http://schemas.openxmlformats.org/spreadsheetml/2006/main" r="F191" s="18" t="str">
        <f>IF(170&gt;MAX('冷凍品'!$AA$5:$AA$322),"",HYPERLINK("#'冷凍品'!D"&amp;(MATCH(170,'冷凍品'!$AA$5:$AA$322,0)+4),INDEX('冷凍品'!$D$5:$D$322,MATCH(170,'冷凍品'!$AA$5:$AA$322,0))))</f>
        <v/>
      </c>
    </row>
    <row r="192">
      <c xmlns="http://schemas.openxmlformats.org/spreadsheetml/2006/main" r="B192" s="18" t="str">
        <f>IF(171&gt;MAX('18℃'!$AA$5:$AA$319),"",HYPERLINK("#'18℃'!D"&amp;(MATCH(171,'18℃'!$AA$5:$AA$319,0)+4),INDEX('18℃'!$D$5:$D$319,MATCH(171,'18℃'!$AA$5:$AA$319,0))))</f>
        <v/>
      </c>
      <c xmlns="http://schemas.openxmlformats.org/spreadsheetml/2006/main" r="C192" s="18" t="str">
        <f>IF(171&gt;MAX('4℃飯'!$AA$5:$AA$319),"",HYPERLINK("#'4℃飯'!D"&amp;(MATCH(171,'4℃飯'!$AA$5:$AA$319,0)+4),INDEX('4℃飯'!$D$5:$D$319,MATCH(171,'4℃飯'!$AA$5:$AA$319,0))))</f>
        <v/>
      </c>
      <c xmlns="http://schemas.openxmlformats.org/spreadsheetml/2006/main" r="D192" s="18" t="str">
        <f>IF(171&gt;MAX('4℃麵'!$AA$5:$AA$310),"",HYPERLINK("#'4℃麵'!D"&amp;(MATCH(171,'4℃麵'!$AA$5:$AA$310,0)+4),INDEX('4℃麵'!$D$5:$D$310,MATCH(171,'4℃麵'!$AA$5:$AA$310,0))))</f>
        <v/>
      </c>
      <c xmlns="http://schemas.openxmlformats.org/spreadsheetml/2006/main" r="E192" s="18" t="str">
        <f>IF(171&gt;MAX('4℃其他'!$AA$5:$AA$322),"",HYPERLINK("#'4℃其他'!D"&amp;(MATCH(171,'4℃其他'!$AA$5:$AA$322,0)+4),INDEX('4℃其他'!$D$5:$D$322,MATCH(171,'4℃其他'!$AA$5:$AA$322,0))))</f>
        <v/>
      </c>
      <c xmlns="http://schemas.openxmlformats.org/spreadsheetml/2006/main" r="F192" s="18" t="str">
        <f>IF(171&gt;MAX('冷凍品'!$AA$5:$AA$322),"",HYPERLINK("#'冷凍品'!D"&amp;(MATCH(171,'冷凍品'!$AA$5:$AA$322,0)+4),INDEX('冷凍品'!$D$5:$D$322,MATCH(171,'冷凍品'!$AA$5:$AA$322,0))))</f>
        <v/>
      </c>
    </row>
    <row r="193">
      <c xmlns="http://schemas.openxmlformats.org/spreadsheetml/2006/main" r="B193" s="18" t="str">
        <f>IF(172&gt;MAX('18℃'!$AA$5:$AA$319),"",HYPERLINK("#'18℃'!D"&amp;(MATCH(172,'18℃'!$AA$5:$AA$319,0)+4),INDEX('18℃'!$D$5:$D$319,MATCH(172,'18℃'!$AA$5:$AA$319,0))))</f>
        <v/>
      </c>
      <c xmlns="http://schemas.openxmlformats.org/spreadsheetml/2006/main" r="C193" s="18" t="str">
        <f>IF(172&gt;MAX('4℃飯'!$AA$5:$AA$319),"",HYPERLINK("#'4℃飯'!D"&amp;(MATCH(172,'4℃飯'!$AA$5:$AA$319,0)+4),INDEX('4℃飯'!$D$5:$D$319,MATCH(172,'4℃飯'!$AA$5:$AA$319,0))))</f>
        <v/>
      </c>
      <c xmlns="http://schemas.openxmlformats.org/spreadsheetml/2006/main" r="D193" s="18" t="str">
        <f>IF(172&gt;MAX('4℃麵'!$AA$5:$AA$310),"",HYPERLINK("#'4℃麵'!D"&amp;(MATCH(172,'4℃麵'!$AA$5:$AA$310,0)+4),INDEX('4℃麵'!$D$5:$D$310,MATCH(172,'4℃麵'!$AA$5:$AA$310,0))))</f>
        <v/>
      </c>
      <c xmlns="http://schemas.openxmlformats.org/spreadsheetml/2006/main" r="E193" s="18" t="str">
        <f>IF(172&gt;MAX('4℃其他'!$AA$5:$AA$322),"",HYPERLINK("#'4℃其他'!D"&amp;(MATCH(172,'4℃其他'!$AA$5:$AA$322,0)+4),INDEX('4℃其他'!$D$5:$D$322,MATCH(172,'4℃其他'!$AA$5:$AA$322,0))))</f>
        <v/>
      </c>
      <c xmlns="http://schemas.openxmlformats.org/spreadsheetml/2006/main" r="F193" s="18" t="str">
        <f>IF(172&gt;MAX('冷凍品'!$AA$5:$AA$322),"",HYPERLINK("#'冷凍品'!D"&amp;(MATCH(172,'冷凍品'!$AA$5:$AA$322,0)+4),INDEX('冷凍品'!$D$5:$D$322,MATCH(172,'冷凍品'!$AA$5:$AA$322,0))))</f>
        <v/>
      </c>
    </row>
    <row r="194">
      <c xmlns="http://schemas.openxmlformats.org/spreadsheetml/2006/main" r="B194" s="18" t="str">
        <f>IF(173&gt;MAX('18℃'!$AA$5:$AA$319),"",HYPERLINK("#'18℃'!D"&amp;(MATCH(173,'18℃'!$AA$5:$AA$319,0)+4),INDEX('18℃'!$D$5:$D$319,MATCH(173,'18℃'!$AA$5:$AA$319,0))))</f>
        <v/>
      </c>
      <c xmlns="http://schemas.openxmlformats.org/spreadsheetml/2006/main" r="C194" s="18" t="str">
        <f>IF(173&gt;MAX('4℃飯'!$AA$5:$AA$319),"",HYPERLINK("#'4℃飯'!D"&amp;(MATCH(173,'4℃飯'!$AA$5:$AA$319,0)+4),INDEX('4℃飯'!$D$5:$D$319,MATCH(173,'4℃飯'!$AA$5:$AA$319,0))))</f>
        <v/>
      </c>
      <c xmlns="http://schemas.openxmlformats.org/spreadsheetml/2006/main" r="D194" s="18" t="str">
        <f>IF(173&gt;MAX('4℃麵'!$AA$5:$AA$310),"",HYPERLINK("#'4℃麵'!D"&amp;(MATCH(173,'4℃麵'!$AA$5:$AA$310,0)+4),INDEX('4℃麵'!$D$5:$D$310,MATCH(173,'4℃麵'!$AA$5:$AA$310,0))))</f>
        <v/>
      </c>
      <c xmlns="http://schemas.openxmlformats.org/spreadsheetml/2006/main" r="E194" s="18" t="str">
        <f>IF(173&gt;MAX('4℃其他'!$AA$5:$AA$322),"",HYPERLINK("#'4℃其他'!D"&amp;(MATCH(173,'4℃其他'!$AA$5:$AA$322,0)+4),INDEX('4℃其他'!$D$5:$D$322,MATCH(173,'4℃其他'!$AA$5:$AA$322,0))))</f>
        <v/>
      </c>
      <c xmlns="http://schemas.openxmlformats.org/spreadsheetml/2006/main" r="F194" s="18" t="str">
        <f>IF(173&gt;MAX('冷凍品'!$AA$5:$AA$322),"",HYPERLINK("#'冷凍品'!D"&amp;(MATCH(173,'冷凍品'!$AA$5:$AA$322,0)+4),INDEX('冷凍品'!$D$5:$D$322,MATCH(173,'冷凍品'!$AA$5:$AA$322,0))))</f>
        <v/>
      </c>
    </row>
    <row r="195">
      <c xmlns="http://schemas.openxmlformats.org/spreadsheetml/2006/main" r="B195" s="18" t="str">
        <f>IF(174&gt;MAX('18℃'!$AA$5:$AA$319),"",HYPERLINK("#'18℃'!D"&amp;(MATCH(174,'18℃'!$AA$5:$AA$319,0)+4),INDEX('18℃'!$D$5:$D$319,MATCH(174,'18℃'!$AA$5:$AA$319,0))))</f>
        <v/>
      </c>
      <c xmlns="http://schemas.openxmlformats.org/spreadsheetml/2006/main" r="C195" s="18" t="str">
        <f>IF(174&gt;MAX('4℃飯'!$AA$5:$AA$319),"",HYPERLINK("#'4℃飯'!D"&amp;(MATCH(174,'4℃飯'!$AA$5:$AA$319,0)+4),INDEX('4℃飯'!$D$5:$D$319,MATCH(174,'4℃飯'!$AA$5:$AA$319,0))))</f>
        <v/>
      </c>
      <c xmlns="http://schemas.openxmlformats.org/spreadsheetml/2006/main" r="D195" s="18" t="str">
        <f>IF(174&gt;MAX('4℃麵'!$AA$5:$AA$310),"",HYPERLINK("#'4℃麵'!D"&amp;(MATCH(174,'4℃麵'!$AA$5:$AA$310,0)+4),INDEX('4℃麵'!$D$5:$D$310,MATCH(174,'4℃麵'!$AA$5:$AA$310,0))))</f>
        <v/>
      </c>
      <c xmlns="http://schemas.openxmlformats.org/spreadsheetml/2006/main" r="E195" s="18" t="str">
        <f>IF(174&gt;MAX('4℃其他'!$AA$5:$AA$322),"",HYPERLINK("#'4℃其他'!D"&amp;(MATCH(174,'4℃其他'!$AA$5:$AA$322,0)+4),INDEX('4℃其他'!$D$5:$D$322,MATCH(174,'4℃其他'!$AA$5:$AA$322,0))))</f>
        <v/>
      </c>
      <c xmlns="http://schemas.openxmlformats.org/spreadsheetml/2006/main" r="F195" s="18" t="str">
        <f>IF(174&gt;MAX('冷凍品'!$AA$5:$AA$322),"",HYPERLINK("#'冷凍品'!D"&amp;(MATCH(174,'冷凍品'!$AA$5:$AA$322,0)+4),INDEX('冷凍品'!$D$5:$D$322,MATCH(174,'冷凍品'!$AA$5:$AA$322,0))))</f>
        <v/>
      </c>
    </row>
    <row r="196">
      <c xmlns="http://schemas.openxmlformats.org/spreadsheetml/2006/main" r="B196" s="18" t="str">
        <f>IF(175&gt;MAX('18℃'!$AA$5:$AA$319),"",HYPERLINK("#'18℃'!D"&amp;(MATCH(175,'18℃'!$AA$5:$AA$319,0)+4),INDEX('18℃'!$D$5:$D$319,MATCH(175,'18℃'!$AA$5:$AA$319,0))))</f>
        <v/>
      </c>
      <c xmlns="http://schemas.openxmlformats.org/spreadsheetml/2006/main" r="C196" s="18" t="str">
        <f>IF(175&gt;MAX('4℃飯'!$AA$5:$AA$319),"",HYPERLINK("#'4℃飯'!D"&amp;(MATCH(175,'4℃飯'!$AA$5:$AA$319,0)+4),INDEX('4℃飯'!$D$5:$D$319,MATCH(175,'4℃飯'!$AA$5:$AA$319,0))))</f>
        <v/>
      </c>
      <c xmlns="http://schemas.openxmlformats.org/spreadsheetml/2006/main" r="D196" s="18" t="str">
        <f>IF(175&gt;MAX('4℃麵'!$AA$5:$AA$310),"",HYPERLINK("#'4℃麵'!D"&amp;(MATCH(175,'4℃麵'!$AA$5:$AA$310,0)+4),INDEX('4℃麵'!$D$5:$D$310,MATCH(175,'4℃麵'!$AA$5:$AA$310,0))))</f>
        <v/>
      </c>
      <c xmlns="http://schemas.openxmlformats.org/spreadsheetml/2006/main" r="E196" s="18" t="str">
        <f>IF(175&gt;MAX('4℃其他'!$AA$5:$AA$322),"",HYPERLINK("#'4℃其他'!D"&amp;(MATCH(175,'4℃其他'!$AA$5:$AA$322,0)+4),INDEX('4℃其他'!$D$5:$D$322,MATCH(175,'4℃其他'!$AA$5:$AA$322,0))))</f>
        <v/>
      </c>
      <c xmlns="http://schemas.openxmlformats.org/spreadsheetml/2006/main" r="F196" s="18" t="str">
        <f>IF(175&gt;MAX('冷凍品'!$AA$5:$AA$322),"",HYPERLINK("#'冷凍品'!D"&amp;(MATCH(175,'冷凍品'!$AA$5:$AA$322,0)+4),INDEX('冷凍品'!$D$5:$D$322,MATCH(175,'冷凍品'!$AA$5:$AA$322,0))))</f>
        <v/>
      </c>
    </row>
    <row r="197">
      <c xmlns="http://schemas.openxmlformats.org/spreadsheetml/2006/main" r="B197" s="18" t="str">
        <f>IF(176&gt;MAX('18℃'!$AA$5:$AA$319),"",HYPERLINK("#'18℃'!D"&amp;(MATCH(176,'18℃'!$AA$5:$AA$319,0)+4),INDEX('18℃'!$D$5:$D$319,MATCH(176,'18℃'!$AA$5:$AA$319,0))))</f>
        <v/>
      </c>
      <c xmlns="http://schemas.openxmlformats.org/spreadsheetml/2006/main" r="C197" s="18" t="str">
        <f>IF(176&gt;MAX('4℃飯'!$AA$5:$AA$319),"",HYPERLINK("#'4℃飯'!D"&amp;(MATCH(176,'4℃飯'!$AA$5:$AA$319,0)+4),INDEX('4℃飯'!$D$5:$D$319,MATCH(176,'4℃飯'!$AA$5:$AA$319,0))))</f>
        <v/>
      </c>
      <c xmlns="http://schemas.openxmlformats.org/spreadsheetml/2006/main" r="D197" s="18" t="str">
        <f>IF(176&gt;MAX('4℃麵'!$AA$5:$AA$310),"",HYPERLINK("#'4℃麵'!D"&amp;(MATCH(176,'4℃麵'!$AA$5:$AA$310,0)+4),INDEX('4℃麵'!$D$5:$D$310,MATCH(176,'4℃麵'!$AA$5:$AA$310,0))))</f>
        <v/>
      </c>
      <c xmlns="http://schemas.openxmlformats.org/spreadsheetml/2006/main" r="E197" s="18" t="str">
        <f>IF(176&gt;MAX('4℃其他'!$AA$5:$AA$322),"",HYPERLINK("#'4℃其他'!D"&amp;(MATCH(176,'4℃其他'!$AA$5:$AA$322,0)+4),INDEX('4℃其他'!$D$5:$D$322,MATCH(176,'4℃其他'!$AA$5:$AA$322,0))))</f>
        <v/>
      </c>
      <c xmlns="http://schemas.openxmlformats.org/spreadsheetml/2006/main" r="F197" s="18" t="str">
        <f>IF(176&gt;MAX('冷凍品'!$AA$5:$AA$322),"",HYPERLINK("#'冷凍品'!D"&amp;(MATCH(176,'冷凍品'!$AA$5:$AA$322,0)+4),INDEX('冷凍品'!$D$5:$D$322,MATCH(176,'冷凍品'!$AA$5:$AA$322,0))))</f>
        <v/>
      </c>
    </row>
    <row r="198">
      <c xmlns="http://schemas.openxmlformats.org/spreadsheetml/2006/main" r="B198" s="18" t="str">
        <f>IF(177&gt;MAX('18℃'!$AA$5:$AA$319),"",HYPERLINK("#'18℃'!D"&amp;(MATCH(177,'18℃'!$AA$5:$AA$319,0)+4),INDEX('18℃'!$D$5:$D$319,MATCH(177,'18℃'!$AA$5:$AA$319,0))))</f>
        <v/>
      </c>
      <c xmlns="http://schemas.openxmlformats.org/spreadsheetml/2006/main" r="C198" s="18" t="str">
        <f>IF(177&gt;MAX('4℃飯'!$AA$5:$AA$319),"",HYPERLINK("#'4℃飯'!D"&amp;(MATCH(177,'4℃飯'!$AA$5:$AA$319,0)+4),INDEX('4℃飯'!$D$5:$D$319,MATCH(177,'4℃飯'!$AA$5:$AA$319,0))))</f>
        <v/>
      </c>
      <c xmlns="http://schemas.openxmlformats.org/spreadsheetml/2006/main" r="D198" s="18" t="str">
        <f>IF(177&gt;MAX('4℃麵'!$AA$5:$AA$310),"",HYPERLINK("#'4℃麵'!D"&amp;(MATCH(177,'4℃麵'!$AA$5:$AA$310,0)+4),INDEX('4℃麵'!$D$5:$D$310,MATCH(177,'4℃麵'!$AA$5:$AA$310,0))))</f>
        <v/>
      </c>
      <c xmlns="http://schemas.openxmlformats.org/spreadsheetml/2006/main" r="E198" s="18" t="str">
        <f>IF(177&gt;MAX('4℃其他'!$AA$5:$AA$322),"",HYPERLINK("#'4℃其他'!D"&amp;(MATCH(177,'4℃其他'!$AA$5:$AA$322,0)+4),INDEX('4℃其他'!$D$5:$D$322,MATCH(177,'4℃其他'!$AA$5:$AA$322,0))))</f>
        <v/>
      </c>
      <c xmlns="http://schemas.openxmlformats.org/spreadsheetml/2006/main" r="F198" s="18" t="str">
        <f>IF(177&gt;MAX('冷凍品'!$AA$5:$AA$322),"",HYPERLINK("#'冷凍品'!D"&amp;(MATCH(177,'冷凍品'!$AA$5:$AA$322,0)+4),INDEX('冷凍品'!$D$5:$D$322,MATCH(177,'冷凍品'!$AA$5:$AA$322,0))))</f>
        <v/>
      </c>
    </row>
    <row r="199">
      <c xmlns="http://schemas.openxmlformats.org/spreadsheetml/2006/main" r="B199" s="18" t="str">
        <f>IF(178&gt;MAX('18℃'!$AA$5:$AA$319),"",HYPERLINK("#'18℃'!D"&amp;(MATCH(178,'18℃'!$AA$5:$AA$319,0)+4),INDEX('18℃'!$D$5:$D$319,MATCH(178,'18℃'!$AA$5:$AA$319,0))))</f>
        <v/>
      </c>
      <c xmlns="http://schemas.openxmlformats.org/spreadsheetml/2006/main" r="C199" s="18" t="str">
        <f>IF(178&gt;MAX('4℃飯'!$AA$5:$AA$319),"",HYPERLINK("#'4℃飯'!D"&amp;(MATCH(178,'4℃飯'!$AA$5:$AA$319,0)+4),INDEX('4℃飯'!$D$5:$D$319,MATCH(178,'4℃飯'!$AA$5:$AA$319,0))))</f>
        <v/>
      </c>
      <c xmlns="http://schemas.openxmlformats.org/spreadsheetml/2006/main" r="D199" s="18" t="str">
        <f>IF(178&gt;MAX('4℃麵'!$AA$5:$AA$310),"",HYPERLINK("#'4℃麵'!D"&amp;(MATCH(178,'4℃麵'!$AA$5:$AA$310,0)+4),INDEX('4℃麵'!$D$5:$D$310,MATCH(178,'4℃麵'!$AA$5:$AA$310,0))))</f>
        <v/>
      </c>
      <c xmlns="http://schemas.openxmlformats.org/spreadsheetml/2006/main" r="E199" s="18" t="str">
        <f>IF(178&gt;MAX('4℃其他'!$AA$5:$AA$322),"",HYPERLINK("#'4℃其他'!D"&amp;(MATCH(178,'4℃其他'!$AA$5:$AA$322,0)+4),INDEX('4℃其他'!$D$5:$D$322,MATCH(178,'4℃其他'!$AA$5:$AA$322,0))))</f>
        <v/>
      </c>
      <c xmlns="http://schemas.openxmlformats.org/spreadsheetml/2006/main" r="F199" s="18" t="str">
        <f>IF(178&gt;MAX('冷凍品'!$AA$5:$AA$322),"",HYPERLINK("#'冷凍品'!D"&amp;(MATCH(178,'冷凍品'!$AA$5:$AA$322,0)+4),INDEX('冷凍品'!$D$5:$D$322,MATCH(178,'冷凍品'!$AA$5:$AA$322,0))))</f>
        <v/>
      </c>
    </row>
    <row r="200">
      <c xmlns="http://schemas.openxmlformats.org/spreadsheetml/2006/main" r="B200" s="18" t="str">
        <f>IF(179&gt;MAX('18℃'!$AA$5:$AA$319),"",HYPERLINK("#'18℃'!D"&amp;(MATCH(179,'18℃'!$AA$5:$AA$319,0)+4),INDEX('18℃'!$D$5:$D$319,MATCH(179,'18℃'!$AA$5:$AA$319,0))))</f>
        <v/>
      </c>
      <c xmlns="http://schemas.openxmlformats.org/spreadsheetml/2006/main" r="C200" s="18" t="str">
        <f>IF(179&gt;MAX('4℃飯'!$AA$5:$AA$319),"",HYPERLINK("#'4℃飯'!D"&amp;(MATCH(179,'4℃飯'!$AA$5:$AA$319,0)+4),INDEX('4℃飯'!$D$5:$D$319,MATCH(179,'4℃飯'!$AA$5:$AA$319,0))))</f>
        <v/>
      </c>
      <c xmlns="http://schemas.openxmlformats.org/spreadsheetml/2006/main" r="D200" s="18" t="str">
        <f>IF(179&gt;MAX('4℃麵'!$AA$5:$AA$310),"",HYPERLINK("#'4℃麵'!D"&amp;(MATCH(179,'4℃麵'!$AA$5:$AA$310,0)+4),INDEX('4℃麵'!$D$5:$D$310,MATCH(179,'4℃麵'!$AA$5:$AA$310,0))))</f>
        <v/>
      </c>
      <c xmlns="http://schemas.openxmlformats.org/spreadsheetml/2006/main" r="E200" s="18" t="str">
        <f>IF(179&gt;MAX('4℃其他'!$AA$5:$AA$322),"",HYPERLINK("#'4℃其他'!D"&amp;(MATCH(179,'4℃其他'!$AA$5:$AA$322,0)+4),INDEX('4℃其他'!$D$5:$D$322,MATCH(179,'4℃其他'!$AA$5:$AA$322,0))))</f>
        <v/>
      </c>
      <c xmlns="http://schemas.openxmlformats.org/spreadsheetml/2006/main" r="F200" s="18" t="str">
        <f>IF(179&gt;MAX('冷凍品'!$AA$5:$AA$322),"",HYPERLINK("#'冷凍品'!D"&amp;(MATCH(179,'冷凍品'!$AA$5:$AA$322,0)+4),INDEX('冷凍品'!$D$5:$D$322,MATCH(179,'冷凍品'!$AA$5:$AA$322,0))))</f>
        <v/>
      </c>
    </row>
    <row r="201">
      <c xmlns="http://schemas.openxmlformats.org/spreadsheetml/2006/main" r="B201" s="18" t="str">
        <f>IF(180&gt;MAX('18℃'!$AA$5:$AA$319),"",HYPERLINK("#'18℃'!D"&amp;(MATCH(180,'18℃'!$AA$5:$AA$319,0)+4),INDEX('18℃'!$D$5:$D$319,MATCH(180,'18℃'!$AA$5:$AA$319,0))))</f>
        <v/>
      </c>
      <c xmlns="http://schemas.openxmlformats.org/spreadsheetml/2006/main" r="C201" s="18" t="str">
        <f>IF(180&gt;MAX('4℃飯'!$AA$5:$AA$319),"",HYPERLINK("#'4℃飯'!D"&amp;(MATCH(180,'4℃飯'!$AA$5:$AA$319,0)+4),INDEX('4℃飯'!$D$5:$D$319,MATCH(180,'4℃飯'!$AA$5:$AA$319,0))))</f>
        <v/>
      </c>
      <c xmlns="http://schemas.openxmlformats.org/spreadsheetml/2006/main" r="D201" s="18" t="str">
        <f>IF(180&gt;MAX('4℃麵'!$AA$5:$AA$310),"",HYPERLINK("#'4℃麵'!D"&amp;(MATCH(180,'4℃麵'!$AA$5:$AA$310,0)+4),INDEX('4℃麵'!$D$5:$D$310,MATCH(180,'4℃麵'!$AA$5:$AA$310,0))))</f>
        <v/>
      </c>
      <c xmlns="http://schemas.openxmlformats.org/spreadsheetml/2006/main" r="E201" s="18" t="str">
        <f>IF(180&gt;MAX('4℃其他'!$AA$5:$AA$322),"",HYPERLINK("#'4℃其他'!D"&amp;(MATCH(180,'4℃其他'!$AA$5:$AA$322,0)+4),INDEX('4℃其他'!$D$5:$D$322,MATCH(180,'4℃其他'!$AA$5:$AA$322,0))))</f>
        <v/>
      </c>
      <c xmlns="http://schemas.openxmlformats.org/spreadsheetml/2006/main" r="F201" s="18" t="str">
        <f>IF(180&gt;MAX('冷凍品'!$AA$5:$AA$322),"",HYPERLINK("#'冷凍品'!D"&amp;(MATCH(180,'冷凍品'!$AA$5:$AA$322,0)+4),INDEX('冷凍品'!$D$5:$D$322,MATCH(180,'冷凍品'!$AA$5:$AA$322,0))))</f>
        <v/>
      </c>
    </row>
    <row r="202">
      <c xmlns="http://schemas.openxmlformats.org/spreadsheetml/2006/main" r="B202" s="18" t="str">
        <f>IF(181&gt;MAX('18℃'!$AA$5:$AA$319),"",HYPERLINK("#'18℃'!D"&amp;(MATCH(181,'18℃'!$AA$5:$AA$319,0)+4),INDEX('18℃'!$D$5:$D$319,MATCH(181,'18℃'!$AA$5:$AA$319,0))))</f>
        <v/>
      </c>
      <c xmlns="http://schemas.openxmlformats.org/spreadsheetml/2006/main" r="C202" s="18" t="str">
        <f>IF(181&gt;MAX('4℃飯'!$AA$5:$AA$319),"",HYPERLINK("#'4℃飯'!D"&amp;(MATCH(181,'4℃飯'!$AA$5:$AA$319,0)+4),INDEX('4℃飯'!$D$5:$D$319,MATCH(181,'4℃飯'!$AA$5:$AA$319,0))))</f>
        <v/>
      </c>
      <c xmlns="http://schemas.openxmlformats.org/spreadsheetml/2006/main" r="D202" s="18" t="str">
        <f>IF(181&gt;MAX('4℃麵'!$AA$5:$AA$310),"",HYPERLINK("#'4℃麵'!D"&amp;(MATCH(181,'4℃麵'!$AA$5:$AA$310,0)+4),INDEX('4℃麵'!$D$5:$D$310,MATCH(181,'4℃麵'!$AA$5:$AA$310,0))))</f>
        <v/>
      </c>
      <c xmlns="http://schemas.openxmlformats.org/spreadsheetml/2006/main" r="E202" s="18" t="str">
        <f>IF(181&gt;MAX('4℃其他'!$AA$5:$AA$322),"",HYPERLINK("#'4℃其他'!D"&amp;(MATCH(181,'4℃其他'!$AA$5:$AA$322,0)+4),INDEX('4℃其他'!$D$5:$D$322,MATCH(181,'4℃其他'!$AA$5:$AA$322,0))))</f>
        <v/>
      </c>
      <c xmlns="http://schemas.openxmlformats.org/spreadsheetml/2006/main" r="F202" s="18" t="str">
        <f>IF(181&gt;MAX('冷凍品'!$AA$5:$AA$322),"",HYPERLINK("#'冷凍品'!D"&amp;(MATCH(181,'冷凍品'!$AA$5:$AA$322,0)+4),INDEX('冷凍品'!$D$5:$D$322,MATCH(181,'冷凍品'!$AA$5:$AA$322,0))))</f>
        <v/>
      </c>
    </row>
    <row r="203">
      <c xmlns="http://schemas.openxmlformats.org/spreadsheetml/2006/main" r="B203" s="18" t="str">
        <f>IF(182&gt;MAX('18℃'!$AA$5:$AA$319),"",HYPERLINK("#'18℃'!D"&amp;(MATCH(182,'18℃'!$AA$5:$AA$319,0)+4),INDEX('18℃'!$D$5:$D$319,MATCH(182,'18℃'!$AA$5:$AA$319,0))))</f>
        <v/>
      </c>
      <c xmlns="http://schemas.openxmlformats.org/spreadsheetml/2006/main" r="C203" s="18" t="str">
        <f>IF(182&gt;MAX('4℃飯'!$AA$5:$AA$319),"",HYPERLINK("#'4℃飯'!D"&amp;(MATCH(182,'4℃飯'!$AA$5:$AA$319,0)+4),INDEX('4℃飯'!$D$5:$D$319,MATCH(182,'4℃飯'!$AA$5:$AA$319,0))))</f>
        <v/>
      </c>
      <c xmlns="http://schemas.openxmlformats.org/spreadsheetml/2006/main" r="D203" s="18" t="str">
        <f>IF(182&gt;MAX('4℃麵'!$AA$5:$AA$310),"",HYPERLINK("#'4℃麵'!D"&amp;(MATCH(182,'4℃麵'!$AA$5:$AA$310,0)+4),INDEX('4℃麵'!$D$5:$D$310,MATCH(182,'4℃麵'!$AA$5:$AA$310,0))))</f>
        <v/>
      </c>
      <c xmlns="http://schemas.openxmlformats.org/spreadsheetml/2006/main" r="E203" s="18" t="str">
        <f>IF(182&gt;MAX('4℃其他'!$AA$5:$AA$322),"",HYPERLINK("#'4℃其他'!D"&amp;(MATCH(182,'4℃其他'!$AA$5:$AA$322,0)+4),INDEX('4℃其他'!$D$5:$D$322,MATCH(182,'4℃其他'!$AA$5:$AA$322,0))))</f>
        <v/>
      </c>
      <c xmlns="http://schemas.openxmlformats.org/spreadsheetml/2006/main" r="F203" s="18" t="str">
        <f>IF(182&gt;MAX('冷凍品'!$AA$5:$AA$322),"",HYPERLINK("#'冷凍品'!D"&amp;(MATCH(182,'冷凍品'!$AA$5:$AA$322,0)+4),INDEX('冷凍品'!$D$5:$D$322,MATCH(182,'冷凍品'!$AA$5:$AA$322,0))))</f>
        <v/>
      </c>
    </row>
    <row r="204">
      <c xmlns="http://schemas.openxmlformats.org/spreadsheetml/2006/main" r="B204" s="18" t="str">
        <f>IF(183&gt;MAX('18℃'!$AA$5:$AA$319),"",HYPERLINK("#'18℃'!D"&amp;(MATCH(183,'18℃'!$AA$5:$AA$319,0)+4),INDEX('18℃'!$D$5:$D$319,MATCH(183,'18℃'!$AA$5:$AA$319,0))))</f>
        <v/>
      </c>
      <c xmlns="http://schemas.openxmlformats.org/spreadsheetml/2006/main" r="C204" s="18" t="str">
        <f>IF(183&gt;MAX('4℃飯'!$AA$5:$AA$319),"",HYPERLINK("#'4℃飯'!D"&amp;(MATCH(183,'4℃飯'!$AA$5:$AA$319,0)+4),INDEX('4℃飯'!$D$5:$D$319,MATCH(183,'4℃飯'!$AA$5:$AA$319,0))))</f>
        <v/>
      </c>
      <c xmlns="http://schemas.openxmlformats.org/spreadsheetml/2006/main" r="D204" s="18" t="str">
        <f>IF(183&gt;MAX('4℃麵'!$AA$5:$AA$310),"",HYPERLINK("#'4℃麵'!D"&amp;(MATCH(183,'4℃麵'!$AA$5:$AA$310,0)+4),INDEX('4℃麵'!$D$5:$D$310,MATCH(183,'4℃麵'!$AA$5:$AA$310,0))))</f>
        <v/>
      </c>
      <c xmlns="http://schemas.openxmlformats.org/spreadsheetml/2006/main" r="E204" s="18" t="str">
        <f>IF(183&gt;MAX('4℃其他'!$AA$5:$AA$322),"",HYPERLINK("#'4℃其他'!D"&amp;(MATCH(183,'4℃其他'!$AA$5:$AA$322,0)+4),INDEX('4℃其他'!$D$5:$D$322,MATCH(183,'4℃其他'!$AA$5:$AA$322,0))))</f>
        <v/>
      </c>
      <c xmlns="http://schemas.openxmlformats.org/spreadsheetml/2006/main" r="F204" s="18" t="str">
        <f>IF(183&gt;MAX('冷凍品'!$AA$5:$AA$322),"",HYPERLINK("#'冷凍品'!D"&amp;(MATCH(183,'冷凍品'!$AA$5:$AA$322,0)+4),INDEX('冷凍品'!$D$5:$D$322,MATCH(183,'冷凍品'!$AA$5:$AA$322,0))))</f>
        <v/>
      </c>
    </row>
    <row r="205">
      <c xmlns="http://schemas.openxmlformats.org/spreadsheetml/2006/main" r="B205" s="18" t="str">
        <f>IF(184&gt;MAX('18℃'!$AA$5:$AA$319),"",HYPERLINK("#'18℃'!D"&amp;(MATCH(184,'18℃'!$AA$5:$AA$319,0)+4),INDEX('18℃'!$D$5:$D$319,MATCH(184,'18℃'!$AA$5:$AA$319,0))))</f>
        <v/>
      </c>
      <c xmlns="http://schemas.openxmlformats.org/spreadsheetml/2006/main" r="C205" s="18" t="str">
        <f>IF(184&gt;MAX('4℃飯'!$AA$5:$AA$319),"",HYPERLINK("#'4℃飯'!D"&amp;(MATCH(184,'4℃飯'!$AA$5:$AA$319,0)+4),INDEX('4℃飯'!$D$5:$D$319,MATCH(184,'4℃飯'!$AA$5:$AA$319,0))))</f>
        <v/>
      </c>
      <c xmlns="http://schemas.openxmlformats.org/spreadsheetml/2006/main" r="D205" s="18" t="str">
        <f>IF(184&gt;MAX('4℃麵'!$AA$5:$AA$310),"",HYPERLINK("#'4℃麵'!D"&amp;(MATCH(184,'4℃麵'!$AA$5:$AA$310,0)+4),INDEX('4℃麵'!$D$5:$D$310,MATCH(184,'4℃麵'!$AA$5:$AA$310,0))))</f>
        <v/>
      </c>
      <c xmlns="http://schemas.openxmlformats.org/spreadsheetml/2006/main" r="E205" s="18" t="str">
        <f>IF(184&gt;MAX('4℃其他'!$AA$5:$AA$322),"",HYPERLINK("#'4℃其他'!D"&amp;(MATCH(184,'4℃其他'!$AA$5:$AA$322,0)+4),INDEX('4℃其他'!$D$5:$D$322,MATCH(184,'4℃其他'!$AA$5:$AA$322,0))))</f>
        <v/>
      </c>
      <c xmlns="http://schemas.openxmlformats.org/spreadsheetml/2006/main" r="F205" s="18" t="str">
        <f>IF(184&gt;MAX('冷凍品'!$AA$5:$AA$322),"",HYPERLINK("#'冷凍品'!D"&amp;(MATCH(184,'冷凍品'!$AA$5:$AA$322,0)+4),INDEX('冷凍品'!$D$5:$D$322,MATCH(184,'冷凍品'!$AA$5:$AA$322,0))))</f>
        <v/>
      </c>
    </row>
    <row r="206">
      <c xmlns="http://schemas.openxmlformats.org/spreadsheetml/2006/main" r="B206" s="18" t="str">
        <f>IF(185&gt;MAX('18℃'!$AA$5:$AA$319),"",HYPERLINK("#'18℃'!D"&amp;(MATCH(185,'18℃'!$AA$5:$AA$319,0)+4),INDEX('18℃'!$D$5:$D$319,MATCH(185,'18℃'!$AA$5:$AA$319,0))))</f>
        <v/>
      </c>
      <c xmlns="http://schemas.openxmlformats.org/spreadsheetml/2006/main" r="C206" s="18" t="str">
        <f>IF(185&gt;MAX('4℃飯'!$AA$5:$AA$319),"",HYPERLINK("#'4℃飯'!D"&amp;(MATCH(185,'4℃飯'!$AA$5:$AA$319,0)+4),INDEX('4℃飯'!$D$5:$D$319,MATCH(185,'4℃飯'!$AA$5:$AA$319,0))))</f>
        <v/>
      </c>
      <c xmlns="http://schemas.openxmlformats.org/spreadsheetml/2006/main" r="D206" s="18" t="str">
        <f>IF(185&gt;MAX('4℃麵'!$AA$5:$AA$310),"",HYPERLINK("#'4℃麵'!D"&amp;(MATCH(185,'4℃麵'!$AA$5:$AA$310,0)+4),INDEX('4℃麵'!$D$5:$D$310,MATCH(185,'4℃麵'!$AA$5:$AA$310,0))))</f>
        <v/>
      </c>
      <c xmlns="http://schemas.openxmlformats.org/spreadsheetml/2006/main" r="E206" s="18" t="str">
        <f>IF(185&gt;MAX('4℃其他'!$AA$5:$AA$322),"",HYPERLINK("#'4℃其他'!D"&amp;(MATCH(185,'4℃其他'!$AA$5:$AA$322,0)+4),INDEX('4℃其他'!$D$5:$D$322,MATCH(185,'4℃其他'!$AA$5:$AA$322,0))))</f>
        <v/>
      </c>
      <c xmlns="http://schemas.openxmlformats.org/spreadsheetml/2006/main" r="F206" s="18" t="str">
        <f>IF(185&gt;MAX('冷凍品'!$AA$5:$AA$322),"",HYPERLINK("#'冷凍品'!D"&amp;(MATCH(185,'冷凍品'!$AA$5:$AA$322,0)+4),INDEX('冷凍品'!$D$5:$D$322,MATCH(185,'冷凍品'!$AA$5:$AA$322,0))))</f>
        <v/>
      </c>
    </row>
    <row r="207">
      <c xmlns="http://schemas.openxmlformats.org/spreadsheetml/2006/main" r="B207" s="18" t="str">
        <f>IF(186&gt;MAX('18℃'!$AA$5:$AA$319),"",HYPERLINK("#'18℃'!D"&amp;(MATCH(186,'18℃'!$AA$5:$AA$319,0)+4),INDEX('18℃'!$D$5:$D$319,MATCH(186,'18℃'!$AA$5:$AA$319,0))))</f>
        <v/>
      </c>
      <c xmlns="http://schemas.openxmlformats.org/spreadsheetml/2006/main" r="C207" s="18" t="str">
        <f>IF(186&gt;MAX('4℃飯'!$AA$5:$AA$319),"",HYPERLINK("#'4℃飯'!D"&amp;(MATCH(186,'4℃飯'!$AA$5:$AA$319,0)+4),INDEX('4℃飯'!$D$5:$D$319,MATCH(186,'4℃飯'!$AA$5:$AA$319,0))))</f>
        <v/>
      </c>
      <c xmlns="http://schemas.openxmlformats.org/spreadsheetml/2006/main" r="D207" s="18" t="str">
        <f>IF(186&gt;MAX('4℃麵'!$AA$5:$AA$310),"",HYPERLINK("#'4℃麵'!D"&amp;(MATCH(186,'4℃麵'!$AA$5:$AA$310,0)+4),INDEX('4℃麵'!$D$5:$D$310,MATCH(186,'4℃麵'!$AA$5:$AA$310,0))))</f>
        <v/>
      </c>
      <c xmlns="http://schemas.openxmlformats.org/spreadsheetml/2006/main" r="E207" s="18" t="str">
        <f>IF(186&gt;MAX('4℃其他'!$AA$5:$AA$322),"",HYPERLINK("#'4℃其他'!D"&amp;(MATCH(186,'4℃其他'!$AA$5:$AA$322,0)+4),INDEX('4℃其他'!$D$5:$D$322,MATCH(186,'4℃其他'!$AA$5:$AA$322,0))))</f>
        <v/>
      </c>
      <c xmlns="http://schemas.openxmlformats.org/spreadsheetml/2006/main" r="F207" s="18" t="str">
        <f>IF(186&gt;MAX('冷凍品'!$AA$5:$AA$322),"",HYPERLINK("#'冷凍品'!D"&amp;(MATCH(186,'冷凍品'!$AA$5:$AA$322,0)+4),INDEX('冷凍品'!$D$5:$D$322,MATCH(186,'冷凍品'!$AA$5:$AA$322,0))))</f>
        <v/>
      </c>
    </row>
    <row r="208">
      <c xmlns="http://schemas.openxmlformats.org/spreadsheetml/2006/main" r="B208" s="18" t="str">
        <f>IF(187&gt;MAX('18℃'!$AA$5:$AA$319),"",HYPERLINK("#'18℃'!D"&amp;(MATCH(187,'18℃'!$AA$5:$AA$319,0)+4),INDEX('18℃'!$D$5:$D$319,MATCH(187,'18℃'!$AA$5:$AA$319,0))))</f>
        <v/>
      </c>
      <c xmlns="http://schemas.openxmlformats.org/spreadsheetml/2006/main" r="C208" s="18" t="str">
        <f>IF(187&gt;MAX('4℃飯'!$AA$5:$AA$319),"",HYPERLINK("#'4℃飯'!D"&amp;(MATCH(187,'4℃飯'!$AA$5:$AA$319,0)+4),INDEX('4℃飯'!$D$5:$D$319,MATCH(187,'4℃飯'!$AA$5:$AA$319,0))))</f>
        <v/>
      </c>
      <c xmlns="http://schemas.openxmlformats.org/spreadsheetml/2006/main" r="D208" s="18" t="str">
        <f>IF(187&gt;MAX('4℃麵'!$AA$5:$AA$310),"",HYPERLINK("#'4℃麵'!D"&amp;(MATCH(187,'4℃麵'!$AA$5:$AA$310,0)+4),INDEX('4℃麵'!$D$5:$D$310,MATCH(187,'4℃麵'!$AA$5:$AA$310,0))))</f>
        <v/>
      </c>
      <c xmlns="http://schemas.openxmlformats.org/spreadsheetml/2006/main" r="E208" s="18" t="str">
        <f>IF(187&gt;MAX('4℃其他'!$AA$5:$AA$322),"",HYPERLINK("#'4℃其他'!D"&amp;(MATCH(187,'4℃其他'!$AA$5:$AA$322,0)+4),INDEX('4℃其他'!$D$5:$D$322,MATCH(187,'4℃其他'!$AA$5:$AA$322,0))))</f>
        <v/>
      </c>
      <c xmlns="http://schemas.openxmlformats.org/spreadsheetml/2006/main" r="F208" s="18" t="str">
        <f>IF(187&gt;MAX('冷凍品'!$AA$5:$AA$322),"",HYPERLINK("#'冷凍品'!D"&amp;(MATCH(187,'冷凍品'!$AA$5:$AA$322,0)+4),INDEX('冷凍品'!$D$5:$D$322,MATCH(187,'冷凍品'!$AA$5:$AA$322,0))))</f>
        <v/>
      </c>
    </row>
    <row r="209">
      <c xmlns="http://schemas.openxmlformats.org/spreadsheetml/2006/main" r="B209" s="18" t="str">
        <f>IF(188&gt;MAX('18℃'!$AA$5:$AA$319),"",HYPERLINK("#'18℃'!D"&amp;(MATCH(188,'18℃'!$AA$5:$AA$319,0)+4),INDEX('18℃'!$D$5:$D$319,MATCH(188,'18℃'!$AA$5:$AA$319,0))))</f>
        <v/>
      </c>
      <c xmlns="http://schemas.openxmlformats.org/spreadsheetml/2006/main" r="C209" s="18" t="str">
        <f>IF(188&gt;MAX('4℃飯'!$AA$5:$AA$319),"",HYPERLINK("#'4℃飯'!D"&amp;(MATCH(188,'4℃飯'!$AA$5:$AA$319,0)+4),INDEX('4℃飯'!$D$5:$D$319,MATCH(188,'4℃飯'!$AA$5:$AA$319,0))))</f>
        <v/>
      </c>
      <c xmlns="http://schemas.openxmlformats.org/spreadsheetml/2006/main" r="D209" s="18" t="str">
        <f>IF(188&gt;MAX('4℃麵'!$AA$5:$AA$310),"",HYPERLINK("#'4℃麵'!D"&amp;(MATCH(188,'4℃麵'!$AA$5:$AA$310,0)+4),INDEX('4℃麵'!$D$5:$D$310,MATCH(188,'4℃麵'!$AA$5:$AA$310,0))))</f>
        <v/>
      </c>
      <c xmlns="http://schemas.openxmlformats.org/spreadsheetml/2006/main" r="E209" s="18" t="str">
        <f>IF(188&gt;MAX('4℃其他'!$AA$5:$AA$322),"",HYPERLINK("#'4℃其他'!D"&amp;(MATCH(188,'4℃其他'!$AA$5:$AA$322,0)+4),INDEX('4℃其他'!$D$5:$D$322,MATCH(188,'4℃其他'!$AA$5:$AA$322,0))))</f>
        <v/>
      </c>
      <c xmlns="http://schemas.openxmlformats.org/spreadsheetml/2006/main" r="F209" s="18" t="str">
        <f>IF(188&gt;MAX('冷凍品'!$AA$5:$AA$322),"",HYPERLINK("#'冷凍品'!D"&amp;(MATCH(188,'冷凍品'!$AA$5:$AA$322,0)+4),INDEX('冷凍品'!$D$5:$D$322,MATCH(188,'冷凍品'!$AA$5:$AA$322,0))))</f>
        <v/>
      </c>
    </row>
    <row r="210">
      <c xmlns="http://schemas.openxmlformats.org/spreadsheetml/2006/main" r="B210" s="18" t="str">
        <f>IF(189&gt;MAX('18℃'!$AA$5:$AA$319),"",HYPERLINK("#'18℃'!D"&amp;(MATCH(189,'18℃'!$AA$5:$AA$319,0)+4),INDEX('18℃'!$D$5:$D$319,MATCH(189,'18℃'!$AA$5:$AA$319,0))))</f>
        <v/>
      </c>
      <c xmlns="http://schemas.openxmlformats.org/spreadsheetml/2006/main" r="C210" s="18" t="str">
        <f>IF(189&gt;MAX('4℃飯'!$AA$5:$AA$319),"",HYPERLINK("#'4℃飯'!D"&amp;(MATCH(189,'4℃飯'!$AA$5:$AA$319,0)+4),INDEX('4℃飯'!$D$5:$D$319,MATCH(189,'4℃飯'!$AA$5:$AA$319,0))))</f>
        <v/>
      </c>
      <c xmlns="http://schemas.openxmlformats.org/spreadsheetml/2006/main" r="D210" s="18" t="str">
        <f>IF(189&gt;MAX('4℃麵'!$AA$5:$AA$310),"",HYPERLINK("#'4℃麵'!D"&amp;(MATCH(189,'4℃麵'!$AA$5:$AA$310,0)+4),INDEX('4℃麵'!$D$5:$D$310,MATCH(189,'4℃麵'!$AA$5:$AA$310,0))))</f>
        <v/>
      </c>
      <c xmlns="http://schemas.openxmlformats.org/spreadsheetml/2006/main" r="E210" s="18" t="str">
        <f>IF(189&gt;MAX('4℃其他'!$AA$5:$AA$322),"",HYPERLINK("#'4℃其他'!D"&amp;(MATCH(189,'4℃其他'!$AA$5:$AA$322,0)+4),INDEX('4℃其他'!$D$5:$D$322,MATCH(189,'4℃其他'!$AA$5:$AA$322,0))))</f>
        <v/>
      </c>
      <c xmlns="http://schemas.openxmlformats.org/spreadsheetml/2006/main" r="F210" s="18" t="str">
        <f>IF(189&gt;MAX('冷凍品'!$AA$5:$AA$322),"",HYPERLINK("#'冷凍品'!D"&amp;(MATCH(189,'冷凍品'!$AA$5:$AA$322,0)+4),INDEX('冷凍品'!$D$5:$D$322,MATCH(189,'冷凍品'!$AA$5:$AA$322,0))))</f>
        <v/>
      </c>
    </row>
    <row r="211">
      <c xmlns="http://schemas.openxmlformats.org/spreadsheetml/2006/main" r="B211" s="18" t="str">
        <f>IF(190&gt;MAX('18℃'!$AA$5:$AA$319),"",HYPERLINK("#'18℃'!D"&amp;(MATCH(190,'18℃'!$AA$5:$AA$319,0)+4),INDEX('18℃'!$D$5:$D$319,MATCH(190,'18℃'!$AA$5:$AA$319,0))))</f>
        <v/>
      </c>
      <c xmlns="http://schemas.openxmlformats.org/spreadsheetml/2006/main" r="C211" s="18" t="str">
        <f>IF(190&gt;MAX('4℃飯'!$AA$5:$AA$319),"",HYPERLINK("#'4℃飯'!D"&amp;(MATCH(190,'4℃飯'!$AA$5:$AA$319,0)+4),INDEX('4℃飯'!$D$5:$D$319,MATCH(190,'4℃飯'!$AA$5:$AA$319,0))))</f>
        <v/>
      </c>
      <c xmlns="http://schemas.openxmlformats.org/spreadsheetml/2006/main" r="D211" s="18" t="str">
        <f>IF(190&gt;MAX('4℃麵'!$AA$5:$AA$310),"",HYPERLINK("#'4℃麵'!D"&amp;(MATCH(190,'4℃麵'!$AA$5:$AA$310,0)+4),INDEX('4℃麵'!$D$5:$D$310,MATCH(190,'4℃麵'!$AA$5:$AA$310,0))))</f>
        <v/>
      </c>
      <c xmlns="http://schemas.openxmlformats.org/spreadsheetml/2006/main" r="E211" s="18" t="str">
        <f>IF(190&gt;MAX('4℃其他'!$AA$5:$AA$322),"",HYPERLINK("#'4℃其他'!D"&amp;(MATCH(190,'4℃其他'!$AA$5:$AA$322,0)+4),INDEX('4℃其他'!$D$5:$D$322,MATCH(190,'4℃其他'!$AA$5:$AA$322,0))))</f>
        <v/>
      </c>
      <c xmlns="http://schemas.openxmlformats.org/spreadsheetml/2006/main" r="F211" s="18" t="str">
        <f>IF(190&gt;MAX('冷凍品'!$AA$5:$AA$322),"",HYPERLINK("#'冷凍品'!D"&amp;(MATCH(190,'冷凍品'!$AA$5:$AA$322,0)+4),INDEX('冷凍品'!$D$5:$D$322,MATCH(190,'冷凍品'!$AA$5:$AA$322,0))))</f>
        <v/>
      </c>
    </row>
    <row r="212">
      <c xmlns="http://schemas.openxmlformats.org/spreadsheetml/2006/main" r="B212" s="18" t="str">
        <f>IF(191&gt;MAX('18℃'!$AA$5:$AA$319),"",HYPERLINK("#'18℃'!D"&amp;(MATCH(191,'18℃'!$AA$5:$AA$319,0)+4),INDEX('18℃'!$D$5:$D$319,MATCH(191,'18℃'!$AA$5:$AA$319,0))))</f>
        <v/>
      </c>
      <c xmlns="http://schemas.openxmlformats.org/spreadsheetml/2006/main" r="C212" s="18" t="str">
        <f>IF(191&gt;MAX('4℃飯'!$AA$5:$AA$319),"",HYPERLINK("#'4℃飯'!D"&amp;(MATCH(191,'4℃飯'!$AA$5:$AA$319,0)+4),INDEX('4℃飯'!$D$5:$D$319,MATCH(191,'4℃飯'!$AA$5:$AA$319,0))))</f>
        <v/>
      </c>
      <c xmlns="http://schemas.openxmlformats.org/spreadsheetml/2006/main" r="D212" s="18" t="str">
        <f>IF(191&gt;MAX('4℃麵'!$AA$5:$AA$310),"",HYPERLINK("#'4℃麵'!D"&amp;(MATCH(191,'4℃麵'!$AA$5:$AA$310,0)+4),INDEX('4℃麵'!$D$5:$D$310,MATCH(191,'4℃麵'!$AA$5:$AA$310,0))))</f>
        <v/>
      </c>
      <c xmlns="http://schemas.openxmlformats.org/spreadsheetml/2006/main" r="E212" s="18" t="str">
        <f>IF(191&gt;MAX('4℃其他'!$AA$5:$AA$322),"",HYPERLINK("#'4℃其他'!D"&amp;(MATCH(191,'4℃其他'!$AA$5:$AA$322,0)+4),INDEX('4℃其他'!$D$5:$D$322,MATCH(191,'4℃其他'!$AA$5:$AA$322,0))))</f>
        <v/>
      </c>
      <c xmlns="http://schemas.openxmlformats.org/spreadsheetml/2006/main" r="F212" s="18" t="str">
        <f>IF(191&gt;MAX('冷凍品'!$AA$5:$AA$322),"",HYPERLINK("#'冷凍品'!D"&amp;(MATCH(191,'冷凍品'!$AA$5:$AA$322,0)+4),INDEX('冷凍品'!$D$5:$D$322,MATCH(191,'冷凍品'!$AA$5:$AA$322,0))))</f>
        <v/>
      </c>
    </row>
    <row r="213">
      <c xmlns="http://schemas.openxmlformats.org/spreadsheetml/2006/main" r="B213" s="18" t="str">
        <f>IF(192&gt;MAX('18℃'!$AA$5:$AA$319),"",HYPERLINK("#'18℃'!D"&amp;(MATCH(192,'18℃'!$AA$5:$AA$319,0)+4),INDEX('18℃'!$D$5:$D$319,MATCH(192,'18℃'!$AA$5:$AA$319,0))))</f>
        <v/>
      </c>
      <c xmlns="http://schemas.openxmlformats.org/spreadsheetml/2006/main" r="C213" s="18" t="str">
        <f>IF(192&gt;MAX('4℃飯'!$AA$5:$AA$319),"",HYPERLINK("#'4℃飯'!D"&amp;(MATCH(192,'4℃飯'!$AA$5:$AA$319,0)+4),INDEX('4℃飯'!$D$5:$D$319,MATCH(192,'4℃飯'!$AA$5:$AA$319,0))))</f>
        <v/>
      </c>
      <c xmlns="http://schemas.openxmlformats.org/spreadsheetml/2006/main" r="D213" s="18" t="str">
        <f>IF(192&gt;MAX('4℃麵'!$AA$5:$AA$310),"",HYPERLINK("#'4℃麵'!D"&amp;(MATCH(192,'4℃麵'!$AA$5:$AA$310,0)+4),INDEX('4℃麵'!$D$5:$D$310,MATCH(192,'4℃麵'!$AA$5:$AA$310,0))))</f>
        <v/>
      </c>
      <c xmlns="http://schemas.openxmlformats.org/spreadsheetml/2006/main" r="E213" s="18" t="str">
        <f>IF(192&gt;MAX('4℃其他'!$AA$5:$AA$322),"",HYPERLINK("#'4℃其他'!D"&amp;(MATCH(192,'4℃其他'!$AA$5:$AA$322,0)+4),INDEX('4℃其他'!$D$5:$D$322,MATCH(192,'4℃其他'!$AA$5:$AA$322,0))))</f>
        <v/>
      </c>
      <c xmlns="http://schemas.openxmlformats.org/spreadsheetml/2006/main" r="F213" s="18" t="str">
        <f>IF(192&gt;MAX('冷凍品'!$AA$5:$AA$322),"",HYPERLINK("#'冷凍品'!D"&amp;(MATCH(192,'冷凍品'!$AA$5:$AA$322,0)+4),INDEX('冷凍品'!$D$5:$D$322,MATCH(192,'冷凍品'!$AA$5:$AA$322,0))))</f>
        <v/>
      </c>
    </row>
    <row r="214">
      <c xmlns="http://schemas.openxmlformats.org/spreadsheetml/2006/main" r="B214" s="18" t="str">
        <f>IF(193&gt;MAX('18℃'!$AA$5:$AA$319),"",HYPERLINK("#'18℃'!D"&amp;(MATCH(193,'18℃'!$AA$5:$AA$319,0)+4),INDEX('18℃'!$D$5:$D$319,MATCH(193,'18℃'!$AA$5:$AA$319,0))))</f>
        <v/>
      </c>
      <c xmlns="http://schemas.openxmlformats.org/spreadsheetml/2006/main" r="C214" s="18" t="str">
        <f>IF(193&gt;MAX('4℃飯'!$AA$5:$AA$319),"",HYPERLINK("#'4℃飯'!D"&amp;(MATCH(193,'4℃飯'!$AA$5:$AA$319,0)+4),INDEX('4℃飯'!$D$5:$D$319,MATCH(193,'4℃飯'!$AA$5:$AA$319,0))))</f>
        <v/>
      </c>
      <c xmlns="http://schemas.openxmlformats.org/spreadsheetml/2006/main" r="D214" s="18" t="str">
        <f>IF(193&gt;MAX('4℃麵'!$AA$5:$AA$310),"",HYPERLINK("#'4℃麵'!D"&amp;(MATCH(193,'4℃麵'!$AA$5:$AA$310,0)+4),INDEX('4℃麵'!$D$5:$D$310,MATCH(193,'4℃麵'!$AA$5:$AA$310,0))))</f>
        <v/>
      </c>
      <c xmlns="http://schemas.openxmlformats.org/spreadsheetml/2006/main" r="E214" s="18" t="str">
        <f>IF(193&gt;MAX('4℃其他'!$AA$5:$AA$322),"",HYPERLINK("#'4℃其他'!D"&amp;(MATCH(193,'4℃其他'!$AA$5:$AA$322,0)+4),INDEX('4℃其他'!$D$5:$D$322,MATCH(193,'4℃其他'!$AA$5:$AA$322,0))))</f>
        <v/>
      </c>
      <c xmlns="http://schemas.openxmlformats.org/spreadsheetml/2006/main" r="F214" s="18" t="str">
        <f>IF(193&gt;MAX('冷凍品'!$AA$5:$AA$322),"",HYPERLINK("#'冷凍品'!D"&amp;(MATCH(193,'冷凍品'!$AA$5:$AA$322,0)+4),INDEX('冷凍品'!$D$5:$D$322,MATCH(193,'冷凍品'!$AA$5:$AA$322,0))))</f>
        <v/>
      </c>
    </row>
    <row r="215">
      <c xmlns="http://schemas.openxmlformats.org/spreadsheetml/2006/main" r="B215" s="18" t="str">
        <f>IF(194&gt;MAX('18℃'!$AA$5:$AA$319),"",HYPERLINK("#'18℃'!D"&amp;(MATCH(194,'18℃'!$AA$5:$AA$319,0)+4),INDEX('18℃'!$D$5:$D$319,MATCH(194,'18℃'!$AA$5:$AA$319,0))))</f>
        <v/>
      </c>
      <c xmlns="http://schemas.openxmlformats.org/spreadsheetml/2006/main" r="C215" s="18" t="str">
        <f>IF(194&gt;MAX('4℃飯'!$AA$5:$AA$319),"",HYPERLINK("#'4℃飯'!D"&amp;(MATCH(194,'4℃飯'!$AA$5:$AA$319,0)+4),INDEX('4℃飯'!$D$5:$D$319,MATCH(194,'4℃飯'!$AA$5:$AA$319,0))))</f>
        <v/>
      </c>
      <c xmlns="http://schemas.openxmlformats.org/spreadsheetml/2006/main" r="D215" s="18" t="str">
        <f>IF(194&gt;MAX('4℃麵'!$AA$5:$AA$310),"",HYPERLINK("#'4℃麵'!D"&amp;(MATCH(194,'4℃麵'!$AA$5:$AA$310,0)+4),INDEX('4℃麵'!$D$5:$D$310,MATCH(194,'4℃麵'!$AA$5:$AA$310,0))))</f>
        <v/>
      </c>
      <c xmlns="http://schemas.openxmlformats.org/spreadsheetml/2006/main" r="E215" s="18" t="str">
        <f>IF(194&gt;MAX('4℃其他'!$AA$5:$AA$322),"",HYPERLINK("#'4℃其他'!D"&amp;(MATCH(194,'4℃其他'!$AA$5:$AA$322,0)+4),INDEX('4℃其他'!$D$5:$D$322,MATCH(194,'4℃其他'!$AA$5:$AA$322,0))))</f>
        <v/>
      </c>
      <c xmlns="http://schemas.openxmlformats.org/spreadsheetml/2006/main" r="F215" s="18" t="str">
        <f>IF(194&gt;MAX('冷凍品'!$AA$5:$AA$322),"",HYPERLINK("#'冷凍品'!D"&amp;(MATCH(194,'冷凍品'!$AA$5:$AA$322,0)+4),INDEX('冷凍品'!$D$5:$D$322,MATCH(194,'冷凍品'!$AA$5:$AA$322,0))))</f>
        <v/>
      </c>
    </row>
    <row r="216">
      <c xmlns="http://schemas.openxmlformats.org/spreadsheetml/2006/main" r="B216" s="18" t="str">
        <f>IF(195&gt;MAX('18℃'!$AA$5:$AA$319),"",HYPERLINK("#'18℃'!D"&amp;(MATCH(195,'18℃'!$AA$5:$AA$319,0)+4),INDEX('18℃'!$D$5:$D$319,MATCH(195,'18℃'!$AA$5:$AA$319,0))))</f>
        <v/>
      </c>
      <c xmlns="http://schemas.openxmlformats.org/spreadsheetml/2006/main" r="C216" s="18" t="str">
        <f>IF(195&gt;MAX('4℃飯'!$AA$5:$AA$319),"",HYPERLINK("#'4℃飯'!D"&amp;(MATCH(195,'4℃飯'!$AA$5:$AA$319,0)+4),INDEX('4℃飯'!$D$5:$D$319,MATCH(195,'4℃飯'!$AA$5:$AA$319,0))))</f>
        <v/>
      </c>
      <c xmlns="http://schemas.openxmlformats.org/spreadsheetml/2006/main" r="D216" s="18" t="str">
        <f>IF(195&gt;MAX('4℃麵'!$AA$5:$AA$310),"",HYPERLINK("#'4℃麵'!D"&amp;(MATCH(195,'4℃麵'!$AA$5:$AA$310,0)+4),INDEX('4℃麵'!$D$5:$D$310,MATCH(195,'4℃麵'!$AA$5:$AA$310,0))))</f>
        <v/>
      </c>
      <c xmlns="http://schemas.openxmlformats.org/spreadsheetml/2006/main" r="E216" s="18" t="str">
        <f>IF(195&gt;MAX('4℃其他'!$AA$5:$AA$322),"",HYPERLINK("#'4℃其他'!D"&amp;(MATCH(195,'4℃其他'!$AA$5:$AA$322,0)+4),INDEX('4℃其他'!$D$5:$D$322,MATCH(195,'4℃其他'!$AA$5:$AA$322,0))))</f>
        <v/>
      </c>
      <c xmlns="http://schemas.openxmlformats.org/spreadsheetml/2006/main" r="F216" s="18" t="str">
        <f>IF(195&gt;MAX('冷凍品'!$AA$5:$AA$322),"",HYPERLINK("#'冷凍品'!D"&amp;(MATCH(195,'冷凍品'!$AA$5:$AA$322,0)+4),INDEX('冷凍品'!$D$5:$D$322,MATCH(195,'冷凍品'!$AA$5:$AA$322,0))))</f>
        <v/>
      </c>
    </row>
    <row r="217">
      <c xmlns="http://schemas.openxmlformats.org/spreadsheetml/2006/main" r="B217" s="18" t="str">
        <f>IF(196&gt;MAX('18℃'!$AA$5:$AA$319),"",HYPERLINK("#'18℃'!D"&amp;(MATCH(196,'18℃'!$AA$5:$AA$319,0)+4),INDEX('18℃'!$D$5:$D$319,MATCH(196,'18℃'!$AA$5:$AA$319,0))))</f>
        <v/>
      </c>
      <c xmlns="http://schemas.openxmlformats.org/spreadsheetml/2006/main" r="C217" s="18" t="str">
        <f>IF(196&gt;MAX('4℃飯'!$AA$5:$AA$319),"",HYPERLINK("#'4℃飯'!D"&amp;(MATCH(196,'4℃飯'!$AA$5:$AA$319,0)+4),INDEX('4℃飯'!$D$5:$D$319,MATCH(196,'4℃飯'!$AA$5:$AA$319,0))))</f>
        <v/>
      </c>
      <c xmlns="http://schemas.openxmlformats.org/spreadsheetml/2006/main" r="D217" s="18" t="str">
        <f>IF(196&gt;MAX('4℃麵'!$AA$5:$AA$310),"",HYPERLINK("#'4℃麵'!D"&amp;(MATCH(196,'4℃麵'!$AA$5:$AA$310,0)+4),INDEX('4℃麵'!$D$5:$D$310,MATCH(196,'4℃麵'!$AA$5:$AA$310,0))))</f>
        <v/>
      </c>
      <c xmlns="http://schemas.openxmlformats.org/spreadsheetml/2006/main" r="E217" s="18" t="str">
        <f>IF(196&gt;MAX('4℃其他'!$AA$5:$AA$322),"",HYPERLINK("#'4℃其他'!D"&amp;(MATCH(196,'4℃其他'!$AA$5:$AA$322,0)+4),INDEX('4℃其他'!$D$5:$D$322,MATCH(196,'4℃其他'!$AA$5:$AA$322,0))))</f>
        <v/>
      </c>
      <c xmlns="http://schemas.openxmlformats.org/spreadsheetml/2006/main" r="F217" s="18" t="str">
        <f>IF(196&gt;MAX('冷凍品'!$AA$5:$AA$322),"",HYPERLINK("#'冷凍品'!D"&amp;(MATCH(196,'冷凍品'!$AA$5:$AA$322,0)+4),INDEX('冷凍品'!$D$5:$D$322,MATCH(196,'冷凍品'!$AA$5:$AA$322,0))))</f>
        <v/>
      </c>
    </row>
    <row r="218">
      <c xmlns="http://schemas.openxmlformats.org/spreadsheetml/2006/main" r="B218" s="18" t="str">
        <f>IF(197&gt;MAX('18℃'!$AA$5:$AA$319),"",HYPERLINK("#'18℃'!D"&amp;(MATCH(197,'18℃'!$AA$5:$AA$319,0)+4),INDEX('18℃'!$D$5:$D$319,MATCH(197,'18℃'!$AA$5:$AA$319,0))))</f>
        <v/>
      </c>
      <c xmlns="http://schemas.openxmlformats.org/spreadsheetml/2006/main" r="C218" s="18" t="str">
        <f>IF(197&gt;MAX('4℃飯'!$AA$5:$AA$319),"",HYPERLINK("#'4℃飯'!D"&amp;(MATCH(197,'4℃飯'!$AA$5:$AA$319,0)+4),INDEX('4℃飯'!$D$5:$D$319,MATCH(197,'4℃飯'!$AA$5:$AA$319,0))))</f>
        <v/>
      </c>
      <c xmlns="http://schemas.openxmlformats.org/spreadsheetml/2006/main" r="D218" s="18" t="str">
        <f>IF(197&gt;MAX('4℃麵'!$AA$5:$AA$310),"",HYPERLINK("#'4℃麵'!D"&amp;(MATCH(197,'4℃麵'!$AA$5:$AA$310,0)+4),INDEX('4℃麵'!$D$5:$D$310,MATCH(197,'4℃麵'!$AA$5:$AA$310,0))))</f>
        <v/>
      </c>
      <c xmlns="http://schemas.openxmlformats.org/spreadsheetml/2006/main" r="E218" s="18" t="str">
        <f>IF(197&gt;MAX('4℃其他'!$AA$5:$AA$322),"",HYPERLINK("#'4℃其他'!D"&amp;(MATCH(197,'4℃其他'!$AA$5:$AA$322,0)+4),INDEX('4℃其他'!$D$5:$D$322,MATCH(197,'4℃其他'!$AA$5:$AA$322,0))))</f>
        <v/>
      </c>
      <c xmlns="http://schemas.openxmlformats.org/spreadsheetml/2006/main" r="F218" s="18" t="str">
        <f>IF(197&gt;MAX('冷凍品'!$AA$5:$AA$322),"",HYPERLINK("#'冷凍品'!D"&amp;(MATCH(197,'冷凍品'!$AA$5:$AA$322,0)+4),INDEX('冷凍品'!$D$5:$D$322,MATCH(197,'冷凍品'!$AA$5:$AA$322,0))))</f>
        <v/>
      </c>
    </row>
    <row r="219">
      <c xmlns="http://schemas.openxmlformats.org/spreadsheetml/2006/main" r="B219" s="18" t="str">
        <f>IF(198&gt;MAX('18℃'!$AA$5:$AA$319),"",HYPERLINK("#'18℃'!D"&amp;(MATCH(198,'18℃'!$AA$5:$AA$319,0)+4),INDEX('18℃'!$D$5:$D$319,MATCH(198,'18℃'!$AA$5:$AA$319,0))))</f>
        <v/>
      </c>
      <c xmlns="http://schemas.openxmlformats.org/spreadsheetml/2006/main" r="C219" s="18" t="str">
        <f>IF(198&gt;MAX('4℃飯'!$AA$5:$AA$319),"",HYPERLINK("#'4℃飯'!D"&amp;(MATCH(198,'4℃飯'!$AA$5:$AA$319,0)+4),INDEX('4℃飯'!$D$5:$D$319,MATCH(198,'4℃飯'!$AA$5:$AA$319,0))))</f>
        <v/>
      </c>
      <c xmlns="http://schemas.openxmlformats.org/spreadsheetml/2006/main" r="D219" s="18" t="str">
        <f>IF(198&gt;MAX('4℃麵'!$AA$5:$AA$310),"",HYPERLINK("#'4℃麵'!D"&amp;(MATCH(198,'4℃麵'!$AA$5:$AA$310,0)+4),INDEX('4℃麵'!$D$5:$D$310,MATCH(198,'4℃麵'!$AA$5:$AA$310,0))))</f>
        <v/>
      </c>
      <c xmlns="http://schemas.openxmlformats.org/spreadsheetml/2006/main" r="E219" s="18" t="str">
        <f>IF(198&gt;MAX('4℃其他'!$AA$5:$AA$322),"",HYPERLINK("#'4℃其他'!D"&amp;(MATCH(198,'4℃其他'!$AA$5:$AA$322,0)+4),INDEX('4℃其他'!$D$5:$D$322,MATCH(198,'4℃其他'!$AA$5:$AA$322,0))))</f>
        <v/>
      </c>
      <c xmlns="http://schemas.openxmlformats.org/spreadsheetml/2006/main" r="F219" s="18" t="str">
        <f>IF(198&gt;MAX('冷凍品'!$AA$5:$AA$322),"",HYPERLINK("#'冷凍品'!D"&amp;(MATCH(198,'冷凍品'!$AA$5:$AA$322,0)+4),INDEX('冷凍品'!$D$5:$D$322,MATCH(198,'冷凍品'!$AA$5:$AA$322,0))))</f>
        <v/>
      </c>
    </row>
    <row r="220">
      <c xmlns="http://schemas.openxmlformats.org/spreadsheetml/2006/main" r="B220" s="18" t="str">
        <f>IF(199&gt;MAX('18℃'!$AA$5:$AA$319),"",HYPERLINK("#'18℃'!D"&amp;(MATCH(199,'18℃'!$AA$5:$AA$319,0)+4),INDEX('18℃'!$D$5:$D$319,MATCH(199,'18℃'!$AA$5:$AA$319,0))))</f>
        <v/>
      </c>
      <c xmlns="http://schemas.openxmlformats.org/spreadsheetml/2006/main" r="C220" s="18" t="str">
        <f>IF(199&gt;MAX('4℃飯'!$AA$5:$AA$319),"",HYPERLINK("#'4℃飯'!D"&amp;(MATCH(199,'4℃飯'!$AA$5:$AA$319,0)+4),INDEX('4℃飯'!$D$5:$D$319,MATCH(199,'4℃飯'!$AA$5:$AA$319,0))))</f>
        <v/>
      </c>
      <c xmlns="http://schemas.openxmlformats.org/spreadsheetml/2006/main" r="D220" s="18" t="str">
        <f>IF(199&gt;MAX('4℃麵'!$AA$5:$AA$310),"",HYPERLINK("#'4℃麵'!D"&amp;(MATCH(199,'4℃麵'!$AA$5:$AA$310,0)+4),INDEX('4℃麵'!$D$5:$D$310,MATCH(199,'4℃麵'!$AA$5:$AA$310,0))))</f>
        <v/>
      </c>
      <c xmlns="http://schemas.openxmlformats.org/spreadsheetml/2006/main" r="E220" s="18" t="str">
        <f>IF(199&gt;MAX('4℃其他'!$AA$5:$AA$322),"",HYPERLINK("#'4℃其他'!D"&amp;(MATCH(199,'4℃其他'!$AA$5:$AA$322,0)+4),INDEX('4℃其他'!$D$5:$D$322,MATCH(199,'4℃其他'!$AA$5:$AA$322,0))))</f>
        <v/>
      </c>
      <c xmlns="http://schemas.openxmlformats.org/spreadsheetml/2006/main" r="F220" s="18" t="str">
        <f>IF(199&gt;MAX('冷凍品'!$AA$5:$AA$322),"",HYPERLINK("#'冷凍品'!D"&amp;(MATCH(199,'冷凍品'!$AA$5:$AA$322,0)+4),INDEX('冷凍品'!$D$5:$D$322,MATCH(199,'冷凍品'!$AA$5:$AA$322,0))))</f>
        <v/>
      </c>
    </row>
    <row r="221">
      <c xmlns="http://schemas.openxmlformats.org/spreadsheetml/2006/main" r="B221" s="18" t="str">
        <f>IF(200&gt;MAX('18℃'!$AA$5:$AA$319),"",HYPERLINK("#'18℃'!D"&amp;(MATCH(200,'18℃'!$AA$5:$AA$319,0)+4),INDEX('18℃'!$D$5:$D$319,MATCH(200,'18℃'!$AA$5:$AA$319,0))))</f>
        <v/>
      </c>
      <c xmlns="http://schemas.openxmlformats.org/spreadsheetml/2006/main" r="C221" s="18" t="str">
        <f>IF(200&gt;MAX('4℃飯'!$AA$5:$AA$319),"",HYPERLINK("#'4℃飯'!D"&amp;(MATCH(200,'4℃飯'!$AA$5:$AA$319,0)+4),INDEX('4℃飯'!$D$5:$D$319,MATCH(200,'4℃飯'!$AA$5:$AA$319,0))))</f>
        <v/>
      </c>
      <c xmlns="http://schemas.openxmlformats.org/spreadsheetml/2006/main" r="D221" s="18" t="str">
        <f>IF(200&gt;MAX('4℃麵'!$AA$5:$AA$310),"",HYPERLINK("#'4℃麵'!D"&amp;(MATCH(200,'4℃麵'!$AA$5:$AA$310,0)+4),INDEX('4℃麵'!$D$5:$D$310,MATCH(200,'4℃麵'!$AA$5:$AA$310,0))))</f>
        <v/>
      </c>
      <c xmlns="http://schemas.openxmlformats.org/spreadsheetml/2006/main" r="E221" s="18" t="str">
        <f>IF(200&gt;MAX('4℃其他'!$AA$5:$AA$322),"",HYPERLINK("#'4℃其他'!D"&amp;(MATCH(200,'4℃其他'!$AA$5:$AA$322,0)+4),INDEX('4℃其他'!$D$5:$D$322,MATCH(200,'4℃其他'!$AA$5:$AA$322,0))))</f>
        <v/>
      </c>
      <c xmlns="http://schemas.openxmlformats.org/spreadsheetml/2006/main" r="F221" s="18" t="str">
        <f>IF(200&gt;MAX('冷凍品'!$AA$5:$AA$322),"",HYPERLINK("#'冷凍品'!D"&amp;(MATCH(200,'冷凍品'!$AA$5:$AA$322,0)+4),INDEX('冷凍品'!$D$5:$D$322,MATCH(200,'冷凍品'!$AA$5:$AA$322,0))))</f>
        <v/>
      </c>
    </row>
    <row r="222">
      <c xmlns="http://schemas.openxmlformats.org/spreadsheetml/2006/main" r="B222" s="18" t="str">
        <f>IF(201&gt;MAX('18℃'!$AA$5:$AA$319),"",HYPERLINK("#'18℃'!D"&amp;(MATCH(201,'18℃'!$AA$5:$AA$319,0)+4),INDEX('18℃'!$D$5:$D$319,MATCH(201,'18℃'!$AA$5:$AA$319,0))))</f>
        <v/>
      </c>
      <c xmlns="http://schemas.openxmlformats.org/spreadsheetml/2006/main" r="C222" s="18" t="str">
        <f>IF(201&gt;MAX('4℃飯'!$AA$5:$AA$319),"",HYPERLINK("#'4℃飯'!D"&amp;(MATCH(201,'4℃飯'!$AA$5:$AA$319,0)+4),INDEX('4℃飯'!$D$5:$D$319,MATCH(201,'4℃飯'!$AA$5:$AA$319,0))))</f>
        <v/>
      </c>
      <c xmlns="http://schemas.openxmlformats.org/spreadsheetml/2006/main" r="D222" s="18" t="str">
        <f>IF(201&gt;MAX('4℃麵'!$AA$5:$AA$310),"",HYPERLINK("#'4℃麵'!D"&amp;(MATCH(201,'4℃麵'!$AA$5:$AA$310,0)+4),INDEX('4℃麵'!$D$5:$D$310,MATCH(201,'4℃麵'!$AA$5:$AA$310,0))))</f>
        <v/>
      </c>
      <c xmlns="http://schemas.openxmlformats.org/spreadsheetml/2006/main" r="E222" s="18" t="str">
        <f>IF(201&gt;MAX('4℃其他'!$AA$5:$AA$322),"",HYPERLINK("#'4℃其他'!D"&amp;(MATCH(201,'4℃其他'!$AA$5:$AA$322,0)+4),INDEX('4℃其他'!$D$5:$D$322,MATCH(201,'4℃其他'!$AA$5:$AA$322,0))))</f>
        <v/>
      </c>
      <c xmlns="http://schemas.openxmlformats.org/spreadsheetml/2006/main" r="F222" s="18" t="str">
        <f>IF(201&gt;MAX('冷凍品'!$AA$5:$AA$322),"",HYPERLINK("#'冷凍品'!D"&amp;(MATCH(201,'冷凍品'!$AA$5:$AA$322,0)+4),INDEX('冷凍品'!$D$5:$D$322,MATCH(201,'冷凍品'!$AA$5:$AA$322,0))))</f>
        <v/>
      </c>
    </row>
    <row r="223">
      <c xmlns="http://schemas.openxmlformats.org/spreadsheetml/2006/main" r="B223" s="18" t="str">
        <f>IF(202&gt;MAX('18℃'!$AA$5:$AA$319),"",HYPERLINK("#'18℃'!D"&amp;(MATCH(202,'18℃'!$AA$5:$AA$319,0)+4),INDEX('18℃'!$D$5:$D$319,MATCH(202,'18℃'!$AA$5:$AA$319,0))))</f>
        <v/>
      </c>
      <c xmlns="http://schemas.openxmlformats.org/spreadsheetml/2006/main" r="C223" s="18" t="str">
        <f>IF(202&gt;MAX('4℃飯'!$AA$5:$AA$319),"",HYPERLINK("#'4℃飯'!D"&amp;(MATCH(202,'4℃飯'!$AA$5:$AA$319,0)+4),INDEX('4℃飯'!$D$5:$D$319,MATCH(202,'4℃飯'!$AA$5:$AA$319,0))))</f>
        <v/>
      </c>
      <c xmlns="http://schemas.openxmlformats.org/spreadsheetml/2006/main" r="D223" s="18" t="str">
        <f>IF(202&gt;MAX('4℃麵'!$AA$5:$AA$310),"",HYPERLINK("#'4℃麵'!D"&amp;(MATCH(202,'4℃麵'!$AA$5:$AA$310,0)+4),INDEX('4℃麵'!$D$5:$D$310,MATCH(202,'4℃麵'!$AA$5:$AA$310,0))))</f>
        <v/>
      </c>
      <c xmlns="http://schemas.openxmlformats.org/spreadsheetml/2006/main" r="E223" s="18" t="str">
        <f>IF(202&gt;MAX('4℃其他'!$AA$5:$AA$322),"",HYPERLINK("#'4℃其他'!D"&amp;(MATCH(202,'4℃其他'!$AA$5:$AA$322,0)+4),INDEX('4℃其他'!$D$5:$D$322,MATCH(202,'4℃其他'!$AA$5:$AA$322,0))))</f>
        <v/>
      </c>
      <c xmlns="http://schemas.openxmlformats.org/spreadsheetml/2006/main" r="F223" s="18" t="str">
        <f>IF(202&gt;MAX('冷凍品'!$AA$5:$AA$322),"",HYPERLINK("#'冷凍品'!D"&amp;(MATCH(202,'冷凍品'!$AA$5:$AA$322,0)+4),INDEX('冷凍品'!$D$5:$D$322,MATCH(202,'冷凍品'!$AA$5:$AA$322,0))))</f>
        <v/>
      </c>
    </row>
    <row r="224">
      <c xmlns="http://schemas.openxmlformats.org/spreadsheetml/2006/main" r="B224" s="18" t="str">
        <f>IF(203&gt;MAX('18℃'!$AA$5:$AA$319),"",HYPERLINK("#'18℃'!D"&amp;(MATCH(203,'18℃'!$AA$5:$AA$319,0)+4),INDEX('18℃'!$D$5:$D$319,MATCH(203,'18℃'!$AA$5:$AA$319,0))))</f>
        <v/>
      </c>
      <c xmlns="http://schemas.openxmlformats.org/spreadsheetml/2006/main" r="C224" s="18" t="str">
        <f>IF(203&gt;MAX('4℃飯'!$AA$5:$AA$319),"",HYPERLINK("#'4℃飯'!D"&amp;(MATCH(203,'4℃飯'!$AA$5:$AA$319,0)+4),INDEX('4℃飯'!$D$5:$D$319,MATCH(203,'4℃飯'!$AA$5:$AA$319,0))))</f>
        <v/>
      </c>
      <c xmlns="http://schemas.openxmlformats.org/spreadsheetml/2006/main" r="D224" s="18" t="str">
        <f>IF(203&gt;MAX('4℃麵'!$AA$5:$AA$310),"",HYPERLINK("#'4℃麵'!D"&amp;(MATCH(203,'4℃麵'!$AA$5:$AA$310,0)+4),INDEX('4℃麵'!$D$5:$D$310,MATCH(203,'4℃麵'!$AA$5:$AA$310,0))))</f>
        <v/>
      </c>
      <c xmlns="http://schemas.openxmlformats.org/spreadsheetml/2006/main" r="E224" s="18" t="str">
        <f>IF(203&gt;MAX('4℃其他'!$AA$5:$AA$322),"",HYPERLINK("#'4℃其他'!D"&amp;(MATCH(203,'4℃其他'!$AA$5:$AA$322,0)+4),INDEX('4℃其他'!$D$5:$D$322,MATCH(203,'4℃其他'!$AA$5:$AA$322,0))))</f>
        <v/>
      </c>
      <c xmlns="http://schemas.openxmlformats.org/spreadsheetml/2006/main" r="F224" s="18" t="str">
        <f>IF(203&gt;MAX('冷凍品'!$AA$5:$AA$322),"",HYPERLINK("#'冷凍品'!D"&amp;(MATCH(203,'冷凍品'!$AA$5:$AA$322,0)+4),INDEX('冷凍品'!$D$5:$D$322,MATCH(203,'冷凍品'!$AA$5:$AA$322,0))))</f>
        <v/>
      </c>
    </row>
    <row r="225">
      <c xmlns="http://schemas.openxmlformats.org/spreadsheetml/2006/main" r="B225" s="18" t="str">
        <f>IF(204&gt;MAX('18℃'!$AA$5:$AA$319),"",HYPERLINK("#'18℃'!D"&amp;(MATCH(204,'18℃'!$AA$5:$AA$319,0)+4),INDEX('18℃'!$D$5:$D$319,MATCH(204,'18℃'!$AA$5:$AA$319,0))))</f>
        <v/>
      </c>
      <c xmlns="http://schemas.openxmlformats.org/spreadsheetml/2006/main" r="C225" s="18" t="str">
        <f>IF(204&gt;MAX('4℃飯'!$AA$5:$AA$319),"",HYPERLINK("#'4℃飯'!D"&amp;(MATCH(204,'4℃飯'!$AA$5:$AA$319,0)+4),INDEX('4℃飯'!$D$5:$D$319,MATCH(204,'4℃飯'!$AA$5:$AA$319,0))))</f>
        <v/>
      </c>
      <c xmlns="http://schemas.openxmlformats.org/spreadsheetml/2006/main" r="D225" s="18" t="str">
        <f>IF(204&gt;MAX('4℃麵'!$AA$5:$AA$310),"",HYPERLINK("#'4℃麵'!D"&amp;(MATCH(204,'4℃麵'!$AA$5:$AA$310,0)+4),INDEX('4℃麵'!$D$5:$D$310,MATCH(204,'4℃麵'!$AA$5:$AA$310,0))))</f>
        <v/>
      </c>
      <c xmlns="http://schemas.openxmlformats.org/spreadsheetml/2006/main" r="E225" s="18" t="str">
        <f>IF(204&gt;MAX('4℃其他'!$AA$5:$AA$322),"",HYPERLINK("#'4℃其他'!D"&amp;(MATCH(204,'4℃其他'!$AA$5:$AA$322,0)+4),INDEX('4℃其他'!$D$5:$D$322,MATCH(204,'4℃其他'!$AA$5:$AA$322,0))))</f>
        <v/>
      </c>
      <c xmlns="http://schemas.openxmlformats.org/spreadsheetml/2006/main" r="F225" s="18" t="str">
        <f>IF(204&gt;MAX('冷凍品'!$AA$5:$AA$322),"",HYPERLINK("#'冷凍品'!D"&amp;(MATCH(204,'冷凍品'!$AA$5:$AA$322,0)+4),INDEX('冷凍品'!$D$5:$D$322,MATCH(204,'冷凍品'!$AA$5:$AA$322,0))))</f>
        <v/>
      </c>
    </row>
    <row r="226">
      <c xmlns="http://schemas.openxmlformats.org/spreadsheetml/2006/main" r="B226" s="18" t="str">
        <f>IF(205&gt;MAX('18℃'!$AA$5:$AA$319),"",HYPERLINK("#'18℃'!D"&amp;(MATCH(205,'18℃'!$AA$5:$AA$319,0)+4),INDEX('18℃'!$D$5:$D$319,MATCH(205,'18℃'!$AA$5:$AA$319,0))))</f>
        <v/>
      </c>
      <c xmlns="http://schemas.openxmlformats.org/spreadsheetml/2006/main" r="C226" s="18" t="str">
        <f>IF(205&gt;MAX('4℃飯'!$AA$5:$AA$319),"",HYPERLINK("#'4℃飯'!D"&amp;(MATCH(205,'4℃飯'!$AA$5:$AA$319,0)+4),INDEX('4℃飯'!$D$5:$D$319,MATCH(205,'4℃飯'!$AA$5:$AA$319,0))))</f>
        <v/>
      </c>
      <c xmlns="http://schemas.openxmlformats.org/spreadsheetml/2006/main" r="D226" s="18" t="str">
        <f>IF(205&gt;MAX('4℃麵'!$AA$5:$AA$310),"",HYPERLINK("#'4℃麵'!D"&amp;(MATCH(205,'4℃麵'!$AA$5:$AA$310,0)+4),INDEX('4℃麵'!$D$5:$D$310,MATCH(205,'4℃麵'!$AA$5:$AA$310,0))))</f>
        <v/>
      </c>
      <c xmlns="http://schemas.openxmlformats.org/spreadsheetml/2006/main" r="E226" s="18" t="str">
        <f>IF(205&gt;MAX('4℃其他'!$AA$5:$AA$322),"",HYPERLINK("#'4℃其他'!D"&amp;(MATCH(205,'4℃其他'!$AA$5:$AA$322,0)+4),INDEX('4℃其他'!$D$5:$D$322,MATCH(205,'4℃其他'!$AA$5:$AA$322,0))))</f>
        <v/>
      </c>
      <c xmlns="http://schemas.openxmlformats.org/spreadsheetml/2006/main" r="F226" s="18" t="str">
        <f>IF(205&gt;MAX('冷凍品'!$AA$5:$AA$322),"",HYPERLINK("#'冷凍品'!D"&amp;(MATCH(205,'冷凍品'!$AA$5:$AA$322,0)+4),INDEX('冷凍品'!$D$5:$D$322,MATCH(205,'冷凍品'!$AA$5:$AA$322,0))))</f>
        <v/>
      </c>
    </row>
    <row r="227">
      <c xmlns="http://schemas.openxmlformats.org/spreadsheetml/2006/main" r="B227" s="18" t="str">
        <f>IF(206&gt;MAX('18℃'!$AA$5:$AA$319),"",HYPERLINK("#'18℃'!D"&amp;(MATCH(206,'18℃'!$AA$5:$AA$319,0)+4),INDEX('18℃'!$D$5:$D$319,MATCH(206,'18℃'!$AA$5:$AA$319,0))))</f>
        <v/>
      </c>
      <c xmlns="http://schemas.openxmlformats.org/spreadsheetml/2006/main" r="C227" s="18" t="str">
        <f>IF(206&gt;MAX('4℃飯'!$AA$5:$AA$319),"",HYPERLINK("#'4℃飯'!D"&amp;(MATCH(206,'4℃飯'!$AA$5:$AA$319,0)+4),INDEX('4℃飯'!$D$5:$D$319,MATCH(206,'4℃飯'!$AA$5:$AA$319,0))))</f>
        <v/>
      </c>
      <c xmlns="http://schemas.openxmlformats.org/spreadsheetml/2006/main" r="D227" s="18" t="str">
        <f>IF(206&gt;MAX('4℃麵'!$AA$5:$AA$310),"",HYPERLINK("#'4℃麵'!D"&amp;(MATCH(206,'4℃麵'!$AA$5:$AA$310,0)+4),INDEX('4℃麵'!$D$5:$D$310,MATCH(206,'4℃麵'!$AA$5:$AA$310,0))))</f>
        <v/>
      </c>
      <c xmlns="http://schemas.openxmlformats.org/spreadsheetml/2006/main" r="E227" s="18" t="str">
        <f>IF(206&gt;MAX('4℃其他'!$AA$5:$AA$322),"",HYPERLINK("#'4℃其他'!D"&amp;(MATCH(206,'4℃其他'!$AA$5:$AA$322,0)+4),INDEX('4℃其他'!$D$5:$D$322,MATCH(206,'4℃其他'!$AA$5:$AA$322,0))))</f>
        <v/>
      </c>
      <c xmlns="http://schemas.openxmlformats.org/spreadsheetml/2006/main" r="F227" s="18" t="str">
        <f>IF(206&gt;MAX('冷凍品'!$AA$5:$AA$322),"",HYPERLINK("#'冷凍品'!D"&amp;(MATCH(206,'冷凍品'!$AA$5:$AA$322,0)+4),INDEX('冷凍品'!$D$5:$D$322,MATCH(206,'冷凍品'!$AA$5:$AA$322,0))))</f>
        <v/>
      </c>
    </row>
    <row r="228">
      <c xmlns="http://schemas.openxmlformats.org/spreadsheetml/2006/main" r="B228" s="18" t="str">
        <f>IF(207&gt;MAX('18℃'!$AA$5:$AA$319),"",HYPERLINK("#'18℃'!D"&amp;(MATCH(207,'18℃'!$AA$5:$AA$319,0)+4),INDEX('18℃'!$D$5:$D$319,MATCH(207,'18℃'!$AA$5:$AA$319,0))))</f>
        <v/>
      </c>
      <c xmlns="http://schemas.openxmlformats.org/spreadsheetml/2006/main" r="C228" s="18" t="str">
        <f>IF(207&gt;MAX('4℃飯'!$AA$5:$AA$319),"",HYPERLINK("#'4℃飯'!D"&amp;(MATCH(207,'4℃飯'!$AA$5:$AA$319,0)+4),INDEX('4℃飯'!$D$5:$D$319,MATCH(207,'4℃飯'!$AA$5:$AA$319,0))))</f>
        <v/>
      </c>
      <c xmlns="http://schemas.openxmlformats.org/spreadsheetml/2006/main" r="D228" s="18" t="str">
        <f>IF(207&gt;MAX('4℃麵'!$AA$5:$AA$310),"",HYPERLINK("#'4℃麵'!D"&amp;(MATCH(207,'4℃麵'!$AA$5:$AA$310,0)+4),INDEX('4℃麵'!$D$5:$D$310,MATCH(207,'4℃麵'!$AA$5:$AA$310,0))))</f>
        <v/>
      </c>
      <c xmlns="http://schemas.openxmlformats.org/spreadsheetml/2006/main" r="E228" s="18" t="str">
        <f>IF(207&gt;MAX('4℃其他'!$AA$5:$AA$322),"",HYPERLINK("#'4℃其他'!D"&amp;(MATCH(207,'4℃其他'!$AA$5:$AA$322,0)+4),INDEX('4℃其他'!$D$5:$D$322,MATCH(207,'4℃其他'!$AA$5:$AA$322,0))))</f>
        <v/>
      </c>
      <c xmlns="http://schemas.openxmlformats.org/spreadsheetml/2006/main" r="F228" s="18" t="str">
        <f>IF(207&gt;MAX('冷凍品'!$AA$5:$AA$322),"",HYPERLINK("#'冷凍品'!D"&amp;(MATCH(207,'冷凍品'!$AA$5:$AA$322,0)+4),INDEX('冷凍品'!$D$5:$D$322,MATCH(207,'冷凍品'!$AA$5:$AA$322,0))))</f>
        <v/>
      </c>
    </row>
    <row r="229">
      <c xmlns="http://schemas.openxmlformats.org/spreadsheetml/2006/main" r="B229" s="18" t="str">
        <f>IF(208&gt;MAX('18℃'!$AA$5:$AA$319),"",HYPERLINK("#'18℃'!D"&amp;(MATCH(208,'18℃'!$AA$5:$AA$319,0)+4),INDEX('18℃'!$D$5:$D$319,MATCH(208,'18℃'!$AA$5:$AA$319,0))))</f>
        <v/>
      </c>
      <c xmlns="http://schemas.openxmlformats.org/spreadsheetml/2006/main" r="C229" s="18" t="str">
        <f>IF(208&gt;MAX('4℃飯'!$AA$5:$AA$319),"",HYPERLINK("#'4℃飯'!D"&amp;(MATCH(208,'4℃飯'!$AA$5:$AA$319,0)+4),INDEX('4℃飯'!$D$5:$D$319,MATCH(208,'4℃飯'!$AA$5:$AA$319,0))))</f>
        <v/>
      </c>
      <c xmlns="http://schemas.openxmlformats.org/spreadsheetml/2006/main" r="D229" s="18" t="str">
        <f>IF(208&gt;MAX('4℃麵'!$AA$5:$AA$310),"",HYPERLINK("#'4℃麵'!D"&amp;(MATCH(208,'4℃麵'!$AA$5:$AA$310,0)+4),INDEX('4℃麵'!$D$5:$D$310,MATCH(208,'4℃麵'!$AA$5:$AA$310,0))))</f>
        <v/>
      </c>
      <c xmlns="http://schemas.openxmlformats.org/spreadsheetml/2006/main" r="E229" s="18" t="str">
        <f>IF(208&gt;MAX('4℃其他'!$AA$5:$AA$322),"",HYPERLINK("#'4℃其他'!D"&amp;(MATCH(208,'4℃其他'!$AA$5:$AA$322,0)+4),INDEX('4℃其他'!$D$5:$D$322,MATCH(208,'4℃其他'!$AA$5:$AA$322,0))))</f>
        <v/>
      </c>
      <c xmlns="http://schemas.openxmlformats.org/spreadsheetml/2006/main" r="F229" s="18" t="str">
        <f>IF(208&gt;MAX('冷凍品'!$AA$5:$AA$322),"",HYPERLINK("#'冷凍品'!D"&amp;(MATCH(208,'冷凍品'!$AA$5:$AA$322,0)+4),INDEX('冷凍品'!$D$5:$D$322,MATCH(208,'冷凍品'!$AA$5:$AA$322,0))))</f>
        <v/>
      </c>
    </row>
    <row r="230">
      <c xmlns="http://schemas.openxmlformats.org/spreadsheetml/2006/main" r="B230" s="18" t="str">
        <f>IF(209&gt;MAX('18℃'!$AA$5:$AA$319),"",HYPERLINK("#'18℃'!D"&amp;(MATCH(209,'18℃'!$AA$5:$AA$319,0)+4),INDEX('18℃'!$D$5:$D$319,MATCH(209,'18℃'!$AA$5:$AA$319,0))))</f>
        <v/>
      </c>
      <c xmlns="http://schemas.openxmlformats.org/spreadsheetml/2006/main" r="C230" s="18" t="str">
        <f>IF(209&gt;MAX('4℃飯'!$AA$5:$AA$319),"",HYPERLINK("#'4℃飯'!D"&amp;(MATCH(209,'4℃飯'!$AA$5:$AA$319,0)+4),INDEX('4℃飯'!$D$5:$D$319,MATCH(209,'4℃飯'!$AA$5:$AA$319,0))))</f>
        <v/>
      </c>
      <c xmlns="http://schemas.openxmlformats.org/spreadsheetml/2006/main" r="D230" s="18" t="str">
        <f>IF(209&gt;MAX('4℃麵'!$AA$5:$AA$310),"",HYPERLINK("#'4℃麵'!D"&amp;(MATCH(209,'4℃麵'!$AA$5:$AA$310,0)+4),INDEX('4℃麵'!$D$5:$D$310,MATCH(209,'4℃麵'!$AA$5:$AA$310,0))))</f>
        <v/>
      </c>
      <c xmlns="http://schemas.openxmlformats.org/spreadsheetml/2006/main" r="E230" s="18" t="str">
        <f>IF(209&gt;MAX('4℃其他'!$AA$5:$AA$322),"",HYPERLINK("#'4℃其他'!D"&amp;(MATCH(209,'4℃其他'!$AA$5:$AA$322,0)+4),INDEX('4℃其他'!$D$5:$D$322,MATCH(209,'4℃其他'!$AA$5:$AA$322,0))))</f>
        <v/>
      </c>
      <c xmlns="http://schemas.openxmlformats.org/spreadsheetml/2006/main" r="F230" s="18" t="str">
        <f>IF(209&gt;MAX('冷凍品'!$AA$5:$AA$322),"",HYPERLINK("#'冷凍品'!D"&amp;(MATCH(209,'冷凍品'!$AA$5:$AA$322,0)+4),INDEX('冷凍品'!$D$5:$D$322,MATCH(209,'冷凍品'!$AA$5:$AA$322,0))))</f>
        <v/>
      </c>
    </row>
    <row r="231">
      <c xmlns="http://schemas.openxmlformats.org/spreadsheetml/2006/main" r="B231" s="18" t="str">
        <f>IF(210&gt;MAX('18℃'!$AA$5:$AA$319),"",HYPERLINK("#'18℃'!D"&amp;(MATCH(210,'18℃'!$AA$5:$AA$319,0)+4),INDEX('18℃'!$D$5:$D$319,MATCH(210,'18℃'!$AA$5:$AA$319,0))))</f>
        <v/>
      </c>
      <c xmlns="http://schemas.openxmlformats.org/spreadsheetml/2006/main" r="C231" s="18" t="str">
        <f>IF(210&gt;MAX('4℃飯'!$AA$5:$AA$319),"",HYPERLINK("#'4℃飯'!D"&amp;(MATCH(210,'4℃飯'!$AA$5:$AA$319,0)+4),INDEX('4℃飯'!$D$5:$D$319,MATCH(210,'4℃飯'!$AA$5:$AA$319,0))))</f>
        <v/>
      </c>
      <c xmlns="http://schemas.openxmlformats.org/spreadsheetml/2006/main" r="D231" s="18" t="str">
        <f>IF(210&gt;MAX('4℃麵'!$AA$5:$AA$310),"",HYPERLINK("#'4℃麵'!D"&amp;(MATCH(210,'4℃麵'!$AA$5:$AA$310,0)+4),INDEX('4℃麵'!$D$5:$D$310,MATCH(210,'4℃麵'!$AA$5:$AA$310,0))))</f>
        <v/>
      </c>
      <c xmlns="http://schemas.openxmlformats.org/spreadsheetml/2006/main" r="E231" s="18" t="str">
        <f>IF(210&gt;MAX('4℃其他'!$AA$5:$AA$322),"",HYPERLINK("#'4℃其他'!D"&amp;(MATCH(210,'4℃其他'!$AA$5:$AA$322,0)+4),INDEX('4℃其他'!$D$5:$D$322,MATCH(210,'4℃其他'!$AA$5:$AA$322,0))))</f>
        <v/>
      </c>
      <c xmlns="http://schemas.openxmlformats.org/spreadsheetml/2006/main" r="F231" s="18" t="str">
        <f>IF(210&gt;MAX('冷凍品'!$AA$5:$AA$322),"",HYPERLINK("#'冷凍品'!D"&amp;(MATCH(210,'冷凍品'!$AA$5:$AA$322,0)+4),INDEX('冷凍品'!$D$5:$D$322,MATCH(210,'冷凍品'!$AA$5:$AA$322,0))))</f>
        <v/>
      </c>
    </row>
    <row r="232">
      <c xmlns="http://schemas.openxmlformats.org/spreadsheetml/2006/main" r="B232" s="18" t="str">
        <f>IF(211&gt;MAX('18℃'!$AA$5:$AA$319),"",HYPERLINK("#'18℃'!D"&amp;(MATCH(211,'18℃'!$AA$5:$AA$319,0)+4),INDEX('18℃'!$D$5:$D$319,MATCH(211,'18℃'!$AA$5:$AA$319,0))))</f>
        <v/>
      </c>
      <c xmlns="http://schemas.openxmlformats.org/spreadsheetml/2006/main" r="C232" s="18" t="str">
        <f>IF(211&gt;MAX('4℃飯'!$AA$5:$AA$319),"",HYPERLINK("#'4℃飯'!D"&amp;(MATCH(211,'4℃飯'!$AA$5:$AA$319,0)+4),INDEX('4℃飯'!$D$5:$D$319,MATCH(211,'4℃飯'!$AA$5:$AA$319,0))))</f>
        <v/>
      </c>
      <c xmlns="http://schemas.openxmlformats.org/spreadsheetml/2006/main" r="D232" s="18" t="str">
        <f>IF(211&gt;MAX('4℃麵'!$AA$5:$AA$310),"",HYPERLINK("#'4℃麵'!D"&amp;(MATCH(211,'4℃麵'!$AA$5:$AA$310,0)+4),INDEX('4℃麵'!$D$5:$D$310,MATCH(211,'4℃麵'!$AA$5:$AA$310,0))))</f>
        <v/>
      </c>
      <c xmlns="http://schemas.openxmlformats.org/spreadsheetml/2006/main" r="E232" s="18" t="str">
        <f>IF(211&gt;MAX('4℃其他'!$AA$5:$AA$322),"",HYPERLINK("#'4℃其他'!D"&amp;(MATCH(211,'4℃其他'!$AA$5:$AA$322,0)+4),INDEX('4℃其他'!$D$5:$D$322,MATCH(211,'4℃其他'!$AA$5:$AA$322,0))))</f>
        <v/>
      </c>
      <c xmlns="http://schemas.openxmlformats.org/spreadsheetml/2006/main" r="F232" s="18" t="str">
        <f>IF(211&gt;MAX('冷凍品'!$AA$5:$AA$322),"",HYPERLINK("#'冷凍品'!D"&amp;(MATCH(211,'冷凍品'!$AA$5:$AA$322,0)+4),INDEX('冷凍品'!$D$5:$D$322,MATCH(211,'冷凍品'!$AA$5:$AA$322,0))))</f>
        <v/>
      </c>
    </row>
    <row r="233">
      <c xmlns="http://schemas.openxmlformats.org/spreadsheetml/2006/main" r="B233" s="18" t="str">
        <f>IF(212&gt;MAX('18℃'!$AA$5:$AA$319),"",HYPERLINK("#'18℃'!D"&amp;(MATCH(212,'18℃'!$AA$5:$AA$319,0)+4),INDEX('18℃'!$D$5:$D$319,MATCH(212,'18℃'!$AA$5:$AA$319,0))))</f>
        <v/>
      </c>
      <c xmlns="http://schemas.openxmlformats.org/spreadsheetml/2006/main" r="C233" s="18" t="str">
        <f>IF(212&gt;MAX('4℃飯'!$AA$5:$AA$319),"",HYPERLINK("#'4℃飯'!D"&amp;(MATCH(212,'4℃飯'!$AA$5:$AA$319,0)+4),INDEX('4℃飯'!$D$5:$D$319,MATCH(212,'4℃飯'!$AA$5:$AA$319,0))))</f>
        <v/>
      </c>
      <c xmlns="http://schemas.openxmlformats.org/spreadsheetml/2006/main" r="D233" s="18" t="str">
        <f>IF(212&gt;MAX('4℃麵'!$AA$5:$AA$310),"",HYPERLINK("#'4℃麵'!D"&amp;(MATCH(212,'4℃麵'!$AA$5:$AA$310,0)+4),INDEX('4℃麵'!$D$5:$D$310,MATCH(212,'4℃麵'!$AA$5:$AA$310,0))))</f>
        <v/>
      </c>
      <c xmlns="http://schemas.openxmlformats.org/spreadsheetml/2006/main" r="E233" s="18" t="str">
        <f>IF(212&gt;MAX('4℃其他'!$AA$5:$AA$322),"",HYPERLINK("#'4℃其他'!D"&amp;(MATCH(212,'4℃其他'!$AA$5:$AA$322,0)+4),INDEX('4℃其他'!$D$5:$D$322,MATCH(212,'4℃其他'!$AA$5:$AA$322,0))))</f>
        <v/>
      </c>
      <c xmlns="http://schemas.openxmlformats.org/spreadsheetml/2006/main" r="F233" s="18" t="str">
        <f>IF(212&gt;MAX('冷凍品'!$AA$5:$AA$322),"",HYPERLINK("#'冷凍品'!D"&amp;(MATCH(212,'冷凍品'!$AA$5:$AA$322,0)+4),INDEX('冷凍品'!$D$5:$D$322,MATCH(212,'冷凍品'!$AA$5:$AA$322,0))))</f>
        <v/>
      </c>
    </row>
    <row r="234">
      <c xmlns="http://schemas.openxmlformats.org/spreadsheetml/2006/main" r="B234" s="18" t="str">
        <f>IF(213&gt;MAX('18℃'!$AA$5:$AA$319),"",HYPERLINK("#'18℃'!D"&amp;(MATCH(213,'18℃'!$AA$5:$AA$319,0)+4),INDEX('18℃'!$D$5:$D$319,MATCH(213,'18℃'!$AA$5:$AA$319,0))))</f>
        <v/>
      </c>
      <c xmlns="http://schemas.openxmlformats.org/spreadsheetml/2006/main" r="C234" s="18" t="str">
        <f>IF(213&gt;MAX('4℃飯'!$AA$5:$AA$319),"",HYPERLINK("#'4℃飯'!D"&amp;(MATCH(213,'4℃飯'!$AA$5:$AA$319,0)+4),INDEX('4℃飯'!$D$5:$D$319,MATCH(213,'4℃飯'!$AA$5:$AA$319,0))))</f>
        <v/>
      </c>
      <c xmlns="http://schemas.openxmlformats.org/spreadsheetml/2006/main" r="D234" s="18" t="str">
        <f>IF(213&gt;MAX('4℃麵'!$AA$5:$AA$310),"",HYPERLINK("#'4℃麵'!D"&amp;(MATCH(213,'4℃麵'!$AA$5:$AA$310,0)+4),INDEX('4℃麵'!$D$5:$D$310,MATCH(213,'4℃麵'!$AA$5:$AA$310,0))))</f>
        <v/>
      </c>
      <c xmlns="http://schemas.openxmlformats.org/spreadsheetml/2006/main" r="E234" s="18" t="str">
        <f>IF(213&gt;MAX('4℃其他'!$AA$5:$AA$322),"",HYPERLINK("#'4℃其他'!D"&amp;(MATCH(213,'4℃其他'!$AA$5:$AA$322,0)+4),INDEX('4℃其他'!$D$5:$D$322,MATCH(213,'4℃其他'!$AA$5:$AA$322,0))))</f>
        <v/>
      </c>
      <c xmlns="http://schemas.openxmlformats.org/spreadsheetml/2006/main" r="F234" s="18" t="str">
        <f>IF(213&gt;MAX('冷凍品'!$AA$5:$AA$322),"",HYPERLINK("#'冷凍品'!D"&amp;(MATCH(213,'冷凍品'!$AA$5:$AA$322,0)+4),INDEX('冷凍品'!$D$5:$D$322,MATCH(213,'冷凍品'!$AA$5:$AA$322,0))))</f>
        <v/>
      </c>
    </row>
    <row r="235">
      <c xmlns="http://schemas.openxmlformats.org/spreadsheetml/2006/main" r="B235" s="18" t="str">
        <f>IF(214&gt;MAX('18℃'!$AA$5:$AA$319),"",HYPERLINK("#'18℃'!D"&amp;(MATCH(214,'18℃'!$AA$5:$AA$319,0)+4),INDEX('18℃'!$D$5:$D$319,MATCH(214,'18℃'!$AA$5:$AA$319,0))))</f>
        <v/>
      </c>
      <c xmlns="http://schemas.openxmlformats.org/spreadsheetml/2006/main" r="C235" s="18" t="str">
        <f>IF(214&gt;MAX('4℃飯'!$AA$5:$AA$319),"",HYPERLINK("#'4℃飯'!D"&amp;(MATCH(214,'4℃飯'!$AA$5:$AA$319,0)+4),INDEX('4℃飯'!$D$5:$D$319,MATCH(214,'4℃飯'!$AA$5:$AA$319,0))))</f>
        <v/>
      </c>
      <c xmlns="http://schemas.openxmlformats.org/spreadsheetml/2006/main" r="D235" s="18" t="str">
        <f>IF(214&gt;MAX('4℃麵'!$AA$5:$AA$310),"",HYPERLINK("#'4℃麵'!D"&amp;(MATCH(214,'4℃麵'!$AA$5:$AA$310,0)+4),INDEX('4℃麵'!$D$5:$D$310,MATCH(214,'4℃麵'!$AA$5:$AA$310,0))))</f>
        <v/>
      </c>
      <c xmlns="http://schemas.openxmlformats.org/spreadsheetml/2006/main" r="E235" s="18" t="str">
        <f>IF(214&gt;MAX('4℃其他'!$AA$5:$AA$322),"",HYPERLINK("#'4℃其他'!D"&amp;(MATCH(214,'4℃其他'!$AA$5:$AA$322,0)+4),INDEX('4℃其他'!$D$5:$D$322,MATCH(214,'4℃其他'!$AA$5:$AA$322,0))))</f>
        <v/>
      </c>
      <c xmlns="http://schemas.openxmlformats.org/spreadsheetml/2006/main" r="F235" s="18" t="str">
        <f>IF(214&gt;MAX('冷凍品'!$AA$5:$AA$322),"",HYPERLINK("#'冷凍品'!D"&amp;(MATCH(214,'冷凍品'!$AA$5:$AA$322,0)+4),INDEX('冷凍品'!$D$5:$D$322,MATCH(214,'冷凍品'!$AA$5:$AA$322,0))))</f>
        <v/>
      </c>
    </row>
    <row r="236">
      <c xmlns="http://schemas.openxmlformats.org/spreadsheetml/2006/main" r="B236" s="18" t="str">
        <f>IF(215&gt;MAX('18℃'!$AA$5:$AA$319),"",HYPERLINK("#'18℃'!D"&amp;(MATCH(215,'18℃'!$AA$5:$AA$319,0)+4),INDEX('18℃'!$D$5:$D$319,MATCH(215,'18℃'!$AA$5:$AA$319,0))))</f>
        <v/>
      </c>
      <c xmlns="http://schemas.openxmlformats.org/spreadsheetml/2006/main" r="C236" s="18" t="str">
        <f>IF(215&gt;MAX('4℃飯'!$AA$5:$AA$319),"",HYPERLINK("#'4℃飯'!D"&amp;(MATCH(215,'4℃飯'!$AA$5:$AA$319,0)+4),INDEX('4℃飯'!$D$5:$D$319,MATCH(215,'4℃飯'!$AA$5:$AA$319,0))))</f>
        <v/>
      </c>
      <c xmlns="http://schemas.openxmlformats.org/spreadsheetml/2006/main" r="D236" s="18" t="str">
        <f>IF(215&gt;MAX('4℃麵'!$AA$5:$AA$310),"",HYPERLINK("#'4℃麵'!D"&amp;(MATCH(215,'4℃麵'!$AA$5:$AA$310,0)+4),INDEX('4℃麵'!$D$5:$D$310,MATCH(215,'4℃麵'!$AA$5:$AA$310,0))))</f>
        <v/>
      </c>
      <c xmlns="http://schemas.openxmlformats.org/spreadsheetml/2006/main" r="E236" s="18" t="str">
        <f>IF(215&gt;MAX('4℃其他'!$AA$5:$AA$322),"",HYPERLINK("#'4℃其他'!D"&amp;(MATCH(215,'4℃其他'!$AA$5:$AA$322,0)+4),INDEX('4℃其他'!$D$5:$D$322,MATCH(215,'4℃其他'!$AA$5:$AA$322,0))))</f>
        <v/>
      </c>
      <c xmlns="http://schemas.openxmlformats.org/spreadsheetml/2006/main" r="F236" s="18" t="str">
        <f>IF(215&gt;MAX('冷凍品'!$AA$5:$AA$322),"",HYPERLINK("#'冷凍品'!D"&amp;(MATCH(215,'冷凍品'!$AA$5:$AA$322,0)+4),INDEX('冷凍品'!$D$5:$D$322,MATCH(215,'冷凍品'!$AA$5:$AA$322,0))))</f>
        <v/>
      </c>
    </row>
    <row r="237">
      <c xmlns="http://schemas.openxmlformats.org/spreadsheetml/2006/main" r="B237" s="18" t="str">
        <f>IF(216&gt;MAX('18℃'!$AA$5:$AA$319),"",HYPERLINK("#'18℃'!D"&amp;(MATCH(216,'18℃'!$AA$5:$AA$319,0)+4),INDEX('18℃'!$D$5:$D$319,MATCH(216,'18℃'!$AA$5:$AA$319,0))))</f>
        <v/>
      </c>
      <c xmlns="http://schemas.openxmlformats.org/spreadsheetml/2006/main" r="C237" s="18" t="str">
        <f>IF(216&gt;MAX('4℃飯'!$AA$5:$AA$319),"",HYPERLINK("#'4℃飯'!D"&amp;(MATCH(216,'4℃飯'!$AA$5:$AA$319,0)+4),INDEX('4℃飯'!$D$5:$D$319,MATCH(216,'4℃飯'!$AA$5:$AA$319,0))))</f>
        <v/>
      </c>
      <c xmlns="http://schemas.openxmlformats.org/spreadsheetml/2006/main" r="D237" s="18" t="str">
        <f>IF(216&gt;MAX('4℃麵'!$AA$5:$AA$310),"",HYPERLINK("#'4℃麵'!D"&amp;(MATCH(216,'4℃麵'!$AA$5:$AA$310,0)+4),INDEX('4℃麵'!$D$5:$D$310,MATCH(216,'4℃麵'!$AA$5:$AA$310,0))))</f>
        <v/>
      </c>
      <c xmlns="http://schemas.openxmlformats.org/spreadsheetml/2006/main" r="E237" s="18" t="str">
        <f>IF(216&gt;MAX('4℃其他'!$AA$5:$AA$322),"",HYPERLINK("#'4℃其他'!D"&amp;(MATCH(216,'4℃其他'!$AA$5:$AA$322,0)+4),INDEX('4℃其他'!$D$5:$D$322,MATCH(216,'4℃其他'!$AA$5:$AA$322,0))))</f>
        <v/>
      </c>
      <c xmlns="http://schemas.openxmlformats.org/spreadsheetml/2006/main" r="F237" s="18" t="str">
        <f>IF(216&gt;MAX('冷凍品'!$AA$5:$AA$322),"",HYPERLINK("#'冷凍品'!D"&amp;(MATCH(216,'冷凍品'!$AA$5:$AA$322,0)+4),INDEX('冷凍品'!$D$5:$D$322,MATCH(216,'冷凍品'!$AA$5:$AA$322,0))))</f>
        <v/>
      </c>
    </row>
    <row r="238">
      <c xmlns="http://schemas.openxmlformats.org/spreadsheetml/2006/main" r="B238" s="18" t="str">
        <f>IF(217&gt;MAX('18℃'!$AA$5:$AA$319),"",HYPERLINK("#'18℃'!D"&amp;(MATCH(217,'18℃'!$AA$5:$AA$319,0)+4),INDEX('18℃'!$D$5:$D$319,MATCH(217,'18℃'!$AA$5:$AA$319,0))))</f>
        <v/>
      </c>
      <c xmlns="http://schemas.openxmlformats.org/spreadsheetml/2006/main" r="C238" s="18" t="str">
        <f>IF(217&gt;MAX('4℃飯'!$AA$5:$AA$319),"",HYPERLINK("#'4℃飯'!D"&amp;(MATCH(217,'4℃飯'!$AA$5:$AA$319,0)+4),INDEX('4℃飯'!$D$5:$D$319,MATCH(217,'4℃飯'!$AA$5:$AA$319,0))))</f>
        <v/>
      </c>
      <c xmlns="http://schemas.openxmlformats.org/spreadsheetml/2006/main" r="D238" s="18" t="str">
        <f>IF(217&gt;MAX('4℃麵'!$AA$5:$AA$310),"",HYPERLINK("#'4℃麵'!D"&amp;(MATCH(217,'4℃麵'!$AA$5:$AA$310,0)+4),INDEX('4℃麵'!$D$5:$D$310,MATCH(217,'4℃麵'!$AA$5:$AA$310,0))))</f>
        <v/>
      </c>
      <c xmlns="http://schemas.openxmlformats.org/spreadsheetml/2006/main" r="E238" s="18" t="str">
        <f>IF(217&gt;MAX('4℃其他'!$AA$5:$AA$322),"",HYPERLINK("#'4℃其他'!D"&amp;(MATCH(217,'4℃其他'!$AA$5:$AA$322,0)+4),INDEX('4℃其他'!$D$5:$D$322,MATCH(217,'4℃其他'!$AA$5:$AA$322,0))))</f>
        <v/>
      </c>
      <c xmlns="http://schemas.openxmlformats.org/spreadsheetml/2006/main" r="F238" s="18" t="str">
        <f>IF(217&gt;MAX('冷凍品'!$AA$5:$AA$322),"",HYPERLINK("#'冷凍品'!D"&amp;(MATCH(217,'冷凍品'!$AA$5:$AA$322,0)+4),INDEX('冷凍品'!$D$5:$D$322,MATCH(217,'冷凍品'!$AA$5:$AA$322,0))))</f>
        <v/>
      </c>
    </row>
    <row r="239">
      <c xmlns="http://schemas.openxmlformats.org/spreadsheetml/2006/main" r="B239" s="18" t="str">
        <f>IF(218&gt;MAX('18℃'!$AA$5:$AA$319),"",HYPERLINK("#'18℃'!D"&amp;(MATCH(218,'18℃'!$AA$5:$AA$319,0)+4),INDEX('18℃'!$D$5:$D$319,MATCH(218,'18℃'!$AA$5:$AA$319,0))))</f>
        <v/>
      </c>
      <c xmlns="http://schemas.openxmlformats.org/spreadsheetml/2006/main" r="C239" s="18" t="str">
        <f>IF(218&gt;MAX('4℃飯'!$AA$5:$AA$319),"",HYPERLINK("#'4℃飯'!D"&amp;(MATCH(218,'4℃飯'!$AA$5:$AA$319,0)+4),INDEX('4℃飯'!$D$5:$D$319,MATCH(218,'4℃飯'!$AA$5:$AA$319,0))))</f>
        <v/>
      </c>
      <c xmlns="http://schemas.openxmlformats.org/spreadsheetml/2006/main" r="D239" s="18" t="str">
        <f>IF(218&gt;MAX('4℃麵'!$AA$5:$AA$310),"",HYPERLINK("#'4℃麵'!D"&amp;(MATCH(218,'4℃麵'!$AA$5:$AA$310,0)+4),INDEX('4℃麵'!$D$5:$D$310,MATCH(218,'4℃麵'!$AA$5:$AA$310,0))))</f>
        <v/>
      </c>
      <c xmlns="http://schemas.openxmlformats.org/spreadsheetml/2006/main" r="E239" s="18" t="str">
        <f>IF(218&gt;MAX('4℃其他'!$AA$5:$AA$322),"",HYPERLINK("#'4℃其他'!D"&amp;(MATCH(218,'4℃其他'!$AA$5:$AA$322,0)+4),INDEX('4℃其他'!$D$5:$D$322,MATCH(218,'4℃其他'!$AA$5:$AA$322,0))))</f>
        <v/>
      </c>
      <c xmlns="http://schemas.openxmlformats.org/spreadsheetml/2006/main" r="F239" s="18" t="str">
        <f>IF(218&gt;MAX('冷凍品'!$AA$5:$AA$322),"",HYPERLINK("#'冷凍品'!D"&amp;(MATCH(218,'冷凍品'!$AA$5:$AA$322,0)+4),INDEX('冷凍品'!$D$5:$D$322,MATCH(218,'冷凍品'!$AA$5:$AA$322,0))))</f>
        <v/>
      </c>
    </row>
    <row r="240">
      <c xmlns="http://schemas.openxmlformats.org/spreadsheetml/2006/main" r="B240" s="18" t="str">
        <f>IF(219&gt;MAX('18℃'!$AA$5:$AA$319),"",HYPERLINK("#'18℃'!D"&amp;(MATCH(219,'18℃'!$AA$5:$AA$319,0)+4),INDEX('18℃'!$D$5:$D$319,MATCH(219,'18℃'!$AA$5:$AA$319,0))))</f>
        <v/>
      </c>
      <c xmlns="http://schemas.openxmlformats.org/spreadsheetml/2006/main" r="C240" s="18" t="str">
        <f>IF(219&gt;MAX('4℃飯'!$AA$5:$AA$319),"",HYPERLINK("#'4℃飯'!D"&amp;(MATCH(219,'4℃飯'!$AA$5:$AA$319,0)+4),INDEX('4℃飯'!$D$5:$D$319,MATCH(219,'4℃飯'!$AA$5:$AA$319,0))))</f>
        <v/>
      </c>
      <c xmlns="http://schemas.openxmlformats.org/spreadsheetml/2006/main" r="D240" s="18" t="str">
        <f>IF(219&gt;MAX('4℃麵'!$AA$5:$AA$310),"",HYPERLINK("#'4℃麵'!D"&amp;(MATCH(219,'4℃麵'!$AA$5:$AA$310,0)+4),INDEX('4℃麵'!$D$5:$D$310,MATCH(219,'4℃麵'!$AA$5:$AA$310,0))))</f>
        <v/>
      </c>
      <c xmlns="http://schemas.openxmlformats.org/spreadsheetml/2006/main" r="E240" s="18" t="str">
        <f>IF(219&gt;MAX('4℃其他'!$AA$5:$AA$322),"",HYPERLINK("#'4℃其他'!D"&amp;(MATCH(219,'4℃其他'!$AA$5:$AA$322,0)+4),INDEX('4℃其他'!$D$5:$D$322,MATCH(219,'4℃其他'!$AA$5:$AA$322,0))))</f>
        <v/>
      </c>
      <c xmlns="http://schemas.openxmlformats.org/spreadsheetml/2006/main" r="F240" s="18" t="str">
        <f>IF(219&gt;MAX('冷凍品'!$AA$5:$AA$322),"",HYPERLINK("#'冷凍品'!D"&amp;(MATCH(219,'冷凍品'!$AA$5:$AA$322,0)+4),INDEX('冷凍品'!$D$5:$D$322,MATCH(219,'冷凍品'!$AA$5:$AA$322,0))))</f>
        <v/>
      </c>
    </row>
    <row r="241">
      <c xmlns="http://schemas.openxmlformats.org/spreadsheetml/2006/main" r="B241" s="18" t="str">
        <f>IF(220&gt;MAX('18℃'!$AA$5:$AA$319),"",HYPERLINK("#'18℃'!D"&amp;(MATCH(220,'18℃'!$AA$5:$AA$319,0)+4),INDEX('18℃'!$D$5:$D$319,MATCH(220,'18℃'!$AA$5:$AA$319,0))))</f>
        <v/>
      </c>
      <c xmlns="http://schemas.openxmlformats.org/spreadsheetml/2006/main" r="C241" s="18" t="str">
        <f>IF(220&gt;MAX('4℃飯'!$AA$5:$AA$319),"",HYPERLINK("#'4℃飯'!D"&amp;(MATCH(220,'4℃飯'!$AA$5:$AA$319,0)+4),INDEX('4℃飯'!$D$5:$D$319,MATCH(220,'4℃飯'!$AA$5:$AA$319,0))))</f>
        <v/>
      </c>
      <c xmlns="http://schemas.openxmlformats.org/spreadsheetml/2006/main" r="D241" s="18" t="str">
        <f>IF(220&gt;MAX('4℃麵'!$AA$5:$AA$310),"",HYPERLINK("#'4℃麵'!D"&amp;(MATCH(220,'4℃麵'!$AA$5:$AA$310,0)+4),INDEX('4℃麵'!$D$5:$D$310,MATCH(220,'4℃麵'!$AA$5:$AA$310,0))))</f>
        <v/>
      </c>
      <c xmlns="http://schemas.openxmlformats.org/spreadsheetml/2006/main" r="E241" s="18" t="str">
        <f>IF(220&gt;MAX('4℃其他'!$AA$5:$AA$322),"",HYPERLINK("#'4℃其他'!D"&amp;(MATCH(220,'4℃其他'!$AA$5:$AA$322,0)+4),INDEX('4℃其他'!$D$5:$D$322,MATCH(220,'4℃其他'!$AA$5:$AA$322,0))))</f>
        <v/>
      </c>
      <c xmlns="http://schemas.openxmlformats.org/spreadsheetml/2006/main" r="F241" s="18" t="str">
        <f>IF(220&gt;MAX('冷凍品'!$AA$5:$AA$322),"",HYPERLINK("#'冷凍品'!D"&amp;(MATCH(220,'冷凍品'!$AA$5:$AA$322,0)+4),INDEX('冷凍品'!$D$5:$D$322,MATCH(220,'冷凍品'!$AA$5:$AA$322,0))))</f>
        <v/>
      </c>
    </row>
    <row r="242">
      <c xmlns="http://schemas.openxmlformats.org/spreadsheetml/2006/main" r="B242" s="18" t="str">
        <f>IF(221&gt;MAX('18℃'!$AA$5:$AA$319),"",HYPERLINK("#'18℃'!D"&amp;(MATCH(221,'18℃'!$AA$5:$AA$319,0)+4),INDEX('18℃'!$D$5:$D$319,MATCH(221,'18℃'!$AA$5:$AA$319,0))))</f>
        <v/>
      </c>
      <c xmlns="http://schemas.openxmlformats.org/spreadsheetml/2006/main" r="C242" s="18" t="str">
        <f>IF(221&gt;MAX('4℃飯'!$AA$5:$AA$319),"",HYPERLINK("#'4℃飯'!D"&amp;(MATCH(221,'4℃飯'!$AA$5:$AA$319,0)+4),INDEX('4℃飯'!$D$5:$D$319,MATCH(221,'4℃飯'!$AA$5:$AA$319,0))))</f>
        <v/>
      </c>
      <c xmlns="http://schemas.openxmlformats.org/spreadsheetml/2006/main" r="D242" s="18" t="str">
        <f>IF(221&gt;MAX('4℃麵'!$AA$5:$AA$310),"",HYPERLINK("#'4℃麵'!D"&amp;(MATCH(221,'4℃麵'!$AA$5:$AA$310,0)+4),INDEX('4℃麵'!$D$5:$D$310,MATCH(221,'4℃麵'!$AA$5:$AA$310,0))))</f>
        <v/>
      </c>
      <c xmlns="http://schemas.openxmlformats.org/spreadsheetml/2006/main" r="E242" s="18" t="str">
        <f>IF(221&gt;MAX('4℃其他'!$AA$5:$AA$322),"",HYPERLINK("#'4℃其他'!D"&amp;(MATCH(221,'4℃其他'!$AA$5:$AA$322,0)+4),INDEX('4℃其他'!$D$5:$D$322,MATCH(221,'4℃其他'!$AA$5:$AA$322,0))))</f>
        <v/>
      </c>
      <c xmlns="http://schemas.openxmlformats.org/spreadsheetml/2006/main" r="F242" s="18" t="str">
        <f>IF(221&gt;MAX('冷凍品'!$AA$5:$AA$322),"",HYPERLINK("#'冷凍品'!D"&amp;(MATCH(221,'冷凍品'!$AA$5:$AA$322,0)+4),INDEX('冷凍品'!$D$5:$D$322,MATCH(221,'冷凍品'!$AA$5:$AA$322,0))))</f>
        <v/>
      </c>
    </row>
    <row r="243">
      <c xmlns="http://schemas.openxmlformats.org/spreadsheetml/2006/main" r="B243" s="18" t="str">
        <f>IF(222&gt;MAX('18℃'!$AA$5:$AA$319),"",HYPERLINK("#'18℃'!D"&amp;(MATCH(222,'18℃'!$AA$5:$AA$319,0)+4),INDEX('18℃'!$D$5:$D$319,MATCH(222,'18℃'!$AA$5:$AA$319,0))))</f>
        <v/>
      </c>
      <c xmlns="http://schemas.openxmlformats.org/spreadsheetml/2006/main" r="C243" s="18" t="str">
        <f>IF(222&gt;MAX('4℃飯'!$AA$5:$AA$319),"",HYPERLINK("#'4℃飯'!D"&amp;(MATCH(222,'4℃飯'!$AA$5:$AA$319,0)+4),INDEX('4℃飯'!$D$5:$D$319,MATCH(222,'4℃飯'!$AA$5:$AA$319,0))))</f>
        <v/>
      </c>
      <c xmlns="http://schemas.openxmlformats.org/spreadsheetml/2006/main" r="D243" s="18" t="str">
        <f>IF(222&gt;MAX('4℃麵'!$AA$5:$AA$310),"",HYPERLINK("#'4℃麵'!D"&amp;(MATCH(222,'4℃麵'!$AA$5:$AA$310,0)+4),INDEX('4℃麵'!$D$5:$D$310,MATCH(222,'4℃麵'!$AA$5:$AA$310,0))))</f>
        <v/>
      </c>
      <c xmlns="http://schemas.openxmlformats.org/spreadsheetml/2006/main" r="E243" s="18" t="str">
        <f>IF(222&gt;MAX('4℃其他'!$AA$5:$AA$322),"",HYPERLINK("#'4℃其他'!D"&amp;(MATCH(222,'4℃其他'!$AA$5:$AA$322,0)+4),INDEX('4℃其他'!$D$5:$D$322,MATCH(222,'4℃其他'!$AA$5:$AA$322,0))))</f>
        <v/>
      </c>
      <c xmlns="http://schemas.openxmlformats.org/spreadsheetml/2006/main" r="F243" s="18" t="str">
        <f>IF(222&gt;MAX('冷凍品'!$AA$5:$AA$322),"",HYPERLINK("#'冷凍品'!D"&amp;(MATCH(222,'冷凍品'!$AA$5:$AA$322,0)+4),INDEX('冷凍品'!$D$5:$D$322,MATCH(222,'冷凍品'!$AA$5:$AA$322,0))))</f>
        <v/>
      </c>
    </row>
    <row r="244">
      <c xmlns="http://schemas.openxmlformats.org/spreadsheetml/2006/main" r="B244" s="18" t="str">
        <f>IF(223&gt;MAX('18℃'!$AA$5:$AA$319),"",HYPERLINK("#'18℃'!D"&amp;(MATCH(223,'18℃'!$AA$5:$AA$319,0)+4),INDEX('18℃'!$D$5:$D$319,MATCH(223,'18℃'!$AA$5:$AA$319,0))))</f>
        <v/>
      </c>
      <c xmlns="http://schemas.openxmlformats.org/spreadsheetml/2006/main" r="C244" s="18" t="str">
        <f>IF(223&gt;MAX('4℃飯'!$AA$5:$AA$319),"",HYPERLINK("#'4℃飯'!D"&amp;(MATCH(223,'4℃飯'!$AA$5:$AA$319,0)+4),INDEX('4℃飯'!$D$5:$D$319,MATCH(223,'4℃飯'!$AA$5:$AA$319,0))))</f>
        <v/>
      </c>
      <c xmlns="http://schemas.openxmlformats.org/spreadsheetml/2006/main" r="D244" s="18" t="str">
        <f>IF(223&gt;MAX('4℃麵'!$AA$5:$AA$310),"",HYPERLINK("#'4℃麵'!D"&amp;(MATCH(223,'4℃麵'!$AA$5:$AA$310,0)+4),INDEX('4℃麵'!$D$5:$D$310,MATCH(223,'4℃麵'!$AA$5:$AA$310,0))))</f>
        <v/>
      </c>
      <c xmlns="http://schemas.openxmlformats.org/spreadsheetml/2006/main" r="E244" s="18" t="str">
        <f>IF(223&gt;MAX('4℃其他'!$AA$5:$AA$322),"",HYPERLINK("#'4℃其他'!D"&amp;(MATCH(223,'4℃其他'!$AA$5:$AA$322,0)+4),INDEX('4℃其他'!$D$5:$D$322,MATCH(223,'4℃其他'!$AA$5:$AA$322,0))))</f>
        <v/>
      </c>
      <c xmlns="http://schemas.openxmlformats.org/spreadsheetml/2006/main" r="F244" s="18" t="str">
        <f>IF(223&gt;MAX('冷凍品'!$AA$5:$AA$322),"",HYPERLINK("#'冷凍品'!D"&amp;(MATCH(223,'冷凍品'!$AA$5:$AA$322,0)+4),INDEX('冷凍品'!$D$5:$D$322,MATCH(223,'冷凍品'!$AA$5:$AA$322,0))))</f>
        <v/>
      </c>
    </row>
    <row r="245">
      <c xmlns="http://schemas.openxmlformats.org/spreadsheetml/2006/main" r="B245" s="18" t="str">
        <f>IF(224&gt;MAX('18℃'!$AA$5:$AA$319),"",HYPERLINK("#'18℃'!D"&amp;(MATCH(224,'18℃'!$AA$5:$AA$319,0)+4),INDEX('18℃'!$D$5:$D$319,MATCH(224,'18℃'!$AA$5:$AA$319,0))))</f>
        <v/>
      </c>
      <c xmlns="http://schemas.openxmlformats.org/spreadsheetml/2006/main" r="C245" s="18" t="str">
        <f>IF(224&gt;MAX('4℃飯'!$AA$5:$AA$319),"",HYPERLINK("#'4℃飯'!D"&amp;(MATCH(224,'4℃飯'!$AA$5:$AA$319,0)+4),INDEX('4℃飯'!$D$5:$D$319,MATCH(224,'4℃飯'!$AA$5:$AA$319,0))))</f>
        <v/>
      </c>
      <c xmlns="http://schemas.openxmlformats.org/spreadsheetml/2006/main" r="D245" s="18" t="str">
        <f>IF(224&gt;MAX('4℃麵'!$AA$5:$AA$310),"",HYPERLINK("#'4℃麵'!D"&amp;(MATCH(224,'4℃麵'!$AA$5:$AA$310,0)+4),INDEX('4℃麵'!$D$5:$D$310,MATCH(224,'4℃麵'!$AA$5:$AA$310,0))))</f>
        <v/>
      </c>
      <c xmlns="http://schemas.openxmlformats.org/spreadsheetml/2006/main" r="E245" s="18" t="str">
        <f>IF(224&gt;MAX('4℃其他'!$AA$5:$AA$322),"",HYPERLINK("#'4℃其他'!D"&amp;(MATCH(224,'4℃其他'!$AA$5:$AA$322,0)+4),INDEX('4℃其他'!$D$5:$D$322,MATCH(224,'4℃其他'!$AA$5:$AA$322,0))))</f>
        <v/>
      </c>
      <c xmlns="http://schemas.openxmlformats.org/spreadsheetml/2006/main" r="F245" s="18" t="str">
        <f>IF(224&gt;MAX('冷凍品'!$AA$5:$AA$322),"",HYPERLINK("#'冷凍品'!D"&amp;(MATCH(224,'冷凍品'!$AA$5:$AA$322,0)+4),INDEX('冷凍品'!$D$5:$D$322,MATCH(224,'冷凍品'!$AA$5:$AA$322,0))))</f>
        <v/>
      </c>
    </row>
    <row r="246">
      <c xmlns="http://schemas.openxmlformats.org/spreadsheetml/2006/main" r="B246" s="18" t="str">
        <f>IF(225&gt;MAX('18℃'!$AA$5:$AA$319),"",HYPERLINK("#'18℃'!D"&amp;(MATCH(225,'18℃'!$AA$5:$AA$319,0)+4),INDEX('18℃'!$D$5:$D$319,MATCH(225,'18℃'!$AA$5:$AA$319,0))))</f>
        <v/>
      </c>
      <c xmlns="http://schemas.openxmlformats.org/spreadsheetml/2006/main" r="C246" s="18" t="str">
        <f>IF(225&gt;MAX('4℃飯'!$AA$5:$AA$319),"",HYPERLINK("#'4℃飯'!D"&amp;(MATCH(225,'4℃飯'!$AA$5:$AA$319,0)+4),INDEX('4℃飯'!$D$5:$D$319,MATCH(225,'4℃飯'!$AA$5:$AA$319,0))))</f>
        <v/>
      </c>
      <c xmlns="http://schemas.openxmlformats.org/spreadsheetml/2006/main" r="D246" s="18" t="str">
        <f>IF(225&gt;MAX('4℃麵'!$AA$5:$AA$310),"",HYPERLINK("#'4℃麵'!D"&amp;(MATCH(225,'4℃麵'!$AA$5:$AA$310,0)+4),INDEX('4℃麵'!$D$5:$D$310,MATCH(225,'4℃麵'!$AA$5:$AA$310,0))))</f>
        <v/>
      </c>
      <c xmlns="http://schemas.openxmlformats.org/spreadsheetml/2006/main" r="E246" s="18" t="str">
        <f>IF(225&gt;MAX('4℃其他'!$AA$5:$AA$322),"",HYPERLINK("#'4℃其他'!D"&amp;(MATCH(225,'4℃其他'!$AA$5:$AA$322,0)+4),INDEX('4℃其他'!$D$5:$D$322,MATCH(225,'4℃其他'!$AA$5:$AA$322,0))))</f>
        <v/>
      </c>
      <c xmlns="http://schemas.openxmlformats.org/spreadsheetml/2006/main" r="F246" s="18" t="str">
        <f>IF(225&gt;MAX('冷凍品'!$AA$5:$AA$322),"",HYPERLINK("#'冷凍品'!D"&amp;(MATCH(225,'冷凍品'!$AA$5:$AA$322,0)+4),INDEX('冷凍品'!$D$5:$D$322,MATCH(225,'冷凍品'!$AA$5:$AA$322,0))))</f>
        <v/>
      </c>
    </row>
    <row r="247">
      <c xmlns="http://schemas.openxmlformats.org/spreadsheetml/2006/main" r="B247" s="18" t="str">
        <f>IF(226&gt;MAX('18℃'!$AA$5:$AA$319),"",HYPERLINK("#'18℃'!D"&amp;(MATCH(226,'18℃'!$AA$5:$AA$319,0)+4),INDEX('18℃'!$D$5:$D$319,MATCH(226,'18℃'!$AA$5:$AA$319,0))))</f>
        <v/>
      </c>
      <c xmlns="http://schemas.openxmlformats.org/spreadsheetml/2006/main" r="C247" s="18" t="str">
        <f>IF(226&gt;MAX('4℃飯'!$AA$5:$AA$319),"",HYPERLINK("#'4℃飯'!D"&amp;(MATCH(226,'4℃飯'!$AA$5:$AA$319,0)+4),INDEX('4℃飯'!$D$5:$D$319,MATCH(226,'4℃飯'!$AA$5:$AA$319,0))))</f>
        <v/>
      </c>
      <c xmlns="http://schemas.openxmlformats.org/spreadsheetml/2006/main" r="D247" s="18" t="str">
        <f>IF(226&gt;MAX('4℃麵'!$AA$5:$AA$310),"",HYPERLINK("#'4℃麵'!D"&amp;(MATCH(226,'4℃麵'!$AA$5:$AA$310,0)+4),INDEX('4℃麵'!$D$5:$D$310,MATCH(226,'4℃麵'!$AA$5:$AA$310,0))))</f>
        <v/>
      </c>
      <c xmlns="http://schemas.openxmlformats.org/spreadsheetml/2006/main" r="E247" s="18" t="str">
        <f>IF(226&gt;MAX('4℃其他'!$AA$5:$AA$322),"",HYPERLINK("#'4℃其他'!D"&amp;(MATCH(226,'4℃其他'!$AA$5:$AA$322,0)+4),INDEX('4℃其他'!$D$5:$D$322,MATCH(226,'4℃其他'!$AA$5:$AA$322,0))))</f>
        <v/>
      </c>
      <c xmlns="http://schemas.openxmlformats.org/spreadsheetml/2006/main" r="F247" s="18" t="str">
        <f>IF(226&gt;MAX('冷凍品'!$AA$5:$AA$322),"",HYPERLINK("#'冷凍品'!D"&amp;(MATCH(226,'冷凍品'!$AA$5:$AA$322,0)+4),INDEX('冷凍品'!$D$5:$D$322,MATCH(226,'冷凍品'!$AA$5:$AA$322,0))))</f>
        <v/>
      </c>
    </row>
    <row r="248">
      <c xmlns="http://schemas.openxmlformats.org/spreadsheetml/2006/main" r="B248" s="18" t="str">
        <f>IF(227&gt;MAX('18℃'!$AA$5:$AA$319),"",HYPERLINK("#'18℃'!D"&amp;(MATCH(227,'18℃'!$AA$5:$AA$319,0)+4),INDEX('18℃'!$D$5:$D$319,MATCH(227,'18℃'!$AA$5:$AA$319,0))))</f>
        <v/>
      </c>
      <c xmlns="http://schemas.openxmlformats.org/spreadsheetml/2006/main" r="C248" s="18" t="str">
        <f>IF(227&gt;MAX('4℃飯'!$AA$5:$AA$319),"",HYPERLINK("#'4℃飯'!D"&amp;(MATCH(227,'4℃飯'!$AA$5:$AA$319,0)+4),INDEX('4℃飯'!$D$5:$D$319,MATCH(227,'4℃飯'!$AA$5:$AA$319,0))))</f>
        <v/>
      </c>
      <c xmlns="http://schemas.openxmlformats.org/spreadsheetml/2006/main" r="D248" s="18" t="str">
        <f>IF(227&gt;MAX('4℃麵'!$AA$5:$AA$310),"",HYPERLINK("#'4℃麵'!D"&amp;(MATCH(227,'4℃麵'!$AA$5:$AA$310,0)+4),INDEX('4℃麵'!$D$5:$D$310,MATCH(227,'4℃麵'!$AA$5:$AA$310,0))))</f>
        <v/>
      </c>
      <c xmlns="http://schemas.openxmlformats.org/spreadsheetml/2006/main" r="E248" s="18" t="str">
        <f>IF(227&gt;MAX('4℃其他'!$AA$5:$AA$322),"",HYPERLINK("#'4℃其他'!D"&amp;(MATCH(227,'4℃其他'!$AA$5:$AA$322,0)+4),INDEX('4℃其他'!$D$5:$D$322,MATCH(227,'4℃其他'!$AA$5:$AA$322,0))))</f>
        <v/>
      </c>
      <c xmlns="http://schemas.openxmlformats.org/spreadsheetml/2006/main" r="F248" s="18" t="str">
        <f>IF(227&gt;MAX('冷凍品'!$AA$5:$AA$322),"",HYPERLINK("#'冷凍品'!D"&amp;(MATCH(227,'冷凍品'!$AA$5:$AA$322,0)+4),INDEX('冷凍品'!$D$5:$D$322,MATCH(227,'冷凍品'!$AA$5:$AA$322,0))))</f>
        <v/>
      </c>
    </row>
    <row r="249">
      <c xmlns="http://schemas.openxmlformats.org/spreadsheetml/2006/main" r="B249" s="18" t="str">
        <f>IF(228&gt;MAX('18℃'!$AA$5:$AA$319),"",HYPERLINK("#'18℃'!D"&amp;(MATCH(228,'18℃'!$AA$5:$AA$319,0)+4),INDEX('18℃'!$D$5:$D$319,MATCH(228,'18℃'!$AA$5:$AA$319,0))))</f>
        <v/>
      </c>
      <c xmlns="http://schemas.openxmlformats.org/spreadsheetml/2006/main" r="C249" s="18" t="str">
        <f>IF(228&gt;MAX('4℃飯'!$AA$5:$AA$319),"",HYPERLINK("#'4℃飯'!D"&amp;(MATCH(228,'4℃飯'!$AA$5:$AA$319,0)+4),INDEX('4℃飯'!$D$5:$D$319,MATCH(228,'4℃飯'!$AA$5:$AA$319,0))))</f>
        <v/>
      </c>
      <c xmlns="http://schemas.openxmlformats.org/spreadsheetml/2006/main" r="D249" s="18" t="str">
        <f>IF(228&gt;MAX('4℃麵'!$AA$5:$AA$310),"",HYPERLINK("#'4℃麵'!D"&amp;(MATCH(228,'4℃麵'!$AA$5:$AA$310,0)+4),INDEX('4℃麵'!$D$5:$D$310,MATCH(228,'4℃麵'!$AA$5:$AA$310,0))))</f>
        <v/>
      </c>
      <c xmlns="http://schemas.openxmlformats.org/spreadsheetml/2006/main" r="E249" s="18" t="str">
        <f>IF(228&gt;MAX('4℃其他'!$AA$5:$AA$322),"",HYPERLINK("#'4℃其他'!D"&amp;(MATCH(228,'4℃其他'!$AA$5:$AA$322,0)+4),INDEX('4℃其他'!$D$5:$D$322,MATCH(228,'4℃其他'!$AA$5:$AA$322,0))))</f>
        <v/>
      </c>
      <c xmlns="http://schemas.openxmlformats.org/spreadsheetml/2006/main" r="F249" s="18" t="str">
        <f>IF(228&gt;MAX('冷凍品'!$AA$5:$AA$322),"",HYPERLINK("#'冷凍品'!D"&amp;(MATCH(228,'冷凍品'!$AA$5:$AA$322,0)+4),INDEX('冷凍品'!$D$5:$D$322,MATCH(228,'冷凍品'!$AA$5:$AA$322,0))))</f>
        <v/>
      </c>
    </row>
    <row r="250">
      <c xmlns="http://schemas.openxmlformats.org/spreadsheetml/2006/main" r="B250" s="18" t="str">
        <f>IF(229&gt;MAX('18℃'!$AA$5:$AA$319),"",HYPERLINK("#'18℃'!D"&amp;(MATCH(229,'18℃'!$AA$5:$AA$319,0)+4),INDEX('18℃'!$D$5:$D$319,MATCH(229,'18℃'!$AA$5:$AA$319,0))))</f>
        <v/>
      </c>
      <c xmlns="http://schemas.openxmlformats.org/spreadsheetml/2006/main" r="C250" s="18" t="str">
        <f>IF(229&gt;MAX('4℃飯'!$AA$5:$AA$319),"",HYPERLINK("#'4℃飯'!D"&amp;(MATCH(229,'4℃飯'!$AA$5:$AA$319,0)+4),INDEX('4℃飯'!$D$5:$D$319,MATCH(229,'4℃飯'!$AA$5:$AA$319,0))))</f>
        <v/>
      </c>
      <c xmlns="http://schemas.openxmlformats.org/spreadsheetml/2006/main" r="D250" s="18" t="str">
        <f>IF(229&gt;MAX('4℃麵'!$AA$5:$AA$310),"",HYPERLINK("#'4℃麵'!D"&amp;(MATCH(229,'4℃麵'!$AA$5:$AA$310,0)+4),INDEX('4℃麵'!$D$5:$D$310,MATCH(229,'4℃麵'!$AA$5:$AA$310,0))))</f>
        <v/>
      </c>
      <c xmlns="http://schemas.openxmlformats.org/spreadsheetml/2006/main" r="E250" s="18" t="str">
        <f>IF(229&gt;MAX('4℃其他'!$AA$5:$AA$322),"",HYPERLINK("#'4℃其他'!D"&amp;(MATCH(229,'4℃其他'!$AA$5:$AA$322,0)+4),INDEX('4℃其他'!$D$5:$D$322,MATCH(229,'4℃其他'!$AA$5:$AA$322,0))))</f>
        <v/>
      </c>
      <c xmlns="http://schemas.openxmlformats.org/spreadsheetml/2006/main" r="F250" s="18" t="str">
        <f>IF(229&gt;MAX('冷凍品'!$AA$5:$AA$322),"",HYPERLINK("#'冷凍品'!D"&amp;(MATCH(229,'冷凍品'!$AA$5:$AA$322,0)+4),INDEX('冷凍品'!$D$5:$D$322,MATCH(229,'冷凍品'!$AA$5:$AA$322,0))))</f>
        <v/>
      </c>
    </row>
    <row r="251">
      <c xmlns="http://schemas.openxmlformats.org/spreadsheetml/2006/main" r="B251" s="18" t="str">
        <f>IF(230&gt;MAX('18℃'!$AA$5:$AA$319),"",HYPERLINK("#'18℃'!D"&amp;(MATCH(230,'18℃'!$AA$5:$AA$319,0)+4),INDEX('18℃'!$D$5:$D$319,MATCH(230,'18℃'!$AA$5:$AA$319,0))))</f>
        <v/>
      </c>
      <c xmlns="http://schemas.openxmlformats.org/spreadsheetml/2006/main" r="C251" s="18" t="str">
        <f>IF(230&gt;MAX('4℃飯'!$AA$5:$AA$319),"",HYPERLINK("#'4℃飯'!D"&amp;(MATCH(230,'4℃飯'!$AA$5:$AA$319,0)+4),INDEX('4℃飯'!$D$5:$D$319,MATCH(230,'4℃飯'!$AA$5:$AA$319,0))))</f>
        <v/>
      </c>
      <c xmlns="http://schemas.openxmlformats.org/spreadsheetml/2006/main" r="D251" s="18" t="str">
        <f>IF(230&gt;MAX('4℃麵'!$AA$5:$AA$310),"",HYPERLINK("#'4℃麵'!D"&amp;(MATCH(230,'4℃麵'!$AA$5:$AA$310,0)+4),INDEX('4℃麵'!$D$5:$D$310,MATCH(230,'4℃麵'!$AA$5:$AA$310,0))))</f>
        <v/>
      </c>
      <c xmlns="http://schemas.openxmlformats.org/spreadsheetml/2006/main" r="E251" s="18" t="str">
        <f>IF(230&gt;MAX('4℃其他'!$AA$5:$AA$322),"",HYPERLINK("#'4℃其他'!D"&amp;(MATCH(230,'4℃其他'!$AA$5:$AA$322,0)+4),INDEX('4℃其他'!$D$5:$D$322,MATCH(230,'4℃其他'!$AA$5:$AA$322,0))))</f>
        <v/>
      </c>
      <c xmlns="http://schemas.openxmlformats.org/spreadsheetml/2006/main" r="F251" s="18" t="str">
        <f>IF(230&gt;MAX('冷凍品'!$AA$5:$AA$322),"",HYPERLINK("#'冷凍品'!D"&amp;(MATCH(230,'冷凍品'!$AA$5:$AA$322,0)+4),INDEX('冷凍品'!$D$5:$D$322,MATCH(230,'冷凍品'!$AA$5:$AA$322,0))))</f>
        <v/>
      </c>
    </row>
    <row r="252">
      <c xmlns="http://schemas.openxmlformats.org/spreadsheetml/2006/main" r="B252" s="18" t="str">
        <f>IF(231&gt;MAX('18℃'!$AA$5:$AA$319),"",HYPERLINK("#'18℃'!D"&amp;(MATCH(231,'18℃'!$AA$5:$AA$319,0)+4),INDEX('18℃'!$D$5:$D$319,MATCH(231,'18℃'!$AA$5:$AA$319,0))))</f>
        <v/>
      </c>
      <c xmlns="http://schemas.openxmlformats.org/spreadsheetml/2006/main" r="C252" s="18" t="str">
        <f>IF(231&gt;MAX('4℃飯'!$AA$5:$AA$319),"",HYPERLINK("#'4℃飯'!D"&amp;(MATCH(231,'4℃飯'!$AA$5:$AA$319,0)+4),INDEX('4℃飯'!$D$5:$D$319,MATCH(231,'4℃飯'!$AA$5:$AA$319,0))))</f>
        <v/>
      </c>
      <c xmlns="http://schemas.openxmlformats.org/spreadsheetml/2006/main" r="D252" s="18" t="str">
        <f>IF(231&gt;MAX('4℃麵'!$AA$5:$AA$310),"",HYPERLINK("#'4℃麵'!D"&amp;(MATCH(231,'4℃麵'!$AA$5:$AA$310,0)+4),INDEX('4℃麵'!$D$5:$D$310,MATCH(231,'4℃麵'!$AA$5:$AA$310,0))))</f>
        <v/>
      </c>
      <c xmlns="http://schemas.openxmlformats.org/spreadsheetml/2006/main" r="E252" s="18" t="str">
        <f>IF(231&gt;MAX('4℃其他'!$AA$5:$AA$322),"",HYPERLINK("#'4℃其他'!D"&amp;(MATCH(231,'4℃其他'!$AA$5:$AA$322,0)+4),INDEX('4℃其他'!$D$5:$D$322,MATCH(231,'4℃其他'!$AA$5:$AA$322,0))))</f>
        <v/>
      </c>
      <c xmlns="http://schemas.openxmlformats.org/spreadsheetml/2006/main" r="F252" s="18" t="str">
        <f>IF(231&gt;MAX('冷凍品'!$AA$5:$AA$322),"",HYPERLINK("#'冷凍品'!D"&amp;(MATCH(231,'冷凍品'!$AA$5:$AA$322,0)+4),INDEX('冷凍品'!$D$5:$D$322,MATCH(231,'冷凍品'!$AA$5:$AA$322,0))))</f>
        <v/>
      </c>
    </row>
    <row r="253">
      <c xmlns="http://schemas.openxmlformats.org/spreadsheetml/2006/main" r="B253" s="18" t="str">
        <f>IF(232&gt;MAX('18℃'!$AA$5:$AA$319),"",HYPERLINK("#'18℃'!D"&amp;(MATCH(232,'18℃'!$AA$5:$AA$319,0)+4),INDEX('18℃'!$D$5:$D$319,MATCH(232,'18℃'!$AA$5:$AA$319,0))))</f>
        <v/>
      </c>
      <c xmlns="http://schemas.openxmlformats.org/spreadsheetml/2006/main" r="C253" s="18" t="str">
        <f>IF(232&gt;MAX('4℃飯'!$AA$5:$AA$319),"",HYPERLINK("#'4℃飯'!D"&amp;(MATCH(232,'4℃飯'!$AA$5:$AA$319,0)+4),INDEX('4℃飯'!$D$5:$D$319,MATCH(232,'4℃飯'!$AA$5:$AA$319,0))))</f>
        <v/>
      </c>
      <c xmlns="http://schemas.openxmlformats.org/spreadsheetml/2006/main" r="D253" s="18" t="str">
        <f>IF(232&gt;MAX('4℃麵'!$AA$5:$AA$310),"",HYPERLINK("#'4℃麵'!D"&amp;(MATCH(232,'4℃麵'!$AA$5:$AA$310,0)+4),INDEX('4℃麵'!$D$5:$D$310,MATCH(232,'4℃麵'!$AA$5:$AA$310,0))))</f>
        <v/>
      </c>
      <c xmlns="http://schemas.openxmlformats.org/spreadsheetml/2006/main" r="E253" s="18" t="str">
        <f>IF(232&gt;MAX('4℃其他'!$AA$5:$AA$322),"",HYPERLINK("#'4℃其他'!D"&amp;(MATCH(232,'4℃其他'!$AA$5:$AA$322,0)+4),INDEX('4℃其他'!$D$5:$D$322,MATCH(232,'4℃其他'!$AA$5:$AA$322,0))))</f>
        <v/>
      </c>
      <c xmlns="http://schemas.openxmlformats.org/spreadsheetml/2006/main" r="F253" s="18" t="str">
        <f>IF(232&gt;MAX('冷凍品'!$AA$5:$AA$322),"",HYPERLINK("#'冷凍品'!D"&amp;(MATCH(232,'冷凍品'!$AA$5:$AA$322,0)+4),INDEX('冷凍品'!$D$5:$D$322,MATCH(232,'冷凍品'!$AA$5:$AA$322,0))))</f>
        <v/>
      </c>
    </row>
    <row r="254">
      <c xmlns="http://schemas.openxmlformats.org/spreadsheetml/2006/main" r="B254" s="18" t="str">
        <f>IF(233&gt;MAX('18℃'!$AA$5:$AA$319),"",HYPERLINK("#'18℃'!D"&amp;(MATCH(233,'18℃'!$AA$5:$AA$319,0)+4),INDEX('18℃'!$D$5:$D$319,MATCH(233,'18℃'!$AA$5:$AA$319,0))))</f>
        <v/>
      </c>
      <c xmlns="http://schemas.openxmlformats.org/spreadsheetml/2006/main" r="C254" s="18" t="str">
        <f>IF(233&gt;MAX('4℃飯'!$AA$5:$AA$319),"",HYPERLINK("#'4℃飯'!D"&amp;(MATCH(233,'4℃飯'!$AA$5:$AA$319,0)+4),INDEX('4℃飯'!$D$5:$D$319,MATCH(233,'4℃飯'!$AA$5:$AA$319,0))))</f>
        <v/>
      </c>
      <c xmlns="http://schemas.openxmlformats.org/spreadsheetml/2006/main" r="D254" s="18" t="str">
        <f>IF(233&gt;MAX('4℃麵'!$AA$5:$AA$310),"",HYPERLINK("#'4℃麵'!D"&amp;(MATCH(233,'4℃麵'!$AA$5:$AA$310,0)+4),INDEX('4℃麵'!$D$5:$D$310,MATCH(233,'4℃麵'!$AA$5:$AA$310,0))))</f>
        <v/>
      </c>
      <c xmlns="http://schemas.openxmlformats.org/spreadsheetml/2006/main" r="E254" s="18" t="str">
        <f>IF(233&gt;MAX('4℃其他'!$AA$5:$AA$322),"",HYPERLINK("#'4℃其他'!D"&amp;(MATCH(233,'4℃其他'!$AA$5:$AA$322,0)+4),INDEX('4℃其他'!$D$5:$D$322,MATCH(233,'4℃其他'!$AA$5:$AA$322,0))))</f>
        <v/>
      </c>
      <c xmlns="http://schemas.openxmlformats.org/spreadsheetml/2006/main" r="F254" s="18" t="str">
        <f>IF(233&gt;MAX('冷凍品'!$AA$5:$AA$322),"",HYPERLINK("#'冷凍品'!D"&amp;(MATCH(233,'冷凍品'!$AA$5:$AA$322,0)+4),INDEX('冷凍品'!$D$5:$D$322,MATCH(233,'冷凍品'!$AA$5:$AA$322,0))))</f>
        <v/>
      </c>
    </row>
    <row r="255">
      <c xmlns="http://schemas.openxmlformats.org/spreadsheetml/2006/main" r="B255" s="18" t="str">
        <f>IF(234&gt;MAX('18℃'!$AA$5:$AA$319),"",HYPERLINK("#'18℃'!D"&amp;(MATCH(234,'18℃'!$AA$5:$AA$319,0)+4),INDEX('18℃'!$D$5:$D$319,MATCH(234,'18℃'!$AA$5:$AA$319,0))))</f>
        <v/>
      </c>
      <c xmlns="http://schemas.openxmlformats.org/spreadsheetml/2006/main" r="C255" s="18" t="str">
        <f>IF(234&gt;MAX('4℃飯'!$AA$5:$AA$319),"",HYPERLINK("#'4℃飯'!D"&amp;(MATCH(234,'4℃飯'!$AA$5:$AA$319,0)+4),INDEX('4℃飯'!$D$5:$D$319,MATCH(234,'4℃飯'!$AA$5:$AA$319,0))))</f>
        <v/>
      </c>
      <c xmlns="http://schemas.openxmlformats.org/spreadsheetml/2006/main" r="D255" s="18" t="str">
        <f>IF(234&gt;MAX('4℃麵'!$AA$5:$AA$310),"",HYPERLINK("#'4℃麵'!D"&amp;(MATCH(234,'4℃麵'!$AA$5:$AA$310,0)+4),INDEX('4℃麵'!$D$5:$D$310,MATCH(234,'4℃麵'!$AA$5:$AA$310,0))))</f>
        <v/>
      </c>
      <c xmlns="http://schemas.openxmlformats.org/spreadsheetml/2006/main" r="E255" s="18" t="str">
        <f>IF(234&gt;MAX('4℃其他'!$AA$5:$AA$322),"",HYPERLINK("#'4℃其他'!D"&amp;(MATCH(234,'4℃其他'!$AA$5:$AA$322,0)+4),INDEX('4℃其他'!$D$5:$D$322,MATCH(234,'4℃其他'!$AA$5:$AA$322,0))))</f>
        <v/>
      </c>
      <c xmlns="http://schemas.openxmlformats.org/spreadsheetml/2006/main" r="F255" s="18" t="str">
        <f>IF(234&gt;MAX('冷凍品'!$AA$5:$AA$322),"",HYPERLINK("#'冷凍品'!D"&amp;(MATCH(234,'冷凍品'!$AA$5:$AA$322,0)+4),INDEX('冷凍品'!$D$5:$D$322,MATCH(234,'冷凍品'!$AA$5:$AA$322,0))))</f>
        <v/>
      </c>
    </row>
    <row r="256">
      <c xmlns="http://schemas.openxmlformats.org/spreadsheetml/2006/main" r="B256" s="18" t="str">
        <f>IF(235&gt;MAX('18℃'!$AA$5:$AA$319),"",HYPERLINK("#'18℃'!D"&amp;(MATCH(235,'18℃'!$AA$5:$AA$319,0)+4),INDEX('18℃'!$D$5:$D$319,MATCH(235,'18℃'!$AA$5:$AA$319,0))))</f>
        <v/>
      </c>
      <c xmlns="http://schemas.openxmlformats.org/spreadsheetml/2006/main" r="C256" s="18" t="str">
        <f>IF(235&gt;MAX('4℃飯'!$AA$5:$AA$319),"",HYPERLINK("#'4℃飯'!D"&amp;(MATCH(235,'4℃飯'!$AA$5:$AA$319,0)+4),INDEX('4℃飯'!$D$5:$D$319,MATCH(235,'4℃飯'!$AA$5:$AA$319,0))))</f>
        <v/>
      </c>
      <c xmlns="http://schemas.openxmlformats.org/spreadsheetml/2006/main" r="D256" s="18" t="str">
        <f>IF(235&gt;MAX('4℃麵'!$AA$5:$AA$310),"",HYPERLINK("#'4℃麵'!D"&amp;(MATCH(235,'4℃麵'!$AA$5:$AA$310,0)+4),INDEX('4℃麵'!$D$5:$D$310,MATCH(235,'4℃麵'!$AA$5:$AA$310,0))))</f>
        <v/>
      </c>
      <c xmlns="http://schemas.openxmlformats.org/spreadsheetml/2006/main" r="E256" s="18" t="str">
        <f>IF(235&gt;MAX('4℃其他'!$AA$5:$AA$322),"",HYPERLINK("#'4℃其他'!D"&amp;(MATCH(235,'4℃其他'!$AA$5:$AA$322,0)+4),INDEX('4℃其他'!$D$5:$D$322,MATCH(235,'4℃其他'!$AA$5:$AA$322,0))))</f>
        <v/>
      </c>
      <c xmlns="http://schemas.openxmlformats.org/spreadsheetml/2006/main" r="F256" s="18" t="str">
        <f>IF(235&gt;MAX('冷凍品'!$AA$5:$AA$322),"",HYPERLINK("#'冷凍品'!D"&amp;(MATCH(235,'冷凍品'!$AA$5:$AA$322,0)+4),INDEX('冷凍品'!$D$5:$D$322,MATCH(235,'冷凍品'!$AA$5:$AA$322,0))))</f>
        <v/>
      </c>
    </row>
    <row r="257">
      <c xmlns="http://schemas.openxmlformats.org/spreadsheetml/2006/main" r="B257" s="18" t="str">
        <f>IF(236&gt;MAX('18℃'!$AA$5:$AA$319),"",HYPERLINK("#'18℃'!D"&amp;(MATCH(236,'18℃'!$AA$5:$AA$319,0)+4),INDEX('18℃'!$D$5:$D$319,MATCH(236,'18℃'!$AA$5:$AA$319,0))))</f>
        <v/>
      </c>
      <c xmlns="http://schemas.openxmlformats.org/spreadsheetml/2006/main" r="C257" s="18" t="str">
        <f>IF(236&gt;MAX('4℃飯'!$AA$5:$AA$319),"",HYPERLINK("#'4℃飯'!D"&amp;(MATCH(236,'4℃飯'!$AA$5:$AA$319,0)+4),INDEX('4℃飯'!$D$5:$D$319,MATCH(236,'4℃飯'!$AA$5:$AA$319,0))))</f>
        <v/>
      </c>
      <c xmlns="http://schemas.openxmlformats.org/spreadsheetml/2006/main" r="D257" s="18" t="str">
        <f>IF(236&gt;MAX('4℃麵'!$AA$5:$AA$310),"",HYPERLINK("#'4℃麵'!D"&amp;(MATCH(236,'4℃麵'!$AA$5:$AA$310,0)+4),INDEX('4℃麵'!$D$5:$D$310,MATCH(236,'4℃麵'!$AA$5:$AA$310,0))))</f>
        <v/>
      </c>
      <c xmlns="http://schemas.openxmlformats.org/spreadsheetml/2006/main" r="E257" s="18" t="str">
        <f>IF(236&gt;MAX('4℃其他'!$AA$5:$AA$322),"",HYPERLINK("#'4℃其他'!D"&amp;(MATCH(236,'4℃其他'!$AA$5:$AA$322,0)+4),INDEX('4℃其他'!$D$5:$D$322,MATCH(236,'4℃其他'!$AA$5:$AA$322,0))))</f>
        <v/>
      </c>
      <c xmlns="http://schemas.openxmlformats.org/spreadsheetml/2006/main" r="F257" s="18" t="str">
        <f>IF(236&gt;MAX('冷凍品'!$AA$5:$AA$322),"",HYPERLINK("#'冷凍品'!D"&amp;(MATCH(236,'冷凍品'!$AA$5:$AA$322,0)+4),INDEX('冷凍品'!$D$5:$D$322,MATCH(236,'冷凍品'!$AA$5:$AA$322,0))))</f>
        <v/>
      </c>
    </row>
    <row r="258">
      <c xmlns="http://schemas.openxmlformats.org/spreadsheetml/2006/main" r="B258" s="18" t="str">
        <f>IF(237&gt;MAX('18℃'!$AA$5:$AA$319),"",HYPERLINK("#'18℃'!D"&amp;(MATCH(237,'18℃'!$AA$5:$AA$319,0)+4),INDEX('18℃'!$D$5:$D$319,MATCH(237,'18℃'!$AA$5:$AA$319,0))))</f>
        <v/>
      </c>
      <c xmlns="http://schemas.openxmlformats.org/spreadsheetml/2006/main" r="C258" s="18" t="str">
        <f>IF(237&gt;MAX('4℃飯'!$AA$5:$AA$319),"",HYPERLINK("#'4℃飯'!D"&amp;(MATCH(237,'4℃飯'!$AA$5:$AA$319,0)+4),INDEX('4℃飯'!$D$5:$D$319,MATCH(237,'4℃飯'!$AA$5:$AA$319,0))))</f>
        <v/>
      </c>
      <c xmlns="http://schemas.openxmlformats.org/spreadsheetml/2006/main" r="D258" s="18" t="str">
        <f>IF(237&gt;MAX('4℃麵'!$AA$5:$AA$310),"",HYPERLINK("#'4℃麵'!D"&amp;(MATCH(237,'4℃麵'!$AA$5:$AA$310,0)+4),INDEX('4℃麵'!$D$5:$D$310,MATCH(237,'4℃麵'!$AA$5:$AA$310,0))))</f>
        <v/>
      </c>
      <c xmlns="http://schemas.openxmlformats.org/spreadsheetml/2006/main" r="E258" s="18" t="str">
        <f>IF(237&gt;MAX('4℃其他'!$AA$5:$AA$322),"",HYPERLINK("#'4℃其他'!D"&amp;(MATCH(237,'4℃其他'!$AA$5:$AA$322,0)+4),INDEX('4℃其他'!$D$5:$D$322,MATCH(237,'4℃其他'!$AA$5:$AA$322,0))))</f>
        <v/>
      </c>
      <c xmlns="http://schemas.openxmlformats.org/spreadsheetml/2006/main" r="F258" s="18" t="str">
        <f>IF(237&gt;MAX('冷凍品'!$AA$5:$AA$322),"",HYPERLINK("#'冷凍品'!D"&amp;(MATCH(237,'冷凍品'!$AA$5:$AA$322,0)+4),INDEX('冷凍品'!$D$5:$D$322,MATCH(237,'冷凍品'!$AA$5:$AA$322,0))))</f>
        <v/>
      </c>
    </row>
    <row r="259">
      <c xmlns="http://schemas.openxmlformats.org/spreadsheetml/2006/main" r="B259" s="18" t="str">
        <f>IF(238&gt;MAX('18℃'!$AA$5:$AA$319),"",HYPERLINK("#'18℃'!D"&amp;(MATCH(238,'18℃'!$AA$5:$AA$319,0)+4),INDEX('18℃'!$D$5:$D$319,MATCH(238,'18℃'!$AA$5:$AA$319,0))))</f>
        <v/>
      </c>
      <c xmlns="http://schemas.openxmlformats.org/spreadsheetml/2006/main" r="C259" s="18" t="str">
        <f>IF(238&gt;MAX('4℃飯'!$AA$5:$AA$319),"",HYPERLINK("#'4℃飯'!D"&amp;(MATCH(238,'4℃飯'!$AA$5:$AA$319,0)+4),INDEX('4℃飯'!$D$5:$D$319,MATCH(238,'4℃飯'!$AA$5:$AA$319,0))))</f>
        <v/>
      </c>
      <c xmlns="http://schemas.openxmlformats.org/spreadsheetml/2006/main" r="D259" s="18" t="str">
        <f>IF(238&gt;MAX('4℃麵'!$AA$5:$AA$310),"",HYPERLINK("#'4℃麵'!D"&amp;(MATCH(238,'4℃麵'!$AA$5:$AA$310,0)+4),INDEX('4℃麵'!$D$5:$D$310,MATCH(238,'4℃麵'!$AA$5:$AA$310,0))))</f>
        <v/>
      </c>
      <c xmlns="http://schemas.openxmlformats.org/spreadsheetml/2006/main" r="E259" s="18" t="str">
        <f>IF(238&gt;MAX('4℃其他'!$AA$5:$AA$322),"",HYPERLINK("#'4℃其他'!D"&amp;(MATCH(238,'4℃其他'!$AA$5:$AA$322,0)+4),INDEX('4℃其他'!$D$5:$D$322,MATCH(238,'4℃其他'!$AA$5:$AA$322,0))))</f>
        <v/>
      </c>
      <c xmlns="http://schemas.openxmlformats.org/spreadsheetml/2006/main" r="F259" s="18" t="str">
        <f>IF(238&gt;MAX('冷凍品'!$AA$5:$AA$322),"",HYPERLINK("#'冷凍品'!D"&amp;(MATCH(238,'冷凍品'!$AA$5:$AA$322,0)+4),INDEX('冷凍品'!$D$5:$D$322,MATCH(238,'冷凍品'!$AA$5:$AA$322,0))))</f>
        <v/>
      </c>
    </row>
    <row r="260">
      <c xmlns="http://schemas.openxmlformats.org/spreadsheetml/2006/main" r="B260" s="18" t="str">
        <f>IF(239&gt;MAX('18℃'!$AA$5:$AA$319),"",HYPERLINK("#'18℃'!D"&amp;(MATCH(239,'18℃'!$AA$5:$AA$319,0)+4),INDEX('18℃'!$D$5:$D$319,MATCH(239,'18℃'!$AA$5:$AA$319,0))))</f>
        <v/>
      </c>
      <c xmlns="http://schemas.openxmlformats.org/spreadsheetml/2006/main" r="C260" s="18" t="str">
        <f>IF(239&gt;MAX('4℃飯'!$AA$5:$AA$319),"",HYPERLINK("#'4℃飯'!D"&amp;(MATCH(239,'4℃飯'!$AA$5:$AA$319,0)+4),INDEX('4℃飯'!$D$5:$D$319,MATCH(239,'4℃飯'!$AA$5:$AA$319,0))))</f>
        <v/>
      </c>
      <c xmlns="http://schemas.openxmlformats.org/spreadsheetml/2006/main" r="D260" s="18" t="str">
        <f>IF(239&gt;MAX('4℃麵'!$AA$5:$AA$310),"",HYPERLINK("#'4℃麵'!D"&amp;(MATCH(239,'4℃麵'!$AA$5:$AA$310,0)+4),INDEX('4℃麵'!$D$5:$D$310,MATCH(239,'4℃麵'!$AA$5:$AA$310,0))))</f>
        <v/>
      </c>
      <c xmlns="http://schemas.openxmlformats.org/spreadsheetml/2006/main" r="E260" s="18" t="str">
        <f>IF(239&gt;MAX('4℃其他'!$AA$5:$AA$322),"",HYPERLINK("#'4℃其他'!D"&amp;(MATCH(239,'4℃其他'!$AA$5:$AA$322,0)+4),INDEX('4℃其他'!$D$5:$D$322,MATCH(239,'4℃其他'!$AA$5:$AA$322,0))))</f>
        <v/>
      </c>
      <c xmlns="http://schemas.openxmlformats.org/spreadsheetml/2006/main" r="F260" s="18" t="str">
        <f>IF(239&gt;MAX('冷凍品'!$AA$5:$AA$322),"",HYPERLINK("#'冷凍品'!D"&amp;(MATCH(239,'冷凍品'!$AA$5:$AA$322,0)+4),INDEX('冷凍品'!$D$5:$D$322,MATCH(239,'冷凍品'!$AA$5:$AA$322,0))))</f>
        <v/>
      </c>
    </row>
    <row r="261">
      <c xmlns="http://schemas.openxmlformats.org/spreadsheetml/2006/main" r="B261" s="18" t="str">
        <f>IF(240&gt;MAX('18℃'!$AA$5:$AA$319),"",HYPERLINK("#'18℃'!D"&amp;(MATCH(240,'18℃'!$AA$5:$AA$319,0)+4),INDEX('18℃'!$D$5:$D$319,MATCH(240,'18℃'!$AA$5:$AA$319,0))))</f>
        <v/>
      </c>
      <c xmlns="http://schemas.openxmlformats.org/spreadsheetml/2006/main" r="C261" s="18" t="str">
        <f>IF(240&gt;MAX('4℃飯'!$AA$5:$AA$319),"",HYPERLINK("#'4℃飯'!D"&amp;(MATCH(240,'4℃飯'!$AA$5:$AA$319,0)+4),INDEX('4℃飯'!$D$5:$D$319,MATCH(240,'4℃飯'!$AA$5:$AA$319,0))))</f>
        <v/>
      </c>
      <c xmlns="http://schemas.openxmlformats.org/spreadsheetml/2006/main" r="D261" s="18" t="str">
        <f>IF(240&gt;MAX('4℃麵'!$AA$5:$AA$310),"",HYPERLINK("#'4℃麵'!D"&amp;(MATCH(240,'4℃麵'!$AA$5:$AA$310,0)+4),INDEX('4℃麵'!$D$5:$D$310,MATCH(240,'4℃麵'!$AA$5:$AA$310,0))))</f>
        <v/>
      </c>
      <c xmlns="http://schemas.openxmlformats.org/spreadsheetml/2006/main" r="E261" s="18" t="str">
        <f>IF(240&gt;MAX('4℃其他'!$AA$5:$AA$322),"",HYPERLINK("#'4℃其他'!D"&amp;(MATCH(240,'4℃其他'!$AA$5:$AA$322,0)+4),INDEX('4℃其他'!$D$5:$D$322,MATCH(240,'4℃其他'!$AA$5:$AA$322,0))))</f>
        <v/>
      </c>
      <c xmlns="http://schemas.openxmlformats.org/spreadsheetml/2006/main" r="F261" s="18" t="str">
        <f>IF(240&gt;MAX('冷凍品'!$AA$5:$AA$322),"",HYPERLINK("#'冷凍品'!D"&amp;(MATCH(240,'冷凍品'!$AA$5:$AA$322,0)+4),INDEX('冷凍品'!$D$5:$D$322,MATCH(240,'冷凍品'!$AA$5:$AA$322,0))))</f>
        <v/>
      </c>
    </row>
    <row r="262">
      <c xmlns="http://schemas.openxmlformats.org/spreadsheetml/2006/main" r="B262" s="18" t="str">
        <f>IF(241&gt;MAX('18℃'!$AA$5:$AA$319),"",HYPERLINK("#'18℃'!D"&amp;(MATCH(241,'18℃'!$AA$5:$AA$319,0)+4),INDEX('18℃'!$D$5:$D$319,MATCH(241,'18℃'!$AA$5:$AA$319,0))))</f>
        <v/>
      </c>
      <c xmlns="http://schemas.openxmlformats.org/spreadsheetml/2006/main" r="C262" s="18" t="str">
        <f>IF(241&gt;MAX('4℃飯'!$AA$5:$AA$319),"",HYPERLINK("#'4℃飯'!D"&amp;(MATCH(241,'4℃飯'!$AA$5:$AA$319,0)+4),INDEX('4℃飯'!$D$5:$D$319,MATCH(241,'4℃飯'!$AA$5:$AA$319,0))))</f>
        <v/>
      </c>
      <c xmlns="http://schemas.openxmlformats.org/spreadsheetml/2006/main" r="D262" s="18" t="str">
        <f>IF(241&gt;MAX('4℃麵'!$AA$5:$AA$310),"",HYPERLINK("#'4℃麵'!D"&amp;(MATCH(241,'4℃麵'!$AA$5:$AA$310,0)+4),INDEX('4℃麵'!$D$5:$D$310,MATCH(241,'4℃麵'!$AA$5:$AA$310,0))))</f>
        <v/>
      </c>
      <c xmlns="http://schemas.openxmlformats.org/spreadsheetml/2006/main" r="E262" s="18" t="str">
        <f>IF(241&gt;MAX('4℃其他'!$AA$5:$AA$322),"",HYPERLINK("#'4℃其他'!D"&amp;(MATCH(241,'4℃其他'!$AA$5:$AA$322,0)+4),INDEX('4℃其他'!$D$5:$D$322,MATCH(241,'4℃其他'!$AA$5:$AA$322,0))))</f>
        <v/>
      </c>
      <c xmlns="http://schemas.openxmlformats.org/spreadsheetml/2006/main" r="F262" s="18" t="str">
        <f>IF(241&gt;MAX('冷凍品'!$AA$5:$AA$322),"",HYPERLINK("#'冷凍品'!D"&amp;(MATCH(241,'冷凍品'!$AA$5:$AA$322,0)+4),INDEX('冷凍品'!$D$5:$D$322,MATCH(241,'冷凍品'!$AA$5:$AA$322,0))))</f>
        <v/>
      </c>
    </row>
    <row r="263">
      <c xmlns="http://schemas.openxmlformats.org/spreadsheetml/2006/main" r="B263" s="18" t="str">
        <f>IF(242&gt;MAX('18℃'!$AA$5:$AA$319),"",HYPERLINK("#'18℃'!D"&amp;(MATCH(242,'18℃'!$AA$5:$AA$319,0)+4),INDEX('18℃'!$D$5:$D$319,MATCH(242,'18℃'!$AA$5:$AA$319,0))))</f>
        <v/>
      </c>
      <c xmlns="http://schemas.openxmlformats.org/spreadsheetml/2006/main" r="C263" s="18" t="str">
        <f>IF(242&gt;MAX('4℃飯'!$AA$5:$AA$319),"",HYPERLINK("#'4℃飯'!D"&amp;(MATCH(242,'4℃飯'!$AA$5:$AA$319,0)+4),INDEX('4℃飯'!$D$5:$D$319,MATCH(242,'4℃飯'!$AA$5:$AA$319,0))))</f>
        <v/>
      </c>
      <c xmlns="http://schemas.openxmlformats.org/spreadsheetml/2006/main" r="D263" s="18" t="str">
        <f>IF(242&gt;MAX('4℃麵'!$AA$5:$AA$310),"",HYPERLINK("#'4℃麵'!D"&amp;(MATCH(242,'4℃麵'!$AA$5:$AA$310,0)+4),INDEX('4℃麵'!$D$5:$D$310,MATCH(242,'4℃麵'!$AA$5:$AA$310,0))))</f>
        <v/>
      </c>
      <c xmlns="http://schemas.openxmlformats.org/spreadsheetml/2006/main" r="E263" s="18" t="str">
        <f>IF(242&gt;MAX('4℃其他'!$AA$5:$AA$322),"",HYPERLINK("#'4℃其他'!D"&amp;(MATCH(242,'4℃其他'!$AA$5:$AA$322,0)+4),INDEX('4℃其他'!$D$5:$D$322,MATCH(242,'4℃其他'!$AA$5:$AA$322,0))))</f>
        <v/>
      </c>
      <c xmlns="http://schemas.openxmlformats.org/spreadsheetml/2006/main" r="F263" s="18" t="str">
        <f>IF(242&gt;MAX('冷凍品'!$AA$5:$AA$322),"",HYPERLINK("#'冷凍品'!D"&amp;(MATCH(242,'冷凍品'!$AA$5:$AA$322,0)+4),INDEX('冷凍品'!$D$5:$D$322,MATCH(242,'冷凍品'!$AA$5:$AA$322,0))))</f>
        <v/>
      </c>
    </row>
    <row r="264">
      <c xmlns="http://schemas.openxmlformats.org/spreadsheetml/2006/main" r="B264" s="18" t="str">
        <f>IF(243&gt;MAX('18℃'!$AA$5:$AA$319),"",HYPERLINK("#'18℃'!D"&amp;(MATCH(243,'18℃'!$AA$5:$AA$319,0)+4),INDEX('18℃'!$D$5:$D$319,MATCH(243,'18℃'!$AA$5:$AA$319,0))))</f>
        <v/>
      </c>
      <c xmlns="http://schemas.openxmlformats.org/spreadsheetml/2006/main" r="C264" s="18" t="str">
        <f>IF(243&gt;MAX('4℃飯'!$AA$5:$AA$319),"",HYPERLINK("#'4℃飯'!D"&amp;(MATCH(243,'4℃飯'!$AA$5:$AA$319,0)+4),INDEX('4℃飯'!$D$5:$D$319,MATCH(243,'4℃飯'!$AA$5:$AA$319,0))))</f>
        <v/>
      </c>
      <c xmlns="http://schemas.openxmlformats.org/spreadsheetml/2006/main" r="D264" s="18" t="str">
        <f>IF(243&gt;MAX('4℃麵'!$AA$5:$AA$310),"",HYPERLINK("#'4℃麵'!D"&amp;(MATCH(243,'4℃麵'!$AA$5:$AA$310,0)+4),INDEX('4℃麵'!$D$5:$D$310,MATCH(243,'4℃麵'!$AA$5:$AA$310,0))))</f>
        <v/>
      </c>
      <c xmlns="http://schemas.openxmlformats.org/spreadsheetml/2006/main" r="E264" s="18" t="str">
        <f>IF(243&gt;MAX('4℃其他'!$AA$5:$AA$322),"",HYPERLINK("#'4℃其他'!D"&amp;(MATCH(243,'4℃其他'!$AA$5:$AA$322,0)+4),INDEX('4℃其他'!$D$5:$D$322,MATCH(243,'4℃其他'!$AA$5:$AA$322,0))))</f>
        <v/>
      </c>
      <c xmlns="http://schemas.openxmlformats.org/spreadsheetml/2006/main" r="F264" s="18" t="str">
        <f>IF(243&gt;MAX('冷凍品'!$AA$5:$AA$322),"",HYPERLINK("#'冷凍品'!D"&amp;(MATCH(243,'冷凍品'!$AA$5:$AA$322,0)+4),INDEX('冷凍品'!$D$5:$D$322,MATCH(243,'冷凍品'!$AA$5:$AA$322,0))))</f>
        <v/>
      </c>
    </row>
    <row r="265">
      <c xmlns="http://schemas.openxmlformats.org/spreadsheetml/2006/main" r="B265" s="18" t="str">
        <f>IF(244&gt;MAX('18℃'!$AA$5:$AA$319),"",HYPERLINK("#'18℃'!D"&amp;(MATCH(244,'18℃'!$AA$5:$AA$319,0)+4),INDEX('18℃'!$D$5:$D$319,MATCH(244,'18℃'!$AA$5:$AA$319,0))))</f>
        <v/>
      </c>
      <c xmlns="http://schemas.openxmlformats.org/spreadsheetml/2006/main" r="C265" s="18" t="str">
        <f>IF(244&gt;MAX('4℃飯'!$AA$5:$AA$319),"",HYPERLINK("#'4℃飯'!D"&amp;(MATCH(244,'4℃飯'!$AA$5:$AA$319,0)+4),INDEX('4℃飯'!$D$5:$D$319,MATCH(244,'4℃飯'!$AA$5:$AA$319,0))))</f>
        <v/>
      </c>
      <c xmlns="http://schemas.openxmlformats.org/spreadsheetml/2006/main" r="D265" s="18" t="str">
        <f>IF(244&gt;MAX('4℃麵'!$AA$5:$AA$310),"",HYPERLINK("#'4℃麵'!D"&amp;(MATCH(244,'4℃麵'!$AA$5:$AA$310,0)+4),INDEX('4℃麵'!$D$5:$D$310,MATCH(244,'4℃麵'!$AA$5:$AA$310,0))))</f>
        <v/>
      </c>
      <c xmlns="http://schemas.openxmlformats.org/spreadsheetml/2006/main" r="E265" s="18" t="str">
        <f>IF(244&gt;MAX('4℃其他'!$AA$5:$AA$322),"",HYPERLINK("#'4℃其他'!D"&amp;(MATCH(244,'4℃其他'!$AA$5:$AA$322,0)+4),INDEX('4℃其他'!$D$5:$D$322,MATCH(244,'4℃其他'!$AA$5:$AA$322,0))))</f>
        <v/>
      </c>
      <c xmlns="http://schemas.openxmlformats.org/spreadsheetml/2006/main" r="F265" s="18" t="str">
        <f>IF(244&gt;MAX('冷凍品'!$AA$5:$AA$322),"",HYPERLINK("#'冷凍品'!D"&amp;(MATCH(244,'冷凍品'!$AA$5:$AA$322,0)+4),INDEX('冷凍品'!$D$5:$D$322,MATCH(244,'冷凍品'!$AA$5:$AA$322,0))))</f>
        <v/>
      </c>
    </row>
    <row r="266">
      <c xmlns="http://schemas.openxmlformats.org/spreadsheetml/2006/main" r="B266" s="18" t="str">
        <f>IF(245&gt;MAX('18℃'!$AA$5:$AA$319),"",HYPERLINK("#'18℃'!D"&amp;(MATCH(245,'18℃'!$AA$5:$AA$319,0)+4),INDEX('18℃'!$D$5:$D$319,MATCH(245,'18℃'!$AA$5:$AA$319,0))))</f>
        <v/>
      </c>
      <c xmlns="http://schemas.openxmlformats.org/spreadsheetml/2006/main" r="C266" s="18" t="str">
        <f>IF(245&gt;MAX('4℃飯'!$AA$5:$AA$319),"",HYPERLINK("#'4℃飯'!D"&amp;(MATCH(245,'4℃飯'!$AA$5:$AA$319,0)+4),INDEX('4℃飯'!$D$5:$D$319,MATCH(245,'4℃飯'!$AA$5:$AA$319,0))))</f>
        <v/>
      </c>
      <c xmlns="http://schemas.openxmlformats.org/spreadsheetml/2006/main" r="D266" s="18" t="str">
        <f>IF(245&gt;MAX('4℃麵'!$AA$5:$AA$310),"",HYPERLINK("#'4℃麵'!D"&amp;(MATCH(245,'4℃麵'!$AA$5:$AA$310,0)+4),INDEX('4℃麵'!$D$5:$D$310,MATCH(245,'4℃麵'!$AA$5:$AA$310,0))))</f>
        <v/>
      </c>
      <c xmlns="http://schemas.openxmlformats.org/spreadsheetml/2006/main" r="E266" s="18" t="str">
        <f>IF(245&gt;MAX('4℃其他'!$AA$5:$AA$322),"",HYPERLINK("#'4℃其他'!D"&amp;(MATCH(245,'4℃其他'!$AA$5:$AA$322,0)+4),INDEX('4℃其他'!$D$5:$D$322,MATCH(245,'4℃其他'!$AA$5:$AA$322,0))))</f>
        <v/>
      </c>
      <c xmlns="http://schemas.openxmlformats.org/spreadsheetml/2006/main" r="F266" s="18" t="str">
        <f>IF(245&gt;MAX('冷凍品'!$AA$5:$AA$322),"",HYPERLINK("#'冷凍品'!D"&amp;(MATCH(245,'冷凍品'!$AA$5:$AA$322,0)+4),INDEX('冷凍品'!$D$5:$D$322,MATCH(245,'冷凍品'!$AA$5:$AA$322,0))))</f>
        <v/>
      </c>
    </row>
    <row r="267">
      <c xmlns="http://schemas.openxmlformats.org/spreadsheetml/2006/main" r="B267" s="18" t="str">
        <f>IF(246&gt;MAX('18℃'!$AA$5:$AA$319),"",HYPERLINK("#'18℃'!D"&amp;(MATCH(246,'18℃'!$AA$5:$AA$319,0)+4),INDEX('18℃'!$D$5:$D$319,MATCH(246,'18℃'!$AA$5:$AA$319,0))))</f>
        <v/>
      </c>
      <c xmlns="http://schemas.openxmlformats.org/spreadsheetml/2006/main" r="C267" s="18" t="str">
        <f>IF(246&gt;MAX('4℃飯'!$AA$5:$AA$319),"",HYPERLINK("#'4℃飯'!D"&amp;(MATCH(246,'4℃飯'!$AA$5:$AA$319,0)+4),INDEX('4℃飯'!$D$5:$D$319,MATCH(246,'4℃飯'!$AA$5:$AA$319,0))))</f>
        <v/>
      </c>
      <c xmlns="http://schemas.openxmlformats.org/spreadsheetml/2006/main" r="D267" s="18" t="str">
        <f>IF(246&gt;MAX('4℃麵'!$AA$5:$AA$310),"",HYPERLINK("#'4℃麵'!D"&amp;(MATCH(246,'4℃麵'!$AA$5:$AA$310,0)+4),INDEX('4℃麵'!$D$5:$D$310,MATCH(246,'4℃麵'!$AA$5:$AA$310,0))))</f>
        <v/>
      </c>
      <c xmlns="http://schemas.openxmlformats.org/spreadsheetml/2006/main" r="E267" s="18" t="str">
        <f>IF(246&gt;MAX('4℃其他'!$AA$5:$AA$322),"",HYPERLINK("#'4℃其他'!D"&amp;(MATCH(246,'4℃其他'!$AA$5:$AA$322,0)+4),INDEX('4℃其他'!$D$5:$D$322,MATCH(246,'4℃其他'!$AA$5:$AA$322,0))))</f>
        <v/>
      </c>
      <c xmlns="http://schemas.openxmlformats.org/spreadsheetml/2006/main" r="F267" s="18" t="str">
        <f>IF(246&gt;MAX('冷凍品'!$AA$5:$AA$322),"",HYPERLINK("#'冷凍品'!D"&amp;(MATCH(246,'冷凍品'!$AA$5:$AA$322,0)+4),INDEX('冷凍品'!$D$5:$D$322,MATCH(246,'冷凍品'!$AA$5:$AA$322,0))))</f>
        <v/>
      </c>
    </row>
    <row r="268">
      <c xmlns="http://schemas.openxmlformats.org/spreadsheetml/2006/main" r="B268" s="18" t="str">
        <f>IF(247&gt;MAX('18℃'!$AA$5:$AA$319),"",HYPERLINK("#'18℃'!D"&amp;(MATCH(247,'18℃'!$AA$5:$AA$319,0)+4),INDEX('18℃'!$D$5:$D$319,MATCH(247,'18℃'!$AA$5:$AA$319,0))))</f>
        <v/>
      </c>
      <c xmlns="http://schemas.openxmlformats.org/spreadsheetml/2006/main" r="C268" s="18" t="str">
        <f>IF(247&gt;MAX('4℃飯'!$AA$5:$AA$319),"",HYPERLINK("#'4℃飯'!D"&amp;(MATCH(247,'4℃飯'!$AA$5:$AA$319,0)+4),INDEX('4℃飯'!$D$5:$D$319,MATCH(247,'4℃飯'!$AA$5:$AA$319,0))))</f>
        <v/>
      </c>
      <c xmlns="http://schemas.openxmlformats.org/spreadsheetml/2006/main" r="D268" s="18" t="str">
        <f>IF(247&gt;MAX('4℃麵'!$AA$5:$AA$310),"",HYPERLINK("#'4℃麵'!D"&amp;(MATCH(247,'4℃麵'!$AA$5:$AA$310,0)+4),INDEX('4℃麵'!$D$5:$D$310,MATCH(247,'4℃麵'!$AA$5:$AA$310,0))))</f>
        <v/>
      </c>
      <c xmlns="http://schemas.openxmlformats.org/spreadsheetml/2006/main" r="E268" s="18" t="str">
        <f>IF(247&gt;MAX('4℃其他'!$AA$5:$AA$322),"",HYPERLINK("#'4℃其他'!D"&amp;(MATCH(247,'4℃其他'!$AA$5:$AA$322,0)+4),INDEX('4℃其他'!$D$5:$D$322,MATCH(247,'4℃其他'!$AA$5:$AA$322,0))))</f>
        <v/>
      </c>
      <c xmlns="http://schemas.openxmlformats.org/spreadsheetml/2006/main" r="F268" s="18" t="str">
        <f>IF(247&gt;MAX('冷凍品'!$AA$5:$AA$322),"",HYPERLINK("#'冷凍品'!D"&amp;(MATCH(247,'冷凍品'!$AA$5:$AA$322,0)+4),INDEX('冷凍品'!$D$5:$D$322,MATCH(247,'冷凍品'!$AA$5:$AA$322,0))))</f>
        <v/>
      </c>
    </row>
    <row r="269">
      <c xmlns="http://schemas.openxmlformats.org/spreadsheetml/2006/main" r="B269" s="18" t="str">
        <f>IF(248&gt;MAX('18℃'!$AA$5:$AA$319),"",HYPERLINK("#'18℃'!D"&amp;(MATCH(248,'18℃'!$AA$5:$AA$319,0)+4),INDEX('18℃'!$D$5:$D$319,MATCH(248,'18℃'!$AA$5:$AA$319,0))))</f>
        <v/>
      </c>
      <c xmlns="http://schemas.openxmlformats.org/spreadsheetml/2006/main" r="C269" s="18" t="str">
        <f>IF(248&gt;MAX('4℃飯'!$AA$5:$AA$319),"",HYPERLINK("#'4℃飯'!D"&amp;(MATCH(248,'4℃飯'!$AA$5:$AA$319,0)+4),INDEX('4℃飯'!$D$5:$D$319,MATCH(248,'4℃飯'!$AA$5:$AA$319,0))))</f>
        <v/>
      </c>
      <c xmlns="http://schemas.openxmlformats.org/spreadsheetml/2006/main" r="D269" s="18" t="str">
        <f>IF(248&gt;MAX('4℃麵'!$AA$5:$AA$310),"",HYPERLINK("#'4℃麵'!D"&amp;(MATCH(248,'4℃麵'!$AA$5:$AA$310,0)+4),INDEX('4℃麵'!$D$5:$D$310,MATCH(248,'4℃麵'!$AA$5:$AA$310,0))))</f>
        <v/>
      </c>
      <c xmlns="http://schemas.openxmlformats.org/spreadsheetml/2006/main" r="E269" s="18" t="str">
        <f>IF(248&gt;MAX('4℃其他'!$AA$5:$AA$322),"",HYPERLINK("#'4℃其他'!D"&amp;(MATCH(248,'4℃其他'!$AA$5:$AA$322,0)+4),INDEX('4℃其他'!$D$5:$D$322,MATCH(248,'4℃其他'!$AA$5:$AA$322,0))))</f>
        <v/>
      </c>
      <c xmlns="http://schemas.openxmlformats.org/spreadsheetml/2006/main" r="F269" s="18" t="str">
        <f>IF(248&gt;MAX('冷凍品'!$AA$5:$AA$322),"",HYPERLINK("#'冷凍品'!D"&amp;(MATCH(248,'冷凍品'!$AA$5:$AA$322,0)+4),INDEX('冷凍品'!$D$5:$D$322,MATCH(248,'冷凍品'!$AA$5:$AA$322,0))))</f>
        <v/>
      </c>
    </row>
    <row r="270">
      <c xmlns="http://schemas.openxmlformats.org/spreadsheetml/2006/main" r="B270" s="18" t="str">
        <f>IF(249&gt;MAX('18℃'!$AA$5:$AA$319),"",HYPERLINK("#'18℃'!D"&amp;(MATCH(249,'18℃'!$AA$5:$AA$319,0)+4),INDEX('18℃'!$D$5:$D$319,MATCH(249,'18℃'!$AA$5:$AA$319,0))))</f>
        <v/>
      </c>
      <c xmlns="http://schemas.openxmlformats.org/spreadsheetml/2006/main" r="C270" s="18" t="str">
        <f>IF(249&gt;MAX('4℃飯'!$AA$5:$AA$319),"",HYPERLINK("#'4℃飯'!D"&amp;(MATCH(249,'4℃飯'!$AA$5:$AA$319,0)+4),INDEX('4℃飯'!$D$5:$D$319,MATCH(249,'4℃飯'!$AA$5:$AA$319,0))))</f>
        <v/>
      </c>
      <c xmlns="http://schemas.openxmlformats.org/spreadsheetml/2006/main" r="D270" s="18" t="str">
        <f>IF(249&gt;MAX('4℃麵'!$AA$5:$AA$310),"",HYPERLINK("#'4℃麵'!D"&amp;(MATCH(249,'4℃麵'!$AA$5:$AA$310,0)+4),INDEX('4℃麵'!$D$5:$D$310,MATCH(249,'4℃麵'!$AA$5:$AA$310,0))))</f>
        <v/>
      </c>
      <c xmlns="http://schemas.openxmlformats.org/spreadsheetml/2006/main" r="E270" s="18" t="str">
        <f>IF(249&gt;MAX('4℃其他'!$AA$5:$AA$322),"",HYPERLINK("#'4℃其他'!D"&amp;(MATCH(249,'4℃其他'!$AA$5:$AA$322,0)+4),INDEX('4℃其他'!$D$5:$D$322,MATCH(249,'4℃其他'!$AA$5:$AA$322,0))))</f>
        <v/>
      </c>
      <c xmlns="http://schemas.openxmlformats.org/spreadsheetml/2006/main" r="F270" s="18" t="str">
        <f>IF(249&gt;MAX('冷凍品'!$AA$5:$AA$322),"",HYPERLINK("#'冷凍品'!D"&amp;(MATCH(249,'冷凍品'!$AA$5:$AA$322,0)+4),INDEX('冷凍品'!$D$5:$D$322,MATCH(249,'冷凍品'!$AA$5:$AA$322,0))))</f>
        <v/>
      </c>
    </row>
    <row r="271">
      <c xmlns="http://schemas.openxmlformats.org/spreadsheetml/2006/main" r="B271" s="18" t="str">
        <f>IF(250&gt;MAX('18℃'!$AA$5:$AA$319),"",HYPERLINK("#'18℃'!D"&amp;(MATCH(250,'18℃'!$AA$5:$AA$319,0)+4),INDEX('18℃'!$D$5:$D$319,MATCH(250,'18℃'!$AA$5:$AA$319,0))))</f>
        <v/>
      </c>
      <c xmlns="http://schemas.openxmlformats.org/spreadsheetml/2006/main" r="C271" s="18" t="str">
        <f>IF(250&gt;MAX('4℃飯'!$AA$5:$AA$319),"",HYPERLINK("#'4℃飯'!D"&amp;(MATCH(250,'4℃飯'!$AA$5:$AA$319,0)+4),INDEX('4℃飯'!$D$5:$D$319,MATCH(250,'4℃飯'!$AA$5:$AA$319,0))))</f>
        <v/>
      </c>
      <c xmlns="http://schemas.openxmlformats.org/spreadsheetml/2006/main" r="D271" s="18" t="str">
        <f>IF(250&gt;MAX('4℃麵'!$AA$5:$AA$310),"",HYPERLINK("#'4℃麵'!D"&amp;(MATCH(250,'4℃麵'!$AA$5:$AA$310,0)+4),INDEX('4℃麵'!$D$5:$D$310,MATCH(250,'4℃麵'!$AA$5:$AA$310,0))))</f>
        <v/>
      </c>
      <c xmlns="http://schemas.openxmlformats.org/spreadsheetml/2006/main" r="E271" s="18" t="str">
        <f>IF(250&gt;MAX('4℃其他'!$AA$5:$AA$322),"",HYPERLINK("#'4℃其他'!D"&amp;(MATCH(250,'4℃其他'!$AA$5:$AA$322,0)+4),INDEX('4℃其他'!$D$5:$D$322,MATCH(250,'4℃其他'!$AA$5:$AA$322,0))))</f>
        <v/>
      </c>
      <c xmlns="http://schemas.openxmlformats.org/spreadsheetml/2006/main" r="F271" s="18" t="str">
        <f>IF(250&gt;MAX('冷凍品'!$AA$5:$AA$322),"",HYPERLINK("#'冷凍品'!D"&amp;(MATCH(250,'冷凍品'!$AA$5:$AA$322,0)+4),INDEX('冷凍品'!$D$5:$D$322,MATCH(250,'冷凍品'!$AA$5:$AA$322,0))))</f>
        <v/>
      </c>
    </row>
    <row r="272">
      <c xmlns="http://schemas.openxmlformats.org/spreadsheetml/2006/main" r="B272" s="18" t="str">
        <f>IF(251&gt;MAX('18℃'!$AA$5:$AA$319),"",HYPERLINK("#'18℃'!D"&amp;(MATCH(251,'18℃'!$AA$5:$AA$319,0)+4),INDEX('18℃'!$D$5:$D$319,MATCH(251,'18℃'!$AA$5:$AA$319,0))))</f>
        <v/>
      </c>
      <c xmlns="http://schemas.openxmlformats.org/spreadsheetml/2006/main" r="C272" s="18" t="str">
        <f>IF(251&gt;MAX('4℃飯'!$AA$5:$AA$319),"",HYPERLINK("#'4℃飯'!D"&amp;(MATCH(251,'4℃飯'!$AA$5:$AA$319,0)+4),INDEX('4℃飯'!$D$5:$D$319,MATCH(251,'4℃飯'!$AA$5:$AA$319,0))))</f>
        <v/>
      </c>
      <c xmlns="http://schemas.openxmlformats.org/spreadsheetml/2006/main" r="D272" s="18" t="str">
        <f>IF(251&gt;MAX('4℃麵'!$AA$5:$AA$310),"",HYPERLINK("#'4℃麵'!D"&amp;(MATCH(251,'4℃麵'!$AA$5:$AA$310,0)+4),INDEX('4℃麵'!$D$5:$D$310,MATCH(251,'4℃麵'!$AA$5:$AA$310,0))))</f>
        <v/>
      </c>
      <c xmlns="http://schemas.openxmlformats.org/spreadsheetml/2006/main" r="E272" s="18" t="str">
        <f>IF(251&gt;MAX('4℃其他'!$AA$5:$AA$322),"",HYPERLINK("#'4℃其他'!D"&amp;(MATCH(251,'4℃其他'!$AA$5:$AA$322,0)+4),INDEX('4℃其他'!$D$5:$D$322,MATCH(251,'4℃其他'!$AA$5:$AA$322,0))))</f>
        <v/>
      </c>
      <c xmlns="http://schemas.openxmlformats.org/spreadsheetml/2006/main" r="F272" s="18" t="str">
        <f>IF(251&gt;MAX('冷凍品'!$AA$5:$AA$322),"",HYPERLINK("#'冷凍品'!D"&amp;(MATCH(251,'冷凍品'!$AA$5:$AA$322,0)+4),INDEX('冷凍品'!$D$5:$D$322,MATCH(251,'冷凍品'!$AA$5:$AA$322,0))))</f>
        <v/>
      </c>
    </row>
    <row r="273">
      <c xmlns="http://schemas.openxmlformats.org/spreadsheetml/2006/main" r="B273" s="18" t="str">
        <f>IF(252&gt;MAX('18℃'!$AA$5:$AA$319),"",HYPERLINK("#'18℃'!D"&amp;(MATCH(252,'18℃'!$AA$5:$AA$319,0)+4),INDEX('18℃'!$D$5:$D$319,MATCH(252,'18℃'!$AA$5:$AA$319,0))))</f>
        <v/>
      </c>
      <c xmlns="http://schemas.openxmlformats.org/spreadsheetml/2006/main" r="C273" s="18" t="str">
        <f>IF(252&gt;MAX('4℃飯'!$AA$5:$AA$319),"",HYPERLINK("#'4℃飯'!D"&amp;(MATCH(252,'4℃飯'!$AA$5:$AA$319,0)+4),INDEX('4℃飯'!$D$5:$D$319,MATCH(252,'4℃飯'!$AA$5:$AA$319,0))))</f>
        <v/>
      </c>
      <c xmlns="http://schemas.openxmlformats.org/spreadsheetml/2006/main" r="D273" s="18" t="str">
        <f>IF(252&gt;MAX('4℃麵'!$AA$5:$AA$310),"",HYPERLINK("#'4℃麵'!D"&amp;(MATCH(252,'4℃麵'!$AA$5:$AA$310,0)+4),INDEX('4℃麵'!$D$5:$D$310,MATCH(252,'4℃麵'!$AA$5:$AA$310,0))))</f>
        <v/>
      </c>
      <c xmlns="http://schemas.openxmlformats.org/spreadsheetml/2006/main" r="E273" s="18" t="str">
        <f>IF(252&gt;MAX('4℃其他'!$AA$5:$AA$322),"",HYPERLINK("#'4℃其他'!D"&amp;(MATCH(252,'4℃其他'!$AA$5:$AA$322,0)+4),INDEX('4℃其他'!$D$5:$D$322,MATCH(252,'4℃其他'!$AA$5:$AA$322,0))))</f>
        <v/>
      </c>
      <c xmlns="http://schemas.openxmlformats.org/spreadsheetml/2006/main" r="F273" s="18" t="str">
        <f>IF(252&gt;MAX('冷凍品'!$AA$5:$AA$322),"",HYPERLINK("#'冷凍品'!D"&amp;(MATCH(252,'冷凍品'!$AA$5:$AA$322,0)+4),INDEX('冷凍品'!$D$5:$D$322,MATCH(252,'冷凍品'!$AA$5:$AA$322,0))))</f>
        <v/>
      </c>
    </row>
    <row r="274">
      <c xmlns="http://schemas.openxmlformats.org/spreadsheetml/2006/main" r="B274" s="18" t="str">
        <f>IF(253&gt;MAX('18℃'!$AA$5:$AA$319),"",HYPERLINK("#'18℃'!D"&amp;(MATCH(253,'18℃'!$AA$5:$AA$319,0)+4),INDEX('18℃'!$D$5:$D$319,MATCH(253,'18℃'!$AA$5:$AA$319,0))))</f>
        <v/>
      </c>
      <c xmlns="http://schemas.openxmlformats.org/spreadsheetml/2006/main" r="C274" s="18" t="str">
        <f>IF(253&gt;MAX('4℃飯'!$AA$5:$AA$319),"",HYPERLINK("#'4℃飯'!D"&amp;(MATCH(253,'4℃飯'!$AA$5:$AA$319,0)+4),INDEX('4℃飯'!$D$5:$D$319,MATCH(253,'4℃飯'!$AA$5:$AA$319,0))))</f>
        <v/>
      </c>
      <c xmlns="http://schemas.openxmlformats.org/spreadsheetml/2006/main" r="D274" s="18" t="str">
        <f>IF(253&gt;MAX('4℃麵'!$AA$5:$AA$310),"",HYPERLINK("#'4℃麵'!D"&amp;(MATCH(253,'4℃麵'!$AA$5:$AA$310,0)+4),INDEX('4℃麵'!$D$5:$D$310,MATCH(253,'4℃麵'!$AA$5:$AA$310,0))))</f>
        <v/>
      </c>
      <c xmlns="http://schemas.openxmlformats.org/spreadsheetml/2006/main" r="E274" s="18" t="str">
        <f>IF(253&gt;MAX('4℃其他'!$AA$5:$AA$322),"",HYPERLINK("#'4℃其他'!D"&amp;(MATCH(253,'4℃其他'!$AA$5:$AA$322,0)+4),INDEX('4℃其他'!$D$5:$D$322,MATCH(253,'4℃其他'!$AA$5:$AA$322,0))))</f>
        <v/>
      </c>
      <c xmlns="http://schemas.openxmlformats.org/spreadsheetml/2006/main" r="F274" s="18" t="str">
        <f>IF(253&gt;MAX('冷凍品'!$AA$5:$AA$322),"",HYPERLINK("#'冷凍品'!D"&amp;(MATCH(253,'冷凍品'!$AA$5:$AA$322,0)+4),INDEX('冷凍品'!$D$5:$D$322,MATCH(253,'冷凍品'!$AA$5:$AA$322,0))))</f>
        <v/>
      </c>
    </row>
    <row r="275">
      <c xmlns="http://schemas.openxmlformats.org/spreadsheetml/2006/main" r="B275" s="18" t="str">
        <f>IF(254&gt;MAX('18℃'!$AA$5:$AA$319),"",HYPERLINK("#'18℃'!D"&amp;(MATCH(254,'18℃'!$AA$5:$AA$319,0)+4),INDEX('18℃'!$D$5:$D$319,MATCH(254,'18℃'!$AA$5:$AA$319,0))))</f>
        <v/>
      </c>
      <c xmlns="http://schemas.openxmlformats.org/spreadsheetml/2006/main" r="C275" s="18" t="str">
        <f>IF(254&gt;MAX('4℃飯'!$AA$5:$AA$319),"",HYPERLINK("#'4℃飯'!D"&amp;(MATCH(254,'4℃飯'!$AA$5:$AA$319,0)+4),INDEX('4℃飯'!$D$5:$D$319,MATCH(254,'4℃飯'!$AA$5:$AA$319,0))))</f>
        <v/>
      </c>
      <c xmlns="http://schemas.openxmlformats.org/spreadsheetml/2006/main" r="D275" s="18" t="str">
        <f>IF(254&gt;MAX('4℃麵'!$AA$5:$AA$310),"",HYPERLINK("#'4℃麵'!D"&amp;(MATCH(254,'4℃麵'!$AA$5:$AA$310,0)+4),INDEX('4℃麵'!$D$5:$D$310,MATCH(254,'4℃麵'!$AA$5:$AA$310,0))))</f>
        <v/>
      </c>
      <c xmlns="http://schemas.openxmlformats.org/spreadsheetml/2006/main" r="E275" s="18" t="str">
        <f>IF(254&gt;MAX('4℃其他'!$AA$5:$AA$322),"",HYPERLINK("#'4℃其他'!D"&amp;(MATCH(254,'4℃其他'!$AA$5:$AA$322,0)+4),INDEX('4℃其他'!$D$5:$D$322,MATCH(254,'4℃其他'!$AA$5:$AA$322,0))))</f>
        <v/>
      </c>
      <c xmlns="http://schemas.openxmlformats.org/spreadsheetml/2006/main" r="F275" s="18" t="str">
        <f>IF(254&gt;MAX('冷凍品'!$AA$5:$AA$322),"",HYPERLINK("#'冷凍品'!D"&amp;(MATCH(254,'冷凍品'!$AA$5:$AA$322,0)+4),INDEX('冷凍品'!$D$5:$D$322,MATCH(254,'冷凍品'!$AA$5:$AA$322,0))))</f>
        <v/>
      </c>
    </row>
    <row r="276">
      <c xmlns="http://schemas.openxmlformats.org/spreadsheetml/2006/main" r="B276" s="18" t="str">
        <f>IF(255&gt;MAX('18℃'!$AA$5:$AA$319),"",HYPERLINK("#'18℃'!D"&amp;(MATCH(255,'18℃'!$AA$5:$AA$319,0)+4),INDEX('18℃'!$D$5:$D$319,MATCH(255,'18℃'!$AA$5:$AA$319,0))))</f>
        <v/>
      </c>
      <c xmlns="http://schemas.openxmlformats.org/spreadsheetml/2006/main" r="C276" s="18" t="str">
        <f>IF(255&gt;MAX('4℃飯'!$AA$5:$AA$319),"",HYPERLINK("#'4℃飯'!D"&amp;(MATCH(255,'4℃飯'!$AA$5:$AA$319,0)+4),INDEX('4℃飯'!$D$5:$D$319,MATCH(255,'4℃飯'!$AA$5:$AA$319,0))))</f>
        <v/>
      </c>
      <c xmlns="http://schemas.openxmlformats.org/spreadsheetml/2006/main" r="D276" s="18" t="str">
        <f>IF(255&gt;MAX('4℃麵'!$AA$5:$AA$310),"",HYPERLINK("#'4℃麵'!D"&amp;(MATCH(255,'4℃麵'!$AA$5:$AA$310,0)+4),INDEX('4℃麵'!$D$5:$D$310,MATCH(255,'4℃麵'!$AA$5:$AA$310,0))))</f>
        <v/>
      </c>
      <c xmlns="http://schemas.openxmlformats.org/spreadsheetml/2006/main" r="E276" s="18" t="str">
        <f>IF(255&gt;MAX('4℃其他'!$AA$5:$AA$322),"",HYPERLINK("#'4℃其他'!D"&amp;(MATCH(255,'4℃其他'!$AA$5:$AA$322,0)+4),INDEX('4℃其他'!$D$5:$D$322,MATCH(255,'4℃其他'!$AA$5:$AA$322,0))))</f>
        <v/>
      </c>
      <c xmlns="http://schemas.openxmlformats.org/spreadsheetml/2006/main" r="F276" s="18" t="str">
        <f>IF(255&gt;MAX('冷凍品'!$AA$5:$AA$322),"",HYPERLINK("#'冷凍品'!D"&amp;(MATCH(255,'冷凍品'!$AA$5:$AA$322,0)+4),INDEX('冷凍品'!$D$5:$D$322,MATCH(255,'冷凍品'!$AA$5:$AA$322,0))))</f>
        <v/>
      </c>
    </row>
    <row r="277">
      <c xmlns="http://schemas.openxmlformats.org/spreadsheetml/2006/main" r="B277" s="18" t="str">
        <f>IF(256&gt;MAX('18℃'!$AA$5:$AA$319),"",HYPERLINK("#'18℃'!D"&amp;(MATCH(256,'18℃'!$AA$5:$AA$319,0)+4),INDEX('18℃'!$D$5:$D$319,MATCH(256,'18℃'!$AA$5:$AA$319,0))))</f>
        <v/>
      </c>
      <c xmlns="http://schemas.openxmlformats.org/spreadsheetml/2006/main" r="C277" s="18" t="str">
        <f>IF(256&gt;MAX('4℃飯'!$AA$5:$AA$319),"",HYPERLINK("#'4℃飯'!D"&amp;(MATCH(256,'4℃飯'!$AA$5:$AA$319,0)+4),INDEX('4℃飯'!$D$5:$D$319,MATCH(256,'4℃飯'!$AA$5:$AA$319,0))))</f>
        <v/>
      </c>
      <c xmlns="http://schemas.openxmlformats.org/spreadsheetml/2006/main" r="D277" s="18" t="str">
        <f>IF(256&gt;MAX('4℃麵'!$AA$5:$AA$310),"",HYPERLINK("#'4℃麵'!D"&amp;(MATCH(256,'4℃麵'!$AA$5:$AA$310,0)+4),INDEX('4℃麵'!$D$5:$D$310,MATCH(256,'4℃麵'!$AA$5:$AA$310,0))))</f>
        <v/>
      </c>
      <c xmlns="http://schemas.openxmlformats.org/spreadsheetml/2006/main" r="E277" s="18" t="str">
        <f>IF(256&gt;MAX('4℃其他'!$AA$5:$AA$322),"",HYPERLINK("#'4℃其他'!D"&amp;(MATCH(256,'4℃其他'!$AA$5:$AA$322,0)+4),INDEX('4℃其他'!$D$5:$D$322,MATCH(256,'4℃其他'!$AA$5:$AA$322,0))))</f>
        <v/>
      </c>
      <c xmlns="http://schemas.openxmlformats.org/spreadsheetml/2006/main" r="F277" s="18" t="str">
        <f>IF(256&gt;MAX('冷凍品'!$AA$5:$AA$322),"",HYPERLINK("#'冷凍品'!D"&amp;(MATCH(256,'冷凍品'!$AA$5:$AA$322,0)+4),INDEX('冷凍品'!$D$5:$D$322,MATCH(256,'冷凍品'!$AA$5:$AA$322,0))))</f>
        <v/>
      </c>
    </row>
    <row r="278">
      <c xmlns="http://schemas.openxmlformats.org/spreadsheetml/2006/main" r="B278" s="18" t="str">
        <f>IF(257&gt;MAX('18℃'!$AA$5:$AA$319),"",HYPERLINK("#'18℃'!D"&amp;(MATCH(257,'18℃'!$AA$5:$AA$319,0)+4),INDEX('18℃'!$D$5:$D$319,MATCH(257,'18℃'!$AA$5:$AA$319,0))))</f>
        <v/>
      </c>
      <c xmlns="http://schemas.openxmlformats.org/spreadsheetml/2006/main" r="C278" s="18" t="str">
        <f>IF(257&gt;MAX('4℃飯'!$AA$5:$AA$319),"",HYPERLINK("#'4℃飯'!D"&amp;(MATCH(257,'4℃飯'!$AA$5:$AA$319,0)+4),INDEX('4℃飯'!$D$5:$D$319,MATCH(257,'4℃飯'!$AA$5:$AA$319,0))))</f>
        <v/>
      </c>
      <c xmlns="http://schemas.openxmlformats.org/spreadsheetml/2006/main" r="D278" s="18" t="str">
        <f>IF(257&gt;MAX('4℃麵'!$AA$5:$AA$310),"",HYPERLINK("#'4℃麵'!D"&amp;(MATCH(257,'4℃麵'!$AA$5:$AA$310,0)+4),INDEX('4℃麵'!$D$5:$D$310,MATCH(257,'4℃麵'!$AA$5:$AA$310,0))))</f>
        <v/>
      </c>
      <c xmlns="http://schemas.openxmlformats.org/spreadsheetml/2006/main" r="E278" s="18" t="str">
        <f>IF(257&gt;MAX('4℃其他'!$AA$5:$AA$322),"",HYPERLINK("#'4℃其他'!D"&amp;(MATCH(257,'4℃其他'!$AA$5:$AA$322,0)+4),INDEX('4℃其他'!$D$5:$D$322,MATCH(257,'4℃其他'!$AA$5:$AA$322,0))))</f>
        <v/>
      </c>
      <c xmlns="http://schemas.openxmlformats.org/spreadsheetml/2006/main" r="F278" s="18" t="str">
        <f>IF(257&gt;MAX('冷凍品'!$AA$5:$AA$322),"",HYPERLINK("#'冷凍品'!D"&amp;(MATCH(257,'冷凍品'!$AA$5:$AA$322,0)+4),INDEX('冷凍品'!$D$5:$D$322,MATCH(257,'冷凍品'!$AA$5:$AA$322,0))))</f>
        <v/>
      </c>
    </row>
    <row r="279">
      <c xmlns="http://schemas.openxmlformats.org/spreadsheetml/2006/main" r="B279" s="18" t="str">
        <f>IF(258&gt;MAX('18℃'!$AA$5:$AA$319),"",HYPERLINK("#'18℃'!D"&amp;(MATCH(258,'18℃'!$AA$5:$AA$319,0)+4),INDEX('18℃'!$D$5:$D$319,MATCH(258,'18℃'!$AA$5:$AA$319,0))))</f>
        <v/>
      </c>
      <c xmlns="http://schemas.openxmlformats.org/spreadsheetml/2006/main" r="C279" s="18" t="str">
        <f>IF(258&gt;MAX('4℃飯'!$AA$5:$AA$319),"",HYPERLINK("#'4℃飯'!D"&amp;(MATCH(258,'4℃飯'!$AA$5:$AA$319,0)+4),INDEX('4℃飯'!$D$5:$D$319,MATCH(258,'4℃飯'!$AA$5:$AA$319,0))))</f>
        <v/>
      </c>
      <c xmlns="http://schemas.openxmlformats.org/spreadsheetml/2006/main" r="D279" s="18" t="str">
        <f>IF(258&gt;MAX('4℃麵'!$AA$5:$AA$310),"",HYPERLINK("#'4℃麵'!D"&amp;(MATCH(258,'4℃麵'!$AA$5:$AA$310,0)+4),INDEX('4℃麵'!$D$5:$D$310,MATCH(258,'4℃麵'!$AA$5:$AA$310,0))))</f>
        <v/>
      </c>
      <c xmlns="http://schemas.openxmlformats.org/spreadsheetml/2006/main" r="E279" s="18" t="str">
        <f>IF(258&gt;MAX('4℃其他'!$AA$5:$AA$322),"",HYPERLINK("#'4℃其他'!D"&amp;(MATCH(258,'4℃其他'!$AA$5:$AA$322,0)+4),INDEX('4℃其他'!$D$5:$D$322,MATCH(258,'4℃其他'!$AA$5:$AA$322,0))))</f>
        <v/>
      </c>
      <c xmlns="http://schemas.openxmlformats.org/spreadsheetml/2006/main" r="F279" s="18" t="str">
        <f>IF(258&gt;MAX('冷凍品'!$AA$5:$AA$322),"",HYPERLINK("#'冷凍品'!D"&amp;(MATCH(258,'冷凍品'!$AA$5:$AA$322,0)+4),INDEX('冷凍品'!$D$5:$D$322,MATCH(258,'冷凍品'!$AA$5:$AA$322,0))))</f>
        <v/>
      </c>
    </row>
    <row r="280">
      <c xmlns="http://schemas.openxmlformats.org/spreadsheetml/2006/main" r="B280" s="18" t="str">
        <f>IF(259&gt;MAX('18℃'!$AA$5:$AA$319),"",HYPERLINK("#'18℃'!D"&amp;(MATCH(259,'18℃'!$AA$5:$AA$319,0)+4),INDEX('18℃'!$D$5:$D$319,MATCH(259,'18℃'!$AA$5:$AA$319,0))))</f>
        <v/>
      </c>
      <c xmlns="http://schemas.openxmlformats.org/spreadsheetml/2006/main" r="C280" s="18" t="str">
        <f>IF(259&gt;MAX('4℃飯'!$AA$5:$AA$319),"",HYPERLINK("#'4℃飯'!D"&amp;(MATCH(259,'4℃飯'!$AA$5:$AA$319,0)+4),INDEX('4℃飯'!$D$5:$D$319,MATCH(259,'4℃飯'!$AA$5:$AA$319,0))))</f>
        <v/>
      </c>
      <c xmlns="http://schemas.openxmlformats.org/spreadsheetml/2006/main" r="D280" s="18" t="str">
        <f>IF(259&gt;MAX('4℃麵'!$AA$5:$AA$310),"",HYPERLINK("#'4℃麵'!D"&amp;(MATCH(259,'4℃麵'!$AA$5:$AA$310,0)+4),INDEX('4℃麵'!$D$5:$D$310,MATCH(259,'4℃麵'!$AA$5:$AA$310,0))))</f>
        <v/>
      </c>
      <c xmlns="http://schemas.openxmlformats.org/spreadsheetml/2006/main" r="E280" s="18" t="str">
        <f>IF(259&gt;MAX('4℃其他'!$AA$5:$AA$322),"",HYPERLINK("#'4℃其他'!D"&amp;(MATCH(259,'4℃其他'!$AA$5:$AA$322,0)+4),INDEX('4℃其他'!$D$5:$D$322,MATCH(259,'4℃其他'!$AA$5:$AA$322,0))))</f>
        <v/>
      </c>
      <c xmlns="http://schemas.openxmlformats.org/spreadsheetml/2006/main" r="F280" s="18" t="str">
        <f>IF(259&gt;MAX('冷凍品'!$AA$5:$AA$322),"",HYPERLINK("#'冷凍品'!D"&amp;(MATCH(259,'冷凍品'!$AA$5:$AA$322,0)+4),INDEX('冷凍品'!$D$5:$D$322,MATCH(259,'冷凍品'!$AA$5:$AA$322,0))))</f>
        <v/>
      </c>
    </row>
    <row r="281">
      <c xmlns="http://schemas.openxmlformats.org/spreadsheetml/2006/main" r="B281" s="18" t="str">
        <f>IF(260&gt;MAX('18℃'!$AA$5:$AA$319),"",HYPERLINK("#'18℃'!D"&amp;(MATCH(260,'18℃'!$AA$5:$AA$319,0)+4),INDEX('18℃'!$D$5:$D$319,MATCH(260,'18℃'!$AA$5:$AA$319,0))))</f>
        <v/>
      </c>
      <c xmlns="http://schemas.openxmlformats.org/spreadsheetml/2006/main" r="C281" s="18" t="str">
        <f>IF(260&gt;MAX('4℃飯'!$AA$5:$AA$319),"",HYPERLINK("#'4℃飯'!D"&amp;(MATCH(260,'4℃飯'!$AA$5:$AA$319,0)+4),INDEX('4℃飯'!$D$5:$D$319,MATCH(260,'4℃飯'!$AA$5:$AA$319,0))))</f>
        <v/>
      </c>
      <c xmlns="http://schemas.openxmlformats.org/spreadsheetml/2006/main" r="D281" s="18" t="str">
        <f>IF(260&gt;MAX('4℃麵'!$AA$5:$AA$310),"",HYPERLINK("#'4℃麵'!D"&amp;(MATCH(260,'4℃麵'!$AA$5:$AA$310,0)+4),INDEX('4℃麵'!$D$5:$D$310,MATCH(260,'4℃麵'!$AA$5:$AA$310,0))))</f>
        <v/>
      </c>
      <c xmlns="http://schemas.openxmlformats.org/spreadsheetml/2006/main" r="E281" s="18" t="str">
        <f>IF(260&gt;MAX('4℃其他'!$AA$5:$AA$322),"",HYPERLINK("#'4℃其他'!D"&amp;(MATCH(260,'4℃其他'!$AA$5:$AA$322,0)+4),INDEX('4℃其他'!$D$5:$D$322,MATCH(260,'4℃其他'!$AA$5:$AA$322,0))))</f>
        <v/>
      </c>
      <c xmlns="http://schemas.openxmlformats.org/spreadsheetml/2006/main" r="F281" s="18" t="str">
        <f>IF(260&gt;MAX('冷凍品'!$AA$5:$AA$322),"",HYPERLINK("#'冷凍品'!D"&amp;(MATCH(260,'冷凍品'!$AA$5:$AA$322,0)+4),INDEX('冷凍品'!$D$5:$D$322,MATCH(260,'冷凍品'!$AA$5:$AA$322,0))))</f>
        <v/>
      </c>
    </row>
    <row r="282">
      <c xmlns="http://schemas.openxmlformats.org/spreadsheetml/2006/main" r="B282" s="18" t="str">
        <f>IF(261&gt;MAX('18℃'!$AA$5:$AA$319),"",HYPERLINK("#'18℃'!D"&amp;(MATCH(261,'18℃'!$AA$5:$AA$319,0)+4),INDEX('18℃'!$D$5:$D$319,MATCH(261,'18℃'!$AA$5:$AA$319,0))))</f>
        <v/>
      </c>
      <c xmlns="http://schemas.openxmlformats.org/spreadsheetml/2006/main" r="C282" s="18" t="str">
        <f>IF(261&gt;MAX('4℃飯'!$AA$5:$AA$319),"",HYPERLINK("#'4℃飯'!D"&amp;(MATCH(261,'4℃飯'!$AA$5:$AA$319,0)+4),INDEX('4℃飯'!$D$5:$D$319,MATCH(261,'4℃飯'!$AA$5:$AA$319,0))))</f>
        <v/>
      </c>
      <c xmlns="http://schemas.openxmlformats.org/spreadsheetml/2006/main" r="D282" s="18" t="str">
        <f>IF(261&gt;MAX('4℃麵'!$AA$5:$AA$310),"",HYPERLINK("#'4℃麵'!D"&amp;(MATCH(261,'4℃麵'!$AA$5:$AA$310,0)+4),INDEX('4℃麵'!$D$5:$D$310,MATCH(261,'4℃麵'!$AA$5:$AA$310,0))))</f>
        <v/>
      </c>
      <c xmlns="http://schemas.openxmlformats.org/spreadsheetml/2006/main" r="E282" s="18" t="str">
        <f>IF(261&gt;MAX('4℃其他'!$AA$5:$AA$322),"",HYPERLINK("#'4℃其他'!D"&amp;(MATCH(261,'4℃其他'!$AA$5:$AA$322,0)+4),INDEX('4℃其他'!$D$5:$D$322,MATCH(261,'4℃其他'!$AA$5:$AA$322,0))))</f>
        <v/>
      </c>
      <c xmlns="http://schemas.openxmlformats.org/spreadsheetml/2006/main" r="F282" s="18" t="str">
        <f>IF(261&gt;MAX('冷凍品'!$AA$5:$AA$322),"",HYPERLINK("#'冷凍品'!D"&amp;(MATCH(261,'冷凍品'!$AA$5:$AA$322,0)+4),INDEX('冷凍品'!$D$5:$D$322,MATCH(261,'冷凍品'!$AA$5:$AA$322,0))))</f>
        <v/>
      </c>
    </row>
    <row r="283">
      <c xmlns="http://schemas.openxmlformats.org/spreadsheetml/2006/main" r="B283" s="18" t="str">
        <f>IF(262&gt;MAX('18℃'!$AA$5:$AA$319),"",HYPERLINK("#'18℃'!D"&amp;(MATCH(262,'18℃'!$AA$5:$AA$319,0)+4),INDEX('18℃'!$D$5:$D$319,MATCH(262,'18℃'!$AA$5:$AA$319,0))))</f>
        <v/>
      </c>
      <c xmlns="http://schemas.openxmlformats.org/spreadsheetml/2006/main" r="C283" s="18" t="str">
        <f>IF(262&gt;MAX('4℃飯'!$AA$5:$AA$319),"",HYPERLINK("#'4℃飯'!D"&amp;(MATCH(262,'4℃飯'!$AA$5:$AA$319,0)+4),INDEX('4℃飯'!$D$5:$D$319,MATCH(262,'4℃飯'!$AA$5:$AA$319,0))))</f>
        <v/>
      </c>
      <c xmlns="http://schemas.openxmlformats.org/spreadsheetml/2006/main" r="D283" s="18" t="str">
        <f>IF(262&gt;MAX('4℃麵'!$AA$5:$AA$310),"",HYPERLINK("#'4℃麵'!D"&amp;(MATCH(262,'4℃麵'!$AA$5:$AA$310,0)+4),INDEX('4℃麵'!$D$5:$D$310,MATCH(262,'4℃麵'!$AA$5:$AA$310,0))))</f>
        <v/>
      </c>
      <c xmlns="http://schemas.openxmlformats.org/spreadsheetml/2006/main" r="E283" s="18" t="str">
        <f>IF(262&gt;MAX('4℃其他'!$AA$5:$AA$322),"",HYPERLINK("#'4℃其他'!D"&amp;(MATCH(262,'4℃其他'!$AA$5:$AA$322,0)+4),INDEX('4℃其他'!$D$5:$D$322,MATCH(262,'4℃其他'!$AA$5:$AA$322,0))))</f>
        <v/>
      </c>
      <c xmlns="http://schemas.openxmlformats.org/spreadsheetml/2006/main" r="F283" s="18" t="str">
        <f>IF(262&gt;MAX('冷凍品'!$AA$5:$AA$322),"",HYPERLINK("#'冷凍品'!D"&amp;(MATCH(262,'冷凍品'!$AA$5:$AA$322,0)+4),INDEX('冷凍品'!$D$5:$D$322,MATCH(262,'冷凍品'!$AA$5:$AA$322,0))))</f>
        <v/>
      </c>
    </row>
    <row r="284">
      <c xmlns="http://schemas.openxmlformats.org/spreadsheetml/2006/main" r="B284" s="18" t="str">
        <f>IF(263&gt;MAX('18℃'!$AA$5:$AA$319),"",HYPERLINK("#'18℃'!D"&amp;(MATCH(263,'18℃'!$AA$5:$AA$319,0)+4),INDEX('18℃'!$D$5:$D$319,MATCH(263,'18℃'!$AA$5:$AA$319,0))))</f>
        <v/>
      </c>
      <c xmlns="http://schemas.openxmlformats.org/spreadsheetml/2006/main" r="C284" s="18" t="str">
        <f>IF(263&gt;MAX('4℃飯'!$AA$5:$AA$319),"",HYPERLINK("#'4℃飯'!D"&amp;(MATCH(263,'4℃飯'!$AA$5:$AA$319,0)+4),INDEX('4℃飯'!$D$5:$D$319,MATCH(263,'4℃飯'!$AA$5:$AA$319,0))))</f>
        <v/>
      </c>
      <c xmlns="http://schemas.openxmlformats.org/spreadsheetml/2006/main" r="D284" s="18" t="str">
        <f>IF(263&gt;MAX('4℃麵'!$AA$5:$AA$310),"",HYPERLINK("#'4℃麵'!D"&amp;(MATCH(263,'4℃麵'!$AA$5:$AA$310,0)+4),INDEX('4℃麵'!$D$5:$D$310,MATCH(263,'4℃麵'!$AA$5:$AA$310,0))))</f>
        <v/>
      </c>
      <c xmlns="http://schemas.openxmlformats.org/spreadsheetml/2006/main" r="E284" s="18" t="str">
        <f>IF(263&gt;MAX('4℃其他'!$AA$5:$AA$322),"",HYPERLINK("#'4℃其他'!D"&amp;(MATCH(263,'4℃其他'!$AA$5:$AA$322,0)+4),INDEX('4℃其他'!$D$5:$D$322,MATCH(263,'4℃其他'!$AA$5:$AA$322,0))))</f>
        <v/>
      </c>
      <c xmlns="http://schemas.openxmlformats.org/spreadsheetml/2006/main" r="F284" s="18" t="str">
        <f>IF(263&gt;MAX('冷凍品'!$AA$5:$AA$322),"",HYPERLINK("#'冷凍品'!D"&amp;(MATCH(263,'冷凍品'!$AA$5:$AA$322,0)+4),INDEX('冷凍品'!$D$5:$D$322,MATCH(263,'冷凍品'!$AA$5:$AA$322,0))))</f>
        <v/>
      </c>
    </row>
    <row r="285">
      <c xmlns="http://schemas.openxmlformats.org/spreadsheetml/2006/main" r="B285" s="18" t="str">
        <f>IF(264&gt;MAX('18℃'!$AA$5:$AA$319),"",HYPERLINK("#'18℃'!D"&amp;(MATCH(264,'18℃'!$AA$5:$AA$319,0)+4),INDEX('18℃'!$D$5:$D$319,MATCH(264,'18℃'!$AA$5:$AA$319,0))))</f>
        <v/>
      </c>
      <c xmlns="http://schemas.openxmlformats.org/spreadsheetml/2006/main" r="C285" s="18" t="str">
        <f>IF(264&gt;MAX('4℃飯'!$AA$5:$AA$319),"",HYPERLINK("#'4℃飯'!D"&amp;(MATCH(264,'4℃飯'!$AA$5:$AA$319,0)+4),INDEX('4℃飯'!$D$5:$D$319,MATCH(264,'4℃飯'!$AA$5:$AA$319,0))))</f>
        <v/>
      </c>
      <c xmlns="http://schemas.openxmlformats.org/spreadsheetml/2006/main" r="D285" s="18" t="str">
        <f>IF(264&gt;MAX('4℃麵'!$AA$5:$AA$310),"",HYPERLINK("#'4℃麵'!D"&amp;(MATCH(264,'4℃麵'!$AA$5:$AA$310,0)+4),INDEX('4℃麵'!$D$5:$D$310,MATCH(264,'4℃麵'!$AA$5:$AA$310,0))))</f>
        <v/>
      </c>
      <c xmlns="http://schemas.openxmlformats.org/spreadsheetml/2006/main" r="E285" s="18" t="str">
        <f>IF(264&gt;MAX('4℃其他'!$AA$5:$AA$322),"",HYPERLINK("#'4℃其他'!D"&amp;(MATCH(264,'4℃其他'!$AA$5:$AA$322,0)+4),INDEX('4℃其他'!$D$5:$D$322,MATCH(264,'4℃其他'!$AA$5:$AA$322,0))))</f>
        <v/>
      </c>
      <c xmlns="http://schemas.openxmlformats.org/spreadsheetml/2006/main" r="F285" s="18" t="str">
        <f>IF(264&gt;MAX('冷凍品'!$AA$5:$AA$322),"",HYPERLINK("#'冷凍品'!D"&amp;(MATCH(264,'冷凍品'!$AA$5:$AA$322,0)+4),INDEX('冷凍品'!$D$5:$D$322,MATCH(264,'冷凍品'!$AA$5:$AA$322,0))))</f>
        <v/>
      </c>
    </row>
    <row r="286">
      <c xmlns="http://schemas.openxmlformats.org/spreadsheetml/2006/main" r="B286" s="18" t="str">
        <f>IF(265&gt;MAX('18℃'!$AA$5:$AA$319),"",HYPERLINK("#'18℃'!D"&amp;(MATCH(265,'18℃'!$AA$5:$AA$319,0)+4),INDEX('18℃'!$D$5:$D$319,MATCH(265,'18℃'!$AA$5:$AA$319,0))))</f>
        <v/>
      </c>
      <c xmlns="http://schemas.openxmlformats.org/spreadsheetml/2006/main" r="C286" s="18" t="str">
        <f>IF(265&gt;MAX('4℃飯'!$AA$5:$AA$319),"",HYPERLINK("#'4℃飯'!D"&amp;(MATCH(265,'4℃飯'!$AA$5:$AA$319,0)+4),INDEX('4℃飯'!$D$5:$D$319,MATCH(265,'4℃飯'!$AA$5:$AA$319,0))))</f>
        <v/>
      </c>
      <c xmlns="http://schemas.openxmlformats.org/spreadsheetml/2006/main" r="D286" s="18" t="str">
        <f>IF(265&gt;MAX('4℃麵'!$AA$5:$AA$310),"",HYPERLINK("#'4℃麵'!D"&amp;(MATCH(265,'4℃麵'!$AA$5:$AA$310,0)+4),INDEX('4℃麵'!$D$5:$D$310,MATCH(265,'4℃麵'!$AA$5:$AA$310,0))))</f>
        <v/>
      </c>
      <c xmlns="http://schemas.openxmlformats.org/spreadsheetml/2006/main" r="E286" s="18" t="str">
        <f>IF(265&gt;MAX('4℃其他'!$AA$5:$AA$322),"",HYPERLINK("#'4℃其他'!D"&amp;(MATCH(265,'4℃其他'!$AA$5:$AA$322,0)+4),INDEX('4℃其他'!$D$5:$D$322,MATCH(265,'4℃其他'!$AA$5:$AA$322,0))))</f>
        <v/>
      </c>
      <c xmlns="http://schemas.openxmlformats.org/spreadsheetml/2006/main" r="F286" s="18" t="str">
        <f>IF(265&gt;MAX('冷凍品'!$AA$5:$AA$322),"",HYPERLINK("#'冷凍品'!D"&amp;(MATCH(265,'冷凍品'!$AA$5:$AA$322,0)+4),INDEX('冷凍品'!$D$5:$D$322,MATCH(265,'冷凍品'!$AA$5:$AA$322,0))))</f>
        <v/>
      </c>
    </row>
    <row r="287">
      <c xmlns="http://schemas.openxmlformats.org/spreadsheetml/2006/main" r="B287" s="18" t="str">
        <f>IF(266&gt;MAX('18℃'!$AA$5:$AA$319),"",HYPERLINK("#'18℃'!D"&amp;(MATCH(266,'18℃'!$AA$5:$AA$319,0)+4),INDEX('18℃'!$D$5:$D$319,MATCH(266,'18℃'!$AA$5:$AA$319,0))))</f>
        <v/>
      </c>
      <c xmlns="http://schemas.openxmlformats.org/spreadsheetml/2006/main" r="C287" s="18" t="str">
        <f>IF(266&gt;MAX('4℃飯'!$AA$5:$AA$319),"",HYPERLINK("#'4℃飯'!D"&amp;(MATCH(266,'4℃飯'!$AA$5:$AA$319,0)+4),INDEX('4℃飯'!$D$5:$D$319,MATCH(266,'4℃飯'!$AA$5:$AA$319,0))))</f>
        <v/>
      </c>
      <c xmlns="http://schemas.openxmlformats.org/spreadsheetml/2006/main" r="D287" s="18" t="str">
        <f>IF(266&gt;MAX('4℃麵'!$AA$5:$AA$310),"",HYPERLINK("#'4℃麵'!D"&amp;(MATCH(266,'4℃麵'!$AA$5:$AA$310,0)+4),INDEX('4℃麵'!$D$5:$D$310,MATCH(266,'4℃麵'!$AA$5:$AA$310,0))))</f>
        <v/>
      </c>
      <c xmlns="http://schemas.openxmlformats.org/spreadsheetml/2006/main" r="E287" s="18" t="str">
        <f>IF(266&gt;MAX('4℃其他'!$AA$5:$AA$322),"",HYPERLINK("#'4℃其他'!D"&amp;(MATCH(266,'4℃其他'!$AA$5:$AA$322,0)+4),INDEX('4℃其他'!$D$5:$D$322,MATCH(266,'4℃其他'!$AA$5:$AA$322,0))))</f>
        <v/>
      </c>
      <c xmlns="http://schemas.openxmlformats.org/spreadsheetml/2006/main" r="F287" s="18" t="str">
        <f>IF(266&gt;MAX('冷凍品'!$AA$5:$AA$322),"",HYPERLINK("#'冷凍品'!D"&amp;(MATCH(266,'冷凍品'!$AA$5:$AA$322,0)+4),INDEX('冷凍品'!$D$5:$D$322,MATCH(266,'冷凍品'!$AA$5:$AA$322,0))))</f>
        <v/>
      </c>
    </row>
    <row r="288">
      <c xmlns="http://schemas.openxmlformats.org/spreadsheetml/2006/main" r="B288" s="18" t="str">
        <f>IF(267&gt;MAX('18℃'!$AA$5:$AA$319),"",HYPERLINK("#'18℃'!D"&amp;(MATCH(267,'18℃'!$AA$5:$AA$319,0)+4),INDEX('18℃'!$D$5:$D$319,MATCH(267,'18℃'!$AA$5:$AA$319,0))))</f>
        <v/>
      </c>
      <c xmlns="http://schemas.openxmlformats.org/spreadsheetml/2006/main" r="C288" s="18" t="str">
        <f>IF(267&gt;MAX('4℃飯'!$AA$5:$AA$319),"",HYPERLINK("#'4℃飯'!D"&amp;(MATCH(267,'4℃飯'!$AA$5:$AA$319,0)+4),INDEX('4℃飯'!$D$5:$D$319,MATCH(267,'4℃飯'!$AA$5:$AA$319,0))))</f>
        <v/>
      </c>
      <c xmlns="http://schemas.openxmlformats.org/spreadsheetml/2006/main" r="D288" s="18" t="str">
        <f>IF(267&gt;MAX('4℃麵'!$AA$5:$AA$310),"",HYPERLINK("#'4℃麵'!D"&amp;(MATCH(267,'4℃麵'!$AA$5:$AA$310,0)+4),INDEX('4℃麵'!$D$5:$D$310,MATCH(267,'4℃麵'!$AA$5:$AA$310,0))))</f>
        <v/>
      </c>
      <c xmlns="http://schemas.openxmlformats.org/spreadsheetml/2006/main" r="E288" s="18" t="str">
        <f>IF(267&gt;MAX('4℃其他'!$AA$5:$AA$322),"",HYPERLINK("#'4℃其他'!D"&amp;(MATCH(267,'4℃其他'!$AA$5:$AA$322,0)+4),INDEX('4℃其他'!$D$5:$D$322,MATCH(267,'4℃其他'!$AA$5:$AA$322,0))))</f>
        <v/>
      </c>
      <c xmlns="http://schemas.openxmlformats.org/spreadsheetml/2006/main" r="F288" s="18" t="str">
        <f>IF(267&gt;MAX('冷凍品'!$AA$5:$AA$322),"",HYPERLINK("#'冷凍品'!D"&amp;(MATCH(267,'冷凍品'!$AA$5:$AA$322,0)+4),INDEX('冷凍品'!$D$5:$D$322,MATCH(267,'冷凍品'!$AA$5:$AA$322,0))))</f>
        <v/>
      </c>
    </row>
    <row r="289">
      <c xmlns="http://schemas.openxmlformats.org/spreadsheetml/2006/main" r="B289" s="18" t="str">
        <f>IF(268&gt;MAX('18℃'!$AA$5:$AA$319),"",HYPERLINK("#'18℃'!D"&amp;(MATCH(268,'18℃'!$AA$5:$AA$319,0)+4),INDEX('18℃'!$D$5:$D$319,MATCH(268,'18℃'!$AA$5:$AA$319,0))))</f>
        <v/>
      </c>
      <c xmlns="http://schemas.openxmlformats.org/spreadsheetml/2006/main" r="C289" s="18" t="str">
        <f>IF(268&gt;MAX('4℃飯'!$AA$5:$AA$319),"",HYPERLINK("#'4℃飯'!D"&amp;(MATCH(268,'4℃飯'!$AA$5:$AA$319,0)+4),INDEX('4℃飯'!$D$5:$D$319,MATCH(268,'4℃飯'!$AA$5:$AA$319,0))))</f>
        <v/>
      </c>
      <c xmlns="http://schemas.openxmlformats.org/spreadsheetml/2006/main" r="D289" s="18" t="str">
        <f>IF(268&gt;MAX('4℃麵'!$AA$5:$AA$310),"",HYPERLINK("#'4℃麵'!D"&amp;(MATCH(268,'4℃麵'!$AA$5:$AA$310,0)+4),INDEX('4℃麵'!$D$5:$D$310,MATCH(268,'4℃麵'!$AA$5:$AA$310,0))))</f>
        <v/>
      </c>
      <c xmlns="http://schemas.openxmlformats.org/spreadsheetml/2006/main" r="E289" s="18" t="str">
        <f>IF(268&gt;MAX('4℃其他'!$AA$5:$AA$322),"",HYPERLINK("#'4℃其他'!D"&amp;(MATCH(268,'4℃其他'!$AA$5:$AA$322,0)+4),INDEX('4℃其他'!$D$5:$D$322,MATCH(268,'4℃其他'!$AA$5:$AA$322,0))))</f>
        <v/>
      </c>
      <c xmlns="http://schemas.openxmlformats.org/spreadsheetml/2006/main" r="F289" s="18" t="str">
        <f>IF(268&gt;MAX('冷凍品'!$AA$5:$AA$322),"",HYPERLINK("#'冷凍品'!D"&amp;(MATCH(268,'冷凍品'!$AA$5:$AA$322,0)+4),INDEX('冷凍品'!$D$5:$D$322,MATCH(268,'冷凍品'!$AA$5:$AA$322,0))))</f>
        <v/>
      </c>
    </row>
    <row r="290">
      <c xmlns="http://schemas.openxmlformats.org/spreadsheetml/2006/main" r="B290" s="18" t="str">
        <f>IF(269&gt;MAX('18℃'!$AA$5:$AA$319),"",HYPERLINK("#'18℃'!D"&amp;(MATCH(269,'18℃'!$AA$5:$AA$319,0)+4),INDEX('18℃'!$D$5:$D$319,MATCH(269,'18℃'!$AA$5:$AA$319,0))))</f>
        <v/>
      </c>
      <c xmlns="http://schemas.openxmlformats.org/spreadsheetml/2006/main" r="C290" s="18" t="str">
        <f>IF(269&gt;MAX('4℃飯'!$AA$5:$AA$319),"",HYPERLINK("#'4℃飯'!D"&amp;(MATCH(269,'4℃飯'!$AA$5:$AA$319,0)+4),INDEX('4℃飯'!$D$5:$D$319,MATCH(269,'4℃飯'!$AA$5:$AA$319,0))))</f>
        <v/>
      </c>
      <c xmlns="http://schemas.openxmlformats.org/spreadsheetml/2006/main" r="D290" s="18" t="str">
        <f>IF(269&gt;MAX('4℃麵'!$AA$5:$AA$310),"",HYPERLINK("#'4℃麵'!D"&amp;(MATCH(269,'4℃麵'!$AA$5:$AA$310,0)+4),INDEX('4℃麵'!$D$5:$D$310,MATCH(269,'4℃麵'!$AA$5:$AA$310,0))))</f>
        <v/>
      </c>
      <c xmlns="http://schemas.openxmlformats.org/spreadsheetml/2006/main" r="E290" s="18" t="str">
        <f>IF(269&gt;MAX('4℃其他'!$AA$5:$AA$322),"",HYPERLINK("#'4℃其他'!D"&amp;(MATCH(269,'4℃其他'!$AA$5:$AA$322,0)+4),INDEX('4℃其他'!$D$5:$D$322,MATCH(269,'4℃其他'!$AA$5:$AA$322,0))))</f>
        <v/>
      </c>
      <c xmlns="http://schemas.openxmlformats.org/spreadsheetml/2006/main" r="F290" s="18" t="str">
        <f>IF(269&gt;MAX('冷凍品'!$AA$5:$AA$322),"",HYPERLINK("#'冷凍品'!D"&amp;(MATCH(269,'冷凍品'!$AA$5:$AA$322,0)+4),INDEX('冷凍品'!$D$5:$D$322,MATCH(269,'冷凍品'!$AA$5:$AA$322,0))))</f>
        <v/>
      </c>
    </row>
    <row r="291">
      <c xmlns="http://schemas.openxmlformats.org/spreadsheetml/2006/main" r="B291" s="18" t="str">
        <f>IF(270&gt;MAX('18℃'!$AA$5:$AA$319),"",HYPERLINK("#'18℃'!D"&amp;(MATCH(270,'18℃'!$AA$5:$AA$319,0)+4),INDEX('18℃'!$D$5:$D$319,MATCH(270,'18℃'!$AA$5:$AA$319,0))))</f>
        <v/>
      </c>
      <c xmlns="http://schemas.openxmlformats.org/spreadsheetml/2006/main" r="C291" s="18" t="str">
        <f>IF(270&gt;MAX('4℃飯'!$AA$5:$AA$319),"",HYPERLINK("#'4℃飯'!D"&amp;(MATCH(270,'4℃飯'!$AA$5:$AA$319,0)+4),INDEX('4℃飯'!$D$5:$D$319,MATCH(270,'4℃飯'!$AA$5:$AA$319,0))))</f>
        <v/>
      </c>
      <c xmlns="http://schemas.openxmlformats.org/spreadsheetml/2006/main" r="D291" s="18" t="str">
        <f>IF(270&gt;MAX('4℃麵'!$AA$5:$AA$310),"",HYPERLINK("#'4℃麵'!D"&amp;(MATCH(270,'4℃麵'!$AA$5:$AA$310,0)+4),INDEX('4℃麵'!$D$5:$D$310,MATCH(270,'4℃麵'!$AA$5:$AA$310,0))))</f>
        <v/>
      </c>
      <c xmlns="http://schemas.openxmlformats.org/spreadsheetml/2006/main" r="E291" s="18" t="str">
        <f>IF(270&gt;MAX('4℃其他'!$AA$5:$AA$322),"",HYPERLINK("#'4℃其他'!D"&amp;(MATCH(270,'4℃其他'!$AA$5:$AA$322,0)+4),INDEX('4℃其他'!$D$5:$D$322,MATCH(270,'4℃其他'!$AA$5:$AA$322,0))))</f>
        <v/>
      </c>
      <c xmlns="http://schemas.openxmlformats.org/spreadsheetml/2006/main" r="F291" s="18" t="str">
        <f>IF(270&gt;MAX('冷凍品'!$AA$5:$AA$322),"",HYPERLINK("#'冷凍品'!D"&amp;(MATCH(270,'冷凍品'!$AA$5:$AA$322,0)+4),INDEX('冷凍品'!$D$5:$D$322,MATCH(270,'冷凍品'!$AA$5:$AA$322,0))))</f>
        <v/>
      </c>
    </row>
    <row r="292">
      <c xmlns="http://schemas.openxmlformats.org/spreadsheetml/2006/main" r="B292" s="18" t="str">
        <f>IF(271&gt;MAX('18℃'!$AA$5:$AA$319),"",HYPERLINK("#'18℃'!D"&amp;(MATCH(271,'18℃'!$AA$5:$AA$319,0)+4),INDEX('18℃'!$D$5:$D$319,MATCH(271,'18℃'!$AA$5:$AA$319,0))))</f>
        <v/>
      </c>
      <c xmlns="http://schemas.openxmlformats.org/spreadsheetml/2006/main" r="C292" s="18" t="str">
        <f>IF(271&gt;MAX('4℃飯'!$AA$5:$AA$319),"",HYPERLINK("#'4℃飯'!D"&amp;(MATCH(271,'4℃飯'!$AA$5:$AA$319,0)+4),INDEX('4℃飯'!$D$5:$D$319,MATCH(271,'4℃飯'!$AA$5:$AA$319,0))))</f>
        <v/>
      </c>
      <c xmlns="http://schemas.openxmlformats.org/spreadsheetml/2006/main" r="D292" s="18" t="str">
        <f>IF(271&gt;MAX('4℃麵'!$AA$5:$AA$310),"",HYPERLINK("#'4℃麵'!D"&amp;(MATCH(271,'4℃麵'!$AA$5:$AA$310,0)+4),INDEX('4℃麵'!$D$5:$D$310,MATCH(271,'4℃麵'!$AA$5:$AA$310,0))))</f>
        <v/>
      </c>
      <c xmlns="http://schemas.openxmlformats.org/spreadsheetml/2006/main" r="E292" s="18" t="str">
        <f>IF(271&gt;MAX('4℃其他'!$AA$5:$AA$322),"",HYPERLINK("#'4℃其他'!D"&amp;(MATCH(271,'4℃其他'!$AA$5:$AA$322,0)+4),INDEX('4℃其他'!$D$5:$D$322,MATCH(271,'4℃其他'!$AA$5:$AA$322,0))))</f>
        <v/>
      </c>
      <c xmlns="http://schemas.openxmlformats.org/spreadsheetml/2006/main" r="F292" s="18" t="str">
        <f>IF(271&gt;MAX('冷凍品'!$AA$5:$AA$322),"",HYPERLINK("#'冷凍品'!D"&amp;(MATCH(271,'冷凍品'!$AA$5:$AA$322,0)+4),INDEX('冷凍品'!$D$5:$D$322,MATCH(271,'冷凍品'!$AA$5:$AA$322,0))))</f>
        <v/>
      </c>
    </row>
    <row r="293">
      <c xmlns="http://schemas.openxmlformats.org/spreadsheetml/2006/main" r="B293" s="18" t="str">
        <f>IF(272&gt;MAX('18℃'!$AA$5:$AA$319),"",HYPERLINK("#'18℃'!D"&amp;(MATCH(272,'18℃'!$AA$5:$AA$319,0)+4),INDEX('18℃'!$D$5:$D$319,MATCH(272,'18℃'!$AA$5:$AA$319,0))))</f>
        <v/>
      </c>
      <c xmlns="http://schemas.openxmlformats.org/spreadsheetml/2006/main" r="C293" s="18" t="str">
        <f>IF(272&gt;MAX('4℃飯'!$AA$5:$AA$319),"",HYPERLINK("#'4℃飯'!D"&amp;(MATCH(272,'4℃飯'!$AA$5:$AA$319,0)+4),INDEX('4℃飯'!$D$5:$D$319,MATCH(272,'4℃飯'!$AA$5:$AA$319,0))))</f>
        <v/>
      </c>
      <c xmlns="http://schemas.openxmlformats.org/spreadsheetml/2006/main" r="D293" s="18" t="str">
        <f>IF(272&gt;MAX('4℃麵'!$AA$5:$AA$310),"",HYPERLINK("#'4℃麵'!D"&amp;(MATCH(272,'4℃麵'!$AA$5:$AA$310,0)+4),INDEX('4℃麵'!$D$5:$D$310,MATCH(272,'4℃麵'!$AA$5:$AA$310,0))))</f>
        <v/>
      </c>
      <c xmlns="http://schemas.openxmlformats.org/spreadsheetml/2006/main" r="E293" s="18" t="str">
        <f>IF(272&gt;MAX('4℃其他'!$AA$5:$AA$322),"",HYPERLINK("#'4℃其他'!D"&amp;(MATCH(272,'4℃其他'!$AA$5:$AA$322,0)+4),INDEX('4℃其他'!$D$5:$D$322,MATCH(272,'4℃其他'!$AA$5:$AA$322,0))))</f>
        <v/>
      </c>
      <c xmlns="http://schemas.openxmlformats.org/spreadsheetml/2006/main" r="F293" s="18" t="str">
        <f>IF(272&gt;MAX('冷凍品'!$AA$5:$AA$322),"",HYPERLINK("#'冷凍品'!D"&amp;(MATCH(272,'冷凍品'!$AA$5:$AA$322,0)+4),INDEX('冷凍品'!$D$5:$D$322,MATCH(272,'冷凍品'!$AA$5:$AA$322,0))))</f>
        <v/>
      </c>
    </row>
    <row r="294">
      <c xmlns="http://schemas.openxmlformats.org/spreadsheetml/2006/main" r="B294" s="18" t="str">
        <f>IF(273&gt;MAX('18℃'!$AA$5:$AA$319),"",HYPERLINK("#'18℃'!D"&amp;(MATCH(273,'18℃'!$AA$5:$AA$319,0)+4),INDEX('18℃'!$D$5:$D$319,MATCH(273,'18℃'!$AA$5:$AA$319,0))))</f>
        <v/>
      </c>
      <c xmlns="http://schemas.openxmlformats.org/spreadsheetml/2006/main" r="C294" s="18" t="str">
        <f>IF(273&gt;MAX('4℃飯'!$AA$5:$AA$319),"",HYPERLINK("#'4℃飯'!D"&amp;(MATCH(273,'4℃飯'!$AA$5:$AA$319,0)+4),INDEX('4℃飯'!$D$5:$D$319,MATCH(273,'4℃飯'!$AA$5:$AA$319,0))))</f>
        <v/>
      </c>
      <c xmlns="http://schemas.openxmlformats.org/spreadsheetml/2006/main" r="D294" s="18" t="str">
        <f>IF(273&gt;MAX('4℃麵'!$AA$5:$AA$310),"",HYPERLINK("#'4℃麵'!D"&amp;(MATCH(273,'4℃麵'!$AA$5:$AA$310,0)+4),INDEX('4℃麵'!$D$5:$D$310,MATCH(273,'4℃麵'!$AA$5:$AA$310,0))))</f>
        <v/>
      </c>
      <c xmlns="http://schemas.openxmlformats.org/spreadsheetml/2006/main" r="E294" s="18" t="str">
        <f>IF(273&gt;MAX('4℃其他'!$AA$5:$AA$322),"",HYPERLINK("#'4℃其他'!D"&amp;(MATCH(273,'4℃其他'!$AA$5:$AA$322,0)+4),INDEX('4℃其他'!$D$5:$D$322,MATCH(273,'4℃其他'!$AA$5:$AA$322,0))))</f>
        <v/>
      </c>
      <c xmlns="http://schemas.openxmlformats.org/spreadsheetml/2006/main" r="F294" s="18" t="str">
        <f>IF(273&gt;MAX('冷凍品'!$AA$5:$AA$322),"",HYPERLINK("#'冷凍品'!D"&amp;(MATCH(273,'冷凍品'!$AA$5:$AA$322,0)+4),INDEX('冷凍品'!$D$5:$D$322,MATCH(273,'冷凍品'!$AA$5:$AA$322,0))))</f>
        <v/>
      </c>
    </row>
    <row r="295">
      <c xmlns="http://schemas.openxmlformats.org/spreadsheetml/2006/main" r="B295" s="18" t="str">
        <f>IF(274&gt;MAX('18℃'!$AA$5:$AA$319),"",HYPERLINK("#'18℃'!D"&amp;(MATCH(274,'18℃'!$AA$5:$AA$319,0)+4),INDEX('18℃'!$D$5:$D$319,MATCH(274,'18℃'!$AA$5:$AA$319,0))))</f>
        <v/>
      </c>
      <c xmlns="http://schemas.openxmlformats.org/spreadsheetml/2006/main" r="C295" s="18" t="str">
        <f>IF(274&gt;MAX('4℃飯'!$AA$5:$AA$319),"",HYPERLINK("#'4℃飯'!D"&amp;(MATCH(274,'4℃飯'!$AA$5:$AA$319,0)+4),INDEX('4℃飯'!$D$5:$D$319,MATCH(274,'4℃飯'!$AA$5:$AA$319,0))))</f>
        <v/>
      </c>
      <c xmlns="http://schemas.openxmlformats.org/spreadsheetml/2006/main" r="D295" s="18" t="str">
        <f>IF(274&gt;MAX('4℃麵'!$AA$5:$AA$310),"",HYPERLINK("#'4℃麵'!D"&amp;(MATCH(274,'4℃麵'!$AA$5:$AA$310,0)+4),INDEX('4℃麵'!$D$5:$D$310,MATCH(274,'4℃麵'!$AA$5:$AA$310,0))))</f>
        <v/>
      </c>
      <c xmlns="http://schemas.openxmlformats.org/spreadsheetml/2006/main" r="E295" s="18" t="str">
        <f>IF(274&gt;MAX('4℃其他'!$AA$5:$AA$322),"",HYPERLINK("#'4℃其他'!D"&amp;(MATCH(274,'4℃其他'!$AA$5:$AA$322,0)+4),INDEX('4℃其他'!$D$5:$D$322,MATCH(274,'4℃其他'!$AA$5:$AA$322,0))))</f>
        <v/>
      </c>
      <c xmlns="http://schemas.openxmlformats.org/spreadsheetml/2006/main" r="F295" s="18" t="str">
        <f>IF(274&gt;MAX('冷凍品'!$AA$5:$AA$322),"",HYPERLINK("#'冷凍品'!D"&amp;(MATCH(274,'冷凍品'!$AA$5:$AA$322,0)+4),INDEX('冷凍品'!$D$5:$D$322,MATCH(274,'冷凍品'!$AA$5:$AA$322,0))))</f>
        <v/>
      </c>
    </row>
    <row r="296">
      <c xmlns="http://schemas.openxmlformats.org/spreadsheetml/2006/main" r="B296" s="18" t="str">
        <f>IF(275&gt;MAX('18℃'!$AA$5:$AA$319),"",HYPERLINK("#'18℃'!D"&amp;(MATCH(275,'18℃'!$AA$5:$AA$319,0)+4),INDEX('18℃'!$D$5:$D$319,MATCH(275,'18℃'!$AA$5:$AA$319,0))))</f>
        <v/>
      </c>
      <c xmlns="http://schemas.openxmlformats.org/spreadsheetml/2006/main" r="C296" s="18" t="str">
        <f>IF(275&gt;MAX('4℃飯'!$AA$5:$AA$319),"",HYPERLINK("#'4℃飯'!D"&amp;(MATCH(275,'4℃飯'!$AA$5:$AA$319,0)+4),INDEX('4℃飯'!$D$5:$D$319,MATCH(275,'4℃飯'!$AA$5:$AA$319,0))))</f>
        <v/>
      </c>
      <c xmlns="http://schemas.openxmlformats.org/spreadsheetml/2006/main" r="D296" s="18" t="str">
        <f>IF(275&gt;MAX('4℃麵'!$AA$5:$AA$310),"",HYPERLINK("#'4℃麵'!D"&amp;(MATCH(275,'4℃麵'!$AA$5:$AA$310,0)+4),INDEX('4℃麵'!$D$5:$D$310,MATCH(275,'4℃麵'!$AA$5:$AA$310,0))))</f>
        <v/>
      </c>
      <c xmlns="http://schemas.openxmlformats.org/spreadsheetml/2006/main" r="E296" s="18" t="str">
        <f>IF(275&gt;MAX('4℃其他'!$AA$5:$AA$322),"",HYPERLINK("#'4℃其他'!D"&amp;(MATCH(275,'4℃其他'!$AA$5:$AA$322,0)+4),INDEX('4℃其他'!$D$5:$D$322,MATCH(275,'4℃其他'!$AA$5:$AA$322,0))))</f>
        <v/>
      </c>
      <c xmlns="http://schemas.openxmlformats.org/spreadsheetml/2006/main" r="F296" s="18" t="str">
        <f>IF(275&gt;MAX('冷凍品'!$AA$5:$AA$322),"",HYPERLINK("#'冷凍品'!D"&amp;(MATCH(275,'冷凍品'!$AA$5:$AA$322,0)+4),INDEX('冷凍品'!$D$5:$D$322,MATCH(275,'冷凍品'!$AA$5:$AA$322,0))))</f>
        <v/>
      </c>
    </row>
    <row r="297">
      <c xmlns="http://schemas.openxmlformats.org/spreadsheetml/2006/main" r="B297" s="18" t="str">
        <f>IF(276&gt;MAX('18℃'!$AA$5:$AA$319),"",HYPERLINK("#'18℃'!D"&amp;(MATCH(276,'18℃'!$AA$5:$AA$319,0)+4),INDEX('18℃'!$D$5:$D$319,MATCH(276,'18℃'!$AA$5:$AA$319,0))))</f>
        <v/>
      </c>
      <c xmlns="http://schemas.openxmlformats.org/spreadsheetml/2006/main" r="C297" s="18" t="str">
        <f>IF(276&gt;MAX('4℃飯'!$AA$5:$AA$319),"",HYPERLINK("#'4℃飯'!D"&amp;(MATCH(276,'4℃飯'!$AA$5:$AA$319,0)+4),INDEX('4℃飯'!$D$5:$D$319,MATCH(276,'4℃飯'!$AA$5:$AA$319,0))))</f>
        <v/>
      </c>
      <c xmlns="http://schemas.openxmlformats.org/spreadsheetml/2006/main" r="D297" s="18" t="str">
        <f>IF(276&gt;MAX('4℃麵'!$AA$5:$AA$310),"",HYPERLINK("#'4℃麵'!D"&amp;(MATCH(276,'4℃麵'!$AA$5:$AA$310,0)+4),INDEX('4℃麵'!$D$5:$D$310,MATCH(276,'4℃麵'!$AA$5:$AA$310,0))))</f>
        <v/>
      </c>
      <c xmlns="http://schemas.openxmlformats.org/spreadsheetml/2006/main" r="E297" s="18" t="str">
        <f>IF(276&gt;MAX('4℃其他'!$AA$5:$AA$322),"",HYPERLINK("#'4℃其他'!D"&amp;(MATCH(276,'4℃其他'!$AA$5:$AA$322,0)+4),INDEX('4℃其他'!$D$5:$D$322,MATCH(276,'4℃其他'!$AA$5:$AA$322,0))))</f>
        <v/>
      </c>
      <c xmlns="http://schemas.openxmlformats.org/spreadsheetml/2006/main" r="F297" s="18" t="str">
        <f>IF(276&gt;MAX('冷凍品'!$AA$5:$AA$322),"",HYPERLINK("#'冷凍品'!D"&amp;(MATCH(276,'冷凍品'!$AA$5:$AA$322,0)+4),INDEX('冷凍品'!$D$5:$D$322,MATCH(276,'冷凍品'!$AA$5:$AA$322,0))))</f>
        <v/>
      </c>
    </row>
    <row r="298">
      <c xmlns="http://schemas.openxmlformats.org/spreadsheetml/2006/main" r="B298" s="18" t="str">
        <f>IF(277&gt;MAX('18℃'!$AA$5:$AA$319),"",HYPERLINK("#'18℃'!D"&amp;(MATCH(277,'18℃'!$AA$5:$AA$319,0)+4),INDEX('18℃'!$D$5:$D$319,MATCH(277,'18℃'!$AA$5:$AA$319,0))))</f>
        <v/>
      </c>
      <c xmlns="http://schemas.openxmlformats.org/spreadsheetml/2006/main" r="C298" s="18" t="str">
        <f>IF(277&gt;MAX('4℃飯'!$AA$5:$AA$319),"",HYPERLINK("#'4℃飯'!D"&amp;(MATCH(277,'4℃飯'!$AA$5:$AA$319,0)+4),INDEX('4℃飯'!$D$5:$D$319,MATCH(277,'4℃飯'!$AA$5:$AA$319,0))))</f>
        <v/>
      </c>
      <c xmlns="http://schemas.openxmlformats.org/spreadsheetml/2006/main" r="D298" s="18" t="str">
        <f>IF(277&gt;MAX('4℃麵'!$AA$5:$AA$310),"",HYPERLINK("#'4℃麵'!D"&amp;(MATCH(277,'4℃麵'!$AA$5:$AA$310,0)+4),INDEX('4℃麵'!$D$5:$D$310,MATCH(277,'4℃麵'!$AA$5:$AA$310,0))))</f>
        <v/>
      </c>
      <c xmlns="http://schemas.openxmlformats.org/spreadsheetml/2006/main" r="E298" s="18" t="str">
        <f>IF(277&gt;MAX('4℃其他'!$AA$5:$AA$322),"",HYPERLINK("#'4℃其他'!D"&amp;(MATCH(277,'4℃其他'!$AA$5:$AA$322,0)+4),INDEX('4℃其他'!$D$5:$D$322,MATCH(277,'4℃其他'!$AA$5:$AA$322,0))))</f>
        <v/>
      </c>
      <c xmlns="http://schemas.openxmlformats.org/spreadsheetml/2006/main" r="F298" s="18" t="str">
        <f>IF(277&gt;MAX('冷凍品'!$AA$5:$AA$322),"",HYPERLINK("#'冷凍品'!D"&amp;(MATCH(277,'冷凍品'!$AA$5:$AA$322,0)+4),INDEX('冷凍品'!$D$5:$D$322,MATCH(277,'冷凍品'!$AA$5:$AA$322,0))))</f>
        <v/>
      </c>
    </row>
    <row r="299">
      <c xmlns="http://schemas.openxmlformats.org/spreadsheetml/2006/main" r="B299" s="18" t="str">
        <f>IF(278&gt;MAX('18℃'!$AA$5:$AA$319),"",HYPERLINK("#'18℃'!D"&amp;(MATCH(278,'18℃'!$AA$5:$AA$319,0)+4),INDEX('18℃'!$D$5:$D$319,MATCH(278,'18℃'!$AA$5:$AA$319,0))))</f>
        <v/>
      </c>
      <c xmlns="http://schemas.openxmlformats.org/spreadsheetml/2006/main" r="C299" s="18" t="str">
        <f>IF(278&gt;MAX('4℃飯'!$AA$5:$AA$319),"",HYPERLINK("#'4℃飯'!D"&amp;(MATCH(278,'4℃飯'!$AA$5:$AA$319,0)+4),INDEX('4℃飯'!$D$5:$D$319,MATCH(278,'4℃飯'!$AA$5:$AA$319,0))))</f>
        <v/>
      </c>
      <c xmlns="http://schemas.openxmlformats.org/spreadsheetml/2006/main" r="D299" s="18" t="str">
        <f>IF(278&gt;MAX('4℃麵'!$AA$5:$AA$310),"",HYPERLINK("#'4℃麵'!D"&amp;(MATCH(278,'4℃麵'!$AA$5:$AA$310,0)+4),INDEX('4℃麵'!$D$5:$D$310,MATCH(278,'4℃麵'!$AA$5:$AA$310,0))))</f>
        <v/>
      </c>
      <c xmlns="http://schemas.openxmlformats.org/spreadsheetml/2006/main" r="E299" s="18" t="str">
        <f>IF(278&gt;MAX('4℃其他'!$AA$5:$AA$322),"",HYPERLINK("#'4℃其他'!D"&amp;(MATCH(278,'4℃其他'!$AA$5:$AA$322,0)+4),INDEX('4℃其他'!$D$5:$D$322,MATCH(278,'4℃其他'!$AA$5:$AA$322,0))))</f>
        <v/>
      </c>
      <c xmlns="http://schemas.openxmlformats.org/spreadsheetml/2006/main" r="F299" s="18" t="str">
        <f>IF(278&gt;MAX('冷凍品'!$AA$5:$AA$322),"",HYPERLINK("#'冷凍品'!D"&amp;(MATCH(278,'冷凍品'!$AA$5:$AA$322,0)+4),INDEX('冷凍品'!$D$5:$D$322,MATCH(278,'冷凍品'!$AA$5:$AA$322,0))))</f>
        <v/>
      </c>
    </row>
    <row r="300">
      <c xmlns="http://schemas.openxmlformats.org/spreadsheetml/2006/main" r="B300" s="18" t="str">
        <f>IF(279&gt;MAX('18℃'!$AA$5:$AA$319),"",HYPERLINK("#'18℃'!D"&amp;(MATCH(279,'18℃'!$AA$5:$AA$319,0)+4),INDEX('18℃'!$D$5:$D$319,MATCH(279,'18℃'!$AA$5:$AA$319,0))))</f>
        <v/>
      </c>
      <c xmlns="http://schemas.openxmlformats.org/spreadsheetml/2006/main" r="C300" s="18" t="str">
        <f>IF(279&gt;MAX('4℃飯'!$AA$5:$AA$319),"",HYPERLINK("#'4℃飯'!D"&amp;(MATCH(279,'4℃飯'!$AA$5:$AA$319,0)+4),INDEX('4℃飯'!$D$5:$D$319,MATCH(279,'4℃飯'!$AA$5:$AA$319,0))))</f>
        <v/>
      </c>
      <c xmlns="http://schemas.openxmlformats.org/spreadsheetml/2006/main" r="D300" s="18" t="str">
        <f>IF(279&gt;MAX('4℃麵'!$AA$5:$AA$310),"",HYPERLINK("#'4℃麵'!D"&amp;(MATCH(279,'4℃麵'!$AA$5:$AA$310,0)+4),INDEX('4℃麵'!$D$5:$D$310,MATCH(279,'4℃麵'!$AA$5:$AA$310,0))))</f>
        <v/>
      </c>
      <c xmlns="http://schemas.openxmlformats.org/spreadsheetml/2006/main" r="E300" s="18" t="str">
        <f>IF(279&gt;MAX('4℃其他'!$AA$5:$AA$322),"",HYPERLINK("#'4℃其他'!D"&amp;(MATCH(279,'4℃其他'!$AA$5:$AA$322,0)+4),INDEX('4℃其他'!$D$5:$D$322,MATCH(279,'4℃其他'!$AA$5:$AA$322,0))))</f>
        <v/>
      </c>
      <c xmlns="http://schemas.openxmlformats.org/spreadsheetml/2006/main" r="F300" s="18" t="str">
        <f>IF(279&gt;MAX('冷凍品'!$AA$5:$AA$322),"",HYPERLINK("#'冷凍品'!D"&amp;(MATCH(279,'冷凍品'!$AA$5:$AA$322,0)+4),INDEX('冷凍品'!$D$5:$D$322,MATCH(279,'冷凍品'!$AA$5:$AA$322,0))))</f>
        <v/>
      </c>
    </row>
    <row r="301">
      <c xmlns="http://schemas.openxmlformats.org/spreadsheetml/2006/main" r="B301" s="18" t="str">
        <f>IF(280&gt;MAX('18℃'!$AA$5:$AA$319),"",HYPERLINK("#'18℃'!D"&amp;(MATCH(280,'18℃'!$AA$5:$AA$319,0)+4),INDEX('18℃'!$D$5:$D$319,MATCH(280,'18℃'!$AA$5:$AA$319,0))))</f>
        <v/>
      </c>
      <c xmlns="http://schemas.openxmlformats.org/spreadsheetml/2006/main" r="C301" s="18" t="str">
        <f>IF(280&gt;MAX('4℃飯'!$AA$5:$AA$319),"",HYPERLINK("#'4℃飯'!D"&amp;(MATCH(280,'4℃飯'!$AA$5:$AA$319,0)+4),INDEX('4℃飯'!$D$5:$D$319,MATCH(280,'4℃飯'!$AA$5:$AA$319,0))))</f>
        <v/>
      </c>
      <c xmlns="http://schemas.openxmlformats.org/spreadsheetml/2006/main" r="D301" s="18" t="str">
        <f>IF(280&gt;MAX('4℃麵'!$AA$5:$AA$310),"",HYPERLINK("#'4℃麵'!D"&amp;(MATCH(280,'4℃麵'!$AA$5:$AA$310,0)+4),INDEX('4℃麵'!$D$5:$D$310,MATCH(280,'4℃麵'!$AA$5:$AA$310,0))))</f>
        <v/>
      </c>
      <c xmlns="http://schemas.openxmlformats.org/spreadsheetml/2006/main" r="E301" s="18" t="str">
        <f>IF(280&gt;MAX('4℃其他'!$AA$5:$AA$322),"",HYPERLINK("#'4℃其他'!D"&amp;(MATCH(280,'4℃其他'!$AA$5:$AA$322,0)+4),INDEX('4℃其他'!$D$5:$D$322,MATCH(280,'4℃其他'!$AA$5:$AA$322,0))))</f>
        <v/>
      </c>
      <c xmlns="http://schemas.openxmlformats.org/spreadsheetml/2006/main" r="F301" s="18" t="str">
        <f>IF(280&gt;MAX('冷凍品'!$AA$5:$AA$322),"",HYPERLINK("#'冷凍品'!D"&amp;(MATCH(280,'冷凍品'!$AA$5:$AA$322,0)+4),INDEX('冷凍品'!$D$5:$D$322,MATCH(280,'冷凍品'!$AA$5:$AA$322,0))))</f>
        <v/>
      </c>
    </row>
    <row r="302">
      <c xmlns="http://schemas.openxmlformats.org/spreadsheetml/2006/main" r="B302" s="18" t="str">
        <f>IF(281&gt;MAX('18℃'!$AA$5:$AA$319),"",HYPERLINK("#'18℃'!D"&amp;(MATCH(281,'18℃'!$AA$5:$AA$319,0)+4),INDEX('18℃'!$D$5:$D$319,MATCH(281,'18℃'!$AA$5:$AA$319,0))))</f>
        <v/>
      </c>
      <c xmlns="http://schemas.openxmlformats.org/spreadsheetml/2006/main" r="C302" s="18" t="str">
        <f>IF(281&gt;MAX('4℃飯'!$AA$5:$AA$319),"",HYPERLINK("#'4℃飯'!D"&amp;(MATCH(281,'4℃飯'!$AA$5:$AA$319,0)+4),INDEX('4℃飯'!$D$5:$D$319,MATCH(281,'4℃飯'!$AA$5:$AA$319,0))))</f>
        <v/>
      </c>
      <c xmlns="http://schemas.openxmlformats.org/spreadsheetml/2006/main" r="D302" s="18" t="str">
        <f>IF(281&gt;MAX('4℃麵'!$AA$5:$AA$310),"",HYPERLINK("#'4℃麵'!D"&amp;(MATCH(281,'4℃麵'!$AA$5:$AA$310,0)+4),INDEX('4℃麵'!$D$5:$D$310,MATCH(281,'4℃麵'!$AA$5:$AA$310,0))))</f>
        <v/>
      </c>
      <c xmlns="http://schemas.openxmlformats.org/spreadsheetml/2006/main" r="E302" s="18" t="str">
        <f>IF(281&gt;MAX('4℃其他'!$AA$5:$AA$322),"",HYPERLINK("#'4℃其他'!D"&amp;(MATCH(281,'4℃其他'!$AA$5:$AA$322,0)+4),INDEX('4℃其他'!$D$5:$D$322,MATCH(281,'4℃其他'!$AA$5:$AA$322,0))))</f>
        <v/>
      </c>
      <c xmlns="http://schemas.openxmlformats.org/spreadsheetml/2006/main" r="F302" s="18" t="str">
        <f>IF(281&gt;MAX('冷凍品'!$AA$5:$AA$322),"",HYPERLINK("#'冷凍品'!D"&amp;(MATCH(281,'冷凍品'!$AA$5:$AA$322,0)+4),INDEX('冷凍品'!$D$5:$D$322,MATCH(281,'冷凍品'!$AA$5:$AA$322,0))))</f>
        <v/>
      </c>
    </row>
    <row r="303">
      <c xmlns="http://schemas.openxmlformats.org/spreadsheetml/2006/main" r="B303" s="18" t="str">
        <f>IF(282&gt;MAX('18℃'!$AA$5:$AA$319),"",HYPERLINK("#'18℃'!D"&amp;(MATCH(282,'18℃'!$AA$5:$AA$319,0)+4),INDEX('18℃'!$D$5:$D$319,MATCH(282,'18℃'!$AA$5:$AA$319,0))))</f>
        <v/>
      </c>
      <c xmlns="http://schemas.openxmlformats.org/spreadsheetml/2006/main" r="C303" s="18" t="str">
        <f>IF(282&gt;MAX('4℃飯'!$AA$5:$AA$319),"",HYPERLINK("#'4℃飯'!D"&amp;(MATCH(282,'4℃飯'!$AA$5:$AA$319,0)+4),INDEX('4℃飯'!$D$5:$D$319,MATCH(282,'4℃飯'!$AA$5:$AA$319,0))))</f>
        <v/>
      </c>
      <c xmlns="http://schemas.openxmlformats.org/spreadsheetml/2006/main" r="D303" s="18" t="str">
        <f>IF(282&gt;MAX('4℃麵'!$AA$5:$AA$310),"",HYPERLINK("#'4℃麵'!D"&amp;(MATCH(282,'4℃麵'!$AA$5:$AA$310,0)+4),INDEX('4℃麵'!$D$5:$D$310,MATCH(282,'4℃麵'!$AA$5:$AA$310,0))))</f>
        <v/>
      </c>
      <c xmlns="http://schemas.openxmlformats.org/spreadsheetml/2006/main" r="E303" s="18" t="str">
        <f>IF(282&gt;MAX('4℃其他'!$AA$5:$AA$322),"",HYPERLINK("#'4℃其他'!D"&amp;(MATCH(282,'4℃其他'!$AA$5:$AA$322,0)+4),INDEX('4℃其他'!$D$5:$D$322,MATCH(282,'4℃其他'!$AA$5:$AA$322,0))))</f>
        <v/>
      </c>
      <c xmlns="http://schemas.openxmlformats.org/spreadsheetml/2006/main" r="F303" s="18" t="str">
        <f>IF(282&gt;MAX('冷凍品'!$AA$5:$AA$322),"",HYPERLINK("#'冷凍品'!D"&amp;(MATCH(282,'冷凍品'!$AA$5:$AA$322,0)+4),INDEX('冷凍品'!$D$5:$D$322,MATCH(282,'冷凍品'!$AA$5:$AA$322,0))))</f>
        <v/>
      </c>
    </row>
    <row r="304">
      <c xmlns="http://schemas.openxmlformats.org/spreadsheetml/2006/main" r="B304" s="18" t="str">
        <f>IF(283&gt;MAX('18℃'!$AA$5:$AA$319),"",HYPERLINK("#'18℃'!D"&amp;(MATCH(283,'18℃'!$AA$5:$AA$319,0)+4),INDEX('18℃'!$D$5:$D$319,MATCH(283,'18℃'!$AA$5:$AA$319,0))))</f>
        <v/>
      </c>
      <c xmlns="http://schemas.openxmlformats.org/spreadsheetml/2006/main" r="C304" s="18" t="str">
        <f>IF(283&gt;MAX('4℃飯'!$AA$5:$AA$319),"",HYPERLINK("#'4℃飯'!D"&amp;(MATCH(283,'4℃飯'!$AA$5:$AA$319,0)+4),INDEX('4℃飯'!$D$5:$D$319,MATCH(283,'4℃飯'!$AA$5:$AA$319,0))))</f>
        <v/>
      </c>
      <c xmlns="http://schemas.openxmlformats.org/spreadsheetml/2006/main" r="D304" s="18" t="str">
        <f>IF(283&gt;MAX('4℃麵'!$AA$5:$AA$310),"",HYPERLINK("#'4℃麵'!D"&amp;(MATCH(283,'4℃麵'!$AA$5:$AA$310,0)+4),INDEX('4℃麵'!$D$5:$D$310,MATCH(283,'4℃麵'!$AA$5:$AA$310,0))))</f>
        <v/>
      </c>
      <c xmlns="http://schemas.openxmlformats.org/spreadsheetml/2006/main" r="E304" s="18" t="str">
        <f>IF(283&gt;MAX('4℃其他'!$AA$5:$AA$322),"",HYPERLINK("#'4℃其他'!D"&amp;(MATCH(283,'4℃其他'!$AA$5:$AA$322,0)+4),INDEX('4℃其他'!$D$5:$D$322,MATCH(283,'4℃其他'!$AA$5:$AA$322,0))))</f>
        <v/>
      </c>
      <c xmlns="http://schemas.openxmlformats.org/spreadsheetml/2006/main" r="F304" s="18" t="str">
        <f>IF(283&gt;MAX('冷凍品'!$AA$5:$AA$322),"",HYPERLINK("#'冷凍品'!D"&amp;(MATCH(283,'冷凍品'!$AA$5:$AA$322,0)+4),INDEX('冷凍品'!$D$5:$D$322,MATCH(283,'冷凍品'!$AA$5:$AA$322,0))))</f>
        <v/>
      </c>
    </row>
    <row r="305">
      <c xmlns="http://schemas.openxmlformats.org/spreadsheetml/2006/main" r="B305" s="18" t="str">
        <f>IF(284&gt;MAX('18℃'!$AA$5:$AA$319),"",HYPERLINK("#'18℃'!D"&amp;(MATCH(284,'18℃'!$AA$5:$AA$319,0)+4),INDEX('18℃'!$D$5:$D$319,MATCH(284,'18℃'!$AA$5:$AA$319,0))))</f>
        <v/>
      </c>
      <c xmlns="http://schemas.openxmlformats.org/spreadsheetml/2006/main" r="C305" s="18" t="str">
        <f>IF(284&gt;MAX('4℃飯'!$AA$5:$AA$319),"",HYPERLINK("#'4℃飯'!D"&amp;(MATCH(284,'4℃飯'!$AA$5:$AA$319,0)+4),INDEX('4℃飯'!$D$5:$D$319,MATCH(284,'4℃飯'!$AA$5:$AA$319,0))))</f>
        <v/>
      </c>
      <c xmlns="http://schemas.openxmlformats.org/spreadsheetml/2006/main" r="D305" s="18" t="str">
        <f>IF(284&gt;MAX('4℃麵'!$AA$5:$AA$310),"",HYPERLINK("#'4℃麵'!D"&amp;(MATCH(284,'4℃麵'!$AA$5:$AA$310,0)+4),INDEX('4℃麵'!$D$5:$D$310,MATCH(284,'4℃麵'!$AA$5:$AA$310,0))))</f>
        <v/>
      </c>
      <c xmlns="http://schemas.openxmlformats.org/spreadsheetml/2006/main" r="E305" s="18" t="str">
        <f>IF(284&gt;MAX('4℃其他'!$AA$5:$AA$322),"",HYPERLINK("#'4℃其他'!D"&amp;(MATCH(284,'4℃其他'!$AA$5:$AA$322,0)+4),INDEX('4℃其他'!$D$5:$D$322,MATCH(284,'4℃其他'!$AA$5:$AA$322,0))))</f>
        <v/>
      </c>
      <c xmlns="http://schemas.openxmlformats.org/spreadsheetml/2006/main" r="F305" s="18" t="str">
        <f>IF(284&gt;MAX('冷凍品'!$AA$5:$AA$322),"",HYPERLINK("#'冷凍品'!D"&amp;(MATCH(284,'冷凍品'!$AA$5:$AA$322,0)+4),INDEX('冷凍品'!$D$5:$D$322,MATCH(284,'冷凍品'!$AA$5:$AA$322,0))))</f>
        <v/>
      </c>
    </row>
    <row r="306">
      <c xmlns="http://schemas.openxmlformats.org/spreadsheetml/2006/main" r="B306" s="18" t="str">
        <f>IF(285&gt;MAX('18℃'!$AA$5:$AA$319),"",HYPERLINK("#'18℃'!D"&amp;(MATCH(285,'18℃'!$AA$5:$AA$319,0)+4),INDEX('18℃'!$D$5:$D$319,MATCH(285,'18℃'!$AA$5:$AA$319,0))))</f>
        <v/>
      </c>
      <c xmlns="http://schemas.openxmlformats.org/spreadsheetml/2006/main" r="C306" s="18" t="str">
        <f>IF(285&gt;MAX('4℃飯'!$AA$5:$AA$319),"",HYPERLINK("#'4℃飯'!D"&amp;(MATCH(285,'4℃飯'!$AA$5:$AA$319,0)+4),INDEX('4℃飯'!$D$5:$D$319,MATCH(285,'4℃飯'!$AA$5:$AA$319,0))))</f>
        <v/>
      </c>
      <c xmlns="http://schemas.openxmlformats.org/spreadsheetml/2006/main" r="D306" s="18" t="str">
        <f>IF(285&gt;MAX('4℃麵'!$AA$5:$AA$310),"",HYPERLINK("#'4℃麵'!D"&amp;(MATCH(285,'4℃麵'!$AA$5:$AA$310,0)+4),INDEX('4℃麵'!$D$5:$D$310,MATCH(285,'4℃麵'!$AA$5:$AA$310,0))))</f>
        <v/>
      </c>
      <c xmlns="http://schemas.openxmlformats.org/spreadsheetml/2006/main" r="E306" s="18" t="str">
        <f>IF(285&gt;MAX('4℃其他'!$AA$5:$AA$322),"",HYPERLINK("#'4℃其他'!D"&amp;(MATCH(285,'4℃其他'!$AA$5:$AA$322,0)+4),INDEX('4℃其他'!$D$5:$D$322,MATCH(285,'4℃其他'!$AA$5:$AA$322,0))))</f>
        <v/>
      </c>
      <c xmlns="http://schemas.openxmlformats.org/spreadsheetml/2006/main" r="F306" s="18" t="str">
        <f>IF(285&gt;MAX('冷凍品'!$AA$5:$AA$322),"",HYPERLINK("#'冷凍品'!D"&amp;(MATCH(285,'冷凍品'!$AA$5:$AA$322,0)+4),INDEX('冷凍品'!$D$5:$D$322,MATCH(285,'冷凍品'!$AA$5:$AA$322,0))))</f>
        <v/>
      </c>
    </row>
    <row r="307">
      <c xmlns="http://schemas.openxmlformats.org/spreadsheetml/2006/main" r="B307" s="18" t="str">
        <f>IF(286&gt;MAX('18℃'!$AA$5:$AA$319),"",HYPERLINK("#'18℃'!D"&amp;(MATCH(286,'18℃'!$AA$5:$AA$319,0)+4),INDEX('18℃'!$D$5:$D$319,MATCH(286,'18℃'!$AA$5:$AA$319,0))))</f>
        <v/>
      </c>
      <c xmlns="http://schemas.openxmlformats.org/spreadsheetml/2006/main" r="C307" s="18" t="str">
        <f>IF(286&gt;MAX('4℃飯'!$AA$5:$AA$319),"",HYPERLINK("#'4℃飯'!D"&amp;(MATCH(286,'4℃飯'!$AA$5:$AA$319,0)+4),INDEX('4℃飯'!$D$5:$D$319,MATCH(286,'4℃飯'!$AA$5:$AA$319,0))))</f>
        <v/>
      </c>
      <c xmlns="http://schemas.openxmlformats.org/spreadsheetml/2006/main" r="D307" s="18" t="str">
        <f>IF(286&gt;MAX('4℃麵'!$AA$5:$AA$310),"",HYPERLINK("#'4℃麵'!D"&amp;(MATCH(286,'4℃麵'!$AA$5:$AA$310,0)+4),INDEX('4℃麵'!$D$5:$D$310,MATCH(286,'4℃麵'!$AA$5:$AA$310,0))))</f>
        <v/>
      </c>
      <c xmlns="http://schemas.openxmlformats.org/spreadsheetml/2006/main" r="E307" s="18" t="str">
        <f>IF(286&gt;MAX('4℃其他'!$AA$5:$AA$322),"",HYPERLINK("#'4℃其他'!D"&amp;(MATCH(286,'4℃其他'!$AA$5:$AA$322,0)+4),INDEX('4℃其他'!$D$5:$D$322,MATCH(286,'4℃其他'!$AA$5:$AA$322,0))))</f>
        <v/>
      </c>
      <c xmlns="http://schemas.openxmlformats.org/spreadsheetml/2006/main" r="F307" s="18" t="str">
        <f>IF(286&gt;MAX('冷凍品'!$AA$5:$AA$322),"",HYPERLINK("#'冷凍品'!D"&amp;(MATCH(286,'冷凍品'!$AA$5:$AA$322,0)+4),INDEX('冷凍品'!$D$5:$D$322,MATCH(286,'冷凍品'!$AA$5:$AA$322,0))))</f>
        <v/>
      </c>
    </row>
    <row r="308">
      <c xmlns="http://schemas.openxmlformats.org/spreadsheetml/2006/main" r="B308" s="18" t="str">
        <f>IF(287&gt;MAX('18℃'!$AA$5:$AA$319),"",HYPERLINK("#'18℃'!D"&amp;(MATCH(287,'18℃'!$AA$5:$AA$319,0)+4),INDEX('18℃'!$D$5:$D$319,MATCH(287,'18℃'!$AA$5:$AA$319,0))))</f>
        <v/>
      </c>
      <c xmlns="http://schemas.openxmlformats.org/spreadsheetml/2006/main" r="C308" s="18" t="str">
        <f>IF(287&gt;MAX('4℃飯'!$AA$5:$AA$319),"",HYPERLINK("#'4℃飯'!D"&amp;(MATCH(287,'4℃飯'!$AA$5:$AA$319,0)+4),INDEX('4℃飯'!$D$5:$D$319,MATCH(287,'4℃飯'!$AA$5:$AA$319,0))))</f>
        <v/>
      </c>
      <c xmlns="http://schemas.openxmlformats.org/spreadsheetml/2006/main" r="D308" s="18" t="str">
        <f>IF(287&gt;MAX('4℃麵'!$AA$5:$AA$310),"",HYPERLINK("#'4℃麵'!D"&amp;(MATCH(287,'4℃麵'!$AA$5:$AA$310,0)+4),INDEX('4℃麵'!$D$5:$D$310,MATCH(287,'4℃麵'!$AA$5:$AA$310,0))))</f>
        <v/>
      </c>
      <c xmlns="http://schemas.openxmlformats.org/spreadsheetml/2006/main" r="E308" s="18" t="str">
        <f>IF(287&gt;MAX('4℃其他'!$AA$5:$AA$322),"",HYPERLINK("#'4℃其他'!D"&amp;(MATCH(287,'4℃其他'!$AA$5:$AA$322,0)+4),INDEX('4℃其他'!$D$5:$D$322,MATCH(287,'4℃其他'!$AA$5:$AA$322,0))))</f>
        <v/>
      </c>
      <c xmlns="http://schemas.openxmlformats.org/spreadsheetml/2006/main" r="F308" s="18" t="str">
        <f>IF(287&gt;MAX('冷凍品'!$AA$5:$AA$322),"",HYPERLINK("#'冷凍品'!D"&amp;(MATCH(287,'冷凍品'!$AA$5:$AA$322,0)+4),INDEX('冷凍品'!$D$5:$D$322,MATCH(287,'冷凍品'!$AA$5:$AA$322,0))))</f>
        <v/>
      </c>
    </row>
    <row r="309">
      <c xmlns="http://schemas.openxmlformats.org/spreadsheetml/2006/main" r="B309" s="18" t="str">
        <f>IF(288&gt;MAX('18℃'!$AA$5:$AA$319),"",HYPERLINK("#'18℃'!D"&amp;(MATCH(288,'18℃'!$AA$5:$AA$319,0)+4),INDEX('18℃'!$D$5:$D$319,MATCH(288,'18℃'!$AA$5:$AA$319,0))))</f>
        <v/>
      </c>
      <c xmlns="http://schemas.openxmlformats.org/spreadsheetml/2006/main" r="C309" s="18" t="str">
        <f>IF(288&gt;MAX('4℃飯'!$AA$5:$AA$319),"",HYPERLINK("#'4℃飯'!D"&amp;(MATCH(288,'4℃飯'!$AA$5:$AA$319,0)+4),INDEX('4℃飯'!$D$5:$D$319,MATCH(288,'4℃飯'!$AA$5:$AA$319,0))))</f>
        <v/>
      </c>
      <c xmlns="http://schemas.openxmlformats.org/spreadsheetml/2006/main" r="D309" s="18" t="str">
        <f>IF(288&gt;MAX('4℃麵'!$AA$5:$AA$310),"",HYPERLINK("#'4℃麵'!D"&amp;(MATCH(288,'4℃麵'!$AA$5:$AA$310,0)+4),INDEX('4℃麵'!$D$5:$D$310,MATCH(288,'4℃麵'!$AA$5:$AA$310,0))))</f>
        <v/>
      </c>
      <c xmlns="http://schemas.openxmlformats.org/spreadsheetml/2006/main" r="E309" s="18" t="str">
        <f>IF(288&gt;MAX('4℃其他'!$AA$5:$AA$322),"",HYPERLINK("#'4℃其他'!D"&amp;(MATCH(288,'4℃其他'!$AA$5:$AA$322,0)+4),INDEX('4℃其他'!$D$5:$D$322,MATCH(288,'4℃其他'!$AA$5:$AA$322,0))))</f>
        <v/>
      </c>
      <c xmlns="http://schemas.openxmlformats.org/spreadsheetml/2006/main" r="F309" s="18" t="str">
        <f>IF(288&gt;MAX('冷凍品'!$AA$5:$AA$322),"",HYPERLINK("#'冷凍品'!D"&amp;(MATCH(288,'冷凍品'!$AA$5:$AA$322,0)+4),INDEX('冷凍品'!$D$5:$D$322,MATCH(288,'冷凍品'!$AA$5:$AA$322,0))))</f>
        <v/>
      </c>
    </row>
    <row r="310">
      <c xmlns="http://schemas.openxmlformats.org/spreadsheetml/2006/main" r="B310" s="18" t="str">
        <f>IF(289&gt;MAX('18℃'!$AA$5:$AA$319),"",HYPERLINK("#'18℃'!D"&amp;(MATCH(289,'18℃'!$AA$5:$AA$319,0)+4),INDEX('18℃'!$D$5:$D$319,MATCH(289,'18℃'!$AA$5:$AA$319,0))))</f>
        <v/>
      </c>
      <c xmlns="http://schemas.openxmlformats.org/spreadsheetml/2006/main" r="C310" s="18" t="str">
        <f>IF(289&gt;MAX('4℃飯'!$AA$5:$AA$319),"",HYPERLINK("#'4℃飯'!D"&amp;(MATCH(289,'4℃飯'!$AA$5:$AA$319,0)+4),INDEX('4℃飯'!$D$5:$D$319,MATCH(289,'4℃飯'!$AA$5:$AA$319,0))))</f>
        <v/>
      </c>
      <c xmlns="http://schemas.openxmlformats.org/spreadsheetml/2006/main" r="D310" s="18" t="str">
        <f>IF(289&gt;MAX('4℃麵'!$AA$5:$AA$310),"",HYPERLINK("#'4℃麵'!D"&amp;(MATCH(289,'4℃麵'!$AA$5:$AA$310,0)+4),INDEX('4℃麵'!$D$5:$D$310,MATCH(289,'4℃麵'!$AA$5:$AA$310,0))))</f>
        <v/>
      </c>
      <c xmlns="http://schemas.openxmlformats.org/spreadsheetml/2006/main" r="E310" s="18" t="str">
        <f>IF(289&gt;MAX('4℃其他'!$AA$5:$AA$322),"",HYPERLINK("#'4℃其他'!D"&amp;(MATCH(289,'4℃其他'!$AA$5:$AA$322,0)+4),INDEX('4℃其他'!$D$5:$D$322,MATCH(289,'4℃其他'!$AA$5:$AA$322,0))))</f>
        <v/>
      </c>
      <c xmlns="http://schemas.openxmlformats.org/spreadsheetml/2006/main" r="F310" s="18" t="str">
        <f>IF(289&gt;MAX('冷凍品'!$AA$5:$AA$322),"",HYPERLINK("#'冷凍品'!D"&amp;(MATCH(289,'冷凍品'!$AA$5:$AA$322,0)+4),INDEX('冷凍品'!$D$5:$D$322,MATCH(289,'冷凍品'!$AA$5:$AA$322,0))))</f>
        <v/>
      </c>
    </row>
    <row r="311">
      <c xmlns="http://schemas.openxmlformats.org/spreadsheetml/2006/main" r="B311" s="18" t="str">
        <f>IF(290&gt;MAX('18℃'!$AA$5:$AA$319),"",HYPERLINK("#'18℃'!D"&amp;(MATCH(290,'18℃'!$AA$5:$AA$319,0)+4),INDEX('18℃'!$D$5:$D$319,MATCH(290,'18℃'!$AA$5:$AA$319,0))))</f>
        <v/>
      </c>
      <c xmlns="http://schemas.openxmlformats.org/spreadsheetml/2006/main" r="C311" s="18" t="str">
        <f>IF(290&gt;MAX('4℃飯'!$AA$5:$AA$319),"",HYPERLINK("#'4℃飯'!D"&amp;(MATCH(290,'4℃飯'!$AA$5:$AA$319,0)+4),INDEX('4℃飯'!$D$5:$D$319,MATCH(290,'4℃飯'!$AA$5:$AA$319,0))))</f>
        <v/>
      </c>
      <c xmlns="http://schemas.openxmlformats.org/spreadsheetml/2006/main" r="D311" s="18" t="str">
        <f>IF(290&gt;MAX('4℃麵'!$AA$5:$AA$310),"",HYPERLINK("#'4℃麵'!D"&amp;(MATCH(290,'4℃麵'!$AA$5:$AA$310,0)+4),INDEX('4℃麵'!$D$5:$D$310,MATCH(290,'4℃麵'!$AA$5:$AA$310,0))))</f>
        <v/>
      </c>
      <c xmlns="http://schemas.openxmlformats.org/spreadsheetml/2006/main" r="E311" s="18" t="str">
        <f>IF(290&gt;MAX('4℃其他'!$AA$5:$AA$322),"",HYPERLINK("#'4℃其他'!D"&amp;(MATCH(290,'4℃其他'!$AA$5:$AA$322,0)+4),INDEX('4℃其他'!$D$5:$D$322,MATCH(290,'4℃其他'!$AA$5:$AA$322,0))))</f>
        <v/>
      </c>
      <c xmlns="http://schemas.openxmlformats.org/spreadsheetml/2006/main" r="F311" s="18" t="str">
        <f>IF(290&gt;MAX('冷凍品'!$AA$5:$AA$322),"",HYPERLINK("#'冷凍品'!D"&amp;(MATCH(290,'冷凍品'!$AA$5:$AA$322,0)+4),INDEX('冷凍品'!$D$5:$D$322,MATCH(290,'冷凍品'!$AA$5:$AA$322,0))))</f>
        <v/>
      </c>
    </row>
    <row r="312">
      <c xmlns="http://schemas.openxmlformats.org/spreadsheetml/2006/main" r="B312" s="18" t="str">
        <f>IF(291&gt;MAX('18℃'!$AA$5:$AA$319),"",HYPERLINK("#'18℃'!D"&amp;(MATCH(291,'18℃'!$AA$5:$AA$319,0)+4),INDEX('18℃'!$D$5:$D$319,MATCH(291,'18℃'!$AA$5:$AA$319,0))))</f>
        <v/>
      </c>
      <c xmlns="http://schemas.openxmlformats.org/spreadsheetml/2006/main" r="C312" s="18" t="str">
        <f>IF(291&gt;MAX('4℃飯'!$AA$5:$AA$319),"",HYPERLINK("#'4℃飯'!D"&amp;(MATCH(291,'4℃飯'!$AA$5:$AA$319,0)+4),INDEX('4℃飯'!$D$5:$D$319,MATCH(291,'4℃飯'!$AA$5:$AA$319,0))))</f>
        <v/>
      </c>
      <c xmlns="http://schemas.openxmlformats.org/spreadsheetml/2006/main" r="D312" s="18" t="str">
        <f>IF(291&gt;MAX('4℃麵'!$AA$5:$AA$310),"",HYPERLINK("#'4℃麵'!D"&amp;(MATCH(291,'4℃麵'!$AA$5:$AA$310,0)+4),INDEX('4℃麵'!$D$5:$D$310,MATCH(291,'4℃麵'!$AA$5:$AA$310,0))))</f>
        <v/>
      </c>
      <c xmlns="http://schemas.openxmlformats.org/spreadsheetml/2006/main" r="E312" s="18" t="str">
        <f>IF(291&gt;MAX('4℃其他'!$AA$5:$AA$322),"",HYPERLINK("#'4℃其他'!D"&amp;(MATCH(291,'4℃其他'!$AA$5:$AA$322,0)+4),INDEX('4℃其他'!$D$5:$D$322,MATCH(291,'4℃其他'!$AA$5:$AA$322,0))))</f>
        <v/>
      </c>
      <c xmlns="http://schemas.openxmlformats.org/spreadsheetml/2006/main" r="F312" s="18" t="str">
        <f>IF(291&gt;MAX('冷凍品'!$AA$5:$AA$322),"",HYPERLINK("#'冷凍品'!D"&amp;(MATCH(291,'冷凍品'!$AA$5:$AA$322,0)+4),INDEX('冷凍品'!$D$5:$D$322,MATCH(291,'冷凍品'!$AA$5:$AA$322,0))))</f>
        <v/>
      </c>
    </row>
    <row r="313">
      <c xmlns="http://schemas.openxmlformats.org/spreadsheetml/2006/main" r="B313" s="18" t="str">
        <f>IF(292&gt;MAX('18℃'!$AA$5:$AA$319),"",HYPERLINK("#'18℃'!D"&amp;(MATCH(292,'18℃'!$AA$5:$AA$319,0)+4),INDEX('18℃'!$D$5:$D$319,MATCH(292,'18℃'!$AA$5:$AA$319,0))))</f>
        <v/>
      </c>
      <c xmlns="http://schemas.openxmlformats.org/spreadsheetml/2006/main" r="C313" s="18" t="str">
        <f>IF(292&gt;MAX('4℃飯'!$AA$5:$AA$319),"",HYPERLINK("#'4℃飯'!D"&amp;(MATCH(292,'4℃飯'!$AA$5:$AA$319,0)+4),INDEX('4℃飯'!$D$5:$D$319,MATCH(292,'4℃飯'!$AA$5:$AA$319,0))))</f>
        <v/>
      </c>
      <c xmlns="http://schemas.openxmlformats.org/spreadsheetml/2006/main" r="D313" s="18" t="str">
        <f>IF(292&gt;MAX('4℃麵'!$AA$5:$AA$310),"",HYPERLINK("#'4℃麵'!D"&amp;(MATCH(292,'4℃麵'!$AA$5:$AA$310,0)+4),INDEX('4℃麵'!$D$5:$D$310,MATCH(292,'4℃麵'!$AA$5:$AA$310,0))))</f>
        <v/>
      </c>
      <c xmlns="http://schemas.openxmlformats.org/spreadsheetml/2006/main" r="E313" s="18" t="str">
        <f>IF(292&gt;MAX('4℃其他'!$AA$5:$AA$322),"",HYPERLINK("#'4℃其他'!D"&amp;(MATCH(292,'4℃其他'!$AA$5:$AA$322,0)+4),INDEX('4℃其他'!$D$5:$D$322,MATCH(292,'4℃其他'!$AA$5:$AA$322,0))))</f>
        <v/>
      </c>
      <c xmlns="http://schemas.openxmlformats.org/spreadsheetml/2006/main" r="F313" s="18" t="str">
        <f>IF(292&gt;MAX('冷凍品'!$AA$5:$AA$322),"",HYPERLINK("#'冷凍品'!D"&amp;(MATCH(292,'冷凍品'!$AA$5:$AA$322,0)+4),INDEX('冷凍品'!$D$5:$D$322,MATCH(292,'冷凍品'!$AA$5:$AA$322,0))))</f>
        <v/>
      </c>
    </row>
    <row r="314">
      <c xmlns="http://schemas.openxmlformats.org/spreadsheetml/2006/main" r="B314" s="18" t="str">
        <f>IF(293&gt;MAX('18℃'!$AA$5:$AA$319),"",HYPERLINK("#'18℃'!D"&amp;(MATCH(293,'18℃'!$AA$5:$AA$319,0)+4),INDEX('18℃'!$D$5:$D$319,MATCH(293,'18℃'!$AA$5:$AA$319,0))))</f>
        <v/>
      </c>
      <c xmlns="http://schemas.openxmlformats.org/spreadsheetml/2006/main" r="C314" s="18" t="str">
        <f>IF(293&gt;MAX('4℃飯'!$AA$5:$AA$319),"",HYPERLINK("#'4℃飯'!D"&amp;(MATCH(293,'4℃飯'!$AA$5:$AA$319,0)+4),INDEX('4℃飯'!$D$5:$D$319,MATCH(293,'4℃飯'!$AA$5:$AA$319,0))))</f>
        <v/>
      </c>
      <c xmlns="http://schemas.openxmlformats.org/spreadsheetml/2006/main" r="D314" s="18" t="str">
        <f>IF(293&gt;MAX('4℃麵'!$AA$5:$AA$310),"",HYPERLINK("#'4℃麵'!D"&amp;(MATCH(293,'4℃麵'!$AA$5:$AA$310,0)+4),INDEX('4℃麵'!$D$5:$D$310,MATCH(293,'4℃麵'!$AA$5:$AA$310,0))))</f>
        <v/>
      </c>
      <c xmlns="http://schemas.openxmlformats.org/spreadsheetml/2006/main" r="E314" s="18" t="str">
        <f>IF(293&gt;MAX('4℃其他'!$AA$5:$AA$322),"",HYPERLINK("#'4℃其他'!D"&amp;(MATCH(293,'4℃其他'!$AA$5:$AA$322,0)+4),INDEX('4℃其他'!$D$5:$D$322,MATCH(293,'4℃其他'!$AA$5:$AA$322,0))))</f>
        <v/>
      </c>
      <c xmlns="http://schemas.openxmlformats.org/spreadsheetml/2006/main" r="F314" s="18" t="str">
        <f>IF(293&gt;MAX('冷凍品'!$AA$5:$AA$322),"",HYPERLINK("#'冷凍品'!D"&amp;(MATCH(293,'冷凍品'!$AA$5:$AA$322,0)+4),INDEX('冷凍品'!$D$5:$D$322,MATCH(293,'冷凍品'!$AA$5:$AA$322,0))))</f>
        <v/>
      </c>
    </row>
    <row r="315">
      <c xmlns="http://schemas.openxmlformats.org/spreadsheetml/2006/main" r="B315" s="18" t="str">
        <f>IF(294&gt;MAX('18℃'!$AA$5:$AA$319),"",HYPERLINK("#'18℃'!D"&amp;(MATCH(294,'18℃'!$AA$5:$AA$319,0)+4),INDEX('18℃'!$D$5:$D$319,MATCH(294,'18℃'!$AA$5:$AA$319,0))))</f>
        <v/>
      </c>
      <c xmlns="http://schemas.openxmlformats.org/spreadsheetml/2006/main" r="C315" s="18" t="str">
        <f>IF(294&gt;MAX('4℃飯'!$AA$5:$AA$319),"",HYPERLINK("#'4℃飯'!D"&amp;(MATCH(294,'4℃飯'!$AA$5:$AA$319,0)+4),INDEX('4℃飯'!$D$5:$D$319,MATCH(294,'4℃飯'!$AA$5:$AA$319,0))))</f>
        <v/>
      </c>
      <c xmlns="http://schemas.openxmlformats.org/spreadsheetml/2006/main" r="D315" s="18" t="str">
        <f>IF(294&gt;MAX('4℃麵'!$AA$5:$AA$310),"",HYPERLINK("#'4℃麵'!D"&amp;(MATCH(294,'4℃麵'!$AA$5:$AA$310,0)+4),INDEX('4℃麵'!$D$5:$D$310,MATCH(294,'4℃麵'!$AA$5:$AA$310,0))))</f>
        <v/>
      </c>
      <c xmlns="http://schemas.openxmlformats.org/spreadsheetml/2006/main" r="E315" s="18" t="str">
        <f>IF(294&gt;MAX('4℃其他'!$AA$5:$AA$322),"",HYPERLINK("#'4℃其他'!D"&amp;(MATCH(294,'4℃其他'!$AA$5:$AA$322,0)+4),INDEX('4℃其他'!$D$5:$D$322,MATCH(294,'4℃其他'!$AA$5:$AA$322,0))))</f>
        <v/>
      </c>
      <c xmlns="http://schemas.openxmlformats.org/spreadsheetml/2006/main" r="F315" s="18" t="str">
        <f>IF(294&gt;MAX('冷凍品'!$AA$5:$AA$322),"",HYPERLINK("#'冷凍品'!D"&amp;(MATCH(294,'冷凍品'!$AA$5:$AA$322,0)+4),INDEX('冷凍品'!$D$5:$D$322,MATCH(294,'冷凍品'!$AA$5:$AA$322,0))))</f>
        <v/>
      </c>
    </row>
    <row r="316">
      <c xmlns="http://schemas.openxmlformats.org/spreadsheetml/2006/main" r="B316" s="18" t="str">
        <f>IF(295&gt;MAX('18℃'!$AA$5:$AA$319),"",HYPERLINK("#'18℃'!D"&amp;(MATCH(295,'18℃'!$AA$5:$AA$319,0)+4),INDEX('18℃'!$D$5:$D$319,MATCH(295,'18℃'!$AA$5:$AA$319,0))))</f>
        <v/>
      </c>
      <c xmlns="http://schemas.openxmlformats.org/spreadsheetml/2006/main" r="C316" s="18" t="str">
        <f>IF(295&gt;MAX('4℃飯'!$AA$5:$AA$319),"",HYPERLINK("#'4℃飯'!D"&amp;(MATCH(295,'4℃飯'!$AA$5:$AA$319,0)+4),INDEX('4℃飯'!$D$5:$D$319,MATCH(295,'4℃飯'!$AA$5:$AA$319,0))))</f>
        <v/>
      </c>
      <c xmlns="http://schemas.openxmlformats.org/spreadsheetml/2006/main" r="D316" s="18" t="str">
        <f>IF(295&gt;MAX('4℃麵'!$AA$5:$AA$310),"",HYPERLINK("#'4℃麵'!D"&amp;(MATCH(295,'4℃麵'!$AA$5:$AA$310,0)+4),INDEX('4℃麵'!$D$5:$D$310,MATCH(295,'4℃麵'!$AA$5:$AA$310,0))))</f>
        <v/>
      </c>
      <c xmlns="http://schemas.openxmlformats.org/spreadsheetml/2006/main" r="E316" s="18" t="str">
        <f>IF(295&gt;MAX('4℃其他'!$AA$5:$AA$322),"",HYPERLINK("#'4℃其他'!D"&amp;(MATCH(295,'4℃其他'!$AA$5:$AA$322,0)+4),INDEX('4℃其他'!$D$5:$D$322,MATCH(295,'4℃其他'!$AA$5:$AA$322,0))))</f>
        <v/>
      </c>
      <c xmlns="http://schemas.openxmlformats.org/spreadsheetml/2006/main" r="F316" s="18" t="str">
        <f>IF(295&gt;MAX('冷凍品'!$AA$5:$AA$322),"",HYPERLINK("#'冷凍品'!D"&amp;(MATCH(295,'冷凍品'!$AA$5:$AA$322,0)+4),INDEX('冷凍品'!$D$5:$D$322,MATCH(295,'冷凍品'!$AA$5:$AA$322,0))))</f>
        <v/>
      </c>
    </row>
    <row r="317">
      <c xmlns="http://schemas.openxmlformats.org/spreadsheetml/2006/main" r="B317" s="18" t="str">
        <f>IF(296&gt;MAX('18℃'!$AA$5:$AA$319),"",HYPERLINK("#'18℃'!D"&amp;(MATCH(296,'18℃'!$AA$5:$AA$319,0)+4),INDEX('18℃'!$D$5:$D$319,MATCH(296,'18℃'!$AA$5:$AA$319,0))))</f>
        <v/>
      </c>
      <c xmlns="http://schemas.openxmlformats.org/spreadsheetml/2006/main" r="C317" s="18" t="str">
        <f>IF(296&gt;MAX('4℃飯'!$AA$5:$AA$319),"",HYPERLINK("#'4℃飯'!D"&amp;(MATCH(296,'4℃飯'!$AA$5:$AA$319,0)+4),INDEX('4℃飯'!$D$5:$D$319,MATCH(296,'4℃飯'!$AA$5:$AA$319,0))))</f>
        <v/>
      </c>
      <c xmlns="http://schemas.openxmlformats.org/spreadsheetml/2006/main" r="D317" s="18" t="str">
        <f>IF(296&gt;MAX('4℃麵'!$AA$5:$AA$310),"",HYPERLINK("#'4℃麵'!D"&amp;(MATCH(296,'4℃麵'!$AA$5:$AA$310,0)+4),INDEX('4℃麵'!$D$5:$D$310,MATCH(296,'4℃麵'!$AA$5:$AA$310,0))))</f>
        <v/>
      </c>
      <c xmlns="http://schemas.openxmlformats.org/spreadsheetml/2006/main" r="E317" s="18" t="str">
        <f>IF(296&gt;MAX('4℃其他'!$AA$5:$AA$322),"",HYPERLINK("#'4℃其他'!D"&amp;(MATCH(296,'4℃其他'!$AA$5:$AA$322,0)+4),INDEX('4℃其他'!$D$5:$D$322,MATCH(296,'4℃其他'!$AA$5:$AA$322,0))))</f>
        <v/>
      </c>
      <c xmlns="http://schemas.openxmlformats.org/spreadsheetml/2006/main" r="F317" s="18" t="str">
        <f>IF(296&gt;MAX('冷凍品'!$AA$5:$AA$322),"",HYPERLINK("#'冷凍品'!D"&amp;(MATCH(296,'冷凍品'!$AA$5:$AA$322,0)+4),INDEX('冷凍品'!$D$5:$D$322,MATCH(296,'冷凍品'!$AA$5:$AA$322,0))))</f>
        <v/>
      </c>
    </row>
    <row r="318">
      <c xmlns="http://schemas.openxmlformats.org/spreadsheetml/2006/main" r="B318" s="18" t="str">
        <f>IF(297&gt;MAX('18℃'!$AA$5:$AA$319),"",HYPERLINK("#'18℃'!D"&amp;(MATCH(297,'18℃'!$AA$5:$AA$319,0)+4),INDEX('18℃'!$D$5:$D$319,MATCH(297,'18℃'!$AA$5:$AA$319,0))))</f>
        <v/>
      </c>
      <c xmlns="http://schemas.openxmlformats.org/spreadsheetml/2006/main" r="C318" s="18" t="str">
        <f>IF(297&gt;MAX('4℃飯'!$AA$5:$AA$319),"",HYPERLINK("#'4℃飯'!D"&amp;(MATCH(297,'4℃飯'!$AA$5:$AA$319,0)+4),INDEX('4℃飯'!$D$5:$D$319,MATCH(297,'4℃飯'!$AA$5:$AA$319,0))))</f>
        <v/>
      </c>
      <c xmlns="http://schemas.openxmlformats.org/spreadsheetml/2006/main" r="D318" s="18" t="str">
        <f>IF(297&gt;MAX('4℃麵'!$AA$5:$AA$310),"",HYPERLINK("#'4℃麵'!D"&amp;(MATCH(297,'4℃麵'!$AA$5:$AA$310,0)+4),INDEX('4℃麵'!$D$5:$D$310,MATCH(297,'4℃麵'!$AA$5:$AA$310,0))))</f>
        <v/>
      </c>
      <c xmlns="http://schemas.openxmlformats.org/spreadsheetml/2006/main" r="E318" s="18" t="str">
        <f>IF(297&gt;MAX('4℃其他'!$AA$5:$AA$322),"",HYPERLINK("#'4℃其他'!D"&amp;(MATCH(297,'4℃其他'!$AA$5:$AA$322,0)+4),INDEX('4℃其他'!$D$5:$D$322,MATCH(297,'4℃其他'!$AA$5:$AA$322,0))))</f>
        <v/>
      </c>
      <c xmlns="http://schemas.openxmlformats.org/spreadsheetml/2006/main" r="F318" s="18" t="str">
        <f>IF(297&gt;MAX('冷凍品'!$AA$5:$AA$322),"",HYPERLINK("#'冷凍品'!D"&amp;(MATCH(297,'冷凍品'!$AA$5:$AA$322,0)+4),INDEX('冷凍品'!$D$5:$D$322,MATCH(297,'冷凍品'!$AA$5:$AA$322,0))))</f>
        <v/>
      </c>
    </row>
    <row r="319">
      <c xmlns="http://schemas.openxmlformats.org/spreadsheetml/2006/main" r="B319" s="18" t="str">
        <f>IF(298&gt;MAX('18℃'!$AA$5:$AA$319),"",HYPERLINK("#'18℃'!D"&amp;(MATCH(298,'18℃'!$AA$5:$AA$319,0)+4),INDEX('18℃'!$D$5:$D$319,MATCH(298,'18℃'!$AA$5:$AA$319,0))))</f>
        <v/>
      </c>
      <c xmlns="http://schemas.openxmlformats.org/spreadsheetml/2006/main" r="C319" s="18" t="str">
        <f>IF(298&gt;MAX('4℃飯'!$AA$5:$AA$319),"",HYPERLINK("#'4℃飯'!D"&amp;(MATCH(298,'4℃飯'!$AA$5:$AA$319,0)+4),INDEX('4℃飯'!$D$5:$D$319,MATCH(298,'4℃飯'!$AA$5:$AA$319,0))))</f>
        <v/>
      </c>
      <c xmlns="http://schemas.openxmlformats.org/spreadsheetml/2006/main" r="D319" s="18" t="str">
        <f>IF(298&gt;MAX('4℃麵'!$AA$5:$AA$310),"",HYPERLINK("#'4℃麵'!D"&amp;(MATCH(298,'4℃麵'!$AA$5:$AA$310,0)+4),INDEX('4℃麵'!$D$5:$D$310,MATCH(298,'4℃麵'!$AA$5:$AA$310,0))))</f>
        <v/>
      </c>
      <c xmlns="http://schemas.openxmlformats.org/spreadsheetml/2006/main" r="E319" s="18" t="str">
        <f>IF(298&gt;MAX('4℃其他'!$AA$5:$AA$322),"",HYPERLINK("#'4℃其他'!D"&amp;(MATCH(298,'4℃其他'!$AA$5:$AA$322,0)+4),INDEX('4℃其他'!$D$5:$D$322,MATCH(298,'4℃其他'!$AA$5:$AA$322,0))))</f>
        <v/>
      </c>
      <c xmlns="http://schemas.openxmlformats.org/spreadsheetml/2006/main" r="F319" s="18" t="str">
        <f>IF(298&gt;MAX('冷凍品'!$AA$5:$AA$322),"",HYPERLINK("#'冷凍品'!D"&amp;(MATCH(298,'冷凍品'!$AA$5:$AA$322,0)+4),INDEX('冷凍品'!$D$5:$D$322,MATCH(298,'冷凍品'!$AA$5:$AA$322,0))))</f>
        <v/>
      </c>
    </row>
    <row r="320">
      <c xmlns="http://schemas.openxmlformats.org/spreadsheetml/2006/main" r="B320" s="18" t="str">
        <f>IF(299&gt;MAX('18℃'!$AA$5:$AA$319),"",HYPERLINK("#'18℃'!D"&amp;(MATCH(299,'18℃'!$AA$5:$AA$319,0)+4),INDEX('18℃'!$D$5:$D$319,MATCH(299,'18℃'!$AA$5:$AA$319,0))))</f>
        <v/>
      </c>
      <c xmlns="http://schemas.openxmlformats.org/spreadsheetml/2006/main" r="C320" s="18" t="str">
        <f>IF(299&gt;MAX('4℃飯'!$AA$5:$AA$319),"",HYPERLINK("#'4℃飯'!D"&amp;(MATCH(299,'4℃飯'!$AA$5:$AA$319,0)+4),INDEX('4℃飯'!$D$5:$D$319,MATCH(299,'4℃飯'!$AA$5:$AA$319,0))))</f>
        <v/>
      </c>
      <c xmlns="http://schemas.openxmlformats.org/spreadsheetml/2006/main" r="D320" s="18" t="str">
        <f>IF(299&gt;MAX('4℃麵'!$AA$5:$AA$310),"",HYPERLINK("#'4℃麵'!D"&amp;(MATCH(299,'4℃麵'!$AA$5:$AA$310,0)+4),INDEX('4℃麵'!$D$5:$D$310,MATCH(299,'4℃麵'!$AA$5:$AA$310,0))))</f>
        <v/>
      </c>
      <c xmlns="http://schemas.openxmlformats.org/spreadsheetml/2006/main" r="E320" s="18" t="str">
        <f>IF(299&gt;MAX('4℃其他'!$AA$5:$AA$322),"",HYPERLINK("#'4℃其他'!D"&amp;(MATCH(299,'4℃其他'!$AA$5:$AA$322,0)+4),INDEX('4℃其他'!$D$5:$D$322,MATCH(299,'4℃其他'!$AA$5:$AA$322,0))))</f>
        <v/>
      </c>
      <c xmlns="http://schemas.openxmlformats.org/spreadsheetml/2006/main" r="F320" s="18" t="str">
        <f>IF(299&gt;MAX('冷凍品'!$AA$5:$AA$322),"",HYPERLINK("#'冷凍品'!D"&amp;(MATCH(299,'冷凍品'!$AA$5:$AA$322,0)+4),INDEX('冷凍品'!$D$5:$D$322,MATCH(299,'冷凍品'!$AA$5:$AA$322,0))))</f>
        <v/>
      </c>
    </row>
    <row r="321">
      <c xmlns="http://schemas.openxmlformats.org/spreadsheetml/2006/main" r="B321" s="18" t="str">
        <f>IF(300&gt;MAX('18℃'!$AA$5:$AA$319),"",HYPERLINK("#'18℃'!D"&amp;(MATCH(300,'18℃'!$AA$5:$AA$319,0)+4),INDEX('18℃'!$D$5:$D$319,MATCH(300,'18℃'!$AA$5:$AA$319,0))))</f>
        <v/>
      </c>
      <c xmlns="http://schemas.openxmlformats.org/spreadsheetml/2006/main" r="C321" s="18" t="str">
        <f>IF(300&gt;MAX('4℃飯'!$AA$5:$AA$319),"",HYPERLINK("#'4℃飯'!D"&amp;(MATCH(300,'4℃飯'!$AA$5:$AA$319,0)+4),INDEX('4℃飯'!$D$5:$D$319,MATCH(300,'4℃飯'!$AA$5:$AA$319,0))))</f>
        <v/>
      </c>
      <c xmlns="http://schemas.openxmlformats.org/spreadsheetml/2006/main" r="D321" s="18" t="str">
        <f>IF(300&gt;MAX('4℃麵'!$AA$5:$AA$310),"",HYPERLINK("#'4℃麵'!D"&amp;(MATCH(300,'4℃麵'!$AA$5:$AA$310,0)+4),INDEX('4℃麵'!$D$5:$D$310,MATCH(300,'4℃麵'!$AA$5:$AA$310,0))))</f>
        <v/>
      </c>
      <c xmlns="http://schemas.openxmlformats.org/spreadsheetml/2006/main" r="E321" s="18" t="str">
        <f>IF(300&gt;MAX('4℃其他'!$AA$5:$AA$322),"",HYPERLINK("#'4℃其他'!D"&amp;(MATCH(300,'4℃其他'!$AA$5:$AA$322,0)+4),INDEX('4℃其他'!$D$5:$D$322,MATCH(300,'4℃其他'!$AA$5:$AA$322,0))))</f>
        <v/>
      </c>
      <c xmlns="http://schemas.openxmlformats.org/spreadsheetml/2006/main" r="F321" s="18" t="str">
        <f>IF(300&gt;MAX('冷凍品'!$AA$5:$AA$322),"",HYPERLINK("#'冷凍品'!D"&amp;(MATCH(300,'冷凍品'!$AA$5:$AA$322,0)+4),INDEX('冷凍品'!$D$5:$D$322,MATCH(300,'冷凍品'!$AA$5:$AA$322,0))))</f>
        <v/>
      </c>
    </row>
    <row r="322">
      <c xmlns="http://schemas.openxmlformats.org/spreadsheetml/2006/main" r="B322" s="18" t="str">
        <f>IF(301&gt;MAX('18℃'!$AA$5:$AA$319),"",HYPERLINK("#'18℃'!D"&amp;(MATCH(301,'18℃'!$AA$5:$AA$319,0)+4),INDEX('18℃'!$D$5:$D$319,MATCH(301,'18℃'!$AA$5:$AA$319,0))))</f>
        <v/>
      </c>
      <c xmlns="http://schemas.openxmlformats.org/spreadsheetml/2006/main" r="C322" s="18" t="str">
        <f>IF(301&gt;MAX('4℃飯'!$AA$5:$AA$319),"",HYPERLINK("#'4℃飯'!D"&amp;(MATCH(301,'4℃飯'!$AA$5:$AA$319,0)+4),INDEX('4℃飯'!$D$5:$D$319,MATCH(301,'4℃飯'!$AA$5:$AA$319,0))))</f>
        <v/>
      </c>
      <c xmlns="http://schemas.openxmlformats.org/spreadsheetml/2006/main" r="D322" s="18" t="str">
        <f>IF(301&gt;MAX('4℃麵'!$AA$5:$AA$310),"",HYPERLINK("#'4℃麵'!D"&amp;(MATCH(301,'4℃麵'!$AA$5:$AA$310,0)+4),INDEX('4℃麵'!$D$5:$D$310,MATCH(301,'4℃麵'!$AA$5:$AA$310,0))))</f>
        <v/>
      </c>
      <c xmlns="http://schemas.openxmlformats.org/spreadsheetml/2006/main" r="E322" s="18" t="str">
        <f>IF(301&gt;MAX('4℃其他'!$AA$5:$AA$322),"",HYPERLINK("#'4℃其他'!D"&amp;(MATCH(301,'4℃其他'!$AA$5:$AA$322,0)+4),INDEX('4℃其他'!$D$5:$D$322,MATCH(301,'4℃其他'!$AA$5:$AA$322,0))))</f>
        <v/>
      </c>
      <c xmlns="http://schemas.openxmlformats.org/spreadsheetml/2006/main" r="F322" s="18" t="str">
        <f>IF(301&gt;MAX('冷凍品'!$AA$5:$AA$322),"",HYPERLINK("#'冷凍品'!D"&amp;(MATCH(301,'冷凍品'!$AA$5:$AA$322,0)+4),INDEX('冷凍品'!$D$5:$D$322,MATCH(301,'冷凍品'!$AA$5:$AA$322,0))))</f>
        <v/>
      </c>
    </row>
    <row r="323">
      <c xmlns="http://schemas.openxmlformats.org/spreadsheetml/2006/main" r="B323" s="18" t="str">
        <f>IF(302&gt;MAX('18℃'!$AA$5:$AA$319),"",HYPERLINK("#'18℃'!D"&amp;(MATCH(302,'18℃'!$AA$5:$AA$319,0)+4),INDEX('18℃'!$D$5:$D$319,MATCH(302,'18℃'!$AA$5:$AA$319,0))))</f>
        <v/>
      </c>
      <c xmlns="http://schemas.openxmlformats.org/spreadsheetml/2006/main" r="C323" s="18" t="str">
        <f>IF(302&gt;MAX('4℃飯'!$AA$5:$AA$319),"",HYPERLINK("#'4℃飯'!D"&amp;(MATCH(302,'4℃飯'!$AA$5:$AA$319,0)+4),INDEX('4℃飯'!$D$5:$D$319,MATCH(302,'4℃飯'!$AA$5:$AA$319,0))))</f>
        <v/>
      </c>
      <c xmlns="http://schemas.openxmlformats.org/spreadsheetml/2006/main" r="D323" s="18" t="str">
        <f>IF(302&gt;MAX('4℃麵'!$AA$5:$AA$310),"",HYPERLINK("#'4℃麵'!D"&amp;(MATCH(302,'4℃麵'!$AA$5:$AA$310,0)+4),INDEX('4℃麵'!$D$5:$D$310,MATCH(302,'4℃麵'!$AA$5:$AA$310,0))))</f>
        <v/>
      </c>
      <c xmlns="http://schemas.openxmlformats.org/spreadsheetml/2006/main" r="E323" s="18" t="str">
        <f>IF(302&gt;MAX('4℃其他'!$AA$5:$AA$322),"",HYPERLINK("#'4℃其他'!D"&amp;(MATCH(302,'4℃其他'!$AA$5:$AA$322,0)+4),INDEX('4℃其他'!$D$5:$D$322,MATCH(302,'4℃其他'!$AA$5:$AA$322,0))))</f>
        <v/>
      </c>
      <c xmlns="http://schemas.openxmlformats.org/spreadsheetml/2006/main" r="F323" s="18" t="str">
        <f>IF(302&gt;MAX('冷凍品'!$AA$5:$AA$322),"",HYPERLINK("#'冷凍品'!D"&amp;(MATCH(302,'冷凍品'!$AA$5:$AA$322,0)+4),INDEX('冷凍品'!$D$5:$D$322,MATCH(302,'冷凍品'!$AA$5:$AA$322,0))))</f>
        <v/>
      </c>
    </row>
    <row r="324">
      <c xmlns="http://schemas.openxmlformats.org/spreadsheetml/2006/main" r="B324" s="18" t="str">
        <f>IF(303&gt;MAX('18℃'!$AA$5:$AA$319),"",HYPERLINK("#'18℃'!D"&amp;(MATCH(303,'18℃'!$AA$5:$AA$319,0)+4),INDEX('18℃'!$D$5:$D$319,MATCH(303,'18℃'!$AA$5:$AA$319,0))))</f>
        <v/>
      </c>
      <c xmlns="http://schemas.openxmlformats.org/spreadsheetml/2006/main" r="C324" s="18" t="str">
        <f>IF(303&gt;MAX('4℃飯'!$AA$5:$AA$319),"",HYPERLINK("#'4℃飯'!D"&amp;(MATCH(303,'4℃飯'!$AA$5:$AA$319,0)+4),INDEX('4℃飯'!$D$5:$D$319,MATCH(303,'4℃飯'!$AA$5:$AA$319,0))))</f>
        <v/>
      </c>
      <c xmlns="http://schemas.openxmlformats.org/spreadsheetml/2006/main" r="D324" s="18" t="str">
        <f>IF(303&gt;MAX('4℃麵'!$AA$5:$AA$310),"",HYPERLINK("#'4℃麵'!D"&amp;(MATCH(303,'4℃麵'!$AA$5:$AA$310,0)+4),INDEX('4℃麵'!$D$5:$D$310,MATCH(303,'4℃麵'!$AA$5:$AA$310,0))))</f>
        <v/>
      </c>
      <c xmlns="http://schemas.openxmlformats.org/spreadsheetml/2006/main" r="E324" s="18" t="str">
        <f>IF(303&gt;MAX('4℃其他'!$AA$5:$AA$322),"",HYPERLINK("#'4℃其他'!D"&amp;(MATCH(303,'4℃其他'!$AA$5:$AA$322,0)+4),INDEX('4℃其他'!$D$5:$D$322,MATCH(303,'4℃其他'!$AA$5:$AA$322,0))))</f>
        <v/>
      </c>
      <c xmlns="http://schemas.openxmlformats.org/spreadsheetml/2006/main" r="F324" s="18" t="str">
        <f>IF(303&gt;MAX('冷凍品'!$AA$5:$AA$322),"",HYPERLINK("#'冷凍品'!D"&amp;(MATCH(303,'冷凍品'!$AA$5:$AA$322,0)+4),INDEX('冷凍品'!$D$5:$D$322,MATCH(303,'冷凍品'!$AA$5:$AA$322,0))))</f>
        <v/>
      </c>
    </row>
    <row r="325">
      <c xmlns="http://schemas.openxmlformats.org/spreadsheetml/2006/main" r="B325" s="18" t="str">
        <f>IF(304&gt;MAX('18℃'!$AA$5:$AA$319),"",HYPERLINK("#'18℃'!D"&amp;(MATCH(304,'18℃'!$AA$5:$AA$319,0)+4),INDEX('18℃'!$D$5:$D$319,MATCH(304,'18℃'!$AA$5:$AA$319,0))))</f>
        <v/>
      </c>
      <c xmlns="http://schemas.openxmlformats.org/spreadsheetml/2006/main" r="C325" s="18" t="str">
        <f>IF(304&gt;MAX('4℃飯'!$AA$5:$AA$319),"",HYPERLINK("#'4℃飯'!D"&amp;(MATCH(304,'4℃飯'!$AA$5:$AA$319,0)+4),INDEX('4℃飯'!$D$5:$D$319,MATCH(304,'4℃飯'!$AA$5:$AA$319,0))))</f>
        <v/>
      </c>
      <c xmlns="http://schemas.openxmlformats.org/spreadsheetml/2006/main" r="D325" s="18" t="str">
        <f>IF(304&gt;MAX('4℃麵'!$AA$5:$AA$310),"",HYPERLINK("#'4℃麵'!D"&amp;(MATCH(304,'4℃麵'!$AA$5:$AA$310,0)+4),INDEX('4℃麵'!$D$5:$D$310,MATCH(304,'4℃麵'!$AA$5:$AA$310,0))))</f>
        <v/>
      </c>
      <c xmlns="http://schemas.openxmlformats.org/spreadsheetml/2006/main" r="E325" s="18" t="str">
        <f>IF(304&gt;MAX('4℃其他'!$AA$5:$AA$322),"",HYPERLINK("#'4℃其他'!D"&amp;(MATCH(304,'4℃其他'!$AA$5:$AA$322,0)+4),INDEX('4℃其他'!$D$5:$D$322,MATCH(304,'4℃其他'!$AA$5:$AA$322,0))))</f>
        <v/>
      </c>
      <c xmlns="http://schemas.openxmlformats.org/spreadsheetml/2006/main" r="F325" s="18" t="str">
        <f>IF(304&gt;MAX('冷凍品'!$AA$5:$AA$322),"",HYPERLINK("#'冷凍品'!D"&amp;(MATCH(304,'冷凍品'!$AA$5:$AA$322,0)+4),INDEX('冷凍品'!$D$5:$D$322,MATCH(304,'冷凍品'!$AA$5:$AA$322,0))))</f>
        <v/>
      </c>
    </row>
    <row r="326">
      <c xmlns="http://schemas.openxmlformats.org/spreadsheetml/2006/main" r="B326" s="18" t="str">
        <f>IF(305&gt;MAX('18℃'!$AA$5:$AA$319),"",HYPERLINK("#'18℃'!D"&amp;(MATCH(305,'18℃'!$AA$5:$AA$319,0)+4),INDEX('18℃'!$D$5:$D$319,MATCH(305,'18℃'!$AA$5:$AA$319,0))))</f>
        <v/>
      </c>
      <c xmlns="http://schemas.openxmlformats.org/spreadsheetml/2006/main" r="C326" s="18" t="str">
        <f>IF(305&gt;MAX('4℃飯'!$AA$5:$AA$319),"",HYPERLINK("#'4℃飯'!D"&amp;(MATCH(305,'4℃飯'!$AA$5:$AA$319,0)+4),INDEX('4℃飯'!$D$5:$D$319,MATCH(305,'4℃飯'!$AA$5:$AA$319,0))))</f>
        <v/>
      </c>
      <c xmlns="http://schemas.openxmlformats.org/spreadsheetml/2006/main" r="D326" s="18" t="str">
        <f>IF(305&gt;MAX('4℃麵'!$AA$5:$AA$310),"",HYPERLINK("#'4℃麵'!D"&amp;(MATCH(305,'4℃麵'!$AA$5:$AA$310,0)+4),INDEX('4℃麵'!$D$5:$D$310,MATCH(305,'4℃麵'!$AA$5:$AA$310,0))))</f>
        <v/>
      </c>
      <c xmlns="http://schemas.openxmlformats.org/spreadsheetml/2006/main" r="E326" s="18" t="str">
        <f>IF(305&gt;MAX('4℃其他'!$AA$5:$AA$322),"",HYPERLINK("#'4℃其他'!D"&amp;(MATCH(305,'4℃其他'!$AA$5:$AA$322,0)+4),INDEX('4℃其他'!$D$5:$D$322,MATCH(305,'4℃其他'!$AA$5:$AA$322,0))))</f>
        <v/>
      </c>
      <c xmlns="http://schemas.openxmlformats.org/spreadsheetml/2006/main" r="F326" s="18" t="str">
        <f>IF(305&gt;MAX('冷凍品'!$AA$5:$AA$322),"",HYPERLINK("#'冷凍品'!D"&amp;(MATCH(305,'冷凍品'!$AA$5:$AA$322,0)+4),INDEX('冷凍品'!$D$5:$D$322,MATCH(305,'冷凍品'!$AA$5:$AA$322,0))))</f>
        <v/>
      </c>
    </row>
    <row r="327">
      <c xmlns="http://schemas.openxmlformats.org/spreadsheetml/2006/main" r="B327" s="18" t="str">
        <f>IF(306&gt;MAX('18℃'!$AA$5:$AA$319),"",HYPERLINK("#'18℃'!D"&amp;(MATCH(306,'18℃'!$AA$5:$AA$319,0)+4),INDEX('18℃'!$D$5:$D$319,MATCH(306,'18℃'!$AA$5:$AA$319,0))))</f>
        <v/>
      </c>
      <c xmlns="http://schemas.openxmlformats.org/spreadsheetml/2006/main" r="C327" s="18" t="str">
        <f>IF(306&gt;MAX('4℃飯'!$AA$5:$AA$319),"",HYPERLINK("#'4℃飯'!D"&amp;(MATCH(306,'4℃飯'!$AA$5:$AA$319,0)+4),INDEX('4℃飯'!$D$5:$D$319,MATCH(306,'4℃飯'!$AA$5:$AA$319,0))))</f>
        <v/>
      </c>
      <c xmlns="http://schemas.openxmlformats.org/spreadsheetml/2006/main" r="D327" s="18" t="str">
        <f>IF(306&gt;MAX('4℃麵'!$AA$5:$AA$310),"",HYPERLINK("#'4℃麵'!D"&amp;(MATCH(306,'4℃麵'!$AA$5:$AA$310,0)+4),INDEX('4℃麵'!$D$5:$D$310,MATCH(306,'4℃麵'!$AA$5:$AA$310,0))))</f>
        <v/>
      </c>
      <c xmlns="http://schemas.openxmlformats.org/spreadsheetml/2006/main" r="E327" s="18" t="str">
        <f>IF(306&gt;MAX('4℃其他'!$AA$5:$AA$322),"",HYPERLINK("#'4℃其他'!D"&amp;(MATCH(306,'4℃其他'!$AA$5:$AA$322,0)+4),INDEX('4℃其他'!$D$5:$D$322,MATCH(306,'4℃其他'!$AA$5:$AA$322,0))))</f>
        <v/>
      </c>
      <c xmlns="http://schemas.openxmlformats.org/spreadsheetml/2006/main" r="F327" s="18" t="str">
        <f>IF(306&gt;MAX('冷凍品'!$AA$5:$AA$322),"",HYPERLINK("#'冷凍品'!D"&amp;(MATCH(306,'冷凍品'!$AA$5:$AA$322,0)+4),INDEX('冷凍品'!$D$5:$D$322,MATCH(306,'冷凍品'!$AA$5:$AA$322,0))))</f>
        <v/>
      </c>
    </row>
    <row r="328">
      <c xmlns="http://schemas.openxmlformats.org/spreadsheetml/2006/main" r="B328" s="18" t="str">
        <f>IF(307&gt;MAX('18℃'!$AA$5:$AA$319),"",HYPERLINK("#'18℃'!D"&amp;(MATCH(307,'18℃'!$AA$5:$AA$319,0)+4),INDEX('18℃'!$D$5:$D$319,MATCH(307,'18℃'!$AA$5:$AA$319,0))))</f>
        <v/>
      </c>
      <c xmlns="http://schemas.openxmlformats.org/spreadsheetml/2006/main" r="C328" s="18" t="str">
        <f>IF(307&gt;MAX('4℃飯'!$AA$5:$AA$319),"",HYPERLINK("#'4℃飯'!D"&amp;(MATCH(307,'4℃飯'!$AA$5:$AA$319,0)+4),INDEX('4℃飯'!$D$5:$D$319,MATCH(307,'4℃飯'!$AA$5:$AA$319,0))))</f>
        <v/>
      </c>
      <c xmlns="http://schemas.openxmlformats.org/spreadsheetml/2006/main" r="E328" s="18" t="str">
        <f>IF(307&gt;MAX('4℃其他'!$AA$5:$AA$322),"",HYPERLINK("#'4℃其他'!D"&amp;(MATCH(307,'4℃其他'!$AA$5:$AA$322,0)+4),INDEX('4℃其他'!$D$5:$D$322,MATCH(307,'4℃其他'!$AA$5:$AA$322,0))))</f>
        <v/>
      </c>
      <c xmlns="http://schemas.openxmlformats.org/spreadsheetml/2006/main" r="F328" s="18" t="str">
        <f>IF(307&gt;MAX('冷凍品'!$AA$5:$AA$322),"",HYPERLINK("#'冷凍品'!D"&amp;(MATCH(307,'冷凍品'!$AA$5:$AA$322,0)+4),INDEX('冷凍品'!$D$5:$D$322,MATCH(307,'冷凍品'!$AA$5:$AA$322,0))))</f>
        <v/>
      </c>
    </row>
    <row r="329">
      <c xmlns="http://schemas.openxmlformats.org/spreadsheetml/2006/main" r="B329" s="18" t="str">
        <f>IF(308&gt;MAX('18℃'!$AA$5:$AA$319),"",HYPERLINK("#'18℃'!D"&amp;(MATCH(308,'18℃'!$AA$5:$AA$319,0)+4),INDEX('18℃'!$D$5:$D$319,MATCH(308,'18℃'!$AA$5:$AA$319,0))))</f>
        <v/>
      </c>
      <c xmlns="http://schemas.openxmlformats.org/spreadsheetml/2006/main" r="C329" s="18" t="str">
        <f>IF(308&gt;MAX('4℃飯'!$AA$5:$AA$319),"",HYPERLINK("#'4℃飯'!D"&amp;(MATCH(308,'4℃飯'!$AA$5:$AA$319,0)+4),INDEX('4℃飯'!$D$5:$D$319,MATCH(308,'4℃飯'!$AA$5:$AA$319,0))))</f>
        <v/>
      </c>
      <c xmlns="http://schemas.openxmlformats.org/spreadsheetml/2006/main" r="E329" s="18" t="str">
        <f>IF(308&gt;MAX('4℃其他'!$AA$5:$AA$322),"",HYPERLINK("#'4℃其他'!D"&amp;(MATCH(308,'4℃其他'!$AA$5:$AA$322,0)+4),INDEX('4℃其他'!$D$5:$D$322,MATCH(308,'4℃其他'!$AA$5:$AA$322,0))))</f>
        <v/>
      </c>
      <c xmlns="http://schemas.openxmlformats.org/spreadsheetml/2006/main" r="F329" s="18" t="str">
        <f>IF(308&gt;MAX('冷凍品'!$AA$5:$AA$322),"",HYPERLINK("#'冷凍品'!D"&amp;(MATCH(308,'冷凍品'!$AA$5:$AA$322,0)+4),INDEX('冷凍品'!$D$5:$D$322,MATCH(308,'冷凍品'!$AA$5:$AA$322,0))))</f>
        <v/>
      </c>
    </row>
    <row r="330">
      <c xmlns="http://schemas.openxmlformats.org/spreadsheetml/2006/main" r="B330" s="18" t="str">
        <f>IF(309&gt;MAX('18℃'!$AA$5:$AA$319),"",HYPERLINK("#'18℃'!D"&amp;(MATCH(309,'18℃'!$AA$5:$AA$319,0)+4),INDEX('18℃'!$D$5:$D$319,MATCH(309,'18℃'!$AA$5:$AA$319,0))))</f>
        <v/>
      </c>
      <c xmlns="http://schemas.openxmlformats.org/spreadsheetml/2006/main" r="C330" s="18" t="str">
        <f>IF(309&gt;MAX('4℃飯'!$AA$5:$AA$319),"",HYPERLINK("#'4℃飯'!D"&amp;(MATCH(309,'4℃飯'!$AA$5:$AA$319,0)+4),INDEX('4℃飯'!$D$5:$D$319,MATCH(309,'4℃飯'!$AA$5:$AA$319,0))))</f>
        <v/>
      </c>
      <c xmlns="http://schemas.openxmlformats.org/spreadsheetml/2006/main" r="E330" s="18" t="str">
        <f>IF(309&gt;MAX('4℃其他'!$AA$5:$AA$322),"",HYPERLINK("#'4℃其他'!D"&amp;(MATCH(309,'4℃其他'!$AA$5:$AA$322,0)+4),INDEX('4℃其他'!$D$5:$D$322,MATCH(309,'4℃其他'!$AA$5:$AA$322,0))))</f>
        <v/>
      </c>
      <c xmlns="http://schemas.openxmlformats.org/spreadsheetml/2006/main" r="F330" s="18" t="str">
        <f>IF(309&gt;MAX('冷凍品'!$AA$5:$AA$322),"",HYPERLINK("#'冷凍品'!D"&amp;(MATCH(309,'冷凍品'!$AA$5:$AA$322,0)+4),INDEX('冷凍品'!$D$5:$D$322,MATCH(309,'冷凍品'!$AA$5:$AA$322,0))))</f>
        <v/>
      </c>
    </row>
    <row r="331">
      <c xmlns="http://schemas.openxmlformats.org/spreadsheetml/2006/main" r="B331" s="18" t="str">
        <f>IF(310&gt;MAX('18℃'!$AA$5:$AA$319),"",HYPERLINK("#'18℃'!D"&amp;(MATCH(310,'18℃'!$AA$5:$AA$319,0)+4),INDEX('18℃'!$D$5:$D$319,MATCH(310,'18℃'!$AA$5:$AA$319,0))))</f>
        <v/>
      </c>
      <c xmlns="http://schemas.openxmlformats.org/spreadsheetml/2006/main" r="C331" s="18" t="str">
        <f>IF(310&gt;MAX('4℃飯'!$AA$5:$AA$319),"",HYPERLINK("#'4℃飯'!D"&amp;(MATCH(310,'4℃飯'!$AA$5:$AA$319,0)+4),INDEX('4℃飯'!$D$5:$D$319,MATCH(310,'4℃飯'!$AA$5:$AA$319,0))))</f>
        <v/>
      </c>
      <c xmlns="http://schemas.openxmlformats.org/spreadsheetml/2006/main" r="E331" s="18" t="str">
        <f>IF(310&gt;MAX('4℃其他'!$AA$5:$AA$322),"",HYPERLINK("#'4℃其他'!D"&amp;(MATCH(310,'4℃其他'!$AA$5:$AA$322,0)+4),INDEX('4℃其他'!$D$5:$D$322,MATCH(310,'4℃其他'!$AA$5:$AA$322,0))))</f>
        <v/>
      </c>
      <c xmlns="http://schemas.openxmlformats.org/spreadsheetml/2006/main" r="F331" s="18" t="str">
        <f>IF(310&gt;MAX('冷凍品'!$AA$5:$AA$322),"",HYPERLINK("#'冷凍品'!D"&amp;(MATCH(310,'冷凍品'!$AA$5:$AA$322,0)+4),INDEX('冷凍品'!$D$5:$D$322,MATCH(310,'冷凍品'!$AA$5:$AA$322,0))))</f>
        <v/>
      </c>
    </row>
    <row r="332">
      <c xmlns="http://schemas.openxmlformats.org/spreadsheetml/2006/main" r="B332" s="18" t="str">
        <f>IF(311&gt;MAX('18℃'!$AA$5:$AA$319),"",HYPERLINK("#'18℃'!D"&amp;(MATCH(311,'18℃'!$AA$5:$AA$319,0)+4),INDEX('18℃'!$D$5:$D$319,MATCH(311,'18℃'!$AA$5:$AA$319,0))))</f>
        <v/>
      </c>
      <c xmlns="http://schemas.openxmlformats.org/spreadsheetml/2006/main" r="C332" s="18" t="str">
        <f>IF(311&gt;MAX('4℃飯'!$AA$5:$AA$319),"",HYPERLINK("#'4℃飯'!D"&amp;(MATCH(311,'4℃飯'!$AA$5:$AA$319,0)+4),INDEX('4℃飯'!$D$5:$D$319,MATCH(311,'4℃飯'!$AA$5:$AA$319,0))))</f>
        <v/>
      </c>
      <c xmlns="http://schemas.openxmlformats.org/spreadsheetml/2006/main" r="E332" s="18" t="str">
        <f>IF(311&gt;MAX('4℃其他'!$AA$5:$AA$322),"",HYPERLINK("#'4℃其他'!D"&amp;(MATCH(311,'4℃其他'!$AA$5:$AA$322,0)+4),INDEX('4℃其他'!$D$5:$D$322,MATCH(311,'4℃其他'!$AA$5:$AA$322,0))))</f>
        <v/>
      </c>
      <c xmlns="http://schemas.openxmlformats.org/spreadsheetml/2006/main" r="F332" s="18" t="str">
        <f>IF(311&gt;MAX('冷凍品'!$AA$5:$AA$322),"",HYPERLINK("#'冷凍品'!D"&amp;(MATCH(311,'冷凍品'!$AA$5:$AA$322,0)+4),INDEX('冷凍品'!$D$5:$D$322,MATCH(311,'冷凍品'!$AA$5:$AA$322,0))))</f>
        <v/>
      </c>
    </row>
    <row r="333">
      <c xmlns="http://schemas.openxmlformats.org/spreadsheetml/2006/main" r="B333" s="18" t="str">
        <f>IF(312&gt;MAX('18℃'!$AA$5:$AA$319),"",HYPERLINK("#'18℃'!D"&amp;(MATCH(312,'18℃'!$AA$5:$AA$319,0)+4),INDEX('18℃'!$D$5:$D$319,MATCH(312,'18℃'!$AA$5:$AA$319,0))))</f>
        <v/>
      </c>
      <c xmlns="http://schemas.openxmlformats.org/spreadsheetml/2006/main" r="C333" s="18" t="str">
        <f>IF(312&gt;MAX('4℃飯'!$AA$5:$AA$319),"",HYPERLINK("#'4℃飯'!D"&amp;(MATCH(312,'4℃飯'!$AA$5:$AA$319,0)+4),INDEX('4℃飯'!$D$5:$D$319,MATCH(312,'4℃飯'!$AA$5:$AA$319,0))))</f>
        <v/>
      </c>
      <c xmlns="http://schemas.openxmlformats.org/spreadsheetml/2006/main" r="E333" s="18" t="str">
        <f>IF(312&gt;MAX('4℃其他'!$AA$5:$AA$322),"",HYPERLINK("#'4℃其他'!D"&amp;(MATCH(312,'4℃其他'!$AA$5:$AA$322,0)+4),INDEX('4℃其他'!$D$5:$D$322,MATCH(312,'4℃其他'!$AA$5:$AA$322,0))))</f>
        <v/>
      </c>
      <c xmlns="http://schemas.openxmlformats.org/spreadsheetml/2006/main" r="F333" s="18" t="str">
        <f>IF(312&gt;MAX('冷凍品'!$AA$5:$AA$322),"",HYPERLINK("#'冷凍品'!D"&amp;(MATCH(312,'冷凍品'!$AA$5:$AA$322,0)+4),INDEX('冷凍品'!$D$5:$D$322,MATCH(312,'冷凍品'!$AA$5:$AA$322,0))))</f>
        <v/>
      </c>
    </row>
    <row r="334">
      <c xmlns="http://schemas.openxmlformats.org/spreadsheetml/2006/main" r="B334" s="18" t="str">
        <f>IF(313&gt;MAX('18℃'!$AA$5:$AA$319),"",HYPERLINK("#'18℃'!D"&amp;(MATCH(313,'18℃'!$AA$5:$AA$319,0)+4),INDEX('18℃'!$D$5:$D$319,MATCH(313,'18℃'!$AA$5:$AA$319,0))))</f>
        <v/>
      </c>
      <c xmlns="http://schemas.openxmlformats.org/spreadsheetml/2006/main" r="C334" s="18" t="str">
        <f>IF(313&gt;MAX('4℃飯'!$AA$5:$AA$319),"",HYPERLINK("#'4℃飯'!D"&amp;(MATCH(313,'4℃飯'!$AA$5:$AA$319,0)+4),INDEX('4℃飯'!$D$5:$D$319,MATCH(313,'4℃飯'!$AA$5:$AA$319,0))))</f>
        <v/>
      </c>
      <c xmlns="http://schemas.openxmlformats.org/spreadsheetml/2006/main" r="E334" s="18" t="str">
        <f>IF(313&gt;MAX('4℃其他'!$AA$5:$AA$322),"",HYPERLINK("#'4℃其他'!D"&amp;(MATCH(313,'4℃其他'!$AA$5:$AA$322,0)+4),INDEX('4℃其他'!$D$5:$D$322,MATCH(313,'4℃其他'!$AA$5:$AA$322,0))))</f>
        <v/>
      </c>
      <c xmlns="http://schemas.openxmlformats.org/spreadsheetml/2006/main" r="F334" s="18" t="str">
        <f>IF(313&gt;MAX('冷凍品'!$AA$5:$AA$322),"",HYPERLINK("#'冷凍品'!D"&amp;(MATCH(313,'冷凍品'!$AA$5:$AA$322,0)+4),INDEX('冷凍品'!$D$5:$D$322,MATCH(313,'冷凍品'!$AA$5:$AA$322,0))))</f>
        <v/>
      </c>
    </row>
    <row r="335">
      <c xmlns="http://schemas.openxmlformats.org/spreadsheetml/2006/main" r="B335" s="18" t="str">
        <f>IF(314&gt;MAX('18℃'!$AA$5:$AA$319),"",HYPERLINK("#'18℃'!D"&amp;(MATCH(314,'18℃'!$AA$5:$AA$319,0)+4),INDEX('18℃'!$D$5:$D$319,MATCH(314,'18℃'!$AA$5:$AA$319,0))))</f>
        <v/>
      </c>
      <c xmlns="http://schemas.openxmlformats.org/spreadsheetml/2006/main" r="C335" s="18" t="str">
        <f>IF(314&gt;MAX('4℃飯'!$AA$5:$AA$319),"",HYPERLINK("#'4℃飯'!D"&amp;(MATCH(314,'4℃飯'!$AA$5:$AA$319,0)+4),INDEX('4℃飯'!$D$5:$D$319,MATCH(314,'4℃飯'!$AA$5:$AA$319,0))))</f>
        <v/>
      </c>
      <c xmlns="http://schemas.openxmlformats.org/spreadsheetml/2006/main" r="E335" s="18" t="str">
        <f>IF(314&gt;MAX('4℃其他'!$AA$5:$AA$322),"",HYPERLINK("#'4℃其他'!D"&amp;(MATCH(314,'4℃其他'!$AA$5:$AA$322,0)+4),INDEX('4℃其他'!$D$5:$D$322,MATCH(314,'4℃其他'!$AA$5:$AA$322,0))))</f>
        <v/>
      </c>
      <c xmlns="http://schemas.openxmlformats.org/spreadsheetml/2006/main" r="F335" s="18" t="str">
        <f>IF(314&gt;MAX('冷凍品'!$AA$5:$AA$322),"",HYPERLINK("#'冷凍品'!D"&amp;(MATCH(314,'冷凍品'!$AA$5:$AA$322,0)+4),INDEX('冷凍品'!$D$5:$D$322,MATCH(314,'冷凍品'!$AA$5:$AA$322,0))))</f>
        <v/>
      </c>
    </row>
    <row r="336">
      <c xmlns="http://schemas.openxmlformats.org/spreadsheetml/2006/main" r="B336" s="18" t="str">
        <f>IF(315&gt;MAX('18℃'!$AA$5:$AA$319),"",HYPERLINK("#'18℃'!D"&amp;(MATCH(315,'18℃'!$AA$5:$AA$319,0)+4),INDEX('18℃'!$D$5:$D$319,MATCH(315,'18℃'!$AA$5:$AA$319,0))))</f>
        <v/>
      </c>
      <c xmlns="http://schemas.openxmlformats.org/spreadsheetml/2006/main" r="C336" s="18" t="str">
        <f>IF(315&gt;MAX('4℃飯'!$AA$5:$AA$319),"",HYPERLINK("#'4℃飯'!D"&amp;(MATCH(315,'4℃飯'!$AA$5:$AA$319,0)+4),INDEX('4℃飯'!$D$5:$D$319,MATCH(315,'4℃飯'!$AA$5:$AA$319,0))))</f>
        <v/>
      </c>
      <c xmlns="http://schemas.openxmlformats.org/spreadsheetml/2006/main" r="E336" s="18" t="str">
        <f>IF(315&gt;MAX('4℃其他'!$AA$5:$AA$322),"",HYPERLINK("#'4℃其他'!D"&amp;(MATCH(315,'4℃其他'!$AA$5:$AA$322,0)+4),INDEX('4℃其他'!$D$5:$D$322,MATCH(315,'4℃其他'!$AA$5:$AA$322,0))))</f>
        <v/>
      </c>
      <c xmlns="http://schemas.openxmlformats.org/spreadsheetml/2006/main" r="F336" s="18" t="str">
        <f>IF(315&gt;MAX('冷凍品'!$AA$5:$AA$322),"",HYPERLINK("#'冷凍品'!D"&amp;(MATCH(315,'冷凍品'!$AA$5:$AA$322,0)+4),INDEX('冷凍品'!$D$5:$D$322,MATCH(315,'冷凍品'!$AA$5:$AA$322,0))))</f>
        <v/>
      </c>
    </row>
    <row r="337">
      <c xmlns="http://schemas.openxmlformats.org/spreadsheetml/2006/main" r="E337" s="18" t="str">
        <f>IF(316&gt;MAX('4℃其他'!$AA$5:$AA$322),"",HYPERLINK("#'4℃其他'!D"&amp;(MATCH(316,'4℃其他'!$AA$5:$AA$322,0)+4),INDEX('4℃其他'!$D$5:$D$322,MATCH(316,'4℃其他'!$AA$5:$AA$322,0))))</f>
        <v/>
      </c>
      <c xmlns="http://schemas.openxmlformats.org/spreadsheetml/2006/main" r="F337" s="18" t="str">
        <f>IF(316&gt;MAX('冷凍品'!$AA$5:$AA$322),"",HYPERLINK("#'冷凍品'!D"&amp;(MATCH(316,'冷凍品'!$AA$5:$AA$322,0)+4),INDEX('冷凍品'!$D$5:$D$322,MATCH(316,'冷凍品'!$AA$5:$AA$322,0))))</f>
        <v/>
      </c>
    </row>
    <row r="338">
      <c xmlns="http://schemas.openxmlformats.org/spreadsheetml/2006/main" r="E338" s="18" t="str">
        <f>IF(317&gt;MAX('4℃其他'!$AA$5:$AA$322),"",HYPERLINK("#'4℃其他'!D"&amp;(MATCH(317,'4℃其他'!$AA$5:$AA$322,0)+4),INDEX('4℃其他'!$D$5:$D$322,MATCH(317,'4℃其他'!$AA$5:$AA$322,0))))</f>
        <v/>
      </c>
      <c xmlns="http://schemas.openxmlformats.org/spreadsheetml/2006/main" r="F338" s="18" t="str">
        <f>IF(317&gt;MAX('冷凍品'!$AA$5:$AA$322),"",HYPERLINK("#'冷凍品'!D"&amp;(MATCH(317,'冷凍品'!$AA$5:$AA$322,0)+4),INDEX('冷凍品'!$D$5:$D$322,MATCH(317,'冷凍品'!$AA$5:$AA$322,0))))</f>
        <v/>
      </c>
    </row>
    <row r="339">
      <c xmlns="http://schemas.openxmlformats.org/spreadsheetml/2006/main" r="E339" s="18" t="str">
        <f>IF(318&gt;MAX('4℃其他'!$AA$5:$AA$322),"",HYPERLINK("#'4℃其他'!D"&amp;(MATCH(318,'4℃其他'!$AA$5:$AA$322,0)+4),INDEX('4℃其他'!$D$5:$D$322,MATCH(318,'4℃其他'!$AA$5:$AA$322,0))))</f>
        <v/>
      </c>
      <c xmlns="http://schemas.openxmlformats.org/spreadsheetml/2006/main" r="F339" s="18" t="str">
        <f>IF(318&gt;MAX('冷凍品'!$AA$5:$AA$322),"",HYPERLINK("#'冷凍品'!D"&amp;(MATCH(318,'冷凍品'!$AA$5:$AA$322,0)+4),INDEX('冷凍品'!$D$5:$D$322,MATCH(318,'冷凍品'!$AA$5:$AA$322,0))))</f>
        <v/>
      </c>
    </row>
  </sheetData>
  <mergeCells count="1">
    <mergeCell ref="B1:F1"/>
  </mergeCells>
  <phoneticPr fontId="27" type="noConversion"/>
  <dataValidations count="1">
    <dataValidation type="list" allowBlank="1" sqref="C4">
      <formula1>"大溪,新豐,長家,晉欣"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zoomScaleNormal="100" workbookViewId="0">
      <selection activeCell="F20" sqref="F20"/>
    </sheetView>
  </sheetViews>
  <sheetFormatPr defaultColWidth="8.7265625" defaultRowHeight="14.5"/>
  <cols>
    <col min="1" max="1" width="3" customWidth="1"/>
    <col min="2" max="2" width="24" customWidth="1"/>
    <col min="3" max="3" width="95" customWidth="1"/>
  </cols>
  <sheetData>
    <row r="2" spans="2:3" ht="20.5">
      <c r="B2" s="42" t="s">
        <v>27</v>
      </c>
      <c r="C2" s="43"/>
    </row>
    <row r="3" spans="2:3">
      <c r="B3" s="43"/>
      <c r="C3" s="43"/>
    </row>
    <row r="4" spans="2:3" ht="30" customHeight="1">
      <c r="B4" s="44" t="s">
        <v>28</v>
      </c>
      <c r="C4" s="45" t="s">
        <v>29</v>
      </c>
    </row>
    <row r="5" spans="2:3" ht="18" customHeight="1">
      <c r="B5" s="44"/>
      <c r="C5" s="45"/>
    </row>
    <row r="6" spans="2:3" ht="30" customHeight="1">
      <c r="B6" s="44" t="s">
        <v>30</v>
      </c>
      <c xmlns="http://schemas.openxmlformats.org/spreadsheetml/2006/main" r="C6" s="45" t="inlineStr">
        <is>
          <t>「總覽」可點商品名稱跳至明細；五個溫層分頁填寫半成品與設備。「設備應用統計」自動彙總，僅藍字門檻可調整。</t>
        </is>
      </c>
    </row>
    <row r="7" spans="2:3" ht="30" customHeight="1">
      <c r="B7" s="44" t="s">
        <v>31</v>
      </c>
      <c r="C7" s="45" t="s">
        <v>109</v>
      </c>
    </row>
    <row r="8" spans="2:3" ht="18" customHeight="1">
      <c r="B8" s="44"/>
      <c r="C8" s="45"/>
    </row>
    <row r="9" spans="2:3" ht="18" customHeight="1">
      <c r="B9" s="44" t="s">
        <v>110</v>
      </c>
      <c r="C9" s="45" t="s">
        <v>107</v>
      </c>
    </row>
    <row r="10" spans="2:3" ht="30" customHeight="1">
      <c r="B10" s="44" t="s">
        <v>111</v>
      </c>
      <c r="C10" s="45" t="s">
        <v>112</v>
      </c>
    </row>
    <row r="11" spans="2:3" ht="30" customHeight="1">
      <c r="B11" s="44" t="s">
        <v>113</v>
      </c>
      <c xmlns="http://schemas.openxmlformats.org/spreadsheetml/2006/main" r="C11" s="45" t="inlineStr">
        <is>
          <t>有使用調理設備時，在該設備欄下拉選「V」。完全不經調理時，僅於「無使用調理設備」選「V」，不可同時勾選。</t>
        </is>
      </c>
    </row>
    <row r="12" spans="2:3" ht="30" customHeight="1">
      <c r="B12" s="44" t="s">
        <v>115</v>
      </c>
      <c r="C12" s="45" t="s">
        <v>116</v>
      </c>
    </row>
    <row r="13" spans="2:3" ht="30" customHeight="1">
      <c r="B13" s="44" t="s">
        <v>117</v>
      </c>
      <c xmlns="http://schemas.openxmlformats.org/spreadsheetml/2006/main" r="C13" s="45" t="inlineStr">
        <is>
          <t>每列須填「建檔人員」，作為資料追溯窗口。「備註」請註記指示書編號與版本日期，依各分頁欄名填寫。</t>
        </is>
      </c>
    </row>
    <row r="14" spans="2:3" ht="18" customHeight="1">
      <c r="B14" s="44" t="s">
        <v>119</v>
      </c>
      <c xmlns="http://schemas.openxmlformats.org/spreadsheetml/2006/main" r="C14" s="45" t="inlineStr">
        <is>
          <t>最右側「系統用」隱藏欄自動計算商品目錄與品項數，請勿貼上數值或手動修改。</t>
        </is>
      </c>
    </row>
    <row r="15" spans="2:3" ht="18" customHeight="1">
      <c r="B15" s="44"/>
      <c r="C15" s="45"/>
    </row>
    <row r="16" spans="2:3" ht="18" customHeight="1">
      <c r="B16" s="44" t="s">
        <v>32</v>
      </c>
      <c r="C16" s="45" t="s">
        <v>121</v>
      </c>
    </row>
    <row r="17" spans="2:3" ht="30" customHeight="1">
      <c r="B17" s="44" t="s">
        <v>33</v>
      </c>
      <c r="C17" s="45" t="s">
        <v>122</v>
      </c>
    </row>
    <row r="18" spans="2:3" ht="18" customHeight="1">
      <c r="B18" s="44" t="s">
        <v>34</v>
      </c>
      <c r="C18" s="45" t="s">
        <v>35</v>
      </c>
    </row>
    <row r="19" spans="2:3" ht="18" customHeight="1">
      <c r="B19" s="44" t="s">
        <v>36</v>
      </c>
      <c r="C19" s="45" t="s">
        <v>123</v>
      </c>
    </row>
    <row r="20" spans="2:3" ht="18" customHeight="1">
      <c r="B20" s="44" t="s">
        <v>37</v>
      </c>
      <c r="C20" s="45" t="s">
        <v>38</v>
      </c>
    </row>
    <row r="21" spans="2:3" ht="30" customHeight="1">
      <c r="B21" s="44" t="s">
        <v>39</v>
      </c>
      <c r="C21" s="45" t="s">
        <v>124</v>
      </c>
    </row>
    <row r="22" spans="2:3" ht="18" customHeight="1">
      <c r="B22" s="44"/>
      <c r="C22" s="45"/>
    </row>
    <row r="23" spans="2:3" ht="30" customHeight="1">
      <c r="B23" s="44" t="s">
        <v>40</v>
      </c>
      <c r="C23" s="45" t="s">
        <v>41</v>
      </c>
    </row>
    <row r="25" ht="32" customHeight="1">
      <c xmlns="http://schemas.openxmlformats.org/spreadsheetml/2006/main" r="B25" s="75" t="inlineStr">
        <is>
          <t>自動資料檢查</t>
        </is>
      </c>
      <c xmlns="http://schemas.openxmlformats.org/spreadsheetml/2006/main" r="C25" s="76" t="inlineStr">
        <is>
          <t>以下以已填商品或半成品的資料列檢查。數量按明細列計，同一商品可有多列。</t>
        </is>
      </c>
    </row>
    <row r="26" ht="32" customHeight="1">
      <c xmlns="http://schemas.openxmlformats.org/spreadsheetml/2006/main" r="B26" s="77" t="inlineStr">
        <is>
          <t>狀態未填（列）</t>
        </is>
      </c>
      <c xmlns="http://schemas.openxmlformats.org/spreadsheetml/2006/main" r="C26" s="74">
        <f>SUM(COUNTIFS('18℃'!$D$5:$D$319,"&lt;&gt;",'18℃'!$A$5:$A$319,""),COUNTIFS('4℃飯'!$D$5:$D$319,"&lt;&gt;",'4℃飯'!$A$5:$A$319,""),COUNTIFS('4℃麵'!$D$5:$D$310,"&lt;&gt;",'4℃麵'!$A$5:$A$310,""),COUNTIFS('4℃其他'!$D$5:$D$322,"&lt;&gt;",'4℃其他'!$A$5:$A$322,""),COUNTIFS('冷凍品'!$D$5:$D$322,"&lt;&gt;",'冷凍品'!$B$5:$B$322,""))</f>
        <v>0.0</v>
      </c>
    </row>
    <row r="27" ht="32" customHeight="1">
      <c xmlns="http://schemas.openxmlformats.org/spreadsheetml/2006/main" r="B27" s="77" t="inlineStr">
        <is>
          <t>半成品名稱未填（列）</t>
        </is>
      </c>
      <c xmlns="http://schemas.openxmlformats.org/spreadsheetml/2006/main" r="C27" s="74">
        <f>SUM(COUNTIFS('18℃'!$D$5:$D$319,"&lt;&gt;",'18℃'!$E$5:$E$319,""),COUNTIFS('4℃飯'!$D$5:$D$319,"&lt;&gt;",'4℃飯'!$E$5:$E$319,""),COUNTIFS('4℃麵'!$D$5:$D$310,"&lt;&gt;",'4℃麵'!$E$5:$E$310,""),COUNTIFS('4℃其他'!$D$5:$D$322,"&lt;&gt;",'4℃其他'!$E$5:$E$322,""),COUNTIFS('冷凍品'!$D$5:$D$322,"&lt;&gt;",'冷凍品'!$E$5:$E$322,""))</f>
        <v>0.0</v>
      </c>
    </row>
    <row r="28" ht="32" customHeight="1">
      <c xmlns="http://schemas.openxmlformats.org/spreadsheetml/2006/main" r="B28" s="77" t="inlineStr">
        <is>
          <t>設備未勾選（列）</t>
        </is>
      </c>
      <c xmlns="http://schemas.openxmlformats.org/spreadsheetml/2006/main" r="C28" s="74">
        <f>SUM(COUNTIF('18℃'!$V$5:$V$319,"⚠ 資料缺漏"),COUNTIF('4℃飯'!$V$5:$V$319,"⚠ 資料缺漏"),COUNTIF('4℃麵'!$V$5:$V$310,"⚠ 資料缺漏"),COUNTIF('4℃其他'!$V$5:$V$322,"⚠ 資料缺漏"),COUNTIF('冷凍品'!$V$5:$V$322,"⚠ 資料缺漏"))</f>
        <v>0.0</v>
      </c>
    </row>
    <row r="29" ht="32" customHeight="1">
      <c xmlns="http://schemas.openxmlformats.org/spreadsheetml/2006/main" r="B29" s="77" t="inlineStr">
        <is>
          <t>設備勾選矛盾（列）</t>
        </is>
      </c>
      <c xmlns="http://schemas.openxmlformats.org/spreadsheetml/2006/main" r="C29" s="74">
        <f>SUM(COUNTIF('18℃'!$V$5:$V$319,"⚠ 勾選矛盾"),COUNTIF('4℃飯'!$V$5:$V$319,"⚠ 勾選矛盾"),COUNTIF('4℃麵'!$V$5:$V$310,"⚠ 勾選矛盾"),COUNTIF('4℃其他'!$V$5:$V$322,"⚠ 勾選矛盾"),COUNTIF('冷凍品'!$V$5:$V$322,"⚠ 勾選矛盾"))</f>
        <v>0.0</v>
      </c>
    </row>
    <row r="30" ht="32" customHeight="1">
      <c xmlns="http://schemas.openxmlformats.org/spreadsheetml/2006/main" r="B30" s="77" t="inlineStr">
        <is>
          <t>建檔人員未填（列）</t>
        </is>
      </c>
      <c xmlns="http://schemas.openxmlformats.org/spreadsheetml/2006/main" r="C30" s="74">
        <f>SUM(COUNTIFS('18℃'!$E$5:$E$319,"&lt;&gt;",'18℃'!$Y$5:$Y$319,""),COUNTIFS('4℃飯'!$E$5:$E$319,"&lt;&gt;",'4℃飯'!$Y$5:$Y$319,""),COUNTIFS('4℃麵'!$E$5:$E$310,"&lt;&gt;",'4℃麵'!$Y$5:$Y$310,""),COUNTIFS('4℃其他'!$E$5:$E$322,"&lt;&gt;",'4℃其他'!$Y$5:$Y$322,""),COUNTIFS('冷凍品'!$E$5:$E$322,"&lt;&gt;",'冷凍品'!$Y$5:$Y$322,""))</f>
        <v>299.0</v>
      </c>
    </row>
    <row r="31" ht="32" customHeight="1">
      <c xmlns="http://schemas.openxmlformats.org/spreadsheetml/2006/main" r="B31" s="77" t="inlineStr">
        <is>
          <t>工廠不符或未填（列）</t>
        </is>
      </c>
      <c xmlns="http://schemas.openxmlformats.org/spreadsheetml/2006/main" r="C31" s="74">
        <f>SUM(COUNTIFS('18℃'!$E$5:$E$319,"&lt;&gt;",'18℃'!$B$5:$B$319,"&lt;&gt;大溪"),COUNTIFS('4℃飯'!$E$5:$E$319,"&lt;&gt;",'4℃飯'!$B$5:$B$319,"&lt;&gt;大溪"),COUNTIFS('4℃麵'!$E$5:$E$310,"&lt;&gt;",'4℃麵'!$B$5:$B$310,"&lt;&gt;大溪"),COUNTIFS('4℃其他'!$E$5:$E$322,"&lt;&gt;",'4℃其他'!$B$5:$B$322,"&lt;&gt;大溪"),COUNTIFS('冷凍品'!$E$5:$E$322,"&lt;&gt;",'冷凍品'!$A$5:$A$322,"&lt;&gt;大溪"))</f>
        <v>0.0</v>
      </c>
    </row>
    <row r="32" ht="32" customHeight="1">
      <c xmlns="http://schemas.openxmlformats.org/spreadsheetml/2006/main" r="B32" s="77" t="inlineStr">
        <is>
          <t>用量有值但單位未填（列）</t>
        </is>
      </c>
      <c xmlns="http://schemas.openxmlformats.org/spreadsheetml/2006/main" r="C32" s="74">
        <f>SUM(COUNTIFS('18℃'!$E$5:$E$319,"&lt;&gt;",'18℃'!$F$5:$F$319,"&lt;&gt;",'18℃'!$G$5:$G$319,""),COUNTIFS('4℃飯'!$E$5:$E$319,"&lt;&gt;",'4℃飯'!$F$5:$F$319,"&lt;&gt;",'4℃飯'!$G$5:$G$319,""),COUNTIFS('4℃麵'!$E$5:$E$310,"&lt;&gt;",'4℃麵'!$F$5:$F$310,"&lt;&gt;",'4℃麵'!$G$5:$G$310,""),COUNTIFS('4℃其他'!$E$5:$E$322,"&lt;&gt;",'4℃其他'!$F$5:$F$322,"&lt;&gt;",'4℃其他'!$G$5:$G$322,""),COUNTIFS('冷凍品'!$E$5:$E$322,"&lt;&gt;",'冷凍品'!$F$5:$F$322,"&lt;&gt;",'冷凍品'!$G$5:$G$322,""))</f>
        <v>0.0</v>
      </c>
    </row>
    <row r="34" ht="32" customHeight="1">
      <c xmlns="http://schemas.openxmlformats.org/spreadsheetml/2006/main" r="B34" s="77" t="inlineStr">
        <is>
          <t>狀態判定基準</t>
        </is>
      </c>
      <c xmlns="http://schemas.openxmlformats.org/spreadsheetml/2006/main" r="C34" s="78" t="inlineStr">
        <is>
          <t>本次已確認狀態依2026/10/14訂單與逐項確認結果。未上市商品保留待上架。後續更新需先確認訂單日期。</t>
        </is>
      </c>
    </row>
    <row r="35" ht="32" customHeight="1">
      <c xmlns="http://schemas.openxmlformats.org/spreadsheetml/2006/main" r="B35" s="77" t="inlineStr">
        <is>
          <t>篩選與色彩</t>
        </is>
      </c>
      <c xmlns="http://schemas.openxmlformats.org/spreadsheetml/2006/main" r="C35" s="78" t="inlineStr">
        <is>
          <t>狀態欄可篩選架上、下架、待上架。橘色表示狀態漏填或同商品不一致；淡黃表示建檔人員或單位待補。</t>
        </is>
      </c>
    </row>
    <row r="36" ht="32" customHeight="1">
      <c xmlns="http://schemas.openxmlformats.org/spreadsheetml/2006/main" r="B36" s="77" t="inlineStr">
        <is>
          <t>批次更新同一商品</t>
        </is>
      </c>
      <c xmlns="http://schemas.openxmlformats.org/spreadsheetml/2006/main" r="C36" s="78" t="inlineStr">
        <is>
          <t>先用商品名稱篩選，選取該商品可見的狀態儲存格，按 Alt+; 僅選可見儲存格，輸入狀態後按 Ctrl+Enter。</t>
        </is>
      </c>
    </row>
    <row r="37" ht="32" customHeight="1">
      <c xmlns="http://schemas.openxmlformats.org/spreadsheetml/2006/main" r="B37" s="77" t="inlineStr">
        <is>
          <t>新增商品或半成品</t>
        </is>
      </c>
      <c xmlns="http://schemas.openxmlformats.org/spreadsheetml/2006/main" r="C37" s="78" t="inlineStr">
        <is>
          <t>請在現有表格範圍內插入整列，再複製相鄰整列的格式、公式與選單，清除輸入資料後填寫新內容。</t>
        </is>
      </c>
    </row>
    <row r="38" ht="32" customHeight="1">
      <c xmlns="http://schemas.openxmlformats.org/spreadsheetml/2006/main" r="B38" s="77" t="inlineStr">
        <is>
          <t>保留未確認內容</t>
        </is>
      </c>
      <c xmlns="http://schemas.openxmlformats.org/spreadsheetml/2006/main" r="C38" s="78" t="inlineStr">
        <is>
          <t>未有依據的建檔人員、用量與單位不代填。未設狀態欄的分頁不納入狀態漏填檢查，既有「-」保留待確認。</t>
        </is>
      </c>
    </row>
  </sheetData>
  <phoneticPr fontId="27" type="noConversion"/>
  <conditionalFormatting xmlns="http://schemas.openxmlformats.org/spreadsheetml/2006/main" sqref="C26:C32">
    <cfRule type="cellIs" dxfId="108" priority="1" operator="greaterThan" stopIfTrue="1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7B4"/>
  </sheetPr>
  <dimension ref="A1:AA319"/>
  <sheetViews xmlns="http://schemas.openxmlformats.org/spreadsheetml/2006/main">
    <sheetView showGridLines="0" zoomScale="85" zoomScaleNormal="85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2" max="2" width="9" customWidth="1"/>
    <col min="3" max="3" width="12" customWidth="1"/>
    <col min="4" max="4" width="30.81640625" bestFit="1" customWidth="1"/>
    <col min="5" max="5" width="26" customWidth="1"/>
    <col min="6" max="7" width="8" customWidth="1"/>
    <col min="8" max="8" width="10.1796875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2.54296875" customWidth="1" hidden="1"/>
    <col min="27" max="27" width="2.90625" customWidth="1" hidden="1"/>
  </cols>
  <sheetData>
    <row r="1" spans="1:27" ht="30" customHeight="1">
      <c r="A1" s="67" t="s">
        <v>42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7" ht="19.5" customHeight="1">
      <c r="A2" s="68" t="s">
        <v>43</v>
      </c>
      <c r="B2" s="68"/>
      <c r="C2" s="68"/>
      <c r="D2" s="68"/>
      <c r="E2" s="68"/>
      <c r="F2" s="68"/>
      <c r="G2" s="68"/>
      <c r="H2" s="69"/>
      <c r="I2" s="66" t="s">
        <v>44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45</v>
      </c>
      <c r="V2" s="66"/>
      <c r="W2" s="66"/>
      <c r="X2" s="66" t="s">
        <v>46</v>
      </c>
      <c r="Y2" s="66"/>
    </row>
    <row r="3" spans="1:27" ht="24" customHeight="1">
      <c r="A3" s="64" t="s">
        <v>743</v>
      </c>
      <c r="B3" s="61" t="s">
        <v>47</v>
      </c>
      <c r="C3" s="61" t="s">
        <v>48</v>
      </c>
      <c r="D3" s="61" t="s">
        <v>49</v>
      </c>
      <c r="E3" s="61" t="s">
        <v>50</v>
      </c>
      <c r="F3" s="70" t="s">
        <v>51</v>
      </c>
      <c r="G3" s="70"/>
      <c r="H3" s="61" t="s">
        <v>52</v>
      </c>
      <c r="I3" s="62" t="s">
        <v>53</v>
      </c>
      <c r="J3" s="62" t="s">
        <v>54</v>
      </c>
      <c r="K3" s="62" t="s">
        <v>55</v>
      </c>
      <c r="L3" s="62" t="s">
        <v>56</v>
      </c>
      <c r="M3" s="62" t="s">
        <v>57</v>
      </c>
      <c r="N3" s="62" t="s">
        <v>58</v>
      </c>
      <c r="O3" s="62" t="s">
        <v>59</v>
      </c>
      <c r="P3" s="62" t="s">
        <v>60</v>
      </c>
      <c r="Q3" s="62" t="s">
        <v>61</v>
      </c>
      <c r="R3" s="62" t="s">
        <v>62</v>
      </c>
      <c r="S3" s="62" t="s">
        <v>63</v>
      </c>
      <c r="T3" s="63" t="s">
        <v>64</v>
      </c>
      <c r="U3" s="61" t="s">
        <v>65</v>
      </c>
      <c r="V3" s="61" t="s">
        <v>66</v>
      </c>
      <c r="W3" s="61" t="s">
        <v>67</v>
      </c>
      <c r="X3" s="61" t="s">
        <v>68</v>
      </c>
      <c r="Y3" s="61" t="s">
        <v>69</v>
      </c>
      <c r="Z3" s="20" t="s">
        <v>70</v>
      </c>
      <c r="AA3" s="20" t="s">
        <v>71</v>
      </c>
    </row>
    <row r="4" spans="1:27" ht="18" customHeight="1">
      <c r="A4" s="65"/>
      <c r="B4" s="61"/>
      <c r="C4" s="61"/>
      <c r="D4" s="61"/>
      <c r="E4" s="61"/>
      <c r="F4" s="21" t="s">
        <v>72</v>
      </c>
      <c r="G4" s="21" t="s">
        <v>73</v>
      </c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61"/>
      <c r="V4" s="61"/>
      <c r="W4" s="61"/>
      <c r="X4" s="61"/>
      <c r="Y4" s="61"/>
    </row>
    <row r="5" spans="1:27">
      <c r="A5" s="22" t="s">
        <v>744</v>
      </c>
      <c r="B5" s="22" t="s">
        <v>127</v>
      </c>
      <c r="C5" s="22" t="s">
        <v>106</v>
      </c>
      <c r="D5" s="22" t="s">
        <v>649</v>
      </c>
      <c r="E5" s="22" t="s">
        <v>141</v>
      </c>
      <c r="F5" s="23">
        <v>95</v>
      </c>
      <c r="G5" s="23" t="s">
        <v>75</v>
      </c>
      <c r="H5" s="24">
        <v>92.5</v>
      </c>
      <c r="I5" s="25" t="s">
        <v>438</v>
      </c>
      <c r="J5" s="25"/>
      <c r="K5" s="25"/>
      <c r="L5" s="25"/>
      <c r="M5" s="25"/>
      <c r="N5" s="25"/>
      <c r="O5" s="25" t="s">
        <v>438</v>
      </c>
      <c r="P5" s="25"/>
      <c r="Q5" s="25"/>
      <c r="R5" s="25"/>
      <c r="S5" s="25"/>
      <c r="T5" s="26"/>
      <c xmlns="http://schemas.openxmlformats.org/spreadsheetml/2006/main" r="U5" s="23">
        <f t="shared" ref="U5:U79" si="0">IF($E5="","",COUNTIF($I5:$S5,"V"))</f>
        <v>2.0</v>
      </c>
      <c xmlns="http://schemas.openxmlformats.org/spreadsheetml/2006/main" r="V5" s="22" t="str">
        <f>IF($E5="","",IF(AND($T5="V",$U5&gt;0),"⚠ 勾選矛盾",IF($T5="V","○ 免調理",IF($U5=0,"⚠ 資料缺漏",IF($U5=1,"▲ 單一設備依賴","OK")))))</f>
        <v>OK</v>
      </c>
      <c xmlns="http://schemas.openxmlformats.org/spreadsheetml/2006/main" r="W5" s="18" t="str">
        <f t="shared" ref="W5:W79" si="1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無異常</v>
      </c>
      <c r="X5" s="22" t="s">
        <v>401</v>
      </c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744</v>
      </c>
      <c r="B6" s="22" t="s">
        <v>127</v>
      </c>
      <c r="C6" s="22" t="s">
        <v>106</v>
      </c>
      <c r="D6" s="22" t="s">
        <v>649</v>
      </c>
      <c r="E6" s="22" t="s">
        <v>142</v>
      </c>
      <c r="F6" s="23">
        <v>4</v>
      </c>
      <c r="G6" s="23" t="s">
        <v>75</v>
      </c>
      <c r="H6" s="24">
        <v>57.8</v>
      </c>
      <c r="I6" s="25"/>
      <c r="J6" s="25"/>
      <c r="K6" s="25"/>
      <c r="L6" s="25"/>
      <c r="M6" s="25"/>
      <c r="N6" s="25"/>
      <c r="O6" s="25" t="s">
        <v>438</v>
      </c>
      <c r="P6" s="25"/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ref="V6:V79" si="2">IF($E6="","",IF(AND($T6="V",$U6&gt;0),"⚠ 勾選矛盾",IF($T6="V","○ 免調理",IF($U6=0,"⚠ 資料缺漏",IF($U6=1,"▲ 單一設備依賴","OK")))))</f>
        <v>▲ 單一設備依賴</v>
      </c>
      <c xmlns="http://schemas.openxmlformats.org/spreadsheetml/2006/main" r="W6" s="18" t="str">
        <f t="shared" si="1"/>
        <v>僅依賴1台設備，須確認故障/排修時之備援製程</v>
      </c>
      <c r="X6" s="22" t="s">
        <v>401</v>
      </c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744</v>
      </c>
      <c r="B7" s="22" t="s">
        <v>127</v>
      </c>
      <c r="C7" s="22" t="s">
        <v>106</v>
      </c>
      <c r="D7" s="22" t="s">
        <v>649</v>
      </c>
      <c r="E7" s="22" t="s">
        <v>154</v>
      </c>
      <c r="F7" s="23">
        <v>3</v>
      </c>
      <c r="G7" s="23" t="s">
        <v>77</v>
      </c>
      <c r="H7" s="24">
        <v>64.2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">
        <v>438</v>
      </c>
      <c xmlns="http://schemas.openxmlformats.org/spreadsheetml/2006/main" r="U7" s="23">
        <f t="shared" si="0"/>
        <v>0.0</v>
      </c>
      <c xmlns="http://schemas.openxmlformats.org/spreadsheetml/2006/main" r="V7" s="22" t="str">
        <f t="shared" si="2"/>
        <v>○ 免調理</v>
      </c>
      <c xmlns="http://schemas.openxmlformats.org/spreadsheetml/2006/main" r="W7" s="18" t="str">
        <f t="shared" si="1"/>
        <v>免調理半成品（外購/僅切配等），不列入設備風險評估</v>
      </c>
      <c r="X7" s="22" t="s">
        <v>401</v>
      </c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744</v>
      </c>
      <c r="B8" s="22" t="s">
        <v>127</v>
      </c>
      <c r="C8" s="22" t="s">
        <v>106</v>
      </c>
      <c r="D8" s="22" t="s">
        <v>649</v>
      </c>
      <c r="E8" s="55" t="s">
        <v>483</v>
      </c>
      <c r="F8" s="56">
        <v>1</v>
      </c>
      <c r="G8" s="23" t="s">
        <v>77</v>
      </c>
      <c r="H8" s="24">
        <v>100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 t="s">
        <v>76</v>
      </c>
      <c xmlns="http://schemas.openxmlformats.org/spreadsheetml/2006/main" r="U8" s="23">
        <f t="shared" si="0"/>
        <v>0.0</v>
      </c>
      <c xmlns="http://schemas.openxmlformats.org/spreadsheetml/2006/main" r="V8" s="22" t="str">
        <f t="shared" si="2"/>
        <v>○ 免調理</v>
      </c>
      <c xmlns="http://schemas.openxmlformats.org/spreadsheetml/2006/main" r="W8" s="18" t="str">
        <f t="shared" si="1"/>
        <v>免調理半成品（外購/僅切配等），不列入設備風險評估</v>
      </c>
      <c r="X8" s="22" t="s">
        <v>485</v>
      </c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inlineStr">
        <is>
          <t>架上</t>
        </is>
      </c>
      <c r="B9" s="22" t="s">
        <v>127</v>
      </c>
      <c r="C9" s="22" t="s">
        <v>106</v>
      </c>
      <c r="D9" s="22" t="s">
        <v>650</v>
      </c>
      <c r="E9" s="22" t="s">
        <v>141</v>
      </c>
      <c r="F9" s="23">
        <v>95</v>
      </c>
      <c r="G9" s="23" t="s">
        <v>75</v>
      </c>
      <c r="H9" s="24">
        <v>92</v>
      </c>
      <c r="I9" s="25" t="s">
        <v>438</v>
      </c>
      <c r="J9" s="25"/>
      <c r="K9" s="25"/>
      <c r="L9" s="25"/>
      <c r="M9" s="25"/>
      <c r="N9" s="25"/>
      <c r="O9" s="25" t="s">
        <v>438</v>
      </c>
      <c r="P9" s="25"/>
      <c r="Q9" s="25"/>
      <c r="R9" s="25"/>
      <c r="S9" s="25"/>
      <c r="T9" s="26"/>
      <c xmlns="http://schemas.openxmlformats.org/spreadsheetml/2006/main" r="U9" s="23">
        <f t="shared" si="0"/>
        <v>2.0</v>
      </c>
      <c xmlns="http://schemas.openxmlformats.org/spreadsheetml/2006/main" r="V9" s="22" t="str">
        <f t="shared" si="2"/>
        <v>OK</v>
      </c>
      <c xmlns="http://schemas.openxmlformats.org/spreadsheetml/2006/main" r="W9" s="18" t="str">
        <f t="shared" si="1"/>
        <v>無異常</v>
      </c>
      <c r="X9" s="22" t="s">
        <v>402</v>
      </c>
      <c r="Y9" s="22"/>
      <c xmlns="http://schemas.openxmlformats.org/spreadsheetml/2006/main" r="Z9">
        <f>IF($D9="",0,IF(COUNTIF($D$5:$D9,$D9)=1,1,0))</f>
        <v>1.0</v>
      </c>
      <c xmlns="http://schemas.openxmlformats.org/spreadsheetml/2006/main" r="AA9">
        <f>IF(Z9=1,SUM($Z$5:$Z9),"")</f>
        <v>2.0</v>
      </c>
    </row>
    <row r="10" spans="1:27">
      <c r="A10" s="22" t="inlineStr">
        <is>
          <t>架上</t>
        </is>
      </c>
      <c r="B10" s="22" t="s">
        <v>127</v>
      </c>
      <c r="C10" s="22" t="s">
        <v>106</v>
      </c>
      <c r="D10" s="22" t="s">
        <v>650</v>
      </c>
      <c r="E10" s="22" t="s">
        <v>144</v>
      </c>
      <c r="F10" s="23">
        <v>4</v>
      </c>
      <c r="G10" s="23" t="s">
        <v>75</v>
      </c>
      <c r="H10" s="24">
        <v>100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">
        <v>438</v>
      </c>
      <c xmlns="http://schemas.openxmlformats.org/spreadsheetml/2006/main" r="U10" s="23">
        <f t="shared" si="0"/>
        <v>0.0</v>
      </c>
      <c xmlns="http://schemas.openxmlformats.org/spreadsheetml/2006/main" r="V10" s="22" t="str">
        <f t="shared" si="2"/>
        <v>○ 免調理</v>
      </c>
      <c xmlns="http://schemas.openxmlformats.org/spreadsheetml/2006/main" r="W10" s="18" t="str">
        <f t="shared" si="1"/>
        <v>免調理半成品（外購/僅切配等），不列入設備風險評估</v>
      </c>
      <c r="X10" s="22" t="s">
        <v>402</v>
      </c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inlineStr">
        <is>
          <t>架上</t>
        </is>
      </c>
      <c r="B11" s="22" t="s">
        <v>127</v>
      </c>
      <c r="C11" s="22" t="s">
        <v>106</v>
      </c>
      <c r="D11" s="22" t="s">
        <v>650</v>
      </c>
      <c r="E11" s="22" t="s">
        <v>143</v>
      </c>
      <c r="F11" s="23">
        <v>4</v>
      </c>
      <c r="G11" s="23" t="s">
        <v>75</v>
      </c>
      <c r="H11" s="24">
        <v>85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">
        <v>438</v>
      </c>
      <c xmlns="http://schemas.openxmlformats.org/spreadsheetml/2006/main" r="U11" s="23">
        <f t="shared" si="0"/>
        <v>0.0</v>
      </c>
      <c xmlns="http://schemas.openxmlformats.org/spreadsheetml/2006/main" r="V11" s="22" t="str">
        <f t="shared" si="2"/>
        <v>○ 免調理</v>
      </c>
      <c xmlns="http://schemas.openxmlformats.org/spreadsheetml/2006/main" r="W11" s="18" t="str">
        <f t="shared" si="1"/>
        <v>免調理半成品（外購/僅切配等），不列入設備風險評估</v>
      </c>
      <c r="X11" s="22" t="s">
        <v>402</v>
      </c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inlineStr">
        <is>
          <t>架上</t>
        </is>
      </c>
      <c r="B12" s="22" t="s">
        <v>127</v>
      </c>
      <c r="C12" s="22" t="s">
        <v>106</v>
      </c>
      <c r="D12" s="22" t="s">
        <v>650</v>
      </c>
      <c r="E12" s="22" t="s">
        <v>484</v>
      </c>
      <c r="F12" s="23">
        <v>1</v>
      </c>
      <c r="G12" s="23" t="s">
        <v>77</v>
      </c>
      <c r="H12" s="24">
        <v>100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">
        <v>76</v>
      </c>
      <c xmlns="http://schemas.openxmlformats.org/spreadsheetml/2006/main" r="U12" s="23">
        <f t="shared" si="0"/>
        <v>0.0</v>
      </c>
      <c xmlns="http://schemas.openxmlformats.org/spreadsheetml/2006/main" r="V12" s="22" t="str">
        <f t="shared" si="2"/>
        <v>○ 免調理</v>
      </c>
      <c xmlns="http://schemas.openxmlformats.org/spreadsheetml/2006/main" r="W12" s="18" t="str">
        <f t="shared" si="1"/>
        <v>免調理半成品（外購/僅切配等），不列入設備風險評估</v>
      </c>
      <c r="X12" s="22" t="s">
        <v>515</v>
      </c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745</v>
      </c>
      <c r="B13" s="22" t="s">
        <v>127</v>
      </c>
      <c r="C13" s="22" t="s">
        <v>106</v>
      </c>
      <c r="D13" s="22" t="s">
        <v>651</v>
      </c>
      <c r="E13" s="22" t="s">
        <v>146</v>
      </c>
      <c r="F13" s="23">
        <v>95</v>
      </c>
      <c r="G13" s="23" t="s">
        <v>75</v>
      </c>
      <c r="H13" s="24">
        <v>91.1</v>
      </c>
      <c r="I13" s="25" t="s">
        <v>438</v>
      </c>
      <c r="J13" s="25"/>
      <c r="K13" s="25"/>
      <c r="L13" s="25"/>
      <c r="M13" s="25"/>
      <c r="N13" s="25"/>
      <c r="O13" s="25" t="s">
        <v>438</v>
      </c>
      <c r="P13" s="25"/>
      <c r="Q13" s="25"/>
      <c r="R13" s="25"/>
      <c r="S13" s="25"/>
      <c r="T13" s="26"/>
      <c xmlns="http://schemas.openxmlformats.org/spreadsheetml/2006/main" r="U13" s="23">
        <f t="shared" si="0"/>
        <v>2.0</v>
      </c>
      <c xmlns="http://schemas.openxmlformats.org/spreadsheetml/2006/main" r="V13" s="22" t="str">
        <f t="shared" si="2"/>
        <v>OK</v>
      </c>
      <c xmlns="http://schemas.openxmlformats.org/spreadsheetml/2006/main" r="W13" s="18" t="str">
        <f t="shared" si="1"/>
        <v>無異常</v>
      </c>
      <c r="X13" s="22" t="s">
        <v>403</v>
      </c>
      <c r="Y13" s="22"/>
      <c xmlns="http://schemas.openxmlformats.org/spreadsheetml/2006/main" r="Z13">
        <f>IF($D13="",0,IF(COUNTIF($D$5:$D13,$D13)=1,1,0))</f>
        <v>1.0</v>
      </c>
      <c xmlns="http://schemas.openxmlformats.org/spreadsheetml/2006/main" r="AA13">
        <f>IF(Z13=1,SUM($Z$5:$Z13),"")</f>
        <v>3.0</v>
      </c>
    </row>
    <row r="14" spans="1:27">
      <c r="A14" s="22" t="s">
        <v>745</v>
      </c>
      <c r="B14" s="22" t="s">
        <v>127</v>
      </c>
      <c r="C14" s="22" t="s">
        <v>106</v>
      </c>
      <c r="D14" s="22" t="s">
        <v>651</v>
      </c>
      <c r="E14" s="22" t="s">
        <v>145</v>
      </c>
      <c r="F14" s="23">
        <v>10</v>
      </c>
      <c r="G14" s="23" t="s">
        <v>75</v>
      </c>
      <c r="H14" s="24">
        <v>95</v>
      </c>
      <c r="I14" s="25"/>
      <c r="J14" s="25"/>
      <c r="K14" s="25"/>
      <c r="L14" s="25"/>
      <c r="M14" s="25"/>
      <c r="N14" s="25"/>
      <c r="O14" s="25" t="s">
        <v>76</v>
      </c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2"/>
        <v>▲ 單一設備依賴</v>
      </c>
      <c xmlns="http://schemas.openxmlformats.org/spreadsheetml/2006/main" r="W14" s="18" t="str">
        <f t="shared" si="1"/>
        <v>僅依賴1台設備，須確認故障/排修時之備援製程</v>
      </c>
      <c r="X14" s="22" t="s">
        <v>403</v>
      </c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745</v>
      </c>
      <c r="B15" s="22" t="s">
        <v>127</v>
      </c>
      <c r="C15" s="22" t="s">
        <v>106</v>
      </c>
      <c r="D15" s="22" t="s">
        <v>651</v>
      </c>
      <c r="E15" s="22" t="s">
        <v>481</v>
      </c>
      <c r="F15" s="23">
        <v>1</v>
      </c>
      <c r="G15" s="23" t="s">
        <v>77</v>
      </c>
      <c r="H15" s="24">
        <v>100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 t="s">
        <v>76</v>
      </c>
      <c xmlns="http://schemas.openxmlformats.org/spreadsheetml/2006/main" r="U15" s="23">
        <f t="shared" si="0"/>
        <v>0.0</v>
      </c>
      <c xmlns="http://schemas.openxmlformats.org/spreadsheetml/2006/main" r="V15" s="22" t="str">
        <f t="shared" si="2"/>
        <v>○ 免調理</v>
      </c>
      <c xmlns="http://schemas.openxmlformats.org/spreadsheetml/2006/main" r="W15" s="18" t="str">
        <f t="shared" si="1"/>
        <v>免調理半成品（外購/僅切配等），不列入設備風險評估</v>
      </c>
      <c r="X15" s="22" t="s">
        <v>516</v>
      </c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745</v>
      </c>
      <c r="B16" s="22" t="s">
        <v>127</v>
      </c>
      <c r="C16" s="22" t="s">
        <v>106</v>
      </c>
      <c r="D16" s="22" t="s">
        <v>652</v>
      </c>
      <c r="E16" s="22" t="s">
        <v>125</v>
      </c>
      <c r="F16" s="23">
        <v>95</v>
      </c>
      <c r="G16" s="23" t="s">
        <v>75</v>
      </c>
      <c r="H16" s="24">
        <v>92.8</v>
      </c>
      <c r="I16" s="25" t="s">
        <v>76</v>
      </c>
      <c r="J16" s="25"/>
      <c r="K16" s="25"/>
      <c r="L16" s="25"/>
      <c r="M16" s="25"/>
      <c r="N16" s="25"/>
      <c r="O16" s="25" t="s">
        <v>438</v>
      </c>
      <c r="P16" s="25"/>
      <c r="Q16" s="25"/>
      <c r="R16" s="25"/>
      <c r="S16" s="25"/>
      <c r="T16" s="26"/>
      <c xmlns="http://schemas.openxmlformats.org/spreadsheetml/2006/main" r="U16" s="23">
        <f t="shared" si="0"/>
        <v>2.0</v>
      </c>
      <c xmlns="http://schemas.openxmlformats.org/spreadsheetml/2006/main" r="V16" s="22" t="str">
        <f t="shared" si="2"/>
        <v>OK</v>
      </c>
      <c xmlns="http://schemas.openxmlformats.org/spreadsheetml/2006/main" r="W16" s="18" t="str">
        <f t="shared" si="1"/>
        <v>無異常</v>
      </c>
      <c r="X16" s="22" t="s">
        <v>404</v>
      </c>
      <c r="Y16" s="22"/>
      <c xmlns="http://schemas.openxmlformats.org/spreadsheetml/2006/main" r="Z16">
        <f>IF($D16="",0,IF(COUNTIF($D$5:$D16,$D16)=1,1,0))</f>
        <v>1.0</v>
      </c>
      <c xmlns="http://schemas.openxmlformats.org/spreadsheetml/2006/main" r="AA16">
        <f>IF(Z16=1,SUM($Z$5:$Z16),"")</f>
        <v>4.0</v>
      </c>
    </row>
    <row r="17" spans="1:27">
      <c r="A17" s="22" t="s">
        <v>745</v>
      </c>
      <c r="B17" s="22" t="s">
        <v>127</v>
      </c>
      <c r="C17" s="22" t="s">
        <v>106</v>
      </c>
      <c r="D17" s="22" t="s">
        <v>652</v>
      </c>
      <c r="E17" s="22" t="s">
        <v>140</v>
      </c>
      <c r="F17" s="23">
        <v>19</v>
      </c>
      <c r="G17" s="23" t="s">
        <v>75</v>
      </c>
      <c r="H17" s="24">
        <v>55</v>
      </c>
      <c r="I17" s="25"/>
      <c r="J17" s="25"/>
      <c r="K17" s="25"/>
      <c r="L17" s="25"/>
      <c r="M17" s="25"/>
      <c r="N17" s="25"/>
      <c r="O17" s="25" t="s">
        <v>76</v>
      </c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2"/>
        <v>▲ 單一設備依賴</v>
      </c>
      <c xmlns="http://schemas.openxmlformats.org/spreadsheetml/2006/main" r="W17" s="18" t="str">
        <f t="shared" si="1"/>
        <v>僅依賴1台設備，須確認故障/排修時之備援製程</v>
      </c>
      <c r="X17" s="22" t="s">
        <v>404</v>
      </c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745</v>
      </c>
      <c r="B18" s="22" t="s">
        <v>127</v>
      </c>
      <c r="C18" s="22" t="s">
        <v>106</v>
      </c>
      <c r="D18" s="22" t="s">
        <v>652</v>
      </c>
      <c r="E18" s="22" t="s">
        <v>481</v>
      </c>
      <c r="F18" s="23">
        <v>1</v>
      </c>
      <c r="G18" s="23" t="s">
        <v>77</v>
      </c>
      <c r="H18" s="24">
        <v>100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 t="s">
        <v>76</v>
      </c>
      <c xmlns="http://schemas.openxmlformats.org/spreadsheetml/2006/main" r="U18" s="23">
        <f t="shared" si="0"/>
        <v>0.0</v>
      </c>
      <c xmlns="http://schemas.openxmlformats.org/spreadsheetml/2006/main" r="V18" s="22" t="str">
        <f t="shared" si="2"/>
        <v>○ 免調理</v>
      </c>
      <c xmlns="http://schemas.openxmlformats.org/spreadsheetml/2006/main" r="W18" s="18" t="str">
        <f t="shared" si="1"/>
        <v>免調理半成品（外購/僅切配等），不列入設備風險評估</v>
      </c>
      <c r="X18" s="22" t="s">
        <v>517</v>
      </c>
      <c r="Y18" s="22"/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745</v>
      </c>
      <c r="B19" s="22" t="s">
        <v>127</v>
      </c>
      <c r="C19" s="22" t="s">
        <v>106</v>
      </c>
      <c r="D19" s="22" t="s">
        <v>653</v>
      </c>
      <c r="E19" s="22" t="s">
        <v>125</v>
      </c>
      <c r="F19" s="23">
        <v>95</v>
      </c>
      <c r="G19" s="23" t="s">
        <v>75</v>
      </c>
      <c r="H19" s="24">
        <v>92.8</v>
      </c>
      <c r="I19" s="25" t="s">
        <v>76</v>
      </c>
      <c r="J19" s="25"/>
      <c r="K19" s="25"/>
      <c r="L19" s="25"/>
      <c r="M19" s="25"/>
      <c r="N19" s="25"/>
      <c r="O19" s="25" t="s">
        <v>438</v>
      </c>
      <c r="P19" s="25"/>
      <c r="Q19" s="25"/>
      <c r="R19" s="25"/>
      <c r="S19" s="25"/>
      <c r="T19" s="26"/>
      <c xmlns="http://schemas.openxmlformats.org/spreadsheetml/2006/main" r="U19" s="23">
        <f t="shared" si="0"/>
        <v>2.0</v>
      </c>
      <c xmlns="http://schemas.openxmlformats.org/spreadsheetml/2006/main" r="V19" s="22" t="str">
        <f t="shared" si="2"/>
        <v>OK</v>
      </c>
      <c xmlns="http://schemas.openxmlformats.org/spreadsheetml/2006/main" r="W19" s="18" t="str">
        <f t="shared" si="1"/>
        <v>無異常</v>
      </c>
      <c r="X19" s="22" t="s">
        <v>405</v>
      </c>
      <c r="Y19" s="22"/>
      <c xmlns="http://schemas.openxmlformats.org/spreadsheetml/2006/main" r="Z19">
        <f>IF($D19="",0,IF(COUNTIF($D$5:$D19,$D19)=1,1,0))</f>
        <v>1.0</v>
      </c>
      <c xmlns="http://schemas.openxmlformats.org/spreadsheetml/2006/main" r="AA19">
        <f>IF(Z19=1,SUM($Z$5:$Z19),"")</f>
        <v>5.0</v>
      </c>
    </row>
    <row r="20" spans="1:27">
      <c r="A20" s="22" t="s">
        <v>745</v>
      </c>
      <c r="B20" s="22" t="s">
        <v>127</v>
      </c>
      <c r="C20" s="22" t="s">
        <v>106</v>
      </c>
      <c r="D20" s="22" t="s">
        <v>653</v>
      </c>
      <c r="E20" s="22" t="s">
        <v>134</v>
      </c>
      <c r="F20" s="23">
        <v>15</v>
      </c>
      <c r="G20" s="23" t="s">
        <v>75</v>
      </c>
      <c r="H20" s="24"/>
      <c r="I20" s="25"/>
      <c r="J20" s="25"/>
      <c r="K20" s="25"/>
      <c r="L20" s="25"/>
      <c r="M20" s="25"/>
      <c r="N20" s="25"/>
      <c r="O20" s="25" t="s">
        <v>76</v>
      </c>
      <c r="P20" s="25"/>
      <c r="Q20" s="25"/>
      <c r="R20" s="25"/>
      <c r="S20" s="25"/>
      <c r="T20" s="26"/>
      <c xmlns="http://schemas.openxmlformats.org/spreadsheetml/2006/main" r="U20" s="23">
        <f t="shared" si="0"/>
        <v>1.0</v>
      </c>
      <c xmlns="http://schemas.openxmlformats.org/spreadsheetml/2006/main" r="V20" s="22" t="str">
        <f t="shared" si="2"/>
        <v>▲ 單一設備依賴</v>
      </c>
      <c xmlns="http://schemas.openxmlformats.org/spreadsheetml/2006/main" r="W20" s="18" t="str">
        <f t="shared" si="1"/>
        <v>僅依賴1台設備，須確認故障/排修時之備援製程</v>
      </c>
      <c r="X20" s="22" t="s">
        <v>405</v>
      </c>
      <c r="Y20" s="22"/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745</v>
      </c>
      <c r="B21" s="22" t="s">
        <v>127</v>
      </c>
      <c r="C21" s="22" t="s">
        <v>106</v>
      </c>
      <c r="D21" s="22" t="s">
        <v>653</v>
      </c>
      <c r="E21" s="22" t="s">
        <v>487</v>
      </c>
      <c r="F21" s="56">
        <v>1</v>
      </c>
      <c r="G21" s="23" t="s">
        <v>77</v>
      </c>
      <c r="H21" s="24">
        <v>100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76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2"/>
        <v>○ 免調理</v>
      </c>
      <c xmlns="http://schemas.openxmlformats.org/spreadsheetml/2006/main" r="W21" s="18" t="str">
        <f t="shared" si="1"/>
        <v>免調理半成品（外購/僅切配等），不列入設備風險評估</v>
      </c>
      <c r="X21" s="22" t="s">
        <v>518</v>
      </c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744</v>
      </c>
      <c r="B22" s="22" t="s">
        <v>127</v>
      </c>
      <c r="C22" s="22" t="s">
        <v>106</v>
      </c>
      <c r="D22" s="22" t="s">
        <v>654</v>
      </c>
      <c r="E22" s="22" t="s">
        <v>125</v>
      </c>
      <c r="F22" s="23">
        <v>110</v>
      </c>
      <c r="G22" s="23" t="s">
        <v>75</v>
      </c>
      <c r="H22" s="24">
        <v>92.8</v>
      </c>
      <c r="I22" s="25" t="s">
        <v>76</v>
      </c>
      <c r="J22" s="25"/>
      <c r="K22" s="25"/>
      <c r="L22" s="25"/>
      <c r="M22" s="25"/>
      <c r="N22" s="25"/>
      <c r="O22" s="25" t="s">
        <v>438</v>
      </c>
      <c r="P22" s="25"/>
      <c r="Q22" s="25"/>
      <c r="R22" s="25"/>
      <c r="S22" s="25"/>
      <c r="T22" s="26"/>
      <c xmlns="http://schemas.openxmlformats.org/spreadsheetml/2006/main" r="U22" s="23">
        <f t="shared" si="0"/>
        <v>2.0</v>
      </c>
      <c xmlns="http://schemas.openxmlformats.org/spreadsheetml/2006/main" r="V22" s="22" t="str">
        <f t="shared" si="2"/>
        <v>OK</v>
      </c>
      <c xmlns="http://schemas.openxmlformats.org/spreadsheetml/2006/main" r="W22" s="18" t="str">
        <f t="shared" si="1"/>
        <v>無異常</v>
      </c>
      <c r="X22" s="22" t="s">
        <v>406</v>
      </c>
      <c r="Y22" s="22"/>
      <c xmlns="http://schemas.openxmlformats.org/spreadsheetml/2006/main" r="Z22">
        <f>IF($D22="",0,IF(COUNTIF($D$5:$D22,$D22)=1,1,0))</f>
        <v>1.0</v>
      </c>
      <c xmlns="http://schemas.openxmlformats.org/spreadsheetml/2006/main" r="AA22">
        <f>IF(Z22=1,SUM($Z$5:$Z22),"")</f>
        <v>6.0</v>
      </c>
    </row>
    <row r="23" spans="1:27">
      <c r="A23" s="22" t="s">
        <v>744</v>
      </c>
      <c r="B23" s="22" t="s">
        <v>127</v>
      </c>
      <c r="C23" s="22" t="s">
        <v>106</v>
      </c>
      <c r="D23" s="22" t="s">
        <v>654</v>
      </c>
      <c r="E23" s="22" t="s">
        <v>136</v>
      </c>
      <c r="F23" s="23">
        <v>8</v>
      </c>
      <c r="G23" s="23" t="s">
        <v>75</v>
      </c>
      <c r="H23" s="24">
        <v>56.5</v>
      </c>
      <c r="I23" s="25"/>
      <c r="J23" s="25"/>
      <c r="K23" s="25"/>
      <c r="L23" s="25"/>
      <c r="M23" s="25"/>
      <c r="N23" s="25"/>
      <c r="O23" s="25" t="s">
        <v>76</v>
      </c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2"/>
        <v>▲ 單一設備依賴</v>
      </c>
      <c xmlns="http://schemas.openxmlformats.org/spreadsheetml/2006/main" r="W23" s="18" t="str">
        <f t="shared" si="1"/>
        <v>僅依賴1台設備，須確認故障/排修時之備援製程</v>
      </c>
      <c r="X23" s="22" t="s">
        <v>406</v>
      </c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744</v>
      </c>
      <c r="B24" s="22" t="s">
        <v>127</v>
      </c>
      <c r="C24" s="22" t="s">
        <v>106</v>
      </c>
      <c r="D24" s="22" t="s">
        <v>654</v>
      </c>
      <c r="E24" s="22" t="s">
        <v>137</v>
      </c>
      <c r="F24" s="23">
        <v>3</v>
      </c>
      <c r="G24" s="23" t="s">
        <v>155</v>
      </c>
      <c r="H24" s="24">
        <v>41</v>
      </c>
      <c r="I24" s="25"/>
      <c r="J24" s="25"/>
      <c r="K24" s="25"/>
      <c r="L24" s="25"/>
      <c r="M24" s="25"/>
      <c r="N24" s="25"/>
      <c r="O24" s="25" t="s">
        <v>76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2"/>
        <v>▲ 單一設備依賴</v>
      </c>
      <c xmlns="http://schemas.openxmlformats.org/spreadsheetml/2006/main" r="W24" s="18" t="str">
        <f t="shared" si="1"/>
        <v>僅依賴1台設備，須確認故障/排修時之備援製程</v>
      </c>
      <c r="X24" s="22" t="s">
        <v>406</v>
      </c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744</v>
      </c>
      <c r="B25" s="22" t="s">
        <v>127</v>
      </c>
      <c r="C25" s="22" t="s">
        <v>106</v>
      </c>
      <c r="D25" s="22" t="s">
        <v>654</v>
      </c>
      <c r="E25" s="55" t="s">
        <v>488</v>
      </c>
      <c r="F25" s="56">
        <v>1</v>
      </c>
      <c r="G25" s="23" t="s">
        <v>77</v>
      </c>
      <c r="H25" s="24">
        <v>100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">
        <v>76</v>
      </c>
      <c xmlns="http://schemas.openxmlformats.org/spreadsheetml/2006/main" r="U25" s="23">
        <f t="shared" si="0"/>
        <v>0.0</v>
      </c>
      <c xmlns="http://schemas.openxmlformats.org/spreadsheetml/2006/main" r="V25" s="22" t="str">
        <f t="shared" si="2"/>
        <v>○ 免調理</v>
      </c>
      <c xmlns="http://schemas.openxmlformats.org/spreadsheetml/2006/main" r="W25" s="18" t="str">
        <f t="shared" si="1"/>
        <v>免調理半成品（外購/僅切配等），不列入設備風險評估</v>
      </c>
      <c r="X25" s="22" t="s">
        <v>519</v>
      </c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744</v>
      </c>
      <c r="B26" s="22" t="s">
        <v>127</v>
      </c>
      <c r="C26" s="22" t="s">
        <v>106</v>
      </c>
      <c r="D26" s="22" t="s">
        <v>655</v>
      </c>
      <c r="E26" s="22" t="s">
        <v>149</v>
      </c>
      <c r="F26" s="23">
        <v>120</v>
      </c>
      <c r="G26" s="23" t="s">
        <v>75</v>
      </c>
      <c r="H26" s="24">
        <v>90.8</v>
      </c>
      <c r="I26" s="25" t="s">
        <v>76</v>
      </c>
      <c r="J26" s="25"/>
      <c r="K26" s="25"/>
      <c r="L26" s="25"/>
      <c r="M26" s="25"/>
      <c r="N26" s="25"/>
      <c r="O26" s="25" t="s">
        <v>438</v>
      </c>
      <c r="P26" s="25"/>
      <c r="Q26" s="25"/>
      <c r="R26" s="25"/>
      <c r="S26" s="25"/>
      <c r="T26" s="26"/>
      <c xmlns="http://schemas.openxmlformats.org/spreadsheetml/2006/main" r="U26" s="23">
        <f t="shared" si="0"/>
        <v>2.0</v>
      </c>
      <c xmlns="http://schemas.openxmlformats.org/spreadsheetml/2006/main" r="V26" s="22" t="str">
        <f t="shared" si="2"/>
        <v>OK</v>
      </c>
      <c xmlns="http://schemas.openxmlformats.org/spreadsheetml/2006/main" r="W26" s="18" t="str">
        <f t="shared" si="1"/>
        <v>無異常</v>
      </c>
      <c r="X26" s="22" t="s">
        <v>407</v>
      </c>
      <c r="Y26" s="22"/>
      <c xmlns="http://schemas.openxmlformats.org/spreadsheetml/2006/main" r="Z26">
        <f>IF($D26="",0,IF(COUNTIF($D$5:$D26,$D26)=1,1,0))</f>
        <v>1.0</v>
      </c>
      <c xmlns="http://schemas.openxmlformats.org/spreadsheetml/2006/main" r="AA26">
        <f>IF(Z26=1,SUM($Z$5:$Z26),"")</f>
        <v>7.0</v>
      </c>
    </row>
    <row r="27" spans="1:27">
      <c r="A27" s="22" t="s">
        <v>744</v>
      </c>
      <c r="B27" s="22" t="s">
        <v>127</v>
      </c>
      <c r="C27" s="22" t="s">
        <v>106</v>
      </c>
      <c r="D27" s="22" t="s">
        <v>655</v>
      </c>
      <c r="E27" s="22" t="s">
        <v>148</v>
      </c>
      <c r="F27" s="23">
        <v>12</v>
      </c>
      <c r="G27" s="23" t="s">
        <v>75</v>
      </c>
      <c r="H27" s="24">
        <v>59.9</v>
      </c>
      <c r="I27" s="25"/>
      <c r="J27" s="25"/>
      <c r="K27" s="25"/>
      <c r="L27" s="25"/>
      <c r="M27" s="25"/>
      <c r="N27" s="25"/>
      <c r="O27" s="25" t="s">
        <v>76</v>
      </c>
      <c r="P27" s="25"/>
      <c r="Q27" s="25"/>
      <c r="R27" s="25"/>
      <c r="S27" s="25"/>
      <c r="T27" s="26"/>
      <c xmlns="http://schemas.openxmlformats.org/spreadsheetml/2006/main" r="U27" s="23">
        <f t="shared" si="0"/>
        <v>1.0</v>
      </c>
      <c xmlns="http://schemas.openxmlformats.org/spreadsheetml/2006/main" r="V27" s="22" t="str">
        <f t="shared" si="2"/>
        <v>▲ 單一設備依賴</v>
      </c>
      <c xmlns="http://schemas.openxmlformats.org/spreadsheetml/2006/main" r="W27" s="18" t="str">
        <f t="shared" si="1"/>
        <v>僅依賴1台設備，須確認故障/排修時之備援製程</v>
      </c>
      <c r="X27" s="22" t="s">
        <v>407</v>
      </c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744</v>
      </c>
      <c r="B28" s="22" t="s">
        <v>127</v>
      </c>
      <c r="C28" s="22" t="s">
        <v>106</v>
      </c>
      <c r="D28" s="22" t="s">
        <v>655</v>
      </c>
      <c r="E28" s="22" t="s">
        <v>147</v>
      </c>
      <c r="F28" s="23">
        <v>20</v>
      </c>
      <c r="G28" s="23" t="s">
        <v>75</v>
      </c>
      <c r="H28" s="24">
        <v>95</v>
      </c>
      <c r="I28" s="25"/>
      <c r="J28" s="25"/>
      <c r="K28" s="25"/>
      <c r="L28" s="25"/>
      <c r="M28" s="25"/>
      <c r="N28" s="25"/>
      <c r="O28" s="25" t="s">
        <v>76</v>
      </c>
      <c r="P28" s="25"/>
      <c r="Q28" s="25"/>
      <c r="R28" s="25"/>
      <c r="S28" s="25"/>
      <c r="T28" s="26"/>
      <c xmlns="http://schemas.openxmlformats.org/spreadsheetml/2006/main" r="U28" s="23">
        <f t="shared" si="0"/>
        <v>1.0</v>
      </c>
      <c xmlns="http://schemas.openxmlformats.org/spreadsheetml/2006/main" r="V28" s="22" t="str">
        <f t="shared" si="2"/>
        <v>▲ 單一設備依賴</v>
      </c>
      <c xmlns="http://schemas.openxmlformats.org/spreadsheetml/2006/main" r="W28" s="18" t="str">
        <f t="shared" si="1"/>
        <v>僅依賴1台設備，須確認故障/排修時之備援製程</v>
      </c>
      <c r="X28" s="22" t="s">
        <v>407</v>
      </c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744</v>
      </c>
      <c r="B29" s="22" t="s">
        <v>127</v>
      </c>
      <c r="C29" s="22" t="s">
        <v>106</v>
      </c>
      <c r="D29" s="22" t="s">
        <v>655</v>
      </c>
      <c r="E29" s="55" t="s">
        <v>489</v>
      </c>
      <c r="F29" s="56">
        <v>1</v>
      </c>
      <c r="G29" s="23" t="s">
        <v>77</v>
      </c>
      <c r="H29" s="24">
        <v>100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 t="s">
        <v>76</v>
      </c>
      <c xmlns="http://schemas.openxmlformats.org/spreadsheetml/2006/main" r="U29" s="23">
        <f t="shared" si="0"/>
        <v>0.0</v>
      </c>
      <c xmlns="http://schemas.openxmlformats.org/spreadsheetml/2006/main" r="V29" s="22" t="str">
        <f t="shared" si="2"/>
        <v>○ 免調理</v>
      </c>
      <c xmlns="http://schemas.openxmlformats.org/spreadsheetml/2006/main" r="W29" s="18" t="str">
        <f t="shared" si="1"/>
        <v>免調理半成品（外購/僅切配等），不列入設備風險評估</v>
      </c>
      <c r="X29" s="22" t="s">
        <v>520</v>
      </c>
      <c r="Y29" s="22"/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 t="s">
        <v>745</v>
      </c>
      <c r="B30" s="22" t="s">
        <v>127</v>
      </c>
      <c r="C30" s="22" t="s">
        <v>106</v>
      </c>
      <c r="D30" s="22" t="s">
        <v>656</v>
      </c>
      <c r="E30" s="22" t="s">
        <v>125</v>
      </c>
      <c r="F30" s="23">
        <v>120</v>
      </c>
      <c r="G30" s="23" t="s">
        <v>75</v>
      </c>
      <c r="H30" s="24">
        <v>92.8</v>
      </c>
      <c r="I30" s="25" t="s">
        <v>76</v>
      </c>
      <c r="J30" s="25"/>
      <c r="K30" s="25"/>
      <c r="L30" s="25"/>
      <c r="M30" s="25"/>
      <c r="N30" s="25"/>
      <c r="O30" s="25" t="s">
        <v>438</v>
      </c>
      <c r="P30" s="25"/>
      <c r="Q30" s="25"/>
      <c r="R30" s="25"/>
      <c r="S30" s="25"/>
      <c r="T30" s="26"/>
      <c xmlns="http://schemas.openxmlformats.org/spreadsheetml/2006/main" r="U30" s="23">
        <f t="shared" si="0"/>
        <v>2.0</v>
      </c>
      <c xmlns="http://schemas.openxmlformats.org/spreadsheetml/2006/main" r="V30" s="22" t="str">
        <f t="shared" si="2"/>
        <v>OK</v>
      </c>
      <c xmlns="http://schemas.openxmlformats.org/spreadsheetml/2006/main" r="W30" s="18" t="str">
        <f t="shared" si="1"/>
        <v>無異常</v>
      </c>
      <c r="X30" s="22" t="s">
        <v>408</v>
      </c>
      <c r="Y30" s="22"/>
      <c xmlns="http://schemas.openxmlformats.org/spreadsheetml/2006/main" r="Z30">
        <f>IF($D30="",0,IF(COUNTIF($D$5:$D30,$D30)=1,1,0))</f>
        <v>1.0</v>
      </c>
      <c xmlns="http://schemas.openxmlformats.org/spreadsheetml/2006/main" r="AA30">
        <f>IF(Z30=1,SUM($Z$5:$Z30),"")</f>
        <v>8.0</v>
      </c>
    </row>
    <row r="31" spans="1:27">
      <c r="A31" s="22" t="s">
        <v>745</v>
      </c>
      <c r="B31" s="22" t="s">
        <v>127</v>
      </c>
      <c r="C31" s="22" t="s">
        <v>106</v>
      </c>
      <c r="D31" s="22" t="s">
        <v>656</v>
      </c>
      <c r="E31" s="22" t="s">
        <v>135</v>
      </c>
      <c r="F31" s="23">
        <v>17</v>
      </c>
      <c r="G31" s="23" t="s">
        <v>75</v>
      </c>
      <c r="H31" s="24">
        <v>95</v>
      </c>
      <c r="I31" s="25"/>
      <c r="J31" s="25"/>
      <c r="K31" s="25" t="s">
        <v>76</v>
      </c>
      <c r="L31" s="25" t="s">
        <v>438</v>
      </c>
      <c r="M31" s="25"/>
      <c r="N31" s="25"/>
      <c r="O31" s="25" t="s">
        <v>76</v>
      </c>
      <c r="P31" s="25"/>
      <c r="Q31" s="25"/>
      <c r="R31" s="25"/>
      <c r="S31" s="25"/>
      <c r="T31" s="26"/>
      <c xmlns="http://schemas.openxmlformats.org/spreadsheetml/2006/main" r="U31" s="23">
        <f t="shared" si="0"/>
        <v>3.0</v>
      </c>
      <c xmlns="http://schemas.openxmlformats.org/spreadsheetml/2006/main" r="V31" s="22" t="str">
        <f t="shared" si="2"/>
        <v>OK</v>
      </c>
      <c xmlns="http://schemas.openxmlformats.org/spreadsheetml/2006/main" r="W31" s="18" t="str">
        <f t="shared" si="1"/>
        <v>無異常</v>
      </c>
      <c r="X31" s="22" t="s">
        <v>408</v>
      </c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745</v>
      </c>
      <c r="B32" s="22" t="s">
        <v>127</v>
      </c>
      <c r="C32" s="22" t="s">
        <v>106</v>
      </c>
      <c r="D32" s="22" t="s">
        <v>656</v>
      </c>
      <c r="E32" s="55" t="s">
        <v>489</v>
      </c>
      <c r="F32" s="56">
        <v>1</v>
      </c>
      <c r="G32" s="23" t="s">
        <v>77</v>
      </c>
      <c r="H32" s="24">
        <v>100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 t="s">
        <v>76</v>
      </c>
      <c xmlns="http://schemas.openxmlformats.org/spreadsheetml/2006/main" r="U32" s="23">
        <f t="shared" si="0"/>
        <v>0.0</v>
      </c>
      <c xmlns="http://schemas.openxmlformats.org/spreadsheetml/2006/main" r="V32" s="22" t="str">
        <f t="shared" si="2"/>
        <v>○ 免調理</v>
      </c>
      <c xmlns="http://schemas.openxmlformats.org/spreadsheetml/2006/main" r="W32" s="18" t="str">
        <f t="shared" si="1"/>
        <v>免調理半成品（外購/僅切配等），不列入設備風險評估</v>
      </c>
      <c r="X32" s="22" t="s">
        <v>521</v>
      </c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745</v>
      </c>
      <c r="B33" s="22" t="s">
        <v>127</v>
      </c>
      <c r="C33" s="22" t="s">
        <v>106</v>
      </c>
      <c r="D33" s="22" t="s">
        <v>657</v>
      </c>
      <c r="E33" s="55" t="s">
        <v>490</v>
      </c>
      <c r="F33" s="56">
        <v>95</v>
      </c>
      <c r="G33" s="23" t="s">
        <v>75</v>
      </c>
      <c r="H33" s="24">
        <v>92.9</v>
      </c>
      <c r="I33" s="25" t="s">
        <v>76</v>
      </c>
      <c r="J33" s="25"/>
      <c r="K33" s="25"/>
      <c r="L33" s="25"/>
      <c r="M33" s="25"/>
      <c r="N33" s="25"/>
      <c r="O33" s="25" t="s">
        <v>438</v>
      </c>
      <c r="P33" s="25"/>
      <c r="Q33" s="25"/>
      <c r="R33" s="25"/>
      <c r="S33" s="25"/>
      <c r="T33" s="26"/>
      <c xmlns="http://schemas.openxmlformats.org/spreadsheetml/2006/main" r="U33" s="23">
        <f t="shared" si="0"/>
        <v>2.0</v>
      </c>
      <c xmlns="http://schemas.openxmlformats.org/spreadsheetml/2006/main" r="V33" s="22" t="str">
        <f t="shared" si="2"/>
        <v>OK</v>
      </c>
      <c xmlns="http://schemas.openxmlformats.org/spreadsheetml/2006/main" r="W33" s="18" t="str">
        <f t="shared" si="1"/>
        <v>無異常</v>
      </c>
      <c r="X33" s="22" t="s">
        <v>409</v>
      </c>
      <c r="Y33" s="22"/>
      <c xmlns="http://schemas.openxmlformats.org/spreadsheetml/2006/main" r="Z33">
        <f>IF($D33="",0,IF(COUNTIF($D$5:$D33,$D33)=1,1,0))</f>
        <v>1.0</v>
      </c>
      <c xmlns="http://schemas.openxmlformats.org/spreadsheetml/2006/main" r="AA33">
        <f>IF(Z33=1,SUM($Z$5:$Z33),"")</f>
        <v>9.0</v>
      </c>
    </row>
    <row r="34" spans="1:27">
      <c r="A34" s="22" t="s">
        <v>745</v>
      </c>
      <c r="B34" s="22" t="s">
        <v>127</v>
      </c>
      <c r="C34" s="22" t="s">
        <v>106</v>
      </c>
      <c r="D34" s="22" t="s">
        <v>657</v>
      </c>
      <c r="E34" s="55" t="s">
        <v>491</v>
      </c>
      <c r="F34" s="56">
        <v>14</v>
      </c>
      <c r="G34" s="23" t="s">
        <v>75</v>
      </c>
      <c r="H34" s="24">
        <v>62</v>
      </c>
      <c r="I34" s="25"/>
      <c r="J34" s="25"/>
      <c r="K34" s="25"/>
      <c r="L34" s="25"/>
      <c r="M34" s="25"/>
      <c r="N34" s="25"/>
      <c r="O34" s="25" t="s">
        <v>76</v>
      </c>
      <c r="P34" s="25"/>
      <c r="Q34" s="25"/>
      <c r="R34" s="25"/>
      <c r="S34" s="25"/>
      <c r="T34" s="26"/>
      <c xmlns="http://schemas.openxmlformats.org/spreadsheetml/2006/main" r="U34" s="23">
        <f t="shared" si="0"/>
        <v>1.0</v>
      </c>
      <c xmlns="http://schemas.openxmlformats.org/spreadsheetml/2006/main" r="V34" s="22" t="str">
        <f t="shared" si="2"/>
        <v>▲ 單一設備依賴</v>
      </c>
      <c xmlns="http://schemas.openxmlformats.org/spreadsheetml/2006/main" r="W34" s="18" t="str">
        <f t="shared" si="1"/>
        <v>僅依賴1台設備，須確認故障/排修時之備援製程</v>
      </c>
      <c r="X34" s="22" t="s">
        <v>522</v>
      </c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745</v>
      </c>
      <c r="B35" s="22" t="s">
        <v>127</v>
      </c>
      <c r="C35" s="22" t="s">
        <v>106</v>
      </c>
      <c r="D35" s="22" t="s">
        <v>657</v>
      </c>
      <c r="E35" s="55" t="s">
        <v>487</v>
      </c>
      <c r="F35" s="56">
        <v>1</v>
      </c>
      <c r="G35" s="23" t="s">
        <v>77</v>
      </c>
      <c r="H35" s="24">
        <v>100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 t="s">
        <v>76</v>
      </c>
      <c xmlns="http://schemas.openxmlformats.org/spreadsheetml/2006/main" r="U35" s="23">
        <f t="shared" si="0"/>
        <v>0.0</v>
      </c>
      <c xmlns="http://schemas.openxmlformats.org/spreadsheetml/2006/main" r="V35" s="22" t="str">
        <f t="shared" si="2"/>
        <v>○ 免調理</v>
      </c>
      <c xmlns="http://schemas.openxmlformats.org/spreadsheetml/2006/main" r="W35" s="18" t="str">
        <f t="shared" si="1"/>
        <v>免調理半成品（外購/僅切配等），不列入設備風險評估</v>
      </c>
      <c r="X35" s="22" t="s">
        <v>522</v>
      </c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 t="s">
        <v>745</v>
      </c>
      <c r="B36" s="22" t="s">
        <v>127</v>
      </c>
      <c r="C36" s="22" t="s">
        <v>106</v>
      </c>
      <c r="D36" s="22" t="s">
        <v>164</v>
      </c>
      <c r="E36" s="22" t="s">
        <v>141</v>
      </c>
      <c r="F36" s="23">
        <v>95</v>
      </c>
      <c r="G36" s="23" t="s">
        <v>75</v>
      </c>
      <c r="H36" s="24">
        <v>92.5</v>
      </c>
      <c r="I36" s="25" t="s">
        <v>76</v>
      </c>
      <c r="J36" s="25"/>
      <c r="K36" s="25"/>
      <c r="L36" s="25"/>
      <c r="M36" s="25"/>
      <c r="N36" s="25"/>
      <c r="O36" s="25" t="s">
        <v>438</v>
      </c>
      <c r="P36" s="25"/>
      <c r="Q36" s="25"/>
      <c r="R36" s="25"/>
      <c r="S36" s="25"/>
      <c r="T36" s="26"/>
      <c xmlns="http://schemas.openxmlformats.org/spreadsheetml/2006/main" r="U36" s="23">
        <f t="shared" si="0"/>
        <v>2.0</v>
      </c>
      <c xmlns="http://schemas.openxmlformats.org/spreadsheetml/2006/main" r="V36" s="22" t="str">
        <f t="shared" si="2"/>
        <v>OK</v>
      </c>
      <c xmlns="http://schemas.openxmlformats.org/spreadsheetml/2006/main" r="W36" s="18" t="str">
        <f t="shared" si="1"/>
        <v>無異常</v>
      </c>
      <c r="X36" s="22" t="s">
        <v>410</v>
      </c>
      <c r="Y36" s="22"/>
      <c xmlns="http://schemas.openxmlformats.org/spreadsheetml/2006/main" r="Z36">
        <f>IF($D36="",0,IF(COUNTIF($D$5:$D36,$D36)=1,1,0))</f>
        <v>1.0</v>
      </c>
      <c xmlns="http://schemas.openxmlformats.org/spreadsheetml/2006/main" r="AA36">
        <f>IF(Z36=1,SUM($Z$5:$Z36),"")</f>
        <v>10.0</v>
      </c>
    </row>
    <row r="37" spans="1:27">
      <c r="A37" s="22" t="s">
        <v>745</v>
      </c>
      <c r="B37" s="22" t="s">
        <v>127</v>
      </c>
      <c r="C37" s="22" t="s">
        <v>106</v>
      </c>
      <c r="D37" s="22" t="s">
        <v>164</v>
      </c>
      <c r="E37" s="22" t="s">
        <v>150</v>
      </c>
      <c r="F37" s="23">
        <v>13</v>
      </c>
      <c r="G37" s="23" t="s">
        <v>75</v>
      </c>
      <c r="H37" s="24">
        <v>95</v>
      </c>
      <c r="I37" s="25"/>
      <c r="J37" s="25"/>
      <c r="K37" s="25"/>
      <c r="L37" s="25"/>
      <c r="M37" s="25"/>
      <c r="N37" s="25"/>
      <c r="O37" s="25" t="s">
        <v>76</v>
      </c>
      <c r="P37" s="25"/>
      <c r="Q37" s="25"/>
      <c r="R37" s="25"/>
      <c r="S37" s="25"/>
      <c r="T37" s="26"/>
      <c xmlns="http://schemas.openxmlformats.org/spreadsheetml/2006/main" r="U37" s="23">
        <f t="shared" si="0"/>
        <v>1.0</v>
      </c>
      <c xmlns="http://schemas.openxmlformats.org/spreadsheetml/2006/main" r="V37" s="22" t="str">
        <f t="shared" si="2"/>
        <v>▲ 單一設備依賴</v>
      </c>
      <c xmlns="http://schemas.openxmlformats.org/spreadsheetml/2006/main" r="W37" s="18" t="str">
        <f t="shared" si="1"/>
        <v>僅依賴1台設備，須確認故障/排修時之備援製程</v>
      </c>
      <c r="X37" s="22" t="s">
        <v>410</v>
      </c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745</v>
      </c>
      <c r="B38" s="22" t="s">
        <v>127</v>
      </c>
      <c r="C38" s="22" t="s">
        <v>106</v>
      </c>
      <c r="D38" s="22" t="s">
        <v>164</v>
      </c>
      <c r="E38" s="22" t="s">
        <v>292</v>
      </c>
      <c r="F38" s="23">
        <v>2</v>
      </c>
      <c r="G38" s="23" t="s">
        <v>75</v>
      </c>
      <c r="H38" s="24">
        <v>97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">
        <v>438</v>
      </c>
      <c xmlns="http://schemas.openxmlformats.org/spreadsheetml/2006/main" r="U38" s="23">
        <f t="shared" si="0"/>
        <v>0.0</v>
      </c>
      <c xmlns="http://schemas.openxmlformats.org/spreadsheetml/2006/main" r="V38" s="22" t="str">
        <f t="shared" si="2"/>
        <v>○ 免調理</v>
      </c>
      <c xmlns="http://schemas.openxmlformats.org/spreadsheetml/2006/main" r="W38" s="18" t="str">
        <f t="shared" si="1"/>
        <v>免調理半成品（外購/僅切配等），不列入設備風險評估</v>
      </c>
      <c r="X38" s="22" t="s">
        <v>410</v>
      </c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745</v>
      </c>
      <c r="B39" s="22" t="s">
        <v>127</v>
      </c>
      <c r="C39" s="22" t="s">
        <v>106</v>
      </c>
      <c r="D39" s="22" t="s">
        <v>164</v>
      </c>
      <c r="E39" s="22" t="s">
        <v>492</v>
      </c>
      <c r="F39" s="23">
        <v>1</v>
      </c>
      <c r="G39" s="23" t="s">
        <v>77</v>
      </c>
      <c r="H39" s="24">
        <v>100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 t="s">
        <v>76</v>
      </c>
      <c xmlns="http://schemas.openxmlformats.org/spreadsheetml/2006/main" r="U39" s="23">
        <f t="shared" si="0"/>
        <v>0.0</v>
      </c>
      <c xmlns="http://schemas.openxmlformats.org/spreadsheetml/2006/main" r="V39" s="22" t="str">
        <f t="shared" si="2"/>
        <v>○ 免調理</v>
      </c>
      <c xmlns="http://schemas.openxmlformats.org/spreadsheetml/2006/main" r="W39" s="18" t="str">
        <f t="shared" si="1"/>
        <v>免調理半成品（外購/僅切配等），不列入設備風險評估</v>
      </c>
      <c r="X39" s="22" t="s">
        <v>523</v>
      </c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744</v>
      </c>
      <c r="B40" s="22" t="s">
        <v>127</v>
      </c>
      <c r="C40" s="22" t="s">
        <v>106</v>
      </c>
      <c r="D40" s="22" t="s">
        <v>156</v>
      </c>
      <c r="E40" s="22" t="s">
        <v>667</v>
      </c>
      <c r="F40" s="23">
        <v>95</v>
      </c>
      <c r="G40" s="23" t="s">
        <v>75</v>
      </c>
      <c r="H40" s="24">
        <v>92.8</v>
      </c>
      <c r="I40" s="25" t="s">
        <v>76</v>
      </c>
      <c r="J40" s="25"/>
      <c r="K40" s="25"/>
      <c r="L40" s="25"/>
      <c r="M40" s="25"/>
      <c r="N40" s="25"/>
      <c r="O40" s="25" t="s">
        <v>438</v>
      </c>
      <c r="P40" s="25"/>
      <c r="Q40" s="25"/>
      <c r="R40" s="25"/>
      <c r="S40" s="25"/>
      <c r="T40" s="26"/>
      <c xmlns="http://schemas.openxmlformats.org/spreadsheetml/2006/main" r="U40" s="23">
        <f t="shared" si="0"/>
        <v>2.0</v>
      </c>
      <c xmlns="http://schemas.openxmlformats.org/spreadsheetml/2006/main" r="V40" s="22" t="str">
        <f t="shared" si="2"/>
        <v>OK</v>
      </c>
      <c xmlns="http://schemas.openxmlformats.org/spreadsheetml/2006/main" r="W40" s="18" t="str">
        <f t="shared" si="1"/>
        <v>無異常</v>
      </c>
      <c r="X40" s="22" t="s">
        <v>411</v>
      </c>
      <c r="Y40" s="22"/>
      <c xmlns="http://schemas.openxmlformats.org/spreadsheetml/2006/main" r="Z40">
        <f>IF($D40="",0,IF(COUNTIF($D$5:$D40,$D40)=1,1,0))</f>
        <v>1.0</v>
      </c>
      <c xmlns="http://schemas.openxmlformats.org/spreadsheetml/2006/main" r="AA40">
        <f>IF(Z40=1,SUM($Z$5:$Z40),"")</f>
        <v>11.0</v>
      </c>
    </row>
    <row r="41" spans="1:27">
      <c r="A41" s="22" t="s">
        <v>744</v>
      </c>
      <c r="B41" s="22" t="s">
        <v>127</v>
      </c>
      <c r="C41" s="22" t="s">
        <v>106</v>
      </c>
      <c r="D41" s="22" t="s">
        <v>156</v>
      </c>
      <c r="E41" s="22" t="s">
        <v>130</v>
      </c>
      <c r="F41" s="23">
        <v>7</v>
      </c>
      <c r="G41" s="23" t="s">
        <v>75</v>
      </c>
      <c r="H41" s="24">
        <v>32.700000000000003</v>
      </c>
      <c r="I41" s="25"/>
      <c r="J41" s="25"/>
      <c r="K41" s="25" t="s">
        <v>438</v>
      </c>
      <c r="L41" s="25" t="s">
        <v>76</v>
      </c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>
        <f t="shared" si="0"/>
        <v>2.0</v>
      </c>
      <c xmlns="http://schemas.openxmlformats.org/spreadsheetml/2006/main" r="V41" s="22" t="str">
        <f t="shared" si="2"/>
        <v>OK</v>
      </c>
      <c xmlns="http://schemas.openxmlformats.org/spreadsheetml/2006/main" r="W41" s="18" t="str">
        <f t="shared" si="1"/>
        <v>無異常</v>
      </c>
      <c r="X41" s="22" t="s">
        <v>411</v>
      </c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744</v>
      </c>
      <c r="B42" s="22" t="s">
        <v>127</v>
      </c>
      <c r="C42" s="22" t="s">
        <v>106</v>
      </c>
      <c r="D42" s="22" t="s">
        <v>156</v>
      </c>
      <c r="E42" s="22" t="s">
        <v>132</v>
      </c>
      <c r="F42" s="23">
        <v>15</v>
      </c>
      <c r="G42" s="23" t="s">
        <v>75</v>
      </c>
      <c r="H42" s="24">
        <v>49.6</v>
      </c>
      <c r="I42" s="25"/>
      <c r="J42" s="25"/>
      <c r="K42" s="25"/>
      <c r="L42" s="25"/>
      <c r="M42" s="25"/>
      <c r="N42" s="25"/>
      <c r="O42" s="25" t="s">
        <v>76</v>
      </c>
      <c r="P42" s="25"/>
      <c r="Q42" s="25"/>
      <c r="R42" s="25"/>
      <c r="S42" s="25"/>
      <c r="T42" s="26"/>
      <c xmlns="http://schemas.openxmlformats.org/spreadsheetml/2006/main" r="U42" s="23">
        <f t="shared" si="0"/>
        <v>1.0</v>
      </c>
      <c xmlns="http://schemas.openxmlformats.org/spreadsheetml/2006/main" r="V42" s="22" t="str">
        <f t="shared" si="2"/>
        <v>▲ 單一設備依賴</v>
      </c>
      <c xmlns="http://schemas.openxmlformats.org/spreadsheetml/2006/main" r="W42" s="18" t="str">
        <f t="shared" si="1"/>
        <v>僅依賴1台設備，須確認故障/排修時之備援製程</v>
      </c>
      <c r="X42" s="22" t="s">
        <v>411</v>
      </c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744</v>
      </c>
      <c r="B43" s="22" t="s">
        <v>127</v>
      </c>
      <c r="C43" s="22" t="s">
        <v>106</v>
      </c>
      <c r="D43" s="22" t="s">
        <v>156</v>
      </c>
      <c r="E43" s="22" t="s">
        <v>486</v>
      </c>
      <c r="F43" s="23">
        <v>1</v>
      </c>
      <c r="G43" s="23" t="s">
        <v>75</v>
      </c>
      <c r="H43" s="24">
        <v>100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 t="s">
        <v>76</v>
      </c>
      <c xmlns="http://schemas.openxmlformats.org/spreadsheetml/2006/main" r="U43" s="23">
        <f t="shared" si="0"/>
        <v>0.0</v>
      </c>
      <c xmlns="http://schemas.openxmlformats.org/spreadsheetml/2006/main" r="V43" s="22" t="str">
        <f t="shared" si="2"/>
        <v>○ 免調理</v>
      </c>
      <c xmlns="http://schemas.openxmlformats.org/spreadsheetml/2006/main" r="W43" s="18" t="str">
        <f t="shared" si="1"/>
        <v>免調理半成品（外購/僅切配等），不列入設備風險評估</v>
      </c>
      <c r="X43" s="22" t="s">
        <v>524</v>
      </c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 t="s">
        <v>745</v>
      </c>
      <c r="B44" s="22" t="s">
        <v>127</v>
      </c>
      <c r="C44" s="22" t="s">
        <v>106</v>
      </c>
      <c r="D44" s="22" t="s">
        <v>165</v>
      </c>
      <c r="E44" s="22" t="s">
        <v>125</v>
      </c>
      <c r="F44" s="23">
        <v>95</v>
      </c>
      <c r="G44" s="23" t="s">
        <v>75</v>
      </c>
      <c r="H44" s="24">
        <v>92.8</v>
      </c>
      <c r="I44" s="25" t="s">
        <v>76</v>
      </c>
      <c r="J44" s="25"/>
      <c r="K44" s="25"/>
      <c r="L44" s="25"/>
      <c r="M44" s="25"/>
      <c r="N44" s="25"/>
      <c r="O44" s="25" t="s">
        <v>438</v>
      </c>
      <c r="P44" s="25"/>
      <c r="Q44" s="25"/>
      <c r="R44" s="25"/>
      <c r="S44" s="25"/>
      <c r="T44" s="26"/>
      <c xmlns="http://schemas.openxmlformats.org/spreadsheetml/2006/main" r="U44" s="23">
        <f t="shared" si="0"/>
        <v>2.0</v>
      </c>
      <c xmlns="http://schemas.openxmlformats.org/spreadsheetml/2006/main" r="V44" s="22" t="str">
        <f t="shared" si="2"/>
        <v>OK</v>
      </c>
      <c xmlns="http://schemas.openxmlformats.org/spreadsheetml/2006/main" r="W44" s="18" t="str">
        <f t="shared" si="1"/>
        <v>無異常</v>
      </c>
      <c r="X44" s="22" t="s">
        <v>412</v>
      </c>
      <c r="Y44" s="22"/>
      <c xmlns="http://schemas.openxmlformats.org/spreadsheetml/2006/main" r="Z44">
        <f>IF($D44="",0,IF(COUNTIF($D$5:$D44,$D44)=1,1,0))</f>
        <v>1.0</v>
      </c>
      <c xmlns="http://schemas.openxmlformats.org/spreadsheetml/2006/main" r="AA44">
        <f>IF(Z44=1,SUM($Z$5:$Z44),"")</f>
        <v>12.0</v>
      </c>
    </row>
    <row r="45" spans="1:27">
      <c r="A45" s="22" t="s">
        <v>745</v>
      </c>
      <c r="B45" s="22" t="s">
        <v>127</v>
      </c>
      <c r="C45" s="22" t="s">
        <v>106</v>
      </c>
      <c r="D45" s="22" t="s">
        <v>165</v>
      </c>
      <c r="E45" s="22" t="s">
        <v>151</v>
      </c>
      <c r="F45" s="23">
        <v>16</v>
      </c>
      <c r="G45" s="23" t="s">
        <v>75</v>
      </c>
      <c r="H45" s="24">
        <v>95</v>
      </c>
      <c r="I45" s="25"/>
      <c r="J45" s="25"/>
      <c r="K45" s="25"/>
      <c r="L45" s="25"/>
      <c r="M45" s="25" t="s">
        <v>76</v>
      </c>
      <c r="N45" s="25"/>
      <c r="O45" s="25" t="s">
        <v>76</v>
      </c>
      <c r="P45" s="25"/>
      <c r="Q45" s="25"/>
      <c r="R45" s="25"/>
      <c r="S45" s="25"/>
      <c r="T45" s="26"/>
      <c xmlns="http://schemas.openxmlformats.org/spreadsheetml/2006/main" r="U45" s="23">
        <f t="shared" si="0"/>
        <v>2.0</v>
      </c>
      <c xmlns="http://schemas.openxmlformats.org/spreadsheetml/2006/main" r="V45" s="22" t="str">
        <f t="shared" si="2"/>
        <v>OK</v>
      </c>
      <c xmlns="http://schemas.openxmlformats.org/spreadsheetml/2006/main" r="W45" s="18" t="str">
        <f t="shared" si="1"/>
        <v>無異常</v>
      </c>
      <c r="X45" s="22" t="s">
        <v>412</v>
      </c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745</v>
      </c>
      <c r="B46" s="22" t="s">
        <v>127</v>
      </c>
      <c r="C46" s="22" t="s">
        <v>106</v>
      </c>
      <c r="D46" s="22" t="s">
        <v>165</v>
      </c>
      <c r="E46" s="22" t="s">
        <v>481</v>
      </c>
      <c r="F46" s="23">
        <v>1</v>
      </c>
      <c r="G46" s="23" t="s">
        <v>77</v>
      </c>
      <c r="H46" s="24">
        <v>100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 t="s">
        <v>76</v>
      </c>
      <c xmlns="http://schemas.openxmlformats.org/spreadsheetml/2006/main" r="U46" s="23">
        <f t="shared" si="0"/>
        <v>0.0</v>
      </c>
      <c xmlns="http://schemas.openxmlformats.org/spreadsheetml/2006/main" r="V46" s="22" t="str">
        <f t="shared" si="2"/>
        <v>○ 免調理</v>
      </c>
      <c xmlns="http://schemas.openxmlformats.org/spreadsheetml/2006/main" r="W46" s="18" t="str">
        <f t="shared" si="1"/>
        <v>免調理半成品（外購/僅切配等），不列入設備風險評估</v>
      </c>
      <c r="X46" s="22" t="s">
        <v>525</v>
      </c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 t="s">
        <v>745</v>
      </c>
      <c r="B47" s="22" t="s">
        <v>127</v>
      </c>
      <c r="C47" s="22" t="s">
        <v>106</v>
      </c>
      <c r="D47" s="22" t="s">
        <v>166</v>
      </c>
      <c r="E47" s="22" t="s">
        <v>493</v>
      </c>
      <c r="F47" s="23">
        <v>95</v>
      </c>
      <c r="G47" s="23" t="s">
        <v>75</v>
      </c>
      <c r="H47" s="24">
        <v>92</v>
      </c>
      <c r="I47" s="25" t="s">
        <v>76</v>
      </c>
      <c r="J47" s="25"/>
      <c r="K47" s="25"/>
      <c r="L47" s="25"/>
      <c r="M47" s="25"/>
      <c r="N47" s="25"/>
      <c r="O47" s="25" t="s">
        <v>438</v>
      </c>
      <c r="P47" s="25"/>
      <c r="Q47" s="25"/>
      <c r="R47" s="25"/>
      <c r="S47" s="25"/>
      <c r="T47" s="26"/>
      <c xmlns="http://schemas.openxmlformats.org/spreadsheetml/2006/main" r="U47" s="23">
        <f t="shared" si="0"/>
        <v>2.0</v>
      </c>
      <c xmlns="http://schemas.openxmlformats.org/spreadsheetml/2006/main" r="V47" s="22" t="str">
        <f t="shared" si="2"/>
        <v>OK</v>
      </c>
      <c xmlns="http://schemas.openxmlformats.org/spreadsheetml/2006/main" r="W47" s="18" t="str">
        <f t="shared" si="1"/>
        <v>無異常</v>
      </c>
      <c r="X47" s="22" t="s">
        <v>413</v>
      </c>
      <c r="Y47" s="22"/>
      <c xmlns="http://schemas.openxmlformats.org/spreadsheetml/2006/main" r="Z47">
        <f>IF($D47="",0,IF(COUNTIF($D$5:$D47,$D47)=1,1,0))</f>
        <v>1.0</v>
      </c>
      <c xmlns="http://schemas.openxmlformats.org/spreadsheetml/2006/main" r="AA47">
        <f>IF(Z47=1,SUM($Z$5:$Z47),"")</f>
        <v>13.0</v>
      </c>
    </row>
    <row r="48" spans="1:27">
      <c r="A48" s="22" t="s">
        <v>745</v>
      </c>
      <c r="B48" s="22" t="s">
        <v>127</v>
      </c>
      <c r="C48" s="22" t="s">
        <v>106</v>
      </c>
      <c r="D48" s="22" t="s">
        <v>166</v>
      </c>
      <c r="E48" s="22" t="s">
        <v>494</v>
      </c>
      <c r="F48" s="23">
        <v>10</v>
      </c>
      <c r="G48" s="23" t="s">
        <v>75</v>
      </c>
      <c r="H48" s="24">
        <v>97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 t="s">
        <v>438</v>
      </c>
      <c xmlns="http://schemas.openxmlformats.org/spreadsheetml/2006/main" r="U48" s="23">
        <f t="shared" si="0"/>
        <v>0.0</v>
      </c>
      <c xmlns="http://schemas.openxmlformats.org/spreadsheetml/2006/main" r="V48" s="22" t="str">
        <f t="shared" si="2"/>
        <v>○ 免調理</v>
      </c>
      <c xmlns="http://schemas.openxmlformats.org/spreadsheetml/2006/main" r="W48" s="18" t="str">
        <f t="shared" si="1"/>
        <v>免調理半成品（外購/僅切配等），不列入設備風險評估</v>
      </c>
      <c r="X48" s="22" t="s">
        <v>413</v>
      </c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 t="s">
        <v>745</v>
      </c>
      <c r="B49" s="22" t="s">
        <v>127</v>
      </c>
      <c r="C49" s="22" t="s">
        <v>106</v>
      </c>
      <c r="D49" s="22" t="s">
        <v>166</v>
      </c>
      <c r="E49" s="22" t="s">
        <v>495</v>
      </c>
      <c r="F49" s="23">
        <v>2</v>
      </c>
      <c r="G49" s="23" t="s">
        <v>75</v>
      </c>
      <c r="H49" s="24">
        <v>95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 t="s">
        <v>438</v>
      </c>
      <c xmlns="http://schemas.openxmlformats.org/spreadsheetml/2006/main" r="U49" s="23">
        <f t="shared" si="0"/>
        <v>0.0</v>
      </c>
      <c xmlns="http://schemas.openxmlformats.org/spreadsheetml/2006/main" r="V49" s="22" t="str">
        <f t="shared" si="2"/>
        <v>○ 免調理</v>
      </c>
      <c xmlns="http://schemas.openxmlformats.org/spreadsheetml/2006/main" r="W49" s="18" t="str">
        <f t="shared" si="1"/>
        <v>免調理半成品（外購/僅切配等），不列入設備風險評估</v>
      </c>
      <c r="X49" s="22" t="s">
        <v>413</v>
      </c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745</v>
      </c>
      <c r="B50" s="22" t="s">
        <v>127</v>
      </c>
      <c r="C50" s="22" t="s">
        <v>106</v>
      </c>
      <c r="D50" s="22" t="s">
        <v>166</v>
      </c>
      <c r="E50" s="22" t="s">
        <v>496</v>
      </c>
      <c r="F50" s="23">
        <v>1</v>
      </c>
      <c r="G50" s="23" t="s">
        <v>77</v>
      </c>
      <c r="H50" s="24">
        <v>100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 t="s">
        <v>76</v>
      </c>
      <c xmlns="http://schemas.openxmlformats.org/spreadsheetml/2006/main" r="U50" s="23">
        <f t="shared" si="0"/>
        <v>0.0</v>
      </c>
      <c xmlns="http://schemas.openxmlformats.org/spreadsheetml/2006/main" r="V50" s="22" t="str">
        <f t="shared" si="2"/>
        <v>○ 免調理</v>
      </c>
      <c xmlns="http://schemas.openxmlformats.org/spreadsheetml/2006/main" r="W50" s="18" t="str">
        <f t="shared" si="1"/>
        <v>免調理半成品（外購/僅切配等），不列入設備風險評估</v>
      </c>
      <c r="X50" s="22" t="s">
        <v>526</v>
      </c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 t="s">
        <v>745</v>
      </c>
      <c r="B51" s="22" t="s">
        <v>127</v>
      </c>
      <c r="C51" s="22" t="s">
        <v>106</v>
      </c>
      <c r="D51" s="22" t="s">
        <v>167</v>
      </c>
      <c r="E51" s="22" t="s">
        <v>133</v>
      </c>
      <c r="F51" s="23">
        <v>95</v>
      </c>
      <c r="G51" s="23" t="s">
        <v>75</v>
      </c>
      <c r="H51" s="24">
        <v>92.9</v>
      </c>
      <c r="I51" s="25" t="s">
        <v>76</v>
      </c>
      <c r="J51" s="25"/>
      <c r="K51" s="25"/>
      <c r="L51" s="25"/>
      <c r="M51" s="25"/>
      <c r="N51" s="25"/>
      <c r="O51" s="25" t="s">
        <v>438</v>
      </c>
      <c r="P51" s="25"/>
      <c r="Q51" s="25"/>
      <c r="R51" s="25"/>
      <c r="S51" s="25"/>
      <c r="T51" s="26"/>
      <c xmlns="http://schemas.openxmlformats.org/spreadsheetml/2006/main" r="U51" s="23">
        <f t="shared" si="0"/>
        <v>2.0</v>
      </c>
      <c xmlns="http://schemas.openxmlformats.org/spreadsheetml/2006/main" r="V51" s="22" t="str">
        <f t="shared" si="2"/>
        <v>OK</v>
      </c>
      <c xmlns="http://schemas.openxmlformats.org/spreadsheetml/2006/main" r="W51" s="18" t="str">
        <f t="shared" si="1"/>
        <v>無異常</v>
      </c>
      <c r="X51" s="22" t="s">
        <v>414</v>
      </c>
      <c r="Y51" s="22"/>
      <c xmlns="http://schemas.openxmlformats.org/spreadsheetml/2006/main" r="Z51">
        <f>IF($D51="",0,IF(COUNTIF($D$5:$D51,$D51)=1,1,0))</f>
        <v>1.0</v>
      </c>
      <c xmlns="http://schemas.openxmlformats.org/spreadsheetml/2006/main" r="AA51">
        <f>IF(Z51=1,SUM($Z$5:$Z51),"")</f>
        <v>14.0</v>
      </c>
    </row>
    <row r="52" spans="1:27">
      <c r="A52" s="22" t="s">
        <v>745</v>
      </c>
      <c r="B52" s="22" t="s">
        <v>127</v>
      </c>
      <c r="C52" s="22" t="s">
        <v>106</v>
      </c>
      <c r="D52" s="22" t="s">
        <v>167</v>
      </c>
      <c r="E52" s="22" t="s">
        <v>152</v>
      </c>
      <c r="F52" s="23">
        <v>14</v>
      </c>
      <c r="G52" s="23" t="s">
        <v>75</v>
      </c>
      <c r="H52" s="24">
        <v>72.2</v>
      </c>
      <c r="I52" s="25"/>
      <c r="J52" s="25"/>
      <c r="K52" s="25"/>
      <c r="L52" s="25"/>
      <c r="M52" s="25"/>
      <c r="N52" s="25"/>
      <c r="O52" s="25" t="s">
        <v>438</v>
      </c>
      <c r="P52" s="25"/>
      <c r="Q52" s="25"/>
      <c r="R52" s="25"/>
      <c r="S52" s="25"/>
      <c r="T52" s="26"/>
      <c xmlns="http://schemas.openxmlformats.org/spreadsheetml/2006/main" r="U52" s="23">
        <f t="shared" si="0"/>
        <v>1.0</v>
      </c>
      <c xmlns="http://schemas.openxmlformats.org/spreadsheetml/2006/main" r="V52" s="22" t="str">
        <f t="shared" si="2"/>
        <v>▲ 單一設備依賴</v>
      </c>
      <c xmlns="http://schemas.openxmlformats.org/spreadsheetml/2006/main" r="W52" s="18" t="str">
        <f t="shared" si="1"/>
        <v>僅依賴1台設備，須確認故障/排修時之備援製程</v>
      </c>
      <c r="X52" s="22" t="s">
        <v>415</v>
      </c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 t="s">
        <v>745</v>
      </c>
      <c r="B53" s="22" t="s">
        <v>127</v>
      </c>
      <c r="C53" s="22" t="s">
        <v>106</v>
      </c>
      <c r="D53" s="22" t="s">
        <v>167</v>
      </c>
      <c r="E53" s="22" t="s">
        <v>486</v>
      </c>
      <c r="F53" s="23">
        <v>1</v>
      </c>
      <c r="G53" s="23" t="s">
        <v>77</v>
      </c>
      <c r="H53" s="24">
        <v>100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 t="s">
        <v>76</v>
      </c>
      <c xmlns="http://schemas.openxmlformats.org/spreadsheetml/2006/main" r="U53" s="23">
        <f t="shared" si="0"/>
        <v>0.0</v>
      </c>
      <c xmlns="http://schemas.openxmlformats.org/spreadsheetml/2006/main" r="V53" s="22" t="str">
        <f t="shared" si="2"/>
        <v>○ 免調理</v>
      </c>
      <c xmlns="http://schemas.openxmlformats.org/spreadsheetml/2006/main" r="W53" s="18" t="str">
        <f t="shared" si="1"/>
        <v>免調理半成品（外購/僅切配等），不列入設備風險評估</v>
      </c>
      <c r="X53" s="22" t="s">
        <v>414</v>
      </c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 t="s">
        <v>745</v>
      </c>
      <c r="B54" s="22" t="s">
        <v>127</v>
      </c>
      <c r="C54" s="22" t="s">
        <v>106</v>
      </c>
      <c r="D54" s="22" t="s">
        <v>168</v>
      </c>
      <c r="E54" s="22" t="s">
        <v>125</v>
      </c>
      <c r="F54" s="23">
        <v>95</v>
      </c>
      <c r="G54" s="23" t="s">
        <v>75</v>
      </c>
      <c r="H54" s="24">
        <v>92.8</v>
      </c>
      <c r="I54" s="25" t="s">
        <v>76</v>
      </c>
      <c r="J54" s="25"/>
      <c r="K54" s="25"/>
      <c r="L54" s="25"/>
      <c r="M54" s="25"/>
      <c r="N54" s="25"/>
      <c r="O54" s="25" t="s">
        <v>438</v>
      </c>
      <c r="P54" s="25"/>
      <c r="Q54" s="25"/>
      <c r="R54" s="25"/>
      <c r="S54" s="25"/>
      <c r="T54" s="26"/>
      <c xmlns="http://schemas.openxmlformats.org/spreadsheetml/2006/main" r="U54" s="23">
        <f t="shared" si="0"/>
        <v>2.0</v>
      </c>
      <c xmlns="http://schemas.openxmlformats.org/spreadsheetml/2006/main" r="V54" s="22" t="str">
        <f t="shared" si="2"/>
        <v>OK</v>
      </c>
      <c xmlns="http://schemas.openxmlformats.org/spreadsheetml/2006/main" r="W54" s="18" t="str">
        <f t="shared" si="1"/>
        <v>無異常</v>
      </c>
      <c r="X54" s="22" t="s">
        <v>416</v>
      </c>
      <c r="Y54" s="22"/>
      <c xmlns="http://schemas.openxmlformats.org/spreadsheetml/2006/main" r="Z54">
        <f>IF($D54="",0,IF(COUNTIF($D$5:$D54,$D54)=1,1,0))</f>
        <v>1.0</v>
      </c>
      <c xmlns="http://schemas.openxmlformats.org/spreadsheetml/2006/main" r="AA54">
        <f>IF(Z54=1,SUM($Z$5:$Z54),"")</f>
        <v>15.0</v>
      </c>
    </row>
    <row r="55" spans="1:27">
      <c r="A55" s="22" t="s">
        <v>745</v>
      </c>
      <c r="B55" s="22" t="s">
        <v>127</v>
      </c>
      <c r="C55" s="22" t="s">
        <v>106</v>
      </c>
      <c r="D55" s="22" t="s">
        <v>168</v>
      </c>
      <c r="E55" s="22" t="s">
        <v>153</v>
      </c>
      <c r="F55" s="23">
        <v>19</v>
      </c>
      <c r="G55" s="23" t="s">
        <v>75</v>
      </c>
      <c r="H55" s="24">
        <v>95</v>
      </c>
      <c r="I55" s="25"/>
      <c r="J55" s="25"/>
      <c r="K55" s="25"/>
      <c r="L55" s="25"/>
      <c r="M55" s="25"/>
      <c r="N55" s="25"/>
      <c r="O55" s="25" t="s">
        <v>76</v>
      </c>
      <c r="P55" s="25"/>
      <c r="Q55" s="25"/>
      <c r="R55" s="25"/>
      <c r="S55" s="25"/>
      <c r="T55" s="26"/>
      <c xmlns="http://schemas.openxmlformats.org/spreadsheetml/2006/main" r="U55" s="23">
        <f t="shared" si="0"/>
        <v>1.0</v>
      </c>
      <c xmlns="http://schemas.openxmlformats.org/spreadsheetml/2006/main" r="V55" s="22" t="str">
        <f t="shared" si="2"/>
        <v>▲ 單一設備依賴</v>
      </c>
      <c xmlns="http://schemas.openxmlformats.org/spreadsheetml/2006/main" r="W55" s="18" t="str">
        <f t="shared" si="1"/>
        <v>僅依賴1台設備，須確認故障/排修時之備援製程</v>
      </c>
      <c r="X55" s="22" t="s">
        <v>416</v>
      </c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 t="s">
        <v>745</v>
      </c>
      <c r="B56" s="22" t="s">
        <v>127</v>
      </c>
      <c r="C56" s="22" t="s">
        <v>106</v>
      </c>
      <c r="D56" s="22" t="s">
        <v>168</v>
      </c>
      <c r="E56" s="22" t="s">
        <v>487</v>
      </c>
      <c r="F56" s="23">
        <v>1</v>
      </c>
      <c r="G56" s="23" t="s">
        <v>77</v>
      </c>
      <c r="H56" s="24">
        <v>100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 t="s">
        <v>76</v>
      </c>
      <c xmlns="http://schemas.openxmlformats.org/spreadsheetml/2006/main" r="U56" s="23">
        <f t="shared" si="0"/>
        <v>0.0</v>
      </c>
      <c xmlns="http://schemas.openxmlformats.org/spreadsheetml/2006/main" r="V56" s="22" t="str">
        <f t="shared" si="2"/>
        <v>○ 免調理</v>
      </c>
      <c xmlns="http://schemas.openxmlformats.org/spreadsheetml/2006/main" r="W56" s="18" t="str">
        <f t="shared" si="1"/>
        <v>免調理半成品（外購/僅切配等），不列入設備風險評估</v>
      </c>
      <c r="X56" s="22" t="s">
        <v>527</v>
      </c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 t="s">
        <v>745</v>
      </c>
      <c r="B57" s="22" t="s">
        <v>127</v>
      </c>
      <c r="C57" s="22" t="s">
        <v>106</v>
      </c>
      <c r="D57" s="22" t="s">
        <v>157</v>
      </c>
      <c r="E57" s="22" t="s">
        <v>141</v>
      </c>
      <c r="F57" s="23">
        <v>95</v>
      </c>
      <c r="G57" s="23" t="s">
        <v>75</v>
      </c>
      <c r="H57" s="24">
        <v>92</v>
      </c>
      <c r="I57" s="25" t="s">
        <v>76</v>
      </c>
      <c r="J57" s="25"/>
      <c r="K57" s="25"/>
      <c r="L57" s="25"/>
      <c r="M57" s="25"/>
      <c r="N57" s="25"/>
      <c r="O57" s="25" t="s">
        <v>438</v>
      </c>
      <c r="P57" s="25"/>
      <c r="Q57" s="25"/>
      <c r="R57" s="25"/>
      <c r="S57" s="25"/>
      <c r="T57" s="26"/>
      <c xmlns="http://schemas.openxmlformats.org/spreadsheetml/2006/main" r="U57" s="23">
        <f t="shared" si="0"/>
        <v>2.0</v>
      </c>
      <c xmlns="http://schemas.openxmlformats.org/spreadsheetml/2006/main" r="V57" s="22" t="str">
        <f t="shared" si="2"/>
        <v>OK</v>
      </c>
      <c xmlns="http://schemas.openxmlformats.org/spreadsheetml/2006/main" r="W57" s="18" t="str">
        <f t="shared" si="1"/>
        <v>無異常</v>
      </c>
      <c r="X57" s="22" t="s">
        <v>417</v>
      </c>
      <c r="Y57" s="22"/>
      <c xmlns="http://schemas.openxmlformats.org/spreadsheetml/2006/main" r="Z57">
        <f>IF($D57="",0,IF(COUNTIF($D$5:$D57,$D57)=1,1,0))</f>
        <v>1.0</v>
      </c>
      <c xmlns="http://schemas.openxmlformats.org/spreadsheetml/2006/main" r="AA57">
        <f>IF(Z57=1,SUM($Z$5:$Z57),"")</f>
        <v>16.0</v>
      </c>
    </row>
    <row r="58" spans="1:27">
      <c r="A58" s="22" t="s">
        <v>745</v>
      </c>
      <c r="B58" s="22" t="s">
        <v>127</v>
      </c>
      <c r="C58" s="22" t="s">
        <v>106</v>
      </c>
      <c r="D58" s="22" t="s">
        <v>157</v>
      </c>
      <c r="E58" s="22" t="s">
        <v>158</v>
      </c>
      <c r="F58" s="23">
        <v>1</v>
      </c>
      <c r="G58" s="23" t="s">
        <v>155</v>
      </c>
      <c r="H58" s="24">
        <v>100</v>
      </c>
      <c r="I58" s="25"/>
      <c r="J58" s="25"/>
      <c r="K58" s="25" t="s">
        <v>76</v>
      </c>
      <c r="L58" s="25" t="s">
        <v>438</v>
      </c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>
        <f t="shared" si="0"/>
        <v>2.0</v>
      </c>
      <c xmlns="http://schemas.openxmlformats.org/spreadsheetml/2006/main" r="V58" s="22" t="str">
        <f t="shared" si="2"/>
        <v>OK</v>
      </c>
      <c xmlns="http://schemas.openxmlformats.org/spreadsheetml/2006/main" r="W58" s="18" t="str">
        <f t="shared" si="1"/>
        <v>無異常</v>
      </c>
      <c r="X58" s="22" t="s">
        <v>417</v>
      </c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 t="s">
        <v>745</v>
      </c>
      <c r="B59" s="22" t="s">
        <v>127</v>
      </c>
      <c r="C59" s="22" t="s">
        <v>106</v>
      </c>
      <c r="D59" s="22" t="s">
        <v>157</v>
      </c>
      <c r="E59" s="22" t="s">
        <v>497</v>
      </c>
      <c r="F59" s="23">
        <v>1</v>
      </c>
      <c r="G59" s="23" t="s">
        <v>77</v>
      </c>
      <c r="H59" s="24">
        <v>100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 t="s">
        <v>76</v>
      </c>
      <c xmlns="http://schemas.openxmlformats.org/spreadsheetml/2006/main" r="U59" s="23">
        <f t="shared" si="0"/>
        <v>0.0</v>
      </c>
      <c xmlns="http://schemas.openxmlformats.org/spreadsheetml/2006/main" r="V59" s="22" t="str">
        <f t="shared" si="2"/>
        <v>○ 免調理</v>
      </c>
      <c xmlns="http://schemas.openxmlformats.org/spreadsheetml/2006/main" r="W59" s="18" t="str">
        <f t="shared" si="1"/>
        <v>免調理半成品（外購/僅切配等），不列入設備風險評估</v>
      </c>
      <c r="X59" s="22" t="s">
        <v>528</v>
      </c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745</v>
      </c>
      <c r="B60" s="22" t="s">
        <v>127</v>
      </c>
      <c r="C60" s="22" t="s">
        <v>106</v>
      </c>
      <c r="D60" s="22" t="s">
        <v>159</v>
      </c>
      <c r="E60" s="22" t="s">
        <v>125</v>
      </c>
      <c r="F60" s="23">
        <v>95</v>
      </c>
      <c r="G60" s="23" t="s">
        <v>75</v>
      </c>
      <c r="H60" s="24">
        <v>92.8</v>
      </c>
      <c r="I60" s="25" t="s">
        <v>76</v>
      </c>
      <c r="J60" s="25"/>
      <c r="K60" s="25"/>
      <c r="L60" s="25"/>
      <c r="M60" s="25"/>
      <c r="N60" s="25"/>
      <c r="O60" s="25" t="s">
        <v>438</v>
      </c>
      <c r="P60" s="25"/>
      <c r="Q60" s="25"/>
      <c r="R60" s="25"/>
      <c r="S60" s="25"/>
      <c r="T60" s="26"/>
      <c xmlns="http://schemas.openxmlformats.org/spreadsheetml/2006/main" r="U60" s="23">
        <f t="shared" si="0"/>
        <v>2.0</v>
      </c>
      <c xmlns="http://schemas.openxmlformats.org/spreadsheetml/2006/main" r="V60" s="22" t="str">
        <f t="shared" si="2"/>
        <v>OK</v>
      </c>
      <c xmlns="http://schemas.openxmlformats.org/spreadsheetml/2006/main" r="W60" s="18" t="str">
        <f t="shared" si="1"/>
        <v>無異常</v>
      </c>
      <c r="X60" s="22" t="s">
        <v>418</v>
      </c>
      <c r="Y60" s="22"/>
      <c xmlns="http://schemas.openxmlformats.org/spreadsheetml/2006/main" r="Z60">
        <f>IF($D60="",0,IF(COUNTIF($D$5:$D60,$D60)=1,1,0))</f>
        <v>1.0</v>
      </c>
      <c xmlns="http://schemas.openxmlformats.org/spreadsheetml/2006/main" r="AA60">
        <f>IF(Z60=1,SUM($Z$5:$Z60),"")</f>
        <v>17.0</v>
      </c>
    </row>
    <row r="61" spans="1:27">
      <c r="A61" s="22" t="s">
        <v>745</v>
      </c>
      <c r="B61" s="22" t="s">
        <v>127</v>
      </c>
      <c r="C61" s="22" t="s">
        <v>106</v>
      </c>
      <c r="D61" s="22" t="s">
        <v>159</v>
      </c>
      <c r="E61" s="22" t="s">
        <v>131</v>
      </c>
      <c r="F61" s="23">
        <v>11</v>
      </c>
      <c r="G61" s="23" t="s">
        <v>75</v>
      </c>
      <c r="H61" s="24">
        <v>55.2</v>
      </c>
      <c r="I61" s="25"/>
      <c r="J61" s="25"/>
      <c r="K61" s="25"/>
      <c r="L61" s="25"/>
      <c r="M61" s="25"/>
      <c r="N61" s="25"/>
      <c r="O61" s="25" t="s">
        <v>76</v>
      </c>
      <c r="P61" s="25"/>
      <c r="Q61" s="25"/>
      <c r="R61" s="25"/>
      <c r="S61" s="25"/>
      <c r="T61" s="26"/>
      <c xmlns="http://schemas.openxmlformats.org/spreadsheetml/2006/main" r="U61" s="23">
        <f t="shared" si="0"/>
        <v>1.0</v>
      </c>
      <c xmlns="http://schemas.openxmlformats.org/spreadsheetml/2006/main" r="V61" s="22" t="str">
        <f t="shared" si="2"/>
        <v>▲ 單一設備依賴</v>
      </c>
      <c xmlns="http://schemas.openxmlformats.org/spreadsheetml/2006/main" r="W61" s="18" t="str">
        <f t="shared" si="1"/>
        <v>僅依賴1台設備，須確認故障/排修時之備援製程</v>
      </c>
      <c r="X61" s="22" t="s">
        <v>418</v>
      </c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 t="s">
        <v>745</v>
      </c>
      <c r="B62" s="22" t="s">
        <v>127</v>
      </c>
      <c r="C62" s="22" t="s">
        <v>106</v>
      </c>
      <c r="D62" s="22" t="s">
        <v>159</v>
      </c>
      <c r="E62" s="22" t="s">
        <v>129</v>
      </c>
      <c r="F62" s="23">
        <v>8</v>
      </c>
      <c r="G62" s="23" t="s">
        <v>75</v>
      </c>
      <c r="H62" s="24">
        <v>71.8</v>
      </c>
      <c r="I62" s="25"/>
      <c r="J62" s="25"/>
      <c r="K62" s="25"/>
      <c r="L62" s="25"/>
      <c r="M62" s="25" t="s">
        <v>76</v>
      </c>
      <c r="N62" s="25"/>
      <c r="O62" s="25"/>
      <c r="P62" s="25"/>
      <c r="Q62" s="25"/>
      <c r="R62" s="25"/>
      <c r="S62" s="25"/>
      <c r="T62" s="26"/>
      <c xmlns="http://schemas.openxmlformats.org/spreadsheetml/2006/main" r="U62" s="23">
        <f t="shared" si="0"/>
        <v>1.0</v>
      </c>
      <c xmlns="http://schemas.openxmlformats.org/spreadsheetml/2006/main" r="V62" s="22" t="str">
        <f t="shared" si="2"/>
        <v>▲ 單一設備依賴</v>
      </c>
      <c xmlns="http://schemas.openxmlformats.org/spreadsheetml/2006/main" r="W62" s="18" t="str">
        <f t="shared" si="1"/>
        <v>僅依賴1台設備，須確認故障/排修時之備援製程</v>
      </c>
      <c r="X62" s="22" t="s">
        <v>419</v>
      </c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745</v>
      </c>
      <c r="B63" s="22" t="s">
        <v>127</v>
      </c>
      <c r="C63" s="22" t="s">
        <v>106</v>
      </c>
      <c r="D63" s="22" t="s">
        <v>159</v>
      </c>
      <c r="E63" s="22" t="s">
        <v>498</v>
      </c>
      <c r="F63" s="23">
        <v>1</v>
      </c>
      <c r="G63" s="23" t="s">
        <v>499</v>
      </c>
      <c r="H63" s="24">
        <v>100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 t="s">
        <v>76</v>
      </c>
      <c xmlns="http://schemas.openxmlformats.org/spreadsheetml/2006/main" r="U63" s="23">
        <f t="shared" si="0"/>
        <v>0.0</v>
      </c>
      <c xmlns="http://schemas.openxmlformats.org/spreadsheetml/2006/main" r="V63" s="22" t="str">
        <f t="shared" si="2"/>
        <v>○ 免調理</v>
      </c>
      <c xmlns="http://schemas.openxmlformats.org/spreadsheetml/2006/main" r="W63" s="18" t="str">
        <f t="shared" si="1"/>
        <v>免調理半成品（外購/僅切配等），不列入設備風險評估</v>
      </c>
      <c r="X63" s="22" t="s">
        <v>419</v>
      </c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 t="s">
        <v>745</v>
      </c>
      <c r="B64" s="22" t="s">
        <v>127</v>
      </c>
      <c r="C64" s="22" t="s">
        <v>106</v>
      </c>
      <c r="D64" s="22" t="s">
        <v>160</v>
      </c>
      <c r="E64" s="22" t="s">
        <v>125</v>
      </c>
      <c r="F64" s="23">
        <v>95</v>
      </c>
      <c r="G64" s="23" t="s">
        <v>75</v>
      </c>
      <c r="H64" s="24">
        <v>92.8</v>
      </c>
      <c r="I64" s="25" t="s">
        <v>76</v>
      </c>
      <c r="J64" s="25"/>
      <c r="K64" s="25"/>
      <c r="L64" s="25"/>
      <c r="M64" s="25"/>
      <c r="N64" s="25"/>
      <c r="O64" s="25" t="s">
        <v>438</v>
      </c>
      <c r="P64" s="25"/>
      <c r="Q64" s="25"/>
      <c r="R64" s="25"/>
      <c r="S64" s="25"/>
      <c r="T64" s="26"/>
      <c xmlns="http://schemas.openxmlformats.org/spreadsheetml/2006/main" r="U64" s="23">
        <f t="shared" si="0"/>
        <v>2.0</v>
      </c>
      <c xmlns="http://schemas.openxmlformats.org/spreadsheetml/2006/main" r="V64" s="22" t="str">
        <f t="shared" si="2"/>
        <v>OK</v>
      </c>
      <c xmlns="http://schemas.openxmlformats.org/spreadsheetml/2006/main" r="W64" s="18" t="str">
        <f t="shared" si="1"/>
        <v>無異常</v>
      </c>
      <c r="X64" s="22" t="s">
        <v>420</v>
      </c>
      <c r="Y64" s="22"/>
      <c xmlns="http://schemas.openxmlformats.org/spreadsheetml/2006/main" r="Z64">
        <f>IF($D64="",0,IF(COUNTIF($D$5:$D64,$D64)=1,1,0))</f>
        <v>1.0</v>
      </c>
      <c xmlns="http://schemas.openxmlformats.org/spreadsheetml/2006/main" r="AA64">
        <f>IF(Z64=1,SUM($Z$5:$Z64),"")</f>
        <v>18.0</v>
      </c>
    </row>
    <row r="65" spans="1:27">
      <c r="A65" s="22" t="s">
        <v>745</v>
      </c>
      <c r="B65" s="22" t="s">
        <v>127</v>
      </c>
      <c r="C65" s="22" t="s">
        <v>106</v>
      </c>
      <c r="D65" s="22" t="s">
        <v>160</v>
      </c>
      <c r="E65" s="22" t="s">
        <v>128</v>
      </c>
      <c r="F65" s="23">
        <v>19</v>
      </c>
      <c r="G65" s="23" t="s">
        <v>75</v>
      </c>
      <c r="H65" s="24">
        <v>95</v>
      </c>
      <c r="I65" s="25"/>
      <c r="J65" s="25"/>
      <c r="K65" s="25"/>
      <c r="L65" s="25"/>
      <c r="M65" s="25"/>
      <c r="N65" s="25"/>
      <c r="O65" s="25" t="s">
        <v>76</v>
      </c>
      <c r="P65" s="25"/>
      <c r="Q65" s="25"/>
      <c r="R65" s="25"/>
      <c r="S65" s="25"/>
      <c r="T65" s="26"/>
      <c xmlns="http://schemas.openxmlformats.org/spreadsheetml/2006/main" r="U65" s="23">
        <f t="shared" si="0"/>
        <v>1.0</v>
      </c>
      <c xmlns="http://schemas.openxmlformats.org/spreadsheetml/2006/main" r="V65" s="22" t="str">
        <f t="shared" si="2"/>
        <v>▲ 單一設備依賴</v>
      </c>
      <c xmlns="http://schemas.openxmlformats.org/spreadsheetml/2006/main" r="W65" s="18" t="str">
        <f t="shared" si="1"/>
        <v>僅依賴1台設備，須確認故障/排修時之備援製程</v>
      </c>
      <c r="X65" s="22" t="s">
        <v>420</v>
      </c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 t="s">
        <v>745</v>
      </c>
      <c r="B66" s="22" t="s">
        <v>127</v>
      </c>
      <c r="C66" s="22" t="s">
        <v>106</v>
      </c>
      <c r="D66" s="22" t="s">
        <v>160</v>
      </c>
      <c r="E66" s="22" t="s">
        <v>500</v>
      </c>
      <c r="F66" s="23">
        <v>1</v>
      </c>
      <c r="G66" s="23" t="s">
        <v>77</v>
      </c>
      <c r="H66" s="24">
        <v>100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 t="s">
        <v>76</v>
      </c>
      <c xmlns="http://schemas.openxmlformats.org/spreadsheetml/2006/main" r="U66" s="23">
        <f t="shared" si="0"/>
        <v>0.0</v>
      </c>
      <c xmlns="http://schemas.openxmlformats.org/spreadsheetml/2006/main" r="V66" s="22" t="str">
        <f t="shared" si="2"/>
        <v>○ 免調理</v>
      </c>
      <c xmlns="http://schemas.openxmlformats.org/spreadsheetml/2006/main" r="W66" s="18" t="str">
        <f t="shared" si="1"/>
        <v>免調理半成品（外購/僅切配等），不列入設備風險評估</v>
      </c>
      <c r="X66" s="22" t="s">
        <v>529</v>
      </c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745</v>
      </c>
      <c r="B67" s="22" t="s">
        <v>127</v>
      </c>
      <c r="C67" s="22" t="s">
        <v>106</v>
      </c>
      <c r="D67" s="22" t="s">
        <v>161</v>
      </c>
      <c r="E67" s="22" t="s">
        <v>125</v>
      </c>
      <c r="F67" s="23">
        <v>95</v>
      </c>
      <c r="G67" s="23" t="s">
        <v>75</v>
      </c>
      <c r="H67" s="24">
        <v>92.8</v>
      </c>
      <c r="I67" s="25" t="s">
        <v>76</v>
      </c>
      <c r="J67" s="25"/>
      <c r="K67" s="25"/>
      <c r="L67" s="25"/>
      <c r="M67" s="25"/>
      <c r="N67" s="25"/>
      <c r="O67" s="25" t="s">
        <v>438</v>
      </c>
      <c r="P67" s="25"/>
      <c r="Q67" s="25"/>
      <c r="R67" s="25"/>
      <c r="S67" s="25"/>
      <c r="T67" s="26"/>
      <c xmlns="http://schemas.openxmlformats.org/spreadsheetml/2006/main" r="U67" s="23">
        <f t="shared" si="0"/>
        <v>2.0</v>
      </c>
      <c xmlns="http://schemas.openxmlformats.org/spreadsheetml/2006/main" r="V67" s="22" t="str">
        <f t="shared" si="2"/>
        <v>OK</v>
      </c>
      <c xmlns="http://schemas.openxmlformats.org/spreadsheetml/2006/main" r="W67" s="18" t="str">
        <f t="shared" si="1"/>
        <v>無異常</v>
      </c>
      <c r="X67" s="22" t="s">
        <v>421</v>
      </c>
      <c r="Y67" s="22"/>
      <c xmlns="http://schemas.openxmlformats.org/spreadsheetml/2006/main" r="Z67">
        <f>IF($D67="",0,IF(COUNTIF($D$5:$D67,$D67)=1,1,0))</f>
        <v>1.0</v>
      </c>
      <c xmlns="http://schemas.openxmlformats.org/spreadsheetml/2006/main" r="AA67">
        <f>IF(Z67=1,SUM($Z$5:$Z67),"")</f>
        <v>19.0</v>
      </c>
    </row>
    <row r="68" spans="1:27">
      <c r="A68" s="22" t="s">
        <v>745</v>
      </c>
      <c r="B68" s="22" t="s">
        <v>127</v>
      </c>
      <c r="C68" s="22" t="s">
        <v>106</v>
      </c>
      <c r="D68" s="22" t="s">
        <v>161</v>
      </c>
      <c r="E68" s="22" t="s">
        <v>126</v>
      </c>
      <c r="F68" s="23">
        <v>18</v>
      </c>
      <c r="G68" s="23" t="s">
        <v>75</v>
      </c>
      <c r="H68" s="24">
        <v>95</v>
      </c>
      <c r="I68" s="25"/>
      <c r="J68" s="25"/>
      <c r="K68" s="25" t="s">
        <v>76</v>
      </c>
      <c r="L68" s="25"/>
      <c r="M68" s="25"/>
      <c r="N68" s="25"/>
      <c r="O68" s="25" t="s">
        <v>76</v>
      </c>
      <c r="P68" s="25"/>
      <c r="Q68" s="25"/>
      <c r="R68" s="25"/>
      <c r="S68" s="25"/>
      <c r="T68" s="26"/>
      <c xmlns="http://schemas.openxmlformats.org/spreadsheetml/2006/main" r="U68" s="23">
        <f t="shared" si="0"/>
        <v>2.0</v>
      </c>
      <c xmlns="http://schemas.openxmlformats.org/spreadsheetml/2006/main" r="V68" s="22" t="str">
        <f t="shared" si="2"/>
        <v>OK</v>
      </c>
      <c xmlns="http://schemas.openxmlformats.org/spreadsheetml/2006/main" r="W68" s="18" t="str">
        <f t="shared" si="1"/>
        <v>無異常</v>
      </c>
      <c r="X68" s="22" t="s">
        <v>421</v>
      </c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 t="s">
        <v>745</v>
      </c>
      <c r="B69" s="22" t="s">
        <v>127</v>
      </c>
      <c r="C69" s="22" t="s">
        <v>106</v>
      </c>
      <c r="D69" s="22" t="s">
        <v>161</v>
      </c>
      <c r="E69" s="22" t="s">
        <v>501</v>
      </c>
      <c r="F69" s="23">
        <v>1</v>
      </c>
      <c r="G69" s="23" t="s">
        <v>77</v>
      </c>
      <c r="H69" s="24">
        <v>100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 t="s">
        <v>76</v>
      </c>
      <c xmlns="http://schemas.openxmlformats.org/spreadsheetml/2006/main" r="U69" s="23">
        <f t="shared" si="0"/>
        <v>0.0</v>
      </c>
      <c xmlns="http://schemas.openxmlformats.org/spreadsheetml/2006/main" r="V69" s="22" t="str">
        <f t="shared" si="2"/>
        <v>○ 免調理</v>
      </c>
      <c xmlns="http://schemas.openxmlformats.org/spreadsheetml/2006/main" r="W69" s="18" t="str">
        <f t="shared" si="1"/>
        <v>免調理半成品（外購/僅切配等），不列入設備風險評估</v>
      </c>
      <c r="X69" s="22" t="s">
        <v>530</v>
      </c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744</v>
      </c>
      <c r="B70" s="22" t="s">
        <v>127</v>
      </c>
      <c r="C70" s="22" t="s">
        <v>106</v>
      </c>
      <c r="D70" s="22" t="s">
        <v>658</v>
      </c>
      <c r="E70" s="22" t="s">
        <v>138</v>
      </c>
      <c r="F70" s="23">
        <v>95</v>
      </c>
      <c r="G70" s="23" t="s">
        <v>75</v>
      </c>
      <c r="H70" s="24">
        <v>83.9</v>
      </c>
      <c r="I70" s="25" t="s">
        <v>76</v>
      </c>
      <c r="J70" s="25"/>
      <c r="K70" s="25"/>
      <c r="L70" s="25"/>
      <c r="M70" s="25"/>
      <c r="N70" s="25"/>
      <c r="O70" s="25" t="s">
        <v>438</v>
      </c>
      <c r="P70" s="25"/>
      <c r="Q70" s="25"/>
      <c r="R70" s="25"/>
      <c r="S70" s="25"/>
      <c r="T70" s="26"/>
      <c xmlns="http://schemas.openxmlformats.org/spreadsheetml/2006/main" r="U70" s="23">
        <f t="shared" si="0"/>
        <v>2.0</v>
      </c>
      <c xmlns="http://schemas.openxmlformats.org/spreadsheetml/2006/main" r="V70" s="22" t="str">
        <f t="shared" si="2"/>
        <v>OK</v>
      </c>
      <c xmlns="http://schemas.openxmlformats.org/spreadsheetml/2006/main" r="W70" s="18" t="str">
        <f t="shared" si="1"/>
        <v>無異常</v>
      </c>
      <c r="X70" s="22" t="s">
        <v>422</v>
      </c>
      <c r="Y70" s="22"/>
      <c xmlns="http://schemas.openxmlformats.org/spreadsheetml/2006/main" r="Z70">
        <f>IF($D70="",0,IF(COUNTIF($D$5:$D70,$D70)=1,1,0))</f>
        <v>1.0</v>
      </c>
      <c xmlns="http://schemas.openxmlformats.org/spreadsheetml/2006/main" r="AA70">
        <f>IF(Z70=1,SUM($Z$5:$Z70),"")</f>
        <v>20.0</v>
      </c>
    </row>
    <row r="71" spans="1:27">
      <c r="A71" s="22" t="s">
        <v>744</v>
      </c>
      <c r="B71" s="22" t="s">
        <v>127</v>
      </c>
      <c r="C71" s="22" t="s">
        <v>106</v>
      </c>
      <c r="D71" s="22" t="s">
        <v>658</v>
      </c>
      <c r="E71" s="22" t="s">
        <v>144</v>
      </c>
      <c r="F71" s="23">
        <v>5</v>
      </c>
      <c r="G71" s="23" t="s">
        <v>75</v>
      </c>
      <c r="H71" s="24">
        <v>90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 t="s">
        <v>438</v>
      </c>
      <c xmlns="http://schemas.openxmlformats.org/spreadsheetml/2006/main" r="U71" s="23">
        <f t="shared" si="0"/>
        <v>0.0</v>
      </c>
      <c xmlns="http://schemas.openxmlformats.org/spreadsheetml/2006/main" r="V71" s="22" t="str">
        <f t="shared" si="2"/>
        <v>○ 免調理</v>
      </c>
      <c xmlns="http://schemas.openxmlformats.org/spreadsheetml/2006/main" r="W71" s="18" t="str">
        <f t="shared" si="1"/>
        <v>免調理半成品（外購/僅切配等），不列入設備風險評估</v>
      </c>
      <c r="X71" s="22" t="s">
        <v>422</v>
      </c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 t="s">
        <v>744</v>
      </c>
      <c r="B72" s="22" t="s">
        <v>127</v>
      </c>
      <c r="C72" s="22" t="s">
        <v>106</v>
      </c>
      <c r="D72" s="22" t="s">
        <v>658</v>
      </c>
      <c r="E72" s="22" t="s">
        <v>139</v>
      </c>
      <c r="F72" s="23">
        <v>5</v>
      </c>
      <c r="G72" s="23" t="s">
        <v>75</v>
      </c>
      <c r="H72" s="24">
        <v>78</v>
      </c>
      <c r="I72" s="25"/>
      <c r="J72" s="25"/>
      <c r="K72" s="25"/>
      <c r="L72" s="25"/>
      <c r="M72" s="25"/>
      <c r="N72" s="25"/>
      <c r="O72" s="25" t="s">
        <v>76</v>
      </c>
      <c r="P72" s="25"/>
      <c r="Q72" s="25"/>
      <c r="R72" s="25"/>
      <c r="S72" s="25"/>
      <c r="T72" s="26"/>
      <c xmlns="http://schemas.openxmlformats.org/spreadsheetml/2006/main" r="U72" s="23">
        <f t="shared" si="0"/>
        <v>1.0</v>
      </c>
      <c xmlns="http://schemas.openxmlformats.org/spreadsheetml/2006/main" r="V72" s="22" t="str">
        <f t="shared" si="2"/>
        <v>▲ 單一設備依賴</v>
      </c>
      <c xmlns="http://schemas.openxmlformats.org/spreadsheetml/2006/main" r="W72" s="18" t="str">
        <f t="shared" si="1"/>
        <v>僅依賴1台設備，須確認故障/排修時之備援製程</v>
      </c>
      <c r="X72" s="22" t="s">
        <v>422</v>
      </c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 t="s">
        <v>745</v>
      </c>
      <c r="B73" s="22" t="s">
        <v>127</v>
      </c>
      <c r="C73" s="22" t="s">
        <v>106</v>
      </c>
      <c r="D73" s="22" t="s">
        <v>169</v>
      </c>
      <c r="E73" s="22" t="s">
        <v>125</v>
      </c>
      <c r="F73" s="23">
        <v>95</v>
      </c>
      <c r="G73" s="23" t="s">
        <v>75</v>
      </c>
      <c r="H73" s="24">
        <v>92.8</v>
      </c>
      <c r="I73" s="25" t="s">
        <v>76</v>
      </c>
      <c r="J73" s="25"/>
      <c r="K73" s="25"/>
      <c r="L73" s="25"/>
      <c r="M73" s="25"/>
      <c r="N73" s="25"/>
      <c r="O73" s="25" t="s">
        <v>438</v>
      </c>
      <c r="P73" s="25"/>
      <c r="Q73" s="25"/>
      <c r="R73" s="25"/>
      <c r="S73" s="25"/>
      <c r="T73" s="26"/>
      <c xmlns="http://schemas.openxmlformats.org/spreadsheetml/2006/main" r="U73" s="23">
        <f t="shared" si="0"/>
        <v>2.0</v>
      </c>
      <c xmlns="http://schemas.openxmlformats.org/spreadsheetml/2006/main" r="V73" s="22" t="str">
        <f t="shared" si="2"/>
        <v>OK</v>
      </c>
      <c xmlns="http://schemas.openxmlformats.org/spreadsheetml/2006/main" r="W73" s="18" t="str">
        <f t="shared" si="1"/>
        <v>無異常</v>
      </c>
      <c r="X73" s="22" t="s">
        <v>423</v>
      </c>
      <c r="Y73" s="22"/>
      <c xmlns="http://schemas.openxmlformats.org/spreadsheetml/2006/main" r="Z73">
        <f>IF($D73="",0,IF(COUNTIF($D$5:$D73,$D73)=1,1,0))</f>
        <v>1.0</v>
      </c>
      <c xmlns="http://schemas.openxmlformats.org/spreadsheetml/2006/main" r="AA73">
        <f>IF(Z73=1,SUM($Z$5:$Z73),"")</f>
        <v>21.0</v>
      </c>
    </row>
    <row r="74" spans="1:27">
      <c r="A74" s="22" t="s">
        <v>745</v>
      </c>
      <c r="B74" s="22" t="s">
        <v>127</v>
      </c>
      <c r="C74" s="22" t="s">
        <v>106</v>
      </c>
      <c r="D74" s="22" t="s">
        <v>169</v>
      </c>
      <c r="E74" s="22" t="s">
        <v>170</v>
      </c>
      <c r="F74" s="23">
        <v>6</v>
      </c>
      <c r="G74" s="23" t="s">
        <v>75</v>
      </c>
      <c r="H74" s="24">
        <v>95</v>
      </c>
      <c r="I74" s="25"/>
      <c r="J74" s="25"/>
      <c r="K74" s="25"/>
      <c r="L74" s="25"/>
      <c r="M74" s="25"/>
      <c r="N74" s="25"/>
      <c r="O74" s="25" t="s">
        <v>76</v>
      </c>
      <c r="P74" s="25"/>
      <c r="Q74" s="25"/>
      <c r="R74" s="25"/>
      <c r="S74" s="25"/>
      <c r="T74" s="26"/>
      <c xmlns="http://schemas.openxmlformats.org/spreadsheetml/2006/main" r="U74" s="23">
        <f t="shared" si="0"/>
        <v>1.0</v>
      </c>
      <c xmlns="http://schemas.openxmlformats.org/spreadsheetml/2006/main" r="V74" s="22" t="str">
        <f t="shared" si="2"/>
        <v>▲ 單一設備依賴</v>
      </c>
      <c xmlns="http://schemas.openxmlformats.org/spreadsheetml/2006/main" r="W74" s="18" t="str">
        <f t="shared" si="1"/>
        <v>僅依賴1台設備，須確認故障/排修時之備援製程</v>
      </c>
      <c r="X74" s="22" t="s">
        <v>423</v>
      </c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s">
        <v>745</v>
      </c>
      <c r="B75" s="22" t="s">
        <v>127</v>
      </c>
      <c r="C75" s="22" t="s">
        <v>106</v>
      </c>
      <c r="D75" s="22" t="s">
        <v>169</v>
      </c>
      <c r="E75" s="22" t="s">
        <v>171</v>
      </c>
      <c r="F75" s="23">
        <v>3</v>
      </c>
      <c r="G75" s="23" t="s">
        <v>75</v>
      </c>
      <c r="H75" s="24">
        <v>95</v>
      </c>
      <c r="I75" s="25"/>
      <c r="J75" s="25"/>
      <c r="K75" s="25"/>
      <c r="L75" s="25"/>
      <c r="M75" s="25"/>
      <c r="N75" s="25"/>
      <c r="O75" s="25" t="s">
        <v>76</v>
      </c>
      <c r="P75" s="25"/>
      <c r="Q75" s="25"/>
      <c r="R75" s="25"/>
      <c r="S75" s="25"/>
      <c r="T75" s="26"/>
      <c xmlns="http://schemas.openxmlformats.org/spreadsheetml/2006/main" r="U75" s="23">
        <f t="shared" si="0"/>
        <v>1.0</v>
      </c>
      <c xmlns="http://schemas.openxmlformats.org/spreadsheetml/2006/main" r="V75" s="22" t="str">
        <f t="shared" si="2"/>
        <v>▲ 單一設備依賴</v>
      </c>
      <c xmlns="http://schemas.openxmlformats.org/spreadsheetml/2006/main" r="W75" s="18" t="str">
        <f t="shared" si="1"/>
        <v>僅依賴1台設備，須確認故障/排修時之備援製程</v>
      </c>
      <c r="X75" s="22" t="s">
        <v>423</v>
      </c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 t="s">
        <v>745</v>
      </c>
      <c r="B76" s="22" t="s">
        <v>127</v>
      </c>
      <c r="C76" s="22" t="s">
        <v>106</v>
      </c>
      <c r="D76" s="22" t="s">
        <v>169</v>
      </c>
      <c r="E76" s="22" t="s">
        <v>501</v>
      </c>
      <c r="F76" s="23">
        <v>1</v>
      </c>
      <c r="G76" s="23" t="s">
        <v>77</v>
      </c>
      <c r="H76" s="24">
        <v>100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 t="s">
        <v>76</v>
      </c>
      <c xmlns="http://schemas.openxmlformats.org/spreadsheetml/2006/main" r="U76" s="23">
        <f t="shared" si="0"/>
        <v>0.0</v>
      </c>
      <c xmlns="http://schemas.openxmlformats.org/spreadsheetml/2006/main" r="V76" s="22" t="str">
        <f t="shared" si="2"/>
        <v>○ 免調理</v>
      </c>
      <c xmlns="http://schemas.openxmlformats.org/spreadsheetml/2006/main" r="W76" s="18" t="str">
        <f t="shared" si="1"/>
        <v>免調理半成品（外購/僅切配等），不列入設備風險評估</v>
      </c>
      <c r="X76" s="22" t="s">
        <v>531</v>
      </c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s">
        <v>745</v>
      </c>
      <c r="B77" s="22" t="s">
        <v>127</v>
      </c>
      <c r="C77" s="22" t="s">
        <v>106</v>
      </c>
      <c r="D77" s="22" t="s">
        <v>169</v>
      </c>
      <c r="E77" s="22" t="s">
        <v>125</v>
      </c>
      <c r="F77" s="23">
        <v>95</v>
      </c>
      <c r="G77" s="23" t="s">
        <v>75</v>
      </c>
      <c r="H77" s="24">
        <v>92.8</v>
      </c>
      <c r="I77" s="25" t="s">
        <v>76</v>
      </c>
      <c r="J77" s="25"/>
      <c r="K77" s="25"/>
      <c r="L77" s="25"/>
      <c r="M77" s="25"/>
      <c r="N77" s="25"/>
      <c r="O77" s="25" t="s">
        <v>438</v>
      </c>
      <c r="P77" s="25"/>
      <c r="Q77" s="25"/>
      <c r="R77" s="25"/>
      <c r="S77" s="25"/>
      <c r="T77" s="26"/>
      <c xmlns="http://schemas.openxmlformats.org/spreadsheetml/2006/main" r="U77" s="23">
        <f t="shared" si="0"/>
        <v>2.0</v>
      </c>
      <c xmlns="http://schemas.openxmlformats.org/spreadsheetml/2006/main" r="V77" s="22" t="str">
        <f t="shared" si="2"/>
        <v>OK</v>
      </c>
      <c xmlns="http://schemas.openxmlformats.org/spreadsheetml/2006/main" r="W77" s="18" t="str">
        <f t="shared" si="1"/>
        <v>無異常</v>
      </c>
      <c r="X77" s="22" t="s">
        <v>423</v>
      </c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s">
        <v>745</v>
      </c>
      <c r="B78" s="22" t="s">
        <v>127</v>
      </c>
      <c r="C78" s="22" t="s">
        <v>106</v>
      </c>
      <c r="D78" s="22" t="s">
        <v>169</v>
      </c>
      <c r="E78" s="22" t="s">
        <v>502</v>
      </c>
      <c r="F78" s="23">
        <v>11</v>
      </c>
      <c r="G78" s="23" t="s">
        <v>75</v>
      </c>
      <c r="H78" s="24">
        <v>95</v>
      </c>
      <c r="I78" s="25"/>
      <c r="J78" s="25"/>
      <c r="K78" s="25"/>
      <c r="L78" s="25"/>
      <c r="M78" s="25"/>
      <c r="N78" s="25"/>
      <c r="O78" s="25" t="s">
        <v>76</v>
      </c>
      <c r="P78" s="25"/>
      <c r="Q78" s="25"/>
      <c r="R78" s="25"/>
      <c r="S78" s="25"/>
      <c r="T78" s="26"/>
      <c xmlns="http://schemas.openxmlformats.org/spreadsheetml/2006/main" r="U78" s="23">
        <f t="shared" si="0"/>
        <v>1.0</v>
      </c>
      <c xmlns="http://schemas.openxmlformats.org/spreadsheetml/2006/main" r="V78" s="22" t="str">
        <f t="shared" si="2"/>
        <v>▲ 單一設備依賴</v>
      </c>
      <c xmlns="http://schemas.openxmlformats.org/spreadsheetml/2006/main" r="W78" s="18" t="str">
        <f t="shared" si="1"/>
        <v>僅依賴1台設備，須確認故障/排修時之備援製程</v>
      </c>
      <c r="X78" s="22" t="s">
        <v>423</v>
      </c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 t="s">
        <v>745</v>
      </c>
      <c r="B79" s="22" t="s">
        <v>127</v>
      </c>
      <c r="C79" s="22" t="s">
        <v>106</v>
      </c>
      <c r="D79" s="22" t="s">
        <v>169</v>
      </c>
      <c r="E79" s="22" t="s">
        <v>503</v>
      </c>
      <c r="F79" s="23">
        <v>1</v>
      </c>
      <c r="G79" s="23" t="s">
        <v>77</v>
      </c>
      <c r="H79" s="24">
        <v>100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 t="s">
        <v>76</v>
      </c>
      <c xmlns="http://schemas.openxmlformats.org/spreadsheetml/2006/main" r="U79" s="23">
        <f t="shared" si="0"/>
        <v>0.0</v>
      </c>
      <c xmlns="http://schemas.openxmlformats.org/spreadsheetml/2006/main" r="V79" s="22" t="str">
        <f t="shared" si="2"/>
        <v>○ 免調理</v>
      </c>
      <c xmlns="http://schemas.openxmlformats.org/spreadsheetml/2006/main" r="W79" s="18" t="str">
        <f t="shared" si="1"/>
        <v>免調理半成品（外購/僅切配等），不列入設備風險評估</v>
      </c>
      <c r="X79" s="22" t="s">
        <v>531</v>
      </c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 t="s">
        <v>744</v>
      </c>
      <c r="B80" s="22" t="s">
        <v>127</v>
      </c>
      <c r="C80" s="22" t="s">
        <v>106</v>
      </c>
      <c r="D80" s="22" t="s">
        <v>659</v>
      </c>
      <c r="E80" s="22" t="s">
        <v>172</v>
      </c>
      <c r="F80" s="23">
        <v>95</v>
      </c>
      <c r="G80" s="23" t="s">
        <v>75</v>
      </c>
      <c r="H80" s="24">
        <v>86.8</v>
      </c>
      <c r="I80" s="25" t="s">
        <v>76</v>
      </c>
      <c r="J80" s="25"/>
      <c r="K80" s="25"/>
      <c r="L80" s="25"/>
      <c r="M80" s="25"/>
      <c r="N80" s="25"/>
      <c r="O80" s="25" t="s">
        <v>438</v>
      </c>
      <c r="P80" s="25"/>
      <c r="Q80" s="25"/>
      <c r="R80" s="25"/>
      <c r="S80" s="25"/>
      <c r="T80" s="26"/>
      <c xmlns="http://schemas.openxmlformats.org/spreadsheetml/2006/main" r="U80" s="23">
        <f t="shared" ref="U80:U86" si="3">IF($E80="","",COUNTIF($I80:$S80,"V"))</f>
        <v>2.0</v>
      </c>
      <c xmlns="http://schemas.openxmlformats.org/spreadsheetml/2006/main" r="V80" s="22" t="str">
        <f t="shared" ref="V80:V86" si="4">IF($E80="","",IF(AND($T80="V",$U80&gt;0),"⚠ 勾選矛盾",IF($T80="V","○ 免調理",IF($U80=0,"⚠ 資料缺漏",IF($U80=1,"▲ 單一設備依賴","OK")))))</f>
        <v>OK</v>
      </c>
      <c xmlns="http://schemas.openxmlformats.org/spreadsheetml/2006/main" r="W80" s="18" t="str">
        <f t="shared" ref="W80:W86" si="5">IF($E80="","",IF(AND($T80="V",$U80&gt;0),"「無使用調理設備」不可與設備欄同時勾選，請擇一修正",IF($T80="V","免調理半成品（外購/僅切配等），不列入設備風險評估",IF($U80=0,"未勾選任何設備，請補填或勾選「無使用調理設備」",IF($U80=1,"僅依賴1台設備，須確認故障/排修時之備援製程","無異常")))))</f>
        <v>無異常</v>
      </c>
      <c r="X80" s="22" t="s">
        <v>424</v>
      </c>
      <c r="Y80" s="22"/>
      <c xmlns="http://schemas.openxmlformats.org/spreadsheetml/2006/main" r="Z80">
        <f>IF($D80="",0,IF(COUNTIF($D$5:$D80,$D80)=1,1,0))</f>
        <v>1.0</v>
      </c>
      <c xmlns="http://schemas.openxmlformats.org/spreadsheetml/2006/main" r="AA80">
        <f>IF(Z80=1,SUM($Z$5:$Z80),"")</f>
        <v>22.0</v>
      </c>
    </row>
    <row r="81" spans="1:27">
      <c r="A81" s="22" t="s">
        <v>744</v>
      </c>
      <c r="B81" s="22" t="s">
        <v>127</v>
      </c>
      <c r="C81" s="22" t="s">
        <v>106</v>
      </c>
      <c r="D81" s="22" t="s">
        <v>659</v>
      </c>
      <c r="E81" s="22" t="s">
        <v>173</v>
      </c>
      <c r="F81" s="23">
        <v>5</v>
      </c>
      <c r="G81" s="23" t="s">
        <v>75</v>
      </c>
      <c r="H81" s="24">
        <v>51.3</v>
      </c>
      <c r="I81" s="25"/>
      <c r="J81" s="25"/>
      <c r="K81" s="25"/>
      <c r="L81" s="25"/>
      <c r="M81" s="25"/>
      <c r="N81" s="25"/>
      <c r="O81" s="25" t="s">
        <v>76</v>
      </c>
      <c r="P81" s="25"/>
      <c r="Q81" s="25"/>
      <c r="R81" s="25"/>
      <c r="S81" s="25"/>
      <c r="T81" s="26"/>
      <c xmlns="http://schemas.openxmlformats.org/spreadsheetml/2006/main" r="U81" s="23">
        <f t="shared" si="3"/>
        <v>1.0</v>
      </c>
      <c xmlns="http://schemas.openxmlformats.org/spreadsheetml/2006/main" r="V81" s="22" t="str">
        <f t="shared" si="4"/>
        <v>▲ 單一設備依賴</v>
      </c>
      <c xmlns="http://schemas.openxmlformats.org/spreadsheetml/2006/main" r="W81" s="18" t="str">
        <f t="shared" si="5"/>
        <v>僅依賴1台設備，須確認故障/排修時之備援製程</v>
      </c>
      <c r="X81" s="22" t="s">
        <v>424</v>
      </c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 t="s">
        <v>744</v>
      </c>
      <c r="B82" s="22" t="s">
        <v>127</v>
      </c>
      <c r="C82" s="22" t="s">
        <v>106</v>
      </c>
      <c r="D82" s="22" t="s">
        <v>659</v>
      </c>
      <c r="E82" s="22" t="s">
        <v>174</v>
      </c>
      <c r="F82" s="23">
        <v>10</v>
      </c>
      <c r="G82" s="23" t="s">
        <v>75</v>
      </c>
      <c r="H82" s="24">
        <v>90</v>
      </c>
      <c r="I82" s="25"/>
      <c r="J82" s="25"/>
      <c r="K82" s="25" t="s">
        <v>76</v>
      </c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>
        <f t="shared" si="3"/>
        <v>1.0</v>
      </c>
      <c xmlns="http://schemas.openxmlformats.org/spreadsheetml/2006/main" r="V82" s="22" t="str">
        <f t="shared" si="4"/>
        <v>▲ 單一設備依賴</v>
      </c>
      <c xmlns="http://schemas.openxmlformats.org/spreadsheetml/2006/main" r="W82" s="18" t="str">
        <f t="shared" si="5"/>
        <v>僅依賴1台設備，須確認故障/排修時之備援製程</v>
      </c>
      <c r="X82" s="22" t="s">
        <v>424</v>
      </c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 t="s">
        <v>744</v>
      </c>
      <c r="B83" s="22" t="s">
        <v>127</v>
      </c>
      <c r="C83" s="22" t="s">
        <v>106</v>
      </c>
      <c r="D83" s="22" t="s">
        <v>660</v>
      </c>
      <c r="E83" s="22" t="s">
        <v>162</v>
      </c>
      <c r="F83" s="23">
        <v>90</v>
      </c>
      <c r="G83" s="23" t="s">
        <v>75</v>
      </c>
      <c r="H83" s="24">
        <v>81.7</v>
      </c>
      <c r="I83" s="25" t="s">
        <v>76</v>
      </c>
      <c r="J83" s="25"/>
      <c r="K83" s="25"/>
      <c r="L83" s="25"/>
      <c r="M83" s="25"/>
      <c r="N83" s="25"/>
      <c r="O83" s="25" t="s">
        <v>438</v>
      </c>
      <c r="P83" s="25"/>
      <c r="Q83" s="25"/>
      <c r="R83" s="25"/>
      <c r="S83" s="25"/>
      <c r="T83" s="26"/>
      <c xmlns="http://schemas.openxmlformats.org/spreadsheetml/2006/main" r="U83" s="23">
        <f t="shared" si="3"/>
        <v>2.0</v>
      </c>
      <c xmlns="http://schemas.openxmlformats.org/spreadsheetml/2006/main" r="V83" s="22" t="str">
        <f t="shared" si="4"/>
        <v>OK</v>
      </c>
      <c xmlns="http://schemas.openxmlformats.org/spreadsheetml/2006/main" r="W83" s="18" t="str">
        <f t="shared" si="5"/>
        <v>無異常</v>
      </c>
      <c r="X83" s="22" t="s">
        <v>425</v>
      </c>
      <c r="Y83" s="22"/>
      <c xmlns="http://schemas.openxmlformats.org/spreadsheetml/2006/main" r="Z83">
        <f>IF($D83="",0,IF(COUNTIF($D$5:$D83,$D83)=1,1,0))</f>
        <v>1.0</v>
      </c>
      <c xmlns="http://schemas.openxmlformats.org/spreadsheetml/2006/main" r="AA83">
        <f>IF(Z83=1,SUM($Z$5:$Z83),"")</f>
        <v>23.0</v>
      </c>
    </row>
    <row r="84" spans="1:27">
      <c r="A84" s="22" t="s">
        <v>744</v>
      </c>
      <c r="B84" s="22" t="s">
        <v>127</v>
      </c>
      <c r="C84" s="22" t="s">
        <v>106</v>
      </c>
      <c r="D84" s="22" t="s">
        <v>660</v>
      </c>
      <c r="E84" s="22" t="s">
        <v>163</v>
      </c>
      <c r="F84" s="23">
        <v>2</v>
      </c>
      <c r="G84" s="23" t="s">
        <v>75</v>
      </c>
      <c r="H84" s="24">
        <v>64.3</v>
      </c>
      <c r="I84" s="25"/>
      <c r="J84" s="25"/>
      <c r="K84" s="25"/>
      <c r="L84" s="25"/>
      <c r="M84" s="25"/>
      <c r="N84" s="25"/>
      <c r="O84" s="25" t="s">
        <v>76</v>
      </c>
      <c r="P84" s="25"/>
      <c r="Q84" s="25"/>
      <c r="R84" s="25"/>
      <c r="S84" s="25"/>
      <c r="T84" s="26"/>
      <c xmlns="http://schemas.openxmlformats.org/spreadsheetml/2006/main" r="U84" s="23">
        <f t="shared" si="3"/>
        <v>1.0</v>
      </c>
      <c xmlns="http://schemas.openxmlformats.org/spreadsheetml/2006/main" r="V84" s="22" t="str">
        <f t="shared" si="4"/>
        <v>▲ 單一設備依賴</v>
      </c>
      <c xmlns="http://schemas.openxmlformats.org/spreadsheetml/2006/main" r="W84" s="18" t="str">
        <f t="shared" si="5"/>
        <v>僅依賴1台設備，須確認故障/排修時之備援製程</v>
      </c>
      <c r="X84" s="22" t="s">
        <v>425</v>
      </c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 t="s">
        <v>744</v>
      </c>
      <c r="B85" s="22" t="s">
        <v>482</v>
      </c>
      <c r="C85" s="22" t="s">
        <v>504</v>
      </c>
      <c r="D85" s="22" t="s">
        <v>660</v>
      </c>
      <c r="E85" s="55" t="s">
        <v>506</v>
      </c>
      <c r="F85" s="56">
        <v>1</v>
      </c>
      <c r="G85" s="23" t="s">
        <v>77</v>
      </c>
      <c r="H85" s="24">
        <v>200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 t="s">
        <v>76</v>
      </c>
      <c xmlns="http://schemas.openxmlformats.org/spreadsheetml/2006/main" r="U85" s="23">
        <f t="shared" si="3"/>
        <v>0.0</v>
      </c>
      <c xmlns="http://schemas.openxmlformats.org/spreadsheetml/2006/main" r="V85" s="22" t="str">
        <f t="shared" si="4"/>
        <v>○ 免調理</v>
      </c>
      <c xmlns="http://schemas.openxmlformats.org/spreadsheetml/2006/main" r="W85" s="18" t="str">
        <f t="shared" si="5"/>
        <v>免調理半成品（外購/僅切配等），不列入設備風險評估</v>
      </c>
      <c r="X85" s="22" t="s">
        <v>505</v>
      </c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 t="s">
        <v>744</v>
      </c>
      <c r="B86" s="22" t="s">
        <v>482</v>
      </c>
      <c r="C86" s="22" t="s">
        <v>504</v>
      </c>
      <c r="D86" s="22" t="s">
        <v>660</v>
      </c>
      <c r="E86" s="55" t="s">
        <v>507</v>
      </c>
      <c r="F86" s="56">
        <v>1</v>
      </c>
      <c r="G86" s="23" t="s">
        <v>77</v>
      </c>
      <c r="H86" s="24">
        <v>100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 t="s">
        <v>76</v>
      </c>
      <c xmlns="http://schemas.openxmlformats.org/spreadsheetml/2006/main" r="U86" s="23">
        <f t="shared" si="3"/>
        <v>0.0</v>
      </c>
      <c xmlns="http://schemas.openxmlformats.org/spreadsheetml/2006/main" r="V86" s="22" t="str">
        <f t="shared" si="4"/>
        <v>○ 免調理</v>
      </c>
      <c xmlns="http://schemas.openxmlformats.org/spreadsheetml/2006/main" r="W86" s="18" t="str">
        <f t="shared" si="5"/>
        <v>免調理半成品（外購/僅切配等），不列入設備風險評估</v>
      </c>
      <c r="X86" s="22" t="s">
        <v>505</v>
      </c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 t="s">
        <v>745</v>
      </c>
      <c r="B87" s="22" t="s">
        <v>127</v>
      </c>
      <c r="C87" s="22" t="s">
        <v>647</v>
      </c>
      <c r="D87" s="22" t="s">
        <v>661</v>
      </c>
      <c r="E87" s="22" t="s">
        <v>266</v>
      </c>
      <c r="F87" s="23">
        <v>70</v>
      </c>
      <c r="G87" s="23" t="s">
        <v>75</v>
      </c>
      <c r="H87" s="24">
        <v>92.6</v>
      </c>
      <c r="I87" s="25" t="s">
        <v>76</v>
      </c>
      <c r="J87" s="25"/>
      <c r="K87" s="25"/>
      <c r="L87" s="25"/>
      <c r="M87" s="25"/>
      <c r="N87" s="25"/>
      <c r="O87" s="25" t="s">
        <v>438</v>
      </c>
      <c r="P87" s="25"/>
      <c r="Q87" s="25"/>
      <c r="R87" s="25"/>
      <c r="S87" s="25"/>
      <c r="T87" s="26"/>
      <c xmlns="http://schemas.openxmlformats.org/spreadsheetml/2006/main" r="U87" s="23">
        <f t="shared" ref="U87:U132" si="6">IF($E87="","",COUNTIF($I87:$S87,"V"))</f>
        <v>2.0</v>
      </c>
      <c xmlns="http://schemas.openxmlformats.org/spreadsheetml/2006/main" r="V87" s="22" t="str">
        <f t="shared" ref="V87:V132" si="7">IF($E87="","",IF(AND($T87="V",$U87&gt;0),"⚠ 勾選矛盾",IF($T87="V","○ 免調理",IF($U87=0,"⚠ 資料缺漏",IF($U87=1,"▲ 單一設備依賴","OK")))))</f>
        <v>OK</v>
      </c>
      <c xmlns="http://schemas.openxmlformats.org/spreadsheetml/2006/main" r="W87" s="18" t="str">
        <f t="shared" ref="W87:W132" si="8">IF($E87="","",IF(AND($T87="V",$U87&gt;0),"「無使用調理設備」不可與設備欄同時勾選，請擇一修正",IF($T87="V","免調理半成品（外購/僅切配等），不列入設備風險評估",IF($U87=0,"未勾選任何設備，請補填或勾選「無使用調理設備」",IF($U87=1,"僅依賴1台設備，須確認故障/排修時之備援製程","無異常")))))</f>
        <v>無異常</v>
      </c>
      <c r="X87" s="22" t="s">
        <v>426</v>
      </c>
      <c r="Y87" s="22"/>
      <c xmlns="http://schemas.openxmlformats.org/spreadsheetml/2006/main" r="Z87">
        <f>IF($D87="",0,IF(COUNTIF($D$5:$D87,$D87)=1,1,0))</f>
        <v>1.0</v>
      </c>
      <c xmlns="http://schemas.openxmlformats.org/spreadsheetml/2006/main" r="AA87">
        <f>IF(Z87=1,SUM($Z$5:$Z87),"")</f>
        <v>24.0</v>
      </c>
    </row>
    <row r="88" spans="1:27">
      <c r="A88" s="22" t="s">
        <v>745</v>
      </c>
      <c r="B88" s="22" t="s">
        <v>127</v>
      </c>
      <c r="C88" s="22" t="s">
        <v>647</v>
      </c>
      <c r="D88" s="22" t="s">
        <v>661</v>
      </c>
      <c r="E88" s="22" t="s">
        <v>509</v>
      </c>
      <c r="F88" s="23">
        <v>7</v>
      </c>
      <c r="G88" s="23" t="s">
        <v>77</v>
      </c>
      <c r="H88" s="24">
        <v>99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 t="s">
        <v>76</v>
      </c>
      <c xmlns="http://schemas.openxmlformats.org/spreadsheetml/2006/main" r="U88" s="23">
        <f t="shared" si="6"/>
        <v>0.0</v>
      </c>
      <c xmlns="http://schemas.openxmlformats.org/spreadsheetml/2006/main" r="V88" s="22" t="str">
        <f t="shared" si="7"/>
        <v>○ 免調理</v>
      </c>
      <c xmlns="http://schemas.openxmlformats.org/spreadsheetml/2006/main" r="W88" s="18" t="str">
        <f t="shared" si="8"/>
        <v>免調理半成品（外購/僅切配等），不列入設備風險評估</v>
      </c>
      <c r="X88" s="22" t="s">
        <v>510</v>
      </c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 t="s">
        <v>745</v>
      </c>
      <c r="B89" s="22" t="s">
        <v>127</v>
      </c>
      <c r="C89" s="22" t="s">
        <v>647</v>
      </c>
      <c r="D89" s="22" t="s">
        <v>661</v>
      </c>
      <c r="E89" s="22" t="s">
        <v>267</v>
      </c>
      <c r="F89" s="23">
        <v>0.9</v>
      </c>
      <c r="G89" s="23" t="s">
        <v>77</v>
      </c>
      <c r="H89" s="24">
        <v>100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 t="s">
        <v>438</v>
      </c>
      <c xmlns="http://schemas.openxmlformats.org/spreadsheetml/2006/main" r="U89" s="23">
        <f>IF($E89="","",COUNTIF($I89:$S89,"V"))</f>
        <v>0.0</v>
      </c>
      <c xmlns="http://schemas.openxmlformats.org/spreadsheetml/2006/main" r="V89" s="22" t="str">
        <f>IF($E89="","",IF(AND($T89="V",$U89&gt;0),"⚠ 勾選矛盾",IF($T89="V","○ 免調理",IF($U89=0,"⚠ 資料缺漏",IF($U89=1,"▲ 單一設備依賴","OK")))))</f>
        <v>○ 免調理</v>
      </c>
      <c xmlns="http://schemas.openxmlformats.org/spreadsheetml/2006/main" r="W89" s="18" t="str">
        <f>IF($E89="","",IF(AND($T89="V",$U89&gt;0),"「無使用調理設備」不可與設備欄同時勾選，請擇一修正",IF($T89="V","免調理半成品（外購/僅切配等），不列入設備風險評估",IF($U89=0,"未勾選任何設備，請補填或勾選「無使用調理設備」",IF($U89=1,"僅依賴1台設備，須確認故障/排修時之備援製程","無異常")))))</f>
        <v>免調理半成品（外購/僅切配等），不列入設備風險評估</v>
      </c>
      <c r="X89" s="22" t="s">
        <v>426</v>
      </c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 t="s">
        <v>745</v>
      </c>
      <c r="B90" s="22" t="s">
        <v>127</v>
      </c>
      <c r="C90" s="22" t="s">
        <v>647</v>
      </c>
      <c r="D90" s="22" t="s">
        <v>661</v>
      </c>
      <c r="E90" s="22" t="s">
        <v>268</v>
      </c>
      <c r="F90" s="23">
        <v>0.45</v>
      </c>
      <c r="G90" s="23" t="s">
        <v>77</v>
      </c>
      <c r="H90" s="24">
        <v>73.5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47" t="s">
        <v>438</v>
      </c>
      <c xmlns="http://schemas.openxmlformats.org/spreadsheetml/2006/main" r="U90" s="23">
        <f>IF($E90="","",COUNTIF($I90:$S90,"V"))</f>
        <v>0.0</v>
      </c>
      <c xmlns="http://schemas.openxmlformats.org/spreadsheetml/2006/main" r="V90" s="22" t="str">
        <f>IF($E90="","",IF(AND($T90="V",$U90&gt;0),"⚠ 勾選矛盾",IF($T90="V","○ 免調理",IF($U90=0,"⚠ 資料缺漏",IF($U90=1,"▲ 單一設備依賴","OK")))))</f>
        <v>○ 免調理</v>
      </c>
      <c xmlns="http://schemas.openxmlformats.org/spreadsheetml/2006/main" r="W90" s="18" t="str">
        <f>IF($E90="","",IF(AND($T90="V",$U90&gt;0),"「無使用調理設備」不可與設備欄同時勾選，請擇一修正",IF($T90="V","免調理半成品（外購/僅切配等），不列入設備風險評估",IF($U90=0,"未勾選任何設備，請補填或勾選「無使用調理設備」",IF($U90=1,"僅依賴1台設備，須確認故障/排修時之備援製程","無異常")))))</f>
        <v>免調理半成品（外購/僅切配等），不列入設備風險評估</v>
      </c>
      <c r="X90" s="22" t="s">
        <v>426</v>
      </c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 t="s">
        <v>745</v>
      </c>
      <c r="B91" s="22" t="s">
        <v>127</v>
      </c>
      <c r="C91" s="22" t="s">
        <v>647</v>
      </c>
      <c r="D91" s="22" t="s">
        <v>661</v>
      </c>
      <c r="E91" s="22" t="s">
        <v>269</v>
      </c>
      <c r="F91" s="23">
        <v>0.75</v>
      </c>
      <c r="G91" s="23" t="s">
        <v>77</v>
      </c>
      <c r="H91" s="24">
        <v>100</v>
      </c>
      <c r="I91" s="25"/>
      <c r="J91" s="25"/>
      <c r="K91" s="25" t="s">
        <v>76</v>
      </c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>
        <f t="shared" si="6"/>
        <v>1.0</v>
      </c>
      <c xmlns="http://schemas.openxmlformats.org/spreadsheetml/2006/main" r="V91" s="22" t="str">
        <f t="shared" si="7"/>
        <v>▲ 單一設備依賴</v>
      </c>
      <c xmlns="http://schemas.openxmlformats.org/spreadsheetml/2006/main" r="W91" s="18" t="str">
        <f t="shared" si="8"/>
        <v>僅依賴1台設備，須確認故障/排修時之備援製程</v>
      </c>
      <c r="X91" s="22" t="s">
        <v>426</v>
      </c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 t="s">
        <v>745</v>
      </c>
      <c r="B92" s="22" t="s">
        <v>127</v>
      </c>
      <c r="C92" s="22" t="s">
        <v>647</v>
      </c>
      <c r="D92" s="22" t="s">
        <v>661</v>
      </c>
      <c r="E92" s="22" t="s">
        <v>270</v>
      </c>
      <c r="F92" s="23">
        <v>9</v>
      </c>
      <c r="G92" s="23" t="s">
        <v>75</v>
      </c>
      <c r="H92" s="24">
        <v>70.2</v>
      </c>
      <c r="I92" s="25"/>
      <c r="J92" s="25"/>
      <c r="K92" s="25"/>
      <c r="L92" s="25"/>
      <c r="M92" s="25"/>
      <c r="N92" s="25"/>
      <c r="O92" s="25" t="s">
        <v>76</v>
      </c>
      <c r="P92" s="25"/>
      <c r="Q92" s="25"/>
      <c r="R92" s="25"/>
      <c r="S92" s="25"/>
      <c r="T92" s="26"/>
      <c xmlns="http://schemas.openxmlformats.org/spreadsheetml/2006/main" r="U92" s="23">
        <f t="shared" si="6"/>
        <v>1.0</v>
      </c>
      <c xmlns="http://schemas.openxmlformats.org/spreadsheetml/2006/main" r="V92" s="22" t="str">
        <f t="shared" si="7"/>
        <v>▲ 單一設備依賴</v>
      </c>
      <c xmlns="http://schemas.openxmlformats.org/spreadsheetml/2006/main" r="W92" s="18" t="str">
        <f t="shared" si="8"/>
        <v>僅依賴1台設備，須確認故障/排修時之備援製程</v>
      </c>
      <c r="X92" s="22" t="s">
        <v>426</v>
      </c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 t="s">
        <v>745</v>
      </c>
      <c r="B93" s="22" t="s">
        <v>127</v>
      </c>
      <c r="C93" s="22" t="s">
        <v>647</v>
      </c>
      <c r="D93" s="22" t="s">
        <v>661</v>
      </c>
      <c r="E93" s="22" t="s">
        <v>266</v>
      </c>
      <c r="F93" s="23">
        <v>70</v>
      </c>
      <c r="G93" s="23" t="s">
        <v>75</v>
      </c>
      <c r="H93" s="24">
        <v>92.6</v>
      </c>
      <c r="I93" s="25" t="s">
        <v>76</v>
      </c>
      <c r="J93" s="25"/>
      <c r="K93" s="25"/>
      <c r="L93" s="25"/>
      <c r="M93" s="25"/>
      <c r="N93" s="25"/>
      <c r="O93" s="25" t="s">
        <v>438</v>
      </c>
      <c r="P93" s="25"/>
      <c r="Q93" s="25"/>
      <c r="R93" s="25"/>
      <c r="S93" s="25"/>
      <c r="T93" s="26"/>
      <c xmlns="http://schemas.openxmlformats.org/spreadsheetml/2006/main" r="U93" s="23">
        <f t="shared" si="6"/>
        <v>2.0</v>
      </c>
      <c xmlns="http://schemas.openxmlformats.org/spreadsheetml/2006/main" r="V93" s="22" t="str">
        <f t="shared" si="7"/>
        <v>OK</v>
      </c>
      <c xmlns="http://schemas.openxmlformats.org/spreadsheetml/2006/main" r="W93" s="18" t="str">
        <f t="shared" si="8"/>
        <v>無異常</v>
      </c>
      <c r="X93" s="22" t="s">
        <v>426</v>
      </c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 t="s">
        <v>745</v>
      </c>
      <c r="B94" s="22" t="s">
        <v>127</v>
      </c>
      <c r="C94" s="22" t="s">
        <v>647</v>
      </c>
      <c r="D94" s="22" t="s">
        <v>661</v>
      </c>
      <c r="E94" s="22" t="s">
        <v>509</v>
      </c>
      <c r="F94" s="23">
        <v>7</v>
      </c>
      <c r="G94" s="23" t="s">
        <v>77</v>
      </c>
      <c r="H94" s="24">
        <v>99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 t="s">
        <v>76</v>
      </c>
      <c xmlns="http://schemas.openxmlformats.org/spreadsheetml/2006/main" r="U94" s="23">
        <f t="shared" si="6"/>
        <v>0.0</v>
      </c>
      <c xmlns="http://schemas.openxmlformats.org/spreadsheetml/2006/main" r="V94" s="22" t="str">
        <f t="shared" si="7"/>
        <v>○ 免調理</v>
      </c>
      <c xmlns="http://schemas.openxmlformats.org/spreadsheetml/2006/main" r="W94" s="18" t="str">
        <f t="shared" si="8"/>
        <v>免調理半成品（外購/僅切配等），不列入設備風險評估</v>
      </c>
      <c r="X94" s="22" t="s">
        <v>510</v>
      </c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 t="s">
        <v>745</v>
      </c>
      <c r="B95" s="22" t="s">
        <v>127</v>
      </c>
      <c r="C95" s="22" t="s">
        <v>647</v>
      </c>
      <c r="D95" s="22" t="s">
        <v>661</v>
      </c>
      <c r="E95" s="22" t="s">
        <v>267</v>
      </c>
      <c r="F95" s="23">
        <v>0.9</v>
      </c>
      <c r="G95" s="23" t="s">
        <v>77</v>
      </c>
      <c r="H95" s="24">
        <v>100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 t="s">
        <v>76</v>
      </c>
      <c xmlns="http://schemas.openxmlformats.org/spreadsheetml/2006/main" r="U95" s="23">
        <f t="shared" si="6"/>
        <v>0.0</v>
      </c>
      <c xmlns="http://schemas.openxmlformats.org/spreadsheetml/2006/main" r="V95" s="22" t="str">
        <f t="shared" si="7"/>
        <v>○ 免調理</v>
      </c>
      <c xmlns="http://schemas.openxmlformats.org/spreadsheetml/2006/main" r="W95" s="18" t="str">
        <f t="shared" si="8"/>
        <v>免調理半成品（外購/僅切配等），不列入設備風險評估</v>
      </c>
      <c r="X95" s="22" t="s">
        <v>426</v>
      </c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 t="s">
        <v>745</v>
      </c>
      <c r="B96" s="22" t="s">
        <v>127</v>
      </c>
      <c r="C96" s="22" t="s">
        <v>647</v>
      </c>
      <c r="D96" s="22" t="s">
        <v>661</v>
      </c>
      <c r="E96" s="22" t="s">
        <v>268</v>
      </c>
      <c r="F96" s="23">
        <v>0.45</v>
      </c>
      <c r="G96" s="23" t="s">
        <v>77</v>
      </c>
      <c r="H96" s="24">
        <v>73.5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47" t="s">
        <v>438</v>
      </c>
      <c xmlns="http://schemas.openxmlformats.org/spreadsheetml/2006/main" r="U96" s="23">
        <f t="shared" si="6"/>
        <v>0.0</v>
      </c>
      <c xmlns="http://schemas.openxmlformats.org/spreadsheetml/2006/main" r="V96" s="22" t="str">
        <f t="shared" si="7"/>
        <v>○ 免調理</v>
      </c>
      <c xmlns="http://schemas.openxmlformats.org/spreadsheetml/2006/main" r="W96" s="18" t="str">
        <f t="shared" si="8"/>
        <v>免調理半成品（外購/僅切配等），不列入設備風險評估</v>
      </c>
      <c r="X96" s="22" t="s">
        <v>426</v>
      </c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 t="s">
        <v>745</v>
      </c>
      <c r="B97" s="22" t="s">
        <v>127</v>
      </c>
      <c r="C97" s="22" t="s">
        <v>647</v>
      </c>
      <c r="D97" s="22" t="s">
        <v>661</v>
      </c>
      <c r="E97" s="22" t="s">
        <v>274</v>
      </c>
      <c r="F97" s="23">
        <v>0.4</v>
      </c>
      <c r="G97" s="23" t="s">
        <v>77</v>
      </c>
      <c r="H97" s="24">
        <v>100</v>
      </c>
      <c r="I97" s="25"/>
      <c r="J97" s="25"/>
      <c r="K97" s="25"/>
      <c r="L97" s="25"/>
      <c r="M97" s="25" t="s">
        <v>76</v>
      </c>
      <c r="N97" s="25"/>
      <c r="O97" s="25"/>
      <c r="P97" s="25"/>
      <c r="Q97" s="25"/>
      <c r="R97" s="25"/>
      <c r="S97" s="25"/>
      <c r="T97" s="26"/>
      <c xmlns="http://schemas.openxmlformats.org/spreadsheetml/2006/main" r="U97" s="23">
        <f t="shared" si="6"/>
        <v>1.0</v>
      </c>
      <c xmlns="http://schemas.openxmlformats.org/spreadsheetml/2006/main" r="V97" s="22" t="str">
        <f t="shared" si="7"/>
        <v>▲ 單一設備依賴</v>
      </c>
      <c xmlns="http://schemas.openxmlformats.org/spreadsheetml/2006/main" r="W97" s="18" t="str">
        <f t="shared" si="8"/>
        <v>僅依賴1台設備，須確認故障/排修時之備援製程</v>
      </c>
      <c r="X97" s="22" t="s">
        <v>426</v>
      </c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 t="s">
        <v>745</v>
      </c>
      <c r="B98" s="22" t="s">
        <v>127</v>
      </c>
      <c r="C98" s="22" t="s">
        <v>647</v>
      </c>
      <c r="D98" s="22" t="s">
        <v>661</v>
      </c>
      <c r="E98" s="22" t="s">
        <v>275</v>
      </c>
      <c r="F98" s="23">
        <v>8.5</v>
      </c>
      <c r="G98" s="23" t="s">
        <v>75</v>
      </c>
      <c r="H98" s="24">
        <v>95</v>
      </c>
      <c r="I98" s="25"/>
      <c r="J98" s="25"/>
      <c r="K98" s="25"/>
      <c r="L98" s="25"/>
      <c r="M98" s="25" t="s">
        <v>76</v>
      </c>
      <c r="N98" s="25"/>
      <c r="O98" s="25" t="s">
        <v>76</v>
      </c>
      <c r="P98" s="25"/>
      <c r="Q98" s="25"/>
      <c r="R98" s="25"/>
      <c r="S98" s="25"/>
      <c r="T98" s="26"/>
      <c xmlns="http://schemas.openxmlformats.org/spreadsheetml/2006/main" r="U98" s="23">
        <f t="shared" si="6"/>
        <v>2.0</v>
      </c>
      <c xmlns="http://schemas.openxmlformats.org/spreadsheetml/2006/main" r="V98" s="22" t="str">
        <f t="shared" si="7"/>
        <v>OK</v>
      </c>
      <c xmlns="http://schemas.openxmlformats.org/spreadsheetml/2006/main" r="W98" s="18" t="str">
        <f t="shared" si="8"/>
        <v>無異常</v>
      </c>
      <c r="X98" s="22" t="s">
        <v>426</v>
      </c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 t="s">
        <v>745</v>
      </c>
      <c r="B99" s="22" t="s">
        <v>127</v>
      </c>
      <c r="C99" s="22" t="s">
        <v>647</v>
      </c>
      <c r="D99" s="22" t="s">
        <v>662</v>
      </c>
      <c r="E99" s="22" t="s">
        <v>266</v>
      </c>
      <c r="F99" s="23">
        <v>70</v>
      </c>
      <c r="G99" s="23" t="s">
        <v>75</v>
      </c>
      <c r="H99" s="24">
        <v>92.6</v>
      </c>
      <c r="I99" s="25" t="s">
        <v>76</v>
      </c>
      <c r="J99" s="25"/>
      <c r="K99" s="25"/>
      <c r="L99" s="25"/>
      <c r="M99" s="25"/>
      <c r="N99" s="25"/>
      <c r="O99" s="25" t="s">
        <v>76</v>
      </c>
      <c r="P99" s="25"/>
      <c r="Q99" s="25"/>
      <c r="R99" s="25"/>
      <c r="S99" s="25"/>
      <c r="T99" s="26"/>
      <c xmlns="http://schemas.openxmlformats.org/spreadsheetml/2006/main" r="U99" s="23">
        <f t="shared" si="6"/>
        <v>2.0</v>
      </c>
      <c xmlns="http://schemas.openxmlformats.org/spreadsheetml/2006/main" r="V99" s="22" t="str">
        <f t="shared" si="7"/>
        <v>OK</v>
      </c>
      <c xmlns="http://schemas.openxmlformats.org/spreadsheetml/2006/main" r="W99" s="18" t="str">
        <f t="shared" si="8"/>
        <v>無異常</v>
      </c>
      <c r="X99" s="22" t="s">
        <v>427</v>
      </c>
      <c r="Y99" s="22"/>
      <c xmlns="http://schemas.openxmlformats.org/spreadsheetml/2006/main" r="Z99">
        <f>IF($D99="",0,IF(COUNTIF($D$5:$D99,$D99)=1,1,0))</f>
        <v>1.0</v>
      </c>
      <c xmlns="http://schemas.openxmlformats.org/spreadsheetml/2006/main" r="AA99">
        <f>IF(Z99=1,SUM($Z$5:$Z99),"")</f>
        <v>25.0</v>
      </c>
    </row>
    <row r="100" spans="1:27">
      <c r="A100" s="22" t="s">
        <v>745</v>
      </c>
      <c r="B100" s="22" t="s">
        <v>482</v>
      </c>
      <c r="C100" s="22" t="s">
        <v>647</v>
      </c>
      <c r="D100" s="22" t="s">
        <v>662</v>
      </c>
      <c r="E100" s="22" t="s">
        <v>508</v>
      </c>
      <c r="F100" s="23">
        <v>7</v>
      </c>
      <c r="G100" s="23" t="s">
        <v>77</v>
      </c>
      <c r="H100" s="24">
        <v>99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 t="s">
        <v>76</v>
      </c>
      <c xmlns="http://schemas.openxmlformats.org/spreadsheetml/2006/main" r="U100" s="23">
        <f t="shared" si="6"/>
        <v>0.0</v>
      </c>
      <c xmlns="http://schemas.openxmlformats.org/spreadsheetml/2006/main" r="V100" s="22" t="str">
        <f t="shared" si="7"/>
        <v>○ 免調理</v>
      </c>
      <c xmlns="http://schemas.openxmlformats.org/spreadsheetml/2006/main" r="W100" s="18" t="str">
        <f t="shared" si="8"/>
        <v>免調理半成品（外購/僅切配等），不列入設備風險評估</v>
      </c>
      <c r="X100" s="22" t="s">
        <v>427</v>
      </c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 t="s">
        <v>745</v>
      </c>
      <c r="B101" s="22" t="s">
        <v>127</v>
      </c>
      <c r="C101" s="22" t="s">
        <v>647</v>
      </c>
      <c r="D101" s="22" t="s">
        <v>662</v>
      </c>
      <c r="E101" s="22" t="s">
        <v>267</v>
      </c>
      <c r="F101" s="23">
        <v>0.9</v>
      </c>
      <c r="G101" s="23" t="s">
        <v>77</v>
      </c>
      <c r="H101" s="24">
        <v>100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 t="s">
        <v>438</v>
      </c>
      <c xmlns="http://schemas.openxmlformats.org/spreadsheetml/2006/main" r="U101" s="23">
        <f t="shared" si="6"/>
        <v>0.0</v>
      </c>
      <c xmlns="http://schemas.openxmlformats.org/spreadsheetml/2006/main" r="V101" s="22" t="str">
        <f t="shared" si="7"/>
        <v>○ 免調理</v>
      </c>
      <c xmlns="http://schemas.openxmlformats.org/spreadsheetml/2006/main" r="W101" s="18" t="str">
        <f t="shared" si="8"/>
        <v>免調理半成品（外購/僅切配等），不列入設備風險評估</v>
      </c>
      <c r="X101" s="22" t="s">
        <v>427</v>
      </c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 t="s">
        <v>745</v>
      </c>
      <c r="B102" s="22" t="s">
        <v>127</v>
      </c>
      <c r="C102" s="22" t="s">
        <v>647</v>
      </c>
      <c r="D102" s="22" t="s">
        <v>662</v>
      </c>
      <c r="E102" s="22" t="s">
        <v>276</v>
      </c>
      <c r="F102" s="23">
        <v>13</v>
      </c>
      <c r="G102" s="23" t="s">
        <v>75</v>
      </c>
      <c r="H102" s="24">
        <v>95</v>
      </c>
      <c r="I102" s="25"/>
      <c r="J102" s="25"/>
      <c r="K102" s="25"/>
      <c r="L102" s="25"/>
      <c r="M102" s="25"/>
      <c r="N102" s="25"/>
      <c r="O102" s="25" t="s">
        <v>438</v>
      </c>
      <c r="P102" s="25"/>
      <c r="Q102" s="25"/>
      <c r="R102" s="25"/>
      <c r="S102" s="25"/>
      <c r="T102" s="26"/>
      <c xmlns="http://schemas.openxmlformats.org/spreadsheetml/2006/main" r="U102" s="23">
        <f t="shared" si="6"/>
        <v>1.0</v>
      </c>
      <c xmlns="http://schemas.openxmlformats.org/spreadsheetml/2006/main" r="V102" s="22" t="str">
        <f t="shared" si="7"/>
        <v>▲ 單一設備依賴</v>
      </c>
      <c xmlns="http://schemas.openxmlformats.org/spreadsheetml/2006/main" r="W102" s="18" t="str">
        <f t="shared" si="8"/>
        <v>僅依賴1台設備，須確認故障/排修時之備援製程</v>
      </c>
      <c r="X102" s="22" t="s">
        <v>427</v>
      </c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 t="s">
        <v>745</v>
      </c>
      <c r="B103" s="22" t="s">
        <v>127</v>
      </c>
      <c r="C103" s="22" t="s">
        <v>647</v>
      </c>
      <c r="D103" s="22" t="s">
        <v>662</v>
      </c>
      <c r="E103" s="22" t="s">
        <v>277</v>
      </c>
      <c r="F103" s="23">
        <v>0.9</v>
      </c>
      <c r="G103" s="23" t="s">
        <v>77</v>
      </c>
      <c r="H103" s="24">
        <v>100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 t="s">
        <v>438</v>
      </c>
      <c xmlns="http://schemas.openxmlformats.org/spreadsheetml/2006/main" r="U103" s="23">
        <f t="shared" si="6"/>
        <v>0.0</v>
      </c>
      <c xmlns="http://schemas.openxmlformats.org/spreadsheetml/2006/main" r="V103" s="22" t="str">
        <f t="shared" si="7"/>
        <v>○ 免調理</v>
      </c>
      <c xmlns="http://schemas.openxmlformats.org/spreadsheetml/2006/main" r="W103" s="18" t="str">
        <f t="shared" si="8"/>
        <v>免調理半成品（外購/僅切配等），不列入設備風險評估</v>
      </c>
      <c r="X103" s="22" t="s">
        <v>427</v>
      </c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 t="s">
        <v>745</v>
      </c>
      <c r="B104" s="22" t="s">
        <v>127</v>
      </c>
      <c r="C104" s="22" t="s">
        <v>647</v>
      </c>
      <c r="D104" s="22" t="s">
        <v>662</v>
      </c>
      <c r="E104" s="22" t="s">
        <v>266</v>
      </c>
      <c r="F104" s="23">
        <v>70</v>
      </c>
      <c r="G104" s="23" t="s">
        <v>75</v>
      </c>
      <c r="H104" s="24">
        <v>92.6</v>
      </c>
      <c r="I104" s="25" t="s">
        <v>76</v>
      </c>
      <c r="J104" s="25"/>
      <c r="K104" s="25"/>
      <c r="L104" s="25"/>
      <c r="M104" s="25"/>
      <c r="N104" s="25"/>
      <c r="O104" s="25" t="s">
        <v>438</v>
      </c>
      <c r="P104" s="25"/>
      <c r="Q104" s="25"/>
      <c r="R104" s="25"/>
      <c r="S104" s="25"/>
      <c r="T104" s="26"/>
      <c xmlns="http://schemas.openxmlformats.org/spreadsheetml/2006/main" r="U104" s="23">
        <f t="shared" si="6"/>
        <v>2.0</v>
      </c>
      <c xmlns="http://schemas.openxmlformats.org/spreadsheetml/2006/main" r="V104" s="22" t="str">
        <f t="shared" si="7"/>
        <v>OK</v>
      </c>
      <c xmlns="http://schemas.openxmlformats.org/spreadsheetml/2006/main" r="W104" s="18" t="str">
        <f t="shared" si="8"/>
        <v>無異常</v>
      </c>
      <c r="X104" s="22" t="s">
        <v>427</v>
      </c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 t="s">
        <v>745</v>
      </c>
      <c r="B105" s="22" t="s">
        <v>482</v>
      </c>
      <c r="C105" s="22" t="s">
        <v>647</v>
      </c>
      <c r="D105" s="22" t="s">
        <v>662</v>
      </c>
      <c r="E105" s="22" t="s">
        <v>508</v>
      </c>
      <c r="F105" s="23">
        <v>7</v>
      </c>
      <c r="G105" s="23" t="s">
        <v>77</v>
      </c>
      <c r="H105" s="24">
        <v>99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 t="s">
        <v>76</v>
      </c>
      <c xmlns="http://schemas.openxmlformats.org/spreadsheetml/2006/main" r="U105" s="23">
        <f t="shared" si="6"/>
        <v>0.0</v>
      </c>
      <c xmlns="http://schemas.openxmlformats.org/spreadsheetml/2006/main" r="V105" s="22" t="str">
        <f t="shared" si="7"/>
        <v>○ 免調理</v>
      </c>
      <c xmlns="http://schemas.openxmlformats.org/spreadsheetml/2006/main" r="W105" s="18" t="str">
        <f t="shared" si="8"/>
        <v>免調理半成品（外購/僅切配等），不列入設備風險評估</v>
      </c>
      <c r="X105" s="22" t="s">
        <v>427</v>
      </c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 t="s">
        <v>745</v>
      </c>
      <c r="B106" s="22" t="s">
        <v>127</v>
      </c>
      <c r="C106" s="22" t="s">
        <v>647</v>
      </c>
      <c r="D106" s="22" t="s">
        <v>662</v>
      </c>
      <c r="E106" s="22" t="s">
        <v>268</v>
      </c>
      <c r="F106" s="23">
        <v>0.45</v>
      </c>
      <c r="G106" s="23" t="s">
        <v>77</v>
      </c>
      <c r="H106" s="24">
        <v>73.5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47" t="s">
        <v>438</v>
      </c>
      <c xmlns="http://schemas.openxmlformats.org/spreadsheetml/2006/main" r="U106" s="23">
        <f t="shared" si="6"/>
        <v>0.0</v>
      </c>
      <c xmlns="http://schemas.openxmlformats.org/spreadsheetml/2006/main" r="V106" s="22" t="str">
        <f t="shared" si="7"/>
        <v>○ 免調理</v>
      </c>
      <c xmlns="http://schemas.openxmlformats.org/spreadsheetml/2006/main" r="W106" s="18" t="str">
        <f t="shared" si="8"/>
        <v>免調理半成品（外購/僅切配等），不列入設備風險評估</v>
      </c>
      <c r="X106" s="22" t="s">
        <v>427</v>
      </c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 t="s">
        <v>745</v>
      </c>
      <c r="B107" s="22" t="s">
        <v>127</v>
      </c>
      <c r="C107" s="22" t="s">
        <v>647</v>
      </c>
      <c r="D107" s="22" t="s">
        <v>662</v>
      </c>
      <c r="E107" s="22" t="s">
        <v>278</v>
      </c>
      <c r="F107" s="23">
        <v>0.45</v>
      </c>
      <c r="G107" s="23" t="s">
        <v>77</v>
      </c>
      <c r="H107" s="24">
        <v>100</v>
      </c>
      <c r="I107" s="25"/>
      <c r="J107" s="25"/>
      <c r="K107" s="25" t="s">
        <v>76</v>
      </c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>
        <f t="shared" si="6"/>
        <v>1.0</v>
      </c>
      <c xmlns="http://schemas.openxmlformats.org/spreadsheetml/2006/main" r="V107" s="22" t="str">
        <f t="shared" si="7"/>
        <v>▲ 單一設備依賴</v>
      </c>
      <c xmlns="http://schemas.openxmlformats.org/spreadsheetml/2006/main" r="W107" s="18" t="str">
        <f t="shared" si="8"/>
        <v>僅依賴1台設備，須確認故障/排修時之備援製程</v>
      </c>
      <c r="X107" s="22" t="s">
        <v>427</v>
      </c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 t="s">
        <v>745</v>
      </c>
      <c r="B108" s="22" t="s">
        <v>127</v>
      </c>
      <c r="C108" s="22" t="s">
        <v>647</v>
      </c>
      <c r="D108" s="22" t="s">
        <v>662</v>
      </c>
      <c r="E108" s="22" t="s">
        <v>279</v>
      </c>
      <c r="F108" s="23">
        <v>12</v>
      </c>
      <c r="G108" s="23" t="s">
        <v>75</v>
      </c>
      <c r="H108" s="24">
        <v>95</v>
      </c>
      <c r="I108" s="25"/>
      <c r="J108" s="25"/>
      <c r="K108" s="25"/>
      <c r="L108" s="25"/>
      <c r="M108" s="25"/>
      <c r="N108" s="25"/>
      <c r="O108" s="25" t="s">
        <v>76</v>
      </c>
      <c r="P108" s="25"/>
      <c r="Q108" s="25"/>
      <c r="R108" s="25"/>
      <c r="S108" s="25"/>
      <c r="T108" s="26"/>
      <c xmlns="http://schemas.openxmlformats.org/spreadsheetml/2006/main" r="U108" s="23">
        <f t="shared" si="6"/>
        <v>1.0</v>
      </c>
      <c xmlns="http://schemas.openxmlformats.org/spreadsheetml/2006/main" r="V108" s="22" t="str">
        <f t="shared" si="7"/>
        <v>▲ 單一設備依賴</v>
      </c>
      <c xmlns="http://schemas.openxmlformats.org/spreadsheetml/2006/main" r="W108" s="18" t="str">
        <f t="shared" si="8"/>
        <v>僅依賴1台設備，須確認故障/排修時之備援製程</v>
      </c>
      <c r="X108" s="22" t="s">
        <v>427</v>
      </c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 t="inlineStr">
        <is>
          <t>架上</t>
        </is>
      </c>
      <c r="B109" s="22" t="s">
        <v>127</v>
      </c>
      <c r="C109" s="22" t="s">
        <v>647</v>
      </c>
      <c r="D109" s="22" t="s">
        <v>663</v>
      </c>
      <c r="E109" s="22" t="s">
        <v>266</v>
      </c>
      <c r="F109" s="23">
        <v>104</v>
      </c>
      <c r="G109" s="23" t="s">
        <v>75</v>
      </c>
      <c r="H109" s="24">
        <v>92.6</v>
      </c>
      <c r="I109" s="25" t="s">
        <v>76</v>
      </c>
      <c r="J109" s="25"/>
      <c r="K109" s="25"/>
      <c r="L109" s="25"/>
      <c r="M109" s="25"/>
      <c r="N109" s="25"/>
      <c r="O109" s="25" t="s">
        <v>438</v>
      </c>
      <c r="P109" s="25"/>
      <c r="Q109" s="25"/>
      <c r="R109" s="25"/>
      <c r="S109" s="25"/>
      <c r="T109" s="26"/>
      <c xmlns="http://schemas.openxmlformats.org/spreadsheetml/2006/main" r="U109" s="23">
        <f t="shared" si="6"/>
        <v>2.0</v>
      </c>
      <c xmlns="http://schemas.openxmlformats.org/spreadsheetml/2006/main" r="V109" s="22" t="str">
        <f t="shared" si="7"/>
        <v>OK</v>
      </c>
      <c xmlns="http://schemas.openxmlformats.org/spreadsheetml/2006/main" r="W109" s="18" t="str">
        <f t="shared" si="8"/>
        <v>無異常</v>
      </c>
      <c r="X109" s="22" t="s">
        <v>427</v>
      </c>
      <c r="Y109" s="22"/>
      <c xmlns="http://schemas.openxmlformats.org/spreadsheetml/2006/main" r="Z109">
        <f>IF($D109="",0,IF(COUNTIF($D$5:$D109,$D109)=1,1,0))</f>
        <v>1.0</v>
      </c>
      <c xmlns="http://schemas.openxmlformats.org/spreadsheetml/2006/main" r="AA109">
        <f>IF(Z109=1,SUM($Z$5:$Z109),"")</f>
        <v>26.0</v>
      </c>
    </row>
    <row r="110" spans="1:27">
      <c r="A110" s="22" t="inlineStr">
        <is>
          <t>架上</t>
        </is>
      </c>
      <c r="B110" s="22" t="s">
        <v>127</v>
      </c>
      <c r="C110" s="22" t="s">
        <v>647</v>
      </c>
      <c r="D110" s="22" t="s">
        <v>663</v>
      </c>
      <c r="E110" s="22" t="s">
        <v>280</v>
      </c>
      <c r="F110" s="23">
        <v>4</v>
      </c>
      <c r="G110" s="23" t="s">
        <v>77</v>
      </c>
      <c r="H110" s="24">
        <v>100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 t="s">
        <v>438</v>
      </c>
      <c xmlns="http://schemas.openxmlformats.org/spreadsheetml/2006/main" r="U110" s="23">
        <f t="shared" si="6"/>
        <v>0.0</v>
      </c>
      <c xmlns="http://schemas.openxmlformats.org/spreadsheetml/2006/main" r="V110" s="22" t="str">
        <f t="shared" si="7"/>
        <v>○ 免調理</v>
      </c>
      <c xmlns="http://schemas.openxmlformats.org/spreadsheetml/2006/main" r="W110" s="18" t="str">
        <f t="shared" si="8"/>
        <v>免調理半成品（外購/僅切配等），不列入設備風險評估</v>
      </c>
      <c r="X110" s="22" t="s">
        <v>427</v>
      </c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 t="inlineStr">
        <is>
          <t>下架</t>
        </is>
      </c>
      <c r="B111" s="22" t="s">
        <v>127</v>
      </c>
      <c r="C111" s="22" t="s">
        <v>647</v>
      </c>
      <c r="D111" s="22" t="s">
        <v>664</v>
      </c>
      <c r="E111" s="22" t="s">
        <v>266</v>
      </c>
      <c r="F111" s="23">
        <v>65</v>
      </c>
      <c r="G111" s="23" t="s">
        <v>75</v>
      </c>
      <c r="H111" s="24">
        <v>92.6</v>
      </c>
      <c r="I111" s="25" t="s">
        <v>76</v>
      </c>
      <c r="J111" s="25"/>
      <c r="K111" s="25"/>
      <c r="L111" s="25"/>
      <c r="M111" s="25"/>
      <c r="N111" s="25"/>
      <c r="O111" s="25" t="s">
        <v>438</v>
      </c>
      <c r="P111" s="25"/>
      <c r="Q111" s="25"/>
      <c r="R111" s="25"/>
      <c r="S111" s="25"/>
      <c r="T111" s="26"/>
      <c xmlns="http://schemas.openxmlformats.org/spreadsheetml/2006/main" r="U111" s="23">
        <f t="shared" si="6"/>
        <v>2.0</v>
      </c>
      <c xmlns="http://schemas.openxmlformats.org/spreadsheetml/2006/main" r="V111" s="22" t="str">
        <f t="shared" si="7"/>
        <v>OK</v>
      </c>
      <c xmlns="http://schemas.openxmlformats.org/spreadsheetml/2006/main" r="W111" s="18" t="str">
        <f t="shared" si="8"/>
        <v>無異常</v>
      </c>
      <c r="X111" s="22" t="s">
        <v>428</v>
      </c>
      <c r="Y111" s="22" t="s">
        <v>467</v>
      </c>
      <c xmlns="http://schemas.openxmlformats.org/spreadsheetml/2006/main" r="Z111">
        <f>IF($D111="",0,IF(COUNTIF($D$5:$D111,$D111)=1,1,0))</f>
        <v>1.0</v>
      </c>
      <c xmlns="http://schemas.openxmlformats.org/spreadsheetml/2006/main" r="AA111">
        <f>IF(Z111=1,SUM($Z$5:$Z111),"")</f>
        <v>27.0</v>
      </c>
    </row>
    <row r="112" spans="1:27">
      <c r="A112" s="22" t="inlineStr">
        <is>
          <t>下架</t>
        </is>
      </c>
      <c r="B112" s="22" t="s">
        <v>127</v>
      </c>
      <c r="C112" s="22" t="s">
        <v>647</v>
      </c>
      <c r="D112" s="22" t="s">
        <v>664</v>
      </c>
      <c r="E112" s="22" t="s">
        <v>281</v>
      </c>
      <c r="F112" s="23">
        <v>0.4</v>
      </c>
      <c r="G112" s="23" t="s">
        <v>77</v>
      </c>
      <c r="H112" s="24">
        <v>100</v>
      </c>
      <c r="I112" s="25"/>
      <c r="J112" s="25"/>
      <c r="K112" s="25"/>
      <c r="L112" s="25"/>
      <c r="M112" s="25" t="s">
        <v>76</v>
      </c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>
        <f t="shared" si="6"/>
        <v>1.0</v>
      </c>
      <c xmlns="http://schemas.openxmlformats.org/spreadsheetml/2006/main" r="V112" s="22" t="str">
        <f t="shared" si="7"/>
        <v>▲ 單一設備依賴</v>
      </c>
      <c xmlns="http://schemas.openxmlformats.org/spreadsheetml/2006/main" r="W112" s="18" t="str">
        <f t="shared" si="8"/>
        <v>僅依賴1台設備，須確認故障/排修時之備援製程</v>
      </c>
      <c r="X112" s="22" t="s">
        <v>428</v>
      </c>
      <c r="Y112" s="22" t="s">
        <v>467</v>
      </c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 t="inlineStr">
        <is>
          <t>下架</t>
        </is>
      </c>
      <c r="B113" s="22" t="s">
        <v>127</v>
      </c>
      <c r="C113" s="22" t="s">
        <v>647</v>
      </c>
      <c r="D113" s="22" t="s">
        <v>664</v>
      </c>
      <c r="E113" s="22" t="s">
        <v>511</v>
      </c>
      <c r="F113" s="23">
        <v>7</v>
      </c>
      <c r="G113" s="23" t="s">
        <v>75</v>
      </c>
      <c r="H113" s="24">
        <v>90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 t="s">
        <v>438</v>
      </c>
      <c xmlns="http://schemas.openxmlformats.org/spreadsheetml/2006/main" r="U113" s="23">
        <f t="shared" si="6"/>
        <v>0.0</v>
      </c>
      <c xmlns="http://schemas.openxmlformats.org/spreadsheetml/2006/main" r="V113" s="22" t="str">
        <f t="shared" si="7"/>
        <v>○ 免調理</v>
      </c>
      <c xmlns="http://schemas.openxmlformats.org/spreadsheetml/2006/main" r="W113" s="18" t="str">
        <f t="shared" si="8"/>
        <v>免調理半成品（外購/僅切配等），不列入設備風險評估</v>
      </c>
      <c r="X113" s="22" t="s">
        <v>428</v>
      </c>
      <c r="Y113" s="22" t="s">
        <v>467</v>
      </c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 t="inlineStr">
        <is>
          <t>下架</t>
        </is>
      </c>
      <c r="B114" s="22" t="s">
        <v>127</v>
      </c>
      <c r="C114" s="22" t="s">
        <v>647</v>
      </c>
      <c r="D114" s="22" t="s">
        <v>664</v>
      </c>
      <c r="E114" s="22" t="s">
        <v>282</v>
      </c>
      <c r="F114" s="23">
        <v>3</v>
      </c>
      <c r="G114" s="23" t="s">
        <v>75</v>
      </c>
      <c r="H114" s="24">
        <v>75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47" t="s">
        <v>438</v>
      </c>
      <c xmlns="http://schemas.openxmlformats.org/spreadsheetml/2006/main" r="U114" s="23">
        <f t="shared" si="6"/>
        <v>0.0</v>
      </c>
      <c xmlns="http://schemas.openxmlformats.org/spreadsheetml/2006/main" r="V114" s="22" t="str">
        <f t="shared" si="7"/>
        <v>○ 免調理</v>
      </c>
      <c xmlns="http://schemas.openxmlformats.org/spreadsheetml/2006/main" r="W114" s="18" t="str">
        <f t="shared" si="8"/>
        <v>免調理半成品（外購/僅切配等），不列入設備風險評估</v>
      </c>
      <c r="X114" s="22" t="s">
        <v>428</v>
      </c>
      <c r="Y114" s="22" t="s">
        <v>467</v>
      </c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 t="inlineStr">
        <is>
          <t>下架</t>
        </is>
      </c>
      <c r="B115" s="22" t="s">
        <v>127</v>
      </c>
      <c r="C115" s="22" t="s">
        <v>647</v>
      </c>
      <c r="D115" s="22" t="s">
        <v>664</v>
      </c>
      <c r="E115" s="22" t="s">
        <v>283</v>
      </c>
      <c r="F115" s="23">
        <v>7.5</v>
      </c>
      <c r="G115" s="23" t="s">
        <v>75</v>
      </c>
      <c r="H115" s="24">
        <v>61</v>
      </c>
      <c r="I115" s="25"/>
      <c r="J115" s="25"/>
      <c r="K115" s="25"/>
      <c r="L115" s="25"/>
      <c r="M115" s="25"/>
      <c r="N115" s="25"/>
      <c r="O115" s="25" t="s">
        <v>76</v>
      </c>
      <c r="P115" s="25"/>
      <c r="Q115" s="25"/>
      <c r="R115" s="25"/>
      <c r="S115" s="25"/>
      <c r="T115" s="26"/>
      <c xmlns="http://schemas.openxmlformats.org/spreadsheetml/2006/main" r="U115" s="23">
        <f t="shared" si="6"/>
        <v>1.0</v>
      </c>
      <c xmlns="http://schemas.openxmlformats.org/spreadsheetml/2006/main" r="V115" s="22" t="str">
        <f t="shared" si="7"/>
        <v>▲ 單一設備依賴</v>
      </c>
      <c xmlns="http://schemas.openxmlformats.org/spreadsheetml/2006/main" r="W115" s="18" t="str">
        <f t="shared" si="8"/>
        <v>僅依賴1台設備，須確認故障/排修時之備援製程</v>
      </c>
      <c r="X115" s="22" t="s">
        <v>428</v>
      </c>
      <c r="Y115" s="22" t="s">
        <v>467</v>
      </c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 t="inlineStr">
        <is>
          <t>下架</t>
        </is>
      </c>
      <c r="B116" s="22" t="s">
        <v>127</v>
      </c>
      <c r="C116" s="22" t="s">
        <v>647</v>
      </c>
      <c r="D116" s="22" t="s">
        <v>664</v>
      </c>
      <c r="E116" s="22" t="s">
        <v>284</v>
      </c>
      <c r="F116" s="23">
        <v>0.5</v>
      </c>
      <c r="G116" s="23" t="s">
        <v>77</v>
      </c>
      <c r="H116" s="24">
        <v>100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 t="s">
        <v>438</v>
      </c>
      <c xmlns="http://schemas.openxmlformats.org/spreadsheetml/2006/main" r="U116" s="23">
        <f t="shared" si="6"/>
        <v>0.0</v>
      </c>
      <c xmlns="http://schemas.openxmlformats.org/spreadsheetml/2006/main" r="V116" s="22" t="str">
        <f t="shared" si="7"/>
        <v>○ 免調理</v>
      </c>
      <c xmlns="http://schemas.openxmlformats.org/spreadsheetml/2006/main" r="W116" s="18" t="str">
        <f t="shared" si="8"/>
        <v>免調理半成品（外購/僅切配等），不列入設備風險評估</v>
      </c>
      <c r="X116" s="22" t="s">
        <v>428</v>
      </c>
      <c r="Y116" s="22" t="s">
        <v>467</v>
      </c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 t="inlineStr">
        <is>
          <t>下架</t>
        </is>
      </c>
      <c r="B117" s="22" t="s">
        <v>127</v>
      </c>
      <c r="C117" s="22" t="s">
        <v>647</v>
      </c>
      <c r="D117" s="22" t="s">
        <v>664</v>
      </c>
      <c r="E117" s="22" t="s">
        <v>285</v>
      </c>
      <c r="F117" s="23">
        <v>1.5</v>
      </c>
      <c r="G117" s="23" t="s">
        <v>75</v>
      </c>
      <c r="H117" s="24">
        <v>64.900000000000006</v>
      </c>
      <c r="I117" s="25"/>
      <c r="J117" s="25"/>
      <c r="K117" s="25"/>
      <c r="L117" s="25"/>
      <c r="M117" s="25"/>
      <c r="N117" s="25"/>
      <c r="O117" s="25" t="s">
        <v>76</v>
      </c>
      <c r="P117" s="25"/>
      <c r="Q117" s="25"/>
      <c r="R117" s="25"/>
      <c r="S117" s="25"/>
      <c r="T117" s="26"/>
      <c xmlns="http://schemas.openxmlformats.org/spreadsheetml/2006/main" r="U117" s="23">
        <f t="shared" si="6"/>
        <v>1.0</v>
      </c>
      <c xmlns="http://schemas.openxmlformats.org/spreadsheetml/2006/main" r="V117" s="22" t="str">
        <f t="shared" si="7"/>
        <v>▲ 單一設備依賴</v>
      </c>
      <c xmlns="http://schemas.openxmlformats.org/spreadsheetml/2006/main" r="W117" s="18" t="str">
        <f t="shared" si="8"/>
        <v>僅依賴1台設備，須確認故障/排修時之備援製程</v>
      </c>
      <c r="X117" s="22" t="s">
        <v>428</v>
      </c>
      <c r="Y117" s="22" t="s">
        <v>467</v>
      </c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 t="inlineStr">
        <is>
          <t>下架</t>
        </is>
      </c>
      <c r="B118" s="22" t="s">
        <v>127</v>
      </c>
      <c r="C118" s="22" t="s">
        <v>647</v>
      </c>
      <c r="D118" s="22" t="s">
        <v>664</v>
      </c>
      <c r="E118" s="22" t="s">
        <v>266</v>
      </c>
      <c r="F118" s="23">
        <v>65</v>
      </c>
      <c r="G118" s="23" t="s">
        <v>75</v>
      </c>
      <c r="H118" s="24">
        <v>92.6</v>
      </c>
      <c r="I118" s="25" t="s">
        <v>76</v>
      </c>
      <c r="J118" s="25"/>
      <c r="K118" s="25"/>
      <c r="L118" s="25"/>
      <c r="M118" s="25"/>
      <c r="N118" s="25"/>
      <c r="O118" s="25" t="s">
        <v>438</v>
      </c>
      <c r="P118" s="25"/>
      <c r="Q118" s="25"/>
      <c r="R118" s="25"/>
      <c r="S118" s="25"/>
      <c r="T118" s="26"/>
      <c xmlns="http://schemas.openxmlformats.org/spreadsheetml/2006/main" r="U118" s="23">
        <f t="shared" si="6"/>
        <v>2.0</v>
      </c>
      <c xmlns="http://schemas.openxmlformats.org/spreadsheetml/2006/main" r="V118" s="22" t="str">
        <f t="shared" si="7"/>
        <v>OK</v>
      </c>
      <c xmlns="http://schemas.openxmlformats.org/spreadsheetml/2006/main" r="W118" s="18" t="str">
        <f t="shared" si="8"/>
        <v>無異常</v>
      </c>
      <c r="X118" s="22" t="s">
        <v>428</v>
      </c>
      <c r="Y118" s="22" t="s">
        <v>467</v>
      </c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 t="inlineStr">
        <is>
          <t>下架</t>
        </is>
      </c>
      <c r="B119" s="22" t="s">
        <v>127</v>
      </c>
      <c r="C119" s="22" t="s">
        <v>647</v>
      </c>
      <c r="D119" s="22" t="s">
        <v>664</v>
      </c>
      <c r="E119" s="22" t="s">
        <v>268</v>
      </c>
      <c r="F119" s="23">
        <v>0.4</v>
      </c>
      <c r="G119" s="23" t="s">
        <v>77</v>
      </c>
      <c r="H119" s="24">
        <v>73.5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47" t="s">
        <v>438</v>
      </c>
      <c xmlns="http://schemas.openxmlformats.org/spreadsheetml/2006/main" r="U119" s="23">
        <f t="shared" si="6"/>
        <v>0.0</v>
      </c>
      <c xmlns="http://schemas.openxmlformats.org/spreadsheetml/2006/main" r="V119" s="22" t="str">
        <f t="shared" si="7"/>
        <v>○ 免調理</v>
      </c>
      <c xmlns="http://schemas.openxmlformats.org/spreadsheetml/2006/main" r="W119" s="18" t="str">
        <f t="shared" si="8"/>
        <v>免調理半成品（外購/僅切配等），不列入設備風險評估</v>
      </c>
      <c r="X119" s="22" t="s">
        <v>428</v>
      </c>
      <c r="Y119" s="22" t="s">
        <v>467</v>
      </c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 t="inlineStr">
        <is>
          <t>下架</t>
        </is>
      </c>
      <c r="B120" s="22" t="s">
        <v>127</v>
      </c>
      <c r="C120" s="22" t="s">
        <v>647</v>
      </c>
      <c r="D120" s="22" t="s">
        <v>664</v>
      </c>
      <c r="E120" s="22" t="s">
        <v>129</v>
      </c>
      <c r="F120" s="23">
        <v>6.5</v>
      </c>
      <c r="G120" s="23" t="s">
        <v>75</v>
      </c>
      <c r="H120" s="24">
        <v>72</v>
      </c>
      <c r="I120" s="25"/>
      <c r="J120" s="25"/>
      <c r="K120" s="25"/>
      <c r="L120" s="25"/>
      <c r="M120" s="25" t="s">
        <v>76</v>
      </c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>
        <f t="shared" si="6"/>
        <v>1.0</v>
      </c>
      <c xmlns="http://schemas.openxmlformats.org/spreadsheetml/2006/main" r="V120" s="22" t="str">
        <f t="shared" si="7"/>
        <v>▲ 單一設備依賴</v>
      </c>
      <c xmlns="http://schemas.openxmlformats.org/spreadsheetml/2006/main" r="W120" s="18" t="str">
        <f t="shared" si="8"/>
        <v>僅依賴1台設備，須確認故障/排修時之備援製程</v>
      </c>
      <c r="X120" s="22" t="s">
        <v>428</v>
      </c>
      <c r="Y120" s="22" t="s">
        <v>467</v>
      </c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 t="inlineStr">
        <is>
          <t>下架</t>
        </is>
      </c>
      <c r="B121" s="22" t="s">
        <v>127</v>
      </c>
      <c r="C121" s="22" t="s">
        <v>647</v>
      </c>
      <c r="D121" s="22" t="s">
        <v>664</v>
      </c>
      <c r="E121" s="22" t="s">
        <v>286</v>
      </c>
      <c r="F121" s="23">
        <v>7.5</v>
      </c>
      <c r="G121" s="23" t="s">
        <v>75</v>
      </c>
      <c r="H121" s="24">
        <v>55.9</v>
      </c>
      <c r="I121" s="25"/>
      <c r="J121" s="25"/>
      <c r="K121" s="25"/>
      <c r="L121" s="25"/>
      <c r="M121" s="25"/>
      <c r="N121" s="25"/>
      <c r="O121" s="25" t="s">
        <v>76</v>
      </c>
      <c r="P121" s="25"/>
      <c r="Q121" s="25"/>
      <c r="R121" s="25"/>
      <c r="S121" s="25"/>
      <c r="T121" s="26"/>
      <c xmlns="http://schemas.openxmlformats.org/spreadsheetml/2006/main" r="U121" s="23">
        <f t="shared" si="6"/>
        <v>1.0</v>
      </c>
      <c xmlns="http://schemas.openxmlformats.org/spreadsheetml/2006/main" r="V121" s="22" t="str">
        <f t="shared" si="7"/>
        <v>▲ 單一設備依賴</v>
      </c>
      <c xmlns="http://schemas.openxmlformats.org/spreadsheetml/2006/main" r="W121" s="18" t="str">
        <f t="shared" si="8"/>
        <v>僅依賴1台設備，須確認故障/排修時之備援製程</v>
      </c>
      <c r="X121" s="22" t="s">
        <v>428</v>
      </c>
      <c r="Y121" s="22" t="s">
        <v>467</v>
      </c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 t="inlineStr">
        <is>
          <t>下架</t>
        </is>
      </c>
      <c r="B122" s="22" t="s">
        <v>127</v>
      </c>
      <c r="C122" s="22" t="s">
        <v>647</v>
      </c>
      <c r="D122" s="22" t="s">
        <v>664</v>
      </c>
      <c r="E122" s="22" t="s">
        <v>287</v>
      </c>
      <c r="F122" s="23">
        <v>3</v>
      </c>
      <c r="G122" s="23" t="s">
        <v>75</v>
      </c>
      <c r="H122" s="24">
        <v>67.8</v>
      </c>
      <c r="I122" s="25"/>
      <c r="J122" s="25"/>
      <c r="K122" s="25"/>
      <c r="L122" s="25"/>
      <c r="M122" s="25"/>
      <c r="N122" s="25"/>
      <c r="O122" s="25" t="s">
        <v>76</v>
      </c>
      <c r="P122" s="25"/>
      <c r="Q122" s="25"/>
      <c r="R122" s="25"/>
      <c r="S122" s="25"/>
      <c r="T122" s="26"/>
      <c xmlns="http://schemas.openxmlformats.org/spreadsheetml/2006/main" r="U122" s="23">
        <f t="shared" si="6"/>
        <v>1.0</v>
      </c>
      <c xmlns="http://schemas.openxmlformats.org/spreadsheetml/2006/main" r="V122" s="22" t="str">
        <f t="shared" si="7"/>
        <v>▲ 單一設備依賴</v>
      </c>
      <c xmlns="http://schemas.openxmlformats.org/spreadsheetml/2006/main" r="W122" s="18" t="str">
        <f t="shared" si="8"/>
        <v>僅依賴1台設備，須確認故障/排修時之備援製程</v>
      </c>
      <c r="X122" s="22" t="s">
        <v>428</v>
      </c>
      <c r="Y122" s="22" t="s">
        <v>467</v>
      </c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 t="inlineStr">
        <is>
          <t>下架</t>
        </is>
      </c>
      <c r="B123" s="22" t="s">
        <v>127</v>
      </c>
      <c r="C123" s="22" t="s">
        <v>647</v>
      </c>
      <c r="D123" s="22" t="s">
        <v>664</v>
      </c>
      <c r="E123" s="22" t="s">
        <v>288</v>
      </c>
      <c r="F123" s="23">
        <v>0.5</v>
      </c>
      <c r="G123" s="23" t="s">
        <v>77</v>
      </c>
      <c r="H123" s="24">
        <v>100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 t="s">
        <v>438</v>
      </c>
      <c xmlns="http://schemas.openxmlformats.org/spreadsheetml/2006/main" r="U123" s="23">
        <f t="shared" si="6"/>
        <v>0.0</v>
      </c>
      <c xmlns="http://schemas.openxmlformats.org/spreadsheetml/2006/main" r="V123" s="22" t="str">
        <f t="shared" si="7"/>
        <v>○ 免調理</v>
      </c>
      <c xmlns="http://schemas.openxmlformats.org/spreadsheetml/2006/main" r="W123" s="18" t="str">
        <f t="shared" si="8"/>
        <v>免調理半成品（外購/僅切配等），不列入設備風險評估</v>
      </c>
      <c r="X123" s="22" t="s">
        <v>428</v>
      </c>
      <c r="Y123" s="22" t="s">
        <v>467</v>
      </c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 t="inlineStr">
        <is>
          <t>下架</t>
        </is>
      </c>
      <c r="B124" s="22" t="s">
        <v>127</v>
      </c>
      <c r="C124" s="22" t="s">
        <v>647</v>
      </c>
      <c r="D124" s="22" t="s">
        <v>664</v>
      </c>
      <c r="E124" s="22" t="s">
        <v>285</v>
      </c>
      <c r="F124" s="23">
        <v>1.5</v>
      </c>
      <c r="G124" s="23" t="s">
        <v>75</v>
      </c>
      <c r="H124" s="24">
        <v>64.900000000000006</v>
      </c>
      <c r="I124" s="25"/>
      <c r="J124" s="25"/>
      <c r="K124" s="25"/>
      <c r="L124" s="25"/>
      <c r="M124" s="25"/>
      <c r="N124" s="25"/>
      <c r="O124" s="25" t="s">
        <v>76</v>
      </c>
      <c r="P124" s="25"/>
      <c r="Q124" s="25"/>
      <c r="R124" s="25"/>
      <c r="S124" s="25"/>
      <c r="T124" s="26"/>
      <c xmlns="http://schemas.openxmlformats.org/spreadsheetml/2006/main" r="U124" s="23">
        <f t="shared" si="6"/>
        <v>1.0</v>
      </c>
      <c xmlns="http://schemas.openxmlformats.org/spreadsheetml/2006/main" r="V124" s="22" t="str">
        <f t="shared" si="7"/>
        <v>▲ 單一設備依賴</v>
      </c>
      <c xmlns="http://schemas.openxmlformats.org/spreadsheetml/2006/main" r="W124" s="18" t="str">
        <f t="shared" si="8"/>
        <v>僅依賴1台設備，須確認故障/排修時之備援製程</v>
      </c>
      <c r="X124" s="22" t="s">
        <v>428</v>
      </c>
      <c r="Y124" s="22" t="s">
        <v>467</v>
      </c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 t="inlineStr">
        <is>
          <t>架上</t>
        </is>
      </c>
      <c r="B125" s="22" t="s">
        <v>127</v>
      </c>
      <c r="C125" s="22" t="s">
        <v>106</v>
      </c>
      <c r="D125" s="22" t="s">
        <v>665</v>
      </c>
      <c r="E125" s="22" t="s">
        <v>289</v>
      </c>
      <c r="F125" s="23">
        <v>95</v>
      </c>
      <c r="G125" s="23" t="s">
        <v>75</v>
      </c>
      <c r="H125" s="24">
        <v>92</v>
      </c>
      <c r="I125" s="25" t="s">
        <v>76</v>
      </c>
      <c r="J125" s="25"/>
      <c r="K125" s="25"/>
      <c r="L125" s="25"/>
      <c r="M125" s="25"/>
      <c r="N125" s="25"/>
      <c r="O125" s="25" t="s">
        <v>438</v>
      </c>
      <c r="P125" s="25"/>
      <c r="Q125" s="25"/>
      <c r="R125" s="25"/>
      <c r="S125" s="25"/>
      <c r="T125" s="26"/>
      <c xmlns="http://schemas.openxmlformats.org/spreadsheetml/2006/main" r="U125" s="23">
        <f t="shared" si="6"/>
        <v>2.0</v>
      </c>
      <c xmlns="http://schemas.openxmlformats.org/spreadsheetml/2006/main" r="V125" s="22" t="str">
        <f t="shared" si="7"/>
        <v>OK</v>
      </c>
      <c xmlns="http://schemas.openxmlformats.org/spreadsheetml/2006/main" r="W125" s="18" t="str">
        <f t="shared" si="8"/>
        <v>無異常</v>
      </c>
      <c r="X125" s="22" t="s">
        <v>429</v>
      </c>
      <c r="Y125" s="22" t="s">
        <v>467</v>
      </c>
      <c xmlns="http://schemas.openxmlformats.org/spreadsheetml/2006/main" r="Z125">
        <f>IF($D125="",0,IF(COUNTIF($D$5:$D125,$D125)=1,1,0))</f>
        <v>1.0</v>
      </c>
      <c xmlns="http://schemas.openxmlformats.org/spreadsheetml/2006/main" r="AA125">
        <f>IF(Z125=1,SUM($Z$5:$Z125),"")</f>
        <v>28.0</v>
      </c>
    </row>
    <row r="126" spans="1:27">
      <c r="A126" s="22" t="inlineStr">
        <is>
          <t>架上</t>
        </is>
      </c>
      <c r="B126" s="22" t="s">
        <v>127</v>
      </c>
      <c r="C126" s="22" t="s">
        <v>106</v>
      </c>
      <c r="D126" s="22" t="s">
        <v>665</v>
      </c>
      <c r="E126" s="22" t="s">
        <v>290</v>
      </c>
      <c r="F126" s="23">
        <v>10</v>
      </c>
      <c r="G126" s="23" t="s">
        <v>75</v>
      </c>
      <c r="H126" s="24">
        <v>97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 t="s">
        <v>76</v>
      </c>
      <c xmlns="http://schemas.openxmlformats.org/spreadsheetml/2006/main" r="U126" s="23">
        <f t="shared" si="6"/>
        <v>0.0</v>
      </c>
      <c xmlns="http://schemas.openxmlformats.org/spreadsheetml/2006/main" r="V126" s="22" t="str">
        <f t="shared" si="7"/>
        <v>○ 免調理</v>
      </c>
      <c xmlns="http://schemas.openxmlformats.org/spreadsheetml/2006/main" r="W126" s="18" t="str">
        <f t="shared" si="8"/>
        <v>免調理半成品（外購/僅切配等），不列入設備風險評估</v>
      </c>
      <c r="X126" s="22" t="s">
        <v>429</v>
      </c>
      <c r="Y126" s="22" t="s">
        <v>467</v>
      </c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 t="inlineStr">
        <is>
          <t>架上</t>
        </is>
      </c>
      <c r="B127" s="22" t="s">
        <v>127</v>
      </c>
      <c r="C127" s="22" t="s">
        <v>106</v>
      </c>
      <c r="D127" s="22" t="s">
        <v>665</v>
      </c>
      <c r="E127" s="22" t="s">
        <v>291</v>
      </c>
      <c r="F127" s="23">
        <v>3</v>
      </c>
      <c r="G127" s="23" t="s">
        <v>75</v>
      </c>
      <c r="H127" s="24">
        <v>65.900000000000006</v>
      </c>
      <c r="I127" s="25"/>
      <c r="J127" s="25"/>
      <c r="K127" s="25"/>
      <c r="L127" s="25"/>
      <c r="M127" s="25"/>
      <c r="N127" s="25"/>
      <c r="O127" s="25" t="s">
        <v>76</v>
      </c>
      <c r="P127" s="25"/>
      <c r="Q127" s="25"/>
      <c r="R127" s="25"/>
      <c r="S127" s="25"/>
      <c r="T127" s="26"/>
      <c xmlns="http://schemas.openxmlformats.org/spreadsheetml/2006/main" r="U127" s="23">
        <f t="shared" si="6"/>
        <v>1.0</v>
      </c>
      <c xmlns="http://schemas.openxmlformats.org/spreadsheetml/2006/main" r="V127" s="22" t="str">
        <f t="shared" si="7"/>
        <v>▲ 單一設備依賴</v>
      </c>
      <c xmlns="http://schemas.openxmlformats.org/spreadsheetml/2006/main" r="W127" s="18" t="str">
        <f t="shared" si="8"/>
        <v>僅依賴1台設備，須確認故障/排修時之備援製程</v>
      </c>
      <c r="X127" s="22" t="s">
        <v>429</v>
      </c>
      <c r="Y127" s="22" t="s">
        <v>467</v>
      </c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 t="inlineStr">
        <is>
          <t>架上</t>
        </is>
      </c>
      <c r="B128" s="22" t="s">
        <v>127</v>
      </c>
      <c r="C128" s="22" t="s">
        <v>106</v>
      </c>
      <c r="D128" s="22" t="s">
        <v>665</v>
      </c>
      <c r="E128" s="22" t="s">
        <v>512</v>
      </c>
      <c r="F128" s="23">
        <v>1</v>
      </c>
      <c r="G128" s="23" t="s">
        <v>77</v>
      </c>
      <c r="H128" s="24">
        <v>100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 t="s">
        <v>76</v>
      </c>
      <c xmlns="http://schemas.openxmlformats.org/spreadsheetml/2006/main" r="U128" s="23">
        <f t="shared" si="6"/>
        <v>0.0</v>
      </c>
      <c xmlns="http://schemas.openxmlformats.org/spreadsheetml/2006/main" r="V128" s="22" t="str">
        <f t="shared" si="7"/>
        <v>○ 免調理</v>
      </c>
      <c xmlns="http://schemas.openxmlformats.org/spreadsheetml/2006/main" r="W128" s="18" t="str">
        <f t="shared" si="8"/>
        <v>免調理半成品（外購/僅切配等），不列入設備風險評估</v>
      </c>
      <c r="X128" s="22" t="s">
        <v>513</v>
      </c>
      <c r="Y128" s="22" t="s">
        <v>514</v>
      </c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 t="s">
        <v>745</v>
      </c>
      <c r="B129" s="22" t="s">
        <v>127</v>
      </c>
      <c r="C129" s="22" t="s">
        <v>465</v>
      </c>
      <c r="D129" s="22" t="s">
        <v>461</v>
      </c>
      <c r="E129" s="22" t="s">
        <v>462</v>
      </c>
      <c r="F129" s="23">
        <v>95</v>
      </c>
      <c r="G129" s="23" t="s">
        <v>75</v>
      </c>
      <c r="H129" s="24">
        <v>93</v>
      </c>
      <c r="I129" s="25" t="s">
        <v>76</v>
      </c>
      <c r="J129" s="25"/>
      <c r="K129" s="25"/>
      <c r="L129" s="25"/>
      <c r="M129" s="25"/>
      <c r="N129" s="25"/>
      <c r="O129" s="25" t="s">
        <v>76</v>
      </c>
      <c r="P129" s="25"/>
      <c r="Q129" s="25"/>
      <c r="R129" s="25"/>
      <c r="S129" s="25"/>
      <c r="T129" s="26"/>
      <c xmlns="http://schemas.openxmlformats.org/spreadsheetml/2006/main" r="U129" s="23">
        <f t="shared" si="6"/>
        <v>2.0</v>
      </c>
      <c xmlns="http://schemas.openxmlformats.org/spreadsheetml/2006/main" r="V129" s="22" t="str">
        <f t="shared" si="7"/>
        <v>OK</v>
      </c>
      <c xmlns="http://schemas.openxmlformats.org/spreadsheetml/2006/main" r="W129" s="18" t="str">
        <f t="shared" si="8"/>
        <v>無異常</v>
      </c>
      <c r="X129" s="22" t="s">
        <v>466</v>
      </c>
      <c r="Y129" s="22" t="s">
        <v>467</v>
      </c>
      <c xmlns="http://schemas.openxmlformats.org/spreadsheetml/2006/main" r="Z129">
        <f>IF($D129="",0,IF(COUNTIF($D$5:$D129,$D129)=1,1,0))</f>
        <v>1.0</v>
      </c>
      <c xmlns="http://schemas.openxmlformats.org/spreadsheetml/2006/main" r="AA129">
        <f>IF(Z129=1,SUM($Z$5:$Z129),"")</f>
        <v>29.0</v>
      </c>
    </row>
    <row r="130" spans="1:27">
      <c r="A130" s="22" t="s">
        <v>745</v>
      </c>
      <c r="B130" s="22" t="s">
        <v>127</v>
      </c>
      <c r="C130" s="22" t="s">
        <v>465</v>
      </c>
      <c r="D130" s="22" t="s">
        <v>461</v>
      </c>
      <c r="E130" s="22" t="s">
        <v>463</v>
      </c>
      <c r="F130" s="23">
        <v>12</v>
      </c>
      <c r="G130" s="23" t="s">
        <v>75</v>
      </c>
      <c r="H130" s="24">
        <v>58.8</v>
      </c>
      <c r="I130" s="25"/>
      <c r="J130" s="25"/>
      <c r="K130" s="25"/>
      <c r="L130" s="25"/>
      <c r="M130" s="25"/>
      <c r="N130" s="25"/>
      <c r="O130" s="25" t="s">
        <v>76</v>
      </c>
      <c r="P130" s="25"/>
      <c r="Q130" s="25"/>
      <c r="R130" s="25"/>
      <c r="S130" s="25"/>
      <c r="T130" s="26"/>
      <c xmlns="http://schemas.openxmlformats.org/spreadsheetml/2006/main" r="U130" s="23">
        <f t="shared" si="6"/>
        <v>1.0</v>
      </c>
      <c xmlns="http://schemas.openxmlformats.org/spreadsheetml/2006/main" r="V130" s="22" t="str">
        <f t="shared" si="7"/>
        <v>▲ 單一設備依賴</v>
      </c>
      <c xmlns="http://schemas.openxmlformats.org/spreadsheetml/2006/main" r="W130" s="18" t="str">
        <f t="shared" si="8"/>
        <v>僅依賴1台設備，須確認故障/排修時之備援製程</v>
      </c>
      <c r="X130" s="22" t="s">
        <v>466</v>
      </c>
      <c r="Y130" s="22" t="s">
        <v>467</v>
      </c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 t="s">
        <v>745</v>
      </c>
      <c r="B131" s="22" t="s">
        <v>127</v>
      </c>
      <c r="C131" s="22" t="s">
        <v>465</v>
      </c>
      <c r="D131" s="22" t="s">
        <v>461</v>
      </c>
      <c r="E131" s="22" t="s">
        <v>464</v>
      </c>
      <c r="F131" s="23">
        <v>8</v>
      </c>
      <c r="G131" s="23" t="s">
        <v>75</v>
      </c>
      <c r="H131" s="24">
        <v>32</v>
      </c>
      <c r="I131" s="25"/>
      <c r="J131" s="25"/>
      <c r="K131" s="25" t="s">
        <v>76</v>
      </c>
      <c r="L131" s="25" t="s">
        <v>76</v>
      </c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>
        <f t="shared" si="6"/>
        <v>2.0</v>
      </c>
      <c xmlns="http://schemas.openxmlformats.org/spreadsheetml/2006/main" r="V131" s="22" t="str">
        <f t="shared" si="7"/>
        <v>OK</v>
      </c>
      <c xmlns="http://schemas.openxmlformats.org/spreadsheetml/2006/main" r="W131" s="18" t="str">
        <f t="shared" si="8"/>
        <v>無異常</v>
      </c>
      <c r="X131" s="22" t="s">
        <v>466</v>
      </c>
      <c r="Y131" s="22" t="s">
        <v>467</v>
      </c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 t="s">
        <v>745</v>
      </c>
      <c r="B132" s="22" t="s">
        <v>482</v>
      </c>
      <c r="C132" s="22" t="s">
        <v>106</v>
      </c>
      <c r="D132" s="22" t="s">
        <v>461</v>
      </c>
      <c r="E132" s="22" t="s">
        <v>481</v>
      </c>
      <c r="F132" s="23">
        <v>1</v>
      </c>
      <c r="G132" s="23" t="s">
        <v>77</v>
      </c>
      <c r="H132" s="24">
        <v>100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 t="s">
        <v>76</v>
      </c>
      <c xmlns="http://schemas.openxmlformats.org/spreadsheetml/2006/main" r="U132" s="23">
        <f t="shared" si="6"/>
        <v>0.0</v>
      </c>
      <c xmlns="http://schemas.openxmlformats.org/spreadsheetml/2006/main" r="V132" s="22" t="str">
        <f t="shared" si="7"/>
        <v>○ 免調理</v>
      </c>
      <c xmlns="http://schemas.openxmlformats.org/spreadsheetml/2006/main" r="W132" s="18" t="str">
        <f t="shared" si="8"/>
        <v>免調理半成品（外購/僅切配等），不列入設備風險評估</v>
      </c>
      <c r="X132" s="22" t="s">
        <v>466</v>
      </c>
      <c r="Y132" s="22" t="s">
        <v>467</v>
      </c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 t="inlineStr">
        <is>
          <t>待上架</t>
        </is>
      </c>
      <c r="B133" s="22" t="s">
        <v>482</v>
      </c>
      <c r="C133" s="22" t="s">
        <v>504</v>
      </c>
      <c r="D133" s="22" t="s">
        <v>630</v>
      </c>
      <c r="E133" s="22" t="s">
        <v>141</v>
      </c>
      <c r="F133" s="23">
        <v>95</v>
      </c>
      <c r="G133" s="23" t="s">
        <v>75</v>
      </c>
      <c r="H133" s="24">
        <v>92</v>
      </c>
      <c r="I133" s="25" t="s">
        <v>76</v>
      </c>
      <c r="J133" s="25"/>
      <c r="K133" s="25"/>
      <c r="L133" s="25"/>
      <c r="M133" s="25"/>
      <c r="N133" s="25"/>
      <c r="O133" s="25" t="s">
        <v>76</v>
      </c>
      <c r="P133" s="25"/>
      <c r="Q133" s="25"/>
      <c r="R133" s="25"/>
      <c r="S133" s="25"/>
      <c r="T133" s="26"/>
      <c xmlns="http://schemas.openxmlformats.org/spreadsheetml/2006/main" r="U133" s="23">
        <f>IF($E133="","",COUNTIF($I133:$S133,"V"))</f>
        <v>2.0</v>
      </c>
      <c xmlns="http://schemas.openxmlformats.org/spreadsheetml/2006/main" r="V133" s="22" t="str">
        <f>IF($E133="","",IF(AND($T133="V",$U133&gt;0),"⚠ 勾選矛盾",IF($T133="V","○ 免調理",IF($U133=0,"⚠ 資料缺漏",IF($U133=1,"▲ 單一設備依賴","OK")))))</f>
        <v>OK</v>
      </c>
      <c xmlns="http://schemas.openxmlformats.org/spreadsheetml/2006/main" r="W133" s="18" t="str">
        <f>IF($E133="","",IF(AND($T133="V",$U133&gt;0),"「無使用調理設備」不可與設備欄同時勾選，請擇一修正",IF($T133="V","免調理半成品（外購/僅切配等），不列入設備風險評估",IF($U133=0,"未勾選任何設備，請補填或勾選「無使用調理設備」",IF($U133=1,"僅依賴1台設備，須確認故障/排修時之備援製程","無異常")))))</f>
        <v>無異常</v>
      </c>
      <c r="X133" s="22" t="s">
        <v>578</v>
      </c>
      <c r="Y133" s="22" t="s">
        <v>514</v>
      </c>
      <c xmlns="http://schemas.openxmlformats.org/spreadsheetml/2006/main" r="Z133">
        <f>IF($D133="",0,IF(COUNTIF($D$5:$D133,$D133)=1,1,0))</f>
        <v>1.0</v>
      </c>
      <c xmlns="http://schemas.openxmlformats.org/spreadsheetml/2006/main" r="AA133">
        <f>IF(Z133=1,SUM($Z$5:$Z133),"")</f>
        <v>30.0</v>
      </c>
    </row>
    <row r="134" spans="1:27">
      <c r="A134" s="22" t="inlineStr">
        <is>
          <t>待上架</t>
        </is>
      </c>
      <c r="B134" s="22" t="s">
        <v>482</v>
      </c>
      <c r="C134" s="22" t="s">
        <v>504</v>
      </c>
      <c r="D134" s="22" t="s">
        <v>630</v>
      </c>
      <c r="E134" s="22" t="s">
        <v>576</v>
      </c>
      <c r="F134" s="23">
        <v>6</v>
      </c>
      <c r="G134" s="23" t="s">
        <v>75</v>
      </c>
      <c r="H134" s="24">
        <v>100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 t="s">
        <v>76</v>
      </c>
      <c xmlns="http://schemas.openxmlformats.org/spreadsheetml/2006/main" r="U134" s="23">
        <f>IF($E134="","",COUNTIF($I134:$S134,"V"))</f>
        <v>0.0</v>
      </c>
      <c xmlns="http://schemas.openxmlformats.org/spreadsheetml/2006/main" r="V134" s="22" t="str">
        <f>IF($E134="","",IF(AND($T134="V",$U134&gt;0),"⚠ 勾選矛盾",IF($T134="V","○ 免調理",IF($U134=0,"⚠ 資料缺漏",IF($U134=1,"▲ 單一設備依賴","OK")))))</f>
        <v>○ 免調理</v>
      </c>
      <c xmlns="http://schemas.openxmlformats.org/spreadsheetml/2006/main" r="W134" s="18" t="str">
        <f>IF($E134="","",IF(AND($T134="V",$U134&gt;0),"「無使用調理設備」不可與設備欄同時勾選，請擇一修正",IF($T134="V","免調理半成品（外購/僅切配等），不列入設備風險評估",IF($U134=0,"未勾選任何設備，請補填或勾選「無使用調理設備」",IF($U134=1,"僅依賴1台設備，須確認故障/排修時之備援製程","無異常")))))</f>
        <v>免調理半成品（外購/僅切配等），不列入設備風險評估</v>
      </c>
      <c r="X134" s="22" t="s">
        <v>578</v>
      </c>
      <c r="Y134" s="22" t="s">
        <v>514</v>
      </c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 t="inlineStr">
        <is>
          <t>待上架</t>
        </is>
      </c>
      <c r="B135" s="22" t="s">
        <v>482</v>
      </c>
      <c r="C135" s="22" t="s">
        <v>504</v>
      </c>
      <c r="D135" s="22" t="s">
        <v>630</v>
      </c>
      <c r="E135" s="22" t="s">
        <v>577</v>
      </c>
      <c r="F135" s="23">
        <v>3</v>
      </c>
      <c r="G135" s="23" t="s">
        <v>77</v>
      </c>
      <c r="H135" s="24">
        <v>35000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 t="s">
        <v>76</v>
      </c>
      <c xmlns="http://schemas.openxmlformats.org/spreadsheetml/2006/main" r="U135" s="23">
        <f>IF($E135="","",COUNTIF($I135:$S135,"V"))</f>
        <v>0.0</v>
      </c>
      <c xmlns="http://schemas.openxmlformats.org/spreadsheetml/2006/main" r="V135" s="22" t="str">
        <f>IF($E135="","",IF(AND($T135="V",$U135&gt;0),"⚠ 勾選矛盾",IF($T135="V","○ 免調理",IF($U135=0,"⚠ 資料缺漏",IF($U135=1,"▲ 單一設備依賴","OK")))))</f>
        <v>○ 免調理</v>
      </c>
      <c xmlns="http://schemas.openxmlformats.org/spreadsheetml/2006/main" r="W135" s="18" t="str">
        <f>IF($E135="","",IF(AND($T135="V",$U135&gt;0),"「無使用調理設備」不可與設備欄同時勾選，請擇一修正",IF($T135="V","免調理半成品（外購/僅切配等），不列入設備風險評估",IF($U135=0,"未勾選任何設備，請補填或勾選「無使用調理設備」",IF($U135=1,"僅依賴1台設備，須確認故障/排修時之備援製程","無異常")))))</f>
        <v>免調理半成品（外購/僅切配等），不列入設備風險評估</v>
      </c>
      <c r="X135" s="22" t="s">
        <v>578</v>
      </c>
      <c r="Y135" s="22" t="s">
        <v>514</v>
      </c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 t="inlineStr">
        <is>
          <t>待上架</t>
        </is>
      </c>
      <c r="B136" s="22" t="s">
        <v>482</v>
      </c>
      <c r="C136" s="22" t="s">
        <v>504</v>
      </c>
      <c r="D136" s="22" t="s">
        <v>630</v>
      </c>
      <c r="E136" s="22" t="s">
        <v>631</v>
      </c>
      <c r="F136" s="23">
        <v>1</v>
      </c>
      <c r="G136" s="23" t="s">
        <v>77</v>
      </c>
      <c r="H136" s="24">
        <v>100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 t="s">
        <v>76</v>
      </c>
      <c xmlns="http://schemas.openxmlformats.org/spreadsheetml/2006/main" r="U136" s="23">
        <f>IF($E136="","",COUNTIF($I136:$S136,"V"))</f>
        <v>0.0</v>
      </c>
      <c xmlns="http://schemas.openxmlformats.org/spreadsheetml/2006/main" r="V136" s="22" t="str">
        <f>IF($E136="","",IF(AND($T136="V",$U136&gt;0),"⚠ 勾選矛盾",IF($T136="V","○ 免調理",IF($U136=0,"⚠ 資料缺漏",IF($U136=1,"▲ 單一設備依賴","OK")))))</f>
        <v>○ 免調理</v>
      </c>
      <c xmlns="http://schemas.openxmlformats.org/spreadsheetml/2006/main" r="W136" s="18" t="str">
        <f>IF($E136="","",IF(AND($T136="V",$U136&gt;0),"「無使用調理設備」不可與設備欄同時勾選，請擇一修正",IF($T136="V","免調理半成品（外購/僅切配等），不列入設備風險評估",IF($U136=0,"未勾選任何設備，請補填或勾選「無使用調理設備」",IF($U136=1,"僅依賴1台設備，須確認故障/排修時之備援製程","無異常")))))</f>
        <v>免調理半成品（外購/僅切配等），不列入設備風險評估</v>
      </c>
      <c r="X136" s="22" t="s">
        <v>578</v>
      </c>
      <c r="Y136" s="22" t="s">
        <v>514</v>
      </c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 t="inlineStr">
        <is>
          <t>待上架</t>
        </is>
      </c>
      <c r="B137" s="22" t="s">
        <v>482</v>
      </c>
      <c r="C137" s="22" t="s">
        <v>504</v>
      </c>
      <c r="D137" s="22" t="s">
        <v>588</v>
      </c>
      <c r="E137" s="22" t="s">
        <v>141</v>
      </c>
      <c r="F137" s="23">
        <v>95</v>
      </c>
      <c r="G137" s="23" t="s">
        <v>75</v>
      </c>
      <c r="H137" s="24">
        <v>92</v>
      </c>
      <c r="I137" s="25" t="s">
        <v>76</v>
      </c>
      <c r="J137" s="25"/>
      <c r="K137" s="25"/>
      <c r="L137" s="25"/>
      <c r="M137" s="25"/>
      <c r="N137" s="25"/>
      <c r="O137" s="25" t="s">
        <v>76</v>
      </c>
      <c r="P137" s="25"/>
      <c r="Q137" s="25"/>
      <c r="R137" s="25"/>
      <c r="S137" s="25"/>
      <c r="T137" s="26"/>
      <c xmlns="http://schemas.openxmlformats.org/spreadsheetml/2006/main" r="U137" s="23">
        <f>IF($E137="","",COUNTIF($I137:$S137,"V"))</f>
        <v>2.0</v>
      </c>
      <c xmlns="http://schemas.openxmlformats.org/spreadsheetml/2006/main" r="V137" s="22" t="str">
        <f>IF($E137="","",IF(AND($T137="V",$U137&gt;0),"⚠ 勾選矛盾",IF($T137="V","○ 免調理",IF($U137=0,"⚠ 資料缺漏",IF($U137=1,"▲ 單一設備依賴","OK")))))</f>
        <v>OK</v>
      </c>
      <c xmlns="http://schemas.openxmlformats.org/spreadsheetml/2006/main" r="W137" s="18" t="str">
        <f>IF($E137="","",IF(AND($T137="V",$U137&gt;0),"「無使用調理設備」不可與設備欄同時勾選，請擇一修正",IF($T137="V","免調理半成品（外購/僅切配等），不列入設備風險評估",IF($U137=0,"未勾選任何設備，請補填或勾選「無使用調理設備」",IF($U137=1,"僅依賴1台設備，須確認故障/排修時之備援製程","無異常")))))</f>
        <v>無異常</v>
      </c>
      <c r="X137" s="22" t="s">
        <v>589</v>
      </c>
      <c r="Y137" s="22" t="s">
        <v>514</v>
      </c>
      <c xmlns="http://schemas.openxmlformats.org/spreadsheetml/2006/main" r="Z137">
        <f>IF($D137="",0,IF(COUNTIF($D$5:$D137,$D137)=1,1,0))</f>
        <v>1.0</v>
      </c>
      <c xmlns="http://schemas.openxmlformats.org/spreadsheetml/2006/main" r="AA137">
        <f>IF(Z137=1,SUM($Z$5:$Z137),"")</f>
        <v>31.0</v>
      </c>
    </row>
    <row r="138" spans="1:27">
      <c r="A138" s="22" t="inlineStr">
        <is>
          <t>待上架</t>
        </is>
      </c>
      <c r="B138" s="22" t="s">
        <v>482</v>
      </c>
      <c r="C138" s="22" t="s">
        <v>504</v>
      </c>
      <c r="D138" s="22" t="s">
        <v>588</v>
      </c>
      <c r="E138" s="22" t="s">
        <v>586</v>
      </c>
      <c r="F138" s="23">
        <v>5</v>
      </c>
      <c r="G138" s="23" t="s">
        <v>75</v>
      </c>
      <c r="H138" s="24">
        <v>65</v>
      </c>
      <c r="I138" s="25"/>
      <c r="J138" s="25"/>
      <c r="K138" s="25"/>
      <c r="L138" s="25"/>
      <c r="M138" s="25"/>
      <c r="N138" s="25"/>
      <c r="O138" s="25" t="s">
        <v>76</v>
      </c>
      <c r="P138" s="25"/>
      <c r="Q138" s="25"/>
      <c r="R138" s="25"/>
      <c r="S138" s="25"/>
      <c r="T138" s="26"/>
      <c xmlns="http://schemas.openxmlformats.org/spreadsheetml/2006/main" r="U138" s="23">
        <f>IF($E138="","",COUNTIF($I138:$S138,"V"))</f>
        <v>1.0</v>
      </c>
      <c xmlns="http://schemas.openxmlformats.org/spreadsheetml/2006/main" r="V138" s="22" t="str">
        <f>IF($E138="","",IF(AND($T138="V",$U138&gt;0),"⚠ 勾選矛盾",IF($T138="V","○ 免調理",IF($U138=0,"⚠ 資料缺漏",IF($U138=1,"▲ 單一設備依賴","OK")))))</f>
        <v>▲ 單一設備依賴</v>
      </c>
      <c xmlns="http://schemas.openxmlformats.org/spreadsheetml/2006/main" r="W138" s="18" t="str">
        <f>IF($E138="","",IF(AND($T138="V",$U138&gt;0),"「無使用調理設備」不可與設備欄同時勾選，請擇一修正",IF($T138="V","免調理半成品（外購/僅切配等），不列入設備風險評估",IF($U138=0,"未勾選任何設備，請補填或勾選「無使用調理設備」",IF($U138=1,"僅依賴1台設備，須確認故障/排修時之備援製程","無異常")))))</f>
        <v>僅依賴1台設備，須確認故障/排修時之備援製程</v>
      </c>
      <c r="X138" s="22" t="s">
        <v>589</v>
      </c>
      <c r="Y138" s="22" t="s">
        <v>514</v>
      </c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 t="inlineStr">
        <is>
          <t>待上架</t>
        </is>
      </c>
      <c r="B139" s="22" t="s">
        <v>482</v>
      </c>
      <c r="C139" s="22" t="s">
        <v>504</v>
      </c>
      <c r="D139" s="22" t="s">
        <v>588</v>
      </c>
      <c r="E139" s="22" t="s">
        <v>587</v>
      </c>
      <c r="F139" s="23">
        <v>1</v>
      </c>
      <c r="G139" s="23" t="s">
        <v>77</v>
      </c>
      <c r="H139" s="24">
        <v>100</v>
      </c>
      <c r="I139" s="25"/>
      <c r="J139" s="25"/>
      <c r="K139" s="25"/>
      <c r="L139" s="25"/>
      <c r="M139" s="25" t="s">
        <v>76</v>
      </c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>
        <f>IF($E139="","",COUNTIF($I139:$S139,"V"))</f>
        <v>1.0</v>
      </c>
      <c xmlns="http://schemas.openxmlformats.org/spreadsheetml/2006/main" r="V139" s="22" t="str">
        <f>IF($E139="","",IF(AND($T139="V",$U139&gt;0),"⚠ 勾選矛盾",IF($T139="V","○ 免調理",IF($U139=0,"⚠ 資料缺漏",IF($U139=1,"▲ 單一設備依賴","OK")))))</f>
        <v>▲ 單一設備依賴</v>
      </c>
      <c xmlns="http://schemas.openxmlformats.org/spreadsheetml/2006/main" r="W139" s="18" t="str">
        <f>IF($E139="","",IF(AND($T139="V",$U139&gt;0),"「無使用調理設備」不可與設備欄同時勾選，請擇一修正",IF($T139="V","免調理半成品（外購/僅切配等），不列入設備風險評估",IF($U139=0,"未勾選任何設備，請補填或勾選「無使用調理設備」",IF($U139=1,"僅依賴1台設備，須確認故障/排修時之備援製程","無異常")))))</f>
        <v>僅依賴1台設備，須確認故障/排修時之備援製程</v>
      </c>
      <c r="X139" s="22" t="s">
        <v>589</v>
      </c>
      <c r="Y139" s="22" t="s">
        <v>514</v>
      </c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 t="inlineStr">
        <is>
          <t>待上架</t>
        </is>
      </c>
      <c r="B140" s="22" t="s">
        <v>482</v>
      </c>
      <c r="C140" s="22" t="s">
        <v>504</v>
      </c>
      <c r="D140" s="22" t="s">
        <v>588</v>
      </c>
      <c r="E140" s="22" t="s">
        <v>632</v>
      </c>
      <c r="F140" s="23">
        <v>1</v>
      </c>
      <c r="G140" s="23" t="s">
        <v>77</v>
      </c>
      <c r="H140" s="24">
        <v>100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 t="s">
        <v>76</v>
      </c>
      <c xmlns="http://schemas.openxmlformats.org/spreadsheetml/2006/main" r="U140" s="23">
        <f>IF($E140="","",COUNTIF($I140:$S140,"V"))</f>
        <v>0.0</v>
      </c>
      <c xmlns="http://schemas.openxmlformats.org/spreadsheetml/2006/main" r="V140" s="22" t="str">
        <f>IF($E140="","",IF(AND($T140="V",$U140&gt;0),"⚠ 勾選矛盾",IF($T140="V","○ 免調理",IF($U140=0,"⚠ 資料缺漏",IF($U140=1,"▲ 單一設備依賴","OK")))))</f>
        <v>○ 免調理</v>
      </c>
      <c xmlns="http://schemas.openxmlformats.org/spreadsheetml/2006/main" r="W140" s="18" t="str">
        <f>IF($E140="","",IF(AND($T140="V",$U140&gt;0),"「無使用調理設備」不可與設備欄同時勾選，請擇一修正",IF($T140="V","免調理半成品（外購/僅切配等），不列入設備風險評估",IF($U140=0,"未勾選任何設備，請補填或勾選「無使用調理設備」",IF($U140=1,"僅依賴1台設備，須確認故障/排修時之備援製程","無異常")))))</f>
        <v>免調理半成品（外購/僅切配等），不列入設備風險評估</v>
      </c>
      <c r="X140" s="22" t="s">
        <v>589</v>
      </c>
      <c r="Y140" s="22" t="s">
        <v>514</v>
      </c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 t="s">
        <v>745</v>
      </c>
      <c r="B141" s="22" t="s">
        <v>482</v>
      </c>
      <c r="C141" s="22" t="s">
        <v>504</v>
      </c>
      <c r="D141" s="22" t="inlineStr">
        <is>
          <t>長野稻荷壽司</t>
        </is>
      </c>
      <c r="E141" s="22" t="s">
        <v>591</v>
      </c>
      <c r="F141" s="23">
        <v>90</v>
      </c>
      <c r="G141" s="23" t="s">
        <v>75</v>
      </c>
      <c r="H141" s="24">
        <v>93</v>
      </c>
      <c r="I141" s="25" t="s">
        <v>76</v>
      </c>
      <c r="J141" s="25"/>
      <c r="K141" s="25"/>
      <c r="L141" s="25"/>
      <c r="M141" s="25"/>
      <c r="N141" s="25"/>
      <c r="O141" s="25" t="s">
        <v>76</v>
      </c>
      <c r="P141" s="25"/>
      <c r="Q141" s="25"/>
      <c r="R141" s="25"/>
      <c r="S141" s="25"/>
      <c r="T141" s="26"/>
      <c xmlns="http://schemas.openxmlformats.org/spreadsheetml/2006/main" r="U141" s="23">
        <f>IF($E141="","",COUNTIF($I141:$S141,"V"))</f>
        <v>2.0</v>
      </c>
      <c xmlns="http://schemas.openxmlformats.org/spreadsheetml/2006/main" r="V141" s="22" t="str">
        <f>IF($E141="","",IF(AND($T141="V",$U141&gt;0),"⚠ 勾選矛盾",IF($T141="V","○ 免調理",IF($U141=0,"⚠ 資料缺漏",IF($U141=1,"▲ 單一設備依賴","OK")))))</f>
        <v>OK</v>
      </c>
      <c xmlns="http://schemas.openxmlformats.org/spreadsheetml/2006/main" r="W141" s="18" t="str">
        <f>IF($E141="","",IF(AND($T141="V",$U141&gt;0),"「無使用調理設備」不可與設備欄同時勾選，請擇一修正",IF($T141="V","免調理半成品（外購/僅切配等），不列入設備風險評估",IF($U141=0,"未勾選任何設備，請補填或勾選「無使用調理設備」",IF($U141=1,"僅依賴1台設備，須確認故障/排修時之備援製程","無異常")))))</f>
        <v>無異常</v>
      </c>
      <c r="X141" s="22" t="s">
        <v>590</v>
      </c>
      <c r="Y141" s="22" t="s">
        <v>514</v>
      </c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 t="s">
        <v>745</v>
      </c>
      <c r="B142" s="22" t="s">
        <v>482</v>
      </c>
      <c r="C142" s="22" t="s">
        <v>504</v>
      </c>
      <c r="D142" s="22" t="inlineStr">
        <is>
          <t>長野稻荷壽司</t>
        </is>
      </c>
      <c r="E142" s="22" t="s">
        <v>592</v>
      </c>
      <c r="F142" s="23">
        <v>3</v>
      </c>
      <c r="G142" s="23" t="s">
        <v>77</v>
      </c>
      <c r="H142" s="24">
        <v>100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 t="s">
        <v>76</v>
      </c>
      <c xmlns="http://schemas.openxmlformats.org/spreadsheetml/2006/main" r="U142" s="23">
        <f>IF($E142="","",COUNTIF($I142:$S142,"V"))</f>
        <v>0.0</v>
      </c>
      <c xmlns="http://schemas.openxmlformats.org/spreadsheetml/2006/main" r="V142" s="22" t="str">
        <f>IF($E142="","",IF(AND($T142="V",$U142&gt;0),"⚠ 勾選矛盾",IF($T142="V","○ 免調理",IF($U142=0,"⚠ 資料缺漏",IF($U142=1,"▲ 單一設備依賴","OK")))))</f>
        <v>○ 免調理</v>
      </c>
      <c xmlns="http://schemas.openxmlformats.org/spreadsheetml/2006/main" r="W142" s="18" t="str">
        <f>IF($E142="","",IF(AND($T142="V",$U142&gt;0),"「無使用調理設備」不可與設備欄同時勾選，請擇一修正",IF($T142="V","免調理半成品（外購/僅切配等），不列入設備風險評估",IF($U142=0,"未勾選任何設備，請補填或勾選「無使用調理設備」",IF($U142=1,"僅依賴1台設備，須確認故障/排修時之備援製程","無異常")))))</f>
        <v>免調理半成品（外購/僅切配等），不列入設備風險評估</v>
      </c>
      <c r="X142" s="22" t="s">
        <v>590</v>
      </c>
      <c r="Y142" s="22" t="s">
        <v>514</v>
      </c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 t="s">
        <v>745</v>
      </c>
      <c r="B143" s="22" t="s">
        <v>482</v>
      </c>
      <c r="C143" s="22" t="s">
        <v>504</v>
      </c>
      <c r="D143" s="22" t="inlineStr">
        <is>
          <t>生鱈魚子鮭魚飯糰</t>
        </is>
      </c>
      <c r="E143" s="22" t="s">
        <v>141</v>
      </c>
      <c r="F143" s="23">
        <v>95</v>
      </c>
      <c r="G143" s="23" t="s">
        <v>75</v>
      </c>
      <c r="H143" s="24">
        <v>92</v>
      </c>
      <c r="I143" s="25" t="s">
        <v>76</v>
      </c>
      <c r="J143" s="25"/>
      <c r="K143" s="25"/>
      <c r="L143" s="25"/>
      <c r="M143" s="25"/>
      <c r="N143" s="25"/>
      <c r="O143" s="25" t="s">
        <v>76</v>
      </c>
      <c r="P143" s="25"/>
      <c r="Q143" s="25"/>
      <c r="R143" s="25"/>
      <c r="S143" s="25"/>
      <c r="T143" s="26"/>
      <c xmlns="http://schemas.openxmlformats.org/spreadsheetml/2006/main" r="U143" s="23">
        <f>IF($E143="","",COUNTIF($I143:$S143,"V"))</f>
        <v>2.0</v>
      </c>
      <c xmlns="http://schemas.openxmlformats.org/spreadsheetml/2006/main" r="V143" s="22" t="str">
        <f>IF($E143="","",IF(AND($T143="V",$U143&gt;0),"⚠ 勾選矛盾",IF($T143="V","○ 免調理",IF($U143=0,"⚠ 資料缺漏",IF($U143=1,"▲ 單一設備依賴","OK")))))</f>
        <v>OK</v>
      </c>
      <c xmlns="http://schemas.openxmlformats.org/spreadsheetml/2006/main" r="W143" s="18" t="str">
        <f>IF($E143="","",IF(AND($T143="V",$U143&gt;0),"「無使用調理設備」不可與設備欄同時勾選，請擇一修正",IF($T143="V","免調理半成品（外購/僅切配等），不列入設備風險評估",IF($U143=0,"未勾選任何設備，請補填或勾選「無使用調理設備」",IF($U143=1,"僅依賴1台設備，須確認故障/排修時之備援製程","無異常")))))</f>
        <v>無異常</v>
      </c>
      <c r="X143" s="22" t="s">
        <v>604</v>
      </c>
      <c r="Y143" s="22" t="s">
        <v>514</v>
      </c>
      <c xmlns="http://schemas.openxmlformats.org/spreadsheetml/2006/main" r="Z143">
        <f>IF($D143="",0,IF(COUNTIF($D$5:$D143,$D143)=1,1,0))</f>
        <v>1.0</v>
      </c>
      <c xmlns="http://schemas.openxmlformats.org/spreadsheetml/2006/main" r="AA143">
        <f>IF(Z143=1,SUM($Z$5:$Z143),"")</f>
        <v>32.0</v>
      </c>
    </row>
    <row r="144" spans="1:27">
      <c r="A144" s="22" t="s">
        <v>745</v>
      </c>
      <c r="B144" s="22" t="s">
        <v>482</v>
      </c>
      <c r="C144" s="22" t="s">
        <v>504</v>
      </c>
      <c r="D144" s="22" t="inlineStr">
        <is>
          <t>生鱈魚子鮭魚飯糰</t>
        </is>
      </c>
      <c r="E144" s="22" t="s">
        <v>605</v>
      </c>
      <c r="F144" s="23">
        <v>4</v>
      </c>
      <c r="G144" s="23" t="s">
        <v>75</v>
      </c>
      <c r="H144" s="24">
        <v>97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 t="s">
        <v>76</v>
      </c>
      <c xmlns="http://schemas.openxmlformats.org/spreadsheetml/2006/main" r="U144" s="23">
        <f>IF($E144="","",COUNTIF($I144:$S144,"V"))</f>
        <v>0.0</v>
      </c>
      <c xmlns="http://schemas.openxmlformats.org/spreadsheetml/2006/main" r="V144" s="22" t="str">
        <f>IF($E144="","",IF(AND($T144="V",$U144&gt;0),"⚠ 勾選矛盾",IF($T144="V","○ 免調理",IF($U144=0,"⚠ 資料缺漏",IF($U144=1,"▲ 單一設備依賴","OK")))))</f>
        <v>○ 免調理</v>
      </c>
      <c xmlns="http://schemas.openxmlformats.org/spreadsheetml/2006/main" r="W144" s="18" t="str">
        <f>IF($E144="","",IF(AND($T144="V",$U144&gt;0),"「無使用調理設備」不可與設備欄同時勾選，請擇一修正",IF($T144="V","免調理半成品（外購/僅切配等），不列入設備風險評估",IF($U144=0,"未勾選任何設備，請補填或勾選「無使用調理設備」",IF($U144=1,"僅依賴1台設備，須確認故障/排修時之備援製程","無異常")))))</f>
        <v>免調理半成品（外購/僅切配等），不列入設備風險評估</v>
      </c>
      <c r="X144" s="22" t="s">
        <v>604</v>
      </c>
      <c r="Y144" s="22" t="s">
        <v>514</v>
      </c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 t="s">
        <v>745</v>
      </c>
      <c r="B145" s="22" t="s">
        <v>482</v>
      </c>
      <c r="C145" s="22" t="s">
        <v>504</v>
      </c>
      <c r="D145" s="22" t="inlineStr">
        <is>
          <t>生鱈魚子鮭魚飯糰</t>
        </is>
      </c>
      <c r="E145" s="22" t="s">
        <v>606</v>
      </c>
      <c r="F145" s="23">
        <v>7</v>
      </c>
      <c r="G145" s="23" t="s">
        <v>75</v>
      </c>
      <c r="H145" s="24">
        <v>95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 t="s">
        <v>76</v>
      </c>
      <c xmlns="http://schemas.openxmlformats.org/spreadsheetml/2006/main" r="U145" s="23">
        <f>IF($E145="","",COUNTIF($I145:$S145,"V"))</f>
        <v>0.0</v>
      </c>
      <c xmlns="http://schemas.openxmlformats.org/spreadsheetml/2006/main" r="V145" s="22" t="str">
        <f>IF($E145="","",IF(AND($T145="V",$U145&gt;0),"⚠ 勾選矛盾",IF($T145="V","○ 免調理",IF($U145=0,"⚠ 資料缺漏",IF($U145=1,"▲ 單一設備依賴","OK")))))</f>
        <v>○ 免調理</v>
      </c>
      <c xmlns="http://schemas.openxmlformats.org/spreadsheetml/2006/main" r="W145" s="18" t="str">
        <f>IF($E145="","",IF(AND($T145="V",$U145&gt;0),"「無使用調理設備」不可與設備欄同時勾選，請擇一修正",IF($T145="V","免調理半成品（外購/僅切配等），不列入設備風險評估",IF($U145=0,"未勾選任何設備，請補填或勾選「無使用調理設備」",IF($U145=1,"僅依賴1台設備，須確認故障/排修時之備援製程","無異常")))))</f>
        <v>免調理半成品（外購/僅切配等），不列入設備風險評估</v>
      </c>
      <c r="X145" s="22" t="s">
        <v>604</v>
      </c>
      <c r="Y145" s="22" t="s">
        <v>514</v>
      </c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 t="s">
        <v>745</v>
      </c>
      <c r="B146" s="22" t="s">
        <v>482</v>
      </c>
      <c r="C146" s="22" t="s">
        <v>504</v>
      </c>
      <c r="D146" s="22" t="inlineStr">
        <is>
          <t>生鱈魚子鮭魚飯糰</t>
        </is>
      </c>
      <c r="E146" s="22" t="s">
        <v>496</v>
      </c>
      <c r="F146" s="23">
        <v>1</v>
      </c>
      <c r="G146" s="23" t="s">
        <v>77</v>
      </c>
      <c r="H146" s="24">
        <v>100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 t="s">
        <v>76</v>
      </c>
      <c xmlns="http://schemas.openxmlformats.org/spreadsheetml/2006/main" r="U146" s="23">
        <f>IF($E146="","",COUNTIF($I146:$S146,"V"))</f>
        <v>0.0</v>
      </c>
      <c xmlns="http://schemas.openxmlformats.org/spreadsheetml/2006/main" r="V146" s="22" t="str">
        <f>IF($E146="","",IF(AND($T146="V",$U146&gt;0),"⚠ 勾選矛盾",IF($T146="V","○ 免調理",IF($U146=0,"⚠ 資料缺漏",IF($U146=1,"▲ 單一設備依賴","OK")))))</f>
        <v>○ 免調理</v>
      </c>
      <c xmlns="http://schemas.openxmlformats.org/spreadsheetml/2006/main" r="W146" s="18" t="str">
        <f>IF($E146="","",IF(AND($T146="V",$U146&gt;0),"「無使用調理設備」不可與設備欄同時勾選，請擇一修正",IF($T146="V","免調理半成品（外購/僅切配等），不列入設備風險評估",IF($U146=0,"未勾選任何設備，請補填或勾選「無使用調理設備」",IF($U146=1,"僅依賴1台設備，須確認故障/排修時之備援製程","無異常")))))</f>
        <v>免調理半成品（外購/僅切配等），不列入設備風險評估</v>
      </c>
      <c r="X146" s="22" t="s">
        <v>604</v>
      </c>
      <c r="Y146" s="22" t="s">
        <v>514</v>
      </c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 t="s">
        <v>745</v>
      </c>
      <c r="B147" s="22" t="s">
        <v>482</v>
      </c>
      <c r="C147" s="22" t="s">
        <v>504</v>
      </c>
      <c r="D147" s="22" t="inlineStr">
        <is>
          <t>卵黃牛挽肉飯糰</t>
        </is>
      </c>
      <c r="E147" s="22" t="s">
        <v>493</v>
      </c>
      <c r="F147" s="23">
        <v>95</v>
      </c>
      <c r="G147" s="23" t="s">
        <v>75</v>
      </c>
      <c r="H147" s="24">
        <v>86</v>
      </c>
      <c r="I147" s="25" t="s">
        <v>76</v>
      </c>
      <c r="J147" s="25"/>
      <c r="K147" s="25"/>
      <c r="L147" s="25"/>
      <c r="M147" s="25"/>
      <c r="N147" s="25"/>
      <c r="O147" s="25" t="s">
        <v>76</v>
      </c>
      <c r="P147" s="25"/>
      <c r="Q147" s="25"/>
      <c r="R147" s="25"/>
      <c r="S147" s="25"/>
      <c r="T147" s="26"/>
      <c xmlns="http://schemas.openxmlformats.org/spreadsheetml/2006/main" r="U147" s="23">
        <f>IF($E147="","",COUNTIF($I147:$S147,"V"))</f>
        <v>2.0</v>
      </c>
      <c xmlns="http://schemas.openxmlformats.org/spreadsheetml/2006/main" r="V147" s="22" t="str">
        <f>IF($E147="","",IF(AND($T147="V",$U147&gt;0),"⚠ 勾選矛盾",IF($T147="V","○ 免調理",IF($U147=0,"⚠ 資料缺漏",IF($U147=1,"▲ 單一設備依賴","OK")))))</f>
        <v>OK</v>
      </c>
      <c xmlns="http://schemas.openxmlformats.org/spreadsheetml/2006/main" r="W147" s="18" t="str">
        <f>IF($E147="","",IF(AND($T147="V",$U147&gt;0),"「無使用調理設備」不可與設備欄同時勾選，請擇一修正",IF($T147="V","免調理半成品（外購/僅切配等），不列入設備風險評估",IF($U147=0,"未勾選任何設備，請補填或勾選「無使用調理設備」",IF($U147=1,"僅依賴1台設備，須確認故障/排修時之備援製程","無異常")))))</f>
        <v>無異常</v>
      </c>
      <c r="X147" s="22" t="s">
        <v>607</v>
      </c>
      <c r="Y147" s="22" t="s">
        <v>514</v>
      </c>
      <c xmlns="http://schemas.openxmlformats.org/spreadsheetml/2006/main" r="Z147">
        <f>IF($D147="",0,IF(COUNTIF($D$5:$D147,$D147)=1,1,0))</f>
        <v>1.0</v>
      </c>
      <c xmlns="http://schemas.openxmlformats.org/spreadsheetml/2006/main" r="AA147">
        <f>IF(Z147=1,SUM($Z$5:$Z147),"")</f>
        <v>33.0</v>
      </c>
    </row>
    <row r="148" spans="1:27">
      <c r="A148" s="22" t="s">
        <v>745</v>
      </c>
      <c r="B148" s="22" t="s">
        <v>482</v>
      </c>
      <c r="C148" s="22" t="s">
        <v>504</v>
      </c>
      <c r="D148" s="22" t="inlineStr">
        <is>
          <t>卵黃牛挽肉飯糰</t>
        </is>
      </c>
      <c r="E148" s="22" t="s">
        <v>608</v>
      </c>
      <c r="F148" s="23">
        <v>10</v>
      </c>
      <c r="G148" s="23" t="s">
        <v>75</v>
      </c>
      <c r="H148" s="24">
        <v>60</v>
      </c>
      <c r="I148" s="25"/>
      <c r="J148" s="25"/>
      <c r="K148" s="25"/>
      <c r="L148" s="25"/>
      <c r="M148" s="25"/>
      <c r="N148" s="25"/>
      <c r="O148" s="25" t="s">
        <v>76</v>
      </c>
      <c r="P148" s="25"/>
      <c r="Q148" s="25"/>
      <c r="R148" s="25"/>
      <c r="S148" s="25"/>
      <c r="T148" s="26"/>
      <c xmlns="http://schemas.openxmlformats.org/spreadsheetml/2006/main" r="U148" s="23">
        <f>IF($E148="","",COUNTIF($I148:$S148,"V"))</f>
        <v>1.0</v>
      </c>
      <c xmlns="http://schemas.openxmlformats.org/spreadsheetml/2006/main" r="V148" s="22" t="str">
        <f>IF($E148="","",IF(AND($T148="V",$U148&gt;0),"⚠ 勾選矛盾",IF($T148="V","○ 免調理",IF($U148=0,"⚠ 資料缺漏",IF($U148=1,"▲ 單一設備依賴","OK")))))</f>
        <v>▲ 單一設備依賴</v>
      </c>
      <c xmlns="http://schemas.openxmlformats.org/spreadsheetml/2006/main" r="W148" s="18" t="str">
        <f>IF($E148="","",IF(AND($T148="V",$U148&gt;0),"「無使用調理設備」不可與設備欄同時勾選，請擇一修正",IF($T148="V","免調理半成品（外購/僅切配等），不列入設備風險評估",IF($U148=0,"未勾選任何設備，請補填或勾選「無使用調理設備」",IF($U148=1,"僅依賴1台設備，須確認故障/排修時之備援製程","無異常")))))</f>
        <v>僅依賴1台設備，須確認故障/排修時之備援製程</v>
      </c>
      <c r="X148" s="22" t="s">
        <v>607</v>
      </c>
      <c r="Y148" s="22" t="s">
        <v>514</v>
      </c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 t="s">
        <v>745</v>
      </c>
      <c r="B149" s="22" t="s">
        <v>482</v>
      </c>
      <c r="C149" s="22" t="s">
        <v>504</v>
      </c>
      <c r="D149" s="22" t="inlineStr">
        <is>
          <t>卵黃牛挽肉飯糰</t>
        </is>
      </c>
      <c r="E149" s="22" t="s">
        <v>609</v>
      </c>
      <c r="F149" s="23">
        <v>8</v>
      </c>
      <c r="G149" s="23" t="s">
        <v>75</v>
      </c>
      <c r="H149" s="24">
        <v>95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 t="s">
        <v>76</v>
      </c>
      <c xmlns="http://schemas.openxmlformats.org/spreadsheetml/2006/main" r="U149" s="23">
        <f>IF($E149="","",COUNTIF($I149:$S149,"V"))</f>
        <v>0.0</v>
      </c>
      <c xmlns="http://schemas.openxmlformats.org/spreadsheetml/2006/main" r="V149" s="22" t="str">
        <f>IF($E149="","",IF(AND($T149="V",$U149&gt;0),"⚠ 勾選矛盾",IF($T149="V","○ 免調理",IF($U149=0,"⚠ 資料缺漏",IF($U149=1,"▲ 單一設備依賴","OK")))))</f>
        <v>○ 免調理</v>
      </c>
      <c xmlns="http://schemas.openxmlformats.org/spreadsheetml/2006/main" r="W149" s="18" t="str">
        <f>IF($E149="","",IF(AND($T149="V",$U149&gt;0),"「無使用調理設備」不可與設備欄同時勾選，請擇一修正",IF($T149="V","免調理半成品（外購/僅切配等），不列入設備風險評估",IF($U149=0,"未勾選任何設備，請補填或勾選「無使用調理設備」",IF($U149=1,"僅依賴1台設備，須確認故障/排修時之備援製程","無異常")))))</f>
        <v>免調理半成品（外購/僅切配等），不列入設備風險評估</v>
      </c>
      <c r="X149" s="22" t="s">
        <v>607</v>
      </c>
      <c r="Y149" s="22" t="s">
        <v>514</v>
      </c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 t="s">
        <v>745</v>
      </c>
      <c r="B150" s="22" t="s">
        <v>482</v>
      </c>
      <c r="C150" s="22" t="s">
        <v>504</v>
      </c>
      <c r="D150" s="22" t="inlineStr">
        <is>
          <t>卵黃牛挽肉飯糰</t>
        </is>
      </c>
      <c r="E150" s="22" t="s">
        <v>483</v>
      </c>
      <c r="F150" s="23">
        <v>1</v>
      </c>
      <c r="G150" s="23" t="s">
        <v>77</v>
      </c>
      <c r="H150" s="24">
        <v>100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 t="s">
        <v>76</v>
      </c>
      <c xmlns="http://schemas.openxmlformats.org/spreadsheetml/2006/main" r="U150" s="23">
        <f>IF($E150="","",COUNTIF($I150:$S150,"V"))</f>
        <v>0.0</v>
      </c>
      <c xmlns="http://schemas.openxmlformats.org/spreadsheetml/2006/main" r="V150" s="22" t="str">
        <f>IF($E150="","",IF(AND($T150="V",$U150&gt;0),"⚠ 勾選矛盾",IF($T150="V","○ 免調理",IF($U150=0,"⚠ 資料缺漏",IF($U150=1,"▲ 單一設備依賴","OK")))))</f>
        <v>○ 免調理</v>
      </c>
      <c xmlns="http://schemas.openxmlformats.org/spreadsheetml/2006/main" r="W150" s="18" t="str">
        <f>IF($E150="","",IF(AND($T150="V",$U150&gt;0),"「無使用調理設備」不可與設備欄同時勾選，請擇一修正",IF($T150="V","免調理半成品（外購/僅切配等），不列入設備風險評估",IF($U150=0,"未勾選任何設備，請補填或勾選「無使用調理設備」",IF($U150=1,"僅依賴1台設備，須確認故障/排修時之備援製程","無異常")))))</f>
        <v>免調理半成品（外購/僅切配等），不列入設備風險評估</v>
      </c>
      <c r="X150" s="22" t="s">
        <v>607</v>
      </c>
      <c r="Y150" s="22" t="s">
        <v>514</v>
      </c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 t="s">
        <v>745</v>
      </c>
      <c r="B151" s="22" t="s">
        <v>482</v>
      </c>
      <c r="C151" s="22" t="s">
        <v>504</v>
      </c>
      <c r="D151" s="22" t="inlineStr">
        <is>
          <t>熊本麥味噌雞肉飯糰</t>
        </is>
      </c>
      <c r="E151" s="22" t="s">
        <v>615</v>
      </c>
      <c r="F151" s="23">
        <v>90</v>
      </c>
      <c r="G151" s="23" t="s">
        <v>75</v>
      </c>
      <c r="H151" s="24">
        <v>93</v>
      </c>
      <c r="I151" s="25" t="s">
        <v>76</v>
      </c>
      <c r="J151" s="25"/>
      <c r="K151" s="25"/>
      <c r="L151" s="25"/>
      <c r="M151" s="25"/>
      <c r="N151" s="25"/>
      <c r="O151" s="25" t="s">
        <v>76</v>
      </c>
      <c r="P151" s="25"/>
      <c r="Q151" s="25"/>
      <c r="R151" s="25"/>
      <c r="S151" s="25"/>
      <c r="T151" s="26"/>
      <c xmlns="http://schemas.openxmlformats.org/spreadsheetml/2006/main" r="U151" s="23">
        <f>IF($E151="","",COUNTIF($I151:$S151,"V"))</f>
        <v>2.0</v>
      </c>
      <c xmlns="http://schemas.openxmlformats.org/spreadsheetml/2006/main" r="V151" s="22" t="str">
        <f>IF($E151="","",IF(AND($T151="V",$U151&gt;0),"⚠ 勾選矛盾",IF($T151="V","○ 免調理",IF($U151=0,"⚠ 資料缺漏",IF($U151=1,"▲ 單一設備依賴","OK")))))</f>
        <v>OK</v>
      </c>
      <c xmlns="http://schemas.openxmlformats.org/spreadsheetml/2006/main" r="W151" s="18" t="str">
        <f>IF($E151="","",IF(AND($T151="V",$U151&gt;0),"「無使用調理設備」不可與設備欄同時勾選，請擇一修正",IF($T151="V","免調理半成品（外購/僅切配等），不列入設備風險評估",IF($U151=0,"未勾選任何設備，請補填或勾選「無使用調理設備」",IF($U151=1,"僅依賴1台設備，須確認故障/排修時之備援製程","無異常")))))</f>
        <v>無異常</v>
      </c>
      <c r="X151" s="22" t="s">
        <v>619</v>
      </c>
      <c r="Y151" s="22" t="s">
        <v>514</v>
      </c>
      <c xmlns="http://schemas.openxmlformats.org/spreadsheetml/2006/main" r="Z151">
        <f>IF($D151="",0,IF(COUNTIF($D$5:$D151,$D151)=1,1,0))</f>
        <v>1.0</v>
      </c>
      <c xmlns="http://schemas.openxmlformats.org/spreadsheetml/2006/main" r="AA151">
        <f>IF(Z151=1,SUM($Z$5:$Z151),"")</f>
        <v>34.0</v>
      </c>
    </row>
    <row r="152" spans="1:27">
      <c r="A152" s="22" t="s">
        <v>745</v>
      </c>
      <c r="B152" s="22" t="s">
        <v>482</v>
      </c>
      <c r="C152" s="22" t="s">
        <v>504</v>
      </c>
      <c r="D152" s="22" t="inlineStr">
        <is>
          <t>熊本麥味噌雞肉飯糰</t>
        </is>
      </c>
      <c r="E152" s="22" t="s">
        <v>616</v>
      </c>
      <c r="F152" s="23">
        <v>10</v>
      </c>
      <c r="G152" s="23" t="s">
        <v>75</v>
      </c>
      <c r="H152" s="24">
        <v>65</v>
      </c>
      <c r="I152" s="25"/>
      <c r="J152" s="25"/>
      <c r="K152" s="25" t="s">
        <v>76</v>
      </c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>
        <f>IF($E152="","",COUNTIF($I152:$S152,"V"))</f>
        <v>1.0</v>
      </c>
      <c xmlns="http://schemas.openxmlformats.org/spreadsheetml/2006/main" r="V152" s="22" t="str">
        <f>IF($E152="","",IF(AND($T152="V",$U152&gt;0),"⚠ 勾選矛盾",IF($T152="V","○ 免調理",IF($U152=0,"⚠ 資料缺漏",IF($U152=1,"▲ 單一設備依賴","OK")))))</f>
        <v>▲ 單一設備依賴</v>
      </c>
      <c xmlns="http://schemas.openxmlformats.org/spreadsheetml/2006/main" r="W152" s="18" t="str">
        <f>IF($E152="","",IF(AND($T152="V",$U152&gt;0),"「無使用調理設備」不可與設備欄同時勾選，請擇一修正",IF($T152="V","免調理半成品（外購/僅切配等），不列入設備風險評估",IF($U152=0,"未勾選任何設備，請補填或勾選「無使用調理設備」",IF($U152=1,"僅依賴1台設備，須確認故障/排修時之備援製程","無異常")))))</f>
        <v>僅依賴1台設備，須確認故障/排修時之備援製程</v>
      </c>
      <c r="X152" s="22" t="s">
        <v>619</v>
      </c>
      <c r="Y152" s="22" t="s">
        <v>514</v>
      </c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 t="s">
        <v>745</v>
      </c>
      <c r="B153" s="22" t="s">
        <v>482</v>
      </c>
      <c r="C153" s="22" t="s">
        <v>504</v>
      </c>
      <c r="D153" s="22" t="inlineStr">
        <is>
          <t>熊本麥味噌雞肉飯糰</t>
        </is>
      </c>
      <c r="E153" s="22" t="s">
        <v>617</v>
      </c>
      <c r="F153" s="23">
        <v>9</v>
      </c>
      <c r="G153" s="23" t="s">
        <v>75</v>
      </c>
      <c r="H153" s="24">
        <v>58</v>
      </c>
      <c r="I153" s="25"/>
      <c r="J153" s="25"/>
      <c r="K153" s="25"/>
      <c r="L153" s="25"/>
      <c r="M153" s="25"/>
      <c r="N153" s="25"/>
      <c r="O153" s="25" t="s">
        <v>76</v>
      </c>
      <c r="P153" s="25"/>
      <c r="Q153" s="25"/>
      <c r="R153" s="25"/>
      <c r="S153" s="25"/>
      <c r="T153" s="26"/>
      <c xmlns="http://schemas.openxmlformats.org/spreadsheetml/2006/main" r="U153" s="23">
        <f>IF($E153="","",COUNTIF($I153:$S153,"V"))</f>
        <v>1.0</v>
      </c>
      <c xmlns="http://schemas.openxmlformats.org/spreadsheetml/2006/main" r="V153" s="22" t="str">
        <f>IF($E153="","",IF(AND($T153="V",$U153&gt;0),"⚠ 勾選矛盾",IF($T153="V","○ 免調理",IF($U153=0,"⚠ 資料缺漏",IF($U153=1,"▲ 單一設備依賴","OK")))))</f>
        <v>▲ 單一設備依賴</v>
      </c>
      <c xmlns="http://schemas.openxmlformats.org/spreadsheetml/2006/main" r="W153" s="18" t="str">
        <f>IF($E153="","",IF(AND($T153="V",$U153&gt;0),"「無使用調理設備」不可與設備欄同時勾選，請擇一修正",IF($T153="V","免調理半成品（外購/僅切配等），不列入設備風險評估",IF($U153=0,"未勾選任何設備，請補填或勾選「無使用調理設備」",IF($U153=1,"僅依賴1台設備，須確認故障/排修時之備援製程","無異常")))))</f>
        <v>僅依賴1台設備，須確認故障/排修時之備援製程</v>
      </c>
      <c r="X153" s="22" t="s">
        <v>619</v>
      </c>
      <c r="Y153" s="22" t="s">
        <v>514</v>
      </c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 t="s">
        <v>745</v>
      </c>
      <c r="B154" s="22" t="s">
        <v>482</v>
      </c>
      <c r="C154" s="22" t="s">
        <v>504</v>
      </c>
      <c r="D154" s="22" t="inlineStr">
        <is>
          <t>熊本麥味噌雞肉飯糰</t>
        </is>
      </c>
      <c r="E154" s="22" t="s">
        <v>481</v>
      </c>
      <c r="F154" s="23">
        <v>1</v>
      </c>
      <c r="G154" s="23" t="s">
        <v>77</v>
      </c>
      <c r="H154" s="24">
        <v>100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 t="s">
        <v>76</v>
      </c>
      <c xmlns="http://schemas.openxmlformats.org/spreadsheetml/2006/main" r="U154" s="23">
        <f>IF($E154="","",COUNTIF($I154:$S154,"V"))</f>
        <v>0.0</v>
      </c>
      <c xmlns="http://schemas.openxmlformats.org/spreadsheetml/2006/main" r="V154" s="22" t="str">
        <f>IF($E154="","",IF(AND($T154="V",$U154&gt;0),"⚠ 勾選矛盾",IF($T154="V","○ 免調理",IF($U154=0,"⚠ 資料缺漏",IF($U154=1,"▲ 單一設備依賴","OK")))))</f>
        <v>○ 免調理</v>
      </c>
      <c xmlns="http://schemas.openxmlformats.org/spreadsheetml/2006/main" r="W154" s="18" t="str">
        <f>IF($E154="","",IF(AND($T154="V",$U154&gt;0),"「無使用調理設備」不可與設備欄同時勾選，請擇一修正",IF($T154="V","免調理半成品（外購/僅切配等），不列入設備風險評估",IF($U154=0,"未勾選任何設備，請補填或勾選「無使用調理設備」",IF($U154=1,"僅依賴1台設備，須確認故障/排修時之備援製程","無異常")))))</f>
        <v>免調理半成品（外購/僅切配等），不列入設備風險評估</v>
      </c>
      <c r="X154" s="22" t="s">
        <v>619</v>
      </c>
      <c r="Y154" s="22" t="s">
        <v>514</v>
      </c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 t="s">
        <v>747</v>
      </c>
      <c r="B155" s="22" t="s">
        <v>482</v>
      </c>
      <c r="C155" s="22" t="s">
        <v>504</v>
      </c>
      <c r="D155" s="22" t="s">
        <v>693</v>
      </c>
      <c r="E155" s="22" t="s">
        <v>462</v>
      </c>
      <c r="F155" s="23">
        <v>95</v>
      </c>
      <c r="G155" s="23" t="s">
        <v>75</v>
      </c>
      <c r="H155" s="24">
        <v>93</v>
      </c>
      <c r="I155" s="25" t="s">
        <v>76</v>
      </c>
      <c r="J155" s="25"/>
      <c r="K155" s="25"/>
      <c r="L155" s="25"/>
      <c r="M155" s="25"/>
      <c r="N155" s="25"/>
      <c r="O155" s="25" t="s">
        <v>76</v>
      </c>
      <c r="P155" s="25"/>
      <c r="Q155" s="25"/>
      <c r="R155" s="25"/>
      <c r="S155" s="25"/>
      <c r="T155" s="26"/>
      <c xmlns="http://schemas.openxmlformats.org/spreadsheetml/2006/main" r="U155" s="23">
        <f>IF($E155="","",COUNTIF($I155:$S155,"V"))</f>
        <v>2.0</v>
      </c>
      <c xmlns="http://schemas.openxmlformats.org/spreadsheetml/2006/main" r="V155" s="22" t="str">
        <f>IF($E155="","",IF(AND($T155="V",$U155&gt;0),"⚠ 勾選矛盾",IF($T155="V","○ 免調理",IF($U155=0,"⚠ 資料缺漏",IF($U155=1,"▲ 單一設備依賴","OK")))))</f>
        <v>OK</v>
      </c>
      <c xmlns="http://schemas.openxmlformats.org/spreadsheetml/2006/main" r="W155" s="18" t="str">
        <f>IF($E155="","",IF(AND($T155="V",$U155&gt;0),"「無使用調理設備」不可與設備欄同時勾選，請擇一修正",IF($T155="V","免調理半成品（外購/僅切配等），不列入設備風險評估",IF($U155=0,"未勾選任何設備，請補填或勾選「無使用調理設備」",IF($U155=1,"僅依賴1台設備，須確認故障/排修時之備援製程","無異常")))))</f>
        <v>無異常</v>
      </c>
      <c r="X155" s="22" t="s">
        <v>694</v>
      </c>
      <c r="Y155" s="22" t="s">
        <v>514</v>
      </c>
      <c xmlns="http://schemas.openxmlformats.org/spreadsheetml/2006/main" r="Z155">
        <f>IF($D155="",0,IF(COUNTIF($D$5:$D155,$D155)=1,1,0))</f>
        <v>1.0</v>
      </c>
      <c xmlns="http://schemas.openxmlformats.org/spreadsheetml/2006/main" r="AA155">
        <f>IF(Z155=1,SUM($Z$5:$Z155),"")</f>
        <v>35.0</v>
      </c>
    </row>
    <row r="156" spans="1:27">
      <c r="A156" s="22" t="s">
        <v>747</v>
      </c>
      <c r="B156" s="22" t="s">
        <v>482</v>
      </c>
      <c r="C156" s="22" t="s">
        <v>504</v>
      </c>
      <c r="D156" s="22" t="s">
        <v>693</v>
      </c>
      <c r="E156" s="22" t="s">
        <v>695</v>
      </c>
      <c r="F156" s="23">
        <v>12</v>
      </c>
      <c r="G156" s="23" t="s">
        <v>75</v>
      </c>
      <c r="H156" s="24">
        <v>59</v>
      </c>
      <c r="I156" s="25"/>
      <c r="J156" s="25"/>
      <c r="K156" s="25"/>
      <c r="L156" s="25"/>
      <c r="M156" s="25"/>
      <c r="N156" s="25"/>
      <c r="O156" s="25" t="s">
        <v>76</v>
      </c>
      <c r="P156" s="25"/>
      <c r="Q156" s="25"/>
      <c r="R156" s="25"/>
      <c r="S156" s="25"/>
      <c r="T156" s="26"/>
      <c xmlns="http://schemas.openxmlformats.org/spreadsheetml/2006/main" r="U156" s="23">
        <f>IF($E156="","",COUNTIF($I156:$S156,"V"))</f>
        <v>1.0</v>
      </c>
      <c xmlns="http://schemas.openxmlformats.org/spreadsheetml/2006/main" r="V156" s="22" t="str">
        <f>IF($E156="","",IF(AND($T156="V",$U156&gt;0),"⚠ 勾選矛盾",IF($T156="V","○ 免調理",IF($U156=0,"⚠ 資料缺漏",IF($U156=1,"▲ 單一設備依賴","OK")))))</f>
        <v>▲ 單一設備依賴</v>
      </c>
      <c xmlns="http://schemas.openxmlformats.org/spreadsheetml/2006/main" r="W156" s="18" t="str">
        <f>IF($E156="","",IF(AND($T156="V",$U156&gt;0),"「無使用調理設備」不可與設備欄同時勾選，請擇一修正",IF($T156="V","免調理半成品（外購/僅切配等），不列入設備風險評估",IF($U156=0,"未勾選任何設備，請補填或勾選「無使用調理設備」",IF($U156=1,"僅依賴1台設備，須確認故障/排修時之備援製程","無異常")))))</f>
        <v>僅依賴1台設備，須確認故障/排修時之備援製程</v>
      </c>
      <c r="X156" s="22" t="s">
        <v>694</v>
      </c>
      <c r="Y156" s="22" t="s">
        <v>514</v>
      </c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 t="s">
        <v>747</v>
      </c>
      <c r="B157" s="22" t="s">
        <v>482</v>
      </c>
      <c r="C157" s="22" t="s">
        <v>504</v>
      </c>
      <c r="D157" s="22" t="s">
        <v>693</v>
      </c>
      <c r="E157" s="22" t="s">
        <v>696</v>
      </c>
      <c r="F157" s="23">
        <v>7</v>
      </c>
      <c r="G157" s="23" t="s">
        <v>75</v>
      </c>
      <c r="H157" s="24">
        <v>90</v>
      </c>
      <c r="I157" s="25"/>
      <c r="J157" s="25"/>
      <c r="K157" s="25"/>
      <c r="L157" s="25"/>
      <c r="M157" s="25" t="s">
        <v>76</v>
      </c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>
        <f>IF($E157="","",COUNTIF($I157:$S157,"V"))</f>
        <v>1.0</v>
      </c>
      <c xmlns="http://schemas.openxmlformats.org/spreadsheetml/2006/main" r="V157" s="22" t="str">
        <f>IF($E157="","",IF(AND($T157="V",$U157&gt;0),"⚠ 勾選矛盾",IF($T157="V","○ 免調理",IF($U157=0,"⚠ 資料缺漏",IF($U157=1,"▲ 單一設備依賴","OK")))))</f>
        <v>▲ 單一設備依賴</v>
      </c>
      <c xmlns="http://schemas.openxmlformats.org/spreadsheetml/2006/main" r="W157" s="18" t="str">
        <f>IF($E157="","",IF(AND($T157="V",$U157&gt;0),"「無使用調理設備」不可與設備欄同時勾選，請擇一修正",IF($T157="V","免調理半成品（外購/僅切配等），不列入設備風險評估",IF($U157=0,"未勾選任何設備，請補填或勾選「無使用調理設備」",IF($U157=1,"僅依賴1台設備，須確認故障/排修時之備援製程","無異常")))))</f>
        <v>僅依賴1台設備，須確認故障/排修時之備援製程</v>
      </c>
      <c r="X157" s="22" t="s">
        <v>694</v>
      </c>
      <c r="Y157" s="22" t="s">
        <v>514</v>
      </c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 t="s">
        <v>747</v>
      </c>
      <c r="B158" s="22" t="s">
        <v>482</v>
      </c>
      <c r="C158" s="22" t="s">
        <v>504</v>
      </c>
      <c r="D158" s="22" t="s">
        <v>693</v>
      </c>
      <c r="E158" s="22" t="s">
        <v>697</v>
      </c>
      <c r="F158" s="23">
        <v>1</v>
      </c>
      <c r="G158" s="23" t="s">
        <v>77</v>
      </c>
      <c r="H158" s="24">
        <v>100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 t="s">
        <v>76</v>
      </c>
      <c xmlns="http://schemas.openxmlformats.org/spreadsheetml/2006/main" r="U158" s="23">
        <f>IF($E158="","",COUNTIF($I158:$S158,"V"))</f>
        <v>0.0</v>
      </c>
      <c xmlns="http://schemas.openxmlformats.org/spreadsheetml/2006/main" r="V158" s="22" t="str">
        <f>IF($E158="","",IF(AND($T158="V",$U158&gt;0),"⚠ 勾選矛盾",IF($T158="V","○ 免調理",IF($U158=0,"⚠ 資料缺漏",IF($U158=1,"▲ 單一設備依賴","OK")))))</f>
        <v>○ 免調理</v>
      </c>
      <c xmlns="http://schemas.openxmlformats.org/spreadsheetml/2006/main" r="W158" s="18" t="str">
        <f>IF($E158="","",IF(AND($T158="V",$U158&gt;0),"「無使用調理設備」不可與設備欄同時勾選，請擇一修正",IF($T158="V","免調理半成品（外購/僅切配等），不列入設備風險評估",IF($U158=0,"未勾選任何設備，請補填或勾選「無使用調理設備」",IF($U158=1,"僅依賴1台設備，須確認故障/排修時之備援製程","無異常")))))</f>
        <v>免調理半成品（外購/僅切配等），不列入設備風險評估</v>
      </c>
      <c r="X158" s="22" t="s">
        <v>694</v>
      </c>
      <c r="Y158" s="22" t="s">
        <v>514</v>
      </c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 t="s">
        <v>747</v>
      </c>
      <c r="B159" s="22" t="s">
        <v>482</v>
      </c>
      <c r="C159" s="22" t="s">
        <v>504</v>
      </c>
      <c r="D159" s="22" t="s">
        <v>737</v>
      </c>
      <c r="E159" s="22" t="s">
        <v>141</v>
      </c>
      <c r="F159" s="23">
        <v>95</v>
      </c>
      <c r="G159" s="23" t="s">
        <v>75</v>
      </c>
      <c r="H159" s="24">
        <v>92</v>
      </c>
      <c r="I159" s="25" t="s">
        <v>76</v>
      </c>
      <c r="J159" s="25"/>
      <c r="K159" s="25"/>
      <c r="L159" s="25"/>
      <c r="M159" s="25"/>
      <c r="N159" s="25"/>
      <c r="O159" s="25" t="s">
        <v>76</v>
      </c>
      <c r="P159" s="25"/>
      <c r="Q159" s="25"/>
      <c r="R159" s="25"/>
      <c r="S159" s="25"/>
      <c r="T159" s="26"/>
      <c xmlns="http://schemas.openxmlformats.org/spreadsheetml/2006/main" r="U159" s="23">
        <f t="shared" ref="U159:U210" si="9">IF($E159="","",COUNTIF($I159:$S159,"V"))</f>
        <v>2.0</v>
      </c>
      <c xmlns="http://schemas.openxmlformats.org/spreadsheetml/2006/main" r="V159" s="22" t="str">
        <f t="shared" ref="V159:V210" si="10">IF($E159="","",IF(AND($T159="V",$U159&gt;0),"⚠ 勾選矛盾",IF($T159="V","○ 免調理",IF($U159=0,"⚠ 資料缺漏",IF($U159=1,"▲ 單一設備依賴","OK")))))</f>
        <v>OK</v>
      </c>
      <c xmlns="http://schemas.openxmlformats.org/spreadsheetml/2006/main" r="W159" s="18" t="str">
        <f t="shared" ref="W159:W210" si="11">IF($E159="","",IF(AND($T159="V",$U159&gt;0),"「無使用調理設備」不可與設備欄同時勾選，請擇一修正",IF($T159="V","免調理半成品（外購/僅切配等），不列入設備風險評估",IF($U159=0,"未勾選任何設備，請補填或勾選「無使用調理設備」",IF($U159=1,"僅依賴1台設備，須確認故障/排修時之備援製程","無異常")))))</f>
        <v>無異常</v>
      </c>
      <c r="X159" s="22" t="s">
        <v>738</v>
      </c>
      <c r="Y159" s="22" t="s">
        <v>514</v>
      </c>
      <c xmlns="http://schemas.openxmlformats.org/spreadsheetml/2006/main" r="Z159">
        <f>IF($D159="",0,IF(COUNTIF($D$5:$D159,$D159)=1,1,0))</f>
        <v>1.0</v>
      </c>
      <c xmlns="http://schemas.openxmlformats.org/spreadsheetml/2006/main" r="AA159">
        <f>IF(Z159=1,SUM($Z$5:$Z159),"")</f>
        <v>36.0</v>
      </c>
    </row>
    <row r="160" spans="1:27">
      <c r="A160" s="22" t="s">
        <v>747</v>
      </c>
      <c r="B160" s="22" t="s">
        <v>482</v>
      </c>
      <c r="C160" s="22" t="s">
        <v>504</v>
      </c>
      <c r="D160" s="22" t="s">
        <v>737</v>
      </c>
      <c r="E160" s="22" t="s">
        <v>736</v>
      </c>
      <c r="F160" s="23">
        <v>5</v>
      </c>
      <c r="G160" s="23" t="s">
        <v>75</v>
      </c>
      <c r="H160" s="24">
        <v>85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 t="s">
        <v>76</v>
      </c>
      <c xmlns="http://schemas.openxmlformats.org/spreadsheetml/2006/main" r="U160" s="23">
        <f t="shared" si="9"/>
        <v>0.0</v>
      </c>
      <c xmlns="http://schemas.openxmlformats.org/spreadsheetml/2006/main" r="V160" s="22" t="str">
        <f t="shared" si="10"/>
        <v>○ 免調理</v>
      </c>
      <c xmlns="http://schemas.openxmlformats.org/spreadsheetml/2006/main" r="W160" s="18" t="str">
        <f t="shared" si="11"/>
        <v>免調理半成品（外購/僅切配等），不列入設備風險評估</v>
      </c>
      <c r="X160" s="22" t="s">
        <v>738</v>
      </c>
      <c r="Y160" s="22" t="s">
        <v>514</v>
      </c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 t="s">
        <v>747</v>
      </c>
      <c r="B161" s="22" t="s">
        <v>482</v>
      </c>
      <c r="C161" s="22" t="s">
        <v>504</v>
      </c>
      <c r="D161" s="22" t="s">
        <v>737</v>
      </c>
      <c r="E161" s="22" t="s">
        <v>560</v>
      </c>
      <c r="F161" s="23">
        <v>7</v>
      </c>
      <c r="G161" s="23" t="s">
        <v>75</v>
      </c>
      <c r="H161" s="24">
        <v>95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 t="s">
        <v>76</v>
      </c>
      <c xmlns="http://schemas.openxmlformats.org/spreadsheetml/2006/main" r="U161" s="23">
        <f t="shared" si="9"/>
        <v>0.0</v>
      </c>
      <c xmlns="http://schemas.openxmlformats.org/spreadsheetml/2006/main" r="V161" s="22" t="str">
        <f t="shared" si="10"/>
        <v>○ 免調理</v>
      </c>
      <c xmlns="http://schemas.openxmlformats.org/spreadsheetml/2006/main" r="W161" s="18" t="str">
        <f t="shared" si="11"/>
        <v>免調理半成品（外購/僅切配等），不列入設備風險評估</v>
      </c>
      <c r="X161" s="22" t="s">
        <v>738</v>
      </c>
      <c r="Y161" s="22" t="s">
        <v>514</v>
      </c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 t="s">
        <v>747</v>
      </c>
      <c r="B162" s="22" t="s">
        <v>482</v>
      </c>
      <c r="C162" s="22" t="s">
        <v>504</v>
      </c>
      <c r="D162" s="22" t="s">
        <v>737</v>
      </c>
      <c r="E162" s="22" t="s">
        <v>632</v>
      </c>
      <c r="F162" s="23">
        <v>1</v>
      </c>
      <c r="G162" s="23" t="s">
        <v>77</v>
      </c>
      <c r="H162" s="24">
        <v>100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 t="s">
        <v>76</v>
      </c>
      <c xmlns="http://schemas.openxmlformats.org/spreadsheetml/2006/main" r="U162" s="23">
        <f t="shared" si="9"/>
        <v>0.0</v>
      </c>
      <c xmlns="http://schemas.openxmlformats.org/spreadsheetml/2006/main" r="V162" s="22" t="str">
        <f t="shared" si="10"/>
        <v>○ 免調理</v>
      </c>
      <c xmlns="http://schemas.openxmlformats.org/spreadsheetml/2006/main" r="W162" s="18" t="str">
        <f t="shared" si="11"/>
        <v>免調理半成品（外購/僅切配等），不列入設備風險評估</v>
      </c>
      <c r="X162" s="22" t="s">
        <v>738</v>
      </c>
      <c r="Y162" s="22" t="s">
        <v>514</v>
      </c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 t="s">
        <v>747</v>
      </c>
      <c r="B163" s="22" t="s">
        <v>482</v>
      </c>
      <c r="C163" s="22" t="s">
        <v>504</v>
      </c>
      <c r="D163" s="22" t="s">
        <v>741</v>
      </c>
      <c r="E163" s="22" t="s">
        <v>462</v>
      </c>
      <c r="F163" s="23">
        <v>95</v>
      </c>
      <c r="G163" s="23" t="s">
        <v>75</v>
      </c>
      <c r="H163" s="24">
        <v>93</v>
      </c>
      <c r="I163" s="25" t="s">
        <v>76</v>
      </c>
      <c r="J163" s="25"/>
      <c r="K163" s="25"/>
      <c r="L163" s="25"/>
      <c r="M163" s="25"/>
      <c r="N163" s="25"/>
      <c r="O163" s="25" t="s">
        <v>76</v>
      </c>
      <c r="P163" s="25"/>
      <c r="Q163" s="25"/>
      <c r="R163" s="25"/>
      <c r="S163" s="25"/>
      <c r="T163" s="26"/>
      <c xmlns="http://schemas.openxmlformats.org/spreadsheetml/2006/main" r="U163" s="23">
        <f t="shared" si="9"/>
        <v>2.0</v>
      </c>
      <c xmlns="http://schemas.openxmlformats.org/spreadsheetml/2006/main" r="V163" s="22" t="str">
        <f t="shared" si="10"/>
        <v>OK</v>
      </c>
      <c xmlns="http://schemas.openxmlformats.org/spreadsheetml/2006/main" r="W163" s="18" t="str">
        <f t="shared" si="11"/>
        <v>無異常</v>
      </c>
      <c r="X163" s="22" t="s">
        <v>742</v>
      </c>
      <c r="Y163" s="22" t="s">
        <v>514</v>
      </c>
      <c xmlns="http://schemas.openxmlformats.org/spreadsheetml/2006/main" r="Z163">
        <f>IF($D163="",0,IF(COUNTIF($D$5:$D163,$D163)=1,1,0))</f>
        <v>1.0</v>
      </c>
      <c xmlns="http://schemas.openxmlformats.org/spreadsheetml/2006/main" r="AA163">
        <f>IF(Z163=1,SUM($Z$5:$Z163),"")</f>
        <v>37.0</v>
      </c>
    </row>
    <row r="164" spans="1:27">
      <c r="A164" s="22" t="s">
        <v>747</v>
      </c>
      <c r="B164" s="22" t="s">
        <v>482</v>
      </c>
      <c r="C164" s="22" t="s">
        <v>504</v>
      </c>
      <c r="D164" s="22" t="s">
        <v>741</v>
      </c>
      <c r="E164" s="22" t="s">
        <v>739</v>
      </c>
      <c r="F164" s="23">
        <v>8</v>
      </c>
      <c r="G164" s="23" t="s">
        <v>75</v>
      </c>
      <c r="H164" s="24">
        <v>97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 t="s">
        <v>76</v>
      </c>
      <c xmlns="http://schemas.openxmlformats.org/spreadsheetml/2006/main" r="U164" s="23">
        <f t="shared" si="9"/>
        <v>0.0</v>
      </c>
      <c xmlns="http://schemas.openxmlformats.org/spreadsheetml/2006/main" r="V164" s="22" t="str">
        <f t="shared" si="10"/>
        <v>○ 免調理</v>
      </c>
      <c xmlns="http://schemas.openxmlformats.org/spreadsheetml/2006/main" r="W164" s="18" t="str">
        <f t="shared" si="11"/>
        <v>免調理半成品（外購/僅切配等），不列入設備風險評估</v>
      </c>
      <c r="X164" s="22" t="s">
        <v>742</v>
      </c>
      <c r="Y164" s="22" t="s">
        <v>514</v>
      </c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 t="s">
        <v>747</v>
      </c>
      <c r="B165" s="22" t="s">
        <v>482</v>
      </c>
      <c r="C165" s="22" t="s">
        <v>504</v>
      </c>
      <c r="D165" s="22" t="s">
        <v>741</v>
      </c>
      <c r="E165" s="22" t="s">
        <v>740</v>
      </c>
      <c r="F165" s="23">
        <v>4</v>
      </c>
      <c r="G165" s="23" t="s">
        <v>75</v>
      </c>
      <c r="H165" s="24">
        <v>100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 t="s">
        <v>76</v>
      </c>
      <c xmlns="http://schemas.openxmlformats.org/spreadsheetml/2006/main" r="U165" s="23">
        <f t="shared" si="9"/>
        <v>0.0</v>
      </c>
      <c xmlns="http://schemas.openxmlformats.org/spreadsheetml/2006/main" r="V165" s="22" t="str">
        <f t="shared" si="10"/>
        <v>○ 免調理</v>
      </c>
      <c xmlns="http://schemas.openxmlformats.org/spreadsheetml/2006/main" r="W165" s="18" t="str">
        <f t="shared" si="11"/>
        <v>免調理半成品（外購/僅切配等），不列入設備風險評估</v>
      </c>
      <c r="X165" s="22" t="s">
        <v>742</v>
      </c>
      <c r="Y165" s="22" t="s">
        <v>514</v>
      </c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 t="s">
        <v>747</v>
      </c>
      <c r="B166" s="22" t="s">
        <v>482</v>
      </c>
      <c r="C166" s="22" t="s">
        <v>504</v>
      </c>
      <c r="D166" s="22" t="s">
        <v>741</v>
      </c>
      <c r="E166" s="22" t="s">
        <v>697</v>
      </c>
      <c r="F166" s="23">
        <v>1</v>
      </c>
      <c r="G166" s="23" t="s">
        <v>77</v>
      </c>
      <c r="H166" s="24">
        <v>100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 t="s">
        <v>76</v>
      </c>
      <c xmlns="http://schemas.openxmlformats.org/spreadsheetml/2006/main" r="U166" s="23">
        <f t="shared" si="9"/>
        <v>0.0</v>
      </c>
      <c xmlns="http://schemas.openxmlformats.org/spreadsheetml/2006/main" r="V166" s="22" t="str">
        <f t="shared" si="10"/>
        <v>○ 免調理</v>
      </c>
      <c xmlns="http://schemas.openxmlformats.org/spreadsheetml/2006/main" r="W166" s="18" t="str">
        <f t="shared" si="11"/>
        <v>免調理半成品（外購/僅切配等），不列入設備風險評估</v>
      </c>
      <c r="X166" s="22" t="s">
        <v>742</v>
      </c>
      <c r="Y166" s="22" t="s">
        <v>514</v>
      </c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 t="inlineStr">
        <is>
          <t>架上</t>
        </is>
      </c>
      <c r="B167" s="22" t="s">
        <v>482</v>
      </c>
      <c r="C167" s="22" t="s">
        <v>504</v>
      </c>
      <c r="D167" s="22" t="s">
        <v>753</v>
      </c>
      <c r="E167" s="22" t="s">
        <v>462</v>
      </c>
      <c r="F167" s="23">
        <v>95</v>
      </c>
      <c r="G167" s="23" t="s">
        <v>75</v>
      </c>
      <c r="H167" s="24">
        <v>93</v>
      </c>
      <c r="I167" s="25" t="s">
        <v>76</v>
      </c>
      <c r="J167" s="25"/>
      <c r="K167" s="25"/>
      <c r="L167" s="25"/>
      <c r="M167" s="25"/>
      <c r="N167" s="25"/>
      <c r="O167" s="25" t="s">
        <v>76</v>
      </c>
      <c r="P167" s="25"/>
      <c r="Q167" s="25"/>
      <c r="R167" s="25"/>
      <c r="S167" s="25"/>
      <c r="T167" s="26"/>
      <c xmlns="http://schemas.openxmlformats.org/spreadsheetml/2006/main" r="U167" s="23">
        <f>IF($E167="","",COUNTIF($I167:$S167,"V"))</f>
        <v>2.0</v>
      </c>
      <c xmlns="http://schemas.openxmlformats.org/spreadsheetml/2006/main" r="V167" s="22" t="str">
        <f>IF($E167="","",IF(AND($T167="V",$U167&gt;0),"⚠ 勾選矛盾",IF($T167="V","○ 免調理",IF($U167=0,"⚠ 資料缺漏",IF($U167=1,"▲ 單一設備依賴","OK")))))</f>
        <v>OK</v>
      </c>
      <c xmlns="http://schemas.openxmlformats.org/spreadsheetml/2006/main" r="W167" s="18" t="str">
        <f>IF($E167="","",IF(AND($T167="V",$U167&gt;0),"「無使用調理設備」不可與設備欄同時勾選，請擇一修正",IF($T167="V","免調理半成品（外購/僅切配等），不列入設備風險評估",IF($U167=0,"未勾選任何設備，請補填或勾選「無使用調理設備」",IF($U167=1,"僅依賴1台設備，須確認故障/排修時之備援製程","無異常")))))</f>
        <v>無異常</v>
      </c>
      <c r="X167" s="22" t="s">
        <v>754</v>
      </c>
      <c r="Y167" s="22" t="s">
        <v>514</v>
      </c>
      <c xmlns="http://schemas.openxmlformats.org/spreadsheetml/2006/main" r="Z167">
        <f>IF($D167="",0,IF(COUNTIF($D$5:$D167,$D167)=1,1,0))</f>
        <v>1.0</v>
      </c>
      <c xmlns="http://schemas.openxmlformats.org/spreadsheetml/2006/main" r="AA167">
        <f>IF(Z167=1,SUM($Z$5:$Z167),"")</f>
        <v>38.0</v>
      </c>
    </row>
    <row r="168" spans="1:27">
      <c r="A168" s="22" t="inlineStr">
        <is>
          <t>架上</t>
        </is>
      </c>
      <c r="B168" s="22" t="s">
        <v>482</v>
      </c>
      <c r="C168" s="22" t="s">
        <v>504</v>
      </c>
      <c r="D168" s="22" t="s">
        <v>753</v>
      </c>
      <c r="E168" s="22" t="s">
        <v>755</v>
      </c>
      <c r="F168" s="23">
        <v>17</v>
      </c>
      <c r="G168" s="23" t="s">
        <v>75</v>
      </c>
      <c r="H168" s="24">
        <v>95</v>
      </c>
      <c r="I168" s="25"/>
      <c r="J168" s="25"/>
      <c r="K168" s="25"/>
      <c r="L168" s="25"/>
      <c r="M168" s="25"/>
      <c r="N168" s="25"/>
      <c r="O168" s="25" t="s">
        <v>76</v>
      </c>
      <c r="P168" s="25"/>
      <c r="Q168" s="25"/>
      <c r="R168" s="25"/>
      <c r="S168" s="25"/>
      <c r="T168" s="26"/>
      <c xmlns="http://schemas.openxmlformats.org/spreadsheetml/2006/main" r="U168" s="23">
        <f>IF($E168="","",COUNTIF($I168:$S168,"V"))</f>
        <v>1.0</v>
      </c>
      <c xmlns="http://schemas.openxmlformats.org/spreadsheetml/2006/main" r="V168" s="22" t="str">
        <f>IF($E168="","",IF(AND($T168="V",$U168&gt;0),"⚠ 勾選矛盾",IF($T168="V","○ 免調理",IF($U168=0,"⚠ 資料缺漏",IF($U168=1,"▲ 單一設備依賴","OK")))))</f>
        <v>▲ 單一設備依賴</v>
      </c>
      <c xmlns="http://schemas.openxmlformats.org/spreadsheetml/2006/main" r="W168" s="18" t="str">
        <f>IF($E168="","",IF(AND($T168="V",$U168&gt;0),"「無使用調理設備」不可與設備欄同時勾選，請擇一修正",IF($T168="V","免調理半成品（外購/僅切配等），不列入設備風險評估",IF($U168=0,"未勾選任何設備，請補填或勾選「無使用調理設備」",IF($U168=1,"僅依賴1台設備，須確認故障/排修時之備援製程","無異常")))))</f>
        <v>僅依賴1台設備，須確認故障/排修時之備援製程</v>
      </c>
      <c r="X168" s="22" t="s">
        <v>754</v>
      </c>
      <c r="Y168" s="22" t="s">
        <v>514</v>
      </c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 t="inlineStr">
        <is>
          <t>架上</t>
        </is>
      </c>
      <c r="B169" s="22" t="s">
        <v>482</v>
      </c>
      <c r="C169" s="22" t="s">
        <v>504</v>
      </c>
      <c r="D169" s="22" t="s">
        <v>753</v>
      </c>
      <c r="E169" s="22" t="s">
        <v>481</v>
      </c>
      <c r="F169" s="23">
        <v>1</v>
      </c>
      <c r="G169" s="23" t="s">
        <v>77</v>
      </c>
      <c r="H169" s="24">
        <v>100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 t="s">
        <v>76</v>
      </c>
      <c xmlns="http://schemas.openxmlformats.org/spreadsheetml/2006/main" r="U169" s="23">
        <f>IF($E169="","",COUNTIF($I169:$S169,"V"))</f>
        <v>0.0</v>
      </c>
      <c xmlns="http://schemas.openxmlformats.org/spreadsheetml/2006/main" r="V169" s="22" t="str">
        <f>IF($E169="","",IF(AND($T169="V",$U169&gt;0),"⚠ 勾選矛盾",IF($T169="V","○ 免調理",IF($U169=0,"⚠ 資料缺漏",IF($U169=1,"▲ 單一設備依賴","OK")))))</f>
        <v>○ 免調理</v>
      </c>
      <c xmlns="http://schemas.openxmlformats.org/spreadsheetml/2006/main" r="W169" s="18" t="str">
        <f>IF($E169="","",IF(AND($T169="V",$U169&gt;0),"「無使用調理設備」不可與設備欄同時勾選，請擇一修正",IF($T169="V","免調理半成品（外購/僅切配等），不列入設備風險評估",IF($U169=0,"未勾選任何設備，請補填或勾選「無使用調理設備」",IF($U169=1,"僅依賴1台設備，須確認故障/排修時之備援製程","無異常")))))</f>
        <v>免調理半成品（外購/僅切配等），不列入設備風險評估</v>
      </c>
      <c r="X169" s="22" t="s">
        <v>754</v>
      </c>
      <c r="Y169" s="22" t="s">
        <v>514</v>
      </c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9"/>
        <v/>
      </c>
      <c xmlns="http://schemas.openxmlformats.org/spreadsheetml/2006/main" r="V170" s="22" t="str">
        <f t="shared" si="10"/>
        <v/>
      </c>
      <c xmlns="http://schemas.openxmlformats.org/spreadsheetml/2006/main" r="W170" s="18" t="str">
        <f t="shared" si="11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9"/>
        <v/>
      </c>
      <c xmlns="http://schemas.openxmlformats.org/spreadsheetml/2006/main" r="V171" s="22" t="str">
        <f t="shared" si="10"/>
        <v/>
      </c>
      <c xmlns="http://schemas.openxmlformats.org/spreadsheetml/2006/main" r="W171" s="18" t="str">
        <f t="shared" si="11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9"/>
        <v/>
      </c>
      <c xmlns="http://schemas.openxmlformats.org/spreadsheetml/2006/main" r="V172" s="22" t="str">
        <f t="shared" si="10"/>
        <v/>
      </c>
      <c xmlns="http://schemas.openxmlformats.org/spreadsheetml/2006/main" r="W172" s="18" t="str">
        <f t="shared" si="11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9"/>
        <v/>
      </c>
      <c xmlns="http://schemas.openxmlformats.org/spreadsheetml/2006/main" r="V173" s="22" t="str">
        <f t="shared" si="10"/>
        <v/>
      </c>
      <c xmlns="http://schemas.openxmlformats.org/spreadsheetml/2006/main" r="W173" s="18" t="str">
        <f t="shared" si="11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9"/>
        <v/>
      </c>
      <c xmlns="http://schemas.openxmlformats.org/spreadsheetml/2006/main" r="V174" s="22" t="str">
        <f t="shared" si="10"/>
        <v/>
      </c>
      <c xmlns="http://schemas.openxmlformats.org/spreadsheetml/2006/main" r="W174" s="18" t="str">
        <f t="shared" si="11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9"/>
        <v/>
      </c>
      <c xmlns="http://schemas.openxmlformats.org/spreadsheetml/2006/main" r="V175" s="22" t="str">
        <f t="shared" si="10"/>
        <v/>
      </c>
      <c xmlns="http://schemas.openxmlformats.org/spreadsheetml/2006/main" r="W175" s="18" t="str">
        <f t="shared" si="11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9"/>
        <v/>
      </c>
      <c xmlns="http://schemas.openxmlformats.org/spreadsheetml/2006/main" r="V176" s="22" t="str">
        <f t="shared" si="10"/>
        <v/>
      </c>
      <c xmlns="http://schemas.openxmlformats.org/spreadsheetml/2006/main" r="W176" s="18" t="str">
        <f t="shared" si="11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9"/>
        <v/>
      </c>
      <c xmlns="http://schemas.openxmlformats.org/spreadsheetml/2006/main" r="V177" s="22" t="str">
        <f t="shared" si="10"/>
        <v/>
      </c>
      <c xmlns="http://schemas.openxmlformats.org/spreadsheetml/2006/main" r="W177" s="18" t="str">
        <f t="shared" si="11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9"/>
        <v/>
      </c>
      <c xmlns="http://schemas.openxmlformats.org/spreadsheetml/2006/main" r="V178" s="22" t="str">
        <f t="shared" si="10"/>
        <v/>
      </c>
      <c xmlns="http://schemas.openxmlformats.org/spreadsheetml/2006/main" r="W178" s="18" t="str">
        <f t="shared" si="11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9"/>
        <v/>
      </c>
      <c xmlns="http://schemas.openxmlformats.org/spreadsheetml/2006/main" r="V179" s="22" t="str">
        <f t="shared" si="10"/>
        <v/>
      </c>
      <c xmlns="http://schemas.openxmlformats.org/spreadsheetml/2006/main" r="W179" s="18" t="str">
        <f t="shared" si="11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9"/>
        <v/>
      </c>
      <c xmlns="http://schemas.openxmlformats.org/spreadsheetml/2006/main" r="V180" s="22" t="str">
        <f t="shared" si="10"/>
        <v/>
      </c>
      <c xmlns="http://schemas.openxmlformats.org/spreadsheetml/2006/main" r="W180" s="18" t="str">
        <f t="shared" si="11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9"/>
        <v/>
      </c>
      <c xmlns="http://schemas.openxmlformats.org/spreadsheetml/2006/main" r="V181" s="22" t="str">
        <f t="shared" si="10"/>
        <v/>
      </c>
      <c xmlns="http://schemas.openxmlformats.org/spreadsheetml/2006/main" r="W181" s="18" t="str">
        <f t="shared" si="11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9"/>
        <v/>
      </c>
      <c xmlns="http://schemas.openxmlformats.org/spreadsheetml/2006/main" r="V182" s="22" t="str">
        <f t="shared" si="10"/>
        <v/>
      </c>
      <c xmlns="http://schemas.openxmlformats.org/spreadsheetml/2006/main" r="W182" s="18" t="str">
        <f t="shared" si="11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9"/>
        <v/>
      </c>
      <c xmlns="http://schemas.openxmlformats.org/spreadsheetml/2006/main" r="V183" s="22" t="str">
        <f t="shared" si="10"/>
        <v/>
      </c>
      <c xmlns="http://schemas.openxmlformats.org/spreadsheetml/2006/main" r="W183" s="18" t="str">
        <f t="shared" si="11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9"/>
        <v/>
      </c>
      <c xmlns="http://schemas.openxmlformats.org/spreadsheetml/2006/main" r="V184" s="22" t="str">
        <f t="shared" si="10"/>
        <v/>
      </c>
      <c xmlns="http://schemas.openxmlformats.org/spreadsheetml/2006/main" r="W184" s="18" t="str">
        <f t="shared" si="11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9"/>
        <v/>
      </c>
      <c xmlns="http://schemas.openxmlformats.org/spreadsheetml/2006/main" r="V185" s="22" t="str">
        <f t="shared" si="10"/>
        <v/>
      </c>
      <c xmlns="http://schemas.openxmlformats.org/spreadsheetml/2006/main" r="W185" s="18" t="str">
        <f t="shared" si="11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9"/>
        <v/>
      </c>
      <c xmlns="http://schemas.openxmlformats.org/spreadsheetml/2006/main" r="V186" s="22" t="str">
        <f t="shared" si="10"/>
        <v/>
      </c>
      <c xmlns="http://schemas.openxmlformats.org/spreadsheetml/2006/main" r="W186" s="18" t="str">
        <f t="shared" si="11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9"/>
        <v/>
      </c>
      <c xmlns="http://schemas.openxmlformats.org/spreadsheetml/2006/main" r="V187" s="22" t="str">
        <f t="shared" si="10"/>
        <v/>
      </c>
      <c xmlns="http://schemas.openxmlformats.org/spreadsheetml/2006/main" r="W187" s="18" t="str">
        <f t="shared" si="11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9"/>
        <v/>
      </c>
      <c xmlns="http://schemas.openxmlformats.org/spreadsheetml/2006/main" r="V188" s="22" t="str">
        <f t="shared" si="10"/>
        <v/>
      </c>
      <c xmlns="http://schemas.openxmlformats.org/spreadsheetml/2006/main" r="W188" s="18" t="str">
        <f t="shared" si="11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9"/>
        <v/>
      </c>
      <c xmlns="http://schemas.openxmlformats.org/spreadsheetml/2006/main" r="V189" s="22" t="str">
        <f t="shared" si="10"/>
        <v/>
      </c>
      <c xmlns="http://schemas.openxmlformats.org/spreadsheetml/2006/main" r="W189" s="18" t="str">
        <f t="shared" si="11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9"/>
        <v/>
      </c>
      <c xmlns="http://schemas.openxmlformats.org/spreadsheetml/2006/main" r="V190" s="22" t="str">
        <f t="shared" si="10"/>
        <v/>
      </c>
      <c xmlns="http://schemas.openxmlformats.org/spreadsheetml/2006/main" r="W190" s="18" t="str">
        <f t="shared" si="11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9"/>
        <v/>
      </c>
      <c xmlns="http://schemas.openxmlformats.org/spreadsheetml/2006/main" r="V191" s="22" t="str">
        <f t="shared" si="10"/>
        <v/>
      </c>
      <c xmlns="http://schemas.openxmlformats.org/spreadsheetml/2006/main" r="W191" s="18" t="str">
        <f t="shared" si="11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9"/>
        <v/>
      </c>
      <c xmlns="http://schemas.openxmlformats.org/spreadsheetml/2006/main" r="V192" s="22" t="str">
        <f t="shared" si="10"/>
        <v/>
      </c>
      <c xmlns="http://schemas.openxmlformats.org/spreadsheetml/2006/main" r="W192" s="18" t="str">
        <f t="shared" si="11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9"/>
        <v/>
      </c>
      <c xmlns="http://schemas.openxmlformats.org/spreadsheetml/2006/main" r="V193" s="22" t="str">
        <f t="shared" si="10"/>
        <v/>
      </c>
      <c xmlns="http://schemas.openxmlformats.org/spreadsheetml/2006/main" r="W193" s="18" t="str">
        <f t="shared" si="11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9"/>
        <v/>
      </c>
      <c xmlns="http://schemas.openxmlformats.org/spreadsheetml/2006/main" r="V194" s="22" t="str">
        <f t="shared" si="10"/>
        <v/>
      </c>
      <c xmlns="http://schemas.openxmlformats.org/spreadsheetml/2006/main" r="W194" s="18" t="str">
        <f t="shared" si="11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9"/>
        <v/>
      </c>
      <c xmlns="http://schemas.openxmlformats.org/spreadsheetml/2006/main" r="V195" s="22" t="str">
        <f t="shared" si="10"/>
        <v/>
      </c>
      <c xmlns="http://schemas.openxmlformats.org/spreadsheetml/2006/main" r="W195" s="18" t="str">
        <f t="shared" si="11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9"/>
        <v/>
      </c>
      <c xmlns="http://schemas.openxmlformats.org/spreadsheetml/2006/main" r="V196" s="22" t="str">
        <f t="shared" si="10"/>
        <v/>
      </c>
      <c xmlns="http://schemas.openxmlformats.org/spreadsheetml/2006/main" r="W196" s="18" t="str">
        <f t="shared" si="11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si="9"/>
        <v/>
      </c>
      <c xmlns="http://schemas.openxmlformats.org/spreadsheetml/2006/main" r="V197" s="22" t="str">
        <f t="shared" si="10"/>
        <v/>
      </c>
      <c xmlns="http://schemas.openxmlformats.org/spreadsheetml/2006/main" r="W197" s="18" t="str">
        <f t="shared" si="11"/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ref="U211:U274" si="12">IF($E211="","",COUNTIF($I211:$S211,"V"))</f>
        <v/>
      </c>
      <c xmlns="http://schemas.openxmlformats.org/spreadsheetml/2006/main" r="V211" s="22" t="str">
        <f t="shared" ref="V211:V274" si="13">IF($E211="","",IF(AND($T211="V",$U211&gt;0),"⚠ 勾選矛盾",IF($T211="V","○ 免調理",IF($U211=0,"⚠ 資料缺漏",IF($U211=1,"▲ 單一設備依賴","OK")))))</f>
        <v/>
      </c>
      <c xmlns="http://schemas.openxmlformats.org/spreadsheetml/2006/main" r="W211" s="18" t="str">
        <f t="shared" ref="W211:W274" si="14">IF($E211="","",IF(AND($T211="V",$U211&gt;0),"「無使用調理設備」不可與設備欄同時勾選，請擇一修正",IF($T211="V","免調理半成品（外購/僅切配等），不列入設備風險評估",IF($U211=0,"未勾選任何設備，請補填或勾選「無使用調理設備」",IF($U211=1,"僅依賴1台設備，須確認故障/排修時之備援製程","無異常")))))</f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12"/>
        <v/>
      </c>
      <c xmlns="http://schemas.openxmlformats.org/spreadsheetml/2006/main" r="V212" s="22" t="str">
        <f t="shared" si="13"/>
        <v/>
      </c>
      <c xmlns="http://schemas.openxmlformats.org/spreadsheetml/2006/main" r="W212" s="18" t="str">
        <f t="shared" si="14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12"/>
        <v/>
      </c>
      <c xmlns="http://schemas.openxmlformats.org/spreadsheetml/2006/main" r="V213" s="22" t="str">
        <f t="shared" si="13"/>
        <v/>
      </c>
      <c xmlns="http://schemas.openxmlformats.org/spreadsheetml/2006/main" r="W213" s="18" t="str">
        <f t="shared" si="14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12"/>
        <v/>
      </c>
      <c xmlns="http://schemas.openxmlformats.org/spreadsheetml/2006/main" r="V214" s="22" t="str">
        <f t="shared" si="13"/>
        <v/>
      </c>
      <c xmlns="http://schemas.openxmlformats.org/spreadsheetml/2006/main" r="W214" s="18" t="str">
        <f t="shared" si="14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12"/>
        <v/>
      </c>
      <c xmlns="http://schemas.openxmlformats.org/spreadsheetml/2006/main" r="V215" s="22" t="str">
        <f t="shared" si="13"/>
        <v/>
      </c>
      <c xmlns="http://schemas.openxmlformats.org/spreadsheetml/2006/main" r="W215" s="18" t="str">
        <f t="shared" si="14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12"/>
        <v/>
      </c>
      <c xmlns="http://schemas.openxmlformats.org/spreadsheetml/2006/main" r="V216" s="22" t="str">
        <f t="shared" si="13"/>
        <v/>
      </c>
      <c xmlns="http://schemas.openxmlformats.org/spreadsheetml/2006/main" r="W216" s="18" t="str">
        <f t="shared" si="14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12"/>
        <v/>
      </c>
      <c xmlns="http://schemas.openxmlformats.org/spreadsheetml/2006/main" r="V217" s="22" t="str">
        <f t="shared" si="13"/>
        <v/>
      </c>
      <c xmlns="http://schemas.openxmlformats.org/spreadsheetml/2006/main" r="W217" s="18" t="str">
        <f t="shared" si="14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12"/>
        <v/>
      </c>
      <c xmlns="http://schemas.openxmlformats.org/spreadsheetml/2006/main" r="V218" s="22" t="str">
        <f t="shared" si="13"/>
        <v/>
      </c>
      <c xmlns="http://schemas.openxmlformats.org/spreadsheetml/2006/main" r="W218" s="18" t="str">
        <f t="shared" si="14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12"/>
        <v/>
      </c>
      <c xmlns="http://schemas.openxmlformats.org/spreadsheetml/2006/main" r="V219" s="22" t="str">
        <f t="shared" si="13"/>
        <v/>
      </c>
      <c xmlns="http://schemas.openxmlformats.org/spreadsheetml/2006/main" r="W219" s="18" t="str">
        <f t="shared" si="14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12"/>
        <v/>
      </c>
      <c xmlns="http://schemas.openxmlformats.org/spreadsheetml/2006/main" r="V220" s="22" t="str">
        <f t="shared" si="13"/>
        <v/>
      </c>
      <c xmlns="http://schemas.openxmlformats.org/spreadsheetml/2006/main" r="W220" s="18" t="str">
        <f t="shared" si="14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12"/>
        <v/>
      </c>
      <c xmlns="http://schemas.openxmlformats.org/spreadsheetml/2006/main" r="V221" s="22" t="str">
        <f t="shared" si="13"/>
        <v/>
      </c>
      <c xmlns="http://schemas.openxmlformats.org/spreadsheetml/2006/main" r="W221" s="18" t="str">
        <f t="shared" si="14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12"/>
        <v/>
      </c>
      <c xmlns="http://schemas.openxmlformats.org/spreadsheetml/2006/main" r="V222" s="22" t="str">
        <f t="shared" si="13"/>
        <v/>
      </c>
      <c xmlns="http://schemas.openxmlformats.org/spreadsheetml/2006/main" r="W222" s="18" t="str">
        <f t="shared" si="14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12"/>
        <v/>
      </c>
      <c xmlns="http://schemas.openxmlformats.org/spreadsheetml/2006/main" r="V223" s="22" t="str">
        <f t="shared" si="13"/>
        <v/>
      </c>
      <c xmlns="http://schemas.openxmlformats.org/spreadsheetml/2006/main" r="W223" s="18" t="str">
        <f t="shared" si="14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12"/>
        <v/>
      </c>
      <c xmlns="http://schemas.openxmlformats.org/spreadsheetml/2006/main" r="V224" s="22" t="str">
        <f t="shared" si="13"/>
        <v/>
      </c>
      <c xmlns="http://schemas.openxmlformats.org/spreadsheetml/2006/main" r="W224" s="18" t="str">
        <f t="shared" si="14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12"/>
        <v/>
      </c>
      <c xmlns="http://schemas.openxmlformats.org/spreadsheetml/2006/main" r="V225" s="22" t="str">
        <f t="shared" si="13"/>
        <v/>
      </c>
      <c xmlns="http://schemas.openxmlformats.org/spreadsheetml/2006/main" r="W225" s="18" t="str">
        <f t="shared" si="14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12"/>
        <v/>
      </c>
      <c xmlns="http://schemas.openxmlformats.org/spreadsheetml/2006/main" r="V226" s="22" t="str">
        <f t="shared" si="13"/>
        <v/>
      </c>
      <c xmlns="http://schemas.openxmlformats.org/spreadsheetml/2006/main" r="W226" s="18" t="str">
        <f t="shared" si="14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12"/>
        <v/>
      </c>
      <c xmlns="http://schemas.openxmlformats.org/spreadsheetml/2006/main" r="V227" s="22" t="str">
        <f t="shared" si="13"/>
        <v/>
      </c>
      <c xmlns="http://schemas.openxmlformats.org/spreadsheetml/2006/main" r="W227" s="18" t="str">
        <f t="shared" si="14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12"/>
        <v/>
      </c>
      <c xmlns="http://schemas.openxmlformats.org/spreadsheetml/2006/main" r="V228" s="22" t="str">
        <f t="shared" si="13"/>
        <v/>
      </c>
      <c xmlns="http://schemas.openxmlformats.org/spreadsheetml/2006/main" r="W228" s="18" t="str">
        <f t="shared" si="14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12"/>
        <v/>
      </c>
      <c xmlns="http://schemas.openxmlformats.org/spreadsheetml/2006/main" r="V229" s="22" t="str">
        <f t="shared" si="13"/>
        <v/>
      </c>
      <c xmlns="http://schemas.openxmlformats.org/spreadsheetml/2006/main" r="W229" s="18" t="str">
        <f t="shared" si="14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12"/>
        <v/>
      </c>
      <c xmlns="http://schemas.openxmlformats.org/spreadsheetml/2006/main" r="V230" s="22" t="str">
        <f t="shared" si="13"/>
        <v/>
      </c>
      <c xmlns="http://schemas.openxmlformats.org/spreadsheetml/2006/main" r="W230" s="18" t="str">
        <f t="shared" si="14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12"/>
        <v/>
      </c>
      <c xmlns="http://schemas.openxmlformats.org/spreadsheetml/2006/main" r="V231" s="22" t="str">
        <f t="shared" si="13"/>
        <v/>
      </c>
      <c xmlns="http://schemas.openxmlformats.org/spreadsheetml/2006/main" r="W231" s="18" t="str">
        <f t="shared" si="14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12"/>
        <v/>
      </c>
      <c xmlns="http://schemas.openxmlformats.org/spreadsheetml/2006/main" r="V232" s="22" t="str">
        <f t="shared" si="13"/>
        <v/>
      </c>
      <c xmlns="http://schemas.openxmlformats.org/spreadsheetml/2006/main" r="W232" s="18" t="str">
        <f t="shared" si="14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12"/>
        <v/>
      </c>
      <c xmlns="http://schemas.openxmlformats.org/spreadsheetml/2006/main" r="V233" s="22" t="str">
        <f t="shared" si="13"/>
        <v/>
      </c>
      <c xmlns="http://schemas.openxmlformats.org/spreadsheetml/2006/main" r="W233" s="18" t="str">
        <f t="shared" si="14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12"/>
        <v/>
      </c>
      <c xmlns="http://schemas.openxmlformats.org/spreadsheetml/2006/main" r="V234" s="22" t="str">
        <f t="shared" si="13"/>
        <v/>
      </c>
      <c xmlns="http://schemas.openxmlformats.org/spreadsheetml/2006/main" r="W234" s="18" t="str">
        <f t="shared" si="14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12"/>
        <v/>
      </c>
      <c xmlns="http://schemas.openxmlformats.org/spreadsheetml/2006/main" r="V235" s="22" t="str">
        <f t="shared" si="13"/>
        <v/>
      </c>
      <c xmlns="http://schemas.openxmlformats.org/spreadsheetml/2006/main" r="W235" s="18" t="str">
        <f t="shared" si="14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12"/>
        <v/>
      </c>
      <c xmlns="http://schemas.openxmlformats.org/spreadsheetml/2006/main" r="V236" s="22" t="str">
        <f t="shared" si="13"/>
        <v/>
      </c>
      <c xmlns="http://schemas.openxmlformats.org/spreadsheetml/2006/main" r="W236" s="18" t="str">
        <f t="shared" si="14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12"/>
        <v/>
      </c>
      <c xmlns="http://schemas.openxmlformats.org/spreadsheetml/2006/main" r="V237" s="22" t="str">
        <f t="shared" si="13"/>
        <v/>
      </c>
      <c xmlns="http://schemas.openxmlformats.org/spreadsheetml/2006/main" r="W237" s="18" t="str">
        <f t="shared" si="14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12"/>
        <v/>
      </c>
      <c xmlns="http://schemas.openxmlformats.org/spreadsheetml/2006/main" r="V238" s="22" t="str">
        <f t="shared" si="13"/>
        <v/>
      </c>
      <c xmlns="http://schemas.openxmlformats.org/spreadsheetml/2006/main" r="W238" s="18" t="str">
        <f t="shared" si="14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12"/>
        <v/>
      </c>
      <c xmlns="http://schemas.openxmlformats.org/spreadsheetml/2006/main" r="V239" s="22" t="str">
        <f t="shared" si="13"/>
        <v/>
      </c>
      <c xmlns="http://schemas.openxmlformats.org/spreadsheetml/2006/main" r="W239" s="18" t="str">
        <f t="shared" si="14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12"/>
        <v/>
      </c>
      <c xmlns="http://schemas.openxmlformats.org/spreadsheetml/2006/main" r="V240" s="22" t="str">
        <f t="shared" si="13"/>
        <v/>
      </c>
      <c xmlns="http://schemas.openxmlformats.org/spreadsheetml/2006/main" r="W240" s="18" t="str">
        <f t="shared" si="14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12"/>
        <v/>
      </c>
      <c xmlns="http://schemas.openxmlformats.org/spreadsheetml/2006/main" r="V241" s="22" t="str">
        <f t="shared" si="13"/>
        <v/>
      </c>
      <c xmlns="http://schemas.openxmlformats.org/spreadsheetml/2006/main" r="W241" s="18" t="str">
        <f t="shared" si="14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12"/>
        <v/>
      </c>
      <c xmlns="http://schemas.openxmlformats.org/spreadsheetml/2006/main" r="V242" s="22" t="str">
        <f t="shared" si="13"/>
        <v/>
      </c>
      <c xmlns="http://schemas.openxmlformats.org/spreadsheetml/2006/main" r="W242" s="18" t="str">
        <f t="shared" si="14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12"/>
        <v/>
      </c>
      <c xmlns="http://schemas.openxmlformats.org/spreadsheetml/2006/main" r="V243" s="22" t="str">
        <f t="shared" si="13"/>
        <v/>
      </c>
      <c xmlns="http://schemas.openxmlformats.org/spreadsheetml/2006/main" r="W243" s="18" t="str">
        <f t="shared" si="14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12"/>
        <v/>
      </c>
      <c xmlns="http://schemas.openxmlformats.org/spreadsheetml/2006/main" r="V244" s="22" t="str">
        <f t="shared" si="13"/>
        <v/>
      </c>
      <c xmlns="http://schemas.openxmlformats.org/spreadsheetml/2006/main" r="W244" s="18" t="str">
        <f t="shared" si="14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12"/>
        <v/>
      </c>
      <c xmlns="http://schemas.openxmlformats.org/spreadsheetml/2006/main" r="V245" s="22" t="str">
        <f t="shared" si="13"/>
        <v/>
      </c>
      <c xmlns="http://schemas.openxmlformats.org/spreadsheetml/2006/main" r="W245" s="18" t="str">
        <f t="shared" si="14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12"/>
        <v/>
      </c>
      <c xmlns="http://schemas.openxmlformats.org/spreadsheetml/2006/main" r="V246" s="22" t="str">
        <f t="shared" si="13"/>
        <v/>
      </c>
      <c xmlns="http://schemas.openxmlformats.org/spreadsheetml/2006/main" r="W246" s="18" t="str">
        <f t="shared" si="14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12"/>
        <v/>
      </c>
      <c xmlns="http://schemas.openxmlformats.org/spreadsheetml/2006/main" r="V247" s="22" t="str">
        <f t="shared" si="13"/>
        <v/>
      </c>
      <c xmlns="http://schemas.openxmlformats.org/spreadsheetml/2006/main" r="W247" s="18" t="str">
        <f t="shared" si="14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12"/>
        <v/>
      </c>
      <c xmlns="http://schemas.openxmlformats.org/spreadsheetml/2006/main" r="V248" s="22" t="str">
        <f t="shared" si="13"/>
        <v/>
      </c>
      <c xmlns="http://schemas.openxmlformats.org/spreadsheetml/2006/main" r="W248" s="18" t="str">
        <f t="shared" si="14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12"/>
        <v/>
      </c>
      <c xmlns="http://schemas.openxmlformats.org/spreadsheetml/2006/main" r="V249" s="22" t="str">
        <f t="shared" si="13"/>
        <v/>
      </c>
      <c xmlns="http://schemas.openxmlformats.org/spreadsheetml/2006/main" r="W249" s="18" t="str">
        <f t="shared" si="14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12"/>
        <v/>
      </c>
      <c xmlns="http://schemas.openxmlformats.org/spreadsheetml/2006/main" r="V250" s="22" t="str">
        <f t="shared" si="13"/>
        <v/>
      </c>
      <c xmlns="http://schemas.openxmlformats.org/spreadsheetml/2006/main" r="W250" s="18" t="str">
        <f t="shared" si="14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12"/>
        <v/>
      </c>
      <c xmlns="http://schemas.openxmlformats.org/spreadsheetml/2006/main" r="V251" s="22" t="str">
        <f t="shared" si="13"/>
        <v/>
      </c>
      <c xmlns="http://schemas.openxmlformats.org/spreadsheetml/2006/main" r="W251" s="18" t="str">
        <f t="shared" si="14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12"/>
        <v/>
      </c>
      <c xmlns="http://schemas.openxmlformats.org/spreadsheetml/2006/main" r="V252" s="22" t="str">
        <f t="shared" si="13"/>
        <v/>
      </c>
      <c xmlns="http://schemas.openxmlformats.org/spreadsheetml/2006/main" r="W252" s="18" t="str">
        <f t="shared" si="14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12"/>
        <v/>
      </c>
      <c xmlns="http://schemas.openxmlformats.org/spreadsheetml/2006/main" r="V253" s="22" t="str">
        <f t="shared" si="13"/>
        <v/>
      </c>
      <c xmlns="http://schemas.openxmlformats.org/spreadsheetml/2006/main" r="W253" s="18" t="str">
        <f t="shared" si="14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12"/>
        <v/>
      </c>
      <c xmlns="http://schemas.openxmlformats.org/spreadsheetml/2006/main" r="V254" s="22" t="str">
        <f t="shared" si="13"/>
        <v/>
      </c>
      <c xmlns="http://schemas.openxmlformats.org/spreadsheetml/2006/main" r="W254" s="18" t="str">
        <f t="shared" si="14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12"/>
        <v/>
      </c>
      <c xmlns="http://schemas.openxmlformats.org/spreadsheetml/2006/main" r="V255" s="22" t="str">
        <f t="shared" si="13"/>
        <v/>
      </c>
      <c xmlns="http://schemas.openxmlformats.org/spreadsheetml/2006/main" r="W255" s="18" t="str">
        <f t="shared" si="14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12"/>
        <v/>
      </c>
      <c xmlns="http://schemas.openxmlformats.org/spreadsheetml/2006/main" r="V256" s="22" t="str">
        <f t="shared" si="13"/>
        <v/>
      </c>
      <c xmlns="http://schemas.openxmlformats.org/spreadsheetml/2006/main" r="W256" s="18" t="str">
        <f t="shared" si="14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12"/>
        <v/>
      </c>
      <c xmlns="http://schemas.openxmlformats.org/spreadsheetml/2006/main" r="V257" s="22" t="str">
        <f t="shared" si="13"/>
        <v/>
      </c>
      <c xmlns="http://schemas.openxmlformats.org/spreadsheetml/2006/main" r="W257" s="18" t="str">
        <f t="shared" si="14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12"/>
        <v/>
      </c>
      <c xmlns="http://schemas.openxmlformats.org/spreadsheetml/2006/main" r="V258" s="22" t="str">
        <f t="shared" si="13"/>
        <v/>
      </c>
      <c xmlns="http://schemas.openxmlformats.org/spreadsheetml/2006/main" r="W258" s="18" t="str">
        <f t="shared" si="14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12"/>
        <v/>
      </c>
      <c xmlns="http://schemas.openxmlformats.org/spreadsheetml/2006/main" r="V259" s="22" t="str">
        <f t="shared" si="13"/>
        <v/>
      </c>
      <c xmlns="http://schemas.openxmlformats.org/spreadsheetml/2006/main" r="W259" s="18" t="str">
        <f t="shared" si="14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12"/>
        <v/>
      </c>
      <c xmlns="http://schemas.openxmlformats.org/spreadsheetml/2006/main" r="V260" s="22" t="str">
        <f t="shared" si="13"/>
        <v/>
      </c>
      <c xmlns="http://schemas.openxmlformats.org/spreadsheetml/2006/main" r="W260" s="18" t="str">
        <f t="shared" si="14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si="12"/>
        <v/>
      </c>
      <c xmlns="http://schemas.openxmlformats.org/spreadsheetml/2006/main" r="V261" s="22" t="str">
        <f t="shared" si="13"/>
        <v/>
      </c>
      <c xmlns="http://schemas.openxmlformats.org/spreadsheetml/2006/main" r="W261" s="18" t="str">
        <f t="shared" si="14"/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ref="U275:U318" si="15">IF($E275="","",COUNTIF($I275:$S275,"V"))</f>
        <v/>
      </c>
      <c xmlns="http://schemas.openxmlformats.org/spreadsheetml/2006/main" r="V275" s="22" t="str">
        <f t="shared" ref="V275:V318" si="16">IF($E275="","",IF(AND($T275="V",$U275&gt;0),"⚠ 勾選矛盾",IF($T275="V","○ 免調理",IF($U275=0,"⚠ 資料缺漏",IF($U275=1,"▲ 單一設備依賴","OK")))))</f>
        <v/>
      </c>
      <c xmlns="http://schemas.openxmlformats.org/spreadsheetml/2006/main" r="W275" s="18" t="str">
        <f t="shared" ref="W275:W318" si="17">IF($E275="","",IF(AND($T275="V",$U275&gt;0),"「無使用調理設備」不可與設備欄同時勾選，請擇一修正",IF($T275="V","免調理半成品（外購/僅切配等），不列入設備風險評估",IF($U275=0,"未勾選任何設備，請補填或勾選「無使用調理設備」",IF($U275=1,"僅依賴1台設備，須確認故障/排修時之備援製程","無異常")))))</f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5"/>
        <v/>
      </c>
      <c xmlns="http://schemas.openxmlformats.org/spreadsheetml/2006/main" r="V276" s="22" t="str">
        <f t="shared" si="16"/>
        <v/>
      </c>
      <c xmlns="http://schemas.openxmlformats.org/spreadsheetml/2006/main" r="W276" s="18" t="str">
        <f t="shared" si="17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5"/>
        <v/>
      </c>
      <c xmlns="http://schemas.openxmlformats.org/spreadsheetml/2006/main" r="V277" s="22" t="str">
        <f t="shared" si="16"/>
        <v/>
      </c>
      <c xmlns="http://schemas.openxmlformats.org/spreadsheetml/2006/main" r="W277" s="18" t="str">
        <f t="shared" si="17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5"/>
        <v/>
      </c>
      <c xmlns="http://schemas.openxmlformats.org/spreadsheetml/2006/main" r="V278" s="22" t="str">
        <f t="shared" si="16"/>
        <v/>
      </c>
      <c xmlns="http://schemas.openxmlformats.org/spreadsheetml/2006/main" r="W278" s="18" t="str">
        <f t="shared" si="17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5"/>
        <v/>
      </c>
      <c xmlns="http://schemas.openxmlformats.org/spreadsheetml/2006/main" r="V279" s="22" t="str">
        <f t="shared" si="16"/>
        <v/>
      </c>
      <c xmlns="http://schemas.openxmlformats.org/spreadsheetml/2006/main" r="W279" s="18" t="str">
        <f t="shared" si="17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5"/>
        <v/>
      </c>
      <c xmlns="http://schemas.openxmlformats.org/spreadsheetml/2006/main" r="V280" s="22" t="str">
        <f t="shared" si="16"/>
        <v/>
      </c>
      <c xmlns="http://schemas.openxmlformats.org/spreadsheetml/2006/main" r="W280" s="18" t="str">
        <f t="shared" si="17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5"/>
        <v/>
      </c>
      <c xmlns="http://schemas.openxmlformats.org/spreadsheetml/2006/main" r="V281" s="22" t="str">
        <f t="shared" si="16"/>
        <v/>
      </c>
      <c xmlns="http://schemas.openxmlformats.org/spreadsheetml/2006/main" r="W281" s="18" t="str">
        <f t="shared" si="17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5"/>
        <v/>
      </c>
      <c xmlns="http://schemas.openxmlformats.org/spreadsheetml/2006/main" r="V282" s="22" t="str">
        <f t="shared" si="16"/>
        <v/>
      </c>
      <c xmlns="http://schemas.openxmlformats.org/spreadsheetml/2006/main" r="W282" s="18" t="str">
        <f t="shared" si="17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5"/>
        <v/>
      </c>
      <c xmlns="http://schemas.openxmlformats.org/spreadsheetml/2006/main" r="V283" s="22" t="str">
        <f t="shared" si="16"/>
        <v/>
      </c>
      <c xmlns="http://schemas.openxmlformats.org/spreadsheetml/2006/main" r="W283" s="18" t="str">
        <f t="shared" si="17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5"/>
        <v/>
      </c>
      <c xmlns="http://schemas.openxmlformats.org/spreadsheetml/2006/main" r="V284" s="22" t="str">
        <f t="shared" si="16"/>
        <v/>
      </c>
      <c xmlns="http://schemas.openxmlformats.org/spreadsheetml/2006/main" r="W284" s="18" t="str">
        <f t="shared" si="17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5"/>
        <v/>
      </c>
      <c xmlns="http://schemas.openxmlformats.org/spreadsheetml/2006/main" r="V285" s="22" t="str">
        <f t="shared" si="16"/>
        <v/>
      </c>
      <c xmlns="http://schemas.openxmlformats.org/spreadsheetml/2006/main" r="W285" s="18" t="str">
        <f t="shared" si="17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5"/>
        <v/>
      </c>
      <c xmlns="http://schemas.openxmlformats.org/spreadsheetml/2006/main" r="V286" s="22" t="str">
        <f t="shared" si="16"/>
        <v/>
      </c>
      <c xmlns="http://schemas.openxmlformats.org/spreadsheetml/2006/main" r="W286" s="18" t="str">
        <f t="shared" si="17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5"/>
        <v/>
      </c>
      <c xmlns="http://schemas.openxmlformats.org/spreadsheetml/2006/main" r="V287" s="22" t="str">
        <f t="shared" si="16"/>
        <v/>
      </c>
      <c xmlns="http://schemas.openxmlformats.org/spreadsheetml/2006/main" r="W287" s="18" t="str">
        <f t="shared" si="17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5"/>
        <v/>
      </c>
      <c xmlns="http://schemas.openxmlformats.org/spreadsheetml/2006/main" r="V288" s="22" t="str">
        <f t="shared" si="16"/>
        <v/>
      </c>
      <c xmlns="http://schemas.openxmlformats.org/spreadsheetml/2006/main" r="W288" s="18" t="str">
        <f t="shared" si="17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5"/>
        <v/>
      </c>
      <c xmlns="http://schemas.openxmlformats.org/spreadsheetml/2006/main" r="V289" s="22" t="str">
        <f t="shared" si="16"/>
        <v/>
      </c>
      <c xmlns="http://schemas.openxmlformats.org/spreadsheetml/2006/main" r="W289" s="18" t="str">
        <f t="shared" si="17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5"/>
        <v/>
      </c>
      <c xmlns="http://schemas.openxmlformats.org/spreadsheetml/2006/main" r="V290" s="22" t="str">
        <f t="shared" si="16"/>
        <v/>
      </c>
      <c xmlns="http://schemas.openxmlformats.org/spreadsheetml/2006/main" r="W290" s="18" t="str">
        <f t="shared" si="17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5"/>
        <v/>
      </c>
      <c xmlns="http://schemas.openxmlformats.org/spreadsheetml/2006/main" r="V291" s="22" t="str">
        <f t="shared" si="16"/>
        <v/>
      </c>
      <c xmlns="http://schemas.openxmlformats.org/spreadsheetml/2006/main" r="W291" s="18" t="str">
        <f t="shared" si="17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5"/>
        <v/>
      </c>
      <c xmlns="http://schemas.openxmlformats.org/spreadsheetml/2006/main" r="V292" s="22" t="str">
        <f t="shared" si="16"/>
        <v/>
      </c>
      <c xmlns="http://schemas.openxmlformats.org/spreadsheetml/2006/main" r="W292" s="18" t="str">
        <f t="shared" si="17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A293" s="22"/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5"/>
        <v/>
      </c>
      <c xmlns="http://schemas.openxmlformats.org/spreadsheetml/2006/main" r="V293" s="22" t="str">
        <f t="shared" si="16"/>
        <v/>
      </c>
      <c xmlns="http://schemas.openxmlformats.org/spreadsheetml/2006/main" r="W293" s="18" t="str">
        <f t="shared" si="17"/>
        <v/>
      </c>
      <c r="X293" s="22"/>
      <c r="Y293" s="22"/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1:27">
      <c r="A294" s="22"/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5"/>
        <v/>
      </c>
      <c xmlns="http://schemas.openxmlformats.org/spreadsheetml/2006/main" r="V294" s="22" t="str">
        <f t="shared" si="16"/>
        <v/>
      </c>
      <c xmlns="http://schemas.openxmlformats.org/spreadsheetml/2006/main" r="W294" s="18" t="str">
        <f t="shared" si="17"/>
        <v/>
      </c>
      <c r="X294" s="22"/>
      <c r="Y294" s="22"/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1:27">
      <c r="A295" s="22"/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5"/>
        <v/>
      </c>
      <c xmlns="http://schemas.openxmlformats.org/spreadsheetml/2006/main" r="V295" s="22" t="str">
        <f t="shared" si="16"/>
        <v/>
      </c>
      <c xmlns="http://schemas.openxmlformats.org/spreadsheetml/2006/main" r="W295" s="18" t="str">
        <f t="shared" si="17"/>
        <v/>
      </c>
      <c r="X295" s="22"/>
      <c r="Y295" s="22"/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1:27">
      <c r="A296" s="22"/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5"/>
        <v/>
      </c>
      <c xmlns="http://schemas.openxmlformats.org/spreadsheetml/2006/main" r="V296" s="22" t="str">
        <f t="shared" si="16"/>
        <v/>
      </c>
      <c xmlns="http://schemas.openxmlformats.org/spreadsheetml/2006/main" r="W296" s="18" t="str">
        <f t="shared" si="17"/>
        <v/>
      </c>
      <c r="X296" s="22"/>
      <c r="Y296" s="22"/>
      <c xmlns="http://schemas.openxmlformats.org/spreadsheetml/2006/main" r="Z296">
        <f>IF($D296="",0,IF(COUNTIF($D$5:$D296,$D296)=1,1,0))</f>
        <v>0.0</v>
      </c>
      <c xmlns="http://schemas.openxmlformats.org/spreadsheetml/2006/main" r="AA296" t="str">
        <f>IF(Z296=1,SUM($Z$5:$Z296),"")</f>
        <v/>
      </c>
    </row>
    <row r="297" spans="1:27">
      <c r="A297" s="22"/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5"/>
        <v/>
      </c>
      <c xmlns="http://schemas.openxmlformats.org/spreadsheetml/2006/main" r="V297" s="22" t="str">
        <f t="shared" si="16"/>
        <v/>
      </c>
      <c xmlns="http://schemas.openxmlformats.org/spreadsheetml/2006/main" r="W297" s="18" t="str">
        <f t="shared" si="17"/>
        <v/>
      </c>
      <c r="X297" s="22"/>
      <c r="Y297" s="22"/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1:27">
      <c r="A298" s="22"/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xmlns="http://schemas.openxmlformats.org/spreadsheetml/2006/main" r="U298" s="23" t="str">
        <f t="shared" si="15"/>
        <v/>
      </c>
      <c xmlns="http://schemas.openxmlformats.org/spreadsheetml/2006/main" r="V298" s="22" t="str">
        <f t="shared" si="16"/>
        <v/>
      </c>
      <c xmlns="http://schemas.openxmlformats.org/spreadsheetml/2006/main" r="W298" s="18" t="str">
        <f t="shared" si="17"/>
        <v/>
      </c>
      <c r="X298" s="22"/>
      <c r="Y298" s="22"/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1:27">
      <c r="A299" s="22"/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xmlns="http://schemas.openxmlformats.org/spreadsheetml/2006/main" r="U299" s="23" t="str">
        <f t="shared" si="15"/>
        <v/>
      </c>
      <c xmlns="http://schemas.openxmlformats.org/spreadsheetml/2006/main" r="V299" s="22" t="str">
        <f t="shared" si="16"/>
        <v/>
      </c>
      <c xmlns="http://schemas.openxmlformats.org/spreadsheetml/2006/main" r="W299" s="18" t="str">
        <f t="shared" si="17"/>
        <v/>
      </c>
      <c r="X299" s="22"/>
      <c r="Y299" s="22"/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1:27">
      <c r="A300" s="22"/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xmlns="http://schemas.openxmlformats.org/spreadsheetml/2006/main" r="U300" s="23" t="str">
        <f t="shared" si="15"/>
        <v/>
      </c>
      <c xmlns="http://schemas.openxmlformats.org/spreadsheetml/2006/main" r="V300" s="22" t="str">
        <f t="shared" si="16"/>
        <v/>
      </c>
      <c xmlns="http://schemas.openxmlformats.org/spreadsheetml/2006/main" r="W300" s="18" t="str">
        <f t="shared" si="17"/>
        <v/>
      </c>
      <c r="X300" s="22"/>
      <c r="Y300" s="22"/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1:27">
      <c r="A301" s="22"/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xmlns="http://schemas.openxmlformats.org/spreadsheetml/2006/main" r="U301" s="23" t="str">
        <f t="shared" si="15"/>
        <v/>
      </c>
      <c xmlns="http://schemas.openxmlformats.org/spreadsheetml/2006/main" r="V301" s="22" t="str">
        <f t="shared" si="16"/>
        <v/>
      </c>
      <c xmlns="http://schemas.openxmlformats.org/spreadsheetml/2006/main" r="W301" s="18" t="str">
        <f t="shared" si="17"/>
        <v/>
      </c>
      <c r="X301" s="22"/>
      <c r="Y301" s="22"/>
      <c xmlns="http://schemas.openxmlformats.org/spreadsheetml/2006/main" r="Z301">
        <f>IF($D301="",0,IF(COUNTIF($D$5:$D301,$D301)=1,1,0))</f>
        <v>0.0</v>
      </c>
      <c xmlns="http://schemas.openxmlformats.org/spreadsheetml/2006/main" r="AA301" t="str">
        <f>IF(Z301=1,SUM($Z$5:$Z301),"")</f>
        <v/>
      </c>
    </row>
    <row r="302" spans="1:27">
      <c r="A302" s="22"/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 t="str">
        <f t="shared" si="15"/>
        <v/>
      </c>
      <c xmlns="http://schemas.openxmlformats.org/spreadsheetml/2006/main" r="V302" s="22" t="str">
        <f t="shared" si="16"/>
        <v/>
      </c>
      <c xmlns="http://schemas.openxmlformats.org/spreadsheetml/2006/main" r="W302" s="18" t="str">
        <f t="shared" si="17"/>
        <v/>
      </c>
      <c r="X302" s="22"/>
      <c r="Y302" s="22"/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1:27">
      <c r="A303" s="22"/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xmlns="http://schemas.openxmlformats.org/spreadsheetml/2006/main" r="U303" s="23" t="str">
        <f t="shared" si="15"/>
        <v/>
      </c>
      <c xmlns="http://schemas.openxmlformats.org/spreadsheetml/2006/main" r="V303" s="22" t="str">
        <f t="shared" si="16"/>
        <v/>
      </c>
      <c xmlns="http://schemas.openxmlformats.org/spreadsheetml/2006/main" r="W303" s="18" t="str">
        <f t="shared" si="17"/>
        <v/>
      </c>
      <c r="X303" s="22"/>
      <c r="Y303" s="22"/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  <row r="304" spans="1:27">
      <c r="A304" s="22"/>
      <c r="B304" s="22"/>
      <c r="C304" s="22"/>
      <c r="D304" s="22"/>
      <c r="E304" s="22"/>
      <c r="F304" s="23"/>
      <c r="G304" s="23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xmlns="http://schemas.openxmlformats.org/spreadsheetml/2006/main" r="U304" s="23" t="str">
        <f t="shared" si="15"/>
        <v/>
      </c>
      <c xmlns="http://schemas.openxmlformats.org/spreadsheetml/2006/main" r="V304" s="22" t="str">
        <f t="shared" si="16"/>
        <v/>
      </c>
      <c xmlns="http://schemas.openxmlformats.org/spreadsheetml/2006/main" r="W304" s="18" t="str">
        <f t="shared" si="17"/>
        <v/>
      </c>
      <c r="X304" s="22"/>
      <c r="Y304" s="22"/>
      <c xmlns="http://schemas.openxmlformats.org/spreadsheetml/2006/main" r="Z304">
        <f>IF($D304="",0,IF(COUNTIF($D$5:$D304,$D304)=1,1,0))</f>
        <v>0.0</v>
      </c>
      <c xmlns="http://schemas.openxmlformats.org/spreadsheetml/2006/main" r="AA304" t="str">
        <f>IF(Z304=1,SUM($Z$5:$Z304),"")</f>
        <v/>
      </c>
    </row>
    <row r="305" spans="1:27">
      <c r="A305" s="22"/>
      <c r="B305" s="22"/>
      <c r="C305" s="22"/>
      <c r="D305" s="22"/>
      <c r="E305" s="22"/>
      <c r="F305" s="23"/>
      <c r="G305" s="23"/>
      <c r="H305" s="24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6"/>
      <c xmlns="http://schemas.openxmlformats.org/spreadsheetml/2006/main" r="U305" s="23" t="str">
        <f t="shared" si="15"/>
        <v/>
      </c>
      <c xmlns="http://schemas.openxmlformats.org/spreadsheetml/2006/main" r="V305" s="22" t="str">
        <f t="shared" si="16"/>
        <v/>
      </c>
      <c xmlns="http://schemas.openxmlformats.org/spreadsheetml/2006/main" r="W305" s="18" t="str">
        <f t="shared" si="17"/>
        <v/>
      </c>
      <c r="X305" s="22"/>
      <c r="Y305" s="22"/>
      <c xmlns="http://schemas.openxmlformats.org/spreadsheetml/2006/main" r="Z305">
        <f>IF($D305="",0,IF(COUNTIF($D$5:$D305,$D305)=1,1,0))</f>
        <v>0.0</v>
      </c>
      <c xmlns="http://schemas.openxmlformats.org/spreadsheetml/2006/main" r="AA305" t="str">
        <f>IF(Z305=1,SUM($Z$5:$Z305),"")</f>
        <v/>
      </c>
    </row>
    <row r="306" spans="1:27">
      <c r="A306" s="22"/>
      <c r="B306" s="22"/>
      <c r="C306" s="22"/>
      <c r="D306" s="22"/>
      <c r="E306" s="22"/>
      <c r="F306" s="23"/>
      <c r="G306" s="23"/>
      <c r="H306" s="24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6"/>
      <c xmlns="http://schemas.openxmlformats.org/spreadsheetml/2006/main" r="U306" s="23" t="str">
        <f t="shared" si="15"/>
        <v/>
      </c>
      <c xmlns="http://schemas.openxmlformats.org/spreadsheetml/2006/main" r="V306" s="22" t="str">
        <f t="shared" si="16"/>
        <v/>
      </c>
      <c xmlns="http://schemas.openxmlformats.org/spreadsheetml/2006/main" r="W306" s="18" t="str">
        <f t="shared" si="17"/>
        <v/>
      </c>
      <c r="X306" s="22"/>
      <c r="Y306" s="22"/>
      <c xmlns="http://schemas.openxmlformats.org/spreadsheetml/2006/main" r="Z306">
        <f>IF($D306="",0,IF(COUNTIF($D$5:$D306,$D306)=1,1,0))</f>
        <v>0.0</v>
      </c>
      <c xmlns="http://schemas.openxmlformats.org/spreadsheetml/2006/main" r="AA306" t="str">
        <f>IF(Z306=1,SUM($Z$5:$Z306),"")</f>
        <v/>
      </c>
    </row>
    <row r="307" spans="1:27">
      <c r="A307" s="22"/>
      <c r="B307" s="22"/>
      <c r="C307" s="22"/>
      <c r="D307" s="22"/>
      <c r="E307" s="22"/>
      <c r="F307" s="23"/>
      <c r="G307" s="23"/>
      <c r="H307" s="24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6"/>
      <c xmlns="http://schemas.openxmlformats.org/spreadsheetml/2006/main" r="U307" s="23" t="str">
        <f t="shared" si="15"/>
        <v/>
      </c>
      <c xmlns="http://schemas.openxmlformats.org/spreadsheetml/2006/main" r="V307" s="22" t="str">
        <f t="shared" si="16"/>
        <v/>
      </c>
      <c xmlns="http://schemas.openxmlformats.org/spreadsheetml/2006/main" r="W307" s="18" t="str">
        <f t="shared" si="17"/>
        <v/>
      </c>
      <c r="X307" s="22"/>
      <c r="Y307" s="22"/>
      <c xmlns="http://schemas.openxmlformats.org/spreadsheetml/2006/main" r="Z307">
        <f>IF($D307="",0,IF(COUNTIF($D$5:$D307,$D307)=1,1,0))</f>
        <v>0.0</v>
      </c>
      <c xmlns="http://schemas.openxmlformats.org/spreadsheetml/2006/main" r="AA307" t="str">
        <f>IF(Z307=1,SUM($Z$5:$Z307),"")</f>
        <v/>
      </c>
    </row>
    <row r="308" spans="1:27">
      <c r="A308" s="22"/>
      <c r="B308" s="22"/>
      <c r="C308" s="22"/>
      <c r="D308" s="22"/>
      <c r="E308" s="22"/>
      <c r="F308" s="23"/>
      <c r="G308" s="23"/>
      <c r="H308" s="24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6"/>
      <c xmlns="http://schemas.openxmlformats.org/spreadsheetml/2006/main" r="U308" s="23" t="str">
        <f t="shared" si="15"/>
        <v/>
      </c>
      <c xmlns="http://schemas.openxmlformats.org/spreadsheetml/2006/main" r="V308" s="22" t="str">
        <f t="shared" si="16"/>
        <v/>
      </c>
      <c xmlns="http://schemas.openxmlformats.org/spreadsheetml/2006/main" r="W308" s="18" t="str">
        <f t="shared" si="17"/>
        <v/>
      </c>
      <c r="X308" s="22"/>
      <c r="Y308" s="22"/>
      <c xmlns="http://schemas.openxmlformats.org/spreadsheetml/2006/main" r="Z308">
        <f>IF($D308="",0,IF(COUNTIF($D$5:$D308,$D308)=1,1,0))</f>
        <v>0.0</v>
      </c>
      <c xmlns="http://schemas.openxmlformats.org/spreadsheetml/2006/main" r="AA308" t="str">
        <f>IF(Z308=1,SUM($Z$5:$Z308),"")</f>
        <v/>
      </c>
    </row>
    <row r="309" spans="1:27">
      <c r="A309" s="22"/>
      <c r="B309" s="22"/>
      <c r="C309" s="22"/>
      <c r="D309" s="22"/>
      <c r="E309" s="22"/>
      <c r="F309" s="23"/>
      <c r="G309" s="23"/>
      <c r="H309" s="24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6"/>
      <c xmlns="http://schemas.openxmlformats.org/spreadsheetml/2006/main" r="U309" s="23" t="str">
        <f t="shared" si="15"/>
        <v/>
      </c>
      <c xmlns="http://schemas.openxmlformats.org/spreadsheetml/2006/main" r="V309" s="22" t="str">
        <f t="shared" si="16"/>
        <v/>
      </c>
      <c xmlns="http://schemas.openxmlformats.org/spreadsheetml/2006/main" r="W309" s="18" t="str">
        <f t="shared" si="17"/>
        <v/>
      </c>
      <c r="X309" s="22"/>
      <c r="Y309" s="22"/>
      <c xmlns="http://schemas.openxmlformats.org/spreadsheetml/2006/main" r="Z309">
        <f>IF($D309="",0,IF(COUNTIF($D$5:$D309,$D309)=1,1,0))</f>
        <v>0.0</v>
      </c>
      <c xmlns="http://schemas.openxmlformats.org/spreadsheetml/2006/main" r="AA309" t="str">
        <f>IF(Z309=1,SUM($Z$5:$Z309),"")</f>
        <v/>
      </c>
    </row>
    <row r="310" spans="1:27">
      <c r="A310" s="22"/>
      <c r="B310" s="22"/>
      <c r="C310" s="22"/>
      <c r="D310" s="22"/>
      <c r="E310" s="22"/>
      <c r="F310" s="23"/>
      <c r="G310" s="23"/>
      <c r="H310" s="24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6"/>
      <c xmlns="http://schemas.openxmlformats.org/spreadsheetml/2006/main" r="U310" s="23" t="str">
        <f t="shared" si="15"/>
        <v/>
      </c>
      <c xmlns="http://schemas.openxmlformats.org/spreadsheetml/2006/main" r="V310" s="22" t="str">
        <f t="shared" si="16"/>
        <v/>
      </c>
      <c xmlns="http://schemas.openxmlformats.org/spreadsheetml/2006/main" r="W310" s="18" t="str">
        <f t="shared" si="17"/>
        <v/>
      </c>
      <c r="X310" s="22"/>
      <c r="Y310" s="22"/>
      <c xmlns="http://schemas.openxmlformats.org/spreadsheetml/2006/main" r="Z310">
        <f>IF($D310="",0,IF(COUNTIF($D$5:$D310,$D310)=1,1,0))</f>
        <v>0.0</v>
      </c>
      <c xmlns="http://schemas.openxmlformats.org/spreadsheetml/2006/main" r="AA310" t="str">
        <f>IF(Z310=1,SUM($Z$5:$Z310),"")</f>
        <v/>
      </c>
    </row>
    <row r="311" spans="1:27">
      <c r="A311" s="22"/>
      <c r="B311" s="22"/>
      <c r="C311" s="22"/>
      <c r="D311" s="22"/>
      <c r="E311" s="22"/>
      <c r="F311" s="23"/>
      <c r="G311" s="23"/>
      <c r="H311" s="24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6"/>
      <c xmlns="http://schemas.openxmlformats.org/spreadsheetml/2006/main" r="U311" s="23" t="str">
        <f t="shared" si="15"/>
        <v/>
      </c>
      <c xmlns="http://schemas.openxmlformats.org/spreadsheetml/2006/main" r="V311" s="22" t="str">
        <f t="shared" si="16"/>
        <v/>
      </c>
      <c xmlns="http://schemas.openxmlformats.org/spreadsheetml/2006/main" r="W311" s="18" t="str">
        <f t="shared" si="17"/>
        <v/>
      </c>
      <c r="X311" s="22"/>
      <c r="Y311" s="22"/>
      <c xmlns="http://schemas.openxmlformats.org/spreadsheetml/2006/main" r="Z311">
        <f>IF($D311="",0,IF(COUNTIF($D$5:$D311,$D311)=1,1,0))</f>
        <v>0.0</v>
      </c>
      <c xmlns="http://schemas.openxmlformats.org/spreadsheetml/2006/main" r="AA311" t="str">
        <f>IF(Z311=1,SUM($Z$5:$Z311),"")</f>
        <v/>
      </c>
    </row>
    <row r="312" spans="1:27">
      <c r="A312" s="22"/>
      <c r="B312" s="22"/>
      <c r="C312" s="22"/>
      <c r="D312" s="22"/>
      <c r="E312" s="22"/>
      <c r="F312" s="23"/>
      <c r="G312" s="23"/>
      <c r="H312" s="24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6"/>
      <c xmlns="http://schemas.openxmlformats.org/spreadsheetml/2006/main" r="U312" s="23" t="str">
        <f t="shared" si="15"/>
        <v/>
      </c>
      <c xmlns="http://schemas.openxmlformats.org/spreadsheetml/2006/main" r="V312" s="22" t="str">
        <f t="shared" si="16"/>
        <v/>
      </c>
      <c xmlns="http://schemas.openxmlformats.org/spreadsheetml/2006/main" r="W312" s="18" t="str">
        <f t="shared" si="17"/>
        <v/>
      </c>
      <c r="X312" s="22"/>
      <c r="Y312" s="22"/>
      <c xmlns="http://schemas.openxmlformats.org/spreadsheetml/2006/main" r="Z312">
        <f>IF($D312="",0,IF(COUNTIF($D$5:$D312,$D312)=1,1,0))</f>
        <v>0.0</v>
      </c>
      <c xmlns="http://schemas.openxmlformats.org/spreadsheetml/2006/main" r="AA312" t="str">
        <f>IF(Z312=1,SUM($Z$5:$Z312),"")</f>
        <v/>
      </c>
    </row>
    <row r="313" spans="1:27">
      <c r="A313" s="22"/>
      <c r="B313" s="22"/>
      <c r="C313" s="22"/>
      <c r="D313" s="22"/>
      <c r="E313" s="22"/>
      <c r="F313" s="23"/>
      <c r="G313" s="23"/>
      <c r="H313" s="24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6"/>
      <c xmlns="http://schemas.openxmlformats.org/spreadsheetml/2006/main" r="U313" s="23" t="str">
        <f t="shared" si="15"/>
        <v/>
      </c>
      <c xmlns="http://schemas.openxmlformats.org/spreadsheetml/2006/main" r="V313" s="22" t="str">
        <f t="shared" si="16"/>
        <v/>
      </c>
      <c xmlns="http://schemas.openxmlformats.org/spreadsheetml/2006/main" r="W313" s="18" t="str">
        <f t="shared" si="17"/>
        <v/>
      </c>
      <c r="X313" s="22"/>
      <c r="Y313" s="22"/>
      <c xmlns="http://schemas.openxmlformats.org/spreadsheetml/2006/main" r="Z313">
        <f>IF($D313="",0,IF(COUNTIF($D$5:$D313,$D313)=1,1,0))</f>
        <v>0.0</v>
      </c>
      <c xmlns="http://schemas.openxmlformats.org/spreadsheetml/2006/main" r="AA313" t="str">
        <f>IF(Z313=1,SUM($Z$5:$Z313),"")</f>
        <v/>
      </c>
    </row>
    <row r="314" spans="1:27">
      <c r="A314" s="22"/>
      <c r="B314" s="22"/>
      <c r="C314" s="22"/>
      <c r="D314" s="22"/>
      <c r="E314" s="22"/>
      <c r="F314" s="23"/>
      <c r="G314" s="23"/>
      <c r="H314" s="24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6"/>
      <c xmlns="http://schemas.openxmlformats.org/spreadsheetml/2006/main" r="U314" s="23" t="str">
        <f t="shared" si="15"/>
        <v/>
      </c>
      <c xmlns="http://schemas.openxmlformats.org/spreadsheetml/2006/main" r="V314" s="22" t="str">
        <f t="shared" si="16"/>
        <v/>
      </c>
      <c xmlns="http://schemas.openxmlformats.org/spreadsheetml/2006/main" r="W314" s="18" t="str">
        <f t="shared" si="17"/>
        <v/>
      </c>
      <c r="X314" s="22"/>
      <c r="Y314" s="22"/>
      <c xmlns="http://schemas.openxmlformats.org/spreadsheetml/2006/main" r="Z314">
        <f>IF($D314="",0,IF(COUNTIF($D$5:$D314,$D314)=1,1,0))</f>
        <v>0.0</v>
      </c>
      <c xmlns="http://schemas.openxmlformats.org/spreadsheetml/2006/main" r="AA314" t="str">
        <f>IF(Z314=1,SUM($Z$5:$Z314),"")</f>
        <v/>
      </c>
    </row>
    <row r="315" spans="1:27">
      <c r="A315" s="22"/>
      <c r="B315" s="22"/>
      <c r="C315" s="22"/>
      <c r="D315" s="22"/>
      <c r="E315" s="22"/>
      <c r="F315" s="23"/>
      <c r="G315" s="23"/>
      <c r="H315" s="24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6"/>
      <c xmlns="http://schemas.openxmlformats.org/spreadsheetml/2006/main" r="U315" s="23" t="str">
        <f t="shared" si="15"/>
        <v/>
      </c>
      <c xmlns="http://schemas.openxmlformats.org/spreadsheetml/2006/main" r="V315" s="22" t="str">
        <f t="shared" si="16"/>
        <v/>
      </c>
      <c xmlns="http://schemas.openxmlformats.org/spreadsheetml/2006/main" r="W315" s="18" t="str">
        <f t="shared" si="17"/>
        <v/>
      </c>
      <c r="X315" s="22"/>
      <c r="Y315" s="22"/>
      <c xmlns="http://schemas.openxmlformats.org/spreadsheetml/2006/main" r="Z315">
        <f>IF($D315="",0,IF(COUNTIF($D$5:$D315,$D315)=1,1,0))</f>
        <v>0.0</v>
      </c>
      <c xmlns="http://schemas.openxmlformats.org/spreadsheetml/2006/main" r="AA315" t="str">
        <f>IF(Z315=1,SUM($Z$5:$Z315),"")</f>
        <v/>
      </c>
    </row>
    <row r="316" spans="1:27">
      <c r="A316" s="22"/>
      <c r="B316" s="22"/>
      <c r="C316" s="22"/>
      <c r="D316" s="22"/>
      <c r="E316" s="22"/>
      <c r="F316" s="23"/>
      <c r="G316" s="23"/>
      <c r="H316" s="24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6"/>
      <c xmlns="http://schemas.openxmlformats.org/spreadsheetml/2006/main" r="U316" s="23" t="str">
        <f t="shared" si="15"/>
        <v/>
      </c>
      <c xmlns="http://schemas.openxmlformats.org/spreadsheetml/2006/main" r="V316" s="22" t="str">
        <f t="shared" si="16"/>
        <v/>
      </c>
      <c xmlns="http://schemas.openxmlformats.org/spreadsheetml/2006/main" r="W316" s="18" t="str">
        <f t="shared" si="17"/>
        <v/>
      </c>
      <c r="X316" s="22"/>
      <c r="Y316" s="22"/>
      <c xmlns="http://schemas.openxmlformats.org/spreadsheetml/2006/main" r="Z316">
        <f>IF($D316="",0,IF(COUNTIF($D$5:$D316,$D316)=1,1,0))</f>
        <v>0.0</v>
      </c>
      <c xmlns="http://schemas.openxmlformats.org/spreadsheetml/2006/main" r="AA316" t="str">
        <f>IF(Z316=1,SUM($Z$5:$Z316),"")</f>
        <v/>
      </c>
    </row>
    <row r="317" spans="1:27">
      <c r="A317" s="22"/>
      <c r="B317" s="22"/>
      <c r="C317" s="22"/>
      <c r="D317" s="22"/>
      <c r="E317" s="22"/>
      <c r="F317" s="23"/>
      <c r="G317" s="23"/>
      <c r="H317" s="24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6"/>
      <c xmlns="http://schemas.openxmlformats.org/spreadsheetml/2006/main" r="U317" s="23" t="str">
        <f t="shared" si="15"/>
        <v/>
      </c>
      <c xmlns="http://schemas.openxmlformats.org/spreadsheetml/2006/main" r="V317" s="22" t="str">
        <f t="shared" si="16"/>
        <v/>
      </c>
      <c xmlns="http://schemas.openxmlformats.org/spreadsheetml/2006/main" r="W317" s="18" t="str">
        <f t="shared" si="17"/>
        <v/>
      </c>
      <c r="X317" s="22"/>
      <c r="Y317" s="22"/>
      <c xmlns="http://schemas.openxmlformats.org/spreadsheetml/2006/main" r="Z317">
        <f>IF($D317="",0,IF(COUNTIF($D$5:$D317,$D317)=1,1,0))</f>
        <v>0.0</v>
      </c>
      <c xmlns="http://schemas.openxmlformats.org/spreadsheetml/2006/main" r="AA317" t="str">
        <f>IF(Z317=1,SUM($Z$5:$Z317),"")</f>
        <v/>
      </c>
    </row>
    <row r="318" spans="1:27">
      <c r="A318" s="22"/>
      <c r="B318" s="22"/>
      <c r="C318" s="22"/>
      <c r="D318" s="22"/>
      <c r="E318" s="22"/>
      <c r="F318" s="23"/>
      <c r="G318" s="23"/>
      <c r="H318" s="24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6"/>
      <c xmlns="http://schemas.openxmlformats.org/spreadsheetml/2006/main" r="U318" s="23" t="str">
        <f t="shared" si="15"/>
        <v/>
      </c>
      <c xmlns="http://schemas.openxmlformats.org/spreadsheetml/2006/main" r="V318" s="22" t="str">
        <f t="shared" si="16"/>
        <v/>
      </c>
      <c xmlns="http://schemas.openxmlformats.org/spreadsheetml/2006/main" r="W318" s="18" t="str">
        <f t="shared" si="17"/>
        <v/>
      </c>
      <c r="X318" s="22"/>
      <c r="Y318" s="22"/>
      <c xmlns="http://schemas.openxmlformats.org/spreadsheetml/2006/main" r="Z318">
        <f>IF($D318="",0,IF(COUNTIF($D$5:$D318,$D318)=1,1,0))</f>
        <v>0.0</v>
      </c>
      <c xmlns="http://schemas.openxmlformats.org/spreadsheetml/2006/main" r="AA318" t="str">
        <f>IF(Z318=1,SUM($Z$5:$Z318),"")</f>
        <v/>
      </c>
    </row>
    <row r="319" spans="1:27">
      <c r="A319" s="22"/>
      <c xmlns="http://schemas.openxmlformats.org/spreadsheetml/2006/main" r="U319" s="23" t="str">
        <f>IF($E319="","",COUNTIF($I319:$S319,"V"))</f>
        <v/>
      </c>
      <c xmlns="http://schemas.openxmlformats.org/spreadsheetml/2006/main" r="V319" s="22" t="str">
        <f>IF($E319="","",IF(AND($T319="V",$U319&gt;0),"⚠ 勾選矛盾",IF($T319="V","○ 免調理",IF($U319=0,"⚠ 資料缺漏",IF($U319=1,"▲ 單一設備依賴","OK")))))</f>
        <v/>
      </c>
      <c xmlns="http://schemas.openxmlformats.org/spreadsheetml/2006/main" r="W319" s="18" t="str">
        <f>IF($E319="","",IF(AND($T319="V",$U319&gt;0),"「無使用調理設備」不可與設備欄同時勾選，請擇一修正",IF($T319="V","免調理半成品（外購/僅切配等），不列入設備風險評估",IF($U319=0,"未勾選任何設備，請補填或勾選「無使用調理設備」",IF($U319=1,"僅依賴1台設備，須確認故障/排修時之備援製程","無異常")))))</f>
        <v/>
      </c>
      <c xmlns="http://schemas.openxmlformats.org/spreadsheetml/2006/main" r="Z319" s="0">
        <f>IF($D319="",0,IF(COUNTIF($D$5:$D319,$D319)=1,1,0))</f>
        <v>0.0</v>
      </c>
      <c xmlns="http://schemas.openxmlformats.org/spreadsheetml/2006/main" r="AA319" s="0" t="str">
        <f>IF(Z319=1,SUM($Z$5:$Z319),"")</f>
        <v/>
      </c>
    </row>
  </sheetData>
  <autoFilter ref="A4:Y319"/>
  <mergeCells count="29">
    <mergeCell ref="A3:A4"/>
    <mergeCell ref="I2:T2"/>
    <mergeCell ref="U2:W2"/>
    <mergeCell ref="X2:Y2"/>
    <mergeCell ref="A1:Y1"/>
    <mergeCell ref="A2:H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B95:B131 C5:F5 D6:D8 D10:D12 B5:B93 D9:F9 C6:C86 A5:A319">
    <cfRule type="expression" dxfId="107" priority="45">
      <formula>$R5="⚠ 資料缺漏"</formula>
    </cfRule>
  </conditionalFormatting>
  <conditionalFormatting sqref="E6:F8">
    <cfRule type="expression" dxfId="106" priority="51">
      <formula>$R6="⚠ 資料缺漏"</formula>
    </cfRule>
  </conditionalFormatting>
  <conditionalFormatting sqref="D19:H19 D22:G22 E21 E25 D26:G26 E29 H30:H93 E88:G93 C88:C124 E20:H20 D20:D21 E23:G24 D23:D25 E27:G28 D27:D29 D30:G69 B65:B93 D88:D98 D99:H124 B95:B131 B170:B318 H26:H28 E94:H98 C133:H318 C125:H131 C65:G87 G5:G8 D9:G18 H5:H18">
    <cfRule type="expression" dxfId="105" priority="58">
      <formula>ISNUMBER(SEARCH("⚠",$V5))</formula>
    </cfRule>
  </conditionalFormatting>
  <conditionalFormatting sqref="H22:H24">
    <cfRule type="expression" dxfId="104" priority="38">
      <formula>ISNUMBER(SEARCH("⚠",$V22))</formula>
    </cfRule>
  </conditionalFormatting>
  <conditionalFormatting sqref="V95:V131 V133:V318 V5:V93">
    <cfRule type="expression" dxfId="103" priority="54">
      <formula>ISNUMBER(SEARCH("⚠",$V5))</formula>
    </cfRule>
    <cfRule type="expression" dxfId="102" priority="55">
      <formula>$V5="▲ 單一設備依賴"</formula>
    </cfRule>
    <cfRule type="expression" dxfId="101" priority="56">
      <formula>$V5="○ 免調理"</formula>
    </cfRule>
    <cfRule type="expression" dxfId="100" priority="57">
      <formula>$V5="OK"</formula>
    </cfRule>
  </conditionalFormatting>
  <conditionalFormatting sqref="B132:B169">
    <cfRule type="expression" dxfId="99" priority="32">
      <formula>$R132="⚠ 資料缺漏"</formula>
    </cfRule>
  </conditionalFormatting>
  <conditionalFormatting sqref="E132:H132">
    <cfRule type="expression" dxfId="98" priority="37">
      <formula>ISNUMBER(SEARCH("⚠",$V132))</formula>
    </cfRule>
  </conditionalFormatting>
  <conditionalFormatting sqref="V132">
    <cfRule type="expression" dxfId="97" priority="33">
      <formula>ISNUMBER(SEARCH("⚠",$V132))</formula>
    </cfRule>
    <cfRule type="expression" dxfId="96" priority="34">
      <formula>$V132="▲ 單一設備依賴"</formula>
    </cfRule>
    <cfRule type="expression" dxfId="95" priority="35">
      <formula>$V132="○ 免調理"</formula>
    </cfRule>
    <cfRule type="expression" dxfId="94" priority="36">
      <formula>$V132="OK"</formula>
    </cfRule>
  </conditionalFormatting>
  <conditionalFormatting sqref="C132:D132">
    <cfRule type="expression" dxfId="93" priority="31">
      <formula>ISNUMBER(SEARCH("⚠",$V132))</formula>
    </cfRule>
  </conditionalFormatting>
  <conditionalFormatting sqref="F21">
    <cfRule type="expression" dxfId="92" priority="29">
      <formula>$R21="⚠ 資料缺漏"</formula>
    </cfRule>
  </conditionalFormatting>
  <conditionalFormatting sqref="G21">
    <cfRule type="expression" dxfId="91" priority="30">
      <formula>ISNUMBER(SEARCH("⚠",$V21))</formula>
    </cfRule>
  </conditionalFormatting>
  <conditionalFormatting sqref="H21">
    <cfRule type="expression" dxfId="90" priority="28">
      <formula>ISNUMBER(SEARCH("⚠",$V21))</formula>
    </cfRule>
  </conditionalFormatting>
  <conditionalFormatting sqref="H29">
    <cfRule type="expression" dxfId="89" priority="22">
      <formula>ISNUMBER(SEARCH("⚠",$V29))</formula>
    </cfRule>
  </conditionalFormatting>
  <conditionalFormatting sqref="F25">
    <cfRule type="expression" dxfId="88" priority="26">
      <formula>$R25="⚠ 資料缺漏"</formula>
    </cfRule>
  </conditionalFormatting>
  <conditionalFormatting sqref="G25">
    <cfRule type="expression" dxfId="87" priority="27">
      <formula>ISNUMBER(SEARCH("⚠",$V25))</formula>
    </cfRule>
  </conditionalFormatting>
  <conditionalFormatting sqref="H25">
    <cfRule type="expression" dxfId="86" priority="25">
      <formula>ISNUMBER(SEARCH("⚠",$V25))</formula>
    </cfRule>
  </conditionalFormatting>
  <conditionalFormatting sqref="F29">
    <cfRule type="expression" dxfId="85" priority="23">
      <formula>$R29="⚠ 資料缺漏"</formula>
    </cfRule>
  </conditionalFormatting>
  <conditionalFormatting sqref="G29">
    <cfRule type="expression" dxfId="84" priority="24">
      <formula>ISNUMBER(SEARCH("⚠",$V29))</formula>
    </cfRule>
  </conditionalFormatting>
  <conditionalFormatting sqref="B94">
    <cfRule type="expression" dxfId="83" priority="16">
      <formula>$R94="⚠ 資料缺漏"</formula>
    </cfRule>
  </conditionalFormatting>
  <conditionalFormatting sqref="B94">
    <cfRule type="expression" dxfId="82" priority="21">
      <formula>ISNUMBER(SEARCH("⚠",$V94))</formula>
    </cfRule>
  </conditionalFormatting>
  <conditionalFormatting sqref="V94">
    <cfRule type="expression" dxfId="81" priority="17">
      <formula>ISNUMBER(SEARCH("⚠",$V94))</formula>
    </cfRule>
    <cfRule type="expression" dxfId="80" priority="18">
      <formula>$V94="▲ 單一設備依賴"</formula>
    </cfRule>
    <cfRule type="expression" dxfId="79" priority="19">
      <formula>$V94="○ 免調理"</formula>
    </cfRule>
    <cfRule type="expression" dxfId="78" priority="20">
      <formula>$V94="OK"</formula>
    </cfRule>
  </conditionalFormatting>
  <conditionalFormatting sqref="C144:H192">
    <cfRule type="expression" dxfId="77" priority="9">
      <formula>ISNUMBER(SEARCH("⚠",$V144))</formula>
    </cfRule>
  </conditionalFormatting>
  <conditionalFormatting sqref="V144:V221">
    <cfRule type="expression" dxfId="76" priority="5">
      <formula>ISNUMBER(SEARCH("⚠",$V144))</formula>
    </cfRule>
    <cfRule type="expression" dxfId="75" priority="6">
      <formula>$V144="▲ 單一設備依賴"</formula>
    </cfRule>
    <cfRule type="expression" dxfId="74" priority="7">
      <formula>$V144="○ 免調理"</formula>
    </cfRule>
    <cfRule type="expression" dxfId="73" priority="8">
      <formula>$V144="OK"</formula>
    </cfRule>
  </conditionalFormatting>
  <conditionalFormatting xmlns="http://schemas.openxmlformats.org/spreadsheetml/2006/main" sqref="A5:A319">
    <cfRule type="expression" dxfId="109" priority="1" stopIfTrue="1">
      <formula>AND($D5&lt;&gt;"",OR($A5="",COUNTIFS($D$5:$D$319,$D5,$A$5:$A$319,$A5)&lt;&gt;COUNTIF($D$5:$D$319,$D5)))</formula>
    </cfRule>
  </conditionalFormatting>
  <conditionalFormatting xmlns="http://schemas.openxmlformats.org/spreadsheetml/2006/main" sqref="Y5:Y319">
    <cfRule type="expression" dxfId="108" priority="2" stopIfTrue="1">
      <formula>AND($E5&lt;&gt;"",$Y5="")</formula>
    </cfRule>
  </conditionalFormatting>
  <conditionalFormatting xmlns="http://schemas.openxmlformats.org/spreadsheetml/2006/main" sqref="G5:G319">
    <cfRule type="expression" dxfId="108" priority="3" stopIfTrue="1">
      <formula>AND($E5&lt;&gt;"",$F5&lt;&gt;"",$G5="")</formula>
    </cfRule>
  </conditionalFormatting>
  <dataValidations xmlns="http://schemas.openxmlformats.org/spreadsheetml/2006/main" count="4">
    <dataValidation type="list" sqref="B5:B319" allowBlank="1" showDropDown="0" showErrorMessage="1" errorStyle="stop" errorTitle="請使用下拉選單" error="請選擇選單中的項目，或清除儲存格。">
      <formula1>"大溪,新豐,長家,晉欣"</formula1>
    </dataValidation>
    <dataValidation type="list" sqref="G5:G319" allowBlank="1" showDropDown="0" showErrorMessage="1" errorStyle="stop" errorTitle="請使用下拉選單" error="請選擇選單中的項目，或清除儲存格。">
      <formula1>"公克,個"</formula1>
    </dataValidation>
    <dataValidation type="list" sqref="I5:T319" allowBlank="1" showDropDown="0" showErrorMessage="1" errorStyle="stop" errorTitle="請使用下拉選單" error="請選擇選單中的項目，或清除儲存格。">
      <formula1>"V"</formula1>
    </dataValidation>
    <dataValidation type="list" sqref="A5:A319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44A"/>
  </sheetPr>
  <dimension ref="A1:AA319"/>
  <sheetViews xmlns="http://schemas.openxmlformats.org/spreadsheetml/2006/main">
    <sheetView showGridLines="0" zoomScale="85" zoomScaleNormal="85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10.08984375" customWidth="1"/>
    <col min="9" max="19" width="7" customWidth="1"/>
    <col min="20" max="20" width="9" customWidth="1"/>
    <col min="21" max="21" width="7" customWidth="1"/>
    <col min="22" max="22" width="13" customWidth="1"/>
    <col min="23" max="23" width="45" bestFit="1" customWidth="1"/>
    <col min="24" max="24" width="60.7265625" bestFit="1" customWidth="1"/>
    <col min="25" max="25" width="12" customWidth="1"/>
    <col min="26" max="26" width="1" customWidth="1" hidden="1"/>
    <col min="27" max="27" width="1.08984375" customWidth="1" hidden="1"/>
  </cols>
  <sheetData>
    <row r="1" spans="1:27" ht="30" customHeight="1">
      <c r="A1" s="60" t="s">
        <v>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7" ht="19.5" customHeight="1">
      <c r="A2" s="68" t="s">
        <v>43</v>
      </c>
      <c r="B2" s="68"/>
      <c r="C2" s="68"/>
      <c r="D2" s="68"/>
      <c r="E2" s="68"/>
      <c r="F2" s="68"/>
      <c r="G2" s="68"/>
      <c r="H2" s="69"/>
      <c r="I2" s="66" t="s">
        <v>44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45</v>
      </c>
      <c r="V2" s="66"/>
      <c r="W2" s="66"/>
      <c r="X2" s="66" t="s">
        <v>46</v>
      </c>
      <c r="Y2" s="66"/>
    </row>
    <row r="3" spans="1:27" ht="24" customHeight="1">
      <c r="A3" s="64" t="s">
        <v>743</v>
      </c>
      <c r="B3" s="61" t="s">
        <v>47</v>
      </c>
      <c r="C3" s="61" t="s">
        <v>48</v>
      </c>
      <c r="D3" s="61" t="s">
        <v>49</v>
      </c>
      <c r="E3" s="61" t="s">
        <v>50</v>
      </c>
      <c r="F3" s="70" t="s">
        <v>51</v>
      </c>
      <c r="G3" s="70"/>
      <c r="H3" s="61" t="s">
        <v>52</v>
      </c>
      <c r="I3" s="62" t="s">
        <v>53</v>
      </c>
      <c r="J3" s="62" t="s">
        <v>54</v>
      </c>
      <c r="K3" s="62" t="s">
        <v>55</v>
      </c>
      <c r="L3" s="62" t="s">
        <v>56</v>
      </c>
      <c r="M3" s="62" t="s">
        <v>57</v>
      </c>
      <c r="N3" s="62" t="s">
        <v>58</v>
      </c>
      <c r="O3" s="62" t="s">
        <v>59</v>
      </c>
      <c r="P3" s="62" t="s">
        <v>60</v>
      </c>
      <c r="Q3" s="62" t="s">
        <v>61</v>
      </c>
      <c r="R3" s="62" t="s">
        <v>62</v>
      </c>
      <c r="S3" s="62" t="s">
        <v>63</v>
      </c>
      <c r="T3" s="63" t="s">
        <v>64</v>
      </c>
      <c r="U3" s="61" t="s">
        <v>65</v>
      </c>
      <c r="V3" s="61" t="s">
        <v>66</v>
      </c>
      <c r="W3" s="61" t="s">
        <v>67</v>
      </c>
      <c r="X3" s="61" t="s">
        <v>68</v>
      </c>
      <c r="Y3" s="61" t="s">
        <v>69</v>
      </c>
      <c r="Z3" s="20" t="s">
        <v>70</v>
      </c>
      <c r="AA3" s="20" t="s">
        <v>71</v>
      </c>
    </row>
    <row r="4" spans="1:27" ht="18" customHeight="1">
      <c r="A4" s="65"/>
      <c r="B4" s="61"/>
      <c r="C4" s="61"/>
      <c r="D4" s="61"/>
      <c r="E4" s="61"/>
      <c r="F4" s="21" t="s">
        <v>72</v>
      </c>
      <c r="G4" s="21" t="s">
        <v>73</v>
      </c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61"/>
      <c r="V4" s="61"/>
      <c r="W4" s="61"/>
      <c r="X4" s="61"/>
      <c r="Y4" s="61"/>
    </row>
    <row r="5" spans="1:27">
      <c r="A5" s="22" t="s">
        <v>744</v>
      </c>
      <c r="B5" s="22" t="s">
        <v>127</v>
      </c>
      <c r="C5" s="22" t="s">
        <v>620</v>
      </c>
      <c r="D5" s="22" t="s">
        <v>746</v>
      </c>
      <c r="E5" s="22" t="s">
        <v>177</v>
      </c>
      <c r="F5" s="23">
        <v>0.3</v>
      </c>
      <c r="G5" s="57" t="s">
        <v>75</v>
      </c>
      <c r="H5" s="24">
        <v>97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 t="s">
        <v>438</v>
      </c>
      <c xmlns="http://schemas.openxmlformats.org/spreadsheetml/2006/main" r="U5" s="23">
        <f t="shared" ref="U5:U64" si="0">IF($E5="","",COUNTIF($I5:$S5,"V"))</f>
        <v>0.0</v>
      </c>
      <c xmlns="http://schemas.openxmlformats.org/spreadsheetml/2006/main" r="V5" s="22" t="str">
        <f t="shared" ref="V5:V64" si="1">IF($E5="","",IF(AND($T5="V",$U5&gt;0),"⚠ 勾選矛盾",IF($T5="V","○ 免調理",IF($U5=0,"⚠ 資料缺漏",IF($U5=1,"▲ 單一設備依賴","OK")))))</f>
        <v>○ 免調理</v>
      </c>
      <c xmlns="http://schemas.openxmlformats.org/spreadsheetml/2006/main" r="W5" s="18" t="str">
        <f t="shared" ref="W5:W64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免調理半成品（外購/僅切配等），不列入設備風險評估</v>
      </c>
      <c r="X5" s="22" t="s">
        <v>374</v>
      </c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744</v>
      </c>
      <c r="B6" s="22" t="s">
        <v>127</v>
      </c>
      <c r="C6" s="22" t="s">
        <v>620</v>
      </c>
      <c r="D6" s="22" t="s">
        <v>175</v>
      </c>
      <c r="E6" s="22" t="s">
        <v>178</v>
      </c>
      <c r="F6" s="23">
        <v>3</v>
      </c>
      <c r="G6" s="57" t="s">
        <v>75</v>
      </c>
      <c r="H6" s="24">
        <v>97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438</v>
      </c>
      <c xmlns="http://schemas.openxmlformats.org/spreadsheetml/2006/main" r="U6" s="23">
        <f t="shared" si="0"/>
        <v>0.0</v>
      </c>
      <c xmlns="http://schemas.openxmlformats.org/spreadsheetml/2006/main" r="V6" s="22" t="str">
        <f t="shared" si="1"/>
        <v>○ 免調理</v>
      </c>
      <c xmlns="http://schemas.openxmlformats.org/spreadsheetml/2006/main" r="W6" s="18" t="str">
        <f t="shared" si="2"/>
        <v>免調理半成品（外購/僅切配等），不列入設備風險評估</v>
      </c>
      <c r="X6" s="22" t="s">
        <v>374</v>
      </c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744</v>
      </c>
      <c r="B7" s="22" t="s">
        <v>127</v>
      </c>
      <c r="C7" s="22" t="s">
        <v>620</v>
      </c>
      <c r="D7" s="22" t="s">
        <v>175</v>
      </c>
      <c r="E7" s="22" t="s">
        <v>179</v>
      </c>
      <c r="F7" s="23">
        <v>18</v>
      </c>
      <c r="G7" s="57" t="s">
        <v>75</v>
      </c>
      <c r="H7" s="24">
        <v>90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">
        <v>438</v>
      </c>
      <c xmlns="http://schemas.openxmlformats.org/spreadsheetml/2006/main" r="U7" s="23">
        <f t="shared" si="0"/>
        <v>0.0</v>
      </c>
      <c xmlns="http://schemas.openxmlformats.org/spreadsheetml/2006/main" r="V7" s="22" t="str">
        <f t="shared" si="1"/>
        <v>○ 免調理</v>
      </c>
      <c xmlns="http://schemas.openxmlformats.org/spreadsheetml/2006/main" r="W7" s="18" t="str">
        <f t="shared" si="2"/>
        <v>免調理半成品（外購/僅切配等），不列入設備風險評估</v>
      </c>
      <c r="X7" s="22" t="s">
        <v>374</v>
      </c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744</v>
      </c>
      <c r="B8" s="22" t="s">
        <v>127</v>
      </c>
      <c r="C8" s="22" t="s">
        <v>620</v>
      </c>
      <c r="D8" s="22" t="s">
        <v>175</v>
      </c>
      <c r="E8" s="22" t="s">
        <v>180</v>
      </c>
      <c r="F8" s="23">
        <v>260</v>
      </c>
      <c r="G8" s="57" t="s">
        <v>75</v>
      </c>
      <c r="H8" s="24">
        <v>53</v>
      </c>
      <c r="I8" s="25"/>
      <c r="J8" s="25"/>
      <c r="K8" s="25"/>
      <c r="L8" s="25"/>
      <c r="M8" s="25"/>
      <c r="N8" s="25"/>
      <c r="O8" s="25" t="s">
        <v>76</v>
      </c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 t="s">
        <v>374</v>
      </c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744</v>
      </c>
      <c r="B9" s="22" t="s">
        <v>127</v>
      </c>
      <c r="C9" s="22" t="s">
        <v>620</v>
      </c>
      <c r="D9" s="22" t="s">
        <v>175</v>
      </c>
      <c r="E9" s="22" t="s">
        <v>190</v>
      </c>
      <c r="F9" s="23">
        <v>1</v>
      </c>
      <c r="G9" s="57" t="s">
        <v>77</v>
      </c>
      <c r="H9" s="24">
        <v>100</v>
      </c>
      <c r="I9" s="25" t="s">
        <v>76</v>
      </c>
      <c r="J9" s="25"/>
      <c r="K9" s="25" t="s">
        <v>76</v>
      </c>
      <c r="L9" s="25"/>
      <c r="M9" s="25"/>
      <c r="N9" s="25"/>
      <c r="O9" s="25" t="s">
        <v>76</v>
      </c>
      <c r="P9" s="25"/>
      <c r="Q9" s="25"/>
      <c r="R9" s="25"/>
      <c r="S9" s="25"/>
      <c r="T9" s="26"/>
      <c xmlns="http://schemas.openxmlformats.org/spreadsheetml/2006/main" r="U9" s="23">
        <f t="shared" si="0"/>
        <v>3.0</v>
      </c>
      <c xmlns="http://schemas.openxmlformats.org/spreadsheetml/2006/main" r="V9" s="22" t="str">
        <f t="shared" si="1"/>
        <v>OK</v>
      </c>
      <c xmlns="http://schemas.openxmlformats.org/spreadsheetml/2006/main" r="W9" s="18" t="str">
        <f t="shared" si="2"/>
        <v>無異常</v>
      </c>
      <c r="X9" s="22" t="s">
        <v>374</v>
      </c>
      <c r="Y9" s="22"/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744</v>
      </c>
      <c r="B10" s="22" t="s">
        <v>127</v>
      </c>
      <c r="C10" s="22" t="s">
        <v>620</v>
      </c>
      <c r="D10" s="22" t="s">
        <v>175</v>
      </c>
      <c r="E10" s="22" t="s">
        <v>181</v>
      </c>
      <c r="F10" s="23">
        <v>16</v>
      </c>
      <c r="G10" s="57" t="s">
        <v>75</v>
      </c>
      <c r="H10" s="24">
        <v>54</v>
      </c>
      <c r="I10" s="25"/>
      <c r="J10" s="25"/>
      <c r="K10" s="25"/>
      <c r="L10" s="25"/>
      <c r="M10" s="25"/>
      <c r="N10" s="25"/>
      <c r="O10" s="25" t="s">
        <v>76</v>
      </c>
      <c r="P10" s="25"/>
      <c r="Q10" s="25"/>
      <c r="R10" s="25"/>
      <c r="S10" s="25"/>
      <c r="T10" s="26"/>
      <c xmlns="http://schemas.openxmlformats.org/spreadsheetml/2006/main" r="U10" s="23">
        <f t="shared" si="0"/>
        <v>1.0</v>
      </c>
      <c xmlns="http://schemas.openxmlformats.org/spreadsheetml/2006/main" r="V10" s="22" t="str">
        <f t="shared" si="1"/>
        <v>▲ 單一設備依賴</v>
      </c>
      <c xmlns="http://schemas.openxmlformats.org/spreadsheetml/2006/main" r="W10" s="18" t="str">
        <f t="shared" si="2"/>
        <v>僅依賴1台設備，須確認故障/排修時之備援製程</v>
      </c>
      <c r="X10" s="22" t="s">
        <v>374</v>
      </c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744</v>
      </c>
      <c r="B11" s="22" t="s">
        <v>127</v>
      </c>
      <c r="C11" s="22" t="s">
        <v>620</v>
      </c>
      <c r="D11" s="22" t="s">
        <v>175</v>
      </c>
      <c r="E11" s="22" t="s">
        <v>182</v>
      </c>
      <c r="F11" s="23">
        <v>2</v>
      </c>
      <c r="G11" s="57" t="s">
        <v>75</v>
      </c>
      <c r="H11" s="24">
        <v>70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47" t="s">
        <v>438</v>
      </c>
      <c xmlns="http://schemas.openxmlformats.org/spreadsheetml/2006/main" r="U11" s="23">
        <f t="shared" si="0"/>
        <v>0.0</v>
      </c>
      <c xmlns="http://schemas.openxmlformats.org/spreadsheetml/2006/main" r="V11" s="22" t="str">
        <f t="shared" si="1"/>
        <v>○ 免調理</v>
      </c>
      <c xmlns="http://schemas.openxmlformats.org/spreadsheetml/2006/main" r="W11" s="18" t="str">
        <f t="shared" si="2"/>
        <v>免調理半成品（外購/僅切配等），不列入設備風險評估</v>
      </c>
      <c r="X11" s="22" t="s">
        <v>374</v>
      </c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744</v>
      </c>
      <c r="B12" s="22" t="s">
        <v>127</v>
      </c>
      <c r="C12" s="22" t="s">
        <v>620</v>
      </c>
      <c r="D12" s="22" t="s">
        <v>175</v>
      </c>
      <c r="E12" s="22" t="s">
        <v>183</v>
      </c>
      <c r="F12" s="23">
        <v>2</v>
      </c>
      <c r="G12" s="57" t="s">
        <v>75</v>
      </c>
      <c r="H12" s="24">
        <v>84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">
        <v>438</v>
      </c>
      <c xmlns="http://schemas.openxmlformats.org/spreadsheetml/2006/main" r="U12" s="23">
        <f t="shared" si="0"/>
        <v>0.0</v>
      </c>
      <c xmlns="http://schemas.openxmlformats.org/spreadsheetml/2006/main" r="V12" s="22" t="str">
        <f t="shared" si="1"/>
        <v>○ 免調理</v>
      </c>
      <c xmlns="http://schemas.openxmlformats.org/spreadsheetml/2006/main" r="W12" s="18" t="str">
        <f t="shared" si="2"/>
        <v>免調理半成品（外購/僅切配等），不列入設備風險評估</v>
      </c>
      <c r="X12" s="22" t="s">
        <v>374</v>
      </c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745</v>
      </c>
      <c r="B13" s="22" t="s">
        <v>127</v>
      </c>
      <c r="C13" s="22" t="s">
        <v>620</v>
      </c>
      <c r="D13" s="22" t="s">
        <v>176</v>
      </c>
      <c r="E13" s="22" t="s">
        <v>184</v>
      </c>
      <c r="F13" s="23">
        <v>225</v>
      </c>
      <c r="G13" s="57" t="s">
        <v>75</v>
      </c>
      <c r="H13" s="24">
        <v>94</v>
      </c>
      <c r="I13" s="25" t="s">
        <v>76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 t="s">
        <v>373</v>
      </c>
      <c r="Y13" s="22"/>
      <c xmlns="http://schemas.openxmlformats.org/spreadsheetml/2006/main" r="Z13">
        <f>IF($D13="",0,IF(COUNTIF($D$5:$D13,$D13)=1,1,0))</f>
        <v>1.0</v>
      </c>
      <c xmlns="http://schemas.openxmlformats.org/spreadsheetml/2006/main" r="AA13">
        <f>IF(Z13=1,SUM($Z$5:$Z13),"")</f>
        <v>2.0</v>
      </c>
    </row>
    <row r="14" spans="1:27">
      <c r="A14" s="22" t="s">
        <v>745</v>
      </c>
      <c r="B14" s="22" t="s">
        <v>127</v>
      </c>
      <c r="C14" s="22" t="s">
        <v>620</v>
      </c>
      <c r="D14" s="22" t="s">
        <v>176</v>
      </c>
      <c r="E14" s="22" t="s">
        <v>185</v>
      </c>
      <c r="F14" s="23">
        <v>21</v>
      </c>
      <c r="G14" s="57" t="s">
        <v>75</v>
      </c>
      <c r="H14" s="24">
        <v>52</v>
      </c>
      <c r="I14" s="25"/>
      <c r="J14" s="25"/>
      <c r="K14" s="25" t="s">
        <v>76</v>
      </c>
      <c r="L14" s="25"/>
      <c r="M14" s="25"/>
      <c r="N14" s="25"/>
      <c r="O14" s="25"/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 t="s">
        <v>373</v>
      </c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745</v>
      </c>
      <c r="B15" s="22" t="s">
        <v>127</v>
      </c>
      <c r="C15" s="22" t="s">
        <v>620</v>
      </c>
      <c r="D15" s="22" t="s">
        <v>176</v>
      </c>
      <c r="E15" s="22" t="s">
        <v>186</v>
      </c>
      <c r="F15" s="23">
        <v>43</v>
      </c>
      <c r="G15" s="57" t="s">
        <v>75</v>
      </c>
      <c r="H15" s="24">
        <v>92</v>
      </c>
      <c r="I15" s="25"/>
      <c r="J15" s="25"/>
      <c r="K15" s="25" t="s">
        <v>438</v>
      </c>
      <c r="L15" s="25" t="s">
        <v>76</v>
      </c>
      <c r="M15" s="25"/>
      <c r="N15" s="25"/>
      <c r="O15" s="25"/>
      <c r="P15" s="25"/>
      <c r="Q15" s="25"/>
      <c r="R15" s="25"/>
      <c r="S15" s="25"/>
      <c r="T15" s="26"/>
      <c xmlns="http://schemas.openxmlformats.org/spreadsheetml/2006/main" r="U15" s="23">
        <f t="shared" si="0"/>
        <v>2.0</v>
      </c>
      <c xmlns="http://schemas.openxmlformats.org/spreadsheetml/2006/main" r="V15" s="22" t="str">
        <f t="shared" si="1"/>
        <v>OK</v>
      </c>
      <c xmlns="http://schemas.openxmlformats.org/spreadsheetml/2006/main" r="W15" s="18" t="str">
        <f t="shared" si="2"/>
        <v>無異常</v>
      </c>
      <c r="X15" s="22" t="s">
        <v>373</v>
      </c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745</v>
      </c>
      <c r="B16" s="22" t="s">
        <v>127</v>
      </c>
      <c r="C16" s="22" t="s">
        <v>620</v>
      </c>
      <c r="D16" s="22" t="s">
        <v>176</v>
      </c>
      <c r="E16" s="22" t="s">
        <v>187</v>
      </c>
      <c r="F16" s="23">
        <v>45</v>
      </c>
      <c r="G16" s="57" t="s">
        <v>75</v>
      </c>
      <c r="H16" s="24">
        <v>55</v>
      </c>
      <c r="I16" s="25"/>
      <c r="J16" s="25"/>
      <c r="K16" s="25"/>
      <c r="L16" s="25"/>
      <c r="M16" s="25"/>
      <c r="N16" s="25"/>
      <c r="O16" s="25" t="s">
        <v>76</v>
      </c>
      <c r="P16" s="25"/>
      <c r="Q16" s="25"/>
      <c r="R16" s="25"/>
      <c r="S16" s="25"/>
      <c r="T16" s="26"/>
      <c xmlns="http://schemas.openxmlformats.org/spreadsheetml/2006/main" r="U16" s="23">
        <f t="shared" si="0"/>
        <v>1.0</v>
      </c>
      <c xmlns="http://schemas.openxmlformats.org/spreadsheetml/2006/main" r="V16" s="22" t="str">
        <f t="shared" si="1"/>
        <v>▲ 單一設備依賴</v>
      </c>
      <c xmlns="http://schemas.openxmlformats.org/spreadsheetml/2006/main" r="W16" s="18" t="str">
        <f t="shared" si="2"/>
        <v>僅依賴1台設備，須確認故障/排修時之備援製程</v>
      </c>
      <c r="X16" s="22" t="s">
        <v>373</v>
      </c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745</v>
      </c>
      <c r="B17" s="22" t="s">
        <v>127</v>
      </c>
      <c r="C17" s="22" t="s">
        <v>620</v>
      </c>
      <c r="D17" s="22" t="s">
        <v>176</v>
      </c>
      <c r="E17" s="22" t="s">
        <v>188</v>
      </c>
      <c r="F17" s="23">
        <v>7</v>
      </c>
      <c r="G17" s="57" t="s">
        <v>75</v>
      </c>
      <c r="H17" s="24">
        <v>46</v>
      </c>
      <c r="I17" s="25"/>
      <c r="J17" s="25"/>
      <c r="K17" s="25"/>
      <c r="L17" s="25"/>
      <c r="M17" s="25"/>
      <c r="N17" s="25"/>
      <c r="O17" s="25" t="s">
        <v>76</v>
      </c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1"/>
        <v>▲ 單一設備依賴</v>
      </c>
      <c xmlns="http://schemas.openxmlformats.org/spreadsheetml/2006/main" r="W17" s="18" t="str">
        <f t="shared" si="2"/>
        <v>僅依賴1台設備，須確認故障/排修時之備援製程</v>
      </c>
      <c r="X17" s="22" t="s">
        <v>373</v>
      </c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745</v>
      </c>
      <c r="B18" s="22" t="s">
        <v>127</v>
      </c>
      <c r="C18" s="22" t="s">
        <v>620</v>
      </c>
      <c r="D18" s="22" t="s">
        <v>176</v>
      </c>
      <c r="E18" s="22" t="s">
        <v>182</v>
      </c>
      <c r="F18" s="23">
        <v>2</v>
      </c>
      <c r="G18" s="57" t="s">
        <v>75</v>
      </c>
      <c r="H18" s="24">
        <v>70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47" t="s">
        <v>438</v>
      </c>
      <c xmlns="http://schemas.openxmlformats.org/spreadsheetml/2006/main" r="U18" s="23">
        <f t="shared" si="0"/>
        <v>0.0</v>
      </c>
      <c xmlns="http://schemas.openxmlformats.org/spreadsheetml/2006/main" r="V18" s="22" t="str">
        <f t="shared" si="1"/>
        <v>○ 免調理</v>
      </c>
      <c xmlns="http://schemas.openxmlformats.org/spreadsheetml/2006/main" r="W18" s="18" t="str">
        <f t="shared" si="2"/>
        <v>免調理半成品（外購/僅切配等），不列入設備風險評估</v>
      </c>
      <c r="X18" s="22" t="s">
        <v>373</v>
      </c>
      <c r="Y18" s="22"/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745</v>
      </c>
      <c r="B19" s="22" t="s">
        <v>127</v>
      </c>
      <c r="C19" s="22" t="s">
        <v>620</v>
      </c>
      <c r="D19" s="22" t="s">
        <v>176</v>
      </c>
      <c r="E19" s="22" t="s">
        <v>189</v>
      </c>
      <c r="F19" s="23">
        <v>0.3</v>
      </c>
      <c r="G19" s="57" t="s">
        <v>75</v>
      </c>
      <c r="H19" s="24">
        <v>97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 t="s">
        <v>438</v>
      </c>
      <c xmlns="http://schemas.openxmlformats.org/spreadsheetml/2006/main" r="U19" s="23">
        <f t="shared" si="0"/>
        <v>0.0</v>
      </c>
      <c xmlns="http://schemas.openxmlformats.org/spreadsheetml/2006/main" r="V19" s="22" t="str">
        <f t="shared" si="1"/>
        <v>○ 免調理</v>
      </c>
      <c xmlns="http://schemas.openxmlformats.org/spreadsheetml/2006/main" r="W19" s="18" t="str">
        <f t="shared" si="2"/>
        <v>免調理半成品（外購/僅切配等），不列入設備風險評估</v>
      </c>
      <c r="X19" s="22" t="s">
        <v>373</v>
      </c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745</v>
      </c>
      <c r="B20" s="22" t="s">
        <v>127</v>
      </c>
      <c r="C20" s="27" t="s">
        <v>191</v>
      </c>
      <c r="D20" s="22" t="s">
        <v>293</v>
      </c>
      <c r="E20" s="22" t="s">
        <v>192</v>
      </c>
      <c r="F20" s="23">
        <v>212</v>
      </c>
      <c r="G20" s="28" t="s">
        <v>75</v>
      </c>
      <c r="H20" s="24">
        <v>91</v>
      </c>
      <c r="I20" s="25" t="s">
        <v>76</v>
      </c>
      <c r="J20" s="25"/>
      <c r="K20" s="25"/>
      <c r="L20" s="25"/>
      <c r="M20" s="25"/>
      <c r="N20" s="25"/>
      <c r="O20" s="25" t="s">
        <v>438</v>
      </c>
      <c r="P20" s="25"/>
      <c r="Q20" s="25"/>
      <c r="R20" s="25"/>
      <c r="S20" s="25"/>
      <c r="T20" s="26"/>
      <c xmlns="http://schemas.openxmlformats.org/spreadsheetml/2006/main" r="U20" s="23">
        <f t="shared" si="0"/>
        <v>2.0</v>
      </c>
      <c xmlns="http://schemas.openxmlformats.org/spreadsheetml/2006/main" r="V20" s="22" t="str">
        <f t="shared" si="1"/>
        <v>OK</v>
      </c>
      <c xmlns="http://schemas.openxmlformats.org/spreadsheetml/2006/main" r="W20" s="18" t="str">
        <f t="shared" si="2"/>
        <v>無異常</v>
      </c>
      <c r="X20" s="22" t="s">
        <v>368</v>
      </c>
      <c r="Y20" s="22"/>
      <c xmlns="http://schemas.openxmlformats.org/spreadsheetml/2006/main" r="Z20">
        <f>IF($D20="",0,IF(COUNTIF($D$5:$D20,$D20)=1,1,0))</f>
        <v>1.0</v>
      </c>
      <c xmlns="http://schemas.openxmlformats.org/spreadsheetml/2006/main" r="AA20">
        <f>IF(Z20=1,SUM($Z$5:$Z20),"")</f>
        <v>3.0</v>
      </c>
    </row>
    <row r="21" spans="1:27">
      <c r="A21" s="22" t="s">
        <v>745</v>
      </c>
      <c r="B21" s="22" t="s">
        <v>127</v>
      </c>
      <c r="C21" s="27" t="s">
        <v>191</v>
      </c>
      <c r="D21" s="22" t="s">
        <v>293</v>
      </c>
      <c r="E21" s="22" t="s">
        <v>219</v>
      </c>
      <c r="F21" s="23">
        <v>3</v>
      </c>
      <c r="G21" s="28" t="s">
        <v>77</v>
      </c>
      <c r="H21" s="24">
        <v>1200</v>
      </c>
      <c r="I21" s="25"/>
      <c r="J21" s="25"/>
      <c r="K21" s="25" t="s">
        <v>76</v>
      </c>
      <c r="L21" s="25"/>
      <c r="M21" s="25"/>
      <c r="N21" s="25"/>
      <c r="O21" s="25"/>
      <c r="P21" s="25"/>
      <c r="Q21" s="25"/>
      <c r="R21" s="25"/>
      <c r="S21" s="25"/>
      <c r="T21" s="26"/>
      <c xmlns="http://schemas.openxmlformats.org/spreadsheetml/2006/main" r="U21" s="23">
        <f t="shared" si="0"/>
        <v>1.0</v>
      </c>
      <c xmlns="http://schemas.openxmlformats.org/spreadsheetml/2006/main" r="V21" s="22" t="str">
        <f t="shared" si="1"/>
        <v>▲ 單一設備依賴</v>
      </c>
      <c xmlns="http://schemas.openxmlformats.org/spreadsheetml/2006/main" r="W21" s="18" t="str">
        <f t="shared" si="2"/>
        <v>僅依賴1台設備，須確認故障/排修時之備援製程</v>
      </c>
      <c r="X21" s="22" t="s">
        <v>368</v>
      </c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745</v>
      </c>
      <c r="B22" s="22" t="s">
        <v>127</v>
      </c>
      <c r="C22" s="27" t="s">
        <v>191</v>
      </c>
      <c r="D22" s="22" t="s">
        <v>293</v>
      </c>
      <c r="E22" s="22" t="s">
        <v>193</v>
      </c>
      <c r="F22" s="23">
        <v>24</v>
      </c>
      <c r="G22" s="28" t="s">
        <v>75</v>
      </c>
      <c r="H22" s="24">
        <v>66</v>
      </c>
      <c r="I22" s="25"/>
      <c r="J22" s="25"/>
      <c r="K22" s="25"/>
      <c r="L22" s="25"/>
      <c r="M22" s="25"/>
      <c r="N22" s="25"/>
      <c r="O22" s="25" t="s">
        <v>76</v>
      </c>
      <c r="P22" s="25"/>
      <c r="Q22" s="25"/>
      <c r="R22" s="25"/>
      <c r="S22" s="25"/>
      <c r="T22" s="26"/>
      <c xmlns="http://schemas.openxmlformats.org/spreadsheetml/2006/main" r="U22" s="23">
        <f t="shared" si="0"/>
        <v>1.0</v>
      </c>
      <c xmlns="http://schemas.openxmlformats.org/spreadsheetml/2006/main" r="V22" s="22" t="str">
        <f t="shared" si="1"/>
        <v>▲ 單一設備依賴</v>
      </c>
      <c xmlns="http://schemas.openxmlformats.org/spreadsheetml/2006/main" r="W22" s="18" t="str">
        <f t="shared" si="2"/>
        <v>僅依賴1台設備，須確認故障/排修時之備援製程</v>
      </c>
      <c r="X22" s="22" t="s">
        <v>368</v>
      </c>
      <c r="Y22" s="22"/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 t="s">
        <v>745</v>
      </c>
      <c r="B23" s="22" t="s">
        <v>127</v>
      </c>
      <c r="C23" s="27" t="s">
        <v>191</v>
      </c>
      <c r="D23" s="22" t="s">
        <v>293</v>
      </c>
      <c r="E23" s="22" t="s">
        <v>194</v>
      </c>
      <c r="F23" s="23">
        <v>18</v>
      </c>
      <c r="G23" s="28" t="s">
        <v>75</v>
      </c>
      <c r="H23" s="24">
        <v>58.4</v>
      </c>
      <c r="I23" s="25"/>
      <c r="J23" s="25"/>
      <c r="K23" s="25"/>
      <c r="L23" s="25"/>
      <c r="M23" s="25"/>
      <c r="N23" s="25"/>
      <c r="O23" s="25" t="s">
        <v>76</v>
      </c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 t="s">
        <v>368</v>
      </c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745</v>
      </c>
      <c r="B24" s="22" t="s">
        <v>127</v>
      </c>
      <c r="C24" s="27" t="s">
        <v>191</v>
      </c>
      <c r="D24" s="22" t="s">
        <v>293</v>
      </c>
      <c r="E24" s="22" t="s">
        <v>195</v>
      </c>
      <c r="F24" s="23">
        <v>40</v>
      </c>
      <c r="G24" s="28" t="s">
        <v>75</v>
      </c>
      <c r="H24" s="24">
        <v>51</v>
      </c>
      <c r="I24" s="25"/>
      <c r="J24" s="25"/>
      <c r="K24" s="25"/>
      <c r="L24" s="25"/>
      <c r="M24" s="25"/>
      <c r="N24" s="25"/>
      <c r="O24" s="25" t="s">
        <v>76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 t="s">
        <v>368</v>
      </c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745</v>
      </c>
      <c r="B25" s="22" t="s">
        <v>127</v>
      </c>
      <c r="C25" s="27" t="s">
        <v>191</v>
      </c>
      <c r="D25" s="22" t="s">
        <v>293</v>
      </c>
      <c r="E25" s="22" t="s">
        <v>220</v>
      </c>
      <c r="F25" s="23">
        <v>3</v>
      </c>
      <c r="G25" s="28" t="s">
        <v>77</v>
      </c>
      <c r="H25" s="24">
        <v>600</v>
      </c>
      <c r="I25" s="25"/>
      <c r="J25" s="25"/>
      <c r="K25" s="25" t="s">
        <v>76</v>
      </c>
      <c r="L25" s="25"/>
      <c r="M25" s="25"/>
      <c r="N25" s="25"/>
      <c r="O25" s="25"/>
      <c r="P25" s="25"/>
      <c r="Q25" s="25"/>
      <c r="R25" s="25"/>
      <c r="S25" s="25"/>
      <c r="T25" s="26"/>
      <c xmlns="http://schemas.openxmlformats.org/spreadsheetml/2006/main" r="U25" s="23">
        <f t="shared" si="0"/>
        <v>1.0</v>
      </c>
      <c xmlns="http://schemas.openxmlformats.org/spreadsheetml/2006/main" r="V25" s="22" t="str">
        <f t="shared" si="1"/>
        <v>▲ 單一設備依賴</v>
      </c>
      <c xmlns="http://schemas.openxmlformats.org/spreadsheetml/2006/main" r="W25" s="18" t="str">
        <f t="shared" si="2"/>
        <v>僅依賴1台設備，須確認故障/排修時之備援製程</v>
      </c>
      <c r="X25" s="22" t="s">
        <v>368</v>
      </c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745</v>
      </c>
      <c r="B26" s="22" t="s">
        <v>127</v>
      </c>
      <c r="C26" s="27" t="s">
        <v>191</v>
      </c>
      <c r="D26" s="22" t="s">
        <v>293</v>
      </c>
      <c r="E26" s="22" t="s">
        <v>196</v>
      </c>
      <c r="F26" s="23">
        <v>35</v>
      </c>
      <c r="G26" s="28" t="s">
        <v>75</v>
      </c>
      <c r="H26" s="24">
        <v>90</v>
      </c>
      <c r="I26" s="25"/>
      <c r="J26" s="25"/>
      <c r="K26" s="25" t="s">
        <v>76</v>
      </c>
      <c r="L26" s="25"/>
      <c r="M26" s="25"/>
      <c r="N26" s="25"/>
      <c r="O26" s="25"/>
      <c r="P26" s="25"/>
      <c r="Q26" s="25"/>
      <c r="R26" s="25"/>
      <c r="S26" s="25"/>
      <c r="T26" s="26"/>
      <c xmlns="http://schemas.openxmlformats.org/spreadsheetml/2006/main" r="U26" s="23">
        <f t="shared" si="0"/>
        <v>1.0</v>
      </c>
      <c xmlns="http://schemas.openxmlformats.org/spreadsheetml/2006/main" r="V26" s="22" t="str">
        <f t="shared" si="1"/>
        <v>▲ 單一設備依賴</v>
      </c>
      <c xmlns="http://schemas.openxmlformats.org/spreadsheetml/2006/main" r="W26" s="18" t="str">
        <f t="shared" si="2"/>
        <v>僅依賴1台設備，須確認故障/排修時之備援製程</v>
      </c>
      <c r="X26" s="22" t="s">
        <v>368</v>
      </c>
      <c r="Y26" s="22"/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745</v>
      </c>
      <c r="B27" s="22" t="s">
        <v>127</v>
      </c>
      <c r="C27" s="27" t="s">
        <v>191</v>
      </c>
      <c r="D27" s="22" t="s">
        <v>293</v>
      </c>
      <c r="E27" s="22" t="s">
        <v>197</v>
      </c>
      <c r="F27" s="23">
        <v>12</v>
      </c>
      <c r="G27" s="28" t="s">
        <v>75</v>
      </c>
      <c r="H27" s="24">
        <v>53</v>
      </c>
      <c r="I27" s="25"/>
      <c r="J27" s="25"/>
      <c r="K27" s="25"/>
      <c r="L27" s="25"/>
      <c r="M27" s="25"/>
      <c r="N27" s="25"/>
      <c r="O27" s="25" t="s">
        <v>76</v>
      </c>
      <c r="P27" s="25"/>
      <c r="Q27" s="25"/>
      <c r="R27" s="25"/>
      <c r="S27" s="25"/>
      <c r="T27" s="26"/>
      <c xmlns="http://schemas.openxmlformats.org/spreadsheetml/2006/main" r="U27" s="23">
        <f t="shared" si="0"/>
        <v>1.0</v>
      </c>
      <c xmlns="http://schemas.openxmlformats.org/spreadsheetml/2006/main" r="V27" s="22" t="str">
        <f t="shared" si="1"/>
        <v>▲ 單一設備依賴</v>
      </c>
      <c xmlns="http://schemas.openxmlformats.org/spreadsheetml/2006/main" r="W27" s="18" t="str">
        <f t="shared" si="2"/>
        <v>僅依賴1台設備，須確認故障/排修時之備援製程</v>
      </c>
      <c r="X27" s="22" t="s">
        <v>368</v>
      </c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745</v>
      </c>
      <c r="B28" s="22" t="s">
        <v>127</v>
      </c>
      <c r="C28" s="27" t="s">
        <v>191</v>
      </c>
      <c r="D28" s="22" t="s">
        <v>293</v>
      </c>
      <c r="E28" s="22" t="s">
        <v>271</v>
      </c>
      <c r="F28" s="23">
        <v>0.1</v>
      </c>
      <c r="G28" s="28" t="s">
        <v>75</v>
      </c>
      <c r="H28" s="24">
        <v>97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 t="s">
        <v>438</v>
      </c>
      <c xmlns="http://schemas.openxmlformats.org/spreadsheetml/2006/main" r="U28" s="23">
        <f t="shared" si="0"/>
        <v>0.0</v>
      </c>
      <c xmlns="http://schemas.openxmlformats.org/spreadsheetml/2006/main" r="V28" s="22" t="str">
        <f t="shared" si="1"/>
        <v>○ 免調理</v>
      </c>
      <c xmlns="http://schemas.openxmlformats.org/spreadsheetml/2006/main" r="W28" s="18" t="str">
        <f t="shared" si="2"/>
        <v>免調理半成品（外購/僅切配等），不列入設備風險評估</v>
      </c>
      <c r="X28" s="22" t="s">
        <v>368</v>
      </c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745</v>
      </c>
      <c r="B29" s="22" t="s">
        <v>127</v>
      </c>
      <c r="C29" s="27" t="s">
        <v>191</v>
      </c>
      <c r="D29" s="22" t="s">
        <v>221</v>
      </c>
      <c r="E29" s="22" t="s">
        <v>198</v>
      </c>
      <c r="F29" s="23">
        <v>170</v>
      </c>
      <c r="G29" s="28" t="s">
        <v>75</v>
      </c>
      <c r="H29" s="24">
        <v>81</v>
      </c>
      <c r="I29" s="25" t="s">
        <v>76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xmlns="http://schemas.openxmlformats.org/spreadsheetml/2006/main" r="U29" s="23">
        <f t="shared" si="0"/>
        <v>1.0</v>
      </c>
      <c xmlns="http://schemas.openxmlformats.org/spreadsheetml/2006/main" r="V29" s="22" t="str">
        <f t="shared" si="1"/>
        <v>▲ 單一設備依賴</v>
      </c>
      <c xmlns="http://schemas.openxmlformats.org/spreadsheetml/2006/main" r="W29" s="18" t="str">
        <f t="shared" si="2"/>
        <v>僅依賴1台設備，須確認故障/排修時之備援製程</v>
      </c>
      <c r="X29" s="22" t="s">
        <v>375</v>
      </c>
      <c r="Y29" s="22"/>
      <c xmlns="http://schemas.openxmlformats.org/spreadsheetml/2006/main" r="Z29">
        <f>IF($D29="",0,IF(COUNTIF($D$5:$D29,$D29)=1,1,0))</f>
        <v>1.0</v>
      </c>
      <c xmlns="http://schemas.openxmlformats.org/spreadsheetml/2006/main" r="AA29">
        <f>IF(Z29=1,SUM($Z$5:$Z29),"")</f>
        <v>4.0</v>
      </c>
    </row>
    <row r="30" spans="1:27">
      <c r="A30" s="22" t="s">
        <v>745</v>
      </c>
      <c r="B30" s="22" t="s">
        <v>127</v>
      </c>
      <c r="C30" s="27" t="s">
        <v>191</v>
      </c>
      <c r="D30" s="22" t="s">
        <v>221</v>
      </c>
      <c r="E30" s="22" t="s">
        <v>199</v>
      </c>
      <c r="F30" s="23">
        <v>80</v>
      </c>
      <c r="G30" s="28" t="s">
        <v>75</v>
      </c>
      <c r="H30" s="24">
        <v>51</v>
      </c>
      <c r="I30" s="25"/>
      <c r="J30" s="25"/>
      <c r="K30" s="25"/>
      <c r="L30" s="25"/>
      <c r="M30" s="25"/>
      <c r="N30" s="25"/>
      <c r="O30" s="25" t="s">
        <v>76</v>
      </c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 t="s">
        <v>375</v>
      </c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745</v>
      </c>
      <c r="B31" s="22" t="s">
        <v>127</v>
      </c>
      <c r="C31" s="27" t="s">
        <v>191</v>
      </c>
      <c r="D31" s="22" t="s">
        <v>221</v>
      </c>
      <c r="E31" s="22" t="s">
        <v>200</v>
      </c>
      <c r="F31" s="23">
        <v>64</v>
      </c>
      <c r="G31" s="28" t="s">
        <v>75</v>
      </c>
      <c r="H31" s="24">
        <v>63</v>
      </c>
      <c r="I31" s="25"/>
      <c r="J31" s="25"/>
      <c r="K31" s="25"/>
      <c r="L31" s="25"/>
      <c r="M31" s="25"/>
      <c r="N31" s="25"/>
      <c r="O31" s="25" t="s">
        <v>76</v>
      </c>
      <c r="P31" s="25"/>
      <c r="Q31" s="25"/>
      <c r="R31" s="25"/>
      <c r="S31" s="25"/>
      <c r="T31" s="26"/>
      <c xmlns="http://schemas.openxmlformats.org/spreadsheetml/2006/main" r="U31" s="23">
        <f t="shared" si="0"/>
        <v>1.0</v>
      </c>
      <c xmlns="http://schemas.openxmlformats.org/spreadsheetml/2006/main" r="V31" s="22" t="str">
        <f t="shared" si="1"/>
        <v>▲ 單一設備依賴</v>
      </c>
      <c xmlns="http://schemas.openxmlformats.org/spreadsheetml/2006/main" r="W31" s="18" t="str">
        <f t="shared" si="2"/>
        <v>僅依賴1台設備，須確認故障/排修時之備援製程</v>
      </c>
      <c r="X31" s="22" t="s">
        <v>375</v>
      </c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745</v>
      </c>
      <c r="B32" s="22" t="s">
        <v>127</v>
      </c>
      <c r="C32" s="27" t="s">
        <v>191</v>
      </c>
      <c r="D32" s="22" t="s">
        <v>221</v>
      </c>
      <c r="E32" s="22" t="s">
        <v>201</v>
      </c>
      <c r="F32" s="23">
        <v>15</v>
      </c>
      <c r="G32" s="28" t="s">
        <v>75</v>
      </c>
      <c r="H32" s="24">
        <v>55</v>
      </c>
      <c r="I32" s="25"/>
      <c r="J32" s="25"/>
      <c r="K32" s="25"/>
      <c r="L32" s="25"/>
      <c r="M32" s="25"/>
      <c r="N32" s="25"/>
      <c r="O32" s="25" t="s">
        <v>76</v>
      </c>
      <c r="P32" s="25"/>
      <c r="Q32" s="25"/>
      <c r="R32" s="25"/>
      <c r="S32" s="25"/>
      <c r="T32" s="26"/>
      <c xmlns="http://schemas.openxmlformats.org/spreadsheetml/2006/main" r="U32" s="23">
        <f t="shared" si="0"/>
        <v>1.0</v>
      </c>
      <c xmlns="http://schemas.openxmlformats.org/spreadsheetml/2006/main" r="V32" s="22" t="str">
        <f t="shared" si="1"/>
        <v>▲ 單一設備依賴</v>
      </c>
      <c xmlns="http://schemas.openxmlformats.org/spreadsheetml/2006/main" r="W32" s="18" t="str">
        <f t="shared" si="2"/>
        <v>僅依賴1台設備，須確認故障/排修時之備援製程</v>
      </c>
      <c r="X32" s="22" t="s">
        <v>375</v>
      </c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745</v>
      </c>
      <c r="B33" s="22" t="s">
        <v>127</v>
      </c>
      <c r="C33" s="27" t="s">
        <v>191</v>
      </c>
      <c r="D33" s="22" t="s">
        <v>221</v>
      </c>
      <c r="E33" s="22" t="s">
        <v>222</v>
      </c>
      <c r="F33" s="23">
        <v>2</v>
      </c>
      <c r="G33" s="28" t="s">
        <v>77</v>
      </c>
      <c r="H33" s="24">
        <v>100</v>
      </c>
      <c r="I33" s="25"/>
      <c r="J33" s="25"/>
      <c r="K33" s="25" t="s">
        <v>76</v>
      </c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>
        <f t="shared" si="0"/>
        <v>1.0</v>
      </c>
      <c xmlns="http://schemas.openxmlformats.org/spreadsheetml/2006/main" r="V33" s="22" t="str">
        <f t="shared" si="1"/>
        <v>▲ 單一設備依賴</v>
      </c>
      <c xmlns="http://schemas.openxmlformats.org/spreadsheetml/2006/main" r="W33" s="18" t="str">
        <f t="shared" si="2"/>
        <v>僅依賴1台設備，須確認故障/排修時之備援製程</v>
      </c>
      <c r="X33" s="22" t="s">
        <v>375</v>
      </c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 t="s">
        <v>745</v>
      </c>
      <c r="B34" s="22" t="s">
        <v>127</v>
      </c>
      <c r="C34" s="27" t="s">
        <v>191</v>
      </c>
      <c r="D34" s="22" t="s">
        <v>221</v>
      </c>
      <c r="E34" s="22" t="s">
        <v>139</v>
      </c>
      <c r="F34" s="23">
        <v>10</v>
      </c>
      <c r="G34" s="28" t="s">
        <v>75</v>
      </c>
      <c r="H34" s="24">
        <v>78</v>
      </c>
      <c r="I34" s="25"/>
      <c r="J34" s="25"/>
      <c r="K34" s="25"/>
      <c r="L34" s="25"/>
      <c r="M34" s="25"/>
      <c r="N34" s="25"/>
      <c r="O34" s="25" t="s">
        <v>76</v>
      </c>
      <c r="P34" s="25"/>
      <c r="Q34" s="25"/>
      <c r="R34" s="25"/>
      <c r="S34" s="25"/>
      <c r="T34" s="26"/>
      <c xmlns="http://schemas.openxmlformats.org/spreadsheetml/2006/main" r="U34" s="23">
        <f t="shared" si="0"/>
        <v>1.0</v>
      </c>
      <c xmlns="http://schemas.openxmlformats.org/spreadsheetml/2006/main" r="V34" s="22" t="str">
        <f t="shared" si="1"/>
        <v>▲ 單一設備依賴</v>
      </c>
      <c xmlns="http://schemas.openxmlformats.org/spreadsheetml/2006/main" r="W34" s="18" t="str">
        <f t="shared" si="2"/>
        <v>僅依賴1台設備，須確認故障/排修時之備援製程</v>
      </c>
      <c r="X34" s="22" t="s">
        <v>375</v>
      </c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745</v>
      </c>
      <c r="B35" s="22" t="s">
        <v>127</v>
      </c>
      <c r="C35" s="27" t="s">
        <v>191</v>
      </c>
      <c r="D35" s="22" t="s">
        <v>221</v>
      </c>
      <c r="E35" s="22" t="s">
        <v>144</v>
      </c>
      <c r="F35" s="23">
        <v>12</v>
      </c>
      <c r="G35" s="28" t="s">
        <v>75</v>
      </c>
      <c r="H35" s="24">
        <v>90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 t="s">
        <v>438</v>
      </c>
      <c xmlns="http://schemas.openxmlformats.org/spreadsheetml/2006/main" r="U35" s="23">
        <f t="shared" si="0"/>
        <v>0.0</v>
      </c>
      <c xmlns="http://schemas.openxmlformats.org/spreadsheetml/2006/main" r="V35" s="22" t="str">
        <f t="shared" si="1"/>
        <v>○ 免調理</v>
      </c>
      <c xmlns="http://schemas.openxmlformats.org/spreadsheetml/2006/main" r="W35" s="18" t="str">
        <f t="shared" si="2"/>
        <v>免調理半成品（外購/僅切配等），不列入設備風險評估</v>
      </c>
      <c r="X35" s="22" t="s">
        <v>375</v>
      </c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 t="s">
        <v>744</v>
      </c>
      <c r="B36" s="22" t="s">
        <v>127</v>
      </c>
      <c r="C36" s="27" t="s">
        <v>191</v>
      </c>
      <c r="D36" s="22" t="s">
        <v>223</v>
      </c>
      <c r="E36" s="22" t="s">
        <v>272</v>
      </c>
      <c r="F36" s="23">
        <v>40</v>
      </c>
      <c r="G36" s="28" t="s">
        <v>75</v>
      </c>
      <c r="H36" s="24">
        <v>99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 t="s">
        <v>438</v>
      </c>
      <c xmlns="http://schemas.openxmlformats.org/spreadsheetml/2006/main" r="U36" s="23">
        <f t="shared" si="0"/>
        <v>0.0</v>
      </c>
      <c xmlns="http://schemas.openxmlformats.org/spreadsheetml/2006/main" r="V36" s="22" t="str">
        <f t="shared" si="1"/>
        <v>○ 免調理</v>
      </c>
      <c xmlns="http://schemas.openxmlformats.org/spreadsheetml/2006/main" r="W36" s="18" t="str">
        <f t="shared" si="2"/>
        <v>免調理半成品（外購/僅切配等），不列入設備風險評估</v>
      </c>
      <c r="X36" s="22" t="s">
        <v>369</v>
      </c>
      <c r="Y36" s="22"/>
      <c xmlns="http://schemas.openxmlformats.org/spreadsheetml/2006/main" r="Z36">
        <f>IF($D36="",0,IF(COUNTIF($D$5:$D36,$D36)=1,1,0))</f>
        <v>1.0</v>
      </c>
      <c xmlns="http://schemas.openxmlformats.org/spreadsheetml/2006/main" r="AA36">
        <f>IF(Z36=1,SUM($Z$5:$Z36),"")</f>
        <v>5.0</v>
      </c>
    </row>
    <row r="37" spans="1:27">
      <c r="A37" s="22" t="s">
        <v>744</v>
      </c>
      <c r="B37" s="22" t="s">
        <v>127</v>
      </c>
      <c r="C37" s="27" t="s">
        <v>191</v>
      </c>
      <c r="D37" s="22" t="s">
        <v>223</v>
      </c>
      <c r="E37" s="22" t="s">
        <v>195</v>
      </c>
      <c r="F37" s="23">
        <v>90</v>
      </c>
      <c r="G37" s="28" t="s">
        <v>75</v>
      </c>
      <c r="H37" s="24">
        <v>51</v>
      </c>
      <c r="I37" s="25"/>
      <c r="J37" s="25"/>
      <c r="K37" s="25"/>
      <c r="L37" s="25"/>
      <c r="M37" s="25"/>
      <c r="N37" s="25"/>
      <c r="O37" s="25" t="s">
        <v>76</v>
      </c>
      <c r="P37" s="25"/>
      <c r="Q37" s="25"/>
      <c r="R37" s="25"/>
      <c r="S37" s="25"/>
      <c r="T37" s="26"/>
      <c xmlns="http://schemas.openxmlformats.org/spreadsheetml/2006/main" r="U37" s="23">
        <f t="shared" si="0"/>
        <v>1.0</v>
      </c>
      <c xmlns="http://schemas.openxmlformats.org/spreadsheetml/2006/main" r="V37" s="22" t="str">
        <f t="shared" si="1"/>
        <v>▲ 單一設備依賴</v>
      </c>
      <c xmlns="http://schemas.openxmlformats.org/spreadsheetml/2006/main" r="W37" s="18" t="str">
        <f t="shared" si="2"/>
        <v>僅依賴1台設備，須確認故障/排修時之備援製程</v>
      </c>
      <c r="X37" s="22" t="s">
        <v>369</v>
      </c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744</v>
      </c>
      <c r="B38" s="22" t="s">
        <v>127</v>
      </c>
      <c r="C38" s="27" t="s">
        <v>191</v>
      </c>
      <c r="D38" s="22" t="s">
        <v>223</v>
      </c>
      <c r="E38" s="22" t="s">
        <v>224</v>
      </c>
      <c r="F38" s="23">
        <v>3</v>
      </c>
      <c r="G38" s="28" t="s">
        <v>77</v>
      </c>
      <c r="H38" s="24">
        <v>77.27</v>
      </c>
      <c r="I38" s="25"/>
      <c r="J38" s="25"/>
      <c r="K38" s="25" t="s">
        <v>76</v>
      </c>
      <c r="L38" s="25"/>
      <c r="M38" s="25"/>
      <c r="N38" s="25"/>
      <c r="O38" s="25"/>
      <c r="P38" s="25"/>
      <c r="Q38" s="25"/>
      <c r="R38" s="25"/>
      <c r="S38" s="25"/>
      <c r="T38" s="26"/>
      <c xmlns="http://schemas.openxmlformats.org/spreadsheetml/2006/main" r="U38" s="23">
        <f t="shared" si="0"/>
        <v>1.0</v>
      </c>
      <c xmlns="http://schemas.openxmlformats.org/spreadsheetml/2006/main" r="V38" s="22" t="str">
        <f t="shared" si="1"/>
        <v>▲ 單一設備依賴</v>
      </c>
      <c xmlns="http://schemas.openxmlformats.org/spreadsheetml/2006/main" r="W38" s="18" t="str">
        <f t="shared" si="2"/>
        <v>僅依賴1台設備，須確認故障/排修時之備援製程</v>
      </c>
      <c r="X38" s="22" t="s">
        <v>369</v>
      </c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744</v>
      </c>
      <c r="B39" s="22" t="s">
        <v>127</v>
      </c>
      <c r="C39" s="27" t="s">
        <v>191</v>
      </c>
      <c r="D39" s="22" t="s">
        <v>223</v>
      </c>
      <c r="E39" s="22" t="s">
        <v>202</v>
      </c>
      <c r="F39" s="23">
        <v>48</v>
      </c>
      <c r="G39" s="28" t="s">
        <v>75</v>
      </c>
      <c r="H39" s="24">
        <v>73</v>
      </c>
      <c r="I39" s="25"/>
      <c r="J39" s="25"/>
      <c r="K39" s="25"/>
      <c r="L39" s="25"/>
      <c r="M39" s="25"/>
      <c r="N39" s="25"/>
      <c r="O39" s="25" t="s">
        <v>76</v>
      </c>
      <c r="P39" s="25"/>
      <c r="Q39" s="25"/>
      <c r="R39" s="25"/>
      <c r="S39" s="25"/>
      <c r="T39" s="26"/>
      <c xmlns="http://schemas.openxmlformats.org/spreadsheetml/2006/main" r="U39" s="23">
        <f t="shared" si="0"/>
        <v>1.0</v>
      </c>
      <c xmlns="http://schemas.openxmlformats.org/spreadsheetml/2006/main" r="V39" s="22" t="str">
        <f t="shared" si="1"/>
        <v>▲ 單一設備依賴</v>
      </c>
      <c xmlns="http://schemas.openxmlformats.org/spreadsheetml/2006/main" r="W39" s="18" t="str">
        <f t="shared" si="2"/>
        <v>僅依賴1台設備，須確認故障/排修時之備援製程</v>
      </c>
      <c r="X39" s="22" t="s">
        <v>369</v>
      </c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744</v>
      </c>
      <c r="B40" s="22" t="s">
        <v>127</v>
      </c>
      <c r="C40" s="27" t="s">
        <v>191</v>
      </c>
      <c r="D40" s="22" t="s">
        <v>223</v>
      </c>
      <c r="E40" s="22" t="s">
        <v>193</v>
      </c>
      <c r="F40" s="23">
        <v>70</v>
      </c>
      <c r="G40" s="28" t="s">
        <v>75</v>
      </c>
      <c r="H40" s="24">
        <v>66</v>
      </c>
      <c r="I40" s="25"/>
      <c r="J40" s="25"/>
      <c r="K40" s="25"/>
      <c r="L40" s="25"/>
      <c r="M40" s="25"/>
      <c r="N40" s="25"/>
      <c r="O40" s="25" t="s">
        <v>76</v>
      </c>
      <c r="P40" s="25"/>
      <c r="Q40" s="25"/>
      <c r="R40" s="25"/>
      <c r="S40" s="25"/>
      <c r="T40" s="26"/>
      <c xmlns="http://schemas.openxmlformats.org/spreadsheetml/2006/main" r="U40" s="23">
        <f t="shared" si="0"/>
        <v>1.0</v>
      </c>
      <c xmlns="http://schemas.openxmlformats.org/spreadsheetml/2006/main" r="V40" s="22" t="str">
        <f t="shared" si="1"/>
        <v>▲ 單一設備依賴</v>
      </c>
      <c xmlns="http://schemas.openxmlformats.org/spreadsheetml/2006/main" r="W40" s="18" t="str">
        <f t="shared" si="2"/>
        <v>僅依賴1台設備，須確認故障/排修時之備援製程</v>
      </c>
      <c r="X40" s="22" t="s">
        <v>369</v>
      </c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 t="s">
        <v>744</v>
      </c>
      <c r="B41" s="22" t="s">
        <v>127</v>
      </c>
      <c r="C41" s="27" t="s">
        <v>191</v>
      </c>
      <c r="D41" s="22" t="s">
        <v>223</v>
      </c>
      <c r="E41" s="22" t="s">
        <v>225</v>
      </c>
      <c r="F41" s="23">
        <v>4</v>
      </c>
      <c r="G41" s="28" t="s">
        <v>77</v>
      </c>
      <c r="H41" s="24">
        <v>100</v>
      </c>
      <c r="I41" s="25"/>
      <c r="J41" s="25"/>
      <c r="K41" s="25"/>
      <c r="L41" s="25"/>
      <c r="M41" s="25" t="s">
        <v>76</v>
      </c>
      <c r="N41" s="25"/>
      <c r="O41" s="25"/>
      <c r="P41" s="25"/>
      <c r="Q41" s="25"/>
      <c r="R41" s="25"/>
      <c r="S41" s="25"/>
      <c r="T41" s="26"/>
      <c xmlns="http://schemas.openxmlformats.org/spreadsheetml/2006/main" r="U41" s="23">
        <f t="shared" si="0"/>
        <v>1.0</v>
      </c>
      <c xmlns="http://schemas.openxmlformats.org/spreadsheetml/2006/main" r="V41" s="22" t="str">
        <f t="shared" si="1"/>
        <v>▲ 單一設備依賴</v>
      </c>
      <c xmlns="http://schemas.openxmlformats.org/spreadsheetml/2006/main" r="W41" s="18" t="str">
        <f t="shared" si="2"/>
        <v>僅依賴1台設備，須確認故障/排修時之備援製程</v>
      </c>
      <c r="X41" s="22" t="s">
        <v>369</v>
      </c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744</v>
      </c>
      <c r="B42" s="22" t="s">
        <v>127</v>
      </c>
      <c r="C42" s="27" t="s">
        <v>191</v>
      </c>
      <c r="D42" s="22" t="s">
        <v>223</v>
      </c>
      <c r="E42" s="22" t="s">
        <v>226</v>
      </c>
      <c r="F42" s="23">
        <v>1</v>
      </c>
      <c r="G42" s="28" t="s">
        <v>77</v>
      </c>
      <c r="H42" s="24">
        <v>100</v>
      </c>
      <c r="I42" s="25"/>
      <c r="J42" s="25"/>
      <c r="K42" s="25" t="s">
        <v>76</v>
      </c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>
        <f t="shared" si="0"/>
        <v>1.0</v>
      </c>
      <c xmlns="http://schemas.openxmlformats.org/spreadsheetml/2006/main" r="V42" s="22" t="str">
        <f t="shared" si="1"/>
        <v>▲ 單一設備依賴</v>
      </c>
      <c xmlns="http://schemas.openxmlformats.org/spreadsheetml/2006/main" r="W42" s="18" t="str">
        <f t="shared" si="2"/>
        <v>僅依賴1台設備，須確認故障/排修時之備援製程</v>
      </c>
      <c r="X42" s="22" t="s">
        <v>369</v>
      </c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744</v>
      </c>
      <c r="B43" s="22" t="s">
        <v>127</v>
      </c>
      <c r="C43" s="27" t="s">
        <v>191</v>
      </c>
      <c r="D43" s="22" t="s">
        <v>223</v>
      </c>
      <c r="E43" s="22" t="s">
        <v>197</v>
      </c>
      <c r="F43" s="23">
        <v>10</v>
      </c>
      <c r="G43" s="28" t="s">
        <v>75</v>
      </c>
      <c r="H43" s="24">
        <v>53</v>
      </c>
      <c r="I43" s="25"/>
      <c r="J43" s="25"/>
      <c r="K43" s="25"/>
      <c r="L43" s="25"/>
      <c r="M43" s="25"/>
      <c r="N43" s="25"/>
      <c r="O43" s="25" t="s">
        <v>76</v>
      </c>
      <c r="P43" s="25"/>
      <c r="Q43" s="25"/>
      <c r="R43" s="25"/>
      <c r="S43" s="25"/>
      <c r="T43" s="26"/>
      <c xmlns="http://schemas.openxmlformats.org/spreadsheetml/2006/main" r="U43" s="23">
        <f t="shared" si="0"/>
        <v>1.0</v>
      </c>
      <c xmlns="http://schemas.openxmlformats.org/spreadsheetml/2006/main" r="V43" s="22" t="str">
        <f t="shared" si="1"/>
        <v>▲ 單一設備依賴</v>
      </c>
      <c xmlns="http://schemas.openxmlformats.org/spreadsheetml/2006/main" r="W43" s="18" t="str">
        <f t="shared" si="2"/>
        <v>僅依賴1台設備，須確認故障/排修時之備援製程</v>
      </c>
      <c r="X43" s="22" t="s">
        <v>369</v>
      </c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 t="s">
        <v>745</v>
      </c>
      <c r="B44" s="22" t="s">
        <v>127</v>
      </c>
      <c r="C44" s="27" t="s">
        <v>191</v>
      </c>
      <c r="D44" s="22" t="s">
        <v>227</v>
      </c>
      <c r="E44" s="22" t="s">
        <v>184</v>
      </c>
      <c r="F44" s="23">
        <v>234</v>
      </c>
      <c r="G44" s="28" t="s">
        <v>75</v>
      </c>
      <c r="H44" s="24">
        <v>94</v>
      </c>
      <c r="I44" s="25" t="s">
        <v>76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>
        <f t="shared" si="0"/>
        <v>1.0</v>
      </c>
      <c xmlns="http://schemas.openxmlformats.org/spreadsheetml/2006/main" r="V44" s="22" t="str">
        <f t="shared" si="1"/>
        <v>▲ 單一設備依賴</v>
      </c>
      <c xmlns="http://schemas.openxmlformats.org/spreadsheetml/2006/main" r="W44" s="18" t="str">
        <f t="shared" si="2"/>
        <v>僅依賴1台設備，須確認故障/排修時之備援製程</v>
      </c>
      <c r="X44" s="22" t="s">
        <v>370</v>
      </c>
      <c r="Y44" s="22"/>
      <c xmlns="http://schemas.openxmlformats.org/spreadsheetml/2006/main" r="Z44">
        <f>IF($D44="",0,IF(COUNTIF($D$5:$D44,$D44)=1,1,0))</f>
        <v>1.0</v>
      </c>
      <c xmlns="http://schemas.openxmlformats.org/spreadsheetml/2006/main" r="AA44">
        <f>IF(Z44=1,SUM($Z$5:$Z44),"")</f>
        <v>6.0</v>
      </c>
    </row>
    <row r="45" spans="1:27">
      <c r="A45" s="22" t="s">
        <v>745</v>
      </c>
      <c r="B45" s="22" t="s">
        <v>127</v>
      </c>
      <c r="C45" s="27" t="s">
        <v>191</v>
      </c>
      <c r="D45" s="22" t="s">
        <v>227</v>
      </c>
      <c r="E45" s="22" t="s">
        <v>203</v>
      </c>
      <c r="F45" s="23">
        <v>40</v>
      </c>
      <c r="G45" s="28" t="s">
        <v>75</v>
      </c>
      <c r="H45" s="24">
        <v>59</v>
      </c>
      <c r="I45" s="25"/>
      <c r="J45" s="25"/>
      <c r="K45" s="25"/>
      <c r="L45" s="25"/>
      <c r="M45" s="25"/>
      <c r="N45" s="25"/>
      <c r="O45" s="25" t="s">
        <v>76</v>
      </c>
      <c r="P45" s="25"/>
      <c r="Q45" s="25"/>
      <c r="R45" s="25"/>
      <c r="S45" s="25"/>
      <c r="T45" s="26"/>
      <c xmlns="http://schemas.openxmlformats.org/spreadsheetml/2006/main" r="U45" s="23">
        <f t="shared" si="0"/>
        <v>1.0</v>
      </c>
      <c xmlns="http://schemas.openxmlformats.org/spreadsheetml/2006/main" r="V45" s="22" t="str">
        <f t="shared" si="1"/>
        <v>▲ 單一設備依賴</v>
      </c>
      <c xmlns="http://schemas.openxmlformats.org/spreadsheetml/2006/main" r="W45" s="18" t="str">
        <f t="shared" si="2"/>
        <v>僅依賴1台設備，須確認故障/排修時之備援製程</v>
      </c>
      <c r="X45" s="22" t="s">
        <v>370</v>
      </c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745</v>
      </c>
      <c r="B46" s="22" t="s">
        <v>127</v>
      </c>
      <c r="C46" s="27" t="s">
        <v>191</v>
      </c>
      <c r="D46" s="22" t="s">
        <v>227</v>
      </c>
      <c r="E46" s="22" t="s">
        <v>204</v>
      </c>
      <c r="F46" s="23">
        <v>30</v>
      </c>
      <c r="G46" s="28" t="s">
        <v>75</v>
      </c>
      <c r="H46" s="24">
        <v>65</v>
      </c>
      <c r="I46" s="25"/>
      <c r="J46" s="25"/>
      <c r="K46" s="25"/>
      <c r="L46" s="25"/>
      <c r="M46" s="25"/>
      <c r="N46" s="25"/>
      <c r="O46" s="25" t="s">
        <v>76</v>
      </c>
      <c r="P46" s="25"/>
      <c r="Q46" s="25"/>
      <c r="R46" s="25"/>
      <c r="S46" s="25"/>
      <c r="T46" s="26"/>
      <c xmlns="http://schemas.openxmlformats.org/spreadsheetml/2006/main" r="U46" s="23">
        <f t="shared" si="0"/>
        <v>1.0</v>
      </c>
      <c xmlns="http://schemas.openxmlformats.org/spreadsheetml/2006/main" r="V46" s="22" t="str">
        <f t="shared" si="1"/>
        <v>▲ 單一設備依賴</v>
      </c>
      <c xmlns="http://schemas.openxmlformats.org/spreadsheetml/2006/main" r="W46" s="18" t="str">
        <f t="shared" si="2"/>
        <v>僅依賴1台設備，須確認故障/排修時之備援製程</v>
      </c>
      <c r="X46" s="22" t="s">
        <v>370</v>
      </c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 t="s">
        <v>745</v>
      </c>
      <c r="B47" s="22" t="s">
        <v>127</v>
      </c>
      <c r="C47" s="27" t="s">
        <v>191</v>
      </c>
      <c r="D47" s="22" t="s">
        <v>227</v>
      </c>
      <c r="E47" s="22" t="s">
        <v>228</v>
      </c>
      <c r="F47" s="23">
        <v>1</v>
      </c>
      <c r="G47" s="28" t="s">
        <v>77</v>
      </c>
      <c r="H47" s="24">
        <v>100</v>
      </c>
      <c r="I47" s="25"/>
      <c r="J47" s="25"/>
      <c r="K47" s="25"/>
      <c r="L47" s="25"/>
      <c r="M47" s="25" t="s">
        <v>76</v>
      </c>
      <c r="N47" s="25"/>
      <c r="O47" s="25"/>
      <c r="P47" s="25"/>
      <c r="Q47" s="25"/>
      <c r="R47" s="25"/>
      <c r="S47" s="25"/>
      <c r="T47" s="26"/>
      <c xmlns="http://schemas.openxmlformats.org/spreadsheetml/2006/main" r="U47" s="23">
        <f t="shared" si="0"/>
        <v>1.0</v>
      </c>
      <c xmlns="http://schemas.openxmlformats.org/spreadsheetml/2006/main" r="V47" s="22" t="str">
        <f t="shared" si="1"/>
        <v>▲ 單一設備依賴</v>
      </c>
      <c xmlns="http://schemas.openxmlformats.org/spreadsheetml/2006/main" r="W47" s="18" t="str">
        <f t="shared" si="2"/>
        <v>僅依賴1台設備，須確認故障/排修時之備援製程</v>
      </c>
      <c r="X47" s="22" t="s">
        <v>370</v>
      </c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 t="s">
        <v>745</v>
      </c>
      <c r="B48" s="22" t="s">
        <v>127</v>
      </c>
      <c r="C48" s="27" t="s">
        <v>191</v>
      </c>
      <c r="D48" s="22" t="s">
        <v>227</v>
      </c>
      <c r="E48" s="22" t="s">
        <v>229</v>
      </c>
      <c r="F48" s="23">
        <v>1</v>
      </c>
      <c r="G48" s="28" t="s">
        <v>77</v>
      </c>
      <c r="H48" s="24">
        <v>100</v>
      </c>
      <c r="I48" s="25"/>
      <c r="J48" s="25"/>
      <c r="K48" s="25"/>
      <c r="L48" s="25"/>
      <c r="M48" s="25" t="s">
        <v>76</v>
      </c>
      <c r="N48" s="25"/>
      <c r="O48" s="25"/>
      <c r="P48" s="25"/>
      <c r="Q48" s="25"/>
      <c r="R48" s="25"/>
      <c r="S48" s="25"/>
      <c r="T48" s="26"/>
      <c xmlns="http://schemas.openxmlformats.org/spreadsheetml/2006/main" r="U48" s="23">
        <f t="shared" si="0"/>
        <v>1.0</v>
      </c>
      <c xmlns="http://schemas.openxmlformats.org/spreadsheetml/2006/main" r="V48" s="22" t="str">
        <f t="shared" si="1"/>
        <v>▲ 單一設備依賴</v>
      </c>
      <c xmlns="http://schemas.openxmlformats.org/spreadsheetml/2006/main" r="W48" s="18" t="str">
        <f t="shared" si="2"/>
        <v>僅依賴1台設備，須確認故障/排修時之備援製程</v>
      </c>
      <c r="X48" s="22" t="s">
        <v>370</v>
      </c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 t="s">
        <v>745</v>
      </c>
      <c r="B49" s="22" t="s">
        <v>127</v>
      </c>
      <c r="C49" s="27" t="s">
        <v>191</v>
      </c>
      <c r="D49" s="22" t="s">
        <v>227</v>
      </c>
      <c r="E49" s="22" t="s">
        <v>205</v>
      </c>
      <c r="F49" s="23">
        <v>15</v>
      </c>
      <c r="G49" s="28" t="s">
        <v>75</v>
      </c>
      <c r="H49" s="24">
        <v>67</v>
      </c>
      <c r="I49" s="25"/>
      <c r="J49" s="25"/>
      <c r="K49" s="25"/>
      <c r="L49" s="25"/>
      <c r="M49" s="25"/>
      <c r="N49" s="25"/>
      <c r="O49" s="25" t="s">
        <v>76</v>
      </c>
      <c r="P49" s="25"/>
      <c r="Q49" s="25"/>
      <c r="R49" s="25"/>
      <c r="S49" s="25"/>
      <c r="T49" s="26"/>
      <c xmlns="http://schemas.openxmlformats.org/spreadsheetml/2006/main" r="U49" s="23">
        <f t="shared" si="0"/>
        <v>1.0</v>
      </c>
      <c xmlns="http://schemas.openxmlformats.org/spreadsheetml/2006/main" r="V49" s="22" t="str">
        <f t="shared" si="1"/>
        <v>▲ 單一設備依賴</v>
      </c>
      <c xmlns="http://schemas.openxmlformats.org/spreadsheetml/2006/main" r="W49" s="18" t="str">
        <f t="shared" si="2"/>
        <v>僅依賴1台設備，須確認故障/排修時之備援製程</v>
      </c>
      <c r="X49" s="22" t="s">
        <v>370</v>
      </c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745</v>
      </c>
      <c r="B50" s="22" t="s">
        <v>127</v>
      </c>
      <c r="C50" s="27" t="s">
        <v>191</v>
      </c>
      <c r="D50" s="22" t="s">
        <v>227</v>
      </c>
      <c r="E50" s="22" t="s">
        <v>206</v>
      </c>
      <c r="F50" s="23">
        <v>3</v>
      </c>
      <c r="G50" s="28" t="s">
        <v>75</v>
      </c>
      <c r="H50" s="24">
        <v>66</v>
      </c>
      <c r="I50" s="25"/>
      <c r="J50" s="25"/>
      <c r="K50" s="25"/>
      <c r="L50" s="25"/>
      <c r="M50" s="25"/>
      <c r="N50" s="25"/>
      <c r="O50" s="25" t="s">
        <v>76</v>
      </c>
      <c r="P50" s="25"/>
      <c r="Q50" s="25"/>
      <c r="R50" s="25"/>
      <c r="S50" s="25"/>
      <c r="T50" s="26"/>
      <c xmlns="http://schemas.openxmlformats.org/spreadsheetml/2006/main" r="U50" s="23">
        <f t="shared" si="0"/>
        <v>1.0</v>
      </c>
      <c xmlns="http://schemas.openxmlformats.org/spreadsheetml/2006/main" r="V50" s="22" t="str">
        <f t="shared" si="1"/>
        <v>▲ 單一設備依賴</v>
      </c>
      <c xmlns="http://schemas.openxmlformats.org/spreadsheetml/2006/main" r="W50" s="18" t="str">
        <f t="shared" si="2"/>
        <v>僅依賴1台設備，須確認故障/排修時之備援製程</v>
      </c>
      <c r="X50" s="22" t="s">
        <v>370</v>
      </c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 t="s">
        <v>745</v>
      </c>
      <c r="B51" s="22" t="s">
        <v>127</v>
      </c>
      <c r="C51" s="27" t="s">
        <v>191</v>
      </c>
      <c r="D51" s="22" t="s">
        <v>227</v>
      </c>
      <c r="E51" s="22" t="s">
        <v>207</v>
      </c>
      <c r="F51" s="48">
        <v>1</v>
      </c>
      <c r="G51" s="49" t="s">
        <v>77</v>
      </c>
      <c r="H51" s="24">
        <v>800</v>
      </c>
      <c r="I51" s="25"/>
      <c r="J51" s="25"/>
      <c r="K51" s="25" t="s">
        <v>76</v>
      </c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>
        <f t="shared" si="0"/>
        <v>1.0</v>
      </c>
      <c xmlns="http://schemas.openxmlformats.org/spreadsheetml/2006/main" r="V51" s="22" t="str">
        <f t="shared" si="1"/>
        <v>▲ 單一設備依賴</v>
      </c>
      <c xmlns="http://schemas.openxmlformats.org/spreadsheetml/2006/main" r="W51" s="18" t="str">
        <f t="shared" si="2"/>
        <v>僅依賴1台設備，須確認故障/排修時之備援製程</v>
      </c>
      <c r="X51" s="22" t="s">
        <v>370</v>
      </c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 t="s">
        <v>745</v>
      </c>
      <c r="B52" s="22" t="s">
        <v>127</v>
      </c>
      <c r="C52" s="27" t="s">
        <v>191</v>
      </c>
      <c r="D52" s="22" t="s">
        <v>230</v>
      </c>
      <c r="E52" s="22" t="s">
        <v>192</v>
      </c>
      <c r="F52" s="23">
        <v>250</v>
      </c>
      <c r="G52" s="28" t="s">
        <v>75</v>
      </c>
      <c r="H52" s="24">
        <v>91</v>
      </c>
      <c r="I52" s="25" t="s">
        <v>76</v>
      </c>
      <c r="J52" s="25"/>
      <c r="K52" s="25"/>
      <c r="L52" s="25"/>
      <c r="M52" s="25"/>
      <c r="N52" s="25"/>
      <c r="O52" s="25" t="s">
        <v>438</v>
      </c>
      <c r="P52" s="25"/>
      <c r="Q52" s="25"/>
      <c r="R52" s="25"/>
      <c r="S52" s="25"/>
      <c r="T52" s="26"/>
      <c xmlns="http://schemas.openxmlformats.org/spreadsheetml/2006/main" r="U52" s="23">
        <f t="shared" si="0"/>
        <v>2.0</v>
      </c>
      <c xmlns="http://schemas.openxmlformats.org/spreadsheetml/2006/main" r="V52" s="22" t="str">
        <f t="shared" si="1"/>
        <v>OK</v>
      </c>
      <c xmlns="http://schemas.openxmlformats.org/spreadsheetml/2006/main" r="W52" s="18" t="str">
        <f t="shared" si="2"/>
        <v>無異常</v>
      </c>
      <c r="X52" s="22" t="s">
        <v>371</v>
      </c>
      <c r="Y52" s="22"/>
      <c xmlns="http://schemas.openxmlformats.org/spreadsheetml/2006/main" r="Z52">
        <f>IF($D52="",0,IF(COUNTIF($D$5:$D52,$D52)=1,1,0))</f>
        <v>1.0</v>
      </c>
      <c xmlns="http://schemas.openxmlformats.org/spreadsheetml/2006/main" r="AA52">
        <f>IF(Z52=1,SUM($Z$5:$Z52),"")</f>
        <v>7.0</v>
      </c>
    </row>
    <row r="53" spans="1:27">
      <c r="A53" s="22" t="s">
        <v>745</v>
      </c>
      <c r="B53" s="22" t="s">
        <v>127</v>
      </c>
      <c r="C53" s="27" t="s">
        <v>191</v>
      </c>
      <c r="D53" s="22" t="s">
        <v>230</v>
      </c>
      <c r="E53" s="22" t="s">
        <v>208</v>
      </c>
      <c r="F53" s="23">
        <v>35</v>
      </c>
      <c r="G53" s="28" t="s">
        <v>75</v>
      </c>
      <c r="H53" s="24">
        <v>51</v>
      </c>
      <c r="I53" s="25"/>
      <c r="J53" s="25"/>
      <c r="K53" s="25"/>
      <c r="L53" s="25"/>
      <c r="M53" s="25"/>
      <c r="N53" s="25"/>
      <c r="O53" s="25" t="s">
        <v>76</v>
      </c>
      <c r="P53" s="25"/>
      <c r="Q53" s="25"/>
      <c r="R53" s="25"/>
      <c r="S53" s="25"/>
      <c r="T53" s="26"/>
      <c xmlns="http://schemas.openxmlformats.org/spreadsheetml/2006/main" r="U53" s="23">
        <f t="shared" si="0"/>
        <v>1.0</v>
      </c>
      <c xmlns="http://schemas.openxmlformats.org/spreadsheetml/2006/main" r="V53" s="22" t="str">
        <f t="shared" si="1"/>
        <v>▲ 單一設備依賴</v>
      </c>
      <c xmlns="http://schemas.openxmlformats.org/spreadsheetml/2006/main" r="W53" s="18" t="str">
        <f t="shared" si="2"/>
        <v>僅依賴1台設備，須確認故障/排修時之備援製程</v>
      </c>
      <c r="X53" s="22" t="s">
        <v>371</v>
      </c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 t="s">
        <v>745</v>
      </c>
      <c r="B54" s="22" t="s">
        <v>127</v>
      </c>
      <c r="C54" s="27" t="s">
        <v>191</v>
      </c>
      <c r="D54" s="22" t="s">
        <v>230</v>
      </c>
      <c r="E54" s="22" t="s">
        <v>219</v>
      </c>
      <c r="F54" s="23">
        <v>2</v>
      </c>
      <c r="G54" s="28" t="s">
        <v>77</v>
      </c>
      <c r="H54" s="24">
        <v>1200</v>
      </c>
      <c r="I54" s="25"/>
      <c r="J54" s="25"/>
      <c r="K54" s="25" t="s">
        <v>76</v>
      </c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>
        <f t="shared" si="0"/>
        <v>1.0</v>
      </c>
      <c xmlns="http://schemas.openxmlformats.org/spreadsheetml/2006/main" r="V54" s="22" t="str">
        <f t="shared" si="1"/>
        <v>▲ 單一設備依賴</v>
      </c>
      <c xmlns="http://schemas.openxmlformats.org/spreadsheetml/2006/main" r="W54" s="18" t="str">
        <f t="shared" si="2"/>
        <v>僅依賴1台設備，須確認故障/排修時之備援製程</v>
      </c>
      <c r="X54" s="22" t="s">
        <v>371</v>
      </c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 t="s">
        <v>745</v>
      </c>
      <c r="B55" s="22" t="s">
        <v>127</v>
      </c>
      <c r="C55" s="27" t="s">
        <v>191</v>
      </c>
      <c r="D55" s="22" t="s">
        <v>230</v>
      </c>
      <c r="E55" s="22" t="s">
        <v>193</v>
      </c>
      <c r="F55" s="23">
        <v>16</v>
      </c>
      <c r="G55" s="28" t="s">
        <v>75</v>
      </c>
      <c r="H55" s="24">
        <v>66</v>
      </c>
      <c r="I55" s="25"/>
      <c r="J55" s="25"/>
      <c r="K55" s="25"/>
      <c r="L55" s="25"/>
      <c r="M55" s="25"/>
      <c r="N55" s="25"/>
      <c r="O55" s="25" t="s">
        <v>76</v>
      </c>
      <c r="P55" s="25"/>
      <c r="Q55" s="25"/>
      <c r="R55" s="25"/>
      <c r="S55" s="25"/>
      <c r="T55" s="26"/>
      <c xmlns="http://schemas.openxmlformats.org/spreadsheetml/2006/main" r="U55" s="23">
        <f t="shared" si="0"/>
        <v>1.0</v>
      </c>
      <c xmlns="http://schemas.openxmlformats.org/spreadsheetml/2006/main" r="V55" s="22" t="str">
        <f t="shared" si="1"/>
        <v>▲ 單一設備依賴</v>
      </c>
      <c xmlns="http://schemas.openxmlformats.org/spreadsheetml/2006/main" r="W55" s="18" t="str">
        <f t="shared" si="2"/>
        <v>僅依賴1台設備，須確認故障/排修時之備援製程</v>
      </c>
      <c r="X55" s="22" t="s">
        <v>371</v>
      </c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 t="s">
        <v>745</v>
      </c>
      <c r="B56" s="22" t="s">
        <v>127</v>
      </c>
      <c r="C56" s="27" t="s">
        <v>191</v>
      </c>
      <c r="D56" s="22" t="s">
        <v>230</v>
      </c>
      <c r="E56" s="22" t="s">
        <v>231</v>
      </c>
      <c r="F56" s="23">
        <v>1</v>
      </c>
      <c r="G56" s="28" t="s">
        <v>77</v>
      </c>
      <c r="H56" s="24">
        <v>100</v>
      </c>
      <c r="I56" s="25"/>
      <c r="J56" s="25"/>
      <c r="K56" s="25" t="s">
        <v>76</v>
      </c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>
        <f t="shared" si="0"/>
        <v>1.0</v>
      </c>
      <c xmlns="http://schemas.openxmlformats.org/spreadsheetml/2006/main" r="V56" s="22" t="str">
        <f t="shared" si="1"/>
        <v>▲ 單一設備依賴</v>
      </c>
      <c xmlns="http://schemas.openxmlformats.org/spreadsheetml/2006/main" r="W56" s="18" t="str">
        <f t="shared" si="2"/>
        <v>僅依賴1台設備，須確認故障/排修時之備援製程</v>
      </c>
      <c r="X56" s="22" t="s">
        <v>371</v>
      </c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 t="s">
        <v>745</v>
      </c>
      <c r="B57" s="22" t="s">
        <v>127</v>
      </c>
      <c r="C57" s="27" t="s">
        <v>191</v>
      </c>
      <c r="D57" s="22" t="s">
        <v>230</v>
      </c>
      <c r="E57" s="22" t="s">
        <v>209</v>
      </c>
      <c r="F57" s="23">
        <v>22</v>
      </c>
      <c r="G57" s="28" t="s">
        <v>75</v>
      </c>
      <c r="H57" s="24">
        <v>49</v>
      </c>
      <c r="I57" s="25"/>
      <c r="J57" s="25"/>
      <c r="K57" s="25" t="s">
        <v>76</v>
      </c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>
        <f t="shared" si="0"/>
        <v>1.0</v>
      </c>
      <c xmlns="http://schemas.openxmlformats.org/spreadsheetml/2006/main" r="V57" s="22" t="str">
        <f t="shared" si="1"/>
        <v>▲ 單一設備依賴</v>
      </c>
      <c xmlns="http://schemas.openxmlformats.org/spreadsheetml/2006/main" r="W57" s="18" t="str">
        <f t="shared" si="2"/>
        <v>僅依賴1台設備，須確認故障/排修時之備援製程</v>
      </c>
      <c r="X57" s="22" t="s">
        <v>371</v>
      </c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 t="s">
        <v>745</v>
      </c>
      <c r="B58" s="22" t="s">
        <v>127</v>
      </c>
      <c r="C58" s="27" t="s">
        <v>191</v>
      </c>
      <c r="D58" s="22" t="s">
        <v>230</v>
      </c>
      <c r="E58" s="22" t="s">
        <v>222</v>
      </c>
      <c r="F58" s="23">
        <v>3</v>
      </c>
      <c r="G58" s="28" t="s">
        <v>77</v>
      </c>
      <c r="H58" s="24">
        <v>100</v>
      </c>
      <c r="I58" s="25"/>
      <c r="J58" s="25"/>
      <c r="K58" s="25" t="s">
        <v>76</v>
      </c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>
        <f t="shared" si="0"/>
        <v>1.0</v>
      </c>
      <c xmlns="http://schemas.openxmlformats.org/spreadsheetml/2006/main" r="V58" s="22" t="str">
        <f t="shared" si="1"/>
        <v>▲ 單一設備依賴</v>
      </c>
      <c xmlns="http://schemas.openxmlformats.org/spreadsheetml/2006/main" r="W58" s="18" t="str">
        <f t="shared" si="2"/>
        <v>僅依賴1台設備，須確認故障/排修時之備援製程</v>
      </c>
      <c r="X58" s="22" t="s">
        <v>371</v>
      </c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 t="s">
        <v>745</v>
      </c>
      <c r="B59" s="22" t="s">
        <v>127</v>
      </c>
      <c r="C59" s="27" t="s">
        <v>191</v>
      </c>
      <c r="D59" s="22" t="s">
        <v>230</v>
      </c>
      <c r="E59" s="22" t="s">
        <v>210</v>
      </c>
      <c r="F59" s="23">
        <v>3</v>
      </c>
      <c r="G59" s="28" t="s">
        <v>75</v>
      </c>
      <c r="H59" s="24">
        <v>65</v>
      </c>
      <c r="I59" s="25"/>
      <c r="J59" s="25"/>
      <c r="K59" s="25"/>
      <c r="L59" s="25"/>
      <c r="M59" s="25"/>
      <c r="N59" s="25"/>
      <c r="O59" s="25" t="s">
        <v>76</v>
      </c>
      <c r="P59" s="25"/>
      <c r="Q59" s="25"/>
      <c r="R59" s="25"/>
      <c r="S59" s="25"/>
      <c r="T59" s="26"/>
      <c xmlns="http://schemas.openxmlformats.org/spreadsheetml/2006/main" r="U59" s="23">
        <f t="shared" si="0"/>
        <v>1.0</v>
      </c>
      <c xmlns="http://schemas.openxmlformats.org/spreadsheetml/2006/main" r="V59" s="22" t="str">
        <f t="shared" si="1"/>
        <v>▲ 單一設備依賴</v>
      </c>
      <c xmlns="http://schemas.openxmlformats.org/spreadsheetml/2006/main" r="W59" s="18" t="str">
        <f t="shared" si="2"/>
        <v>僅依賴1台設備，須確認故障/排修時之備援製程</v>
      </c>
      <c r="X59" s="22" t="s">
        <v>371</v>
      </c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745</v>
      </c>
      <c r="B60" s="22" t="s">
        <v>127</v>
      </c>
      <c r="C60" s="27" t="s">
        <v>191</v>
      </c>
      <c r="D60" s="22" t="s">
        <v>232</v>
      </c>
      <c r="E60" s="22" t="s">
        <v>211</v>
      </c>
      <c r="F60" s="23">
        <v>172</v>
      </c>
      <c r="G60" s="28" t="s">
        <v>75</v>
      </c>
      <c r="H60" s="24">
        <v>91</v>
      </c>
      <c r="I60" s="25" t="s">
        <v>76</v>
      </c>
      <c r="J60" s="25"/>
      <c r="K60" s="25"/>
      <c r="L60" s="25"/>
      <c r="M60" s="25"/>
      <c r="N60" s="25"/>
      <c r="O60" s="25" t="s">
        <v>438</v>
      </c>
      <c r="P60" s="25"/>
      <c r="Q60" s="25"/>
      <c r="R60" s="25"/>
      <c r="S60" s="25"/>
      <c r="T60" s="26"/>
      <c xmlns="http://schemas.openxmlformats.org/spreadsheetml/2006/main" r="U60" s="23">
        <f t="shared" si="0"/>
        <v>2.0</v>
      </c>
      <c xmlns="http://schemas.openxmlformats.org/spreadsheetml/2006/main" r="V60" s="22" t="str">
        <f t="shared" si="1"/>
        <v>OK</v>
      </c>
      <c xmlns="http://schemas.openxmlformats.org/spreadsheetml/2006/main" r="W60" s="18" t="str">
        <f t="shared" si="2"/>
        <v>無異常</v>
      </c>
      <c r="X60" s="22" t="s">
        <v>372</v>
      </c>
      <c r="Y60" s="22"/>
      <c xmlns="http://schemas.openxmlformats.org/spreadsheetml/2006/main" r="Z60">
        <f>IF($D60="",0,IF(COUNTIF($D$5:$D60,$D60)=1,1,0))</f>
        <v>1.0</v>
      </c>
      <c xmlns="http://schemas.openxmlformats.org/spreadsheetml/2006/main" r="AA60">
        <f>IF(Z60=1,SUM($Z$5:$Z60),"")</f>
        <v>8.0</v>
      </c>
    </row>
    <row r="61" spans="1:27">
      <c r="A61" s="22" t="s">
        <v>745</v>
      </c>
      <c r="B61" s="22" t="s">
        <v>127</v>
      </c>
      <c r="C61" s="27" t="s">
        <v>191</v>
      </c>
      <c r="D61" s="22" t="s">
        <v>232</v>
      </c>
      <c r="E61" s="22" t="s">
        <v>193</v>
      </c>
      <c r="F61" s="23">
        <v>46</v>
      </c>
      <c r="G61" s="28" t="s">
        <v>75</v>
      </c>
      <c r="H61" s="24">
        <v>66</v>
      </c>
      <c r="I61" s="25"/>
      <c r="J61" s="25"/>
      <c r="K61" s="25"/>
      <c r="L61" s="25"/>
      <c r="M61" s="25"/>
      <c r="N61" s="25"/>
      <c r="O61" s="25" t="s">
        <v>76</v>
      </c>
      <c r="P61" s="25"/>
      <c r="Q61" s="25"/>
      <c r="R61" s="25"/>
      <c r="S61" s="25"/>
      <c r="T61" s="26"/>
      <c xmlns="http://schemas.openxmlformats.org/spreadsheetml/2006/main" r="U61" s="23">
        <f t="shared" si="0"/>
        <v>1.0</v>
      </c>
      <c xmlns="http://schemas.openxmlformats.org/spreadsheetml/2006/main" r="V61" s="22" t="str">
        <f t="shared" si="1"/>
        <v>▲ 單一設備依賴</v>
      </c>
      <c xmlns="http://schemas.openxmlformats.org/spreadsheetml/2006/main" r="W61" s="18" t="str">
        <f t="shared" si="2"/>
        <v>僅依賴1台設備，須確認故障/排修時之備援製程</v>
      </c>
      <c r="X61" s="22" t="s">
        <v>372</v>
      </c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 t="s">
        <v>745</v>
      </c>
      <c r="B62" s="22" t="s">
        <v>127</v>
      </c>
      <c r="C62" s="27" t="s">
        <v>191</v>
      </c>
      <c r="D62" s="22" t="s">
        <v>232</v>
      </c>
      <c r="E62" s="22" t="s">
        <v>224</v>
      </c>
      <c r="F62" s="23">
        <v>4</v>
      </c>
      <c r="G62" s="28" t="s">
        <v>77</v>
      </c>
      <c r="H62" s="24">
        <v>77.27</v>
      </c>
      <c r="I62" s="25"/>
      <c r="J62" s="25"/>
      <c r="K62" s="25" t="s">
        <v>76</v>
      </c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>
        <f t="shared" si="0"/>
        <v>1.0</v>
      </c>
      <c xmlns="http://schemas.openxmlformats.org/spreadsheetml/2006/main" r="V62" s="22" t="str">
        <f t="shared" si="1"/>
        <v>▲ 單一設備依賴</v>
      </c>
      <c xmlns="http://schemas.openxmlformats.org/spreadsheetml/2006/main" r="W62" s="18" t="str">
        <f t="shared" si="2"/>
        <v>僅依賴1台設備，須確認故障/排修時之備援製程</v>
      </c>
      <c r="X62" s="22" t="s">
        <v>372</v>
      </c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745</v>
      </c>
      <c r="B63" s="22" t="s">
        <v>127</v>
      </c>
      <c r="C63" s="27" t="s">
        <v>191</v>
      </c>
      <c r="D63" s="22" t="s">
        <v>232</v>
      </c>
      <c r="E63" s="22" t="s">
        <v>233</v>
      </c>
      <c r="F63" s="23">
        <v>3</v>
      </c>
      <c r="G63" s="28" t="s">
        <v>77</v>
      </c>
      <c r="H63" s="24">
        <v>600</v>
      </c>
      <c r="I63" s="25"/>
      <c r="J63" s="25"/>
      <c r="K63" s="25" t="s">
        <v>76</v>
      </c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>
        <f t="shared" si="0"/>
        <v>1.0</v>
      </c>
      <c xmlns="http://schemas.openxmlformats.org/spreadsheetml/2006/main" r="V63" s="22" t="str">
        <f t="shared" si="1"/>
        <v>▲ 單一設備依賴</v>
      </c>
      <c xmlns="http://schemas.openxmlformats.org/spreadsheetml/2006/main" r="W63" s="18" t="str">
        <f t="shared" si="2"/>
        <v>僅依賴1台設備，須確認故障/排修時之備援製程</v>
      </c>
      <c r="X63" s="22" t="s">
        <v>372</v>
      </c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 t="s">
        <v>745</v>
      </c>
      <c r="B64" s="22" t="s">
        <v>127</v>
      </c>
      <c r="C64" s="27" t="s">
        <v>191</v>
      </c>
      <c r="D64" s="22" t="s">
        <v>232</v>
      </c>
      <c r="E64" s="22" t="s">
        <v>219</v>
      </c>
      <c r="F64" s="23">
        <v>3</v>
      </c>
      <c r="G64" s="28" t="s">
        <v>77</v>
      </c>
      <c r="H64" s="24">
        <v>1200</v>
      </c>
      <c r="I64" s="25"/>
      <c r="J64" s="25"/>
      <c r="K64" s="25" t="s">
        <v>76</v>
      </c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>
        <f t="shared" si="0"/>
        <v>1.0</v>
      </c>
      <c xmlns="http://schemas.openxmlformats.org/spreadsheetml/2006/main" r="V64" s="22" t="str">
        <f t="shared" si="1"/>
        <v>▲ 單一設備依賴</v>
      </c>
      <c xmlns="http://schemas.openxmlformats.org/spreadsheetml/2006/main" r="W64" s="18" t="str">
        <f t="shared" si="2"/>
        <v>僅依賴1台設備，須確認故障/排修時之備援製程</v>
      </c>
      <c r="X64" s="22" t="s">
        <v>372</v>
      </c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 t="s">
        <v>745</v>
      </c>
      <c r="B65" s="22" t="s">
        <v>127</v>
      </c>
      <c r="C65" s="27" t="s">
        <v>191</v>
      </c>
      <c r="D65" s="22" t="s">
        <v>232</v>
      </c>
      <c r="E65" s="22" t="s">
        <v>212</v>
      </c>
      <c r="F65" s="23">
        <v>20</v>
      </c>
      <c r="G65" s="28" t="s">
        <v>75</v>
      </c>
      <c r="H65" s="24">
        <v>42</v>
      </c>
      <c r="I65" s="25"/>
      <c r="J65" s="25"/>
      <c r="K65" s="25"/>
      <c r="L65" s="25"/>
      <c r="M65" s="25"/>
      <c r="N65" s="25"/>
      <c r="O65" s="25" t="s">
        <v>76</v>
      </c>
      <c r="P65" s="25"/>
      <c r="Q65" s="25"/>
      <c r="R65" s="25"/>
      <c r="S65" s="25"/>
      <c r="T65" s="26"/>
      <c xmlns="http://schemas.openxmlformats.org/spreadsheetml/2006/main" r="U65" s="23">
        <f t="shared" ref="U65:U128" si="3">IF($E65="","",COUNTIF($I65:$S65,"V"))</f>
        <v>1.0</v>
      </c>
      <c xmlns="http://schemas.openxmlformats.org/spreadsheetml/2006/main" r="V65" s="22" t="str">
        <f t="shared" ref="V65:V128" si="4">IF($E65="","",IF(AND($T65="V",$U65&gt;0),"⚠ 勾選矛盾",IF($T65="V","○ 免調理",IF($U65=0,"⚠ 資料缺漏",IF($U65=1,"▲ 單一設備依賴","OK")))))</f>
        <v>▲ 單一設備依賴</v>
      </c>
      <c xmlns="http://schemas.openxmlformats.org/spreadsheetml/2006/main" r="W65" s="18" t="str">
        <f t="shared" ref="W65:W128" si="5">IF($E65="","",IF(AND($T65="V",$U65&gt;0),"「無使用調理設備」不可與設備欄同時勾選，請擇一修正",IF($T65="V","免調理半成品（外購/僅切配等），不列入設備風險評估",IF($U65=0,"未勾選任何設備，請補填或勾選「無使用調理設備」",IF($U65=1,"僅依賴1台設備，須確認故障/排修時之備援製程","無異常")))))</f>
        <v>僅依賴1台設備，須確認故障/排修時之備援製程</v>
      </c>
      <c r="X65" s="22" t="s">
        <v>372</v>
      </c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 t="s">
        <v>745</v>
      </c>
      <c r="B66" s="22" t="s">
        <v>127</v>
      </c>
      <c r="C66" s="27" t="s">
        <v>191</v>
      </c>
      <c r="D66" s="22" t="s">
        <v>232</v>
      </c>
      <c r="E66" s="22" t="s">
        <v>202</v>
      </c>
      <c r="F66" s="23">
        <v>40</v>
      </c>
      <c r="G66" s="28" t="s">
        <v>75</v>
      </c>
      <c r="H66" s="24">
        <v>73</v>
      </c>
      <c r="I66" s="25"/>
      <c r="J66" s="25"/>
      <c r="K66" s="25"/>
      <c r="L66" s="25"/>
      <c r="M66" s="25"/>
      <c r="N66" s="25"/>
      <c r="O66" s="25" t="s">
        <v>76</v>
      </c>
      <c r="P66" s="25"/>
      <c r="Q66" s="25"/>
      <c r="R66" s="25"/>
      <c r="S66" s="25"/>
      <c r="T66" s="26"/>
      <c xmlns="http://schemas.openxmlformats.org/spreadsheetml/2006/main" r="U66" s="23">
        <f t="shared" si="3"/>
        <v>1.0</v>
      </c>
      <c xmlns="http://schemas.openxmlformats.org/spreadsheetml/2006/main" r="V66" s="22" t="str">
        <f t="shared" si="4"/>
        <v>▲ 單一設備依賴</v>
      </c>
      <c xmlns="http://schemas.openxmlformats.org/spreadsheetml/2006/main" r="W66" s="18" t="str">
        <f t="shared" si="5"/>
        <v>僅依賴1台設備，須確認故障/排修時之備援製程</v>
      </c>
      <c r="X66" s="22" t="s">
        <v>372</v>
      </c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745</v>
      </c>
      <c r="B67" s="22" t="s">
        <v>127</v>
      </c>
      <c r="C67" s="27" t="s">
        <v>191</v>
      </c>
      <c r="D67" s="22" t="s">
        <v>232</v>
      </c>
      <c r="E67" s="22" t="s">
        <v>197</v>
      </c>
      <c r="F67" s="23">
        <v>6</v>
      </c>
      <c r="G67" s="28" t="s">
        <v>75</v>
      </c>
      <c r="H67" s="24">
        <v>53</v>
      </c>
      <c r="I67" s="25"/>
      <c r="J67" s="25"/>
      <c r="K67" s="25"/>
      <c r="L67" s="25"/>
      <c r="M67" s="25"/>
      <c r="N67" s="25"/>
      <c r="O67" s="25" t="s">
        <v>76</v>
      </c>
      <c r="P67" s="25"/>
      <c r="Q67" s="25"/>
      <c r="R67" s="25"/>
      <c r="S67" s="25"/>
      <c r="T67" s="26"/>
      <c xmlns="http://schemas.openxmlformats.org/spreadsheetml/2006/main" r="U67" s="23">
        <f t="shared" si="3"/>
        <v>1.0</v>
      </c>
      <c xmlns="http://schemas.openxmlformats.org/spreadsheetml/2006/main" r="V67" s="22" t="str">
        <f t="shared" si="4"/>
        <v>▲ 單一設備依賴</v>
      </c>
      <c xmlns="http://schemas.openxmlformats.org/spreadsheetml/2006/main" r="W67" s="18" t="str">
        <f t="shared" si="5"/>
        <v>僅依賴1台設備，須確認故障/排修時之備援製程</v>
      </c>
      <c r="X67" s="22" t="s">
        <v>372</v>
      </c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 t="s">
        <v>745</v>
      </c>
      <c r="B68" s="22" t="s">
        <v>127</v>
      </c>
      <c r="C68" s="27" t="s">
        <v>191</v>
      </c>
      <c r="D68" s="22" t="s">
        <v>234</v>
      </c>
      <c r="E68" s="22" t="s">
        <v>213</v>
      </c>
      <c r="F68" s="23">
        <v>210</v>
      </c>
      <c r="G68" s="28" t="s">
        <v>75</v>
      </c>
      <c r="H68" s="24">
        <v>77.599999999999994</v>
      </c>
      <c r="I68" s="25" t="s">
        <v>76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>
        <f t="shared" si="3"/>
        <v>1.0</v>
      </c>
      <c xmlns="http://schemas.openxmlformats.org/spreadsheetml/2006/main" r="V68" s="22" t="str">
        <f t="shared" si="4"/>
        <v>▲ 單一設備依賴</v>
      </c>
      <c xmlns="http://schemas.openxmlformats.org/spreadsheetml/2006/main" r="W68" s="18" t="str">
        <f t="shared" si="5"/>
        <v>僅依賴1台設備，須確認故障/排修時之備援製程</v>
      </c>
      <c r="X68" s="22" t="s">
        <v>376</v>
      </c>
      <c r="Y68" s="22"/>
      <c xmlns="http://schemas.openxmlformats.org/spreadsheetml/2006/main" r="Z68">
        <f>IF($D68="",0,IF(COUNTIF($D$5:$D68,$D68)=1,1,0))</f>
        <v>1.0</v>
      </c>
      <c xmlns="http://schemas.openxmlformats.org/spreadsheetml/2006/main" r="AA68">
        <f>IF(Z68=1,SUM($Z$5:$Z68),"")</f>
        <v>9.0</v>
      </c>
    </row>
    <row r="69" spans="1:27">
      <c r="A69" s="22" t="s">
        <v>745</v>
      </c>
      <c r="B69" s="22" t="s">
        <v>127</v>
      </c>
      <c r="C69" s="27" t="s">
        <v>191</v>
      </c>
      <c r="D69" s="22" t="s">
        <v>234</v>
      </c>
      <c r="E69" s="22" t="s">
        <v>195</v>
      </c>
      <c r="F69" s="23">
        <v>65</v>
      </c>
      <c r="G69" s="28" t="s">
        <v>75</v>
      </c>
      <c r="H69" s="24">
        <v>51</v>
      </c>
      <c r="I69" s="25"/>
      <c r="J69" s="25"/>
      <c r="K69" s="25"/>
      <c r="L69" s="25"/>
      <c r="M69" s="25"/>
      <c r="N69" s="25"/>
      <c r="O69" s="25" t="s">
        <v>76</v>
      </c>
      <c r="P69" s="25"/>
      <c r="Q69" s="25"/>
      <c r="R69" s="25"/>
      <c r="S69" s="25"/>
      <c r="T69" s="26"/>
      <c xmlns="http://schemas.openxmlformats.org/spreadsheetml/2006/main" r="U69" s="23">
        <f t="shared" si="3"/>
        <v>1.0</v>
      </c>
      <c xmlns="http://schemas.openxmlformats.org/spreadsheetml/2006/main" r="V69" s="22" t="str">
        <f t="shared" si="4"/>
        <v>▲ 單一設備依賴</v>
      </c>
      <c xmlns="http://schemas.openxmlformats.org/spreadsheetml/2006/main" r="W69" s="18" t="str">
        <f t="shared" si="5"/>
        <v>僅依賴1台設備，須確認故障/排修時之備援製程</v>
      </c>
      <c r="X69" s="22" t="s">
        <v>376</v>
      </c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745</v>
      </c>
      <c r="B70" s="22" t="s">
        <v>127</v>
      </c>
      <c r="C70" s="27" t="s">
        <v>191</v>
      </c>
      <c r="D70" s="22" t="s">
        <v>234</v>
      </c>
      <c r="E70" s="22" t="s">
        <v>235</v>
      </c>
      <c r="F70" s="23">
        <v>3</v>
      </c>
      <c r="G70" s="28" t="s">
        <v>77</v>
      </c>
      <c r="H70" s="24">
        <v>54.7</v>
      </c>
      <c r="I70" s="25"/>
      <c r="J70" s="25"/>
      <c r="K70" s="25" t="s">
        <v>76</v>
      </c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>
        <f t="shared" si="3"/>
        <v>1.0</v>
      </c>
      <c xmlns="http://schemas.openxmlformats.org/spreadsheetml/2006/main" r="V70" s="22" t="str">
        <f t="shared" si="4"/>
        <v>▲ 單一設備依賴</v>
      </c>
      <c xmlns="http://schemas.openxmlformats.org/spreadsheetml/2006/main" r="W70" s="18" t="str">
        <f t="shared" si="5"/>
        <v>僅依賴1台設備，須確認故障/排修時之備援製程</v>
      </c>
      <c r="X70" s="22" t="s">
        <v>376</v>
      </c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 t="s">
        <v>745</v>
      </c>
      <c r="B71" s="22" t="s">
        <v>127</v>
      </c>
      <c r="C71" s="27" t="s">
        <v>191</v>
      </c>
      <c r="D71" s="22" t="s">
        <v>234</v>
      </c>
      <c r="E71" s="22" t="s">
        <v>193</v>
      </c>
      <c r="F71" s="23">
        <v>40</v>
      </c>
      <c r="G71" s="28" t="s">
        <v>75</v>
      </c>
      <c r="H71" s="24">
        <v>66</v>
      </c>
      <c r="I71" s="25"/>
      <c r="J71" s="25"/>
      <c r="K71" s="25"/>
      <c r="L71" s="25"/>
      <c r="M71" s="25"/>
      <c r="N71" s="25"/>
      <c r="O71" s="25" t="s">
        <v>76</v>
      </c>
      <c r="P71" s="25"/>
      <c r="Q71" s="25"/>
      <c r="R71" s="25"/>
      <c r="S71" s="25"/>
      <c r="T71" s="26"/>
      <c xmlns="http://schemas.openxmlformats.org/spreadsheetml/2006/main" r="U71" s="23">
        <f t="shared" si="3"/>
        <v>1.0</v>
      </c>
      <c xmlns="http://schemas.openxmlformats.org/spreadsheetml/2006/main" r="V71" s="22" t="str">
        <f t="shared" si="4"/>
        <v>▲ 單一設備依賴</v>
      </c>
      <c xmlns="http://schemas.openxmlformats.org/spreadsheetml/2006/main" r="W71" s="18" t="str">
        <f t="shared" si="5"/>
        <v>僅依賴1台設備，須確認故障/排修時之備援製程</v>
      </c>
      <c r="X71" s="22" t="s">
        <v>376</v>
      </c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 t="s">
        <v>745</v>
      </c>
      <c r="B72" s="22" t="s">
        <v>127</v>
      </c>
      <c r="C72" s="27" t="s">
        <v>191</v>
      </c>
      <c r="D72" s="22" t="s">
        <v>234</v>
      </c>
      <c r="E72" s="22" t="s">
        <v>225</v>
      </c>
      <c r="F72" s="23">
        <v>4</v>
      </c>
      <c r="G72" s="28" t="s">
        <v>77</v>
      </c>
      <c r="H72" s="24">
        <v>100</v>
      </c>
      <c r="I72" s="25"/>
      <c r="J72" s="25"/>
      <c r="K72" s="25"/>
      <c r="L72" s="25"/>
      <c r="M72" s="25" t="s">
        <v>76</v>
      </c>
      <c r="N72" s="25"/>
      <c r="O72" s="25"/>
      <c r="P72" s="25"/>
      <c r="Q72" s="25"/>
      <c r="R72" s="25"/>
      <c r="S72" s="25"/>
      <c r="T72" s="26"/>
      <c xmlns="http://schemas.openxmlformats.org/spreadsheetml/2006/main" r="U72" s="23">
        <f t="shared" si="3"/>
        <v>1.0</v>
      </c>
      <c xmlns="http://schemas.openxmlformats.org/spreadsheetml/2006/main" r="V72" s="22" t="str">
        <f t="shared" si="4"/>
        <v>▲ 單一設備依賴</v>
      </c>
      <c xmlns="http://schemas.openxmlformats.org/spreadsheetml/2006/main" r="W72" s="18" t="str">
        <f t="shared" si="5"/>
        <v>僅依賴1台設備，須確認故障/排修時之備援製程</v>
      </c>
      <c r="X72" s="22" t="s">
        <v>376</v>
      </c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 t="s">
        <v>745</v>
      </c>
      <c r="B73" s="22" t="s">
        <v>127</v>
      </c>
      <c r="C73" s="27" t="s">
        <v>191</v>
      </c>
      <c r="D73" s="22" t="s">
        <v>234</v>
      </c>
      <c r="E73" s="22" t="s">
        <v>220</v>
      </c>
      <c r="F73" s="23">
        <v>8</v>
      </c>
      <c r="G73" s="28" t="s">
        <v>77</v>
      </c>
      <c r="H73" s="24">
        <v>600</v>
      </c>
      <c r="I73" s="25"/>
      <c r="J73" s="25"/>
      <c r="K73" s="25" t="s">
        <v>76</v>
      </c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>
        <f t="shared" si="3"/>
        <v>1.0</v>
      </c>
      <c xmlns="http://schemas.openxmlformats.org/spreadsheetml/2006/main" r="V73" s="22" t="str">
        <f t="shared" si="4"/>
        <v>▲ 單一設備依賴</v>
      </c>
      <c xmlns="http://schemas.openxmlformats.org/spreadsheetml/2006/main" r="W73" s="18" t="str">
        <f t="shared" si="5"/>
        <v>僅依賴1台設備，須確認故障/排修時之備援製程</v>
      </c>
      <c r="X73" s="22" t="s">
        <v>376</v>
      </c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 t="s">
        <v>745</v>
      </c>
      <c r="B74" s="22" t="s">
        <v>127</v>
      </c>
      <c r="C74" s="27" t="s">
        <v>191</v>
      </c>
      <c r="D74" s="22" t="s">
        <v>234</v>
      </c>
      <c r="E74" s="22" t="s">
        <v>197</v>
      </c>
      <c r="F74" s="23">
        <v>10</v>
      </c>
      <c r="G74" s="28" t="s">
        <v>75</v>
      </c>
      <c r="H74" s="24">
        <v>53</v>
      </c>
      <c r="I74" s="25"/>
      <c r="J74" s="25"/>
      <c r="K74" s="25"/>
      <c r="L74" s="25"/>
      <c r="M74" s="25"/>
      <c r="N74" s="25"/>
      <c r="O74" s="25" t="s">
        <v>76</v>
      </c>
      <c r="P74" s="25"/>
      <c r="Q74" s="25"/>
      <c r="R74" s="25"/>
      <c r="S74" s="25"/>
      <c r="T74" s="26"/>
      <c xmlns="http://schemas.openxmlformats.org/spreadsheetml/2006/main" r="U74" s="23">
        <f t="shared" si="3"/>
        <v>1.0</v>
      </c>
      <c xmlns="http://schemas.openxmlformats.org/spreadsheetml/2006/main" r="V74" s="22" t="str">
        <f t="shared" si="4"/>
        <v>▲ 單一設備依賴</v>
      </c>
      <c xmlns="http://schemas.openxmlformats.org/spreadsheetml/2006/main" r="W74" s="18" t="str">
        <f t="shared" si="5"/>
        <v>僅依賴1台設備，須確認故障/排修時之備援製程</v>
      </c>
      <c r="X74" s="22" t="s">
        <v>376</v>
      </c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s">
        <v>744</v>
      </c>
      <c r="B75" s="22" t="s">
        <v>127</v>
      </c>
      <c r="C75" s="27" t="s">
        <v>191</v>
      </c>
      <c r="D75" s="22" t="s">
        <v>236</v>
      </c>
      <c r="E75" s="22" t="s">
        <v>273</v>
      </c>
      <c r="F75" s="23">
        <v>2</v>
      </c>
      <c r="G75" s="28" t="s">
        <v>77</v>
      </c>
      <c r="H75" s="24">
        <v>99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 t="s">
        <v>438</v>
      </c>
      <c xmlns="http://schemas.openxmlformats.org/spreadsheetml/2006/main" r="U75" s="23">
        <f t="shared" si="3"/>
        <v>0.0</v>
      </c>
      <c xmlns="http://schemas.openxmlformats.org/spreadsheetml/2006/main" r="V75" s="22" t="str">
        <f t="shared" si="4"/>
        <v>○ 免調理</v>
      </c>
      <c xmlns="http://schemas.openxmlformats.org/spreadsheetml/2006/main" r="W75" s="18" t="str">
        <f t="shared" si="5"/>
        <v>免調理半成品（外購/僅切配等），不列入設備風險評估</v>
      </c>
      <c r="X75" s="22" t="s">
        <v>377</v>
      </c>
      <c r="Y75" s="22"/>
      <c xmlns="http://schemas.openxmlformats.org/spreadsheetml/2006/main" r="Z75">
        <f>IF($D75="",0,IF(COUNTIF($D$5:$D75,$D75)=1,1,0))</f>
        <v>1.0</v>
      </c>
      <c xmlns="http://schemas.openxmlformats.org/spreadsheetml/2006/main" r="AA75">
        <f>IF(Z75=1,SUM($Z$5:$Z75),"")</f>
        <v>10.0</v>
      </c>
    </row>
    <row r="76" spans="1:27">
      <c r="A76" s="22" t="s">
        <v>744</v>
      </c>
      <c r="B76" s="22" t="s">
        <v>127</v>
      </c>
      <c r="C76" s="27" t="s">
        <v>191</v>
      </c>
      <c r="D76" s="22" t="s">
        <v>236</v>
      </c>
      <c r="E76" s="22" t="s">
        <v>237</v>
      </c>
      <c r="F76" s="23">
        <v>1</v>
      </c>
      <c r="G76" s="28" t="s">
        <v>77</v>
      </c>
      <c r="H76" s="24">
        <v>77.58</v>
      </c>
      <c r="I76" s="25"/>
      <c r="J76" s="25"/>
      <c r="K76" s="25"/>
      <c r="L76" s="25"/>
      <c r="M76" s="25" t="s">
        <v>76</v>
      </c>
      <c r="N76" s="25"/>
      <c r="O76" s="25"/>
      <c r="P76" s="25"/>
      <c r="Q76" s="25"/>
      <c r="R76" s="25"/>
      <c r="S76" s="25"/>
      <c r="T76" s="26"/>
      <c xmlns="http://schemas.openxmlformats.org/spreadsheetml/2006/main" r="U76" s="23">
        <f t="shared" si="3"/>
        <v>1.0</v>
      </c>
      <c xmlns="http://schemas.openxmlformats.org/spreadsheetml/2006/main" r="V76" s="22" t="str">
        <f t="shared" si="4"/>
        <v>▲ 單一設備依賴</v>
      </c>
      <c xmlns="http://schemas.openxmlformats.org/spreadsheetml/2006/main" r="W76" s="18" t="str">
        <f t="shared" si="5"/>
        <v>僅依賴1台設備，須確認故障/排修時之備援製程</v>
      </c>
      <c r="X76" s="22" t="s">
        <v>377</v>
      </c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s">
        <v>744</v>
      </c>
      <c r="B77" s="22" t="s">
        <v>127</v>
      </c>
      <c r="C77" s="27" t="s">
        <v>191</v>
      </c>
      <c r="D77" s="22" t="s">
        <v>236</v>
      </c>
      <c r="E77" s="22" t="s">
        <v>214</v>
      </c>
      <c r="F77" s="23">
        <v>80</v>
      </c>
      <c r="G77" s="28" t="s">
        <v>75</v>
      </c>
      <c r="H77" s="24">
        <v>50</v>
      </c>
      <c r="I77" s="25"/>
      <c r="J77" s="25"/>
      <c r="K77" s="25"/>
      <c r="L77" s="25"/>
      <c r="M77" s="25"/>
      <c r="N77" s="25"/>
      <c r="O77" s="25" t="s">
        <v>76</v>
      </c>
      <c r="P77" s="25"/>
      <c r="Q77" s="25"/>
      <c r="R77" s="25"/>
      <c r="S77" s="25"/>
      <c r="T77" s="26"/>
      <c xmlns="http://schemas.openxmlformats.org/spreadsheetml/2006/main" r="U77" s="23">
        <f t="shared" si="3"/>
        <v>1.0</v>
      </c>
      <c xmlns="http://schemas.openxmlformats.org/spreadsheetml/2006/main" r="V77" s="22" t="str">
        <f t="shared" si="4"/>
        <v>▲ 單一設備依賴</v>
      </c>
      <c xmlns="http://schemas.openxmlformats.org/spreadsheetml/2006/main" r="W77" s="18" t="str">
        <f t="shared" si="5"/>
        <v>僅依賴1台設備，須確認故障/排修時之備援製程</v>
      </c>
      <c r="X77" s="22" t="s">
        <v>377</v>
      </c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s">
        <v>744</v>
      </c>
      <c r="B78" s="22" t="s">
        <v>127</v>
      </c>
      <c r="C78" s="27" t="s">
        <v>191</v>
      </c>
      <c r="D78" s="22" t="s">
        <v>236</v>
      </c>
      <c r="E78" s="22" t="s">
        <v>215</v>
      </c>
      <c r="F78" s="23">
        <v>70</v>
      </c>
      <c r="G78" s="28" t="s">
        <v>75</v>
      </c>
      <c r="H78" s="24">
        <v>52</v>
      </c>
      <c r="I78" s="25"/>
      <c r="J78" s="25"/>
      <c r="K78" s="25"/>
      <c r="L78" s="25"/>
      <c r="M78" s="25"/>
      <c r="N78" s="25"/>
      <c r="O78" s="25" t="s">
        <v>76</v>
      </c>
      <c r="P78" s="25"/>
      <c r="Q78" s="25"/>
      <c r="R78" s="25"/>
      <c r="S78" s="25"/>
      <c r="T78" s="26"/>
      <c xmlns="http://schemas.openxmlformats.org/spreadsheetml/2006/main" r="U78" s="23">
        <f t="shared" si="3"/>
        <v>1.0</v>
      </c>
      <c xmlns="http://schemas.openxmlformats.org/spreadsheetml/2006/main" r="V78" s="22" t="str">
        <f t="shared" si="4"/>
        <v>▲ 單一設備依賴</v>
      </c>
      <c xmlns="http://schemas.openxmlformats.org/spreadsheetml/2006/main" r="W78" s="18" t="str">
        <f t="shared" si="5"/>
        <v>僅依賴1台設備，須確認故障/排修時之備援製程</v>
      </c>
      <c r="X78" s="22" t="s">
        <v>377</v>
      </c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 t="s">
        <v>744</v>
      </c>
      <c r="B79" s="22" t="s">
        <v>127</v>
      </c>
      <c r="C79" s="27" t="s">
        <v>191</v>
      </c>
      <c r="D79" s="22" t="s">
        <v>236</v>
      </c>
      <c r="E79" s="22" t="s">
        <v>225</v>
      </c>
      <c r="F79" s="23">
        <v>4</v>
      </c>
      <c r="G79" s="28" t="s">
        <v>77</v>
      </c>
      <c r="H79" s="24">
        <v>100</v>
      </c>
      <c r="I79" s="25"/>
      <c r="J79" s="25"/>
      <c r="K79" s="25"/>
      <c r="L79" s="25"/>
      <c r="M79" s="25" t="s">
        <v>76</v>
      </c>
      <c r="N79" s="25"/>
      <c r="O79" s="25"/>
      <c r="P79" s="25"/>
      <c r="Q79" s="25"/>
      <c r="R79" s="25"/>
      <c r="S79" s="25"/>
      <c r="T79" s="26"/>
      <c xmlns="http://schemas.openxmlformats.org/spreadsheetml/2006/main" r="U79" s="23">
        <f t="shared" si="3"/>
        <v>1.0</v>
      </c>
      <c xmlns="http://schemas.openxmlformats.org/spreadsheetml/2006/main" r="V79" s="22" t="str">
        <f t="shared" si="4"/>
        <v>▲ 單一設備依賴</v>
      </c>
      <c xmlns="http://schemas.openxmlformats.org/spreadsheetml/2006/main" r="W79" s="18" t="str">
        <f t="shared" si="5"/>
        <v>僅依賴1台設備，須確認故障/排修時之備援製程</v>
      </c>
      <c r="X79" s="22" t="s">
        <v>377</v>
      </c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 t="s">
        <v>744</v>
      </c>
      <c r="B80" s="22" t="s">
        <v>127</v>
      </c>
      <c r="C80" s="27" t="s">
        <v>191</v>
      </c>
      <c r="D80" s="22" t="s">
        <v>236</v>
      </c>
      <c r="E80" s="22" t="s">
        <v>193</v>
      </c>
      <c r="F80" s="23">
        <v>32</v>
      </c>
      <c r="G80" s="28" t="s">
        <v>75</v>
      </c>
      <c r="H80" s="24">
        <v>63</v>
      </c>
      <c r="I80" s="25"/>
      <c r="J80" s="25"/>
      <c r="K80" s="25"/>
      <c r="L80" s="25"/>
      <c r="M80" s="25"/>
      <c r="N80" s="25"/>
      <c r="O80" s="25" t="s">
        <v>76</v>
      </c>
      <c r="P80" s="25"/>
      <c r="Q80" s="25"/>
      <c r="R80" s="25"/>
      <c r="S80" s="25"/>
      <c r="T80" s="26"/>
      <c xmlns="http://schemas.openxmlformats.org/spreadsheetml/2006/main" r="U80" s="23">
        <f t="shared" si="3"/>
        <v>1.0</v>
      </c>
      <c xmlns="http://schemas.openxmlformats.org/spreadsheetml/2006/main" r="V80" s="22" t="str">
        <f t="shared" si="4"/>
        <v>▲ 單一設備依賴</v>
      </c>
      <c xmlns="http://schemas.openxmlformats.org/spreadsheetml/2006/main" r="W80" s="18" t="str">
        <f t="shared" si="5"/>
        <v>僅依賴1台設備，須確認故障/排修時之備援製程</v>
      </c>
      <c r="X80" s="22" t="s">
        <v>377</v>
      </c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 t="s">
        <v>744</v>
      </c>
      <c r="B81" s="22" t="s">
        <v>127</v>
      </c>
      <c r="C81" s="27" t="s">
        <v>191</v>
      </c>
      <c r="D81" s="22" t="s">
        <v>236</v>
      </c>
      <c r="E81" s="22" t="s">
        <v>219</v>
      </c>
      <c r="F81" s="23">
        <v>4</v>
      </c>
      <c r="G81" s="28" t="s">
        <v>77</v>
      </c>
      <c r="H81" s="24">
        <v>1200</v>
      </c>
      <c r="I81" s="25"/>
      <c r="J81" s="25"/>
      <c r="K81" s="25" t="s">
        <v>76</v>
      </c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>
        <f t="shared" si="3"/>
        <v>1.0</v>
      </c>
      <c xmlns="http://schemas.openxmlformats.org/spreadsheetml/2006/main" r="V81" s="22" t="str">
        <f t="shared" si="4"/>
        <v>▲ 單一設備依賴</v>
      </c>
      <c xmlns="http://schemas.openxmlformats.org/spreadsheetml/2006/main" r="W81" s="18" t="str">
        <f t="shared" si="5"/>
        <v>僅依賴1台設備，須確認故障/排修時之備援製程</v>
      </c>
      <c r="X81" s="22" t="s">
        <v>377</v>
      </c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 t="s">
        <v>744</v>
      </c>
      <c r="B82" s="22" t="s">
        <v>127</v>
      </c>
      <c r="C82" s="27" t="s">
        <v>191</v>
      </c>
      <c r="D82" s="22" t="s">
        <v>236</v>
      </c>
      <c r="E82" s="22" t="s">
        <v>238</v>
      </c>
      <c r="F82" s="23">
        <v>1</v>
      </c>
      <c r="G82" s="28" t="s">
        <v>77</v>
      </c>
      <c r="H82" s="24">
        <v>100</v>
      </c>
      <c r="I82" s="25"/>
      <c r="J82" s="25"/>
      <c r="K82" s="25" t="s">
        <v>76</v>
      </c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>
        <f t="shared" si="3"/>
        <v>1.0</v>
      </c>
      <c xmlns="http://schemas.openxmlformats.org/spreadsheetml/2006/main" r="V82" s="22" t="str">
        <f t="shared" si="4"/>
        <v>▲ 單一設備依賴</v>
      </c>
      <c xmlns="http://schemas.openxmlformats.org/spreadsheetml/2006/main" r="W82" s="18" t="str">
        <f t="shared" si="5"/>
        <v>僅依賴1台設備，須確認故障/排修時之備援製程</v>
      </c>
      <c r="X82" s="22" t="s">
        <v>377</v>
      </c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 t="s">
        <v>744</v>
      </c>
      <c r="B83" s="22" t="s">
        <v>127</v>
      </c>
      <c r="C83" s="27" t="s">
        <v>191</v>
      </c>
      <c r="D83" s="22" t="s">
        <v>236</v>
      </c>
      <c r="E83" s="22" t="s">
        <v>216</v>
      </c>
      <c r="F83" s="23">
        <v>8</v>
      </c>
      <c r="G83" s="28" t="s">
        <v>75</v>
      </c>
      <c r="H83" s="24">
        <v>46</v>
      </c>
      <c r="I83" s="25"/>
      <c r="J83" s="25"/>
      <c r="K83" s="25"/>
      <c r="L83" s="25"/>
      <c r="M83" s="25"/>
      <c r="N83" s="25"/>
      <c r="O83" s="25" t="s">
        <v>76</v>
      </c>
      <c r="P83" s="25"/>
      <c r="Q83" s="25"/>
      <c r="R83" s="25"/>
      <c r="S83" s="25"/>
      <c r="T83" s="26"/>
      <c xmlns="http://schemas.openxmlformats.org/spreadsheetml/2006/main" r="U83" s="23">
        <f t="shared" si="3"/>
        <v>1.0</v>
      </c>
      <c xmlns="http://schemas.openxmlformats.org/spreadsheetml/2006/main" r="V83" s="22" t="str">
        <f t="shared" si="4"/>
        <v>▲ 單一設備依賴</v>
      </c>
      <c xmlns="http://schemas.openxmlformats.org/spreadsheetml/2006/main" r="W83" s="18" t="str">
        <f t="shared" si="5"/>
        <v>僅依賴1台設備，須確認故障/排修時之備援製程</v>
      </c>
      <c r="X83" s="22" t="s">
        <v>377</v>
      </c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 t="s">
        <v>745</v>
      </c>
      <c r="B84" s="22" t="s">
        <v>127</v>
      </c>
      <c r="C84" s="27" t="s">
        <v>191</v>
      </c>
      <c r="D84" s="22" t="s">
        <v>239</v>
      </c>
      <c r="E84" s="22" t="s">
        <v>184</v>
      </c>
      <c r="F84" s="23">
        <v>224</v>
      </c>
      <c r="G84" s="28" t="s">
        <v>75</v>
      </c>
      <c r="H84" s="24">
        <v>94</v>
      </c>
      <c r="I84" s="25" t="s">
        <v>76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>
        <f t="shared" si="3"/>
        <v>1.0</v>
      </c>
      <c xmlns="http://schemas.openxmlformats.org/spreadsheetml/2006/main" r="V84" s="22" t="str">
        <f t="shared" si="4"/>
        <v>▲ 單一設備依賴</v>
      </c>
      <c xmlns="http://schemas.openxmlformats.org/spreadsheetml/2006/main" r="W84" s="18" t="str">
        <f t="shared" si="5"/>
        <v>僅依賴1台設備，須確認故障/排修時之備援製程</v>
      </c>
      <c r="X84" s="22" t="s">
        <v>378</v>
      </c>
      <c r="Y84" s="22"/>
      <c xmlns="http://schemas.openxmlformats.org/spreadsheetml/2006/main" r="Z84">
        <f>IF($D84="",0,IF(COUNTIF($D$5:$D84,$D84)=1,1,0))</f>
        <v>1.0</v>
      </c>
      <c xmlns="http://schemas.openxmlformats.org/spreadsheetml/2006/main" r="AA84">
        <f>IF(Z84=1,SUM($Z$5:$Z84),"")</f>
        <v>11.0</v>
      </c>
    </row>
    <row r="85" spans="1:27">
      <c r="A85" s="22" t="s">
        <v>745</v>
      </c>
      <c r="B85" s="22" t="s">
        <v>127</v>
      </c>
      <c r="C85" s="27" t="s">
        <v>191</v>
      </c>
      <c r="D85" s="22" t="s">
        <v>239</v>
      </c>
      <c r="E85" s="22" t="s">
        <v>217</v>
      </c>
      <c r="F85" s="23">
        <v>30</v>
      </c>
      <c r="G85" s="28" t="s">
        <v>75</v>
      </c>
      <c r="H85" s="24">
        <v>50</v>
      </c>
      <c r="I85" s="25"/>
      <c r="J85" s="25"/>
      <c r="K85" s="25"/>
      <c r="L85" s="25"/>
      <c r="M85" s="25"/>
      <c r="N85" s="25"/>
      <c r="O85" s="25" t="s">
        <v>76</v>
      </c>
      <c r="P85" s="25"/>
      <c r="Q85" s="25"/>
      <c r="R85" s="25"/>
      <c r="S85" s="25"/>
      <c r="T85" s="26"/>
      <c xmlns="http://schemas.openxmlformats.org/spreadsheetml/2006/main" r="U85" s="23">
        <f t="shared" si="3"/>
        <v>1.0</v>
      </c>
      <c xmlns="http://schemas.openxmlformats.org/spreadsheetml/2006/main" r="V85" s="22" t="str">
        <f t="shared" si="4"/>
        <v>▲ 單一設備依賴</v>
      </c>
      <c xmlns="http://schemas.openxmlformats.org/spreadsheetml/2006/main" r="W85" s="18" t="str">
        <f t="shared" si="5"/>
        <v>僅依賴1台設備，須確認故障/排修時之備援製程</v>
      </c>
      <c r="X85" s="22" t="s">
        <v>378</v>
      </c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 t="s">
        <v>745</v>
      </c>
      <c r="B86" s="22" t="s">
        <v>127</v>
      </c>
      <c r="C86" s="27" t="s">
        <v>191</v>
      </c>
      <c r="D86" s="22" t="s">
        <v>239</v>
      </c>
      <c r="E86" s="22" t="s">
        <v>218</v>
      </c>
      <c r="F86" s="23">
        <v>23</v>
      </c>
      <c r="G86" s="28" t="s">
        <v>75</v>
      </c>
      <c r="H86" s="24">
        <v>49</v>
      </c>
      <c r="I86" s="25"/>
      <c r="J86" s="25"/>
      <c r="K86" s="25"/>
      <c r="L86" s="25"/>
      <c r="M86" s="25"/>
      <c r="N86" s="25"/>
      <c r="O86" s="25" t="s">
        <v>76</v>
      </c>
      <c r="P86" s="25"/>
      <c r="Q86" s="25"/>
      <c r="R86" s="25"/>
      <c r="S86" s="25"/>
      <c r="T86" s="26"/>
      <c xmlns="http://schemas.openxmlformats.org/spreadsheetml/2006/main" r="U86" s="23">
        <f t="shared" si="3"/>
        <v>1.0</v>
      </c>
      <c xmlns="http://schemas.openxmlformats.org/spreadsheetml/2006/main" r="V86" s="22" t="str">
        <f t="shared" si="4"/>
        <v>▲ 單一設備依賴</v>
      </c>
      <c xmlns="http://schemas.openxmlformats.org/spreadsheetml/2006/main" r="W86" s="18" t="str">
        <f t="shared" si="5"/>
        <v>僅依賴1台設備，須確認故障/排修時之備援製程</v>
      </c>
      <c r="X86" s="22" t="s">
        <v>378</v>
      </c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 t="s">
        <v>745</v>
      </c>
      <c r="B87" s="22" t="s">
        <v>127</v>
      </c>
      <c r="C87" s="27" t="s">
        <v>191</v>
      </c>
      <c r="D87" s="22" t="s">
        <v>239</v>
      </c>
      <c r="E87" s="22" t="s">
        <v>195</v>
      </c>
      <c r="F87" s="23">
        <v>23</v>
      </c>
      <c r="G87" s="28" t="s">
        <v>75</v>
      </c>
      <c r="H87" s="24">
        <v>51</v>
      </c>
      <c r="I87" s="25"/>
      <c r="J87" s="25"/>
      <c r="K87" s="25"/>
      <c r="L87" s="25"/>
      <c r="M87" s="25"/>
      <c r="N87" s="25"/>
      <c r="O87" s="25" t="s">
        <v>76</v>
      </c>
      <c r="P87" s="25"/>
      <c r="Q87" s="25"/>
      <c r="R87" s="25"/>
      <c r="S87" s="25"/>
      <c r="T87" s="26"/>
      <c xmlns="http://schemas.openxmlformats.org/spreadsheetml/2006/main" r="U87" s="23">
        <f t="shared" si="3"/>
        <v>1.0</v>
      </c>
      <c xmlns="http://schemas.openxmlformats.org/spreadsheetml/2006/main" r="V87" s="22" t="str">
        <f t="shared" si="4"/>
        <v>▲ 單一設備依賴</v>
      </c>
      <c xmlns="http://schemas.openxmlformats.org/spreadsheetml/2006/main" r="W87" s="18" t="str">
        <f t="shared" si="5"/>
        <v>僅依賴1台設備，須確認故障/排修時之備援製程</v>
      </c>
      <c r="X87" s="22" t="s">
        <v>378</v>
      </c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 t="s">
        <v>745</v>
      </c>
      <c r="B88" s="22" t="s">
        <v>127</v>
      </c>
      <c r="C88" s="27" t="s">
        <v>191</v>
      </c>
      <c r="D88" s="22" t="s">
        <v>239</v>
      </c>
      <c r="E88" s="22" t="s">
        <v>240</v>
      </c>
      <c r="F88" s="23">
        <v>4</v>
      </c>
      <c r="G88" s="28" t="s">
        <v>77</v>
      </c>
      <c r="H88" s="24">
        <v>700</v>
      </c>
      <c r="I88" s="25"/>
      <c r="J88" s="25"/>
      <c r="K88" s="25" t="s">
        <v>76</v>
      </c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>
        <f t="shared" si="3"/>
        <v>1.0</v>
      </c>
      <c xmlns="http://schemas.openxmlformats.org/spreadsheetml/2006/main" r="V88" s="22" t="str">
        <f t="shared" si="4"/>
        <v>▲ 單一設備依賴</v>
      </c>
      <c xmlns="http://schemas.openxmlformats.org/spreadsheetml/2006/main" r="W88" s="18" t="str">
        <f t="shared" si="5"/>
        <v>僅依賴1台設備，須確認故障/排修時之備援製程</v>
      </c>
      <c r="X88" s="22" t="s">
        <v>378</v>
      </c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 t="s">
        <v>745</v>
      </c>
      <c r="B89" s="22" t="s">
        <v>127</v>
      </c>
      <c r="C89" s="27" t="s">
        <v>191</v>
      </c>
      <c r="D89" s="22" t="s">
        <v>239</v>
      </c>
      <c r="E89" s="22" t="s">
        <v>241</v>
      </c>
      <c r="F89" s="23">
        <v>3</v>
      </c>
      <c r="G89" s="28" t="s">
        <v>77</v>
      </c>
      <c r="H89" s="24">
        <v>200</v>
      </c>
      <c r="I89" s="25"/>
      <c r="J89" s="25"/>
      <c r="K89" s="25" t="s">
        <v>76</v>
      </c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>
        <f t="shared" si="3"/>
        <v>1.0</v>
      </c>
      <c xmlns="http://schemas.openxmlformats.org/spreadsheetml/2006/main" r="V89" s="22" t="str">
        <f t="shared" si="4"/>
        <v>▲ 單一設備依賴</v>
      </c>
      <c xmlns="http://schemas.openxmlformats.org/spreadsheetml/2006/main" r="W89" s="18" t="str">
        <f t="shared" si="5"/>
        <v>僅依賴1台設備，須確認故障/排修時之備援製程</v>
      </c>
      <c r="X89" s="22" t="s">
        <v>378</v>
      </c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 t="s">
        <v>744</v>
      </c>
      <c r="B90" s="22" t="s">
        <v>127</v>
      </c>
      <c r="C90" s="22" t="s">
        <v>620</v>
      </c>
      <c r="D90" s="22" t="s">
        <v>641</v>
      </c>
      <c r="E90" s="22" t="s">
        <v>184</v>
      </c>
      <c r="F90" s="23">
        <v>220</v>
      </c>
      <c r="G90" s="28" t="s">
        <v>75</v>
      </c>
      <c r="H90" s="24">
        <v>94</v>
      </c>
      <c r="I90" s="25" t="s">
        <v>76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>
        <f t="shared" si="3"/>
        <v>1.0</v>
      </c>
      <c xmlns="http://schemas.openxmlformats.org/spreadsheetml/2006/main" r="V90" s="22" t="str">
        <f t="shared" si="4"/>
        <v>▲ 單一設備依賴</v>
      </c>
      <c xmlns="http://schemas.openxmlformats.org/spreadsheetml/2006/main" r="W90" s="18" t="str">
        <f t="shared" si="5"/>
        <v>僅依賴1台設備，須確認故障/排修時之備援製程</v>
      </c>
      <c r="X90" s="22" t="s">
        <v>379</v>
      </c>
      <c r="Y90" s="22"/>
      <c xmlns="http://schemas.openxmlformats.org/spreadsheetml/2006/main" r="Z90">
        <f>IF($D90="",0,IF(COUNTIF($D$5:$D90,$D90)=1,1,0))</f>
        <v>1.0</v>
      </c>
      <c xmlns="http://schemas.openxmlformats.org/spreadsheetml/2006/main" r="AA90">
        <f>IF(Z90=1,SUM($Z$5:$Z90),"")</f>
        <v>12.0</v>
      </c>
    </row>
    <row r="91" spans="1:27">
      <c r="A91" s="22" t="s">
        <v>744</v>
      </c>
      <c r="B91" s="22" t="s">
        <v>127</v>
      </c>
      <c r="C91" s="22" t="s">
        <v>620</v>
      </c>
      <c r="D91" s="22" t="s">
        <v>641</v>
      </c>
      <c r="E91" s="22" t="s">
        <v>242</v>
      </c>
      <c r="F91" s="23">
        <v>140</v>
      </c>
      <c r="G91" s="28" t="s">
        <v>75</v>
      </c>
      <c r="H91" s="24">
        <v>52</v>
      </c>
      <c r="I91" s="25"/>
      <c r="J91" s="25"/>
      <c r="K91" s="25"/>
      <c r="L91" s="25"/>
      <c r="M91" s="25"/>
      <c r="N91" s="25"/>
      <c r="O91" s="25" t="s">
        <v>76</v>
      </c>
      <c r="P91" s="25"/>
      <c r="Q91" s="25"/>
      <c r="R91" s="25"/>
      <c r="S91" s="25"/>
      <c r="T91" s="26"/>
      <c xmlns="http://schemas.openxmlformats.org/spreadsheetml/2006/main" r="U91" s="23">
        <f t="shared" si="3"/>
        <v>1.0</v>
      </c>
      <c xmlns="http://schemas.openxmlformats.org/spreadsheetml/2006/main" r="V91" s="22" t="str">
        <f t="shared" si="4"/>
        <v>▲ 單一設備依賴</v>
      </c>
      <c xmlns="http://schemas.openxmlformats.org/spreadsheetml/2006/main" r="W91" s="18" t="str">
        <f t="shared" si="5"/>
        <v>僅依賴1台設備，須確認故障/排修時之備援製程</v>
      </c>
      <c r="X91" s="22" t="s">
        <v>379</v>
      </c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 t="s">
        <v>744</v>
      </c>
      <c r="B92" s="22" t="s">
        <v>127</v>
      </c>
      <c r="C92" s="22" t="s">
        <v>620</v>
      </c>
      <c r="D92" s="22" t="s">
        <v>641</v>
      </c>
      <c r="E92" s="22" t="s">
        <v>243</v>
      </c>
      <c r="F92" s="23">
        <v>3</v>
      </c>
      <c r="G92" s="28" t="s">
        <v>77</v>
      </c>
      <c r="H92" s="24">
        <v>1200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 t="s">
        <v>438</v>
      </c>
      <c xmlns="http://schemas.openxmlformats.org/spreadsheetml/2006/main" r="U92" s="23">
        <f t="shared" si="3"/>
        <v>0.0</v>
      </c>
      <c xmlns="http://schemas.openxmlformats.org/spreadsheetml/2006/main" r="V92" s="22" t="str">
        <f t="shared" si="4"/>
        <v>○ 免調理</v>
      </c>
      <c xmlns="http://schemas.openxmlformats.org/spreadsheetml/2006/main" r="W92" s="18" t="str">
        <f t="shared" si="5"/>
        <v>免調理半成品（外購/僅切配等），不列入設備風險評估</v>
      </c>
      <c r="X92" s="22" t="s">
        <v>379</v>
      </c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 t="s">
        <v>744</v>
      </c>
      <c r="B93" s="22" t="s">
        <v>127</v>
      </c>
      <c r="C93" s="22" t="s">
        <v>620</v>
      </c>
      <c r="D93" s="22" t="s">
        <v>641</v>
      </c>
      <c r="E93" s="22" t="s">
        <v>193</v>
      </c>
      <c r="F93" s="23">
        <v>8</v>
      </c>
      <c r="G93" s="28" t="s">
        <v>75</v>
      </c>
      <c r="H93" s="24">
        <v>66</v>
      </c>
      <c r="I93" s="25"/>
      <c r="J93" s="25"/>
      <c r="K93" s="25"/>
      <c r="L93" s="25"/>
      <c r="M93" s="25"/>
      <c r="N93" s="25"/>
      <c r="O93" s="25" t="s">
        <v>76</v>
      </c>
      <c r="P93" s="25"/>
      <c r="Q93" s="25"/>
      <c r="R93" s="25"/>
      <c r="S93" s="25"/>
      <c r="T93" s="26"/>
      <c xmlns="http://schemas.openxmlformats.org/spreadsheetml/2006/main" r="U93" s="23">
        <f t="shared" si="3"/>
        <v>1.0</v>
      </c>
      <c xmlns="http://schemas.openxmlformats.org/spreadsheetml/2006/main" r="V93" s="22" t="str">
        <f t="shared" si="4"/>
        <v>▲ 單一設備依賴</v>
      </c>
      <c xmlns="http://schemas.openxmlformats.org/spreadsheetml/2006/main" r="W93" s="18" t="str">
        <f t="shared" si="5"/>
        <v>僅依賴1台設備，須確認故障/排修時之備援製程</v>
      </c>
      <c r="X93" s="22" t="s">
        <v>379</v>
      </c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 t="s">
        <v>744</v>
      </c>
      <c r="B94" s="22" t="s">
        <v>127</v>
      </c>
      <c r="C94" s="22" t="s">
        <v>620</v>
      </c>
      <c r="D94" s="22" t="s">
        <v>641</v>
      </c>
      <c r="E94" s="22" t="s">
        <v>244</v>
      </c>
      <c r="F94" s="23">
        <v>9</v>
      </c>
      <c r="G94" s="28" t="s">
        <v>75</v>
      </c>
      <c r="H94" s="24">
        <v>54</v>
      </c>
      <c r="I94" s="25"/>
      <c r="J94" s="25"/>
      <c r="K94" s="25"/>
      <c r="L94" s="25"/>
      <c r="M94" s="25"/>
      <c r="N94" s="25"/>
      <c r="O94" s="25" t="s">
        <v>76</v>
      </c>
      <c r="P94" s="25"/>
      <c r="Q94" s="25"/>
      <c r="R94" s="25"/>
      <c r="S94" s="25"/>
      <c r="T94" s="26"/>
      <c xmlns="http://schemas.openxmlformats.org/spreadsheetml/2006/main" r="U94" s="23">
        <f t="shared" si="3"/>
        <v>1.0</v>
      </c>
      <c xmlns="http://schemas.openxmlformats.org/spreadsheetml/2006/main" r="V94" s="22" t="str">
        <f t="shared" si="4"/>
        <v>▲ 單一設備依賴</v>
      </c>
      <c xmlns="http://schemas.openxmlformats.org/spreadsheetml/2006/main" r="W94" s="18" t="str">
        <f t="shared" si="5"/>
        <v>僅依賴1台設備，須確認故障/排修時之備援製程</v>
      </c>
      <c r="X94" s="22" t="s">
        <v>379</v>
      </c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 t="s">
        <v>744</v>
      </c>
      <c r="B95" s="22" t="s">
        <v>127</v>
      </c>
      <c r="C95" s="22" t="s">
        <v>620</v>
      </c>
      <c r="D95" s="22" t="s">
        <v>641</v>
      </c>
      <c r="E95" s="22" t="s">
        <v>245</v>
      </c>
      <c r="F95" s="23">
        <v>11</v>
      </c>
      <c r="G95" s="28" t="s">
        <v>75</v>
      </c>
      <c r="H95" s="24">
        <v>41</v>
      </c>
      <c r="I95" s="25"/>
      <c r="J95" s="25"/>
      <c r="K95" s="25"/>
      <c r="L95" s="25"/>
      <c r="M95" s="25" t="s">
        <v>76</v>
      </c>
      <c r="N95" s="25"/>
      <c r="O95" s="25"/>
      <c r="P95" s="25"/>
      <c r="Q95" s="25"/>
      <c r="R95" s="25"/>
      <c r="S95" s="25"/>
      <c r="T95" s="26"/>
      <c xmlns="http://schemas.openxmlformats.org/spreadsheetml/2006/main" r="U95" s="23">
        <f t="shared" si="3"/>
        <v>1.0</v>
      </c>
      <c xmlns="http://schemas.openxmlformats.org/spreadsheetml/2006/main" r="V95" s="22" t="str">
        <f t="shared" si="4"/>
        <v>▲ 單一設備依賴</v>
      </c>
      <c xmlns="http://schemas.openxmlformats.org/spreadsheetml/2006/main" r="W95" s="18" t="str">
        <f t="shared" si="5"/>
        <v>僅依賴1台設備，須確認故障/排修時之備援製程</v>
      </c>
      <c r="X95" s="22" t="s">
        <v>379</v>
      </c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 t="s">
        <v>744</v>
      </c>
      <c r="B96" s="22" t="s">
        <v>127</v>
      </c>
      <c r="C96" s="22" t="s">
        <v>620</v>
      </c>
      <c r="D96" s="22" t="s">
        <v>641</v>
      </c>
      <c r="E96" s="22" t="s">
        <v>246</v>
      </c>
      <c r="F96" s="23">
        <v>19</v>
      </c>
      <c r="G96" s="28" t="s">
        <v>75</v>
      </c>
      <c r="H96" s="24">
        <v>97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 t="s">
        <v>438</v>
      </c>
      <c xmlns="http://schemas.openxmlformats.org/spreadsheetml/2006/main" r="U96" s="23">
        <f t="shared" si="3"/>
        <v>0.0</v>
      </c>
      <c xmlns="http://schemas.openxmlformats.org/spreadsheetml/2006/main" r="V96" s="22" t="str">
        <f t="shared" si="4"/>
        <v>○ 免調理</v>
      </c>
      <c xmlns="http://schemas.openxmlformats.org/spreadsheetml/2006/main" r="W96" s="18" t="str">
        <f t="shared" si="5"/>
        <v>免調理半成品（外購/僅切配等），不列入設備風險評估</v>
      </c>
      <c r="X96" s="22" t="s">
        <v>379</v>
      </c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 t="s">
        <v>744</v>
      </c>
      <c r="B97" s="22" t="s">
        <v>127</v>
      </c>
      <c r="C97" s="22" t="s">
        <v>620</v>
      </c>
      <c r="D97" s="22" t="s">
        <v>641</v>
      </c>
      <c r="E97" s="22" t="s">
        <v>271</v>
      </c>
      <c r="F97" s="23">
        <v>0.1</v>
      </c>
      <c r="G97" s="28" t="s">
        <v>75</v>
      </c>
      <c r="H97" s="24">
        <v>97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 t="s">
        <v>438</v>
      </c>
      <c xmlns="http://schemas.openxmlformats.org/spreadsheetml/2006/main" r="U97" s="23">
        <f t="shared" si="3"/>
        <v>0.0</v>
      </c>
      <c xmlns="http://schemas.openxmlformats.org/spreadsheetml/2006/main" r="V97" s="22" t="str">
        <f t="shared" si="4"/>
        <v>○ 免調理</v>
      </c>
      <c xmlns="http://schemas.openxmlformats.org/spreadsheetml/2006/main" r="W97" s="18" t="str">
        <f t="shared" si="5"/>
        <v>免調理半成品（外購/僅切配等），不列入設備風險評估</v>
      </c>
      <c r="X97" s="22" t="s">
        <v>379</v>
      </c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 t="s">
        <v>745</v>
      </c>
      <c r="B98" s="22" t="s">
        <v>127</v>
      </c>
      <c r="C98" s="22" t="s">
        <v>620</v>
      </c>
      <c r="D98" s="22" t="s">
        <v>642</v>
      </c>
      <c r="E98" s="22" t="s">
        <v>184</v>
      </c>
      <c r="F98" s="23">
        <v>200</v>
      </c>
      <c r="G98" s="28" t="s">
        <v>75</v>
      </c>
      <c r="H98" s="24">
        <v>94</v>
      </c>
      <c r="I98" s="25" t="s">
        <v>76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>
        <f t="shared" si="3"/>
        <v>1.0</v>
      </c>
      <c xmlns="http://schemas.openxmlformats.org/spreadsheetml/2006/main" r="V98" s="22" t="str">
        <f t="shared" si="4"/>
        <v>▲ 單一設備依賴</v>
      </c>
      <c xmlns="http://schemas.openxmlformats.org/spreadsheetml/2006/main" r="W98" s="18" t="str">
        <f t="shared" si="5"/>
        <v>僅依賴1台設備，須確認故障/排修時之備援製程</v>
      </c>
      <c r="X98" s="22" t="s">
        <v>381</v>
      </c>
      <c r="Y98" s="22"/>
      <c xmlns="http://schemas.openxmlformats.org/spreadsheetml/2006/main" r="Z98">
        <f>IF($D98="",0,IF(COUNTIF($D$5:$D98,$D98)=1,1,0))</f>
        <v>1.0</v>
      </c>
      <c xmlns="http://schemas.openxmlformats.org/spreadsheetml/2006/main" r="AA98">
        <f>IF(Z98=1,SUM($Z$5:$Z98),"")</f>
        <v>13.0</v>
      </c>
    </row>
    <row r="99" spans="1:27">
      <c r="A99" s="22" t="s">
        <v>745</v>
      </c>
      <c r="B99" s="22" t="s">
        <v>127</v>
      </c>
      <c r="C99" s="22" t="s">
        <v>620</v>
      </c>
      <c r="D99" s="22" t="s">
        <v>642</v>
      </c>
      <c r="E99" s="22" t="s">
        <v>247</v>
      </c>
      <c r="F99" s="23">
        <v>125</v>
      </c>
      <c r="G99" s="28" t="s">
        <v>75</v>
      </c>
      <c r="H99" s="24">
        <v>61.5</v>
      </c>
      <c r="I99" s="25"/>
      <c r="J99" s="25"/>
      <c r="K99" s="25"/>
      <c r="L99" s="25"/>
      <c r="M99" s="25"/>
      <c r="N99" s="25"/>
      <c r="O99" s="25" t="s">
        <v>76</v>
      </c>
      <c r="P99" s="25"/>
      <c r="Q99" s="25"/>
      <c r="R99" s="25"/>
      <c r="S99" s="25"/>
      <c r="T99" s="26"/>
      <c xmlns="http://schemas.openxmlformats.org/spreadsheetml/2006/main" r="U99" s="23">
        <f t="shared" si="3"/>
        <v>1.0</v>
      </c>
      <c xmlns="http://schemas.openxmlformats.org/spreadsheetml/2006/main" r="V99" s="22" t="str">
        <f t="shared" si="4"/>
        <v>▲ 單一設備依賴</v>
      </c>
      <c xmlns="http://schemas.openxmlformats.org/spreadsheetml/2006/main" r="W99" s="18" t="str">
        <f t="shared" si="5"/>
        <v>僅依賴1台設備，須確認故障/排修時之備援製程</v>
      </c>
      <c r="X99" s="22" t="s">
        <v>381</v>
      </c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 t="s">
        <v>745</v>
      </c>
      <c r="B100" s="22" t="s">
        <v>127</v>
      </c>
      <c r="C100" s="22" t="s">
        <v>620</v>
      </c>
      <c r="D100" s="22" t="s">
        <v>642</v>
      </c>
      <c r="E100" s="22" t="s">
        <v>248</v>
      </c>
      <c r="F100" s="23">
        <v>1</v>
      </c>
      <c r="G100" s="28" t="s">
        <v>77</v>
      </c>
      <c r="H100" s="24">
        <v>400</v>
      </c>
      <c r="I100" s="25"/>
      <c r="J100" s="25"/>
      <c r="K100" s="25" t="s">
        <v>438</v>
      </c>
      <c r="L100" s="25"/>
      <c r="M100" s="25"/>
      <c r="N100" s="25"/>
      <c r="O100" s="25" t="s">
        <v>438</v>
      </c>
      <c r="P100" s="25"/>
      <c r="Q100" s="25"/>
      <c r="R100" s="25"/>
      <c r="S100" s="25"/>
      <c r="T100" s="26"/>
      <c xmlns="http://schemas.openxmlformats.org/spreadsheetml/2006/main" r="U100" s="23">
        <f t="shared" si="3"/>
        <v>2.0</v>
      </c>
      <c xmlns="http://schemas.openxmlformats.org/spreadsheetml/2006/main" r="V100" s="22" t="str">
        <f t="shared" si="4"/>
        <v>OK</v>
      </c>
      <c xmlns="http://schemas.openxmlformats.org/spreadsheetml/2006/main" r="W100" s="18" t="str">
        <f t="shared" si="5"/>
        <v>無異常</v>
      </c>
      <c r="X100" s="22" t="s">
        <v>381</v>
      </c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 t="s">
        <v>745</v>
      </c>
      <c r="B101" s="22" t="s">
        <v>127</v>
      </c>
      <c r="C101" s="22" t="s">
        <v>620</v>
      </c>
      <c r="D101" s="22" t="s">
        <v>642</v>
      </c>
      <c r="E101" s="22" t="s">
        <v>249</v>
      </c>
      <c r="F101" s="23">
        <v>8</v>
      </c>
      <c r="G101" s="28" t="s">
        <v>77</v>
      </c>
      <c r="H101" s="24">
        <v>1000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 t="s">
        <v>438</v>
      </c>
      <c xmlns="http://schemas.openxmlformats.org/spreadsheetml/2006/main" r="U101" s="23">
        <f t="shared" si="3"/>
        <v>0.0</v>
      </c>
      <c xmlns="http://schemas.openxmlformats.org/spreadsheetml/2006/main" r="V101" s="22" t="str">
        <f t="shared" si="4"/>
        <v>○ 免調理</v>
      </c>
      <c xmlns="http://schemas.openxmlformats.org/spreadsheetml/2006/main" r="W101" s="18" t="str">
        <f t="shared" si="5"/>
        <v>免調理半成品（外購/僅切配等），不列入設備風險評估</v>
      </c>
      <c r="X101" s="22" t="s">
        <v>381</v>
      </c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 t="s">
        <v>745</v>
      </c>
      <c r="B102" s="22" t="s">
        <v>127</v>
      </c>
      <c r="C102" s="22" t="s">
        <v>620</v>
      </c>
      <c r="D102" s="22" t="s">
        <v>642</v>
      </c>
      <c r="E102" s="22" t="s">
        <v>271</v>
      </c>
      <c r="F102" s="23">
        <v>0.2</v>
      </c>
      <c r="G102" s="28" t="s">
        <v>75</v>
      </c>
      <c r="H102" s="24">
        <v>97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 t="s">
        <v>76</v>
      </c>
      <c xmlns="http://schemas.openxmlformats.org/spreadsheetml/2006/main" r="U102" s="23">
        <f t="shared" si="3"/>
        <v>0.0</v>
      </c>
      <c xmlns="http://schemas.openxmlformats.org/spreadsheetml/2006/main" r="V102" s="22" t="str">
        <f t="shared" si="4"/>
        <v>○ 免調理</v>
      </c>
      <c xmlns="http://schemas.openxmlformats.org/spreadsheetml/2006/main" r="W102" s="18" t="str">
        <f t="shared" si="5"/>
        <v>免調理半成品（外購/僅切配等），不列入設備風險評估</v>
      </c>
      <c r="X102" s="22" t="s">
        <v>381</v>
      </c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 t="s">
        <v>745</v>
      </c>
      <c r="B103" s="22" t="s">
        <v>127</v>
      </c>
      <c r="C103" s="22" t="s">
        <v>620</v>
      </c>
      <c r="D103" s="22" t="s">
        <v>643</v>
      </c>
      <c r="E103" s="22" t="s">
        <v>250</v>
      </c>
      <c r="F103" s="23">
        <v>240</v>
      </c>
      <c r="G103" s="28" t="s">
        <v>75</v>
      </c>
      <c r="H103" s="24">
        <v>73.599999999999994</v>
      </c>
      <c r="I103" s="25" t="s">
        <v>76</v>
      </c>
      <c r="J103" s="25"/>
      <c r="K103" s="25"/>
      <c r="L103" s="25"/>
      <c r="M103" s="25"/>
      <c r="N103" s="25"/>
      <c r="O103" s="25" t="s">
        <v>438</v>
      </c>
      <c r="P103" s="25"/>
      <c r="Q103" s="25"/>
      <c r="R103" s="25"/>
      <c r="S103" s="25"/>
      <c r="T103" s="26"/>
      <c xmlns="http://schemas.openxmlformats.org/spreadsheetml/2006/main" r="U103" s="23">
        <f t="shared" si="3"/>
        <v>2.0</v>
      </c>
      <c xmlns="http://schemas.openxmlformats.org/spreadsheetml/2006/main" r="V103" s="22" t="str">
        <f t="shared" si="4"/>
        <v>OK</v>
      </c>
      <c xmlns="http://schemas.openxmlformats.org/spreadsheetml/2006/main" r="W103" s="18" t="str">
        <f t="shared" si="5"/>
        <v>無異常</v>
      </c>
      <c r="X103" s="22" t="s">
        <v>380</v>
      </c>
      <c r="Y103" s="22"/>
      <c xmlns="http://schemas.openxmlformats.org/spreadsheetml/2006/main" r="Z103">
        <f>IF($D103="",0,IF(COUNTIF($D$5:$D103,$D103)=1,1,0))</f>
        <v>1.0</v>
      </c>
      <c xmlns="http://schemas.openxmlformats.org/spreadsheetml/2006/main" r="AA103">
        <f>IF(Z103=1,SUM($Z$5:$Z103),"")</f>
        <v>14.0</v>
      </c>
    </row>
    <row r="104" spans="1:27">
      <c r="A104" s="22" t="s">
        <v>745</v>
      </c>
      <c r="B104" s="22" t="s">
        <v>127</v>
      </c>
      <c r="C104" s="22" t="s">
        <v>620</v>
      </c>
      <c r="D104" s="22" t="s">
        <v>643</v>
      </c>
      <c r="E104" s="22" t="s">
        <v>271</v>
      </c>
      <c r="F104" s="23">
        <v>0.2</v>
      </c>
      <c r="G104" s="28" t="s">
        <v>75</v>
      </c>
      <c r="H104" s="24">
        <v>97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 t="s">
        <v>438</v>
      </c>
      <c xmlns="http://schemas.openxmlformats.org/spreadsheetml/2006/main" r="U104" s="23">
        <f t="shared" si="3"/>
        <v>0.0</v>
      </c>
      <c xmlns="http://schemas.openxmlformats.org/spreadsheetml/2006/main" r="V104" s="22" t="str">
        <f t="shared" si="4"/>
        <v>○ 免調理</v>
      </c>
      <c xmlns="http://schemas.openxmlformats.org/spreadsheetml/2006/main" r="W104" s="18" t="str">
        <f t="shared" si="5"/>
        <v>免調理半成品（外購/僅切配等），不列入設備風險評估</v>
      </c>
      <c r="X104" s="22" t="s">
        <v>380</v>
      </c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 t="s">
        <v>745</v>
      </c>
      <c r="B105" s="22" t="s">
        <v>127</v>
      </c>
      <c r="C105" s="22" t="s">
        <v>620</v>
      </c>
      <c r="D105" s="22" t="s">
        <v>643</v>
      </c>
      <c r="E105" s="22" t="s">
        <v>251</v>
      </c>
      <c r="F105" s="23">
        <v>78</v>
      </c>
      <c r="G105" s="28" t="s">
        <v>75</v>
      </c>
      <c r="H105" s="24">
        <v>60.54</v>
      </c>
      <c r="I105" s="25"/>
      <c r="J105" s="25"/>
      <c r="K105" s="25"/>
      <c r="L105" s="25"/>
      <c r="M105" s="25"/>
      <c r="N105" s="25"/>
      <c r="O105" s="25" t="s">
        <v>76</v>
      </c>
      <c r="P105" s="25"/>
      <c r="Q105" s="25"/>
      <c r="R105" s="25"/>
      <c r="S105" s="25"/>
      <c r="T105" s="26"/>
      <c xmlns="http://schemas.openxmlformats.org/spreadsheetml/2006/main" r="U105" s="23">
        <f t="shared" si="3"/>
        <v>1.0</v>
      </c>
      <c xmlns="http://schemas.openxmlformats.org/spreadsheetml/2006/main" r="V105" s="22" t="str">
        <f t="shared" si="4"/>
        <v>▲ 單一設備依賴</v>
      </c>
      <c xmlns="http://schemas.openxmlformats.org/spreadsheetml/2006/main" r="W105" s="18" t="str">
        <f t="shared" si="5"/>
        <v>僅依賴1台設備，須確認故障/排修時之備援製程</v>
      </c>
      <c r="X105" s="22" t="s">
        <v>380</v>
      </c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 t="s">
        <v>745</v>
      </c>
      <c r="B106" s="22" t="s">
        <v>127</v>
      </c>
      <c r="C106" s="22" t="s">
        <v>620</v>
      </c>
      <c r="D106" s="22" t="s">
        <v>643</v>
      </c>
      <c r="E106" s="22" t="s">
        <v>252</v>
      </c>
      <c r="F106" s="23">
        <v>16</v>
      </c>
      <c r="G106" s="28" t="s">
        <v>75</v>
      </c>
      <c r="H106" s="24">
        <v>53</v>
      </c>
      <c r="I106" s="25"/>
      <c r="J106" s="25"/>
      <c r="K106" s="25"/>
      <c r="L106" s="25"/>
      <c r="M106" s="25"/>
      <c r="N106" s="25"/>
      <c r="O106" s="25" t="s">
        <v>76</v>
      </c>
      <c r="P106" s="25"/>
      <c r="Q106" s="25"/>
      <c r="R106" s="25"/>
      <c r="S106" s="25"/>
      <c r="T106" s="26"/>
      <c xmlns="http://schemas.openxmlformats.org/spreadsheetml/2006/main" r="U106" s="23">
        <f t="shared" si="3"/>
        <v>1.0</v>
      </c>
      <c xmlns="http://schemas.openxmlformats.org/spreadsheetml/2006/main" r="V106" s="22" t="str">
        <f t="shared" si="4"/>
        <v>▲ 單一設備依賴</v>
      </c>
      <c xmlns="http://schemas.openxmlformats.org/spreadsheetml/2006/main" r="W106" s="18" t="str">
        <f t="shared" si="5"/>
        <v>僅依賴1台設備，須確認故障/排修時之備援製程</v>
      </c>
      <c r="X106" s="22" t="s">
        <v>380</v>
      </c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 t="s">
        <v>745</v>
      </c>
      <c r="B107" s="22" t="s">
        <v>127</v>
      </c>
      <c r="C107" s="22" t="s">
        <v>620</v>
      </c>
      <c r="D107" s="22" t="s">
        <v>643</v>
      </c>
      <c r="E107" s="22" t="s">
        <v>253</v>
      </c>
      <c r="F107" s="23">
        <v>12</v>
      </c>
      <c r="G107" s="28" t="s">
        <v>75</v>
      </c>
      <c r="H107" s="24">
        <v>85</v>
      </c>
      <c r="I107" s="25"/>
      <c r="J107" s="25"/>
      <c r="K107" s="25"/>
      <c r="L107" s="25"/>
      <c r="M107" s="25" t="s">
        <v>76</v>
      </c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>
        <f t="shared" si="3"/>
        <v>1.0</v>
      </c>
      <c xmlns="http://schemas.openxmlformats.org/spreadsheetml/2006/main" r="V107" s="22" t="str">
        <f t="shared" si="4"/>
        <v>▲ 單一設備依賴</v>
      </c>
      <c xmlns="http://schemas.openxmlformats.org/spreadsheetml/2006/main" r="W107" s="18" t="str">
        <f t="shared" si="5"/>
        <v>僅依賴1台設備，須確認故障/排修時之備援製程</v>
      </c>
      <c r="X107" s="22" t="s">
        <v>380</v>
      </c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 t="s">
        <v>745</v>
      </c>
      <c r="B108" s="22" t="s">
        <v>127</v>
      </c>
      <c r="C108" s="22" t="s">
        <v>620</v>
      </c>
      <c r="D108" s="22" t="s">
        <v>643</v>
      </c>
      <c r="E108" s="22" t="s">
        <v>254</v>
      </c>
      <c r="F108" s="23">
        <v>25</v>
      </c>
      <c r="G108" s="28" t="s">
        <v>75</v>
      </c>
      <c r="H108" s="24">
        <v>56</v>
      </c>
      <c r="I108" s="25"/>
      <c r="J108" s="25"/>
      <c r="K108" s="25" t="s">
        <v>76</v>
      </c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>
        <f t="shared" si="3"/>
        <v>1.0</v>
      </c>
      <c xmlns="http://schemas.openxmlformats.org/spreadsheetml/2006/main" r="V108" s="22" t="str">
        <f t="shared" si="4"/>
        <v>▲ 單一設備依賴</v>
      </c>
      <c xmlns="http://schemas.openxmlformats.org/spreadsheetml/2006/main" r="W108" s="18" t="str">
        <f t="shared" si="5"/>
        <v>僅依賴1台設備，須確認故障/排修時之備援製程</v>
      </c>
      <c r="X108" s="22" t="s">
        <v>380</v>
      </c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 t="s">
        <v>745</v>
      </c>
      <c r="B109" s="22" t="s">
        <v>127</v>
      </c>
      <c r="C109" s="22" t="s">
        <v>620</v>
      </c>
      <c r="D109" s="22" t="s">
        <v>644</v>
      </c>
      <c r="E109" s="22" t="s">
        <v>184</v>
      </c>
      <c r="F109" s="23">
        <v>230</v>
      </c>
      <c r="G109" s="28" t="s">
        <v>75</v>
      </c>
      <c r="H109" s="24">
        <v>94</v>
      </c>
      <c r="I109" s="25" t="s">
        <v>76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>
        <f t="shared" si="3"/>
        <v>1.0</v>
      </c>
      <c xmlns="http://schemas.openxmlformats.org/spreadsheetml/2006/main" r="V109" s="22" t="str">
        <f t="shared" si="4"/>
        <v>▲ 單一設備依賴</v>
      </c>
      <c xmlns="http://schemas.openxmlformats.org/spreadsheetml/2006/main" r="W109" s="18" t="str">
        <f t="shared" si="5"/>
        <v>僅依賴1台設備，須確認故障/排修時之備援製程</v>
      </c>
      <c r="X109" s="22" t="s">
        <v>382</v>
      </c>
      <c r="Y109" s="22"/>
      <c xmlns="http://schemas.openxmlformats.org/spreadsheetml/2006/main" r="Z109">
        <f>IF($D109="",0,IF(COUNTIF($D$5:$D109,$D109)=1,1,0))</f>
        <v>1.0</v>
      </c>
      <c xmlns="http://schemas.openxmlformats.org/spreadsheetml/2006/main" r="AA109">
        <f>IF(Z109=1,SUM($Z$5:$Z109),"")</f>
        <v>15.0</v>
      </c>
    </row>
    <row r="110" spans="1:27">
      <c r="A110" s="22" t="s">
        <v>745</v>
      </c>
      <c r="B110" s="22" t="s">
        <v>127</v>
      </c>
      <c r="C110" s="22" t="s">
        <v>620</v>
      </c>
      <c r="D110" s="22" t="s">
        <v>644</v>
      </c>
      <c r="E110" s="22" t="s">
        <v>255</v>
      </c>
      <c r="F110" s="23">
        <v>140</v>
      </c>
      <c r="G110" s="28" t="s">
        <v>75</v>
      </c>
      <c r="H110" s="24">
        <v>49</v>
      </c>
      <c r="I110" s="25"/>
      <c r="J110" s="25"/>
      <c r="K110" s="25"/>
      <c r="L110" s="25"/>
      <c r="M110" s="25"/>
      <c r="N110" s="25"/>
      <c r="O110" s="25" t="s">
        <v>76</v>
      </c>
      <c r="P110" s="25"/>
      <c r="Q110" s="25"/>
      <c r="R110" s="25"/>
      <c r="S110" s="25"/>
      <c r="T110" s="26"/>
      <c xmlns="http://schemas.openxmlformats.org/spreadsheetml/2006/main" r="U110" s="23">
        <f t="shared" si="3"/>
        <v>1.0</v>
      </c>
      <c xmlns="http://schemas.openxmlformats.org/spreadsheetml/2006/main" r="V110" s="22" t="str">
        <f t="shared" si="4"/>
        <v>▲ 單一設備依賴</v>
      </c>
      <c xmlns="http://schemas.openxmlformats.org/spreadsheetml/2006/main" r="W110" s="18" t="str">
        <f t="shared" si="5"/>
        <v>僅依賴1台設備，須確認故障/排修時之備援製程</v>
      </c>
      <c r="X110" s="22" t="s">
        <v>382</v>
      </c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 t="s">
        <v>745</v>
      </c>
      <c r="B111" s="22" t="s">
        <v>127</v>
      </c>
      <c r="C111" s="22" t="s">
        <v>620</v>
      </c>
      <c r="D111" s="22" t="s">
        <v>644</v>
      </c>
      <c r="E111" s="22" t="s">
        <v>256</v>
      </c>
      <c r="F111" s="23">
        <v>50</v>
      </c>
      <c r="G111" s="28" t="s">
        <v>75</v>
      </c>
      <c r="H111" s="24">
        <v>51</v>
      </c>
      <c r="I111" s="25"/>
      <c r="J111" s="25"/>
      <c r="K111" s="25"/>
      <c r="L111" s="25"/>
      <c r="M111" s="25"/>
      <c r="N111" s="25"/>
      <c r="O111" s="25" t="s">
        <v>76</v>
      </c>
      <c r="P111" s="25"/>
      <c r="Q111" s="25"/>
      <c r="R111" s="25"/>
      <c r="S111" s="25"/>
      <c r="T111" s="26"/>
      <c xmlns="http://schemas.openxmlformats.org/spreadsheetml/2006/main" r="U111" s="23">
        <f t="shared" si="3"/>
        <v>1.0</v>
      </c>
      <c xmlns="http://schemas.openxmlformats.org/spreadsheetml/2006/main" r="V111" s="22" t="str">
        <f t="shared" si="4"/>
        <v>▲ 單一設備依賴</v>
      </c>
      <c xmlns="http://schemas.openxmlformats.org/spreadsheetml/2006/main" r="W111" s="18" t="str">
        <f t="shared" si="5"/>
        <v>僅依賴1台設備，須確認故障/排修時之備援製程</v>
      </c>
      <c r="X111" s="22" t="s">
        <v>382</v>
      </c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 t="s">
        <v>745</v>
      </c>
      <c r="B112" s="22" t="s">
        <v>127</v>
      </c>
      <c r="C112" s="22" t="s">
        <v>620</v>
      </c>
      <c r="D112" s="22" t="s">
        <v>644</v>
      </c>
      <c r="E112" s="22" t="s">
        <v>193</v>
      </c>
      <c r="F112" s="23">
        <v>8</v>
      </c>
      <c r="G112" s="28" t="s">
        <v>75</v>
      </c>
      <c r="H112" s="24">
        <v>66</v>
      </c>
      <c r="I112" s="25"/>
      <c r="J112" s="25"/>
      <c r="K112" s="25"/>
      <c r="L112" s="25"/>
      <c r="M112" s="25"/>
      <c r="N112" s="25"/>
      <c r="O112" s="25" t="s">
        <v>76</v>
      </c>
      <c r="P112" s="25"/>
      <c r="Q112" s="25"/>
      <c r="R112" s="25"/>
      <c r="S112" s="25"/>
      <c r="T112" s="26"/>
      <c xmlns="http://schemas.openxmlformats.org/spreadsheetml/2006/main" r="U112" s="23">
        <f t="shared" si="3"/>
        <v>1.0</v>
      </c>
      <c xmlns="http://schemas.openxmlformats.org/spreadsheetml/2006/main" r="V112" s="22" t="str">
        <f t="shared" si="4"/>
        <v>▲ 單一設備依賴</v>
      </c>
      <c xmlns="http://schemas.openxmlformats.org/spreadsheetml/2006/main" r="W112" s="18" t="str">
        <f t="shared" si="5"/>
        <v>僅依賴1台設備，須確認故障/排修時之備援製程</v>
      </c>
      <c r="X112" s="22" t="s">
        <v>382</v>
      </c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 t="s">
        <v>745</v>
      </c>
      <c r="B113" s="22" t="s">
        <v>127</v>
      </c>
      <c r="C113" s="22" t="s">
        <v>620</v>
      </c>
      <c r="D113" s="22" t="s">
        <v>644</v>
      </c>
      <c r="E113" s="22" t="s">
        <v>257</v>
      </c>
      <c r="F113" s="23">
        <v>6</v>
      </c>
      <c r="G113" s="28" t="s">
        <v>75</v>
      </c>
      <c r="H113" s="24">
        <v>73</v>
      </c>
      <c r="I113" s="25"/>
      <c r="J113" s="25"/>
      <c r="K113" s="25"/>
      <c r="L113" s="25"/>
      <c r="M113" s="25"/>
      <c r="N113" s="25"/>
      <c r="O113" s="25" t="s">
        <v>76</v>
      </c>
      <c r="P113" s="25"/>
      <c r="Q113" s="25"/>
      <c r="R113" s="25"/>
      <c r="S113" s="25"/>
      <c r="T113" s="26"/>
      <c xmlns="http://schemas.openxmlformats.org/spreadsheetml/2006/main" r="U113" s="23">
        <f t="shared" si="3"/>
        <v>1.0</v>
      </c>
      <c xmlns="http://schemas.openxmlformats.org/spreadsheetml/2006/main" r="V113" s="22" t="str">
        <f t="shared" si="4"/>
        <v>▲ 單一設備依賴</v>
      </c>
      <c xmlns="http://schemas.openxmlformats.org/spreadsheetml/2006/main" r="W113" s="18" t="str">
        <f t="shared" si="5"/>
        <v>僅依賴1台設備，須確認故障/排修時之備援製程</v>
      </c>
      <c r="X113" s="22" t="s">
        <v>382</v>
      </c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 t="s">
        <v>745</v>
      </c>
      <c r="B114" s="22" t="s">
        <v>127</v>
      </c>
      <c r="C114" s="22" t="s">
        <v>620</v>
      </c>
      <c r="D114" s="22" t="s">
        <v>644</v>
      </c>
      <c r="E114" s="22" t="s">
        <v>258</v>
      </c>
      <c r="F114" s="23">
        <v>4</v>
      </c>
      <c r="G114" s="28" t="s">
        <v>77</v>
      </c>
      <c r="H114" s="24">
        <v>800</v>
      </c>
      <c r="I114" s="25"/>
      <c r="J114" s="25"/>
      <c r="K114" s="25"/>
      <c r="L114" s="25"/>
      <c r="M114" s="25"/>
      <c r="N114" s="25" t="s">
        <v>76</v>
      </c>
      <c r="O114" s="25"/>
      <c r="P114" s="25"/>
      <c r="Q114" s="25"/>
      <c r="R114" s="25"/>
      <c r="S114" s="25"/>
      <c r="T114" s="26"/>
      <c xmlns="http://schemas.openxmlformats.org/spreadsheetml/2006/main" r="U114" s="23">
        <f t="shared" si="3"/>
        <v>1.0</v>
      </c>
      <c xmlns="http://schemas.openxmlformats.org/spreadsheetml/2006/main" r="V114" s="22" t="str">
        <f t="shared" si="4"/>
        <v>▲ 單一設備依賴</v>
      </c>
      <c xmlns="http://schemas.openxmlformats.org/spreadsheetml/2006/main" r="W114" s="18" t="str">
        <f t="shared" si="5"/>
        <v>僅依賴1台設備，須確認故障/排修時之備援製程</v>
      </c>
      <c r="X114" s="22" t="s">
        <v>382</v>
      </c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 t="s">
        <v>745</v>
      </c>
      <c r="B115" s="22" t="s">
        <v>127</v>
      </c>
      <c r="C115" s="22" t="s">
        <v>620</v>
      </c>
      <c r="D115" s="22" t="s">
        <v>644</v>
      </c>
      <c r="E115" s="22" t="s">
        <v>259</v>
      </c>
      <c r="F115" s="23">
        <v>16</v>
      </c>
      <c r="G115" s="28" t="s">
        <v>75</v>
      </c>
      <c r="H115" s="24">
        <v>45</v>
      </c>
      <c r="I115" s="25"/>
      <c r="J115" s="25"/>
      <c r="K115" s="25"/>
      <c r="L115" s="25"/>
      <c r="M115" s="25"/>
      <c r="N115" s="25"/>
      <c r="O115" s="25" t="s">
        <v>76</v>
      </c>
      <c r="P115" s="25"/>
      <c r="Q115" s="25"/>
      <c r="R115" s="25"/>
      <c r="S115" s="25"/>
      <c r="T115" s="26"/>
      <c xmlns="http://schemas.openxmlformats.org/spreadsheetml/2006/main" r="U115" s="23">
        <f t="shared" si="3"/>
        <v>1.0</v>
      </c>
      <c xmlns="http://schemas.openxmlformats.org/spreadsheetml/2006/main" r="V115" s="22" t="str">
        <f t="shared" si="4"/>
        <v>▲ 單一設備依賴</v>
      </c>
      <c xmlns="http://schemas.openxmlformats.org/spreadsheetml/2006/main" r="W115" s="18" t="str">
        <f t="shared" si="5"/>
        <v>僅依賴1台設備，須確認故障/排修時之備援製程</v>
      </c>
      <c r="X115" s="22" t="s">
        <v>382</v>
      </c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 t="s">
        <v>745</v>
      </c>
      <c r="B116" s="22" t="s">
        <v>127</v>
      </c>
      <c r="C116" s="22" t="s">
        <v>620</v>
      </c>
      <c r="D116" s="22" t="s">
        <v>644</v>
      </c>
      <c r="E116" s="22" t="s">
        <v>271</v>
      </c>
      <c r="F116" s="23">
        <v>0.1</v>
      </c>
      <c r="G116" s="28" t="s">
        <v>75</v>
      </c>
      <c r="H116" s="24">
        <v>97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 t="s">
        <v>438</v>
      </c>
      <c xmlns="http://schemas.openxmlformats.org/spreadsheetml/2006/main" r="U116" s="23">
        <f t="shared" si="3"/>
        <v>0.0</v>
      </c>
      <c xmlns="http://schemas.openxmlformats.org/spreadsheetml/2006/main" r="V116" s="22" t="str">
        <f t="shared" si="4"/>
        <v>○ 免調理</v>
      </c>
      <c xmlns="http://schemas.openxmlformats.org/spreadsheetml/2006/main" r="W116" s="18" t="str">
        <f t="shared" si="5"/>
        <v>免調理半成品（外購/僅切配等），不列入設備風險評估</v>
      </c>
      <c r="X116" s="22" t="s">
        <v>382</v>
      </c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 t="s">
        <v>745</v>
      </c>
      <c r="B117" s="22" t="s">
        <v>127</v>
      </c>
      <c r="C117" s="22" t="s">
        <v>620</v>
      </c>
      <c r="D117" s="22" t="inlineStr">
        <is>
          <t>香料烤魚青醬燉飯</t>
        </is>
      </c>
      <c r="E117" s="22" t="s">
        <v>184</v>
      </c>
      <c r="F117" s="23">
        <v>200</v>
      </c>
      <c r="G117" s="28" t="s">
        <v>75</v>
      </c>
      <c r="H117" s="24">
        <v>94</v>
      </c>
      <c r="I117" s="25" t="s">
        <v>76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>
        <f t="shared" si="3"/>
        <v>1.0</v>
      </c>
      <c xmlns="http://schemas.openxmlformats.org/spreadsheetml/2006/main" r="V117" s="22" t="str">
        <f t="shared" si="4"/>
        <v>▲ 單一設備依賴</v>
      </c>
      <c xmlns="http://schemas.openxmlformats.org/spreadsheetml/2006/main" r="W117" s="18" t="str">
        <f t="shared" si="5"/>
        <v>僅依賴1台設備，須確認故障/排修時之備援製程</v>
      </c>
      <c r="X117" s="22" t="s">
        <v>383</v>
      </c>
      <c r="Y117" s="22"/>
      <c xmlns="http://schemas.openxmlformats.org/spreadsheetml/2006/main" r="Z117">
        <f>IF($D117="",0,IF(COUNTIF($D$5:$D117,$D117)=1,1,0))</f>
        <v>1.0</v>
      </c>
      <c xmlns="http://schemas.openxmlformats.org/spreadsheetml/2006/main" r="AA117">
        <f>IF(Z117=1,SUM($Z$5:$Z117),"")</f>
        <v>16.0</v>
      </c>
    </row>
    <row r="118" spans="1:27">
      <c r="A118" s="22" t="s">
        <v>745</v>
      </c>
      <c r="B118" s="22" t="s">
        <v>127</v>
      </c>
      <c r="C118" s="22" t="s">
        <v>620</v>
      </c>
      <c r="D118" s="22" t="inlineStr">
        <is>
          <t>香料烤魚青醬燉飯</t>
        </is>
      </c>
      <c r="E118" s="22" t="s">
        <v>271</v>
      </c>
      <c r="F118" s="23">
        <v>0.2</v>
      </c>
      <c r="G118" s="28" t="s">
        <v>75</v>
      </c>
      <c r="H118" s="24">
        <v>97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 t="s">
        <v>438</v>
      </c>
      <c xmlns="http://schemas.openxmlformats.org/spreadsheetml/2006/main" r="U118" s="23">
        <f t="shared" si="3"/>
        <v>0.0</v>
      </c>
      <c xmlns="http://schemas.openxmlformats.org/spreadsheetml/2006/main" r="V118" s="22" t="str">
        <f t="shared" si="4"/>
        <v>○ 免調理</v>
      </c>
      <c xmlns="http://schemas.openxmlformats.org/spreadsheetml/2006/main" r="W118" s="18" t="str">
        <f t="shared" si="5"/>
        <v>免調理半成品（外購/僅切配等），不列入設備風險評估</v>
      </c>
      <c r="X118" s="22" t="s">
        <v>383</v>
      </c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 t="s">
        <v>745</v>
      </c>
      <c r="B119" s="22" t="s">
        <v>127</v>
      </c>
      <c r="C119" s="22" t="s">
        <v>620</v>
      </c>
      <c r="D119" s="22" t="inlineStr">
        <is>
          <t>香料烤魚青醬燉飯</t>
        </is>
      </c>
      <c r="E119" s="22" t="s">
        <v>260</v>
      </c>
      <c r="F119" s="23">
        <v>100</v>
      </c>
      <c r="G119" s="28" t="s">
        <v>75</v>
      </c>
      <c r="H119" s="24">
        <v>50</v>
      </c>
      <c r="I119" s="25"/>
      <c r="J119" s="25"/>
      <c r="K119" s="25"/>
      <c r="L119" s="25"/>
      <c r="M119" s="25"/>
      <c r="N119" s="25"/>
      <c r="O119" s="25" t="s">
        <v>76</v>
      </c>
      <c r="P119" s="25"/>
      <c r="Q119" s="25"/>
      <c r="R119" s="25"/>
      <c r="S119" s="25"/>
      <c r="T119" s="26"/>
      <c xmlns="http://schemas.openxmlformats.org/spreadsheetml/2006/main" r="U119" s="23">
        <f t="shared" si="3"/>
        <v>1.0</v>
      </c>
      <c xmlns="http://schemas.openxmlformats.org/spreadsheetml/2006/main" r="V119" s="22" t="str">
        <f t="shared" si="4"/>
        <v>▲ 單一設備依賴</v>
      </c>
      <c xmlns="http://schemas.openxmlformats.org/spreadsheetml/2006/main" r="W119" s="18" t="str">
        <f t="shared" si="5"/>
        <v>僅依賴1台設備，須確認故障/排修時之備援製程</v>
      </c>
      <c r="X119" s="22" t="s">
        <v>383</v>
      </c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 t="s">
        <v>745</v>
      </c>
      <c r="B120" s="22" t="s">
        <v>127</v>
      </c>
      <c r="C120" s="22" t="s">
        <v>620</v>
      </c>
      <c r="D120" s="22" t="inlineStr">
        <is>
          <t>香料烤魚青醬燉飯</t>
        </is>
      </c>
      <c r="E120" s="22" t="s">
        <v>261</v>
      </c>
      <c r="F120" s="23">
        <v>1</v>
      </c>
      <c r="G120" s="28" t="s">
        <v>77</v>
      </c>
      <c r="H120" s="24">
        <v>100</v>
      </c>
      <c r="I120" s="25"/>
      <c r="J120" s="25"/>
      <c r="K120" s="25" t="s">
        <v>76</v>
      </c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>
        <f t="shared" si="3"/>
        <v>1.0</v>
      </c>
      <c xmlns="http://schemas.openxmlformats.org/spreadsheetml/2006/main" r="V120" s="22" t="str">
        <f t="shared" si="4"/>
        <v>▲ 單一設備依賴</v>
      </c>
      <c xmlns="http://schemas.openxmlformats.org/spreadsheetml/2006/main" r="W120" s="18" t="str">
        <f t="shared" si="5"/>
        <v>僅依賴1台設備，須確認故障/排修時之備援製程</v>
      </c>
      <c r="X120" s="22" t="s">
        <v>383</v>
      </c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 t="s">
        <v>745</v>
      </c>
      <c r="B121" s="22" t="s">
        <v>127</v>
      </c>
      <c r="C121" s="22" t="s">
        <v>620</v>
      </c>
      <c r="D121" s="22" t="inlineStr">
        <is>
          <t>香料烤魚青醬燉飯</t>
        </is>
      </c>
      <c r="E121" s="22" t="s">
        <v>262</v>
      </c>
      <c r="F121" s="23">
        <v>6</v>
      </c>
      <c r="G121" s="28" t="s">
        <v>75</v>
      </c>
      <c r="H121" s="24">
        <v>60</v>
      </c>
      <c r="I121" s="25"/>
      <c r="J121" s="25"/>
      <c r="K121" s="25"/>
      <c r="L121" s="25"/>
      <c r="M121" s="25"/>
      <c r="N121" s="25"/>
      <c r="O121" s="25" t="s">
        <v>76</v>
      </c>
      <c r="P121" s="25"/>
      <c r="Q121" s="25"/>
      <c r="R121" s="25"/>
      <c r="S121" s="25"/>
      <c r="T121" s="26"/>
      <c xmlns="http://schemas.openxmlformats.org/spreadsheetml/2006/main" r="U121" s="23">
        <f t="shared" si="3"/>
        <v>1.0</v>
      </c>
      <c xmlns="http://schemas.openxmlformats.org/spreadsheetml/2006/main" r="V121" s="22" t="str">
        <f t="shared" si="4"/>
        <v>▲ 單一設備依賴</v>
      </c>
      <c xmlns="http://schemas.openxmlformats.org/spreadsheetml/2006/main" r="W121" s="18" t="str">
        <f t="shared" si="5"/>
        <v>僅依賴1台設備，須確認故障/排修時之備援製程</v>
      </c>
      <c r="X121" s="22" t="s">
        <v>383</v>
      </c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 t="s">
        <v>745</v>
      </c>
      <c r="B122" s="22" t="s">
        <v>127</v>
      </c>
      <c r="C122" s="22" t="s">
        <v>620</v>
      </c>
      <c r="D122" s="22" t="s">
        <v>646</v>
      </c>
      <c r="E122" s="22" t="s">
        <v>184</v>
      </c>
      <c r="F122" s="23">
        <v>207</v>
      </c>
      <c r="G122" s="28" t="s">
        <v>75</v>
      </c>
      <c r="H122" s="24">
        <v>94</v>
      </c>
      <c r="I122" s="25" t="s">
        <v>76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>
        <f t="shared" si="3"/>
        <v>1.0</v>
      </c>
      <c xmlns="http://schemas.openxmlformats.org/spreadsheetml/2006/main" r="V122" s="22" t="str">
        <f t="shared" si="4"/>
        <v>▲ 單一設備依賴</v>
      </c>
      <c xmlns="http://schemas.openxmlformats.org/spreadsheetml/2006/main" r="W122" s="18" t="str">
        <f t="shared" si="5"/>
        <v>僅依賴1台設備，須確認故障/排修時之備援製程</v>
      </c>
      <c r="X122" s="22" t="s">
        <v>384</v>
      </c>
      <c r="Y122" s="22"/>
      <c xmlns="http://schemas.openxmlformats.org/spreadsheetml/2006/main" r="Z122">
        <f>IF($D122="",0,IF(COUNTIF($D$5:$D122,$D122)=1,1,0))</f>
        <v>1.0</v>
      </c>
      <c xmlns="http://schemas.openxmlformats.org/spreadsheetml/2006/main" r="AA122">
        <f>IF(Z122=1,SUM($Z$5:$Z122),"")</f>
        <v>17.0</v>
      </c>
    </row>
    <row r="123" spans="1:27">
      <c r="A123" s="22" t="s">
        <v>745</v>
      </c>
      <c r="B123" s="22" t="s">
        <v>127</v>
      </c>
      <c r="C123" s="22" t="s">
        <v>620</v>
      </c>
      <c r="D123" s="22" t="s">
        <v>646</v>
      </c>
      <c r="E123" s="22" t="s">
        <v>263</v>
      </c>
      <c r="F123" s="23">
        <v>120</v>
      </c>
      <c r="G123" s="28" t="s">
        <v>75</v>
      </c>
      <c r="H123" s="24">
        <v>62.06</v>
      </c>
      <c r="I123" s="25"/>
      <c r="J123" s="25"/>
      <c r="K123" s="25"/>
      <c r="L123" s="25"/>
      <c r="M123" s="25"/>
      <c r="N123" s="25"/>
      <c r="O123" s="25" t="s">
        <v>76</v>
      </c>
      <c r="P123" s="25"/>
      <c r="Q123" s="25"/>
      <c r="R123" s="25"/>
      <c r="S123" s="25"/>
      <c r="T123" s="26"/>
      <c xmlns="http://schemas.openxmlformats.org/spreadsheetml/2006/main" r="U123" s="23">
        <f t="shared" si="3"/>
        <v>1.0</v>
      </c>
      <c xmlns="http://schemas.openxmlformats.org/spreadsheetml/2006/main" r="V123" s="22" t="str">
        <f t="shared" si="4"/>
        <v>▲ 單一設備依賴</v>
      </c>
      <c xmlns="http://schemas.openxmlformats.org/spreadsheetml/2006/main" r="W123" s="18" t="str">
        <f t="shared" si="5"/>
        <v>僅依賴1台設備，須確認故障/排修時之備援製程</v>
      </c>
      <c r="X123" s="22" t="s">
        <v>384</v>
      </c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 t="s">
        <v>745</v>
      </c>
      <c r="B124" s="22" t="s">
        <v>127</v>
      </c>
      <c r="C124" s="22" t="s">
        <v>620</v>
      </c>
      <c r="D124" s="22" t="s">
        <v>646</v>
      </c>
      <c r="E124" s="22" t="s">
        <v>256</v>
      </c>
      <c r="F124" s="23">
        <v>35</v>
      </c>
      <c r="G124" s="28" t="s">
        <v>75</v>
      </c>
      <c r="H124" s="24">
        <v>51</v>
      </c>
      <c r="I124" s="25"/>
      <c r="J124" s="25"/>
      <c r="K124" s="25"/>
      <c r="L124" s="25"/>
      <c r="M124" s="25"/>
      <c r="N124" s="25"/>
      <c r="O124" s="25" t="s">
        <v>76</v>
      </c>
      <c r="P124" s="25"/>
      <c r="Q124" s="25"/>
      <c r="R124" s="25"/>
      <c r="S124" s="25"/>
      <c r="T124" s="26"/>
      <c xmlns="http://schemas.openxmlformats.org/spreadsheetml/2006/main" r="U124" s="23">
        <f t="shared" si="3"/>
        <v>1.0</v>
      </c>
      <c xmlns="http://schemas.openxmlformats.org/spreadsheetml/2006/main" r="V124" s="22" t="str">
        <f t="shared" si="4"/>
        <v>▲ 單一設備依賴</v>
      </c>
      <c xmlns="http://schemas.openxmlformats.org/spreadsheetml/2006/main" r="W124" s="18" t="str">
        <f t="shared" si="5"/>
        <v>僅依賴1台設備，須確認故障/排修時之備援製程</v>
      </c>
      <c r="X124" s="22" t="s">
        <v>384</v>
      </c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 t="s">
        <v>745</v>
      </c>
      <c r="B125" s="22" t="s">
        <v>127</v>
      </c>
      <c r="C125" s="22" t="s">
        <v>620</v>
      </c>
      <c r="D125" s="22" t="s">
        <v>646</v>
      </c>
      <c r="E125" s="22" t="s">
        <v>264</v>
      </c>
      <c r="F125" s="23">
        <v>5</v>
      </c>
      <c r="G125" s="28" t="s">
        <v>77</v>
      </c>
      <c r="H125" s="24">
        <v>500</v>
      </c>
      <c r="I125" s="25"/>
      <c r="J125" s="25"/>
      <c r="K125" s="25"/>
      <c r="L125" s="25"/>
      <c r="M125" s="25"/>
      <c r="N125" s="25" t="s">
        <v>76</v>
      </c>
      <c r="O125" s="25"/>
      <c r="P125" s="25"/>
      <c r="Q125" s="25"/>
      <c r="R125" s="25"/>
      <c r="S125" s="25"/>
      <c r="T125" s="26"/>
      <c xmlns="http://schemas.openxmlformats.org/spreadsheetml/2006/main" r="U125" s="23">
        <f t="shared" si="3"/>
        <v>1.0</v>
      </c>
      <c xmlns="http://schemas.openxmlformats.org/spreadsheetml/2006/main" r="V125" s="22" t="str">
        <f t="shared" si="4"/>
        <v>▲ 單一設備依賴</v>
      </c>
      <c xmlns="http://schemas.openxmlformats.org/spreadsheetml/2006/main" r="W125" s="18" t="str">
        <f t="shared" si="5"/>
        <v>僅依賴1台設備，須確認故障/排修時之備援製程</v>
      </c>
      <c r="X125" s="22" t="s">
        <v>384</v>
      </c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 t="s">
        <v>745</v>
      </c>
      <c r="B126" s="22" t="s">
        <v>127</v>
      </c>
      <c r="C126" s="22" t="s">
        <v>620</v>
      </c>
      <c r="D126" s="22" t="s">
        <v>646</v>
      </c>
      <c r="E126" s="22" t="s">
        <v>193</v>
      </c>
      <c r="F126" s="23">
        <v>8</v>
      </c>
      <c r="G126" s="28" t="s">
        <v>75</v>
      </c>
      <c r="H126" s="24">
        <v>66</v>
      </c>
      <c r="I126" s="25"/>
      <c r="J126" s="25"/>
      <c r="K126" s="25"/>
      <c r="L126" s="25"/>
      <c r="M126" s="25"/>
      <c r="N126" s="25"/>
      <c r="O126" s="25" t="s">
        <v>76</v>
      </c>
      <c r="P126" s="25"/>
      <c r="Q126" s="25"/>
      <c r="R126" s="25"/>
      <c r="S126" s="25"/>
      <c r="T126" s="26"/>
      <c xmlns="http://schemas.openxmlformats.org/spreadsheetml/2006/main" r="U126" s="23">
        <f t="shared" si="3"/>
        <v>1.0</v>
      </c>
      <c xmlns="http://schemas.openxmlformats.org/spreadsheetml/2006/main" r="V126" s="22" t="str">
        <f t="shared" si="4"/>
        <v>▲ 單一設備依賴</v>
      </c>
      <c xmlns="http://schemas.openxmlformats.org/spreadsheetml/2006/main" r="W126" s="18" t="str">
        <f t="shared" si="5"/>
        <v>僅依賴1台設備，須確認故障/排修時之備援製程</v>
      </c>
      <c r="X126" s="22" t="s">
        <v>384</v>
      </c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 t="s">
        <v>745</v>
      </c>
      <c r="B127" s="22" t="s">
        <v>127</v>
      </c>
      <c r="C127" s="22" t="s">
        <v>620</v>
      </c>
      <c r="D127" s="22" t="s">
        <v>646</v>
      </c>
      <c r="E127" s="22" t="s">
        <v>257</v>
      </c>
      <c r="F127" s="23">
        <v>6</v>
      </c>
      <c r="G127" s="28" t="s">
        <v>75</v>
      </c>
      <c r="H127" s="24">
        <v>73</v>
      </c>
      <c r="I127" s="25"/>
      <c r="J127" s="25"/>
      <c r="K127" s="25"/>
      <c r="L127" s="25"/>
      <c r="M127" s="25"/>
      <c r="N127" s="25"/>
      <c r="O127" s="25" t="s">
        <v>76</v>
      </c>
      <c r="P127" s="25"/>
      <c r="Q127" s="25"/>
      <c r="R127" s="25"/>
      <c r="S127" s="25"/>
      <c r="T127" s="26"/>
      <c xmlns="http://schemas.openxmlformats.org/spreadsheetml/2006/main" r="U127" s="23">
        <f t="shared" si="3"/>
        <v>1.0</v>
      </c>
      <c xmlns="http://schemas.openxmlformats.org/spreadsheetml/2006/main" r="V127" s="22" t="str">
        <f t="shared" si="4"/>
        <v>▲ 單一設備依賴</v>
      </c>
      <c xmlns="http://schemas.openxmlformats.org/spreadsheetml/2006/main" r="W127" s="18" t="str">
        <f t="shared" si="5"/>
        <v>僅依賴1台設備，須確認故障/排修時之備援製程</v>
      </c>
      <c r="X127" s="22" t="s">
        <v>384</v>
      </c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 t="s">
        <v>745</v>
      </c>
      <c r="B128" s="22" t="s">
        <v>127</v>
      </c>
      <c r="C128" s="22" t="s">
        <v>620</v>
      </c>
      <c r="D128" s="22" t="s">
        <v>646</v>
      </c>
      <c r="E128" s="22" t="s">
        <v>265</v>
      </c>
      <c r="F128" s="23">
        <v>0.1</v>
      </c>
      <c r="G128" s="28" t="s">
        <v>75</v>
      </c>
      <c r="H128" s="24">
        <v>96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 t="s">
        <v>438</v>
      </c>
      <c xmlns="http://schemas.openxmlformats.org/spreadsheetml/2006/main" r="U128" s="23">
        <f t="shared" si="3"/>
        <v>0.0</v>
      </c>
      <c xmlns="http://schemas.openxmlformats.org/spreadsheetml/2006/main" r="V128" s="22" t="str">
        <f t="shared" si="4"/>
        <v>○ 免調理</v>
      </c>
      <c xmlns="http://schemas.openxmlformats.org/spreadsheetml/2006/main" r="W128" s="18" t="str">
        <f t="shared" si="5"/>
        <v>免調理半成品（外購/僅切配等），不列入設備風險評估</v>
      </c>
      <c r="X128" s="22" t="s">
        <v>384</v>
      </c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 t="s">
        <v>745</v>
      </c>
      <c r="B129" s="22" t="s">
        <v>127</v>
      </c>
      <c r="C129" s="22" t="s">
        <v>620</v>
      </c>
      <c r="D129" s="22" t="s">
        <v>646</v>
      </c>
      <c r="E129" s="22" t="s">
        <v>246</v>
      </c>
      <c r="F129" s="23">
        <v>5</v>
      </c>
      <c r="G129" s="28" t="s">
        <v>75</v>
      </c>
      <c r="H129" s="24">
        <v>97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 t="s">
        <v>76</v>
      </c>
      <c xmlns="http://schemas.openxmlformats.org/spreadsheetml/2006/main" r="U129" s="23">
        <f t="shared" ref="U129:U189" si="6">IF($E129="","",COUNTIF($I129:$S129,"V"))</f>
        <v>0.0</v>
      </c>
      <c xmlns="http://schemas.openxmlformats.org/spreadsheetml/2006/main" r="V129" s="22" t="str">
        <f t="shared" ref="V129:V189" si="7">IF($E129="","",IF(AND($T129="V",$U129&gt;0),"⚠ 勾選矛盾",IF($T129="V","○ 免調理",IF($U129=0,"⚠ 資料缺漏",IF($U129=1,"▲ 單一設備依賴","OK")))))</f>
        <v>○ 免調理</v>
      </c>
      <c xmlns="http://schemas.openxmlformats.org/spreadsheetml/2006/main" r="W129" s="18" t="str">
        <f t="shared" ref="W129:W189" si="8">IF($E129="","",IF(AND($T129="V",$U129&gt;0),"「無使用調理設備」不可與設備欄同時勾選，請擇一修正",IF($T129="V","免調理半成品（外購/僅切配等），不列入設備風險評估",IF($U129=0,"未勾選任何設備，請補填或勾選「無使用調理設備」",IF($U129=1,"僅依賴1台設備，須確認故障/排修時之備援製程","無異常")))))</f>
        <v>免調理半成品（外購/僅切配等），不列入設備風險評估</v>
      </c>
      <c r="X129" s="22" t="s">
        <v>384</v>
      </c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 t="s">
        <v>744</v>
      </c>
      <c r="B130" s="22" t="s">
        <v>127</v>
      </c>
      <c r="C130" s="22" t="s">
        <v>478</v>
      </c>
      <c r="D130" s="22" t="s">
        <v>468</v>
      </c>
      <c r="E130" s="22" t="s">
        <v>469</v>
      </c>
      <c r="F130" s="23">
        <v>233</v>
      </c>
      <c r="G130" s="28" t="s">
        <v>75</v>
      </c>
      <c r="H130" s="24">
        <v>85.4</v>
      </c>
      <c r="I130" s="25" t="s">
        <v>76</v>
      </c>
      <c r="J130" s="25"/>
      <c r="K130" s="25"/>
      <c r="L130" s="25"/>
      <c r="M130" s="25"/>
      <c r="N130" s="25"/>
      <c r="O130" s="25" t="s">
        <v>76</v>
      </c>
      <c r="P130" s="25"/>
      <c r="Q130" s="25"/>
      <c r="R130" s="25"/>
      <c r="S130" s="25"/>
      <c r="T130" s="26"/>
      <c xmlns="http://schemas.openxmlformats.org/spreadsheetml/2006/main" r="U130" s="23">
        <f t="shared" si="6"/>
        <v>2.0</v>
      </c>
      <c xmlns="http://schemas.openxmlformats.org/spreadsheetml/2006/main" r="V130" s="22" t="str">
        <f t="shared" si="7"/>
        <v>OK</v>
      </c>
      <c xmlns="http://schemas.openxmlformats.org/spreadsheetml/2006/main" r="W130" s="18" t="str">
        <f t="shared" si="8"/>
        <v>無異常</v>
      </c>
      <c r="X130" s="22" t="s">
        <v>479</v>
      </c>
      <c r="Y130" s="22" t="s">
        <v>480</v>
      </c>
      <c xmlns="http://schemas.openxmlformats.org/spreadsheetml/2006/main" r="Z130">
        <f>IF($D130="",0,IF(COUNTIF($D$5:$D130,$D130)=1,1,0))</f>
        <v>1.0</v>
      </c>
      <c xmlns="http://schemas.openxmlformats.org/spreadsheetml/2006/main" r="AA130">
        <f>IF(Z130=1,SUM($Z$5:$Z130),"")</f>
        <v>18.0</v>
      </c>
    </row>
    <row r="131" spans="1:27">
      <c r="A131" s="22" t="s">
        <v>744</v>
      </c>
      <c r="B131" s="22" t="s">
        <v>127</v>
      </c>
      <c r="C131" s="22" t="s">
        <v>478</v>
      </c>
      <c r="D131" s="22" t="s">
        <v>468</v>
      </c>
      <c r="E131" s="22" t="s">
        <v>470</v>
      </c>
      <c r="F131" s="23">
        <v>30</v>
      </c>
      <c r="G131" s="28" t="s">
        <v>75</v>
      </c>
      <c r="H131" s="24">
        <v>62</v>
      </c>
      <c r="I131" s="25"/>
      <c r="J131" s="25"/>
      <c r="K131" s="25"/>
      <c r="L131" s="25"/>
      <c r="M131" s="25"/>
      <c r="N131" s="25"/>
      <c r="O131" s="25" t="s">
        <v>76</v>
      </c>
      <c r="P131" s="25"/>
      <c r="Q131" s="25"/>
      <c r="R131" s="25"/>
      <c r="S131" s="25"/>
      <c r="T131" s="26"/>
      <c xmlns="http://schemas.openxmlformats.org/spreadsheetml/2006/main" r="U131" s="23">
        <f t="shared" si="6"/>
        <v>1.0</v>
      </c>
      <c xmlns="http://schemas.openxmlformats.org/spreadsheetml/2006/main" r="V131" s="22" t="str">
        <f t="shared" si="7"/>
        <v>▲ 單一設備依賴</v>
      </c>
      <c xmlns="http://schemas.openxmlformats.org/spreadsheetml/2006/main" r="W131" s="18" t="str">
        <f t="shared" si="8"/>
        <v>僅依賴1台設備，須確認故障/排修時之備援製程</v>
      </c>
      <c r="X131" s="22" t="s">
        <v>479</v>
      </c>
      <c r="Y131" s="22" t="s">
        <v>480</v>
      </c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 t="s">
        <v>744</v>
      </c>
      <c r="B132" s="22" t="s">
        <v>127</v>
      </c>
      <c r="C132" s="22" t="s">
        <v>478</v>
      </c>
      <c r="D132" s="22" t="s">
        <v>468</v>
      </c>
      <c r="E132" s="22" t="s">
        <v>471</v>
      </c>
      <c r="F132" s="23">
        <v>20</v>
      </c>
      <c r="G132" s="28" t="s">
        <v>75</v>
      </c>
      <c r="H132" s="24">
        <v>95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 t="s">
        <v>76</v>
      </c>
      <c xmlns="http://schemas.openxmlformats.org/spreadsheetml/2006/main" r="U132" s="23">
        <f t="shared" si="6"/>
        <v>0.0</v>
      </c>
      <c xmlns="http://schemas.openxmlformats.org/spreadsheetml/2006/main" r="V132" s="22" t="str">
        <f t="shared" si="7"/>
        <v>○ 免調理</v>
      </c>
      <c xmlns="http://schemas.openxmlformats.org/spreadsheetml/2006/main" r="W132" s="18" t="str">
        <f t="shared" si="8"/>
        <v>免調理半成品（外購/僅切配等），不列入設備風險評估</v>
      </c>
      <c r="X132" s="22" t="s">
        <v>479</v>
      </c>
      <c r="Y132" s="22" t="s">
        <v>480</v>
      </c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 t="s">
        <v>744</v>
      </c>
      <c r="B133" s="22" t="s">
        <v>127</v>
      </c>
      <c r="C133" s="22" t="s">
        <v>478</v>
      </c>
      <c r="D133" s="22" t="s">
        <v>468</v>
      </c>
      <c r="E133" s="22" t="s">
        <v>472</v>
      </c>
      <c r="F133" s="23">
        <v>60</v>
      </c>
      <c r="G133" s="28" t="s">
        <v>75</v>
      </c>
      <c r="H133" s="24">
        <v>38</v>
      </c>
      <c r="I133" s="25"/>
      <c r="J133" s="25"/>
      <c r="K133" s="25"/>
      <c r="L133" s="25"/>
      <c r="M133" s="25" t="s">
        <v>76</v>
      </c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>
        <f t="shared" si="6"/>
        <v>1.0</v>
      </c>
      <c xmlns="http://schemas.openxmlformats.org/spreadsheetml/2006/main" r="V133" s="22" t="str">
        <f t="shared" si="7"/>
        <v>▲ 單一設備依賴</v>
      </c>
      <c xmlns="http://schemas.openxmlformats.org/spreadsheetml/2006/main" r="W133" s="18" t="str">
        <f t="shared" si="8"/>
        <v>僅依賴1台設備，須確認故障/排修時之備援製程</v>
      </c>
      <c r="X133" s="22" t="s">
        <v>479</v>
      </c>
      <c r="Y133" s="22" t="s">
        <v>480</v>
      </c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 t="s">
        <v>744</v>
      </c>
      <c r="B134" s="22" t="s">
        <v>127</v>
      </c>
      <c r="C134" s="22" t="s">
        <v>478</v>
      </c>
      <c r="D134" s="22" t="s">
        <v>468</v>
      </c>
      <c r="E134" s="22" t="s">
        <v>473</v>
      </c>
      <c r="F134" s="23">
        <v>10</v>
      </c>
      <c r="G134" s="28" t="s">
        <v>75</v>
      </c>
      <c r="H134" s="24">
        <v>60.5</v>
      </c>
      <c r="I134" s="25"/>
      <c r="J134" s="25"/>
      <c r="K134" s="25"/>
      <c r="L134" s="25"/>
      <c r="M134" s="25"/>
      <c r="N134" s="25"/>
      <c r="O134" s="25" t="s">
        <v>76</v>
      </c>
      <c r="P134" s="25"/>
      <c r="Q134" s="25"/>
      <c r="R134" s="25"/>
      <c r="S134" s="25"/>
      <c r="T134" s="26"/>
      <c xmlns="http://schemas.openxmlformats.org/spreadsheetml/2006/main" r="U134" s="23">
        <f t="shared" si="6"/>
        <v>1.0</v>
      </c>
      <c xmlns="http://schemas.openxmlformats.org/spreadsheetml/2006/main" r="V134" s="22" t="str">
        <f t="shared" si="7"/>
        <v>▲ 單一設備依賴</v>
      </c>
      <c xmlns="http://schemas.openxmlformats.org/spreadsheetml/2006/main" r="W134" s="18" t="str">
        <f t="shared" si="8"/>
        <v>僅依賴1台設備，須確認故障/排修時之備援製程</v>
      </c>
      <c r="X134" s="22" t="s">
        <v>479</v>
      </c>
      <c r="Y134" s="22" t="s">
        <v>480</v>
      </c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 t="s">
        <v>744</v>
      </c>
      <c r="B135" s="22" t="s">
        <v>127</v>
      </c>
      <c r="C135" s="22" t="s">
        <v>478</v>
      </c>
      <c r="D135" s="22" t="s">
        <v>468</v>
      </c>
      <c r="E135" s="22" t="s">
        <v>474</v>
      </c>
      <c r="F135" s="23">
        <v>3</v>
      </c>
      <c r="G135" s="28" t="s">
        <v>77</v>
      </c>
      <c r="H135" s="24">
        <v>97</v>
      </c>
      <c r="I135" s="25"/>
      <c r="J135" s="25"/>
      <c r="K135" s="25"/>
      <c r="L135" s="25"/>
      <c r="M135" s="25" t="s">
        <v>76</v>
      </c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>
        <f t="shared" si="6"/>
        <v>1.0</v>
      </c>
      <c xmlns="http://schemas.openxmlformats.org/spreadsheetml/2006/main" r="V135" s="22" t="str">
        <f t="shared" si="7"/>
        <v>▲ 單一設備依賴</v>
      </c>
      <c xmlns="http://schemas.openxmlformats.org/spreadsheetml/2006/main" r="W135" s="18" t="str">
        <f t="shared" si="8"/>
        <v>僅依賴1台設備，須確認故障/排修時之備援製程</v>
      </c>
      <c r="X135" s="22" t="s">
        <v>479</v>
      </c>
      <c r="Y135" s="22" t="s">
        <v>480</v>
      </c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 t="s">
        <v>744</v>
      </c>
      <c r="B136" s="22" t="s">
        <v>127</v>
      </c>
      <c r="C136" s="22" t="s">
        <v>478</v>
      </c>
      <c r="D136" s="22" t="s">
        <v>468</v>
      </c>
      <c r="E136" s="22" t="s">
        <v>475</v>
      </c>
      <c r="F136" s="23">
        <v>12</v>
      </c>
      <c r="G136" s="28" t="s">
        <v>75</v>
      </c>
      <c r="H136" s="24">
        <v>61</v>
      </c>
      <c r="I136" s="25"/>
      <c r="J136" s="25"/>
      <c r="K136" s="25"/>
      <c r="L136" s="25"/>
      <c r="M136" s="25"/>
      <c r="N136" s="25"/>
      <c r="O136" s="25" t="s">
        <v>76</v>
      </c>
      <c r="P136" s="25"/>
      <c r="Q136" s="25"/>
      <c r="R136" s="25"/>
      <c r="S136" s="25"/>
      <c r="T136" s="26"/>
      <c xmlns="http://schemas.openxmlformats.org/spreadsheetml/2006/main" r="U136" s="23">
        <f t="shared" si="6"/>
        <v>1.0</v>
      </c>
      <c xmlns="http://schemas.openxmlformats.org/spreadsheetml/2006/main" r="V136" s="22" t="str">
        <f t="shared" si="7"/>
        <v>▲ 單一設備依賴</v>
      </c>
      <c xmlns="http://schemas.openxmlformats.org/spreadsheetml/2006/main" r="W136" s="18" t="str">
        <f t="shared" si="8"/>
        <v>僅依賴1台設備，須確認故障/排修時之備援製程</v>
      </c>
      <c r="X136" s="22" t="s">
        <v>479</v>
      </c>
      <c r="Y136" s="22" t="s">
        <v>480</v>
      </c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 t="s">
        <v>744</v>
      </c>
      <c r="B137" s="22" t="s">
        <v>127</v>
      </c>
      <c r="C137" s="22" t="s">
        <v>478</v>
      </c>
      <c r="D137" s="22" t="s">
        <v>468</v>
      </c>
      <c r="E137" s="22" t="s">
        <v>476</v>
      </c>
      <c r="F137" s="23">
        <v>20</v>
      </c>
      <c r="G137" s="28" t="s">
        <v>75</v>
      </c>
      <c r="H137" s="24">
        <v>72.8</v>
      </c>
      <c r="I137" s="25"/>
      <c r="J137" s="25"/>
      <c r="K137" s="25"/>
      <c r="L137" s="25"/>
      <c r="M137" s="25"/>
      <c r="N137" s="25"/>
      <c r="O137" s="25" t="s">
        <v>76</v>
      </c>
      <c r="P137" s="25"/>
      <c r="Q137" s="25"/>
      <c r="R137" s="25"/>
      <c r="S137" s="25"/>
      <c r="T137" s="26"/>
      <c xmlns="http://schemas.openxmlformats.org/spreadsheetml/2006/main" r="U137" s="23">
        <f t="shared" si="6"/>
        <v>1.0</v>
      </c>
      <c xmlns="http://schemas.openxmlformats.org/spreadsheetml/2006/main" r="V137" s="22" t="str">
        <f t="shared" si="7"/>
        <v>▲ 單一設備依賴</v>
      </c>
      <c xmlns="http://schemas.openxmlformats.org/spreadsheetml/2006/main" r="W137" s="18" t="str">
        <f t="shared" si="8"/>
        <v>僅依賴1台設備，須確認故障/排修時之備援製程</v>
      </c>
      <c r="X137" s="22" t="s">
        <v>479</v>
      </c>
      <c r="Y137" s="22" t="s">
        <v>480</v>
      </c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 t="s">
        <v>744</v>
      </c>
      <c r="B138" s="22" t="s">
        <v>127</v>
      </c>
      <c r="C138" s="22" t="s">
        <v>478</v>
      </c>
      <c r="D138" s="22" t="s">
        <v>468</v>
      </c>
      <c r="E138" s="22" t="s">
        <v>477</v>
      </c>
      <c r="F138" s="23">
        <v>1</v>
      </c>
      <c r="G138" s="28" t="s">
        <v>77</v>
      </c>
      <c r="H138" s="24">
        <v>100</v>
      </c>
      <c r="I138" s="25"/>
      <c r="J138" s="25"/>
      <c r="K138" s="25"/>
      <c r="L138" s="25"/>
      <c r="M138" s="25" t="s">
        <v>76</v>
      </c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>
        <f t="shared" si="6"/>
        <v>1.0</v>
      </c>
      <c xmlns="http://schemas.openxmlformats.org/spreadsheetml/2006/main" r="V138" s="22" t="str">
        <f t="shared" si="7"/>
        <v>▲ 單一設備依賴</v>
      </c>
      <c xmlns="http://schemas.openxmlformats.org/spreadsheetml/2006/main" r="W138" s="18" t="str">
        <f t="shared" si="8"/>
        <v>僅依賴1台設備，須確認故障/排修時之備援製程</v>
      </c>
      <c r="X138" s="22" t="s">
        <v>479</v>
      </c>
      <c r="Y138" s="22" t="s">
        <v>480</v>
      </c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 t="s">
        <v>744</v>
      </c>
      <c r="B139" s="22" t="s">
        <v>127</v>
      </c>
      <c r="C139" s="22" t="s">
        <v>478</v>
      </c>
      <c r="D139" s="22" t="s">
        <v>468</v>
      </c>
      <c r="E139" s="22" t="s">
        <v>334</v>
      </c>
      <c r="F139" s="23">
        <v>0.3</v>
      </c>
      <c r="G139" s="28" t="s">
        <v>75</v>
      </c>
      <c r="H139" s="24">
        <v>100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 t="s">
        <v>76</v>
      </c>
      <c xmlns="http://schemas.openxmlformats.org/spreadsheetml/2006/main" r="U139" s="23">
        <f t="shared" si="6"/>
        <v>0.0</v>
      </c>
      <c xmlns="http://schemas.openxmlformats.org/spreadsheetml/2006/main" r="V139" s="22" t="str">
        <f t="shared" si="7"/>
        <v>○ 免調理</v>
      </c>
      <c xmlns="http://schemas.openxmlformats.org/spreadsheetml/2006/main" r="W139" s="18" t="str">
        <f t="shared" si="8"/>
        <v>免調理半成品（外購/僅切配等），不列入設備風險評估</v>
      </c>
      <c r="X139" s="22" t="s">
        <v>479</v>
      </c>
      <c r="Y139" s="22" t="s">
        <v>480</v>
      </c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 t="s">
        <v>745</v>
      </c>
      <c r="B140" s="22" t="s">
        <v>127</v>
      </c>
      <c r="C140" s="22" t="s">
        <v>191</v>
      </c>
      <c r="D140" s="22" t="s">
        <v>546</v>
      </c>
      <c r="E140" s="22" t="s">
        <v>213</v>
      </c>
      <c r="F140" s="23">
        <v>85</v>
      </c>
      <c r="G140" s="28" t="s">
        <v>75</v>
      </c>
      <c r="H140" s="24">
        <v>90</v>
      </c>
      <c r="I140" s="25" t="s">
        <v>76</v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>
        <f t="shared" si="6"/>
        <v>1.0</v>
      </c>
      <c xmlns="http://schemas.openxmlformats.org/spreadsheetml/2006/main" r="V140" s="22" t="str">
        <f t="shared" si="7"/>
        <v>▲ 單一設備依賴</v>
      </c>
      <c xmlns="http://schemas.openxmlformats.org/spreadsheetml/2006/main" r="W140" s="18" t="str">
        <f t="shared" si="8"/>
        <v>僅依賴1台設備，須確認故障/排修時之備援製程</v>
      </c>
      <c r="X140" s="22" t="s">
        <v>545</v>
      </c>
      <c r="Y140" s="22" t="s">
        <v>467</v>
      </c>
      <c xmlns="http://schemas.openxmlformats.org/spreadsheetml/2006/main" r="Z140">
        <f>IF($D140="",0,IF(COUNTIF($D$5:$D140,$D140)=1,1,0))</f>
        <v>1.0</v>
      </c>
      <c xmlns="http://schemas.openxmlformats.org/spreadsheetml/2006/main" r="AA140">
        <f>IF(Z140=1,SUM($Z$5:$Z140),"")</f>
        <v>19.0</v>
      </c>
    </row>
    <row r="141" spans="1:27">
      <c r="A141" s="22" t="s">
        <v>745</v>
      </c>
      <c r="B141" s="22" t="s">
        <v>127</v>
      </c>
      <c r="C141" s="22" t="s">
        <v>191</v>
      </c>
      <c r="D141" s="22" t="s">
        <v>546</v>
      </c>
      <c r="E141" s="22" t="s">
        <v>539</v>
      </c>
      <c r="F141" s="23">
        <v>115</v>
      </c>
      <c r="G141" s="28" t="s">
        <v>75</v>
      </c>
      <c r="H141" s="24">
        <v>61</v>
      </c>
      <c r="I141" s="25"/>
      <c r="J141" s="25"/>
      <c r="K141" s="25"/>
      <c r="L141" s="25"/>
      <c r="M141" s="25"/>
      <c r="N141" s="25"/>
      <c r="O141" s="25" t="s">
        <v>76</v>
      </c>
      <c r="P141" s="25"/>
      <c r="Q141" s="25"/>
      <c r="R141" s="25"/>
      <c r="S141" s="25"/>
      <c r="T141" s="26"/>
      <c xmlns="http://schemas.openxmlformats.org/spreadsheetml/2006/main" r="U141" s="23">
        <f t="shared" si="6"/>
        <v>1.0</v>
      </c>
      <c xmlns="http://schemas.openxmlformats.org/spreadsheetml/2006/main" r="V141" s="22" t="str">
        <f t="shared" si="7"/>
        <v>▲ 單一設備依賴</v>
      </c>
      <c xmlns="http://schemas.openxmlformats.org/spreadsheetml/2006/main" r="W141" s="18" t="str">
        <f t="shared" si="8"/>
        <v>僅依賴1台設備，須確認故障/排修時之備援製程</v>
      </c>
      <c r="X141" s="22" t="s">
        <v>544</v>
      </c>
      <c r="Y141" s="22" t="s">
        <v>467</v>
      </c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 t="s">
        <v>745</v>
      </c>
      <c r="B142" s="22" t="s">
        <v>127</v>
      </c>
      <c r="C142" s="22" t="s">
        <v>191</v>
      </c>
      <c r="D142" s="22" t="s">
        <v>546</v>
      </c>
      <c r="E142" s="22" t="s">
        <v>225</v>
      </c>
      <c r="F142" s="23">
        <v>0.5</v>
      </c>
      <c r="G142" s="28" t="s">
        <v>77</v>
      </c>
      <c r="H142" s="24">
        <v>100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 t="s">
        <v>76</v>
      </c>
      <c xmlns="http://schemas.openxmlformats.org/spreadsheetml/2006/main" r="U142" s="23">
        <f t="shared" si="6"/>
        <v>0.0</v>
      </c>
      <c xmlns="http://schemas.openxmlformats.org/spreadsheetml/2006/main" r="V142" s="22" t="str">
        <f t="shared" si="7"/>
        <v>○ 免調理</v>
      </c>
      <c xmlns="http://schemas.openxmlformats.org/spreadsheetml/2006/main" r="W142" s="18" t="str">
        <f t="shared" si="8"/>
        <v>免調理半成品（外購/僅切配等），不列入設備風險評估</v>
      </c>
      <c r="X142" s="22" t="s">
        <v>544</v>
      </c>
      <c r="Y142" s="22" t="s">
        <v>467</v>
      </c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 t="s">
        <v>745</v>
      </c>
      <c r="B143" s="22" t="s">
        <v>127</v>
      </c>
      <c r="C143" s="22" t="s">
        <v>191</v>
      </c>
      <c r="D143" s="22" t="s">
        <v>546</v>
      </c>
      <c r="E143" s="22" t="s">
        <v>540</v>
      </c>
      <c r="F143" s="23">
        <v>20</v>
      </c>
      <c r="G143" s="28" t="s">
        <v>75</v>
      </c>
      <c r="H143" s="24">
        <v>60</v>
      </c>
      <c r="I143" s="25"/>
      <c r="J143" s="25"/>
      <c r="K143" s="25"/>
      <c r="L143" s="25"/>
      <c r="M143" s="25"/>
      <c r="N143" s="25"/>
      <c r="O143" s="25" t="s">
        <v>76</v>
      </c>
      <c r="P143" s="25"/>
      <c r="Q143" s="25"/>
      <c r="R143" s="25"/>
      <c r="S143" s="25"/>
      <c r="T143" s="26"/>
      <c xmlns="http://schemas.openxmlformats.org/spreadsheetml/2006/main" r="U143" s="23">
        <f t="shared" si="6"/>
        <v>1.0</v>
      </c>
      <c xmlns="http://schemas.openxmlformats.org/spreadsheetml/2006/main" r="V143" s="22" t="str">
        <f t="shared" si="7"/>
        <v>▲ 單一設備依賴</v>
      </c>
      <c xmlns="http://schemas.openxmlformats.org/spreadsheetml/2006/main" r="W143" s="18" t="str">
        <f t="shared" si="8"/>
        <v>僅依賴1台設備，須確認故障/排修時之備援製程</v>
      </c>
      <c r="X143" s="22" t="s">
        <v>544</v>
      </c>
      <c r="Y143" s="22" t="s">
        <v>467</v>
      </c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 t="s">
        <v>745</v>
      </c>
      <c r="B144" s="22" t="s">
        <v>127</v>
      </c>
      <c r="C144" s="22" t="s">
        <v>191</v>
      </c>
      <c r="D144" s="22" t="s">
        <v>546</v>
      </c>
      <c r="E144" s="22" t="s">
        <v>541</v>
      </c>
      <c r="F144" s="23">
        <v>1</v>
      </c>
      <c r="G144" s="28" t="s">
        <v>77</v>
      </c>
      <c r="H144" s="24">
        <v>100</v>
      </c>
      <c r="I144" s="25"/>
      <c r="J144" s="25"/>
      <c r="K144" s="25" t="s">
        <v>76</v>
      </c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>
        <f t="shared" si="6"/>
        <v>1.0</v>
      </c>
      <c xmlns="http://schemas.openxmlformats.org/spreadsheetml/2006/main" r="V144" s="22" t="str">
        <f t="shared" si="7"/>
        <v>▲ 單一設備依賴</v>
      </c>
      <c xmlns="http://schemas.openxmlformats.org/spreadsheetml/2006/main" r="W144" s="18" t="str">
        <f t="shared" si="8"/>
        <v>僅依賴1台設備，須確認故障/排修時之備援製程</v>
      </c>
      <c r="X144" s="22" t="s">
        <v>544</v>
      </c>
      <c r="Y144" s="22" t="s">
        <v>467</v>
      </c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 t="s">
        <v>745</v>
      </c>
      <c r="B145" s="22" t="s">
        <v>127</v>
      </c>
      <c r="C145" s="22" t="s">
        <v>191</v>
      </c>
      <c r="D145" s="22" t="s">
        <v>546</v>
      </c>
      <c r="E145" s="22" t="s">
        <v>470</v>
      </c>
      <c r="F145" s="23">
        <v>32</v>
      </c>
      <c r="G145" s="28" t="s">
        <v>75</v>
      </c>
      <c r="H145" s="24">
        <v>74</v>
      </c>
      <c r="I145" s="25"/>
      <c r="J145" s="25"/>
      <c r="K145" s="25"/>
      <c r="L145" s="25"/>
      <c r="M145" s="25"/>
      <c r="N145" s="25"/>
      <c r="O145" s="25" t="s">
        <v>76</v>
      </c>
      <c r="P145" s="25"/>
      <c r="Q145" s="25"/>
      <c r="R145" s="25"/>
      <c r="S145" s="25"/>
      <c r="T145" s="26"/>
      <c xmlns="http://schemas.openxmlformats.org/spreadsheetml/2006/main" r="U145" s="23">
        <f t="shared" si="6"/>
        <v>1.0</v>
      </c>
      <c xmlns="http://schemas.openxmlformats.org/spreadsheetml/2006/main" r="V145" s="22" t="str">
        <f t="shared" si="7"/>
        <v>▲ 單一設備依賴</v>
      </c>
      <c xmlns="http://schemas.openxmlformats.org/spreadsheetml/2006/main" r="W145" s="18" t="str">
        <f t="shared" si="8"/>
        <v>僅依賴1台設備，須確認故障/排修時之備援製程</v>
      </c>
      <c r="X145" s="22" t="s">
        <v>544</v>
      </c>
      <c r="Y145" s="22" t="s">
        <v>467</v>
      </c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 t="s">
        <v>745</v>
      </c>
      <c r="B146" s="22" t="s">
        <v>127</v>
      </c>
      <c r="C146" s="22" t="s">
        <v>191</v>
      </c>
      <c r="D146" s="22" t="s">
        <v>546</v>
      </c>
      <c r="E146" s="22" t="s">
        <v>542</v>
      </c>
      <c r="F146" s="23">
        <v>14</v>
      </c>
      <c r="G146" s="28" t="s">
        <v>75</v>
      </c>
      <c r="H146" s="24">
        <v>55</v>
      </c>
      <c r="I146" s="25"/>
      <c r="J146" s="25"/>
      <c r="K146" s="25"/>
      <c r="L146" s="25"/>
      <c r="M146" s="25"/>
      <c r="N146" s="25"/>
      <c r="O146" s="25" t="s">
        <v>76</v>
      </c>
      <c r="P146" s="25"/>
      <c r="Q146" s="25"/>
      <c r="R146" s="25"/>
      <c r="S146" s="25"/>
      <c r="T146" s="26"/>
      <c xmlns="http://schemas.openxmlformats.org/spreadsheetml/2006/main" r="U146" s="23">
        <f t="shared" si="6"/>
        <v>1.0</v>
      </c>
      <c xmlns="http://schemas.openxmlformats.org/spreadsheetml/2006/main" r="V146" s="22" t="str">
        <f t="shared" si="7"/>
        <v>▲ 單一設備依賴</v>
      </c>
      <c xmlns="http://schemas.openxmlformats.org/spreadsheetml/2006/main" r="W146" s="18" t="str">
        <f t="shared" si="8"/>
        <v>僅依賴1台設備，須確認故障/排修時之備援製程</v>
      </c>
      <c r="X146" s="22" t="s">
        <v>544</v>
      </c>
      <c r="Y146" s="22" t="s">
        <v>467</v>
      </c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 t="s">
        <v>745</v>
      </c>
      <c r="B147" s="22" t="s">
        <v>127</v>
      </c>
      <c r="C147" s="22" t="s">
        <v>191</v>
      </c>
      <c r="D147" s="22" t="s">
        <v>546</v>
      </c>
      <c r="E147" s="22" t="s">
        <v>543</v>
      </c>
      <c r="F147" s="23">
        <v>0.2</v>
      </c>
      <c r="G147" s="28" t="s">
        <v>75</v>
      </c>
      <c r="H147" s="24">
        <v>100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 t="s">
        <v>76</v>
      </c>
      <c xmlns="http://schemas.openxmlformats.org/spreadsheetml/2006/main" r="U147" s="23">
        <f t="shared" si="6"/>
        <v>0.0</v>
      </c>
      <c xmlns="http://schemas.openxmlformats.org/spreadsheetml/2006/main" r="V147" s="22" t="str">
        <f t="shared" si="7"/>
        <v>○ 免調理</v>
      </c>
      <c xmlns="http://schemas.openxmlformats.org/spreadsheetml/2006/main" r="W147" s="18" t="str">
        <f t="shared" si="8"/>
        <v>免調理半成品（外購/僅切配等），不列入設備風險評估</v>
      </c>
      <c r="X147" s="22" t="s">
        <v>544</v>
      </c>
      <c r="Y147" s="22" t="s">
        <v>467</v>
      </c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 t="s">
        <v>745</v>
      </c>
      <c r="B148" s="27" t="s">
        <v>482</v>
      </c>
      <c r="C148" s="22" t="s">
        <v>647</v>
      </c>
      <c r="D148" s="22" t="s">
        <v>557</v>
      </c>
      <c r="E148" s="22" t="s">
        <v>559</v>
      </c>
      <c r="F148" s="28">
        <v>130</v>
      </c>
      <c r="G148" s="28" t="s">
        <v>75</v>
      </c>
      <c r="H148" s="24">
        <v>92</v>
      </c>
      <c r="I148" s="25" t="s">
        <v>76</v>
      </c>
      <c r="J148" s="25"/>
      <c r="K148" s="25"/>
      <c r="L148" s="25"/>
      <c r="M148" s="25"/>
      <c r="N148" s="25"/>
      <c r="O148" s="25" t="s">
        <v>76</v>
      </c>
      <c r="P148" s="25"/>
      <c r="Q148" s="25"/>
      <c r="R148" s="25"/>
      <c r="S148" s="25"/>
      <c r="T148" s="26"/>
      <c xmlns="http://schemas.openxmlformats.org/spreadsheetml/2006/main" r="U148" s="23">
        <f t="shared" si="6"/>
        <v>2.0</v>
      </c>
      <c xmlns="http://schemas.openxmlformats.org/spreadsheetml/2006/main" r="V148" s="22" t="str">
        <f t="shared" si="7"/>
        <v>OK</v>
      </c>
      <c xmlns="http://schemas.openxmlformats.org/spreadsheetml/2006/main" r="W148" s="18" t="str">
        <f t="shared" si="8"/>
        <v>無異常</v>
      </c>
      <c r="X148" s="22" t="s">
        <v>558</v>
      </c>
      <c r="Y148" s="22" t="s">
        <v>467</v>
      </c>
      <c xmlns="http://schemas.openxmlformats.org/spreadsheetml/2006/main" r="Z148">
        <f>IF($D148="",0,IF(COUNTIF($D$5:$D148,$D148)=1,1,0))</f>
        <v>1.0</v>
      </c>
      <c xmlns="http://schemas.openxmlformats.org/spreadsheetml/2006/main" r="AA148">
        <f>IF(Z148=1,SUM($Z$5:$Z148),"")</f>
        <v>20.0</v>
      </c>
    </row>
    <row r="149" spans="1:27">
      <c r="A149" s="22" t="s">
        <v>745</v>
      </c>
      <c r="B149" s="27" t="s">
        <v>482</v>
      </c>
      <c r="C149" s="22" t="s">
        <v>647</v>
      </c>
      <c r="D149" s="22" t="s">
        <v>557</v>
      </c>
      <c r="E149" s="22" t="s">
        <v>508</v>
      </c>
      <c r="F149" s="28">
        <v>1</v>
      </c>
      <c r="G149" s="28" t="s">
        <v>77</v>
      </c>
      <c r="H149" s="24">
        <v>100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 t="s">
        <v>76</v>
      </c>
      <c xmlns="http://schemas.openxmlformats.org/spreadsheetml/2006/main" r="U149" s="23">
        <f t="shared" si="6"/>
        <v>0.0</v>
      </c>
      <c xmlns="http://schemas.openxmlformats.org/spreadsheetml/2006/main" r="V149" s="22" t="str">
        <f t="shared" si="7"/>
        <v>○ 免調理</v>
      </c>
      <c xmlns="http://schemas.openxmlformats.org/spreadsheetml/2006/main" r="W149" s="18" t="str">
        <f t="shared" si="8"/>
        <v>免調理半成品（外購/僅切配等），不列入設備風險評估</v>
      </c>
      <c r="X149" s="22" t="s">
        <v>558</v>
      </c>
      <c r="Y149" s="22" t="s">
        <v>467</v>
      </c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 t="s">
        <v>745</v>
      </c>
      <c r="B150" s="27" t="s">
        <v>482</v>
      </c>
      <c r="C150" s="22" t="s">
        <v>647</v>
      </c>
      <c r="D150" s="22" t="s">
        <v>557</v>
      </c>
      <c r="E150" s="22" t="s">
        <v>560</v>
      </c>
      <c r="F150" s="28">
        <v>12</v>
      </c>
      <c r="G150" s="28" t="s">
        <v>75</v>
      </c>
      <c r="H150" s="24">
        <v>95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 t="s">
        <v>76</v>
      </c>
      <c xmlns="http://schemas.openxmlformats.org/spreadsheetml/2006/main" r="U150" s="23">
        <f t="shared" si="6"/>
        <v>0.0</v>
      </c>
      <c xmlns="http://schemas.openxmlformats.org/spreadsheetml/2006/main" r="V150" s="22" t="str">
        <f t="shared" si="7"/>
        <v>○ 免調理</v>
      </c>
      <c xmlns="http://schemas.openxmlformats.org/spreadsheetml/2006/main" r="W150" s="18" t="str">
        <f t="shared" si="8"/>
        <v>免調理半成品（外購/僅切配等），不列入設備風險評估</v>
      </c>
      <c r="X150" s="22" t="s">
        <v>558</v>
      </c>
      <c r="Y150" s="22" t="s">
        <v>467</v>
      </c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 t="s">
        <v>745</v>
      </c>
      <c r="B151" s="27" t="s">
        <v>482</v>
      </c>
      <c r="C151" s="22" t="s">
        <v>647</v>
      </c>
      <c r="D151" s="22" t="s">
        <v>557</v>
      </c>
      <c r="E151" s="22" t="s">
        <v>303</v>
      </c>
      <c r="F151" s="28">
        <v>4</v>
      </c>
      <c r="G151" s="28" t="s">
        <v>75</v>
      </c>
      <c r="H151" s="24">
        <v>96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 t="s">
        <v>76</v>
      </c>
      <c xmlns="http://schemas.openxmlformats.org/spreadsheetml/2006/main" r="U151" s="23">
        <f t="shared" si="6"/>
        <v>0.0</v>
      </c>
      <c xmlns="http://schemas.openxmlformats.org/spreadsheetml/2006/main" r="V151" s="22" t="str">
        <f t="shared" si="7"/>
        <v>○ 免調理</v>
      </c>
      <c xmlns="http://schemas.openxmlformats.org/spreadsheetml/2006/main" r="W151" s="18" t="str">
        <f t="shared" si="8"/>
        <v>免調理半成品（外購/僅切配等），不列入設備風險評估</v>
      </c>
      <c r="X151" s="22" t="s">
        <v>558</v>
      </c>
      <c r="Y151" s="22" t="s">
        <v>467</v>
      </c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 t="s">
        <v>745</v>
      </c>
      <c r="B152" s="27" t="s">
        <v>482</v>
      </c>
      <c r="C152" s="22" t="s">
        <v>647</v>
      </c>
      <c r="D152" s="22" t="s">
        <v>557</v>
      </c>
      <c r="E152" s="22" t="s">
        <v>561</v>
      </c>
      <c r="F152" s="28">
        <v>25</v>
      </c>
      <c r="G152" s="28" t="s">
        <v>75</v>
      </c>
      <c r="H152" s="24">
        <v>65</v>
      </c>
      <c r="I152" s="25"/>
      <c r="J152" s="25"/>
      <c r="K152" s="25" t="s">
        <v>76</v>
      </c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>
        <f t="shared" si="6"/>
        <v>1.0</v>
      </c>
      <c xmlns="http://schemas.openxmlformats.org/spreadsheetml/2006/main" r="V152" s="22" t="str">
        <f t="shared" si="7"/>
        <v>▲ 單一設備依賴</v>
      </c>
      <c xmlns="http://schemas.openxmlformats.org/spreadsheetml/2006/main" r="W152" s="18" t="str">
        <f t="shared" si="8"/>
        <v>僅依賴1台設備，須確認故障/排修時之備援製程</v>
      </c>
      <c r="X152" s="22" t="s">
        <v>558</v>
      </c>
      <c r="Y152" s="22" t="s">
        <v>467</v>
      </c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 t="s">
        <v>745</v>
      </c>
      <c r="B153" s="27" t="s">
        <v>482</v>
      </c>
      <c r="C153" s="22" t="s">
        <v>567</v>
      </c>
      <c r="D153" s="22" t="s">
        <v>568</v>
      </c>
      <c r="E153" s="22" t="s">
        <v>562</v>
      </c>
      <c r="F153" s="23">
        <v>140</v>
      </c>
      <c r="G153" s="28" t="s">
        <v>75</v>
      </c>
      <c r="H153" s="24">
        <v>81</v>
      </c>
      <c r="I153" s="25" t="s">
        <v>76</v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>
        <f t="shared" si="6"/>
        <v>1.0</v>
      </c>
      <c xmlns="http://schemas.openxmlformats.org/spreadsheetml/2006/main" r="V153" s="22" t="str">
        <f t="shared" si="7"/>
        <v>▲ 單一設備依賴</v>
      </c>
      <c xmlns="http://schemas.openxmlformats.org/spreadsheetml/2006/main" r="W153" s="18" t="str">
        <f t="shared" si="8"/>
        <v>僅依賴1台設備，須確認故障/排修時之備援製程</v>
      </c>
      <c r="X153" s="22" t="s">
        <v>569</v>
      </c>
      <c r="Y153" s="22" t="s">
        <v>467</v>
      </c>
      <c xmlns="http://schemas.openxmlformats.org/spreadsheetml/2006/main" r="Z153">
        <f>IF($D153="",0,IF(COUNTIF($D$5:$D153,$D153)=1,1,0))</f>
        <v>1.0</v>
      </c>
      <c xmlns="http://schemas.openxmlformats.org/spreadsheetml/2006/main" r="AA153">
        <f>IF(Z153=1,SUM($Z$5:$Z153),"")</f>
        <v>21.0</v>
      </c>
    </row>
    <row r="154" spans="1:27">
      <c r="A154" s="22" t="s">
        <v>745</v>
      </c>
      <c r="B154" s="27" t="s">
        <v>482</v>
      </c>
      <c r="C154" s="22" t="s">
        <v>567</v>
      </c>
      <c r="D154" s="22" t="s">
        <v>568</v>
      </c>
      <c r="E154" s="22" t="s">
        <v>563</v>
      </c>
      <c r="F154" s="23">
        <v>10</v>
      </c>
      <c r="G154" s="28" t="s">
        <v>75</v>
      </c>
      <c r="H154" s="24">
        <v>100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 t="s">
        <v>76</v>
      </c>
      <c xmlns="http://schemas.openxmlformats.org/spreadsheetml/2006/main" r="U154" s="23">
        <f t="shared" si="6"/>
        <v>0.0</v>
      </c>
      <c xmlns="http://schemas.openxmlformats.org/spreadsheetml/2006/main" r="V154" s="22" t="str">
        <f t="shared" si="7"/>
        <v>○ 免調理</v>
      </c>
      <c xmlns="http://schemas.openxmlformats.org/spreadsheetml/2006/main" r="W154" s="18" t="str">
        <f t="shared" si="8"/>
        <v>免調理半成品（外購/僅切配等），不列入設備風險評估</v>
      </c>
      <c r="X154" s="22" t="s">
        <v>569</v>
      </c>
      <c r="Y154" s="22" t="s">
        <v>467</v>
      </c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 t="s">
        <v>745</v>
      </c>
      <c r="B155" s="27" t="s">
        <v>482</v>
      </c>
      <c r="C155" s="22" t="s">
        <v>567</v>
      </c>
      <c r="D155" s="22" t="s">
        <v>568</v>
      </c>
      <c r="E155" s="22" t="s">
        <v>564</v>
      </c>
      <c r="F155" s="23">
        <v>12</v>
      </c>
      <c r="G155" s="28" t="s">
        <v>75</v>
      </c>
      <c r="H155" s="24">
        <v>66</v>
      </c>
      <c r="I155" s="25"/>
      <c r="J155" s="25"/>
      <c r="K155" s="25"/>
      <c r="L155" s="25"/>
      <c r="M155" s="25"/>
      <c r="N155" s="25"/>
      <c r="O155" s="25" t="s">
        <v>76</v>
      </c>
      <c r="P155" s="25"/>
      <c r="Q155" s="25"/>
      <c r="R155" s="25"/>
      <c r="S155" s="25"/>
      <c r="T155" s="26"/>
      <c xmlns="http://schemas.openxmlformats.org/spreadsheetml/2006/main" r="U155" s="23">
        <f t="shared" si="6"/>
        <v>1.0</v>
      </c>
      <c xmlns="http://schemas.openxmlformats.org/spreadsheetml/2006/main" r="V155" s="22" t="str">
        <f t="shared" si="7"/>
        <v>▲ 單一設備依賴</v>
      </c>
      <c xmlns="http://schemas.openxmlformats.org/spreadsheetml/2006/main" r="W155" s="18" t="str">
        <f t="shared" si="8"/>
        <v>僅依賴1台設備，須確認故障/排修時之備援製程</v>
      </c>
      <c r="X155" s="22" t="s">
        <v>569</v>
      </c>
      <c r="Y155" s="22" t="s">
        <v>467</v>
      </c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 t="s">
        <v>745</v>
      </c>
      <c r="B156" s="27" t="s">
        <v>482</v>
      </c>
      <c r="C156" s="22" t="s">
        <v>567</v>
      </c>
      <c r="D156" s="22" t="s">
        <v>568</v>
      </c>
      <c r="E156" s="22" t="s">
        <v>565</v>
      </c>
      <c r="F156" s="23">
        <v>15</v>
      </c>
      <c r="G156" s="28" t="s">
        <v>75</v>
      </c>
      <c r="H156" s="24">
        <v>55</v>
      </c>
      <c r="I156" s="25"/>
      <c r="J156" s="25"/>
      <c r="K156" s="25"/>
      <c r="L156" s="25"/>
      <c r="M156" s="25"/>
      <c r="N156" s="25" t="s">
        <v>76</v>
      </c>
      <c r="O156" s="25"/>
      <c r="P156" s="25"/>
      <c r="Q156" s="25"/>
      <c r="R156" s="25"/>
      <c r="S156" s="25"/>
      <c r="T156" s="26"/>
      <c xmlns="http://schemas.openxmlformats.org/spreadsheetml/2006/main" r="U156" s="23">
        <f t="shared" si="6"/>
        <v>1.0</v>
      </c>
      <c xmlns="http://schemas.openxmlformats.org/spreadsheetml/2006/main" r="V156" s="22" t="str">
        <f t="shared" si="7"/>
        <v>▲ 單一設備依賴</v>
      </c>
      <c xmlns="http://schemas.openxmlformats.org/spreadsheetml/2006/main" r="W156" s="18" t="str">
        <f t="shared" si="8"/>
        <v>僅依賴1台設備，須確認故障/排修時之備援製程</v>
      </c>
      <c r="X156" s="22" t="s">
        <v>569</v>
      </c>
      <c r="Y156" s="22" t="s">
        <v>467</v>
      </c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 t="s">
        <v>745</v>
      </c>
      <c r="B157" s="27" t="s">
        <v>482</v>
      </c>
      <c r="C157" s="22" t="s">
        <v>567</v>
      </c>
      <c r="D157" s="22" t="s">
        <v>568</v>
      </c>
      <c r="E157" s="22" t="s">
        <v>566</v>
      </c>
      <c r="F157" s="23">
        <v>1</v>
      </c>
      <c r="G157" s="28" t="s">
        <v>77</v>
      </c>
      <c r="H157" s="24">
        <v>78</v>
      </c>
      <c r="I157" s="25"/>
      <c r="J157" s="25"/>
      <c r="K157" s="25" t="s">
        <v>76</v>
      </c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>
        <f t="shared" si="6"/>
        <v>1.0</v>
      </c>
      <c xmlns="http://schemas.openxmlformats.org/spreadsheetml/2006/main" r="V157" s="22" t="str">
        <f t="shared" si="7"/>
        <v>▲ 單一設備依賴</v>
      </c>
      <c xmlns="http://schemas.openxmlformats.org/spreadsheetml/2006/main" r="W157" s="18" t="str">
        <f t="shared" si="8"/>
        <v>僅依賴1台設備，須確認故障/排修時之備援製程</v>
      </c>
      <c r="X157" s="22" t="s">
        <v>569</v>
      </c>
      <c r="Y157" s="22" t="s">
        <v>467</v>
      </c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 t="s">
        <v>745</v>
      </c>
      <c r="B158" s="27" t="s">
        <v>482</v>
      </c>
      <c r="C158" s="22" t="s">
        <v>567</v>
      </c>
      <c r="D158" s="22" t="s">
        <v>570</v>
      </c>
      <c r="E158" s="22" t="s">
        <v>572</v>
      </c>
      <c r="F158" s="23">
        <v>140</v>
      </c>
      <c r="G158" s="28" t="s">
        <v>75</v>
      </c>
      <c r="H158" s="24">
        <v>79</v>
      </c>
      <c r="I158" s="25" t="s">
        <v>76</v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>
        <f t="shared" si="6"/>
        <v>1.0</v>
      </c>
      <c xmlns="http://schemas.openxmlformats.org/spreadsheetml/2006/main" r="V158" s="22" t="str">
        <f t="shared" si="7"/>
        <v>▲ 單一設備依賴</v>
      </c>
      <c xmlns="http://schemas.openxmlformats.org/spreadsheetml/2006/main" r="W158" s="18" t="str">
        <f t="shared" si="8"/>
        <v>僅依賴1台設備，須確認故障/排修時之備援製程</v>
      </c>
      <c r="X158" s="22" t="s">
        <v>571</v>
      </c>
      <c r="Y158" s="22" t="s">
        <v>467</v>
      </c>
      <c xmlns="http://schemas.openxmlformats.org/spreadsheetml/2006/main" r="Z158">
        <f>IF($D158="",0,IF(COUNTIF($D$5:$D158,$D158)=1,1,0))</f>
        <v>1.0</v>
      </c>
      <c xmlns="http://schemas.openxmlformats.org/spreadsheetml/2006/main" r="AA158">
        <f>IF(Z158=1,SUM($Z$5:$Z158),"")</f>
        <v>22.0</v>
      </c>
    </row>
    <row r="159" spans="1:27">
      <c r="A159" s="22" t="s">
        <v>745</v>
      </c>
      <c r="B159" s="27" t="s">
        <v>482</v>
      </c>
      <c r="C159" s="22" t="s">
        <v>567</v>
      </c>
      <c r="D159" s="22" t="s">
        <v>570</v>
      </c>
      <c r="E159" s="22" t="s">
        <v>563</v>
      </c>
      <c r="F159" s="23">
        <v>10</v>
      </c>
      <c r="G159" s="28" t="s">
        <v>75</v>
      </c>
      <c r="H159" s="24">
        <v>100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 t="s">
        <v>76</v>
      </c>
      <c xmlns="http://schemas.openxmlformats.org/spreadsheetml/2006/main" r="U159" s="23">
        <f t="shared" si="6"/>
        <v>0.0</v>
      </c>
      <c xmlns="http://schemas.openxmlformats.org/spreadsheetml/2006/main" r="V159" s="22" t="str">
        <f t="shared" si="7"/>
        <v>○ 免調理</v>
      </c>
      <c xmlns="http://schemas.openxmlformats.org/spreadsheetml/2006/main" r="W159" s="18" t="str">
        <f t="shared" si="8"/>
        <v>免調理半成品（外購/僅切配等），不列入設備風險評估</v>
      </c>
      <c r="X159" s="22" t="s">
        <v>571</v>
      </c>
      <c r="Y159" s="22" t="s">
        <v>467</v>
      </c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 t="s">
        <v>745</v>
      </c>
      <c r="B160" s="27" t="s">
        <v>482</v>
      </c>
      <c r="C160" s="22" t="s">
        <v>567</v>
      </c>
      <c r="D160" s="22" t="s">
        <v>570</v>
      </c>
      <c r="E160" s="22" t="s">
        <v>564</v>
      </c>
      <c r="F160" s="23">
        <v>10</v>
      </c>
      <c r="G160" s="28" t="s">
        <v>75</v>
      </c>
      <c r="H160" s="24">
        <v>66</v>
      </c>
      <c r="I160" s="25"/>
      <c r="J160" s="25"/>
      <c r="K160" s="25"/>
      <c r="L160" s="25"/>
      <c r="M160" s="25"/>
      <c r="N160" s="25"/>
      <c r="O160" s="25" t="s">
        <v>76</v>
      </c>
      <c r="P160" s="25"/>
      <c r="Q160" s="25"/>
      <c r="R160" s="25"/>
      <c r="S160" s="25"/>
      <c r="T160" s="26"/>
      <c xmlns="http://schemas.openxmlformats.org/spreadsheetml/2006/main" r="U160" s="23">
        <f t="shared" si="6"/>
        <v>1.0</v>
      </c>
      <c xmlns="http://schemas.openxmlformats.org/spreadsheetml/2006/main" r="V160" s="22" t="str">
        <f t="shared" si="7"/>
        <v>▲ 單一設備依賴</v>
      </c>
      <c xmlns="http://schemas.openxmlformats.org/spreadsheetml/2006/main" r="W160" s="18" t="str">
        <f t="shared" si="8"/>
        <v>僅依賴1台設備，須確認故障/排修時之備援製程</v>
      </c>
      <c r="X160" s="22" t="s">
        <v>571</v>
      </c>
      <c r="Y160" s="22" t="s">
        <v>467</v>
      </c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 t="s">
        <v>745</v>
      </c>
      <c r="B161" s="27" t="s">
        <v>482</v>
      </c>
      <c r="C161" s="22" t="s">
        <v>567</v>
      </c>
      <c r="D161" s="22" t="s">
        <v>570</v>
      </c>
      <c r="E161" s="22" t="s">
        <v>573</v>
      </c>
      <c r="F161" s="23">
        <v>2</v>
      </c>
      <c r="G161" s="28" t="s">
        <v>77</v>
      </c>
      <c r="H161" s="24">
        <v>100</v>
      </c>
      <c r="I161" s="25"/>
      <c r="J161" s="25"/>
      <c r="K161" s="25"/>
      <c r="L161" s="25"/>
      <c r="M161" s="25"/>
      <c r="N161" s="25" t="s">
        <v>76</v>
      </c>
      <c r="O161" s="25" t="s">
        <v>76</v>
      </c>
      <c r="P161" s="25"/>
      <c r="Q161" s="25"/>
      <c r="R161" s="25"/>
      <c r="S161" s="25"/>
      <c r="T161" s="26"/>
      <c xmlns="http://schemas.openxmlformats.org/spreadsheetml/2006/main" r="U161" s="23">
        <f t="shared" si="6"/>
        <v>2.0</v>
      </c>
      <c xmlns="http://schemas.openxmlformats.org/spreadsheetml/2006/main" r="V161" s="22" t="str">
        <f t="shared" si="7"/>
        <v>OK</v>
      </c>
      <c xmlns="http://schemas.openxmlformats.org/spreadsheetml/2006/main" r="W161" s="18" t="str">
        <f t="shared" si="8"/>
        <v>無異常</v>
      </c>
      <c r="X161" s="22" t="s">
        <v>571</v>
      </c>
      <c r="Y161" s="22" t="s">
        <v>467</v>
      </c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 t="s">
        <v>745</v>
      </c>
      <c r="B162" s="27" t="s">
        <v>482</v>
      </c>
      <c r="C162" s="22" t="s">
        <v>567</v>
      </c>
      <c r="D162" s="22" t="s">
        <v>570</v>
      </c>
      <c r="E162" s="22" t="s">
        <v>574</v>
      </c>
      <c r="F162" s="23">
        <v>10</v>
      </c>
      <c r="G162" s="28" t="s">
        <v>75</v>
      </c>
      <c r="H162" s="24">
        <v>54</v>
      </c>
      <c r="I162" s="25"/>
      <c r="J162" s="25"/>
      <c r="K162" s="25"/>
      <c r="L162" s="25"/>
      <c r="M162" s="25"/>
      <c r="N162" s="25" t="s">
        <v>76</v>
      </c>
      <c r="O162" s="25"/>
      <c r="P162" s="25"/>
      <c r="Q162" s="25"/>
      <c r="R162" s="25"/>
      <c r="S162" s="25"/>
      <c r="T162" s="26"/>
      <c xmlns="http://schemas.openxmlformats.org/spreadsheetml/2006/main" r="U162" s="23">
        <f t="shared" si="6"/>
        <v>1.0</v>
      </c>
      <c xmlns="http://schemas.openxmlformats.org/spreadsheetml/2006/main" r="V162" s="22" t="str">
        <f t="shared" si="7"/>
        <v>▲ 單一設備依賴</v>
      </c>
      <c xmlns="http://schemas.openxmlformats.org/spreadsheetml/2006/main" r="W162" s="18" t="str">
        <f t="shared" si="8"/>
        <v>僅依賴1台設備，須確認故障/排修時之備援製程</v>
      </c>
      <c r="X162" s="22" t="s">
        <v>571</v>
      </c>
      <c r="Y162" s="22" t="s">
        <v>467</v>
      </c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 t="s">
        <v>745</v>
      </c>
      <c r="B163" s="27" t="s">
        <v>482</v>
      </c>
      <c r="C163" s="22" t="s">
        <v>567</v>
      </c>
      <c r="D163" s="22" t="s">
        <v>570</v>
      </c>
      <c r="E163" s="22" t="s">
        <v>575</v>
      </c>
      <c r="F163" s="23">
        <v>2</v>
      </c>
      <c r="G163" s="28" t="s">
        <v>77</v>
      </c>
      <c r="H163" s="24">
        <v>8000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 t="s">
        <v>76</v>
      </c>
      <c xmlns="http://schemas.openxmlformats.org/spreadsheetml/2006/main" r="U163" s="23">
        <f t="shared" si="6"/>
        <v>0.0</v>
      </c>
      <c xmlns="http://schemas.openxmlformats.org/spreadsheetml/2006/main" r="V163" s="22" t="str">
        <f t="shared" si="7"/>
        <v>○ 免調理</v>
      </c>
      <c xmlns="http://schemas.openxmlformats.org/spreadsheetml/2006/main" r="W163" s="18" t="str">
        <f t="shared" si="8"/>
        <v>免調理半成品（外購/僅切配等），不列入設備風險評估</v>
      </c>
      <c r="X163" s="22" t="s">
        <v>571</v>
      </c>
      <c r="Y163" s="22" t="s">
        <v>467</v>
      </c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 t="s">
        <v>745</v>
      </c>
      <c r="B164" s="27" t="s">
        <v>482</v>
      </c>
      <c r="C164" s="22" t="s">
        <v>648</v>
      </c>
      <c r="D164" s="22" t="s">
        <v>556</v>
      </c>
      <c r="E164" s="22" t="s">
        <v>532</v>
      </c>
      <c r="F164" s="23">
        <v>75</v>
      </c>
      <c r="G164" s="28" t="s">
        <v>75</v>
      </c>
      <c r="H164" s="24">
        <v>81</v>
      </c>
      <c r="I164" s="25" t="s">
        <v>76</v>
      </c>
      <c r="J164" s="25"/>
      <c r="K164" s="25"/>
      <c r="L164" s="25"/>
      <c r="M164" s="25"/>
      <c r="N164" s="25"/>
      <c r="O164" s="25" t="s">
        <v>76</v>
      </c>
      <c r="P164" s="25"/>
      <c r="Q164" s="25"/>
      <c r="R164" s="25"/>
      <c r="S164" s="25"/>
      <c r="T164" s="26"/>
      <c xmlns="http://schemas.openxmlformats.org/spreadsheetml/2006/main" r="U164" s="23">
        <f>IF($E164="","",COUNTIF($I164:$S164,"V"))</f>
        <v>2.0</v>
      </c>
      <c xmlns="http://schemas.openxmlformats.org/spreadsheetml/2006/main" r="V164" s="22" t="str">
        <f>IF($E164="","",IF(AND($T164="V",$U164&gt;0),"⚠ 勾選矛盾",IF($T164="V","○ 免調理",IF($U164=0,"⚠ 資料缺漏",IF($U164=1,"▲ 單一設備依賴","OK")))))</f>
        <v>OK</v>
      </c>
      <c xmlns="http://schemas.openxmlformats.org/spreadsheetml/2006/main" r="W164" s="18" t="str">
        <f>IF($E164="","",IF(AND($T164="V",$U164&gt;0),"「無使用調理設備」不可與設備欄同時勾選，請擇一修正",IF($T164="V","免調理半成品（外購/僅切配等），不列入設備風險評估",IF($U164=0,"未勾選任何設備，請補填或勾選「無使用調理設備」",IF($U164=1,"僅依賴1台設備，須確認故障/排修時之備援製程","無異常")))))</f>
        <v>無異常</v>
      </c>
      <c r="X164" s="22" t="s">
        <v>579</v>
      </c>
      <c r="Y164" s="22" t="s">
        <v>514</v>
      </c>
      <c xmlns="http://schemas.openxmlformats.org/spreadsheetml/2006/main" r="Z164">
        <f>IF($D164="",0,IF(COUNTIF($D$5:$D164,$D164)=1,1,0))</f>
        <v>1.0</v>
      </c>
      <c xmlns="http://schemas.openxmlformats.org/spreadsheetml/2006/main" r="AA164">
        <f>IF(Z164=1,SUM($Z$5:$Z164),"")</f>
        <v>23.0</v>
      </c>
    </row>
    <row r="165" spans="1:27">
      <c r="A165" s="22" t="s">
        <v>745</v>
      </c>
      <c r="B165" s="27" t="s">
        <v>482</v>
      </c>
      <c r="C165" s="22" t="s">
        <v>648</v>
      </c>
      <c r="D165" s="22" t="s">
        <v>556</v>
      </c>
      <c r="E165" s="22" t="s">
        <v>554</v>
      </c>
      <c r="F165" s="23">
        <v>8</v>
      </c>
      <c r="G165" s="28" t="s">
        <v>75</v>
      </c>
      <c r="H165" s="24">
        <v>97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 t="s">
        <v>76</v>
      </c>
      <c xmlns="http://schemas.openxmlformats.org/spreadsheetml/2006/main" r="U165" s="23">
        <f>IF($E165="","",COUNTIF($I165:$S165,"V"))</f>
        <v>0.0</v>
      </c>
      <c xmlns="http://schemas.openxmlformats.org/spreadsheetml/2006/main" r="V165" s="22" t="str">
        <f>IF($E165="","",IF(AND($T165="V",$U165&gt;0),"⚠ 勾選矛盾",IF($T165="V","○ 免調理",IF($U165=0,"⚠ 資料缺漏",IF($U165=1,"▲ 單一設備依賴","OK")))))</f>
        <v>○ 免調理</v>
      </c>
      <c xmlns="http://schemas.openxmlformats.org/spreadsheetml/2006/main" r="W165" s="18" t="str">
        <f>IF($E165="","",IF(AND($T165="V",$U165&gt;0),"「無使用調理設備」不可與設備欄同時勾選，請擇一修正",IF($T165="V","免調理半成品（外購/僅切配等），不列入設備風險評估",IF($U165=0,"未勾選任何設備，請補填或勾選「無使用調理設備」",IF($U165=1,"僅依賴1台設備，須確認故障/排修時之備援製程","無異常")))))</f>
        <v>免調理半成品（外購/僅切配等），不列入設備風險評估</v>
      </c>
      <c r="X165" s="22" t="s">
        <v>579</v>
      </c>
      <c r="Y165" s="22" t="s">
        <v>514</v>
      </c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 t="s">
        <v>745</v>
      </c>
      <c r="B166" s="27" t="s">
        <v>482</v>
      </c>
      <c r="C166" s="22" t="s">
        <v>648</v>
      </c>
      <c r="D166" s="22" t="s">
        <v>556</v>
      </c>
      <c r="E166" s="22" t="s">
        <v>555</v>
      </c>
      <c r="F166" s="23">
        <v>6</v>
      </c>
      <c r="G166" s="28" t="s">
        <v>75</v>
      </c>
      <c r="H166" s="24">
        <v>55</v>
      </c>
      <c r="I166" s="25"/>
      <c r="J166" s="25"/>
      <c r="K166" s="25"/>
      <c r="L166" s="25"/>
      <c r="M166" s="25"/>
      <c r="N166" s="25"/>
      <c r="O166" s="25" t="s">
        <v>76</v>
      </c>
      <c r="P166" s="25"/>
      <c r="Q166" s="25"/>
      <c r="R166" s="25"/>
      <c r="S166" s="25"/>
      <c r="T166" s="26"/>
      <c xmlns="http://schemas.openxmlformats.org/spreadsheetml/2006/main" r="U166" s="23">
        <f>IF($E166="","",COUNTIF($I166:$S166,"V"))</f>
        <v>1.0</v>
      </c>
      <c xmlns="http://schemas.openxmlformats.org/spreadsheetml/2006/main" r="V166" s="22" t="str">
        <f>IF($E166="","",IF(AND($T166="V",$U166&gt;0),"⚠ 勾選矛盾",IF($T166="V","○ 免調理",IF($U166=0,"⚠ 資料缺漏",IF($U166=1,"▲ 單一設備依賴","OK")))))</f>
        <v>▲ 單一設備依賴</v>
      </c>
      <c xmlns="http://schemas.openxmlformats.org/spreadsheetml/2006/main" r="W166" s="18" t="str">
        <f>IF($E166="","",IF(AND($T166="V",$U166&gt;0),"「無使用調理設備」不可與設備欄同時勾選，請擇一修正",IF($T166="V","免調理半成品（外購/僅切配等），不列入設備風險評估",IF($U166=0,"未勾選任何設備，請補填或勾選「無使用調理設備」",IF($U166=1,"僅依賴1台設備，須確認故障/排修時之備援製程","無異常")))))</f>
        <v>僅依賴1台設備，須確認故障/排修時之備援製程</v>
      </c>
      <c r="X166" s="22" t="s">
        <v>579</v>
      </c>
      <c r="Y166" s="22" t="s">
        <v>514</v>
      </c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 t="s">
        <v>745</v>
      </c>
      <c r="B167" s="27" t="s">
        <v>482</v>
      </c>
      <c r="C167" s="22" t="s">
        <v>648</v>
      </c>
      <c r="D167" s="22" t="s">
        <v>556</v>
      </c>
      <c r="E167" s="22" t="s">
        <v>538</v>
      </c>
      <c r="F167" s="23">
        <v>1</v>
      </c>
      <c r="G167" s="28" t="s">
        <v>77</v>
      </c>
      <c r="H167" s="24">
        <v>100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 t="s">
        <v>76</v>
      </c>
      <c xmlns="http://schemas.openxmlformats.org/spreadsheetml/2006/main" r="U167" s="23">
        <f>IF($E167="","",COUNTIF($I167:$S167,"V"))</f>
        <v>0.0</v>
      </c>
      <c xmlns="http://schemas.openxmlformats.org/spreadsheetml/2006/main" r="V167" s="22" t="str">
        <f>IF($E167="","",IF(AND($T167="V",$U167&gt;0),"⚠ 勾選矛盾",IF($T167="V","○ 免調理",IF($U167=0,"⚠ 資料缺漏",IF($U167=1,"▲ 單一設備依賴","OK")))))</f>
        <v>○ 免調理</v>
      </c>
      <c xmlns="http://schemas.openxmlformats.org/spreadsheetml/2006/main" r="W167" s="18" t="str">
        <f>IF($E167="","",IF(AND($T167="V",$U167&gt;0),"「無使用調理設備」不可與設備欄同時勾選，請擇一修正",IF($T167="V","免調理半成品（外購/僅切配等），不列入設備風險評估",IF($U167=0,"未勾選任何設備，請補填或勾選「無使用調理設備」",IF($U167=1,"僅依賴1台設備，須確認故障/排修時之備援製程","無異常")))))</f>
        <v>免調理半成品（外購/僅切配等），不列入設備風險評估</v>
      </c>
      <c r="X167" s="22" t="s">
        <v>579</v>
      </c>
      <c r="Y167" s="22" t="s">
        <v>514</v>
      </c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 t="s">
        <v>744</v>
      </c>
      <c r="B168" s="22" t="s">
        <v>482</v>
      </c>
      <c r="C168" s="22" t="s">
        <v>648</v>
      </c>
      <c r="D168" s="22" t="s">
        <v>537</v>
      </c>
      <c r="E168" s="22" t="s">
        <v>532</v>
      </c>
      <c r="F168" s="23">
        <v>75</v>
      </c>
      <c r="G168" s="23" t="s">
        <v>75</v>
      </c>
      <c r="H168" s="24">
        <v>81</v>
      </c>
      <c r="I168" s="25" t="s">
        <v>76</v>
      </c>
      <c r="J168" s="25"/>
      <c r="K168" s="25"/>
      <c r="L168" s="25"/>
      <c r="M168" s="25"/>
      <c r="N168" s="25"/>
      <c r="O168" s="25" t="s">
        <v>76</v>
      </c>
      <c r="P168" s="25"/>
      <c r="Q168" s="25"/>
      <c r="R168" s="25"/>
      <c r="S168" s="25"/>
      <c r="T168" s="26"/>
      <c xmlns="http://schemas.openxmlformats.org/spreadsheetml/2006/main" r="U168" s="23">
        <f>IF($E168="","",COUNTIF($I168:$S168,"V"))</f>
        <v>2.0</v>
      </c>
      <c xmlns="http://schemas.openxmlformats.org/spreadsheetml/2006/main" r="V168" s="22" t="str">
        <f>IF($E168="","",IF(AND($T168="V",$U168&gt;0),"⚠ 勾選矛盾",IF($T168="V","○ 免調理",IF($U168=0,"⚠ 資料缺漏",IF($U168=1,"▲ 單一設備依賴","OK")))))</f>
        <v>OK</v>
      </c>
      <c xmlns="http://schemas.openxmlformats.org/spreadsheetml/2006/main" r="W168" s="18" t="str">
        <f>IF($E168="","",IF(AND($T168="V",$U168&gt;0),"「無使用調理設備」不可與設備欄同時勾選，請擇一修正",IF($T168="V","免調理半成品（外購/僅切配等），不列入設備風險評估",IF($U168=0,"未勾選任何設備，請補填或勾選「無使用調理設備」",IF($U168=1,"僅依賴1台設備，須確認故障/排修時之備援製程","無異常")))))</f>
        <v>無異常</v>
      </c>
      <c r="X168" s="22" t="s">
        <v>536</v>
      </c>
      <c r="Y168" s="22" t="s">
        <v>467</v>
      </c>
      <c xmlns="http://schemas.openxmlformats.org/spreadsheetml/2006/main" r="Z168">
        <f>IF($D168="",0,IF(COUNTIF($D$5:$D168,$D168)=1,1,0))</f>
        <v>1.0</v>
      </c>
      <c xmlns="http://schemas.openxmlformats.org/spreadsheetml/2006/main" r="AA168">
        <f>IF(Z168=1,SUM($Z$5:$Z168),"")</f>
        <v>24.0</v>
      </c>
    </row>
    <row r="169" spans="1:27">
      <c r="A169" s="22" t="s">
        <v>744</v>
      </c>
      <c r="B169" s="22" t="s">
        <v>482</v>
      </c>
      <c r="C169" s="22" t="s">
        <v>648</v>
      </c>
      <c r="D169" s="22" t="s">
        <v>537</v>
      </c>
      <c r="E169" s="22" t="s">
        <v>533</v>
      </c>
      <c r="F169" s="23">
        <v>9</v>
      </c>
      <c r="G169" s="23" t="s">
        <v>75</v>
      </c>
      <c r="H169" s="24">
        <v>97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 t="s">
        <v>76</v>
      </c>
      <c xmlns="http://schemas.openxmlformats.org/spreadsheetml/2006/main" r="U169" s="23">
        <f>IF($E169="","",COUNTIF($I169:$S169,"V"))</f>
        <v>0.0</v>
      </c>
      <c xmlns="http://schemas.openxmlformats.org/spreadsheetml/2006/main" r="V169" s="22" t="str">
        <f>IF($E169="","",IF(AND($T169="V",$U169&gt;0),"⚠ 勾選矛盾",IF($T169="V","○ 免調理",IF($U169=0,"⚠ 資料缺漏",IF($U169=1,"▲ 單一設備依賴","OK")))))</f>
        <v>○ 免調理</v>
      </c>
      <c xmlns="http://schemas.openxmlformats.org/spreadsheetml/2006/main" r="W169" s="18" t="str">
        <f>IF($E169="","",IF(AND($T169="V",$U169&gt;0),"「無使用調理設備」不可與設備欄同時勾選，請擇一修正",IF($T169="V","免調理半成品（外購/僅切配等），不列入設備風險評估",IF($U169=0,"未勾選任何設備，請補填或勾選「無使用調理設備」",IF($U169=1,"僅依賴1台設備，須確認故障/排修時之備援製程","無異常")))))</f>
        <v>免調理半成品（外購/僅切配等），不列入設備風險評估</v>
      </c>
      <c r="X169" s="22" t="s">
        <v>535</v>
      </c>
      <c r="Y169" s="22" t="s">
        <v>467</v>
      </c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 t="s">
        <v>744</v>
      </c>
      <c r="B170" s="22" t="s">
        <v>482</v>
      </c>
      <c r="C170" s="22" t="s">
        <v>648</v>
      </c>
      <c r="D170" s="22" t="s">
        <v>537</v>
      </c>
      <c r="E170" s="22" t="s">
        <v>534</v>
      </c>
      <c r="F170" s="23">
        <v>3.6</v>
      </c>
      <c r="G170" s="23" t="s">
        <v>75</v>
      </c>
      <c r="H170" s="24">
        <v>97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 t="s">
        <v>76</v>
      </c>
      <c xmlns="http://schemas.openxmlformats.org/spreadsheetml/2006/main" r="U170" s="23">
        <f>IF($E170="","",COUNTIF($I170:$S170,"V"))</f>
        <v>0.0</v>
      </c>
      <c xmlns="http://schemas.openxmlformats.org/spreadsheetml/2006/main" r="V170" s="22" t="str">
        <f>IF($E170="","",IF(AND($T170="V",$U170&gt;0),"⚠ 勾選矛盾",IF($T170="V","○ 免調理",IF($U170=0,"⚠ 資料缺漏",IF($U170=1,"▲ 單一設備依賴","OK")))))</f>
        <v>○ 免調理</v>
      </c>
      <c xmlns="http://schemas.openxmlformats.org/spreadsheetml/2006/main" r="W170" s="18" t="str">
        <f>IF($E170="","",IF(AND($T170="V",$U170&gt;0),"「無使用調理設備」不可與設備欄同時勾選，請擇一修正",IF($T170="V","免調理半成品（外購/僅切配等），不列入設備風險評估",IF($U170=0,"未勾選任何設備，請補填或勾選「無使用調理設備」",IF($U170=1,"僅依賴1台設備，須確認故障/排修時之備援製程","無異常")))))</f>
        <v>免調理半成品（外購/僅切配等），不列入設備風險評估</v>
      </c>
      <c r="X170" s="22" t="s">
        <v>535</v>
      </c>
      <c r="Y170" s="22" t="s">
        <v>467</v>
      </c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 t="s">
        <v>744</v>
      </c>
      <c r="B171" s="22" t="s">
        <v>482</v>
      </c>
      <c r="C171" s="22" t="s">
        <v>648</v>
      </c>
      <c r="D171" s="22" t="s">
        <v>537</v>
      </c>
      <c r="E171" s="22" t="s">
        <v>538</v>
      </c>
      <c r="F171" s="23">
        <v>1</v>
      </c>
      <c r="G171" s="23" t="s">
        <v>77</v>
      </c>
      <c r="H171" s="24">
        <v>100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 t="s">
        <v>76</v>
      </c>
      <c xmlns="http://schemas.openxmlformats.org/spreadsheetml/2006/main" r="U171" s="23">
        <f>IF($E171="","",COUNTIF($I171:$S171,"V"))</f>
        <v>0.0</v>
      </c>
      <c xmlns="http://schemas.openxmlformats.org/spreadsheetml/2006/main" r="V171" s="22" t="str">
        <f>IF($E171="","",IF(AND($T171="V",$U171&gt;0),"⚠ 勾選矛盾",IF($T171="V","○ 免調理",IF($U171=0,"⚠ 資料缺漏",IF($U171=1,"▲ 單一設備依賴","OK")))))</f>
        <v>○ 免調理</v>
      </c>
      <c xmlns="http://schemas.openxmlformats.org/spreadsheetml/2006/main" r="W171" s="18" t="str">
        <f>IF($E171="","",IF(AND($T171="V",$U171&gt;0),"「無使用調理設備」不可與設備欄同時勾選，請擇一修正",IF($T171="V","免調理半成品（外購/僅切配等），不列入設備風險評估",IF($U171=0,"未勾選任何設備，請補填或勾選「無使用調理設備」",IF($U171=1,"僅依賴1台設備，須確認故障/排修時之備援製程","無異常")))))</f>
        <v>免調理半成品（外購/僅切配等），不列入設備風險評估</v>
      </c>
      <c r="X171" s="22" t="s">
        <v>535</v>
      </c>
      <c r="Y171" s="22" t="s">
        <v>467</v>
      </c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 t="s">
        <v>745</v>
      </c>
      <c r="B172" s="22" t="s">
        <v>482</v>
      </c>
      <c r="C172" s="22" t="s">
        <v>648</v>
      </c>
      <c r="D172" s="22" t="s">
        <v>613</v>
      </c>
      <c r="E172" s="22" t="s">
        <v>532</v>
      </c>
      <c r="F172" s="23">
        <v>70</v>
      </c>
      <c r="G172" s="28">
        <v>70</v>
      </c>
      <c r="H172" s="24">
        <v>81</v>
      </c>
      <c r="I172" s="25" t="s">
        <v>76</v>
      </c>
      <c r="J172" s="25"/>
      <c r="K172" s="25"/>
      <c r="L172" s="25"/>
      <c r="M172" s="25"/>
      <c r="N172" s="25"/>
      <c r="O172" s="25" t="s">
        <v>76</v>
      </c>
      <c r="P172" s="25"/>
      <c r="Q172" s="25"/>
      <c r="R172" s="25"/>
      <c r="S172" s="25"/>
      <c r="T172" s="26"/>
      <c xmlns="http://schemas.openxmlformats.org/spreadsheetml/2006/main" r="U172" s="23">
        <f t="shared" si="6"/>
        <v>2.0</v>
      </c>
      <c xmlns="http://schemas.openxmlformats.org/spreadsheetml/2006/main" r="V172" s="22" t="str">
        <f t="shared" si="7"/>
        <v>OK</v>
      </c>
      <c xmlns="http://schemas.openxmlformats.org/spreadsheetml/2006/main" r="W172" s="18" t="str">
        <f t="shared" si="8"/>
        <v>無異常</v>
      </c>
      <c r="X172" s="22" t="s">
        <v>614</v>
      </c>
      <c r="Y172" s="22" t="s">
        <v>467</v>
      </c>
      <c xmlns="http://schemas.openxmlformats.org/spreadsheetml/2006/main" r="Z172">
        <f>IF($D172="",0,IF(COUNTIF($D$5:$D172,$D172)=1,1,0))</f>
        <v>1.0</v>
      </c>
      <c xmlns="http://schemas.openxmlformats.org/spreadsheetml/2006/main" r="AA172">
        <f>IF(Z172=1,SUM($Z$5:$Z172),"")</f>
        <v>25.0</v>
      </c>
    </row>
    <row r="173" spans="1:27">
      <c r="A173" s="22" t="s">
        <v>745</v>
      </c>
      <c r="B173" s="22" t="s">
        <v>482</v>
      </c>
      <c r="C173" s="22" t="s">
        <v>648</v>
      </c>
      <c r="D173" s="22" t="s">
        <v>613</v>
      </c>
      <c r="E173" s="22" t="s">
        <v>610</v>
      </c>
      <c r="F173" s="23">
        <v>3</v>
      </c>
      <c r="G173" s="28">
        <v>3</v>
      </c>
      <c r="H173" s="24">
        <v>100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 t="s">
        <v>76</v>
      </c>
      <c xmlns="http://schemas.openxmlformats.org/spreadsheetml/2006/main" r="U173" s="23">
        <f t="shared" si="6"/>
        <v>0.0</v>
      </c>
      <c xmlns="http://schemas.openxmlformats.org/spreadsheetml/2006/main" r="V173" s="22" t="str">
        <f t="shared" si="7"/>
        <v>○ 免調理</v>
      </c>
      <c xmlns="http://schemas.openxmlformats.org/spreadsheetml/2006/main" r="W173" s="18" t="str">
        <f t="shared" si="8"/>
        <v>免調理半成品（外購/僅切配等），不列入設備風險評估</v>
      </c>
      <c r="X173" s="22" t="s">
        <v>614</v>
      </c>
      <c r="Y173" s="22" t="s">
        <v>467</v>
      </c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 t="s">
        <v>745</v>
      </c>
      <c r="B174" s="22" t="s">
        <v>482</v>
      </c>
      <c r="C174" s="22" t="s">
        <v>648</v>
      </c>
      <c r="D174" s="22" t="s">
        <v>613</v>
      </c>
      <c r="E174" s="22" t="s">
        <v>611</v>
      </c>
      <c r="F174" s="23">
        <v>2</v>
      </c>
      <c r="G174" s="28">
        <v>2</v>
      </c>
      <c r="H174" s="24">
        <v>79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 t="s">
        <v>76</v>
      </c>
      <c xmlns="http://schemas.openxmlformats.org/spreadsheetml/2006/main" r="U174" s="23">
        <f t="shared" si="6"/>
        <v>0.0</v>
      </c>
      <c xmlns="http://schemas.openxmlformats.org/spreadsheetml/2006/main" r="V174" s="22" t="str">
        <f t="shared" si="7"/>
        <v>○ 免調理</v>
      </c>
      <c xmlns="http://schemas.openxmlformats.org/spreadsheetml/2006/main" r="W174" s="18" t="str">
        <f t="shared" si="8"/>
        <v>免調理半成品（外購/僅切配等），不列入設備風險評估</v>
      </c>
      <c r="X174" s="22" t="s">
        <v>614</v>
      </c>
      <c r="Y174" s="22" t="s">
        <v>467</v>
      </c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 t="s">
        <v>745</v>
      </c>
      <c r="B175" s="22" t="s">
        <v>482</v>
      </c>
      <c r="C175" s="22" t="s">
        <v>648</v>
      </c>
      <c r="D175" s="22" t="s">
        <v>613</v>
      </c>
      <c r="E175" s="22" t="s">
        <v>612</v>
      </c>
      <c r="F175" s="23">
        <v>1</v>
      </c>
      <c r="G175" s="28" t="s">
        <v>77</v>
      </c>
      <c r="H175" s="24">
        <v>200</v>
      </c>
      <c r="I175" s="25"/>
      <c r="J175" s="25"/>
      <c r="K175" s="25"/>
      <c r="L175" s="25"/>
      <c r="M175" s="25" t="s">
        <v>76</v>
      </c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>
        <f t="shared" si="6"/>
        <v>1.0</v>
      </c>
      <c xmlns="http://schemas.openxmlformats.org/spreadsheetml/2006/main" r="V175" s="22" t="str">
        <f t="shared" si="7"/>
        <v>▲ 單一設備依賴</v>
      </c>
      <c xmlns="http://schemas.openxmlformats.org/spreadsheetml/2006/main" r="W175" s="18" t="str">
        <f t="shared" si="8"/>
        <v>僅依賴1台設備，須確認故障/排修時之備援製程</v>
      </c>
      <c r="X175" s="22" t="s">
        <v>614</v>
      </c>
      <c r="Y175" s="22" t="s">
        <v>467</v>
      </c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 t="s">
        <v>745</v>
      </c>
      <c r="B176" s="22" t="s">
        <v>482</v>
      </c>
      <c r="C176" s="22" t="s">
        <v>648</v>
      </c>
      <c r="D176" s="22" t="s">
        <v>613</v>
      </c>
      <c r="E176" s="22" t="s">
        <v>538</v>
      </c>
      <c r="F176" s="23">
        <v>1</v>
      </c>
      <c r="G176" s="28" t="s">
        <v>77</v>
      </c>
      <c r="H176" s="24">
        <v>100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 t="s">
        <v>76</v>
      </c>
      <c xmlns="http://schemas.openxmlformats.org/spreadsheetml/2006/main" r="U176" s="23">
        <f t="shared" si="6"/>
        <v>0.0</v>
      </c>
      <c xmlns="http://schemas.openxmlformats.org/spreadsheetml/2006/main" r="V176" s="22" t="str">
        <f t="shared" si="7"/>
        <v>○ 免調理</v>
      </c>
      <c xmlns="http://schemas.openxmlformats.org/spreadsheetml/2006/main" r="W176" s="18" t="str">
        <f t="shared" si="8"/>
        <v>免調理半成品（外購/僅切配等），不列入設備風險評估</v>
      </c>
      <c r="X176" s="22" t="s">
        <v>614</v>
      </c>
      <c r="Y176" s="22" t="s">
        <v>467</v>
      </c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 t="s">
        <v>745</v>
      </c>
      <c r="B177" s="22" t="s">
        <v>482</v>
      </c>
      <c r="C177" s="22" t="s">
        <v>620</v>
      </c>
      <c r="D177" s="22" t="s">
        <v>621</v>
      </c>
      <c r="E177" s="22" t="s">
        <v>622</v>
      </c>
      <c r="F177" s="23">
        <v>205</v>
      </c>
      <c r="G177" s="23" t="s">
        <v>75</v>
      </c>
      <c r="H177" s="24">
        <v>85</v>
      </c>
      <c r="I177" s="25" t="s">
        <v>76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>
        <f t="shared" ref="U177:U185" si="9">IF($E177="","",COUNTIF($I177:$S177,"V"))</f>
        <v>1.0</v>
      </c>
      <c xmlns="http://schemas.openxmlformats.org/spreadsheetml/2006/main" r="V177" s="22" t="str">
        <f t="shared" ref="V177:V185" si="10">IF($E177="","",IF(AND($T177="V",$U177&gt;0),"⚠ 勾選矛盾",IF($T177="V","○ 免調理",IF($U177=0,"⚠ 資料缺漏",IF($U177=1,"▲ 單一設備依賴","OK")))))</f>
        <v>▲ 單一設備依賴</v>
      </c>
      <c xmlns="http://schemas.openxmlformats.org/spreadsheetml/2006/main" r="W177" s="18" t="str">
        <f t="shared" ref="W177:W185" si="11">IF($E177="","",IF(AND($T177="V",$U177&gt;0),"「無使用調理設備」不可與設備欄同時勾選，請擇一修正",IF($T177="V","免調理半成品（外購/僅切配等），不列入設備風險評估",IF($U177=0,"未勾選任何設備，請補填或勾選「無使用調理設備」",IF($U177=1,"僅依賴1台設備，須確認故障/排修時之備援製程","無異常")))))</f>
        <v>僅依賴1台設備，須確認故障/排修時之備援製程</v>
      </c>
      <c r="X177" s="22" t="s">
        <v>623</v>
      </c>
      <c r="Y177" s="22" t="s">
        <v>467</v>
      </c>
      <c xmlns="http://schemas.openxmlformats.org/spreadsheetml/2006/main" r="Z177">
        <f>IF($D177="",0,IF(COUNTIF($D$5:$D177,$D177)=1,1,0))</f>
        <v>1.0</v>
      </c>
      <c xmlns="http://schemas.openxmlformats.org/spreadsheetml/2006/main" r="AA177">
        <f>IF(Z177=1,SUM($Z$5:$Z177),"")</f>
        <v>26.0</v>
      </c>
    </row>
    <row r="178" spans="1:27">
      <c r="A178" s="22" t="s">
        <v>745</v>
      </c>
      <c r="B178" s="22" t="s">
        <v>482</v>
      </c>
      <c r="C178" s="22" t="s">
        <v>620</v>
      </c>
      <c r="D178" s="22" t="s">
        <v>621</v>
      </c>
      <c r="E178" s="22" t="s">
        <v>624</v>
      </c>
      <c r="F178" s="23">
        <v>113</v>
      </c>
      <c r="G178" s="23" t="s">
        <v>75</v>
      </c>
      <c r="H178" s="24">
        <v>59</v>
      </c>
      <c r="I178" s="25"/>
      <c r="J178" s="25"/>
      <c r="K178" s="25"/>
      <c r="L178" s="25"/>
      <c r="M178" s="25"/>
      <c r="N178" s="25"/>
      <c r="O178" s="25" t="s">
        <v>76</v>
      </c>
      <c r="P178" s="25"/>
      <c r="Q178" s="25"/>
      <c r="R178" s="25"/>
      <c r="S178" s="25"/>
      <c r="T178" s="26"/>
      <c xmlns="http://schemas.openxmlformats.org/spreadsheetml/2006/main" r="U178" s="23">
        <f t="shared" si="9"/>
        <v>1.0</v>
      </c>
      <c xmlns="http://schemas.openxmlformats.org/spreadsheetml/2006/main" r="V178" s="22" t="str">
        <f t="shared" si="10"/>
        <v>▲ 單一設備依賴</v>
      </c>
      <c xmlns="http://schemas.openxmlformats.org/spreadsheetml/2006/main" r="W178" s="18" t="str">
        <f t="shared" si="11"/>
        <v>僅依賴1台設備，須確認故障/排修時之備援製程</v>
      </c>
      <c r="X178" s="22" t="s">
        <v>623</v>
      </c>
      <c r="Y178" s="22" t="s">
        <v>467</v>
      </c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 t="s">
        <v>745</v>
      </c>
      <c r="B179" s="22" t="s">
        <v>482</v>
      </c>
      <c r="C179" s="22" t="s">
        <v>620</v>
      </c>
      <c r="D179" s="22" t="s">
        <v>621</v>
      </c>
      <c r="E179" s="22" t="s">
        <v>625</v>
      </c>
      <c r="F179" s="23">
        <v>32</v>
      </c>
      <c r="G179" s="23" t="s">
        <v>75</v>
      </c>
      <c r="H179" s="24">
        <v>400</v>
      </c>
      <c r="I179" s="25"/>
      <c r="J179" s="25"/>
      <c r="K179" s="25" t="s">
        <v>76</v>
      </c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>
        <f t="shared" si="9"/>
        <v>1.0</v>
      </c>
      <c xmlns="http://schemas.openxmlformats.org/spreadsheetml/2006/main" r="V179" s="22" t="str">
        <f t="shared" si="10"/>
        <v>▲ 單一設備依賴</v>
      </c>
      <c xmlns="http://schemas.openxmlformats.org/spreadsheetml/2006/main" r="W179" s="18" t="str">
        <f t="shared" si="11"/>
        <v>僅依賴1台設備，須確認故障/排修時之備援製程</v>
      </c>
      <c r="X179" s="22" t="s">
        <v>623</v>
      </c>
      <c r="Y179" s="22" t="s">
        <v>467</v>
      </c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 t="s">
        <v>745</v>
      </c>
      <c r="B180" s="22" t="s">
        <v>482</v>
      </c>
      <c r="C180" s="22" t="s">
        <v>620</v>
      </c>
      <c r="D180" s="22" t="s">
        <v>621</v>
      </c>
      <c r="E180" s="22" t="s">
        <v>624</v>
      </c>
      <c r="F180" s="23">
        <v>10</v>
      </c>
      <c r="G180" s="23" t="s">
        <v>75</v>
      </c>
      <c r="H180" s="24">
        <v>59</v>
      </c>
      <c r="I180" s="25"/>
      <c r="J180" s="25"/>
      <c r="K180" s="25"/>
      <c r="L180" s="25"/>
      <c r="M180" s="25"/>
      <c r="N180" s="25"/>
      <c r="O180" s="25" t="s">
        <v>76</v>
      </c>
      <c r="P180" s="25"/>
      <c r="Q180" s="25"/>
      <c r="R180" s="25"/>
      <c r="S180" s="25"/>
      <c r="T180" s="26"/>
      <c xmlns="http://schemas.openxmlformats.org/spreadsheetml/2006/main" r="U180" s="23">
        <f t="shared" si="9"/>
        <v>1.0</v>
      </c>
      <c xmlns="http://schemas.openxmlformats.org/spreadsheetml/2006/main" r="V180" s="22" t="str">
        <f t="shared" si="10"/>
        <v>▲ 單一設備依賴</v>
      </c>
      <c xmlns="http://schemas.openxmlformats.org/spreadsheetml/2006/main" r="W180" s="18" t="str">
        <f t="shared" si="11"/>
        <v>僅依賴1台設備，須確認故障/排修時之備援製程</v>
      </c>
      <c r="X180" s="22" t="s">
        <v>623</v>
      </c>
      <c r="Y180" s="22" t="s">
        <v>467</v>
      </c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 t="s">
        <v>745</v>
      </c>
      <c r="B181" s="22" t="s">
        <v>482</v>
      </c>
      <c r="C181" s="22" t="s">
        <v>620</v>
      </c>
      <c r="D181" s="22" t="s">
        <v>621</v>
      </c>
      <c r="E181" s="22" t="s">
        <v>626</v>
      </c>
      <c r="F181" s="23">
        <v>7.5</v>
      </c>
      <c r="G181" s="23" t="s">
        <v>75</v>
      </c>
      <c r="H181" s="24">
        <v>1200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 t="s">
        <v>76</v>
      </c>
      <c xmlns="http://schemas.openxmlformats.org/spreadsheetml/2006/main" r="U181" s="23">
        <f t="shared" si="9"/>
        <v>0.0</v>
      </c>
      <c xmlns="http://schemas.openxmlformats.org/spreadsheetml/2006/main" r="V181" s="22" t="str">
        <f t="shared" si="10"/>
        <v>○ 免調理</v>
      </c>
      <c xmlns="http://schemas.openxmlformats.org/spreadsheetml/2006/main" r="W181" s="18" t="str">
        <f t="shared" si="11"/>
        <v>免調理半成品（外購/僅切配等），不列入設備風險評估</v>
      </c>
      <c r="X181" s="22" t="s">
        <v>623</v>
      </c>
      <c r="Y181" s="22" t="s">
        <v>467</v>
      </c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 t="s">
        <v>745</v>
      </c>
      <c r="B182" s="22" t="s">
        <v>482</v>
      </c>
      <c r="C182" s="22" t="s">
        <v>620</v>
      </c>
      <c r="D182" s="22" t="s">
        <v>621</v>
      </c>
      <c r="E182" s="22" t="s">
        <v>627</v>
      </c>
      <c r="F182" s="23">
        <v>11</v>
      </c>
      <c r="G182" s="23" t="s">
        <v>75</v>
      </c>
      <c r="H182" s="24">
        <v>51</v>
      </c>
      <c r="I182" s="25"/>
      <c r="J182" s="25"/>
      <c r="K182" s="25"/>
      <c r="L182" s="25"/>
      <c r="M182" s="25"/>
      <c r="N182" s="25"/>
      <c r="O182" s="25" t="s">
        <v>76</v>
      </c>
      <c r="P182" s="25"/>
      <c r="Q182" s="25"/>
      <c r="R182" s="25"/>
      <c r="S182" s="25"/>
      <c r="T182" s="26"/>
      <c xmlns="http://schemas.openxmlformats.org/spreadsheetml/2006/main" r="U182" s="23">
        <f t="shared" si="9"/>
        <v>1.0</v>
      </c>
      <c xmlns="http://schemas.openxmlformats.org/spreadsheetml/2006/main" r="V182" s="22" t="str">
        <f t="shared" si="10"/>
        <v>▲ 單一設備依賴</v>
      </c>
      <c xmlns="http://schemas.openxmlformats.org/spreadsheetml/2006/main" r="W182" s="18" t="str">
        <f t="shared" si="11"/>
        <v>僅依賴1台設備，須確認故障/排修時之備援製程</v>
      </c>
      <c r="X182" s="22" t="s">
        <v>623</v>
      </c>
      <c r="Y182" s="22" t="s">
        <v>467</v>
      </c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 t="s">
        <v>745</v>
      </c>
      <c r="B183" s="22" t="s">
        <v>482</v>
      </c>
      <c r="C183" s="22" t="s">
        <v>620</v>
      </c>
      <c r="D183" s="22" t="s">
        <v>621</v>
      </c>
      <c r="E183" s="22" t="s">
        <v>628</v>
      </c>
      <c r="F183" s="23">
        <v>5</v>
      </c>
      <c r="G183" s="23" t="s">
        <v>75</v>
      </c>
      <c r="H183" s="24">
        <v>56</v>
      </c>
      <c r="I183" s="25"/>
      <c r="J183" s="25"/>
      <c r="K183" s="25"/>
      <c r="L183" s="25"/>
      <c r="M183" s="25"/>
      <c r="N183" s="25"/>
      <c r="O183" s="25" t="s">
        <v>76</v>
      </c>
      <c r="P183" s="25"/>
      <c r="Q183" s="25"/>
      <c r="R183" s="25"/>
      <c r="S183" s="25"/>
      <c r="T183" s="26"/>
      <c xmlns="http://schemas.openxmlformats.org/spreadsheetml/2006/main" r="U183" s="23">
        <f t="shared" si="9"/>
        <v>1.0</v>
      </c>
      <c xmlns="http://schemas.openxmlformats.org/spreadsheetml/2006/main" r="V183" s="22" t="str">
        <f t="shared" si="10"/>
        <v>▲ 單一設備依賴</v>
      </c>
      <c xmlns="http://schemas.openxmlformats.org/spreadsheetml/2006/main" r="W183" s="18" t="str">
        <f t="shared" si="11"/>
        <v>僅依賴1台設備，須確認故障/排修時之備援製程</v>
      </c>
      <c r="X183" s="22" t="s">
        <v>623</v>
      </c>
      <c r="Y183" s="22" t="s">
        <v>467</v>
      </c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 t="s">
        <v>745</v>
      </c>
      <c r="B184" s="22" t="s">
        <v>482</v>
      </c>
      <c r="C184" s="22" t="s">
        <v>620</v>
      </c>
      <c r="D184" s="22" t="s">
        <v>621</v>
      </c>
      <c r="E184" s="22" t="s">
        <v>470</v>
      </c>
      <c r="F184" s="23">
        <v>8</v>
      </c>
      <c r="G184" s="23" t="s">
        <v>75</v>
      </c>
      <c r="H184" s="24">
        <v>62</v>
      </c>
      <c r="I184" s="25"/>
      <c r="J184" s="25"/>
      <c r="K184" s="25"/>
      <c r="L184" s="25"/>
      <c r="M184" s="25"/>
      <c r="N184" s="25"/>
      <c r="O184" s="25" t="s">
        <v>76</v>
      </c>
      <c r="P184" s="25"/>
      <c r="Q184" s="25"/>
      <c r="R184" s="25"/>
      <c r="S184" s="25"/>
      <c r="T184" s="26"/>
      <c xmlns="http://schemas.openxmlformats.org/spreadsheetml/2006/main" r="U184" s="23">
        <f t="shared" si="9"/>
        <v>1.0</v>
      </c>
      <c xmlns="http://schemas.openxmlformats.org/spreadsheetml/2006/main" r="V184" s="22" t="str">
        <f t="shared" si="10"/>
        <v>▲ 單一設備依賴</v>
      </c>
      <c xmlns="http://schemas.openxmlformats.org/spreadsheetml/2006/main" r="W184" s="18" t="str">
        <f t="shared" si="11"/>
        <v>僅依賴1台設備，須確認故障/排修時之備援製程</v>
      </c>
      <c r="X184" s="22" t="s">
        <v>623</v>
      </c>
      <c r="Y184" s="22" t="s">
        <v>467</v>
      </c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 t="s">
        <v>745</v>
      </c>
      <c r="B185" s="22" t="s">
        <v>482</v>
      </c>
      <c r="C185" s="22" t="s">
        <v>620</v>
      </c>
      <c r="D185" s="22" t="s">
        <v>621</v>
      </c>
      <c r="E185" s="22" t="s">
        <v>629</v>
      </c>
      <c r="F185" s="23">
        <v>0.1</v>
      </c>
      <c r="G185" s="23" t="s">
        <v>75</v>
      </c>
      <c r="H185" s="24">
        <v>100</v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 t="s">
        <v>76</v>
      </c>
      <c xmlns="http://schemas.openxmlformats.org/spreadsheetml/2006/main" r="U185" s="23">
        <f t="shared" si="9"/>
        <v>0.0</v>
      </c>
      <c xmlns="http://schemas.openxmlformats.org/spreadsheetml/2006/main" r="V185" s="22" t="str">
        <f t="shared" si="10"/>
        <v>○ 免調理</v>
      </c>
      <c xmlns="http://schemas.openxmlformats.org/spreadsheetml/2006/main" r="W185" s="18" t="str">
        <f t="shared" si="11"/>
        <v>免調理半成品（外購/僅切配等），不列入設備風險評估</v>
      </c>
      <c r="X185" s="22" t="s">
        <v>623</v>
      </c>
      <c r="Y185" s="22" t="s">
        <v>467</v>
      </c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 t="s">
        <v>745</v>
      </c>
      <c r="B186" s="22" t="s">
        <v>127</v>
      </c>
      <c r="C186" s="22" t="s">
        <v>647</v>
      </c>
      <c r="D186" s="22" t="s">
        <v>294</v>
      </c>
      <c r="E186" s="22" t="s">
        <v>296</v>
      </c>
      <c r="F186" s="23">
        <v>80</v>
      </c>
      <c r="G186" s="23" t="s">
        <v>75</v>
      </c>
      <c r="H186" s="24">
        <v>81.2</v>
      </c>
      <c r="I186" s="25" t="s">
        <v>76</v>
      </c>
      <c r="J186" s="25"/>
      <c r="K186" s="25"/>
      <c r="L186" s="25"/>
      <c r="M186" s="25"/>
      <c r="N186" s="25"/>
      <c r="O186" s="25" t="s">
        <v>76</v>
      </c>
      <c r="P186" s="25"/>
      <c r="Q186" s="25"/>
      <c r="R186" s="25"/>
      <c r="S186" s="25"/>
      <c r="T186" s="26"/>
      <c xmlns="http://schemas.openxmlformats.org/spreadsheetml/2006/main" r="U186" s="23">
        <f t="shared" si="6"/>
        <v>2.0</v>
      </c>
      <c xmlns="http://schemas.openxmlformats.org/spreadsheetml/2006/main" r="V186" s="22" t="str">
        <f t="shared" si="7"/>
        <v>OK</v>
      </c>
      <c xmlns="http://schemas.openxmlformats.org/spreadsheetml/2006/main" r="W186" s="18" t="str">
        <f t="shared" si="8"/>
        <v>無異常</v>
      </c>
      <c r="X186" s="22" t="s">
        <v>433</v>
      </c>
      <c r="Y186" s="22" t="s">
        <v>467</v>
      </c>
      <c xmlns="http://schemas.openxmlformats.org/spreadsheetml/2006/main" r="Z186">
        <f>IF($D186="",0,IF(COUNTIF($D$5:$D186,$D186)=1,1,0))</f>
        <v>1.0</v>
      </c>
      <c xmlns="http://schemas.openxmlformats.org/spreadsheetml/2006/main" r="AA186">
        <f>IF(Z186=1,SUM($Z$5:$Z186),"")</f>
        <v>27.0</v>
      </c>
    </row>
    <row r="187" spans="1:27">
      <c r="A187" s="22" t="s">
        <v>745</v>
      </c>
      <c r="B187" s="22" t="s">
        <v>127</v>
      </c>
      <c r="C187" s="22" t="s">
        <v>647</v>
      </c>
      <c r="D187" s="22" t="s">
        <v>294</v>
      </c>
      <c r="E187" s="22" t="s">
        <v>297</v>
      </c>
      <c r="F187" s="23">
        <v>1.8</v>
      </c>
      <c r="G187" s="23" t="s">
        <v>77</v>
      </c>
      <c r="H187" s="24">
        <v>100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 t="s">
        <v>76</v>
      </c>
      <c xmlns="http://schemas.openxmlformats.org/spreadsheetml/2006/main" r="U187" s="23">
        <f t="shared" si="6"/>
        <v>0.0</v>
      </c>
      <c xmlns="http://schemas.openxmlformats.org/spreadsheetml/2006/main" r="V187" s="22" t="str">
        <f t="shared" si="7"/>
        <v>○ 免調理</v>
      </c>
      <c xmlns="http://schemas.openxmlformats.org/spreadsheetml/2006/main" r="W187" s="18" t="str">
        <f t="shared" si="8"/>
        <v>免調理半成品（外購/僅切配等），不列入設備風險評估</v>
      </c>
      <c r="X187" s="22" t="s">
        <v>433</v>
      </c>
      <c r="Y187" s="22" t="s">
        <v>467</v>
      </c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 t="s">
        <v>745</v>
      </c>
      <c r="B188" s="22" t="s">
        <v>127</v>
      </c>
      <c r="C188" s="22" t="s">
        <v>647</v>
      </c>
      <c r="D188" s="22" t="s">
        <v>294</v>
      </c>
      <c r="E188" s="22" t="s">
        <v>270</v>
      </c>
      <c r="F188" s="23">
        <v>9</v>
      </c>
      <c r="G188" s="23" t="s">
        <v>75</v>
      </c>
      <c r="H188" s="24">
        <v>79.900000000000006</v>
      </c>
      <c r="I188" s="25"/>
      <c r="J188" s="25"/>
      <c r="K188" s="25"/>
      <c r="L188" s="25"/>
      <c r="M188" s="25"/>
      <c r="N188" s="25"/>
      <c r="O188" s="25" t="s">
        <v>76</v>
      </c>
      <c r="P188" s="25"/>
      <c r="Q188" s="25"/>
      <c r="R188" s="25"/>
      <c r="S188" s="25"/>
      <c r="T188" s="26"/>
      <c xmlns="http://schemas.openxmlformats.org/spreadsheetml/2006/main" r="U188" s="23">
        <f t="shared" si="6"/>
        <v>1.0</v>
      </c>
      <c xmlns="http://schemas.openxmlformats.org/spreadsheetml/2006/main" r="V188" s="22" t="str">
        <f t="shared" si="7"/>
        <v>▲ 單一設備依賴</v>
      </c>
      <c xmlns="http://schemas.openxmlformats.org/spreadsheetml/2006/main" r="W188" s="18" t="str">
        <f t="shared" si="8"/>
        <v>僅依賴1台設備，須確認故障/排修時之備援製程</v>
      </c>
      <c r="X188" s="22" t="s">
        <v>433</v>
      </c>
      <c r="Y188" s="22" t="s">
        <v>467</v>
      </c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 t="s">
        <v>745</v>
      </c>
      <c r="B189" s="22" t="s">
        <v>127</v>
      </c>
      <c r="C189" s="22" t="s">
        <v>647</v>
      </c>
      <c r="D189" s="22" t="s">
        <v>298</v>
      </c>
      <c r="E189" s="22" t="s">
        <v>296</v>
      </c>
      <c r="F189" s="23">
        <v>80</v>
      </c>
      <c r="G189" s="23" t="s">
        <v>75</v>
      </c>
      <c r="H189" s="24">
        <v>81.2</v>
      </c>
      <c r="I189" s="25" t="s">
        <v>76</v>
      </c>
      <c r="J189" s="25"/>
      <c r="K189" s="25"/>
      <c r="L189" s="25"/>
      <c r="M189" s="25"/>
      <c r="N189" s="25"/>
      <c r="O189" s="25" t="s">
        <v>76</v>
      </c>
      <c r="P189" s="25"/>
      <c r="Q189" s="25"/>
      <c r="R189" s="25"/>
      <c r="S189" s="25"/>
      <c r="T189" s="26"/>
      <c xmlns="http://schemas.openxmlformats.org/spreadsheetml/2006/main" r="U189" s="23">
        <f t="shared" si="6"/>
        <v>2.0</v>
      </c>
      <c xmlns="http://schemas.openxmlformats.org/spreadsheetml/2006/main" r="V189" s="22" t="str">
        <f t="shared" si="7"/>
        <v>OK</v>
      </c>
      <c xmlns="http://schemas.openxmlformats.org/spreadsheetml/2006/main" r="W189" s="18" t="str">
        <f t="shared" si="8"/>
        <v>無異常</v>
      </c>
      <c r="X189" s="22" t="s">
        <v>432</v>
      </c>
      <c r="Y189" s="22" t="s">
        <v>467</v>
      </c>
      <c xmlns="http://schemas.openxmlformats.org/spreadsheetml/2006/main" r="Z189">
        <f>IF($D189="",0,IF(COUNTIF($D$5:$D189,$D189)=1,1,0))</f>
        <v>1.0</v>
      </c>
      <c xmlns="http://schemas.openxmlformats.org/spreadsheetml/2006/main" r="AA189">
        <f>IF(Z189=1,SUM($Z$5:$Z189),"")</f>
        <v>28.0</v>
      </c>
    </row>
    <row r="190" spans="1:27">
      <c r="A190" s="22" t="s">
        <v>745</v>
      </c>
      <c r="B190" s="22" t="s">
        <v>127</v>
      </c>
      <c r="C190" s="22" t="s">
        <v>647</v>
      </c>
      <c r="D190" s="22" t="s">
        <v>298</v>
      </c>
      <c r="E190" s="22" t="s">
        <v>299</v>
      </c>
      <c r="F190" s="23">
        <v>14</v>
      </c>
      <c r="G190" s="23" t="s">
        <v>75</v>
      </c>
      <c r="H190" s="24">
        <v>95</v>
      </c>
      <c r="I190" s="25"/>
      <c r="J190" s="25"/>
      <c r="K190" s="25"/>
      <c r="L190" s="25"/>
      <c r="M190" s="25"/>
      <c r="N190" s="25"/>
      <c r="O190" s="25" t="s">
        <v>76</v>
      </c>
      <c r="P190" s="25"/>
      <c r="Q190" s="25"/>
      <c r="R190" s="25"/>
      <c r="S190" s="25"/>
      <c r="T190" s="26"/>
      <c xmlns="http://schemas.openxmlformats.org/spreadsheetml/2006/main" r="U190" s="23">
        <f t="shared" ref="U190:U214" si="12">IF($E190="","",COUNTIF($I190:$S190,"V"))</f>
        <v>1.0</v>
      </c>
      <c xmlns="http://schemas.openxmlformats.org/spreadsheetml/2006/main" r="V190" s="22" t="str">
        <f t="shared" ref="V190:V253" si="13">IF($E190="","",IF(AND($T190="V",$U190&gt;0),"⚠ 勾選矛盾",IF($T190="V","○ 免調理",IF($U190=0,"⚠ 資料缺漏",IF($U190=1,"▲ 單一設備依賴","OK")))))</f>
        <v>▲ 單一設備依賴</v>
      </c>
      <c xmlns="http://schemas.openxmlformats.org/spreadsheetml/2006/main" r="W190" s="18" t="str">
        <f t="shared" ref="W190:W214" si="14">IF($E190="","",IF(AND($T190="V",$U190&gt;0),"「無使用調理設備」不可與設備欄同時勾選，請擇一修正",IF($T190="V","免調理半成品（外購/僅切配等），不列入設備風險評估",IF($U190=0,"未勾選任何設備，請補填或勾選「無使用調理設備」",IF($U190=1,"僅依賴1台設備，須確認故障/排修時之備援製程","無異常")))))</f>
        <v>僅依賴1台設備，須確認故障/排修時之備援製程</v>
      </c>
      <c r="X190" s="22" t="s">
        <v>432</v>
      </c>
      <c r="Y190" s="22" t="s">
        <v>467</v>
      </c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 t="s">
        <v>745</v>
      </c>
      <c r="B191" s="22" t="s">
        <v>127</v>
      </c>
      <c r="C191" s="22" t="s">
        <v>647</v>
      </c>
      <c r="D191" s="22" t="s">
        <v>300</v>
      </c>
      <c r="E191" s="22" t="s">
        <v>296</v>
      </c>
      <c r="F191" s="23">
        <v>80</v>
      </c>
      <c r="G191" s="23" t="s">
        <v>75</v>
      </c>
      <c r="H191" s="24">
        <v>81.2</v>
      </c>
      <c r="I191" s="25" t="s">
        <v>76</v>
      </c>
      <c r="J191" s="25"/>
      <c r="K191" s="25"/>
      <c r="L191" s="25"/>
      <c r="M191" s="25"/>
      <c r="N191" s="25"/>
      <c r="O191" s="25" t="s">
        <v>438</v>
      </c>
      <c r="P191" s="25"/>
      <c r="Q191" s="25"/>
      <c r="R191" s="25"/>
      <c r="S191" s="25"/>
      <c r="T191" s="26"/>
      <c xmlns="http://schemas.openxmlformats.org/spreadsheetml/2006/main" r="U191" s="23">
        <f t="shared" si="12"/>
        <v>2.0</v>
      </c>
      <c xmlns="http://schemas.openxmlformats.org/spreadsheetml/2006/main" r="V191" s="22" t="str">
        <f t="shared" si="13"/>
        <v>OK</v>
      </c>
      <c xmlns="http://schemas.openxmlformats.org/spreadsheetml/2006/main" r="W191" s="18" t="str">
        <f t="shared" si="14"/>
        <v>無異常</v>
      </c>
      <c r="X191" s="22" t="s">
        <v>434</v>
      </c>
      <c r="Y191" s="22" t="s">
        <v>467</v>
      </c>
      <c xmlns="http://schemas.openxmlformats.org/spreadsheetml/2006/main" r="Z191">
        <f>IF($D191="",0,IF(COUNTIF($D$5:$D191,$D191)=1,1,0))</f>
        <v>1.0</v>
      </c>
      <c xmlns="http://schemas.openxmlformats.org/spreadsheetml/2006/main" r="AA191">
        <f>IF(Z191=1,SUM($Z$5:$Z191),"")</f>
        <v>29.0</v>
      </c>
    </row>
    <row r="192" spans="1:27">
      <c r="A192" s="22" t="s">
        <v>745</v>
      </c>
      <c r="B192" s="22" t="s">
        <v>127</v>
      </c>
      <c r="C192" s="22" t="s">
        <v>647</v>
      </c>
      <c r="D192" s="22" t="s">
        <v>300</v>
      </c>
      <c r="E192" s="22" t="s">
        <v>301</v>
      </c>
      <c r="F192" s="23">
        <v>4</v>
      </c>
      <c r="G192" s="23" t="s">
        <v>75</v>
      </c>
      <c r="H192" s="24">
        <v>100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 t="s">
        <v>438</v>
      </c>
      <c xmlns="http://schemas.openxmlformats.org/spreadsheetml/2006/main" r="U192" s="23">
        <f t="shared" si="12"/>
        <v>0.0</v>
      </c>
      <c xmlns="http://schemas.openxmlformats.org/spreadsheetml/2006/main" r="V192" s="22" t="str">
        <f t="shared" si="13"/>
        <v>○ 免調理</v>
      </c>
      <c xmlns="http://schemas.openxmlformats.org/spreadsheetml/2006/main" r="W192" s="18" t="str">
        <f t="shared" si="14"/>
        <v>免調理半成品（外購/僅切配等），不列入設備風險評估</v>
      </c>
      <c r="X192" s="22" t="s">
        <v>434</v>
      </c>
      <c r="Y192" s="22" t="s">
        <v>467</v>
      </c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 t="s">
        <v>745</v>
      </c>
      <c r="B193" s="22" t="s">
        <v>127</v>
      </c>
      <c r="C193" s="22" t="s">
        <v>647</v>
      </c>
      <c r="D193" s="22" t="s">
        <v>300</v>
      </c>
      <c r="E193" s="22" t="s">
        <v>302</v>
      </c>
      <c r="F193" s="23">
        <v>1.2</v>
      </c>
      <c r="G193" s="23" t="s">
        <v>77</v>
      </c>
      <c r="H193" s="24">
        <v>100</v>
      </c>
      <c r="I193" s="25"/>
      <c r="J193" s="25"/>
      <c r="K193" s="25" t="s">
        <v>76</v>
      </c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>
        <f t="shared" si="12"/>
        <v>1.0</v>
      </c>
      <c xmlns="http://schemas.openxmlformats.org/spreadsheetml/2006/main" r="V193" s="22" t="str">
        <f t="shared" si="13"/>
        <v>▲ 單一設備依賴</v>
      </c>
      <c xmlns="http://schemas.openxmlformats.org/spreadsheetml/2006/main" r="W193" s="18" t="str">
        <f t="shared" si="14"/>
        <v>僅依賴1台設備，須確認故障/排修時之備援製程</v>
      </c>
      <c r="X193" s="22" t="s">
        <v>434</v>
      </c>
      <c r="Y193" s="22" t="s">
        <v>467</v>
      </c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 t="s">
        <v>745</v>
      </c>
      <c r="B194" s="22" t="s">
        <v>127</v>
      </c>
      <c r="C194" s="22" t="s">
        <v>647</v>
      </c>
      <c r="D194" s="22" t="s">
        <v>300</v>
      </c>
      <c r="E194" s="22" t="s">
        <v>296</v>
      </c>
      <c r="F194" s="23">
        <v>80</v>
      </c>
      <c r="G194" s="23" t="s">
        <v>75</v>
      </c>
      <c r="H194" s="24">
        <v>81.2</v>
      </c>
      <c r="I194" s="25" t="s">
        <v>76</v>
      </c>
      <c r="J194" s="25"/>
      <c r="K194" s="25"/>
      <c r="L194" s="25"/>
      <c r="M194" s="25"/>
      <c r="N194" s="25"/>
      <c r="O194" s="25" t="s">
        <v>438</v>
      </c>
      <c r="P194" s="25"/>
      <c r="Q194" s="25"/>
      <c r="R194" s="25"/>
      <c r="S194" s="25"/>
      <c r="T194" s="26"/>
      <c xmlns="http://schemas.openxmlformats.org/spreadsheetml/2006/main" r="U194" s="23">
        <f t="shared" si="12"/>
        <v>2.0</v>
      </c>
      <c xmlns="http://schemas.openxmlformats.org/spreadsheetml/2006/main" r="V194" s="22" t="str">
        <f t="shared" si="13"/>
        <v>OK</v>
      </c>
      <c xmlns="http://schemas.openxmlformats.org/spreadsheetml/2006/main" r="W194" s="18" t="str">
        <f t="shared" si="14"/>
        <v>無異常</v>
      </c>
      <c r="X194" s="22" t="s">
        <v>434</v>
      </c>
      <c r="Y194" s="22" t="s">
        <v>467</v>
      </c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 t="s">
        <v>745</v>
      </c>
      <c r="B195" s="22" t="s">
        <v>127</v>
      </c>
      <c r="C195" s="22" t="s">
        <v>647</v>
      </c>
      <c r="D195" s="22" t="s">
        <v>300</v>
      </c>
      <c r="E195" s="22" t="s">
        <v>303</v>
      </c>
      <c r="F195" s="23">
        <v>2</v>
      </c>
      <c r="G195" s="23" t="s">
        <v>75</v>
      </c>
      <c r="H195" s="24">
        <v>100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 t="s">
        <v>438</v>
      </c>
      <c xmlns="http://schemas.openxmlformats.org/spreadsheetml/2006/main" r="U195" s="23">
        <f t="shared" si="12"/>
        <v>0.0</v>
      </c>
      <c xmlns="http://schemas.openxmlformats.org/spreadsheetml/2006/main" r="V195" s="22" t="str">
        <f t="shared" si="13"/>
        <v>○ 免調理</v>
      </c>
      <c xmlns="http://schemas.openxmlformats.org/spreadsheetml/2006/main" r="W195" s="18" t="str">
        <f t="shared" si="14"/>
        <v>免調理半成品（外購/僅切配等），不列入設備風險評估</v>
      </c>
      <c r="X195" s="22" t="s">
        <v>434</v>
      </c>
      <c r="Y195" s="22" t="s">
        <v>467</v>
      </c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 t="s">
        <v>745</v>
      </c>
      <c r="B196" s="22" t="s">
        <v>127</v>
      </c>
      <c r="C196" s="22" t="s">
        <v>647</v>
      </c>
      <c r="D196" s="22" t="s">
        <v>300</v>
      </c>
      <c r="E196" s="22" t="s">
        <v>304</v>
      </c>
      <c r="F196" s="23">
        <v>1.3</v>
      </c>
      <c r="G196" s="23" t="s">
        <v>77</v>
      </c>
      <c r="H196" s="24">
        <v>100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 t="s">
        <v>438</v>
      </c>
      <c xmlns="http://schemas.openxmlformats.org/spreadsheetml/2006/main" r="U196" s="23">
        <f t="shared" si="12"/>
        <v>0.0</v>
      </c>
      <c xmlns="http://schemas.openxmlformats.org/spreadsheetml/2006/main" r="V196" s="22" t="str">
        <f t="shared" si="13"/>
        <v>○ 免調理</v>
      </c>
      <c xmlns="http://schemas.openxmlformats.org/spreadsheetml/2006/main" r="W196" s="18" t="str">
        <f t="shared" si="14"/>
        <v>免調理半成品（外購/僅切配等），不列入設備風險評估</v>
      </c>
      <c r="X196" s="22" t="s">
        <v>434</v>
      </c>
      <c r="Y196" s="22" t="s">
        <v>467</v>
      </c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 t="s">
        <v>745</v>
      </c>
      <c r="B197" s="22" t="s">
        <v>127</v>
      </c>
      <c r="C197" s="22" t="s">
        <v>647</v>
      </c>
      <c r="D197" s="22" t="s">
        <v>300</v>
      </c>
      <c r="E197" s="22" t="s">
        <v>305</v>
      </c>
      <c r="F197" s="23">
        <v>6</v>
      </c>
      <c r="G197" s="23" t="s">
        <v>75</v>
      </c>
      <c r="H197" s="24">
        <v>79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47" t="s">
        <v>438</v>
      </c>
      <c xmlns="http://schemas.openxmlformats.org/spreadsheetml/2006/main" r="U197" s="23">
        <f t="shared" si="12"/>
        <v>0.0</v>
      </c>
      <c xmlns="http://schemas.openxmlformats.org/spreadsheetml/2006/main" r="V197" s="22" t="str">
        <f t="shared" si="13"/>
        <v>○ 免調理</v>
      </c>
      <c xmlns="http://schemas.openxmlformats.org/spreadsheetml/2006/main" r="W197" s="18" t="str">
        <f t="shared" si="14"/>
        <v>免調理半成品（外購/僅切配等），不列入設備風險評估</v>
      </c>
      <c r="X197" s="22" t="s">
        <v>434</v>
      </c>
      <c r="Y197" s="22" t="s">
        <v>467</v>
      </c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 t="s">
        <v>745</v>
      </c>
      <c r="B198" s="22" t="s">
        <v>127</v>
      </c>
      <c r="C198" s="22" t="s">
        <v>106</v>
      </c>
      <c r="D198" s="22" t="s">
        <v>306</v>
      </c>
      <c r="E198" s="22" t="s">
        <v>307</v>
      </c>
      <c r="F198" s="23">
        <v>160</v>
      </c>
      <c r="G198" s="23" t="s">
        <v>75</v>
      </c>
      <c r="H198" s="24">
        <v>80.2</v>
      </c>
      <c r="I198" s="25" t="s">
        <v>76</v>
      </c>
      <c r="J198" s="25"/>
      <c r="K198" s="25"/>
      <c r="L198" s="25"/>
      <c r="M198" s="25"/>
      <c r="N198" s="25"/>
      <c r="O198" s="25" t="s">
        <v>76</v>
      </c>
      <c r="P198" s="25"/>
      <c r="Q198" s="25"/>
      <c r="R198" s="25"/>
      <c r="S198" s="25"/>
      <c r="T198" s="26"/>
      <c xmlns="http://schemas.openxmlformats.org/spreadsheetml/2006/main" r="U198" s="23">
        <f t="shared" si="12"/>
        <v>2.0</v>
      </c>
      <c xmlns="http://schemas.openxmlformats.org/spreadsheetml/2006/main" r="V198" s="22" t="str">
        <f t="shared" si="13"/>
        <v>OK</v>
      </c>
      <c xmlns="http://schemas.openxmlformats.org/spreadsheetml/2006/main" r="W198" s="18" t="str">
        <f t="shared" si="14"/>
        <v>無異常</v>
      </c>
      <c r="X198" s="22" t="s">
        <v>430</v>
      </c>
      <c r="Y198" s="22" t="s">
        <v>467</v>
      </c>
      <c xmlns="http://schemas.openxmlformats.org/spreadsheetml/2006/main" r="Z198">
        <f>IF($D198="",0,IF(COUNTIF($D$5:$D198,$D198)=1,1,0))</f>
        <v>1.0</v>
      </c>
      <c xmlns="http://schemas.openxmlformats.org/spreadsheetml/2006/main" r="AA198">
        <f>IF(Z198=1,SUM($Z$5:$Z198),"")</f>
        <v>30.0</v>
      </c>
    </row>
    <row r="199" spans="1:27">
      <c r="A199" s="22" t="s">
        <v>745</v>
      </c>
      <c r="B199" s="22" t="s">
        <v>127</v>
      </c>
      <c r="C199" s="22" t="s">
        <v>106</v>
      </c>
      <c r="D199" s="22" t="s">
        <v>306</v>
      </c>
      <c r="E199" s="22" t="s">
        <v>308</v>
      </c>
      <c r="F199" s="23">
        <v>32</v>
      </c>
      <c r="G199" s="23" t="s">
        <v>75</v>
      </c>
      <c r="H199" s="24">
        <v>100</v>
      </c>
      <c r="I199" s="25"/>
      <c r="J199" s="25"/>
      <c r="K199" s="25"/>
      <c r="L199" s="25"/>
      <c r="M199" s="25"/>
      <c r="N199" s="25"/>
      <c r="O199" s="25" t="s">
        <v>76</v>
      </c>
      <c r="P199" s="25"/>
      <c r="Q199" s="25"/>
      <c r="R199" s="25"/>
      <c r="S199" s="25"/>
      <c r="T199" s="26"/>
      <c xmlns="http://schemas.openxmlformats.org/spreadsheetml/2006/main" r="U199" s="23">
        <f t="shared" si="12"/>
        <v>1.0</v>
      </c>
      <c xmlns="http://schemas.openxmlformats.org/spreadsheetml/2006/main" r="V199" s="22" t="str">
        <f t="shared" si="13"/>
        <v>▲ 單一設備依賴</v>
      </c>
      <c xmlns="http://schemas.openxmlformats.org/spreadsheetml/2006/main" r="W199" s="18" t="str">
        <f t="shared" si="14"/>
        <v>僅依賴1台設備，須確認故障/排修時之備援製程</v>
      </c>
      <c r="X199" s="22" t="s">
        <v>430</v>
      </c>
      <c r="Y199" s="22" t="s">
        <v>467</v>
      </c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 t="s">
        <v>745</v>
      </c>
      <c r="B200" s="22" t="s">
        <v>127</v>
      </c>
      <c r="C200" s="22" t="s">
        <v>106</v>
      </c>
      <c r="D200" s="22" t="s">
        <v>306</v>
      </c>
      <c r="E200" s="22" t="s">
        <v>309</v>
      </c>
      <c r="F200" s="23">
        <v>6</v>
      </c>
      <c r="G200" s="23" t="s">
        <v>75</v>
      </c>
      <c r="H200" s="24">
        <v>49.6</v>
      </c>
      <c r="I200" s="25"/>
      <c r="J200" s="25"/>
      <c r="K200" s="25"/>
      <c r="L200" s="25"/>
      <c r="M200" s="25"/>
      <c r="N200" s="25"/>
      <c r="O200" s="25" t="s">
        <v>76</v>
      </c>
      <c r="P200" s="25"/>
      <c r="Q200" s="25"/>
      <c r="R200" s="25"/>
      <c r="S200" s="25"/>
      <c r="T200" s="26"/>
      <c xmlns="http://schemas.openxmlformats.org/spreadsheetml/2006/main" r="U200" s="23">
        <f t="shared" si="12"/>
        <v>1.0</v>
      </c>
      <c xmlns="http://schemas.openxmlformats.org/spreadsheetml/2006/main" r="V200" s="22" t="str">
        <f t="shared" si="13"/>
        <v>▲ 單一設備依賴</v>
      </c>
      <c xmlns="http://schemas.openxmlformats.org/spreadsheetml/2006/main" r="W200" s="18" t="str">
        <f t="shared" si="14"/>
        <v>僅依賴1台設備，須確認故障/排修時之備援製程</v>
      </c>
      <c r="X200" s="22" t="s">
        <v>430</v>
      </c>
      <c r="Y200" s="22" t="s">
        <v>467</v>
      </c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 t="s">
        <v>745</v>
      </c>
      <c r="B201" s="22" t="s">
        <v>127</v>
      </c>
      <c r="C201" s="22" t="s">
        <v>106</v>
      </c>
      <c r="D201" s="22" t="s">
        <v>306</v>
      </c>
      <c r="E201" s="22" t="s">
        <v>310</v>
      </c>
      <c r="F201" s="23">
        <v>8</v>
      </c>
      <c r="G201" s="23" t="s">
        <v>75</v>
      </c>
      <c r="H201" s="24">
        <v>50</v>
      </c>
      <c r="I201" s="25"/>
      <c r="J201" s="25"/>
      <c r="K201" s="25"/>
      <c r="L201" s="25"/>
      <c r="M201" s="25"/>
      <c r="N201" s="25"/>
      <c r="O201" s="25" t="s">
        <v>76</v>
      </c>
      <c r="P201" s="25"/>
      <c r="Q201" s="25"/>
      <c r="R201" s="25"/>
      <c r="S201" s="25"/>
      <c r="T201" s="26"/>
      <c xmlns="http://schemas.openxmlformats.org/spreadsheetml/2006/main" r="U201" s="23">
        <f t="shared" si="12"/>
        <v>1.0</v>
      </c>
      <c xmlns="http://schemas.openxmlformats.org/spreadsheetml/2006/main" r="V201" s="22" t="str">
        <f t="shared" si="13"/>
        <v>▲ 單一設備依賴</v>
      </c>
      <c xmlns="http://schemas.openxmlformats.org/spreadsheetml/2006/main" r="W201" s="18" t="str">
        <f t="shared" si="14"/>
        <v>僅依賴1台設備，須確認故障/排修時之備援製程</v>
      </c>
      <c r="X201" s="22" t="s">
        <v>430</v>
      </c>
      <c r="Y201" s="22" t="s">
        <v>467</v>
      </c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 t="s">
        <v>745</v>
      </c>
      <c r="B202" s="22" t="s">
        <v>127</v>
      </c>
      <c r="C202" s="22" t="s">
        <v>106</v>
      </c>
      <c r="D202" s="22" t="s">
        <v>306</v>
      </c>
      <c r="E202" s="22" t="s">
        <v>311</v>
      </c>
      <c r="F202" s="23">
        <v>0.5</v>
      </c>
      <c r="G202" s="23" t="s">
        <v>75</v>
      </c>
      <c r="H202" s="24">
        <v>100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 t="s">
        <v>438</v>
      </c>
      <c xmlns="http://schemas.openxmlformats.org/spreadsheetml/2006/main" r="U202" s="23">
        <f t="shared" si="12"/>
        <v>0.0</v>
      </c>
      <c xmlns="http://schemas.openxmlformats.org/spreadsheetml/2006/main" r="V202" s="22" t="str">
        <f t="shared" si="13"/>
        <v>○ 免調理</v>
      </c>
      <c xmlns="http://schemas.openxmlformats.org/spreadsheetml/2006/main" r="W202" s="18" t="str">
        <f t="shared" si="14"/>
        <v>免調理半成品（外購/僅切配等），不列入設備風險評估</v>
      </c>
      <c r="X202" s="22" t="s">
        <v>430</v>
      </c>
      <c r="Y202" s="22" t="s">
        <v>467</v>
      </c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 t="s">
        <v>744</v>
      </c>
      <c r="B203" s="22" t="s">
        <v>127</v>
      </c>
      <c r="C203" s="22" t="s">
        <v>106</v>
      </c>
      <c r="D203" s="22" t="s">
        <v>312</v>
      </c>
      <c r="E203" s="22" t="s">
        <v>313</v>
      </c>
      <c r="F203" s="23">
        <v>140</v>
      </c>
      <c r="G203" s="23" t="s">
        <v>75</v>
      </c>
      <c r="H203" s="24">
        <v>80.900000000000006</v>
      </c>
      <c r="I203" s="25" t="s">
        <v>76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>
        <f t="shared" si="12"/>
        <v>1.0</v>
      </c>
      <c xmlns="http://schemas.openxmlformats.org/spreadsheetml/2006/main" r="V203" s="22" t="str">
        <f t="shared" si="13"/>
        <v>▲ 單一設備依賴</v>
      </c>
      <c xmlns="http://schemas.openxmlformats.org/spreadsheetml/2006/main" r="W203" s="18" t="str">
        <f t="shared" si="14"/>
        <v>僅依賴1台設備，須確認故障/排修時之備援製程</v>
      </c>
      <c r="X203" s="22" t="s">
        <v>431</v>
      </c>
      <c r="Y203" s="22" t="s">
        <v>467</v>
      </c>
      <c xmlns="http://schemas.openxmlformats.org/spreadsheetml/2006/main" r="Z203">
        <f>IF($D203="",0,IF(COUNTIF($D$5:$D203,$D203)=1,1,0))</f>
        <v>1.0</v>
      </c>
      <c xmlns="http://schemas.openxmlformats.org/spreadsheetml/2006/main" r="AA203">
        <f>IF(Z203=1,SUM($Z$5:$Z203),"")</f>
        <v>31.0</v>
      </c>
    </row>
    <row r="204" spans="1:27">
      <c r="A204" s="22" t="s">
        <v>744</v>
      </c>
      <c r="B204" s="22" t="s">
        <v>127</v>
      </c>
      <c r="C204" s="22" t="s">
        <v>106</v>
      </c>
      <c r="D204" s="22" t="s">
        <v>312</v>
      </c>
      <c r="E204" s="22" t="s">
        <v>314</v>
      </c>
      <c r="F204" s="23">
        <v>1</v>
      </c>
      <c r="G204" s="23" t="s">
        <v>77</v>
      </c>
      <c r="H204" s="24">
        <v>100</v>
      </c>
      <c r="I204" s="25"/>
      <c r="J204" s="25"/>
      <c r="K204" s="25" t="s">
        <v>76</v>
      </c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>
        <f t="shared" si="12"/>
        <v>1.0</v>
      </c>
      <c xmlns="http://schemas.openxmlformats.org/spreadsheetml/2006/main" r="V204" s="22" t="str">
        <f t="shared" si="13"/>
        <v>▲ 單一設備依賴</v>
      </c>
      <c xmlns="http://schemas.openxmlformats.org/spreadsheetml/2006/main" r="W204" s="18" t="str">
        <f t="shared" si="14"/>
        <v>僅依賴1台設備，須確認故障/排修時之備援製程</v>
      </c>
      <c r="X204" s="22" t="s">
        <v>431</v>
      </c>
      <c r="Y204" s="22" t="s">
        <v>467</v>
      </c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 t="s">
        <v>744</v>
      </c>
      <c r="B205" s="22" t="s">
        <v>127</v>
      </c>
      <c r="C205" s="22" t="s">
        <v>106</v>
      </c>
      <c r="D205" s="22" t="s">
        <v>312</v>
      </c>
      <c r="E205" s="22" t="s">
        <v>315</v>
      </c>
      <c r="F205" s="23">
        <v>16</v>
      </c>
      <c r="G205" s="23" t="s">
        <v>75</v>
      </c>
      <c r="H205" s="24">
        <v>50</v>
      </c>
      <c r="I205" s="25"/>
      <c r="J205" s="25"/>
      <c r="K205" s="25"/>
      <c r="L205" s="25"/>
      <c r="M205" s="25"/>
      <c r="N205" s="25"/>
      <c r="O205" s="25" t="s">
        <v>76</v>
      </c>
      <c r="P205" s="25"/>
      <c r="Q205" s="25"/>
      <c r="R205" s="25"/>
      <c r="S205" s="25"/>
      <c r="T205" s="26"/>
      <c xmlns="http://schemas.openxmlformats.org/spreadsheetml/2006/main" r="U205" s="23">
        <f t="shared" si="12"/>
        <v>1.0</v>
      </c>
      <c xmlns="http://schemas.openxmlformats.org/spreadsheetml/2006/main" r="V205" s="22" t="str">
        <f t="shared" si="13"/>
        <v>▲ 單一設備依賴</v>
      </c>
      <c xmlns="http://schemas.openxmlformats.org/spreadsheetml/2006/main" r="W205" s="18" t="str">
        <f t="shared" si="14"/>
        <v>僅依賴1台設備，須確認故障/排修時之備援製程</v>
      </c>
      <c r="X205" s="22" t="s">
        <v>431</v>
      </c>
      <c r="Y205" s="22" t="s">
        <v>467</v>
      </c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 t="s">
        <v>744</v>
      </c>
      <c r="B206" s="22" t="s">
        <v>127</v>
      </c>
      <c r="C206" s="22" t="s">
        <v>647</v>
      </c>
      <c r="D206" s="22" t="s">
        <v>316</v>
      </c>
      <c r="E206" s="22" t="s">
        <v>317</v>
      </c>
      <c r="F206" s="23">
        <v>95</v>
      </c>
      <c r="G206" s="23" t="s">
        <v>75</v>
      </c>
      <c r="H206" s="24">
        <v>92.4</v>
      </c>
      <c r="I206" s="25" t="s">
        <v>76</v>
      </c>
      <c r="J206" s="25"/>
      <c r="K206" s="25"/>
      <c r="L206" s="25"/>
      <c r="M206" s="25"/>
      <c r="N206" s="25"/>
      <c r="O206" s="25" t="s">
        <v>438</v>
      </c>
      <c r="P206" s="25"/>
      <c r="Q206" s="25"/>
      <c r="R206" s="25"/>
      <c r="S206" s="25"/>
      <c r="T206" s="26"/>
      <c xmlns="http://schemas.openxmlformats.org/spreadsheetml/2006/main" r="U206" s="23">
        <f t="shared" si="12"/>
        <v>2.0</v>
      </c>
      <c xmlns="http://schemas.openxmlformats.org/spreadsheetml/2006/main" r="V206" s="22" t="str">
        <f t="shared" si="13"/>
        <v>OK</v>
      </c>
      <c xmlns="http://schemas.openxmlformats.org/spreadsheetml/2006/main" r="W206" s="18" t="str">
        <f t="shared" si="14"/>
        <v>無異常</v>
      </c>
      <c r="X206" s="22" t="s">
        <v>436</v>
      </c>
      <c r="Y206" s="22" t="s">
        <v>467</v>
      </c>
      <c xmlns="http://schemas.openxmlformats.org/spreadsheetml/2006/main" r="Z206">
        <f>IF($D206="",0,IF(COUNTIF($D$5:$D206,$D206)=1,1,0))</f>
        <v>1.0</v>
      </c>
      <c xmlns="http://schemas.openxmlformats.org/spreadsheetml/2006/main" r="AA206">
        <f>IF(Z206=1,SUM($Z$5:$Z206),"")</f>
        <v>32.0</v>
      </c>
    </row>
    <row r="207" spans="1:27">
      <c r="A207" s="22" t="s">
        <v>744</v>
      </c>
      <c r="B207" s="22" t="s">
        <v>127</v>
      </c>
      <c r="C207" s="22" t="s">
        <v>647</v>
      </c>
      <c r="D207" s="22" t="s">
        <v>316</v>
      </c>
      <c r="E207" s="22" t="s">
        <v>318</v>
      </c>
      <c r="F207" s="23">
        <v>1.9</v>
      </c>
      <c r="G207" s="23" t="s">
        <v>77</v>
      </c>
      <c r="H207" s="24">
        <v>100</v>
      </c>
      <c r="I207" s="25"/>
      <c r="J207" s="25"/>
      <c r="K207" s="25" t="s">
        <v>76</v>
      </c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>
        <f t="shared" si="12"/>
        <v>1.0</v>
      </c>
      <c xmlns="http://schemas.openxmlformats.org/spreadsheetml/2006/main" r="V207" s="22" t="str">
        <f t="shared" si="13"/>
        <v>▲ 單一設備依賴</v>
      </c>
      <c xmlns="http://schemas.openxmlformats.org/spreadsheetml/2006/main" r="W207" s="18" t="str">
        <f t="shared" si="14"/>
        <v>僅依賴1台設備，須確認故障/排修時之備援製程</v>
      </c>
      <c r="X207" s="22" t="s">
        <v>435</v>
      </c>
      <c r="Y207" s="22" t="s">
        <v>467</v>
      </c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 t="s">
        <v>744</v>
      </c>
      <c r="B208" s="22" t="s">
        <v>127</v>
      </c>
      <c r="C208" s="22" t="s">
        <v>647</v>
      </c>
      <c r="D208" s="22" t="s">
        <v>316</v>
      </c>
      <c r="E208" s="22" t="s">
        <v>319</v>
      </c>
      <c r="F208" s="23">
        <v>14</v>
      </c>
      <c r="G208" s="23" t="s">
        <v>75</v>
      </c>
      <c r="H208" s="24">
        <v>50.9</v>
      </c>
      <c r="I208" s="25"/>
      <c r="J208" s="25"/>
      <c r="K208" s="25"/>
      <c r="L208" s="25"/>
      <c r="M208" s="25"/>
      <c r="N208" s="25"/>
      <c r="O208" s="25" t="s">
        <v>76</v>
      </c>
      <c r="P208" s="25"/>
      <c r="Q208" s="25"/>
      <c r="R208" s="25"/>
      <c r="S208" s="25"/>
      <c r="T208" s="26"/>
      <c xmlns="http://schemas.openxmlformats.org/spreadsheetml/2006/main" r="U208" s="23">
        <f t="shared" si="12"/>
        <v>1.0</v>
      </c>
      <c xmlns="http://schemas.openxmlformats.org/spreadsheetml/2006/main" r="V208" s="22" t="str">
        <f t="shared" si="13"/>
        <v>▲ 單一設備依賴</v>
      </c>
      <c xmlns="http://schemas.openxmlformats.org/spreadsheetml/2006/main" r="W208" s="18" t="str">
        <f t="shared" si="14"/>
        <v>僅依賴1台設備，須確認故障/排修時之備援製程</v>
      </c>
      <c r="X208" s="22" t="s">
        <v>436</v>
      </c>
      <c r="Y208" s="22" t="s">
        <v>467</v>
      </c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 t="s">
        <v>744</v>
      </c>
      <c r="B209" s="22" t="s">
        <v>127</v>
      </c>
      <c r="C209" s="22" t="s">
        <v>647</v>
      </c>
      <c r="D209" s="22" t="s">
        <v>316</v>
      </c>
      <c r="E209" s="22" t="s">
        <v>320</v>
      </c>
      <c r="F209" s="23">
        <v>18</v>
      </c>
      <c r="G209" s="23" t="s">
        <v>75</v>
      </c>
      <c r="H209" s="24">
        <v>48.7</v>
      </c>
      <c r="I209" s="25"/>
      <c r="J209" s="25"/>
      <c r="K209" s="25"/>
      <c r="L209" s="25"/>
      <c r="M209" s="25"/>
      <c r="N209" s="25"/>
      <c r="O209" s="25" t="s">
        <v>76</v>
      </c>
      <c r="P209" s="25"/>
      <c r="Q209" s="25"/>
      <c r="R209" s="25"/>
      <c r="S209" s="25"/>
      <c r="T209" s="26"/>
      <c xmlns="http://schemas.openxmlformats.org/spreadsheetml/2006/main" r="U209" s="23">
        <f t="shared" si="12"/>
        <v>1.0</v>
      </c>
      <c xmlns="http://schemas.openxmlformats.org/spreadsheetml/2006/main" r="V209" s="22" t="str">
        <f t="shared" si="13"/>
        <v>▲ 單一設備依賴</v>
      </c>
      <c xmlns="http://schemas.openxmlformats.org/spreadsheetml/2006/main" r="W209" s="18" t="str">
        <f t="shared" si="14"/>
        <v>僅依賴1台設備，須確認故障/排修時之備援製程</v>
      </c>
      <c r="X209" s="22" t="s">
        <v>436</v>
      </c>
      <c r="Y209" s="22" t="s">
        <v>467</v>
      </c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 t="s">
        <v>744</v>
      </c>
      <c r="B210" s="22" t="s">
        <v>127</v>
      </c>
      <c r="C210" s="22" t="s">
        <v>647</v>
      </c>
      <c r="D210" s="22" t="s">
        <v>321</v>
      </c>
      <c r="E210" s="22" t="s">
        <v>317</v>
      </c>
      <c r="F210" s="23">
        <v>90</v>
      </c>
      <c r="G210" s="23" t="s">
        <v>75</v>
      </c>
      <c r="H210" s="24">
        <v>92.4</v>
      </c>
      <c r="I210" s="25" t="s">
        <v>76</v>
      </c>
      <c r="J210" s="25"/>
      <c r="K210" s="25"/>
      <c r="L210" s="25"/>
      <c r="M210" s="25"/>
      <c r="N210" s="25"/>
      <c r="O210" s="25" t="s">
        <v>438</v>
      </c>
      <c r="P210" s="25"/>
      <c r="Q210" s="25"/>
      <c r="R210" s="25"/>
      <c r="S210" s="25"/>
      <c r="T210" s="26"/>
      <c xmlns="http://schemas.openxmlformats.org/spreadsheetml/2006/main" r="U210" s="23">
        <f t="shared" si="12"/>
        <v>2.0</v>
      </c>
      <c xmlns="http://schemas.openxmlformats.org/spreadsheetml/2006/main" r="V210" s="22" t="str">
        <f t="shared" si="13"/>
        <v>OK</v>
      </c>
      <c xmlns="http://schemas.openxmlformats.org/spreadsheetml/2006/main" r="W210" s="18" t="str">
        <f t="shared" si="14"/>
        <v>無異常</v>
      </c>
      <c r="X210" s="22" t="s">
        <v>437</v>
      </c>
      <c r="Y210" s="22" t="s">
        <v>467</v>
      </c>
      <c xmlns="http://schemas.openxmlformats.org/spreadsheetml/2006/main" r="Z210">
        <f>IF($D210="",0,IF(COUNTIF($D$5:$D210,$D210)=1,1,0))</f>
        <v>1.0</v>
      </c>
      <c xmlns="http://schemas.openxmlformats.org/spreadsheetml/2006/main" r="AA210">
        <f>IF(Z210=1,SUM($Z$5:$Z210),"")</f>
        <v>33.0</v>
      </c>
    </row>
    <row r="211" spans="1:27">
      <c r="A211" s="22" t="s">
        <v>744</v>
      </c>
      <c r="B211" s="22" t="s">
        <v>127</v>
      </c>
      <c r="C211" s="22" t="s">
        <v>647</v>
      </c>
      <c r="D211" s="22" t="s">
        <v>321</v>
      </c>
      <c r="E211" s="22" t="s">
        <v>322</v>
      </c>
      <c r="F211" s="23">
        <v>10</v>
      </c>
      <c r="G211" s="23" t="s">
        <v>75</v>
      </c>
      <c r="H211" s="24">
        <v>43.9</v>
      </c>
      <c r="I211" s="25"/>
      <c r="J211" s="25"/>
      <c r="K211" s="25"/>
      <c r="L211" s="25"/>
      <c r="M211" s="25"/>
      <c r="N211" s="25"/>
      <c r="O211" s="25" t="s">
        <v>76</v>
      </c>
      <c r="P211" s="25"/>
      <c r="Q211" s="25"/>
      <c r="R211" s="25"/>
      <c r="S211" s="25"/>
      <c r="T211" s="26"/>
      <c xmlns="http://schemas.openxmlformats.org/spreadsheetml/2006/main" r="U211" s="23">
        <f t="shared" si="12"/>
        <v>1.0</v>
      </c>
      <c xmlns="http://schemas.openxmlformats.org/spreadsheetml/2006/main" r="V211" s="22" t="str">
        <f t="shared" si="13"/>
        <v>▲ 單一設備依賴</v>
      </c>
      <c xmlns="http://schemas.openxmlformats.org/spreadsheetml/2006/main" r="W211" s="18" t="str">
        <f t="shared" si="14"/>
        <v>僅依賴1台設備，須確認故障/排修時之備援製程</v>
      </c>
      <c r="X211" s="22" t="s">
        <v>437</v>
      </c>
      <c r="Y211" s="22" t="s">
        <v>467</v>
      </c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 t="s">
        <v>744</v>
      </c>
      <c r="B212" s="22" t="s">
        <v>127</v>
      </c>
      <c r="C212" s="22" t="s">
        <v>647</v>
      </c>
      <c r="D212" s="22" t="s">
        <v>321</v>
      </c>
      <c r="E212" s="22" t="s">
        <v>323</v>
      </c>
      <c r="F212" s="23">
        <v>6</v>
      </c>
      <c r="G212" s="23" t="s">
        <v>75</v>
      </c>
      <c r="H212" s="24">
        <v>52.3</v>
      </c>
      <c r="I212" s="25"/>
      <c r="J212" s="25"/>
      <c r="K212" s="25"/>
      <c r="L212" s="25"/>
      <c r="M212" s="25"/>
      <c r="N212" s="25"/>
      <c r="O212" s="25" t="s">
        <v>76</v>
      </c>
      <c r="P212" s="25"/>
      <c r="Q212" s="25"/>
      <c r="R212" s="25"/>
      <c r="S212" s="25"/>
      <c r="T212" s="26"/>
      <c xmlns="http://schemas.openxmlformats.org/spreadsheetml/2006/main" r="U212" s="23">
        <f t="shared" si="12"/>
        <v>1.0</v>
      </c>
      <c xmlns="http://schemas.openxmlformats.org/spreadsheetml/2006/main" r="V212" s="22" t="str">
        <f t="shared" si="13"/>
        <v>▲ 單一設備依賴</v>
      </c>
      <c xmlns="http://schemas.openxmlformats.org/spreadsheetml/2006/main" r="W212" s="18" t="str">
        <f t="shared" si="14"/>
        <v>僅依賴1台設備，須確認故障/排修時之備援製程</v>
      </c>
      <c r="X212" s="22" t="s">
        <v>437</v>
      </c>
      <c r="Y212" s="22" t="s">
        <v>467</v>
      </c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 t="s">
        <v>744</v>
      </c>
      <c r="B213" s="22" t="s">
        <v>127</v>
      </c>
      <c r="C213" s="22" t="s">
        <v>647</v>
      </c>
      <c r="D213" s="22" t="s">
        <v>321</v>
      </c>
      <c r="E213" s="22" t="s">
        <v>324</v>
      </c>
      <c r="F213" s="23">
        <v>18</v>
      </c>
      <c r="G213" s="23" t="s">
        <v>75</v>
      </c>
      <c r="H213" s="24">
        <v>53.9</v>
      </c>
      <c r="I213" s="25"/>
      <c r="J213" s="25"/>
      <c r="K213" s="25"/>
      <c r="L213" s="25"/>
      <c r="M213" s="25"/>
      <c r="N213" s="25"/>
      <c r="O213" s="25" t="s">
        <v>76</v>
      </c>
      <c r="P213" s="25"/>
      <c r="Q213" s="25"/>
      <c r="R213" s="25"/>
      <c r="S213" s="25"/>
      <c r="T213" s="26"/>
      <c xmlns="http://schemas.openxmlformats.org/spreadsheetml/2006/main" r="U213" s="23">
        <f t="shared" si="12"/>
        <v>1.0</v>
      </c>
      <c xmlns="http://schemas.openxmlformats.org/spreadsheetml/2006/main" r="V213" s="22" t="str">
        <f t="shared" si="13"/>
        <v>▲ 單一設備依賴</v>
      </c>
      <c xmlns="http://schemas.openxmlformats.org/spreadsheetml/2006/main" r="W213" s="18" t="str">
        <f t="shared" si="14"/>
        <v>僅依賴1台設備，須確認故障/排修時之備援製程</v>
      </c>
      <c r="X213" s="22" t="s">
        <v>437</v>
      </c>
      <c r="Y213" s="22" t="s">
        <v>467</v>
      </c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 t="s">
        <v>744</v>
      </c>
      <c r="B214" s="22" t="s">
        <v>127</v>
      </c>
      <c r="C214" s="22" t="s">
        <v>647</v>
      </c>
      <c r="D214" s="22" t="s">
        <v>321</v>
      </c>
      <c r="E214" s="22" t="s">
        <v>278</v>
      </c>
      <c r="F214" s="23">
        <v>0.7</v>
      </c>
      <c r="G214" s="23" t="s">
        <v>77</v>
      </c>
      <c r="H214" s="24">
        <v>100</v>
      </c>
      <c r="I214" s="25"/>
      <c r="J214" s="25"/>
      <c r="K214" s="25" t="s">
        <v>76</v>
      </c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>
        <f t="shared" si="12"/>
        <v>1.0</v>
      </c>
      <c xmlns="http://schemas.openxmlformats.org/spreadsheetml/2006/main" r="V214" s="22" t="str">
        <f t="shared" si="13"/>
        <v>▲ 單一設備依賴</v>
      </c>
      <c xmlns="http://schemas.openxmlformats.org/spreadsheetml/2006/main" r="W214" s="18" t="str">
        <f t="shared" si="14"/>
        <v>僅依賴1台設備，須確認故障/排修時之備援製程</v>
      </c>
      <c r="X214" s="22" t="s">
        <v>437</v>
      </c>
      <c r="Y214" s="22" t="s">
        <v>467</v>
      </c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 t="s">
        <v>745</v>
      </c>
      <c r="B215" s="22" t="s">
        <v>127</v>
      </c>
      <c r="C215" s="22" t="s">
        <v>647</v>
      </c>
      <c r="D215" s="22" t="s">
        <v>680</v>
      </c>
      <c r="E215" s="22" t="s">
        <v>532</v>
      </c>
      <c r="F215" s="23">
        <v>120</v>
      </c>
      <c r="G215" s="28" t="s">
        <v>75</v>
      </c>
      <c r="H215" s="24">
        <v>81</v>
      </c>
      <c r="I215" s="25" t="s">
        <v>76</v>
      </c>
      <c r="J215" s="25"/>
      <c r="K215" s="25"/>
      <c r="L215" s="25"/>
      <c r="M215" s="25"/>
      <c r="N215" s="25"/>
      <c r="O215" s="25" t="s">
        <v>76</v>
      </c>
      <c r="P215" s="25"/>
      <c r="Q215" s="25"/>
      <c r="R215" s="25"/>
      <c r="S215" s="25"/>
      <c r="T215" s="26"/>
      <c xmlns="http://schemas.openxmlformats.org/spreadsheetml/2006/main" r="U215" s="23">
        <f t="shared" ref="U215:U258" si="15">IF($E215="","",COUNTIF($I215:$S215,"V"))</f>
        <v>2.0</v>
      </c>
      <c xmlns="http://schemas.openxmlformats.org/spreadsheetml/2006/main" r="V215" s="22" t="str">
        <f t="shared" si="13"/>
        <v>OK</v>
      </c>
      <c xmlns="http://schemas.openxmlformats.org/spreadsheetml/2006/main" r="W215" s="18" t="str">
        <f t="shared" ref="W215:W244" si="16">IF($E215="","",IF(AND($T215="V",$U215&gt;0),"「無使用調理設備」不可與設備欄同時勾選，請擇一修正",IF($T215="V","免調理半成品（外購/僅切配等），不列入設備風險評估",IF($U215=0,"未勾選任何設備，請補填或勾選「無使用調理設備」",IF($U215=1,"僅依賴1台設備，須確認故障/排修時之備援製程","無異常")))))</f>
        <v>無異常</v>
      </c>
      <c r="X215" s="22" t="s">
        <v>681</v>
      </c>
      <c r="Y215" s="22" t="s">
        <v>467</v>
      </c>
      <c xmlns="http://schemas.openxmlformats.org/spreadsheetml/2006/main" r="Z215">
        <f>IF($D215="",0,IF(COUNTIF($D$5:$D215,$D215)=1,1,0))</f>
        <v>1.0</v>
      </c>
      <c xmlns="http://schemas.openxmlformats.org/spreadsheetml/2006/main" r="AA215">
        <f>IF(Z215=1,SUM($Z$5:$Z215),"")</f>
        <v>34.0</v>
      </c>
    </row>
    <row r="216" spans="1:27">
      <c r="A216" s="22" t="s">
        <v>745</v>
      </c>
      <c r="B216" s="22" t="s">
        <v>127</v>
      </c>
      <c r="C216" s="22" t="s">
        <v>647</v>
      </c>
      <c r="D216" s="22" t="s">
        <v>680</v>
      </c>
      <c r="E216" s="22" t="s">
        <v>508</v>
      </c>
      <c r="F216" s="23">
        <v>12</v>
      </c>
      <c r="G216" s="59" t="s">
        <v>679</v>
      </c>
      <c r="H216" s="24">
        <v>100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 t="s">
        <v>76</v>
      </c>
      <c xmlns="http://schemas.openxmlformats.org/spreadsheetml/2006/main" r="U216" s="23">
        <f t="shared" si="15"/>
        <v>0.0</v>
      </c>
      <c xmlns="http://schemas.openxmlformats.org/spreadsheetml/2006/main" r="V216" s="22" t="str">
        <f t="shared" si="13"/>
        <v>○ 免調理</v>
      </c>
      <c xmlns="http://schemas.openxmlformats.org/spreadsheetml/2006/main" r="W216" s="18" t="str">
        <f t="shared" si="16"/>
        <v>免調理半成品（外購/僅切配等），不列入設備風險評估</v>
      </c>
      <c r="X216" s="22" t="s">
        <v>681</v>
      </c>
      <c r="Y216" s="22" t="s">
        <v>467</v>
      </c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 t="s">
        <v>745</v>
      </c>
      <c r="B217" s="22" t="s">
        <v>127</v>
      </c>
      <c r="C217" s="22" t="s">
        <v>647</v>
      </c>
      <c r="D217" s="22" t="s">
        <v>680</v>
      </c>
      <c r="E217" s="22" t="s">
        <v>678</v>
      </c>
      <c r="F217" s="23">
        <v>12</v>
      </c>
      <c r="G217" s="59" t="s">
        <v>679</v>
      </c>
      <c r="H217" s="24">
        <v>11.6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 t="s">
        <v>76</v>
      </c>
      <c xmlns="http://schemas.openxmlformats.org/spreadsheetml/2006/main" r="U217" s="23">
        <f t="shared" si="15"/>
        <v>0.0</v>
      </c>
      <c xmlns="http://schemas.openxmlformats.org/spreadsheetml/2006/main" r="V217" s="22" t="str">
        <f t="shared" si="13"/>
        <v>○ 免調理</v>
      </c>
      <c xmlns="http://schemas.openxmlformats.org/spreadsheetml/2006/main" r="W217" s="18" t="str">
        <f t="shared" si="16"/>
        <v>免調理半成品（外購/僅切配等），不列入設備風險評估</v>
      </c>
      <c r="X217" s="22" t="s">
        <v>681</v>
      </c>
      <c r="Y217" s="22" t="s">
        <v>467</v>
      </c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 t="inlineStr">
        <is>
          <t>架上</t>
        </is>
      </c>
      <c r="B218" s="22" t="s">
        <v>127</v>
      </c>
      <c r="C218" s="22" t="s">
        <v>620</v>
      </c>
      <c r="D218" s="22" t="s">
        <v>682</v>
      </c>
      <c r="E218" s="22" t="s">
        <v>622</v>
      </c>
      <c r="F218" s="23">
        <v>200</v>
      </c>
      <c r="G218" s="28" t="s">
        <v>75</v>
      </c>
      <c r="H218" s="24">
        <v>85</v>
      </c>
      <c r="I218" s="25" t="s">
        <v>76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>
        <f t="shared" si="15"/>
        <v>1.0</v>
      </c>
      <c xmlns="http://schemas.openxmlformats.org/spreadsheetml/2006/main" r="V218" s="22" t="str">
        <f t="shared" si="13"/>
        <v>▲ 單一設備依賴</v>
      </c>
      <c xmlns="http://schemas.openxmlformats.org/spreadsheetml/2006/main" r="W218" s="18" t="str">
        <f t="shared" si="16"/>
        <v>僅依賴1台設備，須確認故障/排修時之備援製程</v>
      </c>
      <c r="X218" s="22" t="s">
        <v>683</v>
      </c>
      <c r="Y218" s="22" t="s">
        <v>684</v>
      </c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 t="inlineStr">
        <is>
          <t>架上</t>
        </is>
      </c>
      <c r="B219" s="22" t="s">
        <v>127</v>
      </c>
      <c r="C219" s="22" t="s">
        <v>620</v>
      </c>
      <c r="D219" s="22" t="s">
        <v>682</v>
      </c>
      <c r="E219" s="22" t="s">
        <v>260</v>
      </c>
      <c r="F219" s="23">
        <v>100</v>
      </c>
      <c r="G219" s="28" t="s">
        <v>75</v>
      </c>
      <c r="H219" s="24">
        <v>51</v>
      </c>
      <c r="I219" s="25"/>
      <c r="J219" s="25"/>
      <c r="K219" s="25"/>
      <c r="L219" s="25"/>
      <c r="M219" s="25"/>
      <c r="N219" s="25"/>
      <c r="O219" s="25" t="s">
        <v>76</v>
      </c>
      <c r="P219" s="25"/>
      <c r="Q219" s="25"/>
      <c r="R219" s="25"/>
      <c r="S219" s="25"/>
      <c r="T219" s="26"/>
      <c xmlns="http://schemas.openxmlformats.org/spreadsheetml/2006/main" r="U219" s="23">
        <f t="shared" si="15"/>
        <v>1.0</v>
      </c>
      <c xmlns="http://schemas.openxmlformats.org/spreadsheetml/2006/main" r="V219" s="22" t="str">
        <f t="shared" si="13"/>
        <v>▲ 單一設備依賴</v>
      </c>
      <c xmlns="http://schemas.openxmlformats.org/spreadsheetml/2006/main" r="W219" s="18" t="str">
        <f t="shared" si="16"/>
        <v>僅依賴1台設備，須確認故障/排修時之備援製程</v>
      </c>
      <c r="X219" s="22" t="s">
        <v>683</v>
      </c>
      <c r="Y219" s="22" t="s">
        <v>684</v>
      </c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 t="inlineStr">
        <is>
          <t>架上</t>
        </is>
      </c>
      <c r="B220" s="22" t="s">
        <v>127</v>
      </c>
      <c r="C220" s="22" t="s">
        <v>620</v>
      </c>
      <c r="D220" s="22" t="s">
        <v>682</v>
      </c>
      <c r="E220" s="22" t="s">
        <v>685</v>
      </c>
      <c r="F220" s="23">
        <v>1</v>
      </c>
      <c r="G220" s="28" t="s">
        <v>77</v>
      </c>
      <c r="H220" s="24">
        <v>100</v>
      </c>
      <c r="I220" s="25"/>
      <c r="J220" s="25"/>
      <c r="K220" s="25" t="s">
        <v>76</v>
      </c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>
        <f t="shared" si="15"/>
        <v>1.0</v>
      </c>
      <c xmlns="http://schemas.openxmlformats.org/spreadsheetml/2006/main" r="V220" s="22" t="str">
        <f t="shared" si="13"/>
        <v>▲ 單一設備依賴</v>
      </c>
      <c xmlns="http://schemas.openxmlformats.org/spreadsheetml/2006/main" r="W220" s="18" t="str">
        <f t="shared" si="16"/>
        <v>僅依賴1台設備，須確認故障/排修時之備援製程</v>
      </c>
      <c r="X220" s="22" t="s">
        <v>683</v>
      </c>
      <c r="Y220" s="22" t="s">
        <v>684</v>
      </c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 t="inlineStr">
        <is>
          <t>架上</t>
        </is>
      </c>
      <c r="B221" s="22" t="s">
        <v>127</v>
      </c>
      <c r="C221" s="22" t="s">
        <v>620</v>
      </c>
      <c r="D221" s="22" t="s">
        <v>682</v>
      </c>
      <c r="E221" s="22" t="s">
        <v>262</v>
      </c>
      <c r="F221" s="23">
        <v>6</v>
      </c>
      <c r="G221" s="28" t="s">
        <v>75</v>
      </c>
      <c r="H221" s="24">
        <v>60</v>
      </c>
      <c r="I221" s="25"/>
      <c r="J221" s="25"/>
      <c r="K221" s="25"/>
      <c r="L221" s="25"/>
      <c r="M221" s="25"/>
      <c r="N221" s="25"/>
      <c r="O221" s="25" t="s">
        <v>76</v>
      </c>
      <c r="P221" s="25"/>
      <c r="Q221" s="25"/>
      <c r="R221" s="25"/>
      <c r="S221" s="25"/>
      <c r="T221" s="26"/>
      <c xmlns="http://schemas.openxmlformats.org/spreadsheetml/2006/main" r="U221" s="23">
        <f t="shared" si="15"/>
        <v>1.0</v>
      </c>
      <c xmlns="http://schemas.openxmlformats.org/spreadsheetml/2006/main" r="V221" s="22" t="str">
        <f t="shared" si="13"/>
        <v>▲ 單一設備依賴</v>
      </c>
      <c xmlns="http://schemas.openxmlformats.org/spreadsheetml/2006/main" r="W221" s="18" t="str">
        <f t="shared" si="16"/>
        <v>僅依賴1台設備，須確認故障/排修時之備援製程</v>
      </c>
      <c r="X221" s="22" t="s">
        <v>683</v>
      </c>
      <c r="Y221" s="22" t="s">
        <v>684</v>
      </c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 t="inlineStr">
        <is>
          <t>架上</t>
        </is>
      </c>
      <c r="B222" s="22" t="s">
        <v>127</v>
      </c>
      <c r="C222" s="22" t="s">
        <v>620</v>
      </c>
      <c r="D222" s="22" t="s">
        <v>682</v>
      </c>
      <c r="E222" s="22" t="s">
        <v>334</v>
      </c>
      <c r="F222" s="23">
        <v>0.2</v>
      </c>
      <c r="G222" s="28" t="s">
        <v>75</v>
      </c>
      <c r="H222" s="24">
        <v>100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 t="s">
        <v>76</v>
      </c>
      <c xmlns="http://schemas.openxmlformats.org/spreadsheetml/2006/main" r="U222" s="23">
        <f t="shared" si="15"/>
        <v>0.0</v>
      </c>
      <c xmlns="http://schemas.openxmlformats.org/spreadsheetml/2006/main" r="V222" s="22" t="str">
        <f t="shared" si="13"/>
        <v>○ 免調理</v>
      </c>
      <c xmlns="http://schemas.openxmlformats.org/spreadsheetml/2006/main" r="W222" s="18" t="str">
        <f t="shared" si="16"/>
        <v>免調理半成品（外購/僅切配等），不列入設備風險評估</v>
      </c>
      <c r="X222" s="22" t="s">
        <v>683</v>
      </c>
      <c r="Y222" s="22" t="s">
        <v>684</v>
      </c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 t="s">
        <v>747</v>
      </c>
      <c r="B223" s="22" t="s">
        <v>127</v>
      </c>
      <c r="C223" s="22" t="s">
        <v>686</v>
      </c>
      <c r="D223" s="22" t="s">
        <v>687</v>
      </c>
      <c r="E223" s="22" t="s">
        <v>622</v>
      </c>
      <c r="F223" s="23">
        <v>240</v>
      </c>
      <c r="G223" s="28" t="s">
        <v>75</v>
      </c>
      <c r="H223" s="24">
        <v>85</v>
      </c>
      <c r="I223" s="25" t="s">
        <v>76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>
        <f t="shared" si="15"/>
        <v>1.0</v>
      </c>
      <c xmlns="http://schemas.openxmlformats.org/spreadsheetml/2006/main" r="V223" s="22" t="str">
        <f t="shared" si="13"/>
        <v>▲ 單一設備依賴</v>
      </c>
      <c xmlns="http://schemas.openxmlformats.org/spreadsheetml/2006/main" r="W223" s="18" t="str">
        <f>IF($E223="","",IF(AND($T223="V",$U223&gt;0),"「無使用調理設備」不可與設備欄同時勾選，請擇一修正",IF($T223="V","免調理半成品（外購/僅切配等），不列入設備風險評估",IF($U223=0,"未勾選任何設備，請補填或勾選「無使用調理設備」",IF($U223=1,"僅依賴1台設備，須確認故障/排修時之備援製程","無異常")))))</f>
        <v>僅依賴1台設備，須確認故障/排修時之備援製程</v>
      </c>
      <c r="X223" s="22" t="s">
        <v>688</v>
      </c>
      <c r="Y223" s="22" t="s">
        <v>514</v>
      </c>
      <c xmlns="http://schemas.openxmlformats.org/spreadsheetml/2006/main" r="Z223">
        <f>IF($D223="",0,IF(COUNTIF($D$5:$D223,$D223)=1,1,0))</f>
        <v>1.0</v>
      </c>
      <c xmlns="http://schemas.openxmlformats.org/spreadsheetml/2006/main" r="AA223">
        <f>IF(Z223=1,SUM($Z$5:$Z223),"")</f>
        <v>35.0</v>
      </c>
    </row>
    <row r="224" spans="1:27">
      <c r="A224" s="22" t="s">
        <v>747</v>
      </c>
      <c r="B224" s="22" t="s">
        <v>127</v>
      </c>
      <c r="C224" s="22" t="s">
        <v>686</v>
      </c>
      <c r="D224" s="22" t="s">
        <v>687</v>
      </c>
      <c r="E224" s="22" t="s">
        <v>689</v>
      </c>
      <c r="F224" s="23">
        <v>120</v>
      </c>
      <c r="G224" s="28" t="s">
        <v>75</v>
      </c>
      <c r="H224" s="24">
        <v>59</v>
      </c>
      <c r="I224" s="25"/>
      <c r="J224" s="25"/>
      <c r="K224" s="25"/>
      <c r="L224" s="25"/>
      <c r="M224" s="25"/>
      <c r="N224" s="25"/>
      <c r="O224" s="25" t="s">
        <v>76</v>
      </c>
      <c r="P224" s="25"/>
      <c r="Q224" s="25"/>
      <c r="R224" s="25"/>
      <c r="S224" s="25"/>
      <c r="T224" s="26"/>
      <c xmlns="http://schemas.openxmlformats.org/spreadsheetml/2006/main" r="U224" s="23">
        <f t="shared" si="15"/>
        <v>1.0</v>
      </c>
      <c xmlns="http://schemas.openxmlformats.org/spreadsheetml/2006/main" r="V224" s="22" t="str">
        <f t="shared" si="13"/>
        <v>▲ 單一設備依賴</v>
      </c>
      <c xmlns="http://schemas.openxmlformats.org/spreadsheetml/2006/main" r="W224" s="18" t="str">
        <f>IF($E224="","",IF(AND($T224="V",$U224&gt;0),"「無使用調理設備」不可與設備欄同時勾選，請擇一修正",IF($T224="V","免調理半成品（外購/僅切配等），不列入設備風險評估",IF($U224=0,"未勾選任何設備，請補填或勾選「無使用調理設備」",IF($U224=1,"僅依賴1台設備，須確認故障/排修時之備援製程","無異常")))))</f>
        <v>僅依賴1台設備，須確認故障/排修時之備援製程</v>
      </c>
      <c r="X224" s="22" t="s">
        <v>688</v>
      </c>
      <c r="Y224" s="22" t="s">
        <v>514</v>
      </c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 t="s">
        <v>747</v>
      </c>
      <c r="B225" s="22" t="s">
        <v>127</v>
      </c>
      <c r="C225" s="22" t="s">
        <v>686</v>
      </c>
      <c r="D225" s="22" t="s">
        <v>687</v>
      </c>
      <c r="E225" s="22" t="s">
        <v>691</v>
      </c>
      <c r="F225" s="23">
        <v>1</v>
      </c>
      <c r="G225" s="28" t="s">
        <v>77</v>
      </c>
      <c r="H225" s="24">
        <v>59</v>
      </c>
      <c r="I225" s="25"/>
      <c r="J225" s="25"/>
      <c r="K225" s="25" t="s">
        <v>76</v>
      </c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>
        <f t="shared" si="15"/>
        <v>1.0</v>
      </c>
      <c xmlns="http://schemas.openxmlformats.org/spreadsheetml/2006/main" r="V225" s="22" t="str">
        <f t="shared" si="13"/>
        <v>▲ 單一設備依賴</v>
      </c>
      <c xmlns="http://schemas.openxmlformats.org/spreadsheetml/2006/main" r="W225" s="18" t="str">
        <f>IF($E225="","",IF(AND($T225="V",$U225&gt;0),"「無使用調理設備」不可與設備欄同時勾選，請擇一修正",IF($T225="V","免調理半成品（外購/僅切配等），不列入設備風險評估",IF($U225=0,"未勾選任何設備，請補填或勾選「無使用調理設備」",IF($U225=1,"僅依賴1台設備，須確認故障/排修時之備援製程","無異常")))))</f>
        <v>僅依賴1台設備，須確認故障/排修時之備援製程</v>
      </c>
      <c r="X225" s="22" t="s">
        <v>688</v>
      </c>
      <c r="Y225" s="22" t="s">
        <v>514</v>
      </c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 t="s">
        <v>747</v>
      </c>
      <c r="B226" s="22" t="s">
        <v>127</v>
      </c>
      <c r="C226" s="22" t="s">
        <v>686</v>
      </c>
      <c r="D226" s="22" t="s">
        <v>687</v>
      </c>
      <c r="E226" s="22" t="s">
        <v>692</v>
      </c>
      <c r="F226" s="23">
        <v>5</v>
      </c>
      <c r="G226" s="28" t="s">
        <v>77</v>
      </c>
      <c r="H226" s="24">
        <v>500</v>
      </c>
      <c r="I226" s="25"/>
      <c r="J226" s="25"/>
      <c r="K226" s="25" t="s">
        <v>76</v>
      </c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>
        <f t="shared" si="15"/>
        <v>1.0</v>
      </c>
      <c xmlns="http://schemas.openxmlformats.org/spreadsheetml/2006/main" r="V226" s="22" t="str">
        <f t="shared" si="13"/>
        <v>▲ 單一設備依賴</v>
      </c>
      <c xmlns="http://schemas.openxmlformats.org/spreadsheetml/2006/main" r="W226" s="18" t="str">
        <f>IF($E226="","",IF(AND($T226="V",$U226&gt;0),"「無使用調理設備」不可與設備欄同時勾選，請擇一修正",IF($T226="V","免調理半成品（外購/僅切配等），不列入設備風險評估",IF($U226=0,"未勾選任何設備，請補填或勾選「無使用調理設備」",IF($U226=1,"僅依賴1台設備，須確認故障/排修時之備援製程","無異常")))))</f>
        <v>僅依賴1台設備，須確認故障/排修時之備援製程</v>
      </c>
      <c r="X226" s="22" t="s">
        <v>688</v>
      </c>
      <c r="Y226" s="22" t="s">
        <v>514</v>
      </c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 t="s">
        <v>747</v>
      </c>
      <c r="B227" s="22" t="s">
        <v>127</v>
      </c>
      <c r="C227" s="22" t="s">
        <v>686</v>
      </c>
      <c r="D227" s="22" t="s">
        <v>687</v>
      </c>
      <c r="E227" s="22" t="s">
        <v>629</v>
      </c>
      <c r="F227" s="23">
        <v>0.2</v>
      </c>
      <c r="G227" s="28" t="s">
        <v>75</v>
      </c>
      <c r="H227" s="24">
        <v>100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 t="s">
        <v>76</v>
      </c>
      <c xmlns="http://schemas.openxmlformats.org/spreadsheetml/2006/main" r="U227" s="23">
        <f t="shared" si="15"/>
        <v>0.0</v>
      </c>
      <c xmlns="http://schemas.openxmlformats.org/spreadsheetml/2006/main" r="V227" s="22" t="str">
        <f t="shared" si="13"/>
        <v>○ 免調理</v>
      </c>
      <c xmlns="http://schemas.openxmlformats.org/spreadsheetml/2006/main" r="W227" s="18" t="str">
        <f>IF($E227="","",IF(AND($T227="V",$U227&gt;0),"「無使用調理設備」不可與設備欄同時勾選，請擇一修正",IF($T227="V","免調理半成品（外購/僅切配等），不列入設備風險評估",IF($U227=0,"未勾選任何設備，請補填或勾選「無使用調理設備」",IF($U227=1,"僅依賴1台設備，須確認故障/排修時之備援製程","無異常")))))</f>
        <v>免調理半成品（外購/僅切配等），不列入設備風險評估</v>
      </c>
      <c r="X227" s="22" t="s">
        <v>688</v>
      </c>
      <c r="Y227" s="22" t="s">
        <v>514</v>
      </c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 t="s">
        <v>747</v>
      </c>
      <c r="B228" s="22" t="s">
        <v>127</v>
      </c>
      <c r="C228" s="22" t="s">
        <v>686</v>
      </c>
      <c r="D228" s="22" t="s">
        <v>698</v>
      </c>
      <c r="E228" s="22" t="s">
        <v>699</v>
      </c>
      <c r="F228" s="23">
        <v>200</v>
      </c>
      <c r="G228" s="28" t="s">
        <v>75</v>
      </c>
      <c r="H228" s="24">
        <v>63</v>
      </c>
      <c r="I228" s="25" t="s">
        <v>76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>
        <f t="shared" si="15"/>
        <v>1.0</v>
      </c>
      <c xmlns="http://schemas.openxmlformats.org/spreadsheetml/2006/main" r="V228" s="22" t="str">
        <f t="shared" si="13"/>
        <v>▲ 單一設備依賴</v>
      </c>
      <c xmlns="http://schemas.openxmlformats.org/spreadsheetml/2006/main" r="W228" s="18" t="str">
        <f>IF($E228="","",IF(AND($T228="V",$U228&gt;0),"「無使用調理設備」不可與設備欄同時勾選，請擇一修正",IF($T228="V","免調理半成品（外購/僅切配等），不列入設備風險評估",IF($U228=0,"未勾選任何設備，請補填或勾選「無使用調理設備」",IF($U228=1,"僅依賴1台設備，須確認故障/排修時之備援製程","無異常")))))</f>
        <v>僅依賴1台設備，須確認故障/排修時之備援製程</v>
      </c>
      <c r="X228" s="22" t="s">
        <v>700</v>
      </c>
      <c r="Y228" s="22" t="s">
        <v>514</v>
      </c>
      <c xmlns="http://schemas.openxmlformats.org/spreadsheetml/2006/main" r="Z228">
        <f>IF($D228="",0,IF(COUNTIF($D$5:$D228,$D228)=1,1,0))</f>
        <v>1.0</v>
      </c>
      <c xmlns="http://schemas.openxmlformats.org/spreadsheetml/2006/main" r="AA228">
        <f>IF(Z228=1,SUM($Z$5:$Z228),"")</f>
        <v>36.0</v>
      </c>
    </row>
    <row r="229" spans="1:27">
      <c r="A229" s="22" t="s">
        <v>747</v>
      </c>
      <c r="B229" s="22" t="s">
        <v>127</v>
      </c>
      <c r="C229" s="22" t="s">
        <v>686</v>
      </c>
      <c r="D229" s="22" t="s">
        <v>698</v>
      </c>
      <c r="E229" s="22" t="s">
        <v>701</v>
      </c>
      <c r="F229" s="23">
        <v>36</v>
      </c>
      <c r="G229" s="28" t="s">
        <v>75</v>
      </c>
      <c r="H229" s="24">
        <v>50</v>
      </c>
      <c r="I229" s="25"/>
      <c r="J229" s="25"/>
      <c r="K229" s="25"/>
      <c r="L229" s="25"/>
      <c r="M229" s="25"/>
      <c r="N229" s="25"/>
      <c r="O229" s="25" t="s">
        <v>76</v>
      </c>
      <c r="P229" s="25"/>
      <c r="Q229" s="25"/>
      <c r="R229" s="25"/>
      <c r="S229" s="25"/>
      <c r="T229" s="26"/>
      <c xmlns="http://schemas.openxmlformats.org/spreadsheetml/2006/main" r="U229" s="23">
        <f t="shared" si="15"/>
        <v>1.0</v>
      </c>
      <c xmlns="http://schemas.openxmlformats.org/spreadsheetml/2006/main" r="V229" s="22" t="str">
        <f t="shared" si="13"/>
        <v>▲ 單一設備依賴</v>
      </c>
      <c xmlns="http://schemas.openxmlformats.org/spreadsheetml/2006/main" r="W229" s="18" t="str">
        <f>IF($E229="","",IF(AND($T229="V",$U229&gt;0),"「無使用調理設備」不可與設備欄同時勾選，請擇一修正",IF($T229="V","免調理半成品（外購/僅切配等），不列入設備風險評估",IF($U229=0,"未勾選任何設備，請補填或勾選「無使用調理設備」",IF($U229=1,"僅依賴1台設備，須確認故障/排修時之備援製程","無異常")))))</f>
        <v>僅依賴1台設備，須確認故障/排修時之備援製程</v>
      </c>
      <c r="X229" s="22" t="s">
        <v>700</v>
      </c>
      <c r="Y229" s="22" t="s">
        <v>514</v>
      </c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 t="s">
        <v>747</v>
      </c>
      <c r="B230" s="22" t="s">
        <v>127</v>
      </c>
      <c r="C230" s="22" t="s">
        <v>686</v>
      </c>
      <c r="D230" s="22" t="s">
        <v>698</v>
      </c>
      <c r="E230" s="22" t="s">
        <v>702</v>
      </c>
      <c r="F230" s="23">
        <v>32</v>
      </c>
      <c r="G230" s="28" t="s">
        <v>75</v>
      </c>
      <c r="H230" s="24">
        <v>63</v>
      </c>
      <c r="I230" s="25"/>
      <c r="J230" s="25"/>
      <c r="K230" s="25"/>
      <c r="L230" s="25"/>
      <c r="M230" s="25"/>
      <c r="N230" s="25"/>
      <c r="O230" s="25" t="s">
        <v>76</v>
      </c>
      <c r="P230" s="25"/>
      <c r="Q230" s="25"/>
      <c r="R230" s="25"/>
      <c r="S230" s="25"/>
      <c r="T230" s="26"/>
      <c xmlns="http://schemas.openxmlformats.org/spreadsheetml/2006/main" r="U230" s="23">
        <f t="shared" si="15"/>
        <v>1.0</v>
      </c>
      <c xmlns="http://schemas.openxmlformats.org/spreadsheetml/2006/main" r="V230" s="22" t="str">
        <f t="shared" si="13"/>
        <v>▲ 單一設備依賴</v>
      </c>
      <c xmlns="http://schemas.openxmlformats.org/spreadsheetml/2006/main" r="W230" s="18" t="str">
        <f>IF($E230="","",IF(AND($T230="V",$U230&gt;0),"「無使用調理設備」不可與設備欄同時勾選，請擇一修正",IF($T230="V","免調理半成品（外購/僅切配等），不列入設備風險評估",IF($U230=0,"未勾選任何設備，請補填或勾選「無使用調理設備」",IF($U230=1,"僅依賴1台設備，須確認故障/排修時之備援製程","無異常")))))</f>
        <v>僅依賴1台設備，須確認故障/排修時之備援製程</v>
      </c>
      <c r="X230" s="22" t="s">
        <v>700</v>
      </c>
      <c r="Y230" s="22" t="s">
        <v>514</v>
      </c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 t="s">
        <v>747</v>
      </c>
      <c r="B231" s="22" t="s">
        <v>127</v>
      </c>
      <c r="C231" s="22" t="s">
        <v>686</v>
      </c>
      <c r="D231" s="22" t="s">
        <v>698</v>
      </c>
      <c r="E231" s="22" t="s">
        <v>703</v>
      </c>
      <c r="F231" s="23">
        <v>4</v>
      </c>
      <c r="G231" s="28" t="s">
        <v>77</v>
      </c>
      <c r="H231" s="24">
        <v>400</v>
      </c>
      <c r="I231" s="25"/>
      <c r="J231" s="25"/>
      <c r="K231" s="25" t="s">
        <v>76</v>
      </c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>
        <f t="shared" si="15"/>
        <v>1.0</v>
      </c>
      <c xmlns="http://schemas.openxmlformats.org/spreadsheetml/2006/main" r="V231" s="22" t="str">
        <f t="shared" si="13"/>
        <v>▲ 單一設備依賴</v>
      </c>
      <c xmlns="http://schemas.openxmlformats.org/spreadsheetml/2006/main" r="W231" s="18" t="str">
        <f>IF($E231="","",IF(AND($T231="V",$U231&gt;0),"「無使用調理設備」不可與設備欄同時勾選，請擇一修正",IF($T231="V","免調理半成品（外購/僅切配等），不列入設備風險評估",IF($U231=0,"未勾選任何設備，請補填或勾選「無使用調理設備」",IF($U231=1,"僅依賴1台設備，須確認故障/排修時之備援製程","無異常")))))</f>
        <v>僅依賴1台設備，須確認故障/排修時之備援製程</v>
      </c>
      <c r="X231" s="22" t="s">
        <v>700</v>
      </c>
      <c r="Y231" s="22" t="s">
        <v>514</v>
      </c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 t="s">
        <v>747</v>
      </c>
      <c r="B232" s="22" t="s">
        <v>127</v>
      </c>
      <c r="C232" s="22" t="s">
        <v>686</v>
      </c>
      <c r="D232" s="22" t="s">
        <v>698</v>
      </c>
      <c r="E232" s="22" t="s">
        <v>704</v>
      </c>
      <c r="F232" s="23">
        <v>20</v>
      </c>
      <c r="G232" s="28" t="s">
        <v>75</v>
      </c>
      <c r="H232" s="24">
        <v>54.7</v>
      </c>
      <c r="I232" s="25"/>
      <c r="J232" s="25"/>
      <c r="K232" s="25"/>
      <c r="L232" s="25"/>
      <c r="M232" s="25"/>
      <c r="N232" s="25"/>
      <c r="O232" s="25" t="s">
        <v>76</v>
      </c>
      <c r="P232" s="25"/>
      <c r="Q232" s="25"/>
      <c r="R232" s="25"/>
      <c r="S232" s="25"/>
      <c r="T232" s="26"/>
      <c xmlns="http://schemas.openxmlformats.org/spreadsheetml/2006/main" r="U232" s="23">
        <f t="shared" si="15"/>
        <v>1.0</v>
      </c>
      <c xmlns="http://schemas.openxmlformats.org/spreadsheetml/2006/main" r="V232" s="22" t="str">
        <f t="shared" si="13"/>
        <v>▲ 單一設備依賴</v>
      </c>
      <c xmlns="http://schemas.openxmlformats.org/spreadsheetml/2006/main" r="W232" s="18" t="str">
        <f>IF($E232="","",IF(AND($T232="V",$U232&gt;0),"「無使用調理設備」不可與設備欄同時勾選，請擇一修正",IF($T232="V","免調理半成品（外購/僅切配等），不列入設備風險評估",IF($U232=0,"未勾選任何設備，請補填或勾選「無使用調理設備」",IF($U232=1,"僅依賴1台設備，須確認故障/排修時之備援製程","無異常")))))</f>
        <v>僅依賴1台設備，須確認故障/排修時之備援製程</v>
      </c>
      <c r="X232" s="22" t="s">
        <v>700</v>
      </c>
      <c r="Y232" s="22" t="s">
        <v>514</v>
      </c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 t="s">
        <v>747</v>
      </c>
      <c r="B233" s="22" t="s">
        <v>127</v>
      </c>
      <c r="C233" s="22" t="s">
        <v>686</v>
      </c>
      <c r="D233" s="22" t="s">
        <v>698</v>
      </c>
      <c r="E233" s="22" t="s">
        <v>705</v>
      </c>
      <c r="F233" s="23">
        <v>10</v>
      </c>
      <c r="G233" s="28" t="s">
        <v>75</v>
      </c>
      <c r="H233" s="24">
        <v>61</v>
      </c>
      <c r="I233" s="25"/>
      <c r="J233" s="25"/>
      <c r="K233" s="25"/>
      <c r="L233" s="25"/>
      <c r="M233" s="25"/>
      <c r="N233" s="25"/>
      <c r="O233" s="25" t="s">
        <v>76</v>
      </c>
      <c r="P233" s="25"/>
      <c r="Q233" s="25"/>
      <c r="R233" s="25"/>
      <c r="S233" s="25"/>
      <c r="T233" s="26"/>
      <c xmlns="http://schemas.openxmlformats.org/spreadsheetml/2006/main" r="U233" s="23">
        <f t="shared" si="15"/>
        <v>1.0</v>
      </c>
      <c xmlns="http://schemas.openxmlformats.org/spreadsheetml/2006/main" r="V233" s="22" t="str">
        <f t="shared" si="13"/>
        <v>▲ 單一設備依賴</v>
      </c>
      <c xmlns="http://schemas.openxmlformats.org/spreadsheetml/2006/main" r="W233" s="18" t="str">
        <f>IF($E233="","",IF(AND($T233="V",$U233&gt;0),"「無使用調理設備」不可與設備欄同時勾選，請擇一修正",IF($T233="V","免調理半成品（外購/僅切配等），不列入設備風險評估",IF($U233=0,"未勾選任何設備，請補填或勾選「無使用調理設備」",IF($U233=1,"僅依賴1台設備，須確認故障/排修時之備援製程","無異常")))))</f>
        <v>僅依賴1台設備，須確認故障/排修時之備援製程</v>
      </c>
      <c r="X233" s="22" t="s">
        <v>700</v>
      </c>
      <c r="Y233" s="22" t="s">
        <v>514</v>
      </c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 t="s">
        <v>747</v>
      </c>
      <c r="B234" s="22" t="s">
        <v>127</v>
      </c>
      <c r="C234" s="22" t="s">
        <v>686</v>
      </c>
      <c r="D234" s="22" t="s">
        <v>698</v>
      </c>
      <c r="E234" s="22" t="s">
        <v>706</v>
      </c>
      <c r="F234" s="23">
        <v>1</v>
      </c>
      <c r="G234" s="28" t="s">
        <v>75</v>
      </c>
      <c r="H234" s="24">
        <v>63</v>
      </c>
      <c r="I234" s="25"/>
      <c r="J234" s="25"/>
      <c r="K234" s="25"/>
      <c r="L234" s="25"/>
      <c r="M234" s="25"/>
      <c r="N234" s="25"/>
      <c r="O234" s="25" t="s">
        <v>76</v>
      </c>
      <c r="P234" s="25"/>
      <c r="Q234" s="25"/>
      <c r="R234" s="25"/>
      <c r="S234" s="25"/>
      <c r="T234" s="26"/>
      <c xmlns="http://schemas.openxmlformats.org/spreadsheetml/2006/main" r="U234" s="23">
        <f t="shared" si="15"/>
        <v>1.0</v>
      </c>
      <c xmlns="http://schemas.openxmlformats.org/spreadsheetml/2006/main" r="V234" s="22" t="str">
        <f t="shared" si="13"/>
        <v>▲ 單一設備依賴</v>
      </c>
      <c xmlns="http://schemas.openxmlformats.org/spreadsheetml/2006/main" r="W234" s="18" t="str">
        <f>IF($E234="","",IF(AND($T234="V",$U234&gt;0),"「無使用調理設備」不可與設備欄同時勾選，請擇一修正",IF($T234="V","免調理半成品（外購/僅切配等），不列入設備風險評估",IF($U234=0,"未勾選任何設備，請補填或勾選「無使用調理設備」",IF($U234=1,"僅依賴1台設備，須確認故障/排修時之備援製程","無異常")))))</f>
        <v>僅依賴1台設備，須確認故障/排修時之備援製程</v>
      </c>
      <c r="X234" s="22" t="s">
        <v>700</v>
      </c>
      <c r="Y234" s="22" t="s">
        <v>514</v>
      </c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 t="s">
        <v>747</v>
      </c>
      <c r="B235" s="22" t="s">
        <v>127</v>
      </c>
      <c r="C235" s="22" t="s">
        <v>686</v>
      </c>
      <c r="D235" s="22" t="s">
        <v>707</v>
      </c>
      <c r="E235" s="22" t="s">
        <v>699</v>
      </c>
      <c r="F235" s="23">
        <v>200</v>
      </c>
      <c r="G235" s="28" t="s">
        <v>75</v>
      </c>
      <c r="H235" s="24">
        <v>63</v>
      </c>
      <c r="I235" s="25" t="s">
        <v>76</v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>
        <f t="shared" si="15"/>
        <v>1.0</v>
      </c>
      <c xmlns="http://schemas.openxmlformats.org/spreadsheetml/2006/main" r="V235" s="22" t="str">
        <f t="shared" si="13"/>
        <v>▲ 單一設備依賴</v>
      </c>
      <c xmlns="http://schemas.openxmlformats.org/spreadsheetml/2006/main" r="W235" s="18" t="str">
        <f>IF($E235="","",IF(AND($T235="V",$U235&gt;0),"「無使用調理設備」不可與設備欄同時勾選，請擇一修正",IF($T235="V","免調理半成品（外購/僅切配等），不列入設備風險評估",IF($U235=0,"未勾選任何設備，請補填或勾選「無使用調理設備」",IF($U235=1,"僅依賴1台設備，須確認故障/排修時之備援製程","無異常")))))</f>
        <v>僅依賴1台設備，須確認故障/排修時之備援製程</v>
      </c>
      <c r="X235" s="22" t="s">
        <v>708</v>
      </c>
      <c r="Y235" s="22" t="s">
        <v>514</v>
      </c>
      <c xmlns="http://schemas.openxmlformats.org/spreadsheetml/2006/main" r="Z235">
        <f>IF($D235="",0,IF(COUNTIF($D$5:$D235,$D235)=1,1,0))</f>
        <v>1.0</v>
      </c>
      <c xmlns="http://schemas.openxmlformats.org/spreadsheetml/2006/main" r="AA235">
        <f>IF(Z235=1,SUM($Z$5:$Z235),"")</f>
        <v>37.0</v>
      </c>
    </row>
    <row r="236" spans="1:27">
      <c r="A236" s="22" t="s">
        <v>747</v>
      </c>
      <c r="B236" s="22" t="s">
        <v>127</v>
      </c>
      <c r="C236" s="22" t="s">
        <v>686</v>
      </c>
      <c r="D236" s="22" t="s">
        <v>707</v>
      </c>
      <c r="E236" s="22" t="s">
        <v>709</v>
      </c>
      <c r="F236" s="23">
        <v>35</v>
      </c>
      <c r="G236" s="28" t="s">
        <v>75</v>
      </c>
      <c r="H236" s="24">
        <v>56</v>
      </c>
      <c r="I236" s="25"/>
      <c r="J236" s="25"/>
      <c r="K236" s="25"/>
      <c r="L236" s="25"/>
      <c r="M236" s="25"/>
      <c r="N236" s="25"/>
      <c r="O236" s="25" t="s">
        <v>76</v>
      </c>
      <c r="P236" s="25"/>
      <c r="Q236" s="25"/>
      <c r="R236" s="25"/>
      <c r="S236" s="25"/>
      <c r="T236" s="26"/>
      <c xmlns="http://schemas.openxmlformats.org/spreadsheetml/2006/main" r="U236" s="23">
        <f t="shared" si="15"/>
        <v>1.0</v>
      </c>
      <c xmlns="http://schemas.openxmlformats.org/spreadsheetml/2006/main" r="V236" s="22" t="str">
        <f t="shared" si="13"/>
        <v>▲ 單一設備依賴</v>
      </c>
      <c xmlns="http://schemas.openxmlformats.org/spreadsheetml/2006/main" r="W236" s="18" t="str">
        <f>IF($E236="","",IF(AND($T236="V",$U236&gt;0),"「無使用調理設備」不可與設備欄同時勾選，請擇一修正",IF($T236="V","免調理半成品（外購/僅切配等），不列入設備風險評估",IF($U236=0,"未勾選任何設備，請補填或勾選「無使用調理設備」",IF($U236=1,"僅依賴1台設備，須確認故障/排修時之備援製程","無異常")))))</f>
        <v>僅依賴1台設備，須確認故障/排修時之備援製程</v>
      </c>
      <c r="X236" s="22" t="s">
        <v>708</v>
      </c>
      <c r="Y236" s="22" t="s">
        <v>514</v>
      </c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 t="s">
        <v>747</v>
      </c>
      <c r="B237" s="22" t="s">
        <v>127</v>
      </c>
      <c r="C237" s="22" t="s">
        <v>686</v>
      </c>
      <c r="D237" s="22" t="s">
        <v>707</v>
      </c>
      <c r="E237" s="22" t="s">
        <v>710</v>
      </c>
      <c r="F237" s="23">
        <v>50</v>
      </c>
      <c r="G237" s="28" t="s">
        <v>75</v>
      </c>
      <c r="H237" s="24">
        <v>45</v>
      </c>
      <c r="I237" s="25"/>
      <c r="J237" s="25"/>
      <c r="K237" s="25"/>
      <c r="L237" s="25"/>
      <c r="M237" s="25"/>
      <c r="N237" s="25"/>
      <c r="O237" s="25" t="s">
        <v>76</v>
      </c>
      <c r="P237" s="25"/>
      <c r="Q237" s="25"/>
      <c r="R237" s="25"/>
      <c r="S237" s="25"/>
      <c r="T237" s="26"/>
      <c xmlns="http://schemas.openxmlformats.org/spreadsheetml/2006/main" r="U237" s="23">
        <f t="shared" si="15"/>
        <v>1.0</v>
      </c>
      <c xmlns="http://schemas.openxmlformats.org/spreadsheetml/2006/main" r="V237" s="22" t="str">
        <f t="shared" si="13"/>
        <v>▲ 單一設備依賴</v>
      </c>
      <c xmlns="http://schemas.openxmlformats.org/spreadsheetml/2006/main" r="W237" s="18" t="str">
        <f>IF($E237="","",IF(AND($T237="V",$U237&gt;0),"「無使用調理設備」不可與設備欄同時勾選，請擇一修正",IF($T237="V","免調理半成品（外購/僅切配等），不列入設備風險評估",IF($U237=0,"未勾選任何設備，請補填或勾選「無使用調理設備」",IF($U237=1,"僅依賴1台設備，須確認故障/排修時之備援製程","無異常")))))</f>
        <v>僅依賴1台設備，須確認故障/排修時之備援製程</v>
      </c>
      <c r="X237" s="22" t="s">
        <v>708</v>
      </c>
      <c r="Y237" s="22" t="s">
        <v>514</v>
      </c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 t="s">
        <v>747</v>
      </c>
      <c r="B238" s="22" t="s">
        <v>127</v>
      </c>
      <c r="C238" s="22" t="s">
        <v>686</v>
      </c>
      <c r="D238" s="22" t="s">
        <v>707</v>
      </c>
      <c r="E238" s="22" t="s">
        <v>711</v>
      </c>
      <c r="F238" s="23">
        <v>35</v>
      </c>
      <c r="G238" s="28" t="s">
        <v>75</v>
      </c>
      <c r="H238" s="24">
        <v>51</v>
      </c>
      <c r="I238" s="25"/>
      <c r="J238" s="25"/>
      <c r="K238" s="25"/>
      <c r="L238" s="25"/>
      <c r="M238" s="25"/>
      <c r="N238" s="25"/>
      <c r="O238" s="25" t="s">
        <v>76</v>
      </c>
      <c r="P238" s="25"/>
      <c r="Q238" s="25"/>
      <c r="R238" s="25"/>
      <c r="S238" s="25"/>
      <c r="T238" s="26"/>
      <c xmlns="http://schemas.openxmlformats.org/spreadsheetml/2006/main" r="U238" s="23">
        <f t="shared" si="15"/>
        <v>1.0</v>
      </c>
      <c xmlns="http://schemas.openxmlformats.org/spreadsheetml/2006/main" r="V238" s="22" t="str">
        <f t="shared" si="13"/>
        <v>▲ 單一設備依賴</v>
      </c>
      <c xmlns="http://schemas.openxmlformats.org/spreadsheetml/2006/main" r="W238" s="18" t="str">
        <f>IF($E238="","",IF(AND($T238="V",$U238&gt;0),"「無使用調理設備」不可與設備欄同時勾選，請擇一修正",IF($T238="V","免調理半成品（外購/僅切配等），不列入設備風險評估",IF($U238=0,"未勾選任何設備，請補填或勾選「無使用調理設備」",IF($U238=1,"僅依賴1台設備，須確認故障/排修時之備援製程","無異常")))))</f>
        <v>僅依賴1台設備，須確認故障/排修時之備援製程</v>
      </c>
      <c r="X238" s="22" t="s">
        <v>708</v>
      </c>
      <c r="Y238" s="22" t="s">
        <v>514</v>
      </c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 t="s">
        <v>747</v>
      </c>
      <c r="B239" s="22" t="s">
        <v>127</v>
      </c>
      <c r="C239" s="22" t="s">
        <v>686</v>
      </c>
      <c r="D239" s="22" t="s">
        <v>717</v>
      </c>
      <c r="E239" s="22" t="s">
        <v>712</v>
      </c>
      <c r="F239" s="23">
        <v>110</v>
      </c>
      <c r="G239" s="28" t="s">
        <v>75</v>
      </c>
      <c r="H239" s="24">
        <v>78</v>
      </c>
      <c r="I239" s="25" t="s">
        <v>76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>
        <f t="shared" si="15"/>
        <v>1.0</v>
      </c>
      <c xmlns="http://schemas.openxmlformats.org/spreadsheetml/2006/main" r="V239" s="22" t="str">
        <f t="shared" si="13"/>
        <v>▲ 單一設備依賴</v>
      </c>
      <c xmlns="http://schemas.openxmlformats.org/spreadsheetml/2006/main" r="W239" s="18" t="str">
        <f t="shared" si="16"/>
        <v>僅依賴1台設備，須確認故障/排修時之備援製程</v>
      </c>
      <c r="X239" s="22" t="s">
        <v>718</v>
      </c>
      <c r="Y239" s="22" t="s">
        <v>514</v>
      </c>
      <c xmlns="http://schemas.openxmlformats.org/spreadsheetml/2006/main" r="Z239">
        <f>IF($D239="",0,IF(COUNTIF($D$5:$D239,$D239)=1,1,0))</f>
        <v>1.0</v>
      </c>
      <c xmlns="http://schemas.openxmlformats.org/spreadsheetml/2006/main" r="AA239">
        <f>IF(Z239=1,SUM($Z$5:$Z239),"")</f>
        <v>38.0</v>
      </c>
    </row>
    <row r="240" spans="1:27">
      <c r="A240" s="22" t="s">
        <v>747</v>
      </c>
      <c r="B240" s="22" t="s">
        <v>127</v>
      </c>
      <c r="C240" s="22" t="s">
        <v>686</v>
      </c>
      <c r="D240" s="22" t="s">
        <v>717</v>
      </c>
      <c r="E240" s="22" t="s">
        <v>713</v>
      </c>
      <c r="F240" s="23">
        <v>100</v>
      </c>
      <c r="G240" s="28" t="s">
        <v>75</v>
      </c>
      <c r="H240" s="24">
        <v>53</v>
      </c>
      <c r="I240" s="25"/>
      <c r="J240" s="25"/>
      <c r="K240" s="25"/>
      <c r="L240" s="25"/>
      <c r="M240" s="25"/>
      <c r="N240" s="25"/>
      <c r="O240" s="25" t="s">
        <v>76</v>
      </c>
      <c r="P240" s="25"/>
      <c r="Q240" s="25"/>
      <c r="R240" s="25"/>
      <c r="S240" s="25"/>
      <c r="T240" s="26"/>
      <c xmlns="http://schemas.openxmlformats.org/spreadsheetml/2006/main" r="U240" s="23">
        <f t="shared" si="15"/>
        <v>1.0</v>
      </c>
      <c xmlns="http://schemas.openxmlformats.org/spreadsheetml/2006/main" r="V240" s="22" t="str">
        <f t="shared" si="13"/>
        <v>▲ 單一設備依賴</v>
      </c>
      <c xmlns="http://schemas.openxmlformats.org/spreadsheetml/2006/main" r="W240" s="18" t="str">
        <f t="shared" si="16"/>
        <v>僅依賴1台設備，須確認故障/排修時之備援製程</v>
      </c>
      <c r="X240" s="22" t="s">
        <v>718</v>
      </c>
      <c r="Y240" s="22" t="s">
        <v>514</v>
      </c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 t="s">
        <v>747</v>
      </c>
      <c r="B241" s="22" t="s">
        <v>127</v>
      </c>
      <c r="C241" s="22" t="s">
        <v>686</v>
      </c>
      <c r="D241" s="22" t="s">
        <v>717</v>
      </c>
      <c r="E241" s="22" t="s">
        <v>470</v>
      </c>
      <c r="F241" s="23">
        <v>40</v>
      </c>
      <c r="G241" s="28" t="s">
        <v>75</v>
      </c>
      <c r="H241" s="24">
        <v>62</v>
      </c>
      <c r="I241" s="25"/>
      <c r="J241" s="25"/>
      <c r="K241" s="25"/>
      <c r="L241" s="25"/>
      <c r="M241" s="25"/>
      <c r="N241" s="25"/>
      <c r="O241" s="25" t="s">
        <v>76</v>
      </c>
      <c r="P241" s="25"/>
      <c r="Q241" s="25"/>
      <c r="R241" s="25"/>
      <c r="S241" s="25"/>
      <c r="T241" s="26"/>
      <c xmlns="http://schemas.openxmlformats.org/spreadsheetml/2006/main" r="U241" s="23">
        <f t="shared" si="15"/>
        <v>1.0</v>
      </c>
      <c xmlns="http://schemas.openxmlformats.org/spreadsheetml/2006/main" r="V241" s="22" t="str">
        <f t="shared" si="13"/>
        <v>▲ 單一設備依賴</v>
      </c>
      <c xmlns="http://schemas.openxmlformats.org/spreadsheetml/2006/main" r="W241" s="18" t="str">
        <f t="shared" si="16"/>
        <v>僅依賴1台設備，須確認故障/排修時之備援製程</v>
      </c>
      <c r="X241" s="22" t="s">
        <v>718</v>
      </c>
      <c r="Y241" s="22" t="s">
        <v>514</v>
      </c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 t="s">
        <v>747</v>
      </c>
      <c r="B242" s="22" t="s">
        <v>127</v>
      </c>
      <c r="C242" s="22" t="s">
        <v>686</v>
      </c>
      <c r="D242" s="22" t="s">
        <v>717</v>
      </c>
      <c r="E242" s="22" t="s">
        <v>714</v>
      </c>
      <c r="F242" s="23">
        <v>2</v>
      </c>
      <c r="G242" s="28" t="s">
        <v>77</v>
      </c>
      <c r="H242" s="24">
        <v>1600</v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 t="s">
        <v>76</v>
      </c>
      <c xmlns="http://schemas.openxmlformats.org/spreadsheetml/2006/main" r="U242" s="23">
        <f t="shared" si="15"/>
        <v>0.0</v>
      </c>
      <c xmlns="http://schemas.openxmlformats.org/spreadsheetml/2006/main" r="V242" s="22" t="str">
        <f t="shared" si="13"/>
        <v>○ 免調理</v>
      </c>
      <c xmlns="http://schemas.openxmlformats.org/spreadsheetml/2006/main" r="W242" s="18" t="str">
        <f t="shared" si="16"/>
        <v>免調理半成品（外購/僅切配等），不列入設備風險評估</v>
      </c>
      <c r="X242" s="22" t="s">
        <v>718</v>
      </c>
      <c r="Y242" s="22" t="s">
        <v>514</v>
      </c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 t="s">
        <v>747</v>
      </c>
      <c r="B243" s="22" t="s">
        <v>127</v>
      </c>
      <c r="C243" s="22" t="s">
        <v>686</v>
      </c>
      <c r="D243" s="22" t="s">
        <v>717</v>
      </c>
      <c r="E243" s="22" t="s">
        <v>715</v>
      </c>
      <c r="F243" s="23">
        <v>45</v>
      </c>
      <c r="G243" s="28" t="s">
        <v>75</v>
      </c>
      <c r="H243" s="24">
        <v>71</v>
      </c>
      <c r="I243" s="25"/>
      <c r="J243" s="25"/>
      <c r="K243" s="25" t="s">
        <v>76</v>
      </c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>
        <f t="shared" si="15"/>
        <v>1.0</v>
      </c>
      <c xmlns="http://schemas.openxmlformats.org/spreadsheetml/2006/main" r="V243" s="22" t="str">
        <f t="shared" si="13"/>
        <v>▲ 單一設備依賴</v>
      </c>
      <c xmlns="http://schemas.openxmlformats.org/spreadsheetml/2006/main" r="W243" s="18" t="str">
        <f t="shared" si="16"/>
        <v>僅依賴1台設備，須確認故障/排修時之備援製程</v>
      </c>
      <c r="X243" s="22" t="s">
        <v>718</v>
      </c>
      <c r="Y243" s="22" t="s">
        <v>514</v>
      </c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 t="s">
        <v>747</v>
      </c>
      <c r="B244" s="22" t="s">
        <v>127</v>
      </c>
      <c r="C244" s="22" t="s">
        <v>686</v>
      </c>
      <c r="D244" s="22" t="s">
        <v>717</v>
      </c>
      <c r="E244" s="22" t="s">
        <v>716</v>
      </c>
      <c r="F244" s="23">
        <v>1</v>
      </c>
      <c r="G244" s="28" t="s">
        <v>77</v>
      </c>
      <c r="H244" s="24">
        <v>100</v>
      </c>
      <c r="I244" s="25"/>
      <c r="J244" s="25"/>
      <c r="K244" s="25" t="s">
        <v>76</v>
      </c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>
        <f t="shared" si="15"/>
        <v>1.0</v>
      </c>
      <c xmlns="http://schemas.openxmlformats.org/spreadsheetml/2006/main" r="V244" s="22" t="str">
        <f t="shared" si="13"/>
        <v>▲ 單一設備依賴</v>
      </c>
      <c xmlns="http://schemas.openxmlformats.org/spreadsheetml/2006/main" r="W244" s="18" t="str">
        <f t="shared" si="16"/>
        <v>僅依賴1台設備，須確認故障/排修時之備援製程</v>
      </c>
      <c r="X244" s="22" t="s">
        <v>718</v>
      </c>
      <c r="Y244" s="22" t="s">
        <v>514</v>
      </c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 t="s">
        <v>747</v>
      </c>
      <c r="B245" s="22" t="s">
        <v>127</v>
      </c>
      <c r="C245" s="22" t="s">
        <v>686</v>
      </c>
      <c r="D245" s="22" t="s">
        <v>719</v>
      </c>
      <c r="E245" s="22" t="s">
        <v>213</v>
      </c>
      <c r="F245" s="23">
        <v>210</v>
      </c>
      <c r="G245" s="28" t="s">
        <v>75</v>
      </c>
      <c r="H245" s="24">
        <v>82</v>
      </c>
      <c r="I245" s="25" t="s">
        <v>76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>
        <f t="shared" si="15"/>
        <v>1.0</v>
      </c>
      <c xmlns="http://schemas.openxmlformats.org/spreadsheetml/2006/main" r="V245" s="22" t="str">
        <f t="shared" si="13"/>
        <v>▲ 單一設備依賴</v>
      </c>
      <c xmlns="http://schemas.openxmlformats.org/spreadsheetml/2006/main" r="W245" s="18" t="str">
        <f>IF($E245="","",IF(AND($T245="V",$U245&gt;0),"「無使用調理設備」不可與設備欄同時勾選，請擇一修正",IF($T245="V","免調理半成品（外購/僅切配等），不列入設備風險評估",IF($U245=0,"未勾選任何設備，請補填或勾選「無使用調理設備」",IF($U245=1,"僅依賴1台設備，須確認故障/排修時之備援製程","無異常")))))</f>
        <v>僅依賴1台設備，須確認故障/排修時之備援製程</v>
      </c>
      <c r="X245" s="22" t="s">
        <v>720</v>
      </c>
      <c r="Y245" s="22" t="s">
        <v>514</v>
      </c>
      <c xmlns="http://schemas.openxmlformats.org/spreadsheetml/2006/main" r="Z245">
        <f>IF($D245="",0,IF(COUNTIF($D$5:$D245,$D245)=1,1,0))</f>
        <v>1.0</v>
      </c>
      <c xmlns="http://schemas.openxmlformats.org/spreadsheetml/2006/main" r="AA245">
        <f>IF(Z245=1,SUM($Z$5:$Z245),"")</f>
        <v>39.0</v>
      </c>
    </row>
    <row r="246" spans="1:27">
      <c r="A246" s="22" t="s">
        <v>747</v>
      </c>
      <c r="B246" s="22" t="s">
        <v>127</v>
      </c>
      <c r="C246" s="22" t="s">
        <v>686</v>
      </c>
      <c r="D246" s="22" t="s">
        <v>719</v>
      </c>
      <c r="E246" s="22" t="s">
        <v>721</v>
      </c>
      <c r="F246" s="23">
        <v>70</v>
      </c>
      <c r="G246" s="28" t="s">
        <v>75</v>
      </c>
      <c r="H246" s="24">
        <v>53</v>
      </c>
      <c r="I246" s="25"/>
      <c r="J246" s="25"/>
      <c r="K246" s="25"/>
      <c r="L246" s="25"/>
      <c r="M246" s="25"/>
      <c r="N246" s="25"/>
      <c r="O246" s="25" t="s">
        <v>76</v>
      </c>
      <c r="P246" s="25"/>
      <c r="Q246" s="25"/>
      <c r="R246" s="25"/>
      <c r="S246" s="25"/>
      <c r="T246" s="26"/>
      <c xmlns="http://schemas.openxmlformats.org/spreadsheetml/2006/main" r="U246" s="23">
        <f t="shared" si="15"/>
        <v>1.0</v>
      </c>
      <c xmlns="http://schemas.openxmlformats.org/spreadsheetml/2006/main" r="V246" s="22" t="str">
        <f t="shared" si="13"/>
        <v>▲ 單一設備依賴</v>
      </c>
      <c xmlns="http://schemas.openxmlformats.org/spreadsheetml/2006/main" r="W246" s="18" t="str">
        <f>IF($E246="","",IF(AND($T246="V",$U246&gt;0),"「無使用調理設備」不可與設備欄同時勾選，請擇一修正",IF($T246="V","免調理半成品（外購/僅切配等），不列入設備風險評估",IF($U246=0,"未勾選任何設備，請補填或勾選「無使用調理設備」",IF($U246=1,"僅依賴1台設備，須確認故障/排修時之備援製程","無異常")))))</f>
        <v>僅依賴1台設備，須確認故障/排修時之備援製程</v>
      </c>
      <c r="X246" s="22" t="s">
        <v>720</v>
      </c>
      <c r="Y246" s="22" t="s">
        <v>514</v>
      </c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 t="s">
        <v>747</v>
      </c>
      <c r="B247" s="22" t="s">
        <v>127</v>
      </c>
      <c r="C247" s="22" t="s">
        <v>686</v>
      </c>
      <c r="D247" s="22" t="s">
        <v>719</v>
      </c>
      <c r="E247" s="22" t="s">
        <v>471</v>
      </c>
      <c r="F247" s="23">
        <v>2</v>
      </c>
      <c r="G247" s="28" t="s">
        <v>77</v>
      </c>
      <c r="H247" s="24">
        <v>95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 t="s">
        <v>76</v>
      </c>
      <c xmlns="http://schemas.openxmlformats.org/spreadsheetml/2006/main" r="U247" s="23">
        <f t="shared" si="15"/>
        <v>0.0</v>
      </c>
      <c xmlns="http://schemas.openxmlformats.org/spreadsheetml/2006/main" r="V247" s="22" t="str">
        <f t="shared" si="13"/>
        <v>○ 免調理</v>
      </c>
      <c xmlns="http://schemas.openxmlformats.org/spreadsheetml/2006/main" r="W247" s="18" t="str">
        <f>IF($E247="","",IF(AND($T247="V",$U247&gt;0),"「無使用調理設備」不可與設備欄同時勾選，請擇一修正",IF($T247="V","免調理半成品（外購/僅切配等），不列入設備風險評估",IF($U247=0,"未勾選任何設備，請補填或勾選「無使用調理設備」",IF($U247=1,"僅依賴1台設備，須確認故障/排修時之備援製程","無異常")))))</f>
        <v>免調理半成品（外購/僅切配等），不列入設備風險評估</v>
      </c>
      <c r="X247" s="22" t="s">
        <v>720</v>
      </c>
      <c r="Y247" s="22" t="s">
        <v>514</v>
      </c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 t="s">
        <v>747</v>
      </c>
      <c r="B248" s="22" t="s">
        <v>127</v>
      </c>
      <c r="C248" s="22" t="s">
        <v>686</v>
      </c>
      <c r="D248" s="22" t="s">
        <v>719</v>
      </c>
      <c r="E248" s="22" t="s">
        <v>470</v>
      </c>
      <c r="F248" s="23">
        <v>40</v>
      </c>
      <c r="G248" s="28" t="s">
        <v>75</v>
      </c>
      <c r="H248" s="24">
        <v>62</v>
      </c>
      <c r="I248" s="25"/>
      <c r="J248" s="25"/>
      <c r="K248" s="25"/>
      <c r="L248" s="25"/>
      <c r="M248" s="25"/>
      <c r="N248" s="25"/>
      <c r="O248" s="25" t="s">
        <v>76</v>
      </c>
      <c r="P248" s="25"/>
      <c r="Q248" s="25"/>
      <c r="R248" s="25"/>
      <c r="S248" s="25"/>
      <c r="T248" s="26"/>
      <c xmlns="http://schemas.openxmlformats.org/spreadsheetml/2006/main" r="U248" s="23">
        <f t="shared" si="15"/>
        <v>1.0</v>
      </c>
      <c xmlns="http://schemas.openxmlformats.org/spreadsheetml/2006/main" r="V248" s="22" t="str">
        <f t="shared" si="13"/>
        <v>▲ 單一設備依賴</v>
      </c>
      <c xmlns="http://schemas.openxmlformats.org/spreadsheetml/2006/main" r="W248" s="18" t="str">
        <f>IF($E248="","",IF(AND($T248="V",$U248&gt;0),"「無使用調理設備」不可與設備欄同時勾選，請擇一修正",IF($T248="V","免調理半成品（外購/僅切配等），不列入設備風險評估",IF($U248=0,"未勾選任何設備，請補填或勾選「無使用調理設備」",IF($U248=1,"僅依賴1台設備，須確認故障/排修時之備援製程","無異常")))))</f>
        <v>僅依賴1台設備，須確認故障/排修時之備援製程</v>
      </c>
      <c r="X248" s="22" t="s">
        <v>720</v>
      </c>
      <c r="Y248" s="22" t="s">
        <v>514</v>
      </c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 t="s">
        <v>747</v>
      </c>
      <c r="B249" s="22" t="s">
        <v>127</v>
      </c>
      <c r="C249" s="22" t="s">
        <v>686</v>
      </c>
      <c r="D249" s="22" t="s">
        <v>719</v>
      </c>
      <c r="E249" s="22" t="s">
        <v>722</v>
      </c>
      <c r="F249" s="23">
        <v>6</v>
      </c>
      <c r="G249" s="28" t="s">
        <v>77</v>
      </c>
      <c r="H249" s="24">
        <v>400</v>
      </c>
      <c r="I249" s="25"/>
      <c r="J249" s="25"/>
      <c r="K249" s="25" t="s">
        <v>76</v>
      </c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>
        <f t="shared" si="15"/>
        <v>1.0</v>
      </c>
      <c xmlns="http://schemas.openxmlformats.org/spreadsheetml/2006/main" r="V249" s="22" t="str">
        <f t="shared" si="13"/>
        <v>▲ 單一設備依賴</v>
      </c>
      <c xmlns="http://schemas.openxmlformats.org/spreadsheetml/2006/main" r="W249" s="18" t="str">
        <f>IF($E249="","",IF(AND($T249="V",$U249&gt;0),"「無使用調理設備」不可與設備欄同時勾選，請擇一修正",IF($T249="V","免調理半成品（外購/僅切配等），不列入設備風險評估",IF($U249=0,"未勾選任何設備，請補填或勾選「無使用調理設備」",IF($U249=1,"僅依賴1台設備，須確認故障/排修時之備援製程","無異常")))))</f>
        <v>僅依賴1台設備，須確認故障/排修時之備援製程</v>
      </c>
      <c r="X249" s="22" t="s">
        <v>720</v>
      </c>
      <c r="Y249" s="22" t="s">
        <v>514</v>
      </c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 t="s">
        <v>747</v>
      </c>
      <c r="B250" s="22" t="s">
        <v>127</v>
      </c>
      <c r="C250" s="22" t="s">
        <v>686</v>
      </c>
      <c r="D250" s="22" t="s">
        <v>719</v>
      </c>
      <c r="E250" s="22" t="s">
        <v>723</v>
      </c>
      <c r="F250" s="23">
        <v>20</v>
      </c>
      <c r="G250" s="28" t="s">
        <v>75</v>
      </c>
      <c r="H250" s="24">
        <v>53</v>
      </c>
      <c r="I250" s="25"/>
      <c r="J250" s="25"/>
      <c r="K250" s="25"/>
      <c r="L250" s="25"/>
      <c r="M250" s="25"/>
      <c r="N250" s="25"/>
      <c r="O250" s="25" t="s">
        <v>76</v>
      </c>
      <c r="P250" s="25"/>
      <c r="Q250" s="25"/>
      <c r="R250" s="25"/>
      <c r="S250" s="25"/>
      <c r="T250" s="26"/>
      <c xmlns="http://schemas.openxmlformats.org/spreadsheetml/2006/main" r="U250" s="23">
        <f t="shared" si="15"/>
        <v>1.0</v>
      </c>
      <c xmlns="http://schemas.openxmlformats.org/spreadsheetml/2006/main" r="V250" s="22" t="str">
        <f t="shared" si="13"/>
        <v>▲ 單一設備依賴</v>
      </c>
      <c xmlns="http://schemas.openxmlformats.org/spreadsheetml/2006/main" r="W250" s="18" t="str">
        <f>IF($E250="","",IF(AND($T250="V",$U250&gt;0),"「無使用調理設備」不可與設備欄同時勾選，請擇一修正",IF($T250="V","免調理半成品（外購/僅切配等），不列入設備風險評估",IF($U250=0,"未勾選任何設備，請補填或勾選「無使用調理設備」",IF($U250=1,"僅依賴1台設備，須確認故障/排修時之備援製程","無異常")))))</f>
        <v>僅依賴1台設備，須確認故障/排修時之備援製程</v>
      </c>
      <c r="X250" s="22" t="s">
        <v>720</v>
      </c>
      <c r="Y250" s="22" t="s">
        <v>514</v>
      </c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 t="s">
        <v>747</v>
      </c>
      <c r="B251" s="22" t="s">
        <v>127</v>
      </c>
      <c r="C251" s="22" t="s">
        <v>686</v>
      </c>
      <c r="D251" s="22" t="s">
        <v>719</v>
      </c>
      <c r="E251" s="22" t="s">
        <v>477</v>
      </c>
      <c r="F251" s="23">
        <v>1</v>
      </c>
      <c r="G251" s="28" t="s">
        <v>77</v>
      </c>
      <c r="H251" s="24">
        <v>200</v>
      </c>
      <c r="I251" s="25"/>
      <c r="J251" s="25"/>
      <c r="K251" s="25"/>
      <c r="L251" s="25"/>
      <c r="M251" s="25" t="s">
        <v>76</v>
      </c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>
        <f t="shared" si="15"/>
        <v>1.0</v>
      </c>
      <c xmlns="http://schemas.openxmlformats.org/spreadsheetml/2006/main" r="V251" s="22" t="str">
        <f t="shared" si="13"/>
        <v>▲ 單一設備依賴</v>
      </c>
      <c xmlns="http://schemas.openxmlformats.org/spreadsheetml/2006/main" r="W251" s="18" t="str">
        <f>IF($E251="","",IF(AND($T251="V",$U251&gt;0),"「無使用調理設備」不可與設備欄同時勾選，請擇一修正",IF($T251="V","免調理半成品（外購/僅切配等），不列入設備風險評估",IF($U251=0,"未勾選任何設備，請補填或勾選「無使用調理設備」",IF($U251=1,"僅依賴1台設備，須確認故障/排修時之備援製程","無異常")))))</f>
        <v>僅依賴1台設備，須確認故障/排修時之備援製程</v>
      </c>
      <c r="X251" s="22" t="s">
        <v>720</v>
      </c>
      <c r="Y251" s="22" t="s">
        <v>514</v>
      </c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 t="s">
        <v>747</v>
      </c>
      <c r="B252" s="22" t="s">
        <v>127</v>
      </c>
      <c r="C252" s="22" t="s">
        <v>686</v>
      </c>
      <c r="D252" s="22" t="s">
        <v>719</v>
      </c>
      <c r="E252" s="22" t="s">
        <v>724</v>
      </c>
      <c r="F252" s="23">
        <v>0.2</v>
      </c>
      <c r="G252" s="28" t="s">
        <v>75</v>
      </c>
      <c r="H252" s="24">
        <v>100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 t="s">
        <v>76</v>
      </c>
      <c xmlns="http://schemas.openxmlformats.org/spreadsheetml/2006/main" r="U252" s="23">
        <f t="shared" si="15"/>
        <v>0.0</v>
      </c>
      <c xmlns="http://schemas.openxmlformats.org/spreadsheetml/2006/main" r="V252" s="22" t="str">
        <f t="shared" si="13"/>
        <v>○ 免調理</v>
      </c>
      <c xmlns="http://schemas.openxmlformats.org/spreadsheetml/2006/main" r="W252" s="18" t="str">
        <f>IF($E252="","",IF(AND($T252="V",$U252&gt;0),"「無使用調理設備」不可與設備欄同時勾選，請擇一修正",IF($T252="V","免調理半成品（外購/僅切配等），不列入設備風險評估",IF($U252=0,"未勾選任何設備，請補填或勾選「無使用調理設備」",IF($U252=1,"僅依賴1台設備，須確認故障/排修時之備援製程","無異常")))))</f>
        <v>免調理半成品（外購/僅切配等），不列入設備風險評估</v>
      </c>
      <c r="X252" s="22" t="s">
        <v>720</v>
      </c>
      <c r="Y252" s="22" t="s">
        <v>514</v>
      </c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 t="s">
        <v>747</v>
      </c>
      <c r="B253" s="22" t="s">
        <v>127</v>
      </c>
      <c r="C253" s="22" t="s">
        <v>748</v>
      </c>
      <c r="D253" s="22" t="s">
        <v>749</v>
      </c>
      <c r="E253" s="22" t="s">
        <v>622</v>
      </c>
      <c r="F253" s="23">
        <v>205</v>
      </c>
      <c r="G253" s="28" t="s">
        <v>75</v>
      </c>
      <c r="H253" s="24">
        <v>85</v>
      </c>
      <c r="I253" s="25" t="s">
        <v>76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>
        <f t="shared" si="15"/>
        <v>1.0</v>
      </c>
      <c xmlns="http://schemas.openxmlformats.org/spreadsheetml/2006/main" r="V253" s="22" t="str">
        <f t="shared" si="13"/>
        <v>▲ 單一設備依賴</v>
      </c>
      <c xmlns="http://schemas.openxmlformats.org/spreadsheetml/2006/main" r="W253" s="18" t="str">
        <f t="shared" ref="W253:W258" si="17">IF($E253="","",IF(AND($T253="V",$U253&gt;0),"「無使用調理設備」不可與設備欄同時勾選，請擇一修正",IF($T253="V","免調理半成品（外購/僅切配等），不列入設備風險評估",IF($U253=0,"未勾選任何設備，請補填或勾選「無使用調理設備」",IF($U253=1,"僅依賴1台設備，須確認故障/排修時之備援製程","無異常")))))</f>
        <v>僅依賴1台設備，須確認故障/排修時之備援製程</v>
      </c>
      <c r="X253" s="22" t="s">
        <v>750</v>
      </c>
      <c r="Y253" s="22" t="s">
        <v>467</v>
      </c>
      <c xmlns="http://schemas.openxmlformats.org/spreadsheetml/2006/main" r="Z253">
        <f>IF($D253="",0,IF(COUNTIF($D$5:$D253,$D253)=1,1,0))</f>
        <v>1.0</v>
      </c>
      <c xmlns="http://schemas.openxmlformats.org/spreadsheetml/2006/main" r="AA253">
        <f>IF(Z253=1,SUM($Z$5:$Z253),"")</f>
        <v>40.0</v>
      </c>
    </row>
    <row r="254" spans="1:27">
      <c r="A254" s="22" t="s">
        <v>747</v>
      </c>
      <c r="B254" s="22" t="s">
        <v>127</v>
      </c>
      <c r="C254" s="22" t="s">
        <v>748</v>
      </c>
      <c r="D254" s="22" t="s">
        <v>749</v>
      </c>
      <c r="E254" s="22" t="s">
        <v>751</v>
      </c>
      <c r="F254" s="23">
        <v>120</v>
      </c>
      <c r="G254" s="28" t="s">
        <v>75</v>
      </c>
      <c r="H254" s="24">
        <v>57</v>
      </c>
      <c r="I254" s="25"/>
      <c r="J254" s="25"/>
      <c r="K254" s="25"/>
      <c r="L254" s="25"/>
      <c r="M254" s="25"/>
      <c r="N254" s="25"/>
      <c r="O254" s="25" t="s">
        <v>76</v>
      </c>
      <c r="P254" s="25"/>
      <c r="Q254" s="25"/>
      <c r="R254" s="25"/>
      <c r="S254" s="25"/>
      <c r="T254" s="26"/>
      <c xmlns="http://schemas.openxmlformats.org/spreadsheetml/2006/main" r="U254" s="23">
        <f t="shared" si="15"/>
        <v>1.0</v>
      </c>
      <c xmlns="http://schemas.openxmlformats.org/spreadsheetml/2006/main" r="V254" s="22" t="str">
        <f t="shared" ref="V254:V258" si="18">IF($E254="","",IF(AND($T254="V",$U254&gt;0),"⚠ 勾選矛盾",IF($T254="V","○ 免調理",IF($U254=0,"⚠ 資料缺漏",IF($U254=1,"▲ 單一設備依賴","OK")))))</f>
        <v>▲ 單一設備依賴</v>
      </c>
      <c xmlns="http://schemas.openxmlformats.org/spreadsheetml/2006/main" r="W254" s="18" t="str">
        <f t="shared" si="17"/>
        <v>僅依賴1台設備，須確認故障/排修時之備援製程</v>
      </c>
      <c r="X254" s="22" t="s">
        <v>750</v>
      </c>
      <c r="Y254" s="22" t="s">
        <v>467</v>
      </c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 t="s">
        <v>747</v>
      </c>
      <c r="B255" s="22" t="s">
        <v>127</v>
      </c>
      <c r="C255" s="22" t="s">
        <v>748</v>
      </c>
      <c r="D255" s="22" t="s">
        <v>749</v>
      </c>
      <c r="E255" s="22" t="s">
        <v>625</v>
      </c>
      <c r="F255" s="23">
        <v>1</v>
      </c>
      <c r="G255" s="28" t="s">
        <v>77</v>
      </c>
      <c r="H255" s="24">
        <v>400</v>
      </c>
      <c r="I255" s="25"/>
      <c r="J255" s="25"/>
      <c r="K255" s="25" t="s">
        <v>76</v>
      </c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>
        <f t="shared" si="15"/>
        <v>1.0</v>
      </c>
      <c xmlns="http://schemas.openxmlformats.org/spreadsheetml/2006/main" r="V255" s="22" t="str">
        <f t="shared" si="18"/>
        <v>▲ 單一設備依賴</v>
      </c>
      <c xmlns="http://schemas.openxmlformats.org/spreadsheetml/2006/main" r="W255" s="18" t="str">
        <f t="shared" si="17"/>
        <v>僅依賴1台設備，須確認故障/排修時之備援製程</v>
      </c>
      <c r="X255" s="22" t="s">
        <v>750</v>
      </c>
      <c r="Y255" s="22" t="s">
        <v>467</v>
      </c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 t="s">
        <v>747</v>
      </c>
      <c r="B256" s="22" t="s">
        <v>127</v>
      </c>
      <c r="C256" s="22" t="s">
        <v>748</v>
      </c>
      <c r="D256" s="22" t="s">
        <v>749</v>
      </c>
      <c r="E256" s="22" t="s">
        <v>751</v>
      </c>
      <c r="F256" s="23">
        <v>15</v>
      </c>
      <c r="G256" s="28" t="s">
        <v>75</v>
      </c>
      <c r="H256" s="24">
        <v>57</v>
      </c>
      <c r="I256" s="25"/>
      <c r="J256" s="25"/>
      <c r="K256" s="25"/>
      <c r="L256" s="25"/>
      <c r="M256" s="25"/>
      <c r="N256" s="25"/>
      <c r="O256" s="25" t="s">
        <v>76</v>
      </c>
      <c r="P256" s="25"/>
      <c r="Q256" s="25"/>
      <c r="R256" s="25"/>
      <c r="S256" s="25"/>
      <c r="T256" s="26"/>
      <c xmlns="http://schemas.openxmlformats.org/spreadsheetml/2006/main" r="U256" s="23">
        <f t="shared" si="15"/>
        <v>1.0</v>
      </c>
      <c xmlns="http://schemas.openxmlformats.org/spreadsheetml/2006/main" r="V256" s="22" t="str">
        <f t="shared" si="18"/>
        <v>▲ 單一設備依賴</v>
      </c>
      <c xmlns="http://schemas.openxmlformats.org/spreadsheetml/2006/main" r="W256" s="18" t="str">
        <f t="shared" si="17"/>
        <v>僅依賴1台設備，須確認故障/排修時之備援製程</v>
      </c>
      <c r="X256" s="22" t="s">
        <v>750</v>
      </c>
      <c r="Y256" s="22" t="s">
        <v>467</v>
      </c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 t="s">
        <v>747</v>
      </c>
      <c r="B257" s="22" t="s">
        <v>127</v>
      </c>
      <c r="C257" s="22" t="s">
        <v>748</v>
      </c>
      <c r="D257" s="22" t="s">
        <v>749</v>
      </c>
      <c r="E257" s="22" t="s">
        <v>752</v>
      </c>
      <c r="F257" s="23">
        <v>10</v>
      </c>
      <c r="G257" s="28" t="s">
        <v>77</v>
      </c>
      <c r="H257" s="24">
        <v>1000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 t="s">
        <v>76</v>
      </c>
      <c xmlns="http://schemas.openxmlformats.org/spreadsheetml/2006/main" r="U257" s="23">
        <f t="shared" si="15"/>
        <v>0.0</v>
      </c>
      <c xmlns="http://schemas.openxmlformats.org/spreadsheetml/2006/main" r="V257" s="22" t="str">
        <f t="shared" si="18"/>
        <v>○ 免調理</v>
      </c>
      <c xmlns="http://schemas.openxmlformats.org/spreadsheetml/2006/main" r="W257" s="18" t="str">
        <f t="shared" si="17"/>
        <v>免調理半成品（外購/僅切配等），不列入設備風險評估</v>
      </c>
      <c r="X257" s="22" t="s">
        <v>750</v>
      </c>
      <c r="Y257" s="22" t="s">
        <v>467</v>
      </c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 t="s">
        <v>747</v>
      </c>
      <c r="B258" s="22" t="s">
        <v>127</v>
      </c>
      <c r="C258" s="22" t="s">
        <v>748</v>
      </c>
      <c r="D258" s="22" t="s">
        <v>749</v>
      </c>
      <c r="E258" s="22" t="s">
        <v>629</v>
      </c>
      <c r="F258" s="23">
        <v>0.2</v>
      </c>
      <c r="G258" s="28" t="s">
        <v>75</v>
      </c>
      <c r="H258" s="24">
        <v>100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 t="s">
        <v>76</v>
      </c>
      <c xmlns="http://schemas.openxmlformats.org/spreadsheetml/2006/main" r="U258" s="23">
        <f t="shared" si="15"/>
        <v>0.0</v>
      </c>
      <c xmlns="http://schemas.openxmlformats.org/spreadsheetml/2006/main" r="V258" s="22" t="str">
        <f t="shared" si="18"/>
        <v>○ 免調理</v>
      </c>
      <c xmlns="http://schemas.openxmlformats.org/spreadsheetml/2006/main" r="W258" s="18" t="str">
        <f t="shared" si="17"/>
        <v>免調理半成品（外購/僅切配等），不列入設備風險評估</v>
      </c>
      <c r="X258" s="22" t="s">
        <v>750</v>
      </c>
      <c r="Y258" s="22" t="s">
        <v>467</v>
      </c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8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>IF($E259="","",COUNTIF($I259:$S259,"V"))</f>
        <v/>
      </c>
      <c xmlns="http://schemas.openxmlformats.org/spreadsheetml/2006/main" r="V259" s="22" t="str">
        <f>IF($E259="","",IF(AND($T259="V",$U259&gt;0),"⚠ 勾選矛盾",IF($T259="V","○ 免調理",IF($U259=0,"⚠ 資料缺漏",IF($U259=1,"▲ 單一設備依賴","OK")))))</f>
        <v/>
      </c>
      <c xmlns="http://schemas.openxmlformats.org/spreadsheetml/2006/main" r="W259" s="18" t="str">
        <f>IF($E259="","",IF(AND($T259="V",$U259&gt;0),"「無使用調理設備」不可與設備欄同時勾選，請擇一修正",IF($T259="V","免調理半成品（外購/僅切配等），不列入設備風險評估",IF($U259=0,"未勾選任何設備，請補填或勾選「無使用調理設備」",IF($U259=1,"僅依賴1台設備，須確認故障/排修時之備援製程","無異常")))))</f>
        <v/>
      </c>
      <c r="X259" s="22"/>
      <c r="Y259" s="22"/>
      <c xmlns="http://schemas.openxmlformats.org/spreadsheetml/2006/main" r="Z259" s="0">
        <f>IF($D259="",0,IF(COUNTIF($D$5:$D259,$D259)=1,1,0))</f>
        <v>0.0</v>
      </c>
      <c xmlns="http://schemas.openxmlformats.org/spreadsheetml/2006/main" r="AA259" s="0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8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>IF($E260="","",COUNTIF($I260:$S260,"V"))</f>
        <v/>
      </c>
      <c xmlns="http://schemas.openxmlformats.org/spreadsheetml/2006/main" r="V260" s="22" t="str">
        <f>IF($E260="","",IF(AND($T260="V",$U260&gt;0),"⚠ 勾選矛盾",IF($T260="V","○ 免調理",IF($U260=0,"⚠ 資料缺漏",IF($U260=1,"▲ 單一設備依賴","OK")))))</f>
        <v/>
      </c>
      <c xmlns="http://schemas.openxmlformats.org/spreadsheetml/2006/main" r="W260" s="18" t="str">
        <f>IF($E260="","",IF(AND($T260="V",$U260&gt;0),"「無使用調理設備」不可與設備欄同時勾選，請擇一修正",IF($T260="V","免調理半成品（外購/僅切配等），不列入設備風險評估",IF($U260=0,"未勾選任何設備，請補填或勾選「無使用調理設備」",IF($U260=1,"僅依賴1台設備，須確認故障/排修時之備援製程","無異常")))))</f>
        <v/>
      </c>
      <c r="X260" s="22"/>
      <c r="Y260" s="22"/>
      <c xmlns="http://schemas.openxmlformats.org/spreadsheetml/2006/main" r="Z260" s="0">
        <f>IF($D260="",0,IF(COUNTIF($D$5:$D260,$D260)=1,1,0))</f>
        <v>0.0</v>
      </c>
      <c xmlns="http://schemas.openxmlformats.org/spreadsheetml/2006/main" r="AA260" s="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8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ref="U261:U297" si="19">IF($E261="","",COUNTIF($I261:$S261,"V"))</f>
        <v/>
      </c>
      <c xmlns="http://schemas.openxmlformats.org/spreadsheetml/2006/main" r="V261" s="22" t="str">
        <f t="shared" ref="V261:V297" si="20">IF($E261="","",IF(AND($T261="V",$U261&gt;0),"⚠ 勾選矛盾",IF($T261="V","○ 免調理",IF($U261=0,"⚠ 資料缺漏",IF($U261=1,"▲ 單一設備依賴","OK")))))</f>
        <v/>
      </c>
      <c xmlns="http://schemas.openxmlformats.org/spreadsheetml/2006/main" r="W261" s="18" t="str">
        <f t="shared" ref="W261:W297" si="21">IF($E261="","",IF(AND($T261="V",$U261&gt;0),"「無使用調理設備」不可與設備欄同時勾選，請擇一修正",IF($T261="V","免調理半成品（外購/僅切配等），不列入設備風險評估",IF($U261=0,"未勾選任何設備，請補填或勾選「無使用調理設備」",IF($U261=1,"僅依賴1台設備，須確認故障/排修時之備援製程","無異常")))))</f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8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9"/>
        <v/>
      </c>
      <c xmlns="http://schemas.openxmlformats.org/spreadsheetml/2006/main" r="V262" s="22" t="str">
        <f t="shared" si="20"/>
        <v/>
      </c>
      <c xmlns="http://schemas.openxmlformats.org/spreadsheetml/2006/main" r="W262" s="18" t="str">
        <f t="shared" si="21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8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9"/>
        <v/>
      </c>
      <c xmlns="http://schemas.openxmlformats.org/spreadsheetml/2006/main" r="V263" s="22" t="str">
        <f t="shared" si="20"/>
        <v/>
      </c>
      <c xmlns="http://schemas.openxmlformats.org/spreadsheetml/2006/main" r="W263" s="18" t="str">
        <f t="shared" si="21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8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9"/>
        <v/>
      </c>
      <c xmlns="http://schemas.openxmlformats.org/spreadsheetml/2006/main" r="V264" s="22" t="str">
        <f t="shared" si="20"/>
        <v/>
      </c>
      <c xmlns="http://schemas.openxmlformats.org/spreadsheetml/2006/main" r="W264" s="18" t="str">
        <f t="shared" si="21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8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9"/>
        <v/>
      </c>
      <c xmlns="http://schemas.openxmlformats.org/spreadsheetml/2006/main" r="V265" s="22" t="str">
        <f t="shared" si="20"/>
        <v/>
      </c>
      <c xmlns="http://schemas.openxmlformats.org/spreadsheetml/2006/main" r="W265" s="18" t="str">
        <f t="shared" si="21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8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9"/>
        <v/>
      </c>
      <c xmlns="http://schemas.openxmlformats.org/spreadsheetml/2006/main" r="V266" s="22" t="str">
        <f t="shared" si="20"/>
        <v/>
      </c>
      <c xmlns="http://schemas.openxmlformats.org/spreadsheetml/2006/main" r="W266" s="18" t="str">
        <f t="shared" si="21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8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9"/>
        <v/>
      </c>
      <c xmlns="http://schemas.openxmlformats.org/spreadsheetml/2006/main" r="V267" s="22" t="str">
        <f t="shared" si="20"/>
        <v/>
      </c>
      <c xmlns="http://schemas.openxmlformats.org/spreadsheetml/2006/main" r="W267" s="18" t="str">
        <f t="shared" si="21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8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9"/>
        <v/>
      </c>
      <c xmlns="http://schemas.openxmlformats.org/spreadsheetml/2006/main" r="V268" s="22" t="str">
        <f t="shared" si="20"/>
        <v/>
      </c>
      <c xmlns="http://schemas.openxmlformats.org/spreadsheetml/2006/main" r="W268" s="18" t="str">
        <f t="shared" si="21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8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9"/>
        <v/>
      </c>
      <c xmlns="http://schemas.openxmlformats.org/spreadsheetml/2006/main" r="V269" s="22" t="str">
        <f t="shared" si="20"/>
        <v/>
      </c>
      <c xmlns="http://schemas.openxmlformats.org/spreadsheetml/2006/main" r="W269" s="18" t="str">
        <f t="shared" si="21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8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9"/>
        <v/>
      </c>
      <c xmlns="http://schemas.openxmlformats.org/spreadsheetml/2006/main" r="V270" s="22" t="str">
        <f t="shared" si="20"/>
        <v/>
      </c>
      <c xmlns="http://schemas.openxmlformats.org/spreadsheetml/2006/main" r="W270" s="18" t="str">
        <f t="shared" si="21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8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9"/>
        <v/>
      </c>
      <c xmlns="http://schemas.openxmlformats.org/spreadsheetml/2006/main" r="V271" s="22" t="str">
        <f t="shared" si="20"/>
        <v/>
      </c>
      <c xmlns="http://schemas.openxmlformats.org/spreadsheetml/2006/main" r="W271" s="18" t="str">
        <f t="shared" si="21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8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9"/>
        <v/>
      </c>
      <c xmlns="http://schemas.openxmlformats.org/spreadsheetml/2006/main" r="V272" s="22" t="str">
        <f t="shared" si="20"/>
        <v/>
      </c>
      <c xmlns="http://schemas.openxmlformats.org/spreadsheetml/2006/main" r="W272" s="18" t="str">
        <f t="shared" si="21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8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9"/>
        <v/>
      </c>
      <c xmlns="http://schemas.openxmlformats.org/spreadsheetml/2006/main" r="V273" s="22" t="str">
        <f t="shared" si="20"/>
        <v/>
      </c>
      <c xmlns="http://schemas.openxmlformats.org/spreadsheetml/2006/main" r="W273" s="18" t="str">
        <f t="shared" si="21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8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9"/>
        <v/>
      </c>
      <c xmlns="http://schemas.openxmlformats.org/spreadsheetml/2006/main" r="V274" s="22" t="str">
        <f t="shared" si="20"/>
        <v/>
      </c>
      <c xmlns="http://schemas.openxmlformats.org/spreadsheetml/2006/main" r="W274" s="18" t="str">
        <f t="shared" si="21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8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9"/>
        <v/>
      </c>
      <c xmlns="http://schemas.openxmlformats.org/spreadsheetml/2006/main" r="V275" s="22" t="str">
        <f t="shared" si="20"/>
        <v/>
      </c>
      <c xmlns="http://schemas.openxmlformats.org/spreadsheetml/2006/main" r="W275" s="18" t="str">
        <f t="shared" si="21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8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9"/>
        <v/>
      </c>
      <c xmlns="http://schemas.openxmlformats.org/spreadsheetml/2006/main" r="V276" s="22" t="str">
        <f t="shared" si="20"/>
        <v/>
      </c>
      <c xmlns="http://schemas.openxmlformats.org/spreadsheetml/2006/main" r="W276" s="18" t="str">
        <f t="shared" si="21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8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9"/>
        <v/>
      </c>
      <c xmlns="http://schemas.openxmlformats.org/spreadsheetml/2006/main" r="V277" s="22" t="str">
        <f t="shared" si="20"/>
        <v/>
      </c>
      <c xmlns="http://schemas.openxmlformats.org/spreadsheetml/2006/main" r="W277" s="18" t="str">
        <f t="shared" si="21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8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9"/>
        <v/>
      </c>
      <c xmlns="http://schemas.openxmlformats.org/spreadsheetml/2006/main" r="V278" s="22" t="str">
        <f t="shared" si="20"/>
        <v/>
      </c>
      <c xmlns="http://schemas.openxmlformats.org/spreadsheetml/2006/main" r="W278" s="18" t="str">
        <f t="shared" si="21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8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9"/>
        <v/>
      </c>
      <c xmlns="http://schemas.openxmlformats.org/spreadsheetml/2006/main" r="V279" s="22" t="str">
        <f t="shared" si="20"/>
        <v/>
      </c>
      <c xmlns="http://schemas.openxmlformats.org/spreadsheetml/2006/main" r="W279" s="18" t="str">
        <f t="shared" si="21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8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9"/>
        <v/>
      </c>
      <c xmlns="http://schemas.openxmlformats.org/spreadsheetml/2006/main" r="V280" s="22" t="str">
        <f t="shared" si="20"/>
        <v/>
      </c>
      <c xmlns="http://schemas.openxmlformats.org/spreadsheetml/2006/main" r="W280" s="18" t="str">
        <f t="shared" si="21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8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9"/>
        <v/>
      </c>
      <c xmlns="http://schemas.openxmlformats.org/spreadsheetml/2006/main" r="V281" s="22" t="str">
        <f t="shared" si="20"/>
        <v/>
      </c>
      <c xmlns="http://schemas.openxmlformats.org/spreadsheetml/2006/main" r="W281" s="18" t="str">
        <f t="shared" si="21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8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9"/>
        <v/>
      </c>
      <c xmlns="http://schemas.openxmlformats.org/spreadsheetml/2006/main" r="V282" s="22" t="str">
        <f t="shared" si="20"/>
        <v/>
      </c>
      <c xmlns="http://schemas.openxmlformats.org/spreadsheetml/2006/main" r="W282" s="18" t="str">
        <f t="shared" si="21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8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9"/>
        <v/>
      </c>
      <c xmlns="http://schemas.openxmlformats.org/spreadsheetml/2006/main" r="V283" s="22" t="str">
        <f t="shared" si="20"/>
        <v/>
      </c>
      <c xmlns="http://schemas.openxmlformats.org/spreadsheetml/2006/main" r="W283" s="18" t="str">
        <f t="shared" si="21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8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9"/>
        <v/>
      </c>
      <c xmlns="http://schemas.openxmlformats.org/spreadsheetml/2006/main" r="V284" s="22" t="str">
        <f t="shared" si="20"/>
        <v/>
      </c>
      <c xmlns="http://schemas.openxmlformats.org/spreadsheetml/2006/main" r="W284" s="18" t="str">
        <f t="shared" si="21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8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9"/>
        <v/>
      </c>
      <c xmlns="http://schemas.openxmlformats.org/spreadsheetml/2006/main" r="V285" s="22" t="str">
        <f t="shared" si="20"/>
        <v/>
      </c>
      <c xmlns="http://schemas.openxmlformats.org/spreadsheetml/2006/main" r="W285" s="18" t="str">
        <f t="shared" si="21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8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9"/>
        <v/>
      </c>
      <c xmlns="http://schemas.openxmlformats.org/spreadsheetml/2006/main" r="V286" s="22" t="str">
        <f t="shared" si="20"/>
        <v/>
      </c>
      <c xmlns="http://schemas.openxmlformats.org/spreadsheetml/2006/main" r="W286" s="18" t="str">
        <f t="shared" si="21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8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9"/>
        <v/>
      </c>
      <c xmlns="http://schemas.openxmlformats.org/spreadsheetml/2006/main" r="V287" s="22" t="str">
        <f t="shared" si="20"/>
        <v/>
      </c>
      <c xmlns="http://schemas.openxmlformats.org/spreadsheetml/2006/main" r="W287" s="18" t="str">
        <f t="shared" si="21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8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9"/>
        <v/>
      </c>
      <c xmlns="http://schemas.openxmlformats.org/spreadsheetml/2006/main" r="V288" s="22" t="str">
        <f t="shared" si="20"/>
        <v/>
      </c>
      <c xmlns="http://schemas.openxmlformats.org/spreadsheetml/2006/main" r="W288" s="18" t="str">
        <f t="shared" si="21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8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9"/>
        <v/>
      </c>
      <c xmlns="http://schemas.openxmlformats.org/spreadsheetml/2006/main" r="V289" s="22" t="str">
        <f t="shared" si="20"/>
        <v/>
      </c>
      <c xmlns="http://schemas.openxmlformats.org/spreadsheetml/2006/main" r="W289" s="18" t="str">
        <f t="shared" si="21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8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9"/>
        <v/>
      </c>
      <c xmlns="http://schemas.openxmlformats.org/spreadsheetml/2006/main" r="V290" s="22" t="str">
        <f t="shared" si="20"/>
        <v/>
      </c>
      <c xmlns="http://schemas.openxmlformats.org/spreadsheetml/2006/main" r="W290" s="18" t="str">
        <f t="shared" si="21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8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9"/>
        <v/>
      </c>
      <c xmlns="http://schemas.openxmlformats.org/spreadsheetml/2006/main" r="V291" s="22" t="str">
        <f t="shared" si="20"/>
        <v/>
      </c>
      <c xmlns="http://schemas.openxmlformats.org/spreadsheetml/2006/main" r="W291" s="18" t="str">
        <f t="shared" si="21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8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9"/>
        <v/>
      </c>
      <c xmlns="http://schemas.openxmlformats.org/spreadsheetml/2006/main" r="V292" s="22" t="str">
        <f t="shared" si="20"/>
        <v/>
      </c>
      <c xmlns="http://schemas.openxmlformats.org/spreadsheetml/2006/main" r="W292" s="18" t="str">
        <f t="shared" si="21"/>
        <v/>
      </c>
      <c r="X292" s="22"/>
      <c r="Y292" s="22"/>
      <c xmlns="http://schemas.openxmlformats.org/spreadsheetml/2006/main" r="Z292">
        <f>IF($D309="",0,IF(COUNTIF($D$5:$D309,$D309)=1,1,0))</f>
        <v>0.0</v>
      </c>
      <c xmlns="http://schemas.openxmlformats.org/spreadsheetml/2006/main" r="AA292" t="str">
        <f>IF(Z292=1,SUM($Z$5:$Z292),"")</f>
        <v/>
      </c>
    </row>
    <row r="293" spans="1:27">
      <c r="A293" s="22"/>
      <c r="B293" s="22"/>
      <c r="C293" s="22"/>
      <c r="D293" s="22"/>
      <c r="E293" s="22"/>
      <c r="F293" s="23"/>
      <c r="G293" s="28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9"/>
        <v/>
      </c>
      <c xmlns="http://schemas.openxmlformats.org/spreadsheetml/2006/main" r="V293" s="22" t="str">
        <f t="shared" si="20"/>
        <v/>
      </c>
      <c xmlns="http://schemas.openxmlformats.org/spreadsheetml/2006/main" r="W293" s="18" t="str">
        <f t="shared" si="21"/>
        <v/>
      </c>
      <c r="X293" s="22"/>
      <c r="Y293" s="22"/>
      <c xmlns="http://schemas.openxmlformats.org/spreadsheetml/2006/main" r="Z293">
        <f>IF($D310="",0,IF(COUNTIF($D$5:$D310,$D310)=1,1,0))</f>
        <v>0.0</v>
      </c>
      <c xmlns="http://schemas.openxmlformats.org/spreadsheetml/2006/main" r="AA293" t="str">
        <f>IF(Z293=1,SUM($Z$5:$Z293),"")</f>
        <v/>
      </c>
    </row>
    <row r="294" spans="1:27">
      <c r="A294" s="22"/>
      <c r="B294" s="22"/>
      <c r="C294" s="22"/>
      <c r="D294" s="22"/>
      <c r="E294" s="22"/>
      <c r="F294" s="23"/>
      <c r="G294" s="28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9"/>
        <v/>
      </c>
      <c xmlns="http://schemas.openxmlformats.org/spreadsheetml/2006/main" r="V294" s="22" t="str">
        <f t="shared" si="20"/>
        <v/>
      </c>
      <c xmlns="http://schemas.openxmlformats.org/spreadsheetml/2006/main" r="W294" s="18" t="str">
        <f t="shared" si="21"/>
        <v/>
      </c>
      <c r="X294" s="22"/>
      <c r="Y294" s="22"/>
      <c xmlns="http://schemas.openxmlformats.org/spreadsheetml/2006/main" r="Z294">
        <f>IF($D311="",0,IF(COUNTIF($D$5:$D311,$D311)=1,1,0))</f>
        <v>0.0</v>
      </c>
      <c xmlns="http://schemas.openxmlformats.org/spreadsheetml/2006/main" r="AA294" t="str">
        <f>IF(Z294=1,SUM($Z$5:$Z294),"")</f>
        <v/>
      </c>
    </row>
    <row r="295" spans="1:27">
      <c r="A295" s="22"/>
      <c r="B295" s="22"/>
      <c r="C295" s="22"/>
      <c r="D295" s="22"/>
      <c r="E295" s="22"/>
      <c r="F295" s="23"/>
      <c r="G295" s="28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9"/>
        <v/>
      </c>
      <c xmlns="http://schemas.openxmlformats.org/spreadsheetml/2006/main" r="V295" s="22" t="str">
        <f t="shared" si="20"/>
        <v/>
      </c>
      <c xmlns="http://schemas.openxmlformats.org/spreadsheetml/2006/main" r="W295" s="18" t="str">
        <f t="shared" si="21"/>
        <v/>
      </c>
      <c r="X295" s="22"/>
      <c r="Y295" s="22"/>
      <c xmlns="http://schemas.openxmlformats.org/spreadsheetml/2006/main" r="Z295">
        <f>IF($D312="",0,IF(COUNTIF($D$5:$D312,$D312)=1,1,0))</f>
        <v>0.0</v>
      </c>
      <c xmlns="http://schemas.openxmlformats.org/spreadsheetml/2006/main" r="AA295" t="str">
        <f>IF(Z295=1,SUM($Z$5:$Z295),"")</f>
        <v/>
      </c>
    </row>
    <row r="296" spans="1:27">
      <c r="A296" s="22"/>
      <c r="B296" s="22"/>
      <c r="C296" s="22"/>
      <c r="D296" s="22"/>
      <c r="E296" s="22"/>
      <c r="F296" s="23"/>
      <c r="G296" s="28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9"/>
        <v/>
      </c>
      <c xmlns="http://schemas.openxmlformats.org/spreadsheetml/2006/main" r="V296" s="22" t="str">
        <f t="shared" si="20"/>
        <v/>
      </c>
      <c xmlns="http://schemas.openxmlformats.org/spreadsheetml/2006/main" r="W296" s="18" t="str">
        <f t="shared" si="21"/>
        <v/>
      </c>
      <c r="X296" s="22"/>
      <c r="Y296" s="22"/>
      <c xmlns="http://schemas.openxmlformats.org/spreadsheetml/2006/main" r="Z296">
        <f>IF($D313="",0,IF(COUNTIF($D$5:$D313,$D313)=1,1,0))</f>
        <v>0.0</v>
      </c>
      <c xmlns="http://schemas.openxmlformats.org/spreadsheetml/2006/main" r="AA296" t="str">
        <f>IF(Z296=1,SUM($Z$5:$Z296),"")</f>
        <v/>
      </c>
    </row>
    <row r="297" spans="1:27">
      <c r="A297" s="22"/>
      <c r="B297" s="22"/>
      <c r="C297" s="22"/>
      <c r="D297" s="22"/>
      <c r="E297" s="22"/>
      <c r="F297" s="23"/>
      <c r="G297" s="28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9"/>
        <v/>
      </c>
      <c xmlns="http://schemas.openxmlformats.org/spreadsheetml/2006/main" r="V297" s="22" t="str">
        <f t="shared" si="20"/>
        <v/>
      </c>
      <c xmlns="http://schemas.openxmlformats.org/spreadsheetml/2006/main" r="W297" s="18" t="str">
        <f t="shared" si="21"/>
        <v/>
      </c>
      <c r="X297" s="22"/>
      <c r="Y297" s="22"/>
      <c xmlns="http://schemas.openxmlformats.org/spreadsheetml/2006/main" r="Z297">
        <f>IF($D314="",0,IF(COUNTIF($D$5:$D314,$D314)=1,1,0))</f>
        <v>0.0</v>
      </c>
      <c xmlns="http://schemas.openxmlformats.org/spreadsheetml/2006/main" r="AA297" t="str">
        <f>IF(Z297=1,SUM($Z$5:$Z297),"")</f>
        <v/>
      </c>
    </row>
    <row r="298" spans="1:27">
      <c r="A298" s="22"/>
      <c xmlns="http://schemas.openxmlformats.org/spreadsheetml/2006/main" r="U298" s="23" t="str">
        <f>IF($E298="","",COUNTIF($I298:$S298,"V"))</f>
        <v/>
      </c>
      <c xmlns="http://schemas.openxmlformats.org/spreadsheetml/2006/main" r="V298" s="22" t="str">
        <f>IF($E298="","",IF(AND($T298="V",$U298&gt;0),"⚠ 勾選矛盾",IF($T298="V","○ 免調理",IF($U298=0,"⚠ 資料缺漏",IF($U298=1,"▲ 單一設備依賴","OK")))))</f>
        <v/>
      </c>
      <c xmlns="http://schemas.openxmlformats.org/spreadsheetml/2006/main" r="W298" s="18" t="str">
        <f>IF($E298="","",IF(AND($T298="V",$U298&gt;0),"「無使用調理設備」不可與設備欄同時勾選，請擇一修正",IF($T298="V","免調理半成品（外購/僅切配等），不列入設備風險評估",IF($U298=0,"未勾選任何設備，請補填或勾選「無使用調理設備」",IF($U298=1,"僅依賴1台設備，須確認故障/排修時之備援製程","無異常")))))</f>
        <v/>
      </c>
      <c xmlns="http://schemas.openxmlformats.org/spreadsheetml/2006/main" r="Z298" s="0">
        <f>IF($D298="",0,IF(COUNTIF($D$5:$D298,$D298)=1,1,0))</f>
        <v>0.0</v>
      </c>
      <c xmlns="http://schemas.openxmlformats.org/spreadsheetml/2006/main" r="AA298" s="0" t="str">
        <f>IF(Z298=1,SUM($Z$5:$Z298),"")</f>
        <v/>
      </c>
    </row>
    <row r="299" spans="1:27">
      <c r="A299" s="22"/>
      <c xmlns="http://schemas.openxmlformats.org/spreadsheetml/2006/main" r="U299" s="23" t="str">
        <f>IF($E299="","",COUNTIF($I299:$S299,"V"))</f>
        <v/>
      </c>
      <c xmlns="http://schemas.openxmlformats.org/spreadsheetml/2006/main" r="V299" s="22" t="str">
        <f>IF($E299="","",IF(AND($T299="V",$U299&gt;0),"⚠ 勾選矛盾",IF($T299="V","○ 免調理",IF($U299=0,"⚠ 資料缺漏",IF($U299=1,"▲ 單一設備依賴","OK")))))</f>
        <v/>
      </c>
      <c xmlns="http://schemas.openxmlformats.org/spreadsheetml/2006/main" r="W299" s="18" t="str">
        <f>IF($E299="","",IF(AND($T299="V",$U299&gt;0),"「無使用調理設備」不可與設備欄同時勾選，請擇一修正",IF($T299="V","免調理半成品（外購/僅切配等），不列入設備風險評估",IF($U299=0,"未勾選任何設備，請補填或勾選「無使用調理設備」",IF($U299=1,"僅依賴1台設備，須確認故障/排修時之備援製程","無異常")))))</f>
        <v/>
      </c>
      <c xmlns="http://schemas.openxmlformats.org/spreadsheetml/2006/main" r="Z299" s="0">
        <f>IF($D299="",0,IF(COUNTIF($D$5:$D299,$D299)=1,1,0))</f>
        <v>0.0</v>
      </c>
      <c xmlns="http://schemas.openxmlformats.org/spreadsheetml/2006/main" r="AA299" s="0" t="str">
        <f>IF(Z299=1,SUM($Z$5:$Z299),"")</f>
        <v/>
      </c>
    </row>
    <row r="300" spans="1:27">
      <c r="A300" s="22"/>
      <c xmlns="http://schemas.openxmlformats.org/spreadsheetml/2006/main" r="U300" s="23" t="str">
        <f>IF($E300="","",COUNTIF($I300:$S300,"V"))</f>
        <v/>
      </c>
      <c xmlns="http://schemas.openxmlformats.org/spreadsheetml/2006/main" r="V300" s="22" t="str">
        <f>IF($E300="","",IF(AND($T300="V",$U300&gt;0),"⚠ 勾選矛盾",IF($T300="V","○ 免調理",IF($U300=0,"⚠ 資料缺漏",IF($U300=1,"▲ 單一設備依賴","OK")))))</f>
        <v/>
      </c>
      <c xmlns="http://schemas.openxmlformats.org/spreadsheetml/2006/main" r="W300" s="18" t="str">
        <f>IF($E300="","",IF(AND($T300="V",$U300&gt;0),"「無使用調理設備」不可與設備欄同時勾選，請擇一修正",IF($T300="V","免調理半成品（外購/僅切配等），不列入設備風險評估",IF($U300=0,"未勾選任何設備，請補填或勾選「無使用調理設備」",IF($U300=1,"僅依賴1台設備，須確認故障/排修時之備援製程","無異常")))))</f>
        <v/>
      </c>
      <c xmlns="http://schemas.openxmlformats.org/spreadsheetml/2006/main" r="Z300" s="0">
        <f>IF($D300="",0,IF(COUNTIF($D$5:$D300,$D300)=1,1,0))</f>
        <v>0.0</v>
      </c>
      <c xmlns="http://schemas.openxmlformats.org/spreadsheetml/2006/main" r="AA300" s="0" t="str">
        <f>IF(Z300=1,SUM($Z$5:$Z300),"")</f>
        <v/>
      </c>
    </row>
    <row r="301" spans="1:27">
      <c r="A301" s="22"/>
      <c xmlns="http://schemas.openxmlformats.org/spreadsheetml/2006/main" r="U301" s="23" t="str">
        <f>IF($E301="","",COUNTIF($I301:$S301,"V"))</f>
        <v/>
      </c>
      <c xmlns="http://schemas.openxmlformats.org/spreadsheetml/2006/main" r="V301" s="22" t="str">
        <f>IF($E301="","",IF(AND($T301="V",$U301&gt;0),"⚠ 勾選矛盾",IF($T301="V","○ 免調理",IF($U301=0,"⚠ 資料缺漏",IF($U301=1,"▲ 單一設備依賴","OK")))))</f>
        <v/>
      </c>
      <c xmlns="http://schemas.openxmlformats.org/spreadsheetml/2006/main" r="W301" s="18" t="str">
        <f>IF($E301="","",IF(AND($T301="V",$U301&gt;0),"「無使用調理設備」不可與設備欄同時勾選，請擇一修正",IF($T301="V","免調理半成品（外購/僅切配等），不列入設備風險評估",IF($U301=0,"未勾選任何設備，請補填或勾選「無使用調理設備」",IF($U301=1,"僅依賴1台設備，須確認故障/排修時之備援製程","無異常")))))</f>
        <v/>
      </c>
      <c xmlns="http://schemas.openxmlformats.org/spreadsheetml/2006/main" r="Z301" s="0">
        <f>IF($D301="",0,IF(COUNTIF($D$5:$D301,$D301)=1,1,0))</f>
        <v>0.0</v>
      </c>
      <c xmlns="http://schemas.openxmlformats.org/spreadsheetml/2006/main" r="AA301" s="0" t="str">
        <f>IF(Z301=1,SUM($Z$5:$Z301),"")</f>
        <v/>
      </c>
    </row>
    <row r="302" spans="1:27">
      <c r="A302" s="22"/>
      <c xmlns="http://schemas.openxmlformats.org/spreadsheetml/2006/main" r="U302" s="23" t="str">
        <f>IF($E302="","",COUNTIF($I302:$S302,"V"))</f>
        <v/>
      </c>
      <c xmlns="http://schemas.openxmlformats.org/spreadsheetml/2006/main" r="V302" s="22" t="str">
        <f>IF($E302="","",IF(AND($T302="V",$U302&gt;0),"⚠ 勾選矛盾",IF($T302="V","○ 免調理",IF($U302=0,"⚠ 資料缺漏",IF($U302=1,"▲ 單一設備依賴","OK")))))</f>
        <v/>
      </c>
      <c xmlns="http://schemas.openxmlformats.org/spreadsheetml/2006/main" r="W302" s="18" t="str">
        <f>IF($E302="","",IF(AND($T302="V",$U302&gt;0),"「無使用調理設備」不可與設備欄同時勾選，請擇一修正",IF($T302="V","免調理半成品（外購/僅切配等），不列入設備風險評估",IF($U302=0,"未勾選任何設備，請補填或勾選「無使用調理設備」",IF($U302=1,"僅依賴1台設備，須確認故障/排修時之備援製程","無異常")))))</f>
        <v/>
      </c>
      <c xmlns="http://schemas.openxmlformats.org/spreadsheetml/2006/main" r="Z302" s="0">
        <f>IF($D302="",0,IF(COUNTIF($D$5:$D302,$D302)=1,1,0))</f>
        <v>0.0</v>
      </c>
      <c xmlns="http://schemas.openxmlformats.org/spreadsheetml/2006/main" r="AA302" s="0" t="str">
        <f>IF(Z302=1,SUM($Z$5:$Z302),"")</f>
        <v/>
      </c>
    </row>
    <row r="303" spans="1:27">
      <c r="A303" s="22"/>
      <c xmlns="http://schemas.openxmlformats.org/spreadsheetml/2006/main" r="U303" s="23" t="str">
        <f>IF($E303="","",COUNTIF($I303:$S303,"V"))</f>
        <v/>
      </c>
      <c xmlns="http://schemas.openxmlformats.org/spreadsheetml/2006/main" r="V303" s="22" t="str">
        <f>IF($E303="","",IF(AND($T303="V",$U303&gt;0),"⚠ 勾選矛盾",IF($T303="V","○ 免調理",IF($U303=0,"⚠ 資料缺漏",IF($U303=1,"▲ 單一設備依賴","OK")))))</f>
        <v/>
      </c>
      <c xmlns="http://schemas.openxmlformats.org/spreadsheetml/2006/main" r="W303" s="18" t="str">
        <f>IF($E303="","",IF(AND($T303="V",$U303&gt;0),"「無使用調理設備」不可與設備欄同時勾選，請擇一修正",IF($T303="V","免調理半成品（外購/僅切配等），不列入設備風險評估",IF($U303=0,"未勾選任何設備，請補填或勾選「無使用調理設備」",IF($U303=1,"僅依賴1台設備，須確認故障/排修時之備援製程","無異常")))))</f>
        <v/>
      </c>
      <c xmlns="http://schemas.openxmlformats.org/spreadsheetml/2006/main" r="Z303" s="0">
        <f>IF($D303="",0,IF(COUNTIF($D$5:$D303,$D303)=1,1,0))</f>
        <v>0.0</v>
      </c>
      <c xmlns="http://schemas.openxmlformats.org/spreadsheetml/2006/main" r="AA303" s="0" t="str">
        <f>IF(Z303=1,SUM($Z$5:$Z303),"")</f>
        <v/>
      </c>
    </row>
    <row r="304" spans="1:27">
      <c r="A304" s="22"/>
      <c xmlns="http://schemas.openxmlformats.org/spreadsheetml/2006/main" r="U304" s="23" t="str">
        <f>IF($E304="","",COUNTIF($I304:$S304,"V"))</f>
        <v/>
      </c>
      <c xmlns="http://schemas.openxmlformats.org/spreadsheetml/2006/main" r="V304" s="22" t="str">
        <f>IF($E304="","",IF(AND($T304="V",$U304&gt;0),"⚠ 勾選矛盾",IF($T304="V","○ 免調理",IF($U304=0,"⚠ 資料缺漏",IF($U304=1,"▲ 單一設備依賴","OK")))))</f>
        <v/>
      </c>
      <c xmlns="http://schemas.openxmlformats.org/spreadsheetml/2006/main" r="W304" s="18" t="str">
        <f>IF($E304="","",IF(AND($T304="V",$U304&gt;0),"「無使用調理設備」不可與設備欄同時勾選，請擇一修正",IF($T304="V","免調理半成品（外購/僅切配等），不列入設備風險評估",IF($U304=0,"未勾選任何設備，請補填或勾選「無使用調理設備」",IF($U304=1,"僅依賴1台設備，須確認故障/排修時之備援製程","無異常")))))</f>
        <v/>
      </c>
      <c xmlns="http://schemas.openxmlformats.org/spreadsheetml/2006/main" r="Z304" s="0">
        <f>IF($D304="",0,IF(COUNTIF($D$5:$D304,$D304)=1,1,0))</f>
        <v>0.0</v>
      </c>
      <c xmlns="http://schemas.openxmlformats.org/spreadsheetml/2006/main" r="AA304" s="0" t="str">
        <f>IF(Z304=1,SUM($Z$5:$Z304),"")</f>
        <v/>
      </c>
    </row>
    <row r="305" spans="1:1">
      <c r="A305" s="22"/>
      <c xmlns="http://schemas.openxmlformats.org/spreadsheetml/2006/main" r="U305" s="23" t="str">
        <f>IF($E305="","",COUNTIF($I305:$S305,"V"))</f>
        <v/>
      </c>
      <c xmlns="http://schemas.openxmlformats.org/spreadsheetml/2006/main" r="V305" s="22" t="str">
        <f>IF($E305="","",IF(AND($T305="V",$U305&gt;0),"⚠ 勾選矛盾",IF($T305="V","○ 免調理",IF($U305=0,"⚠ 資料缺漏",IF($U305=1,"▲ 單一設備依賴","OK")))))</f>
        <v/>
      </c>
      <c xmlns="http://schemas.openxmlformats.org/spreadsheetml/2006/main" r="W305" s="18" t="str">
        <f>IF($E305="","",IF(AND($T305="V",$U305&gt;0),"「無使用調理設備」不可與設備欄同時勾選，請擇一修正",IF($T305="V","免調理半成品（外購/僅切配等），不列入設備風險評估",IF($U305=0,"未勾選任何設備，請補填或勾選「無使用調理設備」",IF($U305=1,"僅依賴1台設備，須確認故障/排修時之備援製程","無異常")))))</f>
        <v/>
      </c>
      <c xmlns="http://schemas.openxmlformats.org/spreadsheetml/2006/main" r="Z305" s="0">
        <f>IF($D305="",0,IF(COUNTIF($D$5:$D305,$D305)=1,1,0))</f>
        <v>0.0</v>
      </c>
      <c xmlns="http://schemas.openxmlformats.org/spreadsheetml/2006/main" r="AA305" s="0" t="str">
        <f>IF(Z305=1,SUM($Z$5:$Z305),"")</f>
        <v/>
      </c>
    </row>
    <row r="306" spans="1:1">
      <c r="A306" s="22"/>
      <c xmlns="http://schemas.openxmlformats.org/spreadsheetml/2006/main" r="U306" s="23" t="str">
        <f>IF($E306="","",COUNTIF($I306:$S306,"V"))</f>
        <v/>
      </c>
      <c xmlns="http://schemas.openxmlformats.org/spreadsheetml/2006/main" r="V306" s="22" t="str">
        <f>IF($E306="","",IF(AND($T306="V",$U306&gt;0),"⚠ 勾選矛盾",IF($T306="V","○ 免調理",IF($U306=0,"⚠ 資料缺漏",IF($U306=1,"▲ 單一設備依賴","OK")))))</f>
        <v/>
      </c>
      <c xmlns="http://schemas.openxmlformats.org/spreadsheetml/2006/main" r="W306" s="18" t="str">
        <f>IF($E306="","",IF(AND($T306="V",$U306&gt;0),"「無使用調理設備」不可與設備欄同時勾選，請擇一修正",IF($T306="V","免調理半成品（外購/僅切配等），不列入設備風險評估",IF($U306=0,"未勾選任何設備，請補填或勾選「無使用調理設備」",IF($U306=1,"僅依賴1台設備，須確認故障/排修時之備援製程","無異常")))))</f>
        <v/>
      </c>
      <c xmlns="http://schemas.openxmlformats.org/spreadsheetml/2006/main" r="Z306" s="0">
        <f>IF($D306="",0,IF(COUNTIF($D$5:$D306,$D306)=1,1,0))</f>
        <v>0.0</v>
      </c>
      <c xmlns="http://schemas.openxmlformats.org/spreadsheetml/2006/main" r="AA306" s="0" t="str">
        <f>IF(Z306=1,SUM($Z$5:$Z306),"")</f>
        <v/>
      </c>
    </row>
    <row r="307" spans="1:1">
      <c r="A307" s="22"/>
      <c xmlns="http://schemas.openxmlformats.org/spreadsheetml/2006/main" r="U307" s="23" t="str">
        <f>IF($E307="","",COUNTIF($I307:$S307,"V"))</f>
        <v/>
      </c>
      <c xmlns="http://schemas.openxmlformats.org/spreadsheetml/2006/main" r="V307" s="22" t="str">
        <f>IF($E307="","",IF(AND($T307="V",$U307&gt;0),"⚠ 勾選矛盾",IF($T307="V","○ 免調理",IF($U307=0,"⚠ 資料缺漏",IF($U307=1,"▲ 單一設備依賴","OK")))))</f>
        <v/>
      </c>
      <c xmlns="http://schemas.openxmlformats.org/spreadsheetml/2006/main" r="W307" s="18" t="str">
        <f>IF($E307="","",IF(AND($T307="V",$U307&gt;0),"「無使用調理設備」不可與設備欄同時勾選，請擇一修正",IF($T307="V","免調理半成品（外購/僅切配等），不列入設備風險評估",IF($U307=0,"未勾選任何設備，請補填或勾選「無使用調理設備」",IF($U307=1,"僅依賴1台設備，須確認故障/排修時之備援製程","無異常")))))</f>
        <v/>
      </c>
      <c xmlns="http://schemas.openxmlformats.org/spreadsheetml/2006/main" r="Z307" s="0">
        <f>IF($D307="",0,IF(COUNTIF($D$5:$D307,$D307)=1,1,0))</f>
        <v>0.0</v>
      </c>
      <c xmlns="http://schemas.openxmlformats.org/spreadsheetml/2006/main" r="AA307" s="0" t="str">
        <f>IF(Z307=1,SUM($Z$5:$Z307),"")</f>
        <v/>
      </c>
    </row>
    <row r="308" spans="1:1">
      <c r="A308" s="22"/>
      <c xmlns="http://schemas.openxmlformats.org/spreadsheetml/2006/main" r="U308" s="23" t="str">
        <f>IF($E308="","",COUNTIF($I308:$S308,"V"))</f>
        <v/>
      </c>
      <c xmlns="http://schemas.openxmlformats.org/spreadsheetml/2006/main" r="V308" s="22" t="str">
        <f>IF($E308="","",IF(AND($T308="V",$U308&gt;0),"⚠ 勾選矛盾",IF($T308="V","○ 免調理",IF($U308=0,"⚠ 資料缺漏",IF($U308=1,"▲ 單一設備依賴","OK")))))</f>
        <v/>
      </c>
      <c xmlns="http://schemas.openxmlformats.org/spreadsheetml/2006/main" r="W308" s="18" t="str">
        <f>IF($E308="","",IF(AND($T308="V",$U308&gt;0),"「無使用調理設備」不可與設備欄同時勾選，請擇一修正",IF($T308="V","免調理半成品（外購/僅切配等），不列入設備風險評估",IF($U308=0,"未勾選任何設備，請補填或勾選「無使用調理設備」",IF($U308=1,"僅依賴1台設備，須確認故障/排修時之備援製程","無異常")))))</f>
        <v/>
      </c>
      <c xmlns="http://schemas.openxmlformats.org/spreadsheetml/2006/main" r="Z308" s="0">
        <f>IF($D308="",0,IF(COUNTIF($D$5:$D308,$D308)=1,1,0))</f>
        <v>0.0</v>
      </c>
      <c xmlns="http://schemas.openxmlformats.org/spreadsheetml/2006/main" r="AA308" s="0" t="str">
        <f>IF(Z308=1,SUM($Z$5:$Z308),"")</f>
        <v/>
      </c>
    </row>
    <row r="309" spans="1:1">
      <c r="A309" s="22"/>
      <c xmlns="http://schemas.openxmlformats.org/spreadsheetml/2006/main" r="U309" s="23" t="str">
        <f>IF($E309="","",COUNTIF($I309:$S309,"V"))</f>
        <v/>
      </c>
      <c xmlns="http://schemas.openxmlformats.org/spreadsheetml/2006/main" r="V309" s="22" t="str">
        <f>IF($E309="","",IF(AND($T309="V",$U309&gt;0),"⚠ 勾選矛盾",IF($T309="V","○ 免調理",IF($U309=0,"⚠ 資料缺漏",IF($U309=1,"▲ 單一設備依賴","OK")))))</f>
        <v/>
      </c>
      <c xmlns="http://schemas.openxmlformats.org/spreadsheetml/2006/main" r="W309" s="18" t="str">
        <f>IF($E309="","",IF(AND($T309="V",$U309&gt;0),"「無使用調理設備」不可與設備欄同時勾選，請擇一修正",IF($T309="V","免調理半成品（外購/僅切配等），不列入設備風險評估",IF($U309=0,"未勾選任何設備，請補填或勾選「無使用調理設備」",IF($U309=1,"僅依賴1台設備，須確認故障/排修時之備援製程","無異常")))))</f>
        <v/>
      </c>
      <c xmlns="http://schemas.openxmlformats.org/spreadsheetml/2006/main" r="Z309" s="0">
        <f>IF($D309="",0,IF(COUNTIF($D$5:$D309,$D309)=1,1,0))</f>
        <v>0.0</v>
      </c>
      <c xmlns="http://schemas.openxmlformats.org/spreadsheetml/2006/main" r="AA309" s="0" t="str">
        <f>IF(Z309=1,SUM($Z$5:$Z309),"")</f>
        <v/>
      </c>
    </row>
    <row r="310" spans="1:1">
      <c r="A310" s="22"/>
      <c xmlns="http://schemas.openxmlformats.org/spreadsheetml/2006/main" r="U310" s="23" t="str">
        <f>IF($E310="","",COUNTIF($I310:$S310,"V"))</f>
        <v/>
      </c>
      <c xmlns="http://schemas.openxmlformats.org/spreadsheetml/2006/main" r="V310" s="22" t="str">
        <f>IF($E310="","",IF(AND($T310="V",$U310&gt;0),"⚠ 勾選矛盾",IF($T310="V","○ 免調理",IF($U310=0,"⚠ 資料缺漏",IF($U310=1,"▲ 單一設備依賴","OK")))))</f>
        <v/>
      </c>
      <c xmlns="http://schemas.openxmlformats.org/spreadsheetml/2006/main" r="W310" s="18" t="str">
        <f>IF($E310="","",IF(AND($T310="V",$U310&gt;0),"「無使用調理設備」不可與設備欄同時勾選，請擇一修正",IF($T310="V","免調理半成品（外購/僅切配等），不列入設備風險評估",IF($U310=0,"未勾選任何設備，請補填或勾選「無使用調理設備」",IF($U310=1,"僅依賴1台設備，須確認故障/排修時之備援製程","無異常")))))</f>
        <v/>
      </c>
      <c xmlns="http://schemas.openxmlformats.org/spreadsheetml/2006/main" r="Z310" s="0">
        <f>IF($D310="",0,IF(COUNTIF($D$5:$D310,$D310)=1,1,0))</f>
        <v>0.0</v>
      </c>
      <c xmlns="http://schemas.openxmlformats.org/spreadsheetml/2006/main" r="AA310" s="0" t="str">
        <f>IF(Z310=1,SUM($Z$5:$Z310),"")</f>
        <v/>
      </c>
    </row>
    <row r="311" spans="1:1">
      <c r="A311" s="22"/>
      <c xmlns="http://schemas.openxmlformats.org/spreadsheetml/2006/main" r="U311" s="23" t="str">
        <f>IF($E311="","",COUNTIF($I311:$S311,"V"))</f>
        <v/>
      </c>
      <c xmlns="http://schemas.openxmlformats.org/spreadsheetml/2006/main" r="V311" s="22" t="str">
        <f>IF($E311="","",IF(AND($T311="V",$U311&gt;0),"⚠ 勾選矛盾",IF($T311="V","○ 免調理",IF($U311=0,"⚠ 資料缺漏",IF($U311=1,"▲ 單一設備依賴","OK")))))</f>
        <v/>
      </c>
      <c xmlns="http://schemas.openxmlformats.org/spreadsheetml/2006/main" r="W311" s="18" t="str">
        <f>IF($E311="","",IF(AND($T311="V",$U311&gt;0),"「無使用調理設備」不可與設備欄同時勾選，請擇一修正",IF($T311="V","免調理半成品（外購/僅切配等），不列入設備風險評估",IF($U311=0,"未勾選任何設備，請補填或勾選「無使用調理設備」",IF($U311=1,"僅依賴1台設備，須確認故障/排修時之備援製程","無異常")))))</f>
        <v/>
      </c>
      <c xmlns="http://schemas.openxmlformats.org/spreadsheetml/2006/main" r="Z311" s="0">
        <f>IF($D311="",0,IF(COUNTIF($D$5:$D311,$D311)=1,1,0))</f>
        <v>0.0</v>
      </c>
      <c xmlns="http://schemas.openxmlformats.org/spreadsheetml/2006/main" r="AA311" s="0" t="str">
        <f>IF(Z311=1,SUM($Z$5:$Z311),"")</f>
        <v/>
      </c>
    </row>
    <row r="312" spans="1:1">
      <c r="A312" s="22"/>
      <c xmlns="http://schemas.openxmlformats.org/spreadsheetml/2006/main" r="U312" s="23" t="str">
        <f>IF($E312="","",COUNTIF($I312:$S312,"V"))</f>
        <v/>
      </c>
      <c xmlns="http://schemas.openxmlformats.org/spreadsheetml/2006/main" r="V312" s="22" t="str">
        <f>IF($E312="","",IF(AND($T312="V",$U312&gt;0),"⚠ 勾選矛盾",IF($T312="V","○ 免調理",IF($U312=0,"⚠ 資料缺漏",IF($U312=1,"▲ 單一設備依賴","OK")))))</f>
        <v/>
      </c>
      <c xmlns="http://schemas.openxmlformats.org/spreadsheetml/2006/main" r="W312" s="18" t="str">
        <f>IF($E312="","",IF(AND($T312="V",$U312&gt;0),"「無使用調理設備」不可與設備欄同時勾選，請擇一修正",IF($T312="V","免調理半成品（外購/僅切配等），不列入設備風險評估",IF($U312=0,"未勾選任何設備，請補填或勾選「無使用調理設備」",IF($U312=1,"僅依賴1台設備，須確認故障/排修時之備援製程","無異常")))))</f>
        <v/>
      </c>
      <c xmlns="http://schemas.openxmlformats.org/spreadsheetml/2006/main" r="Z312" s="0">
        <f>IF($D312="",0,IF(COUNTIF($D$5:$D312,$D312)=1,1,0))</f>
        <v>0.0</v>
      </c>
      <c xmlns="http://schemas.openxmlformats.org/spreadsheetml/2006/main" r="AA312" s="0" t="str">
        <f>IF(Z312=1,SUM($Z$5:$Z312),"")</f>
        <v/>
      </c>
    </row>
    <row r="313" spans="1:1">
      <c r="A313" s="22"/>
      <c xmlns="http://schemas.openxmlformats.org/spreadsheetml/2006/main" r="U313" s="23" t="str">
        <f>IF($E313="","",COUNTIF($I313:$S313,"V"))</f>
        <v/>
      </c>
      <c xmlns="http://schemas.openxmlformats.org/spreadsheetml/2006/main" r="V313" s="22" t="str">
        <f>IF($E313="","",IF(AND($T313="V",$U313&gt;0),"⚠ 勾選矛盾",IF($T313="V","○ 免調理",IF($U313=0,"⚠ 資料缺漏",IF($U313=1,"▲ 單一設備依賴","OK")))))</f>
        <v/>
      </c>
      <c xmlns="http://schemas.openxmlformats.org/spreadsheetml/2006/main" r="W313" s="18" t="str">
        <f>IF($E313="","",IF(AND($T313="V",$U313&gt;0),"「無使用調理設備」不可與設備欄同時勾選，請擇一修正",IF($T313="V","免調理半成品（外購/僅切配等），不列入設備風險評估",IF($U313=0,"未勾選任何設備，請補填或勾選「無使用調理設備」",IF($U313=1,"僅依賴1台設備，須確認故障/排修時之備援製程","無異常")))))</f>
        <v/>
      </c>
      <c xmlns="http://schemas.openxmlformats.org/spreadsheetml/2006/main" r="Z313" s="0">
        <f>IF($D313="",0,IF(COUNTIF($D$5:$D313,$D313)=1,1,0))</f>
        <v>0.0</v>
      </c>
      <c xmlns="http://schemas.openxmlformats.org/spreadsheetml/2006/main" r="AA313" s="0" t="str">
        <f>IF(Z313=1,SUM($Z$5:$Z313),"")</f>
        <v/>
      </c>
    </row>
    <row r="314" spans="1:1">
      <c r="A314" s="22"/>
      <c xmlns="http://schemas.openxmlformats.org/spreadsheetml/2006/main" r="U314" s="23" t="str">
        <f>IF($E314="","",COUNTIF($I314:$S314,"V"))</f>
        <v/>
      </c>
      <c xmlns="http://schemas.openxmlformats.org/spreadsheetml/2006/main" r="V314" s="22" t="str">
        <f>IF($E314="","",IF(AND($T314="V",$U314&gt;0),"⚠ 勾選矛盾",IF($T314="V","○ 免調理",IF($U314=0,"⚠ 資料缺漏",IF($U314=1,"▲ 單一設備依賴","OK")))))</f>
        <v/>
      </c>
      <c xmlns="http://schemas.openxmlformats.org/spreadsheetml/2006/main" r="W314" s="18" t="str">
        <f>IF($E314="","",IF(AND($T314="V",$U314&gt;0),"「無使用調理設備」不可與設備欄同時勾選，請擇一修正",IF($T314="V","免調理半成品（外購/僅切配等），不列入設備風險評估",IF($U314=0,"未勾選任何設備，請補填或勾選「無使用調理設備」",IF($U314=1,"僅依賴1台設備，須確認故障/排修時之備援製程","無異常")))))</f>
        <v/>
      </c>
      <c xmlns="http://schemas.openxmlformats.org/spreadsheetml/2006/main" r="Z314" s="0">
        <f>IF($D314="",0,IF(COUNTIF($D$5:$D314,$D314)=1,1,0))</f>
        <v>0.0</v>
      </c>
      <c xmlns="http://schemas.openxmlformats.org/spreadsheetml/2006/main" r="AA314" s="0" t="str">
        <f>IF(Z314=1,SUM($Z$5:$Z314),"")</f>
        <v/>
      </c>
    </row>
    <row r="315" spans="1:1">
      <c r="A315" s="22"/>
      <c xmlns="http://schemas.openxmlformats.org/spreadsheetml/2006/main" r="U315" s="23" t="str">
        <f>IF($E315="","",COUNTIF($I315:$S315,"V"))</f>
        <v/>
      </c>
      <c xmlns="http://schemas.openxmlformats.org/spreadsheetml/2006/main" r="V315" s="22" t="str">
        <f>IF($E315="","",IF(AND($T315="V",$U315&gt;0),"⚠ 勾選矛盾",IF($T315="V","○ 免調理",IF($U315=0,"⚠ 資料缺漏",IF($U315=1,"▲ 單一設備依賴","OK")))))</f>
        <v/>
      </c>
      <c xmlns="http://schemas.openxmlformats.org/spreadsheetml/2006/main" r="W315" s="18" t="str">
        <f>IF($E315="","",IF(AND($T315="V",$U315&gt;0),"「無使用調理設備」不可與設備欄同時勾選，請擇一修正",IF($T315="V","免調理半成品（外購/僅切配等），不列入設備風險評估",IF($U315=0,"未勾選任何設備，請補填或勾選「無使用調理設備」",IF($U315=1,"僅依賴1台設備，須確認故障/排修時之備援製程","無異常")))))</f>
        <v/>
      </c>
      <c xmlns="http://schemas.openxmlformats.org/spreadsheetml/2006/main" r="Z315" s="0">
        <f>IF($D315="",0,IF(COUNTIF($D$5:$D315,$D315)=1,1,0))</f>
        <v>0.0</v>
      </c>
      <c xmlns="http://schemas.openxmlformats.org/spreadsheetml/2006/main" r="AA315" s="0" t="str">
        <f>IF(Z315=1,SUM($Z$5:$Z315),"")</f>
        <v/>
      </c>
    </row>
    <row r="316" spans="1:1">
      <c r="A316" s="22"/>
      <c xmlns="http://schemas.openxmlformats.org/spreadsheetml/2006/main" r="U316" s="23" t="str">
        <f>IF($E316="","",COUNTIF($I316:$S316,"V"))</f>
        <v/>
      </c>
      <c xmlns="http://schemas.openxmlformats.org/spreadsheetml/2006/main" r="V316" s="22" t="str">
        <f>IF($E316="","",IF(AND($T316="V",$U316&gt;0),"⚠ 勾選矛盾",IF($T316="V","○ 免調理",IF($U316=0,"⚠ 資料缺漏",IF($U316=1,"▲ 單一設備依賴","OK")))))</f>
        <v/>
      </c>
      <c xmlns="http://schemas.openxmlformats.org/spreadsheetml/2006/main" r="W316" s="18" t="str">
        <f>IF($E316="","",IF(AND($T316="V",$U316&gt;0),"「無使用調理設備」不可與設備欄同時勾選，請擇一修正",IF($T316="V","免調理半成品（外購/僅切配等），不列入設備風險評估",IF($U316=0,"未勾選任何設備，請補填或勾選「無使用調理設備」",IF($U316=1,"僅依賴1台設備，須確認故障/排修時之備援製程","無異常")))))</f>
        <v/>
      </c>
      <c xmlns="http://schemas.openxmlformats.org/spreadsheetml/2006/main" r="Z316" s="0">
        <f>IF($D316="",0,IF(COUNTIF($D$5:$D316,$D316)=1,1,0))</f>
        <v>0.0</v>
      </c>
      <c xmlns="http://schemas.openxmlformats.org/spreadsheetml/2006/main" r="AA316" s="0" t="str">
        <f>IF(Z316=1,SUM($Z$5:$Z316),"")</f>
        <v/>
      </c>
    </row>
    <row r="317" spans="1:1">
      <c r="A317" s="22"/>
      <c xmlns="http://schemas.openxmlformats.org/spreadsheetml/2006/main" r="U317" s="23" t="str">
        <f>IF($E317="","",COUNTIF($I317:$S317,"V"))</f>
        <v/>
      </c>
      <c xmlns="http://schemas.openxmlformats.org/spreadsheetml/2006/main" r="V317" s="22" t="str">
        <f>IF($E317="","",IF(AND($T317="V",$U317&gt;0),"⚠ 勾選矛盾",IF($T317="V","○ 免調理",IF($U317=0,"⚠ 資料缺漏",IF($U317=1,"▲ 單一設備依賴","OK")))))</f>
        <v/>
      </c>
      <c xmlns="http://schemas.openxmlformats.org/spreadsheetml/2006/main" r="W317" s="18" t="str">
        <f>IF($E317="","",IF(AND($T317="V",$U317&gt;0),"「無使用調理設備」不可與設備欄同時勾選，請擇一修正",IF($T317="V","免調理半成品（外購/僅切配等），不列入設備風險評估",IF($U317=0,"未勾選任何設備，請補填或勾選「無使用調理設備」",IF($U317=1,"僅依賴1台設備，須確認故障/排修時之備援製程","無異常")))))</f>
        <v/>
      </c>
      <c xmlns="http://schemas.openxmlformats.org/spreadsheetml/2006/main" r="Z317" s="0">
        <f>IF($D317="",0,IF(COUNTIF($D$5:$D317,$D317)=1,1,0))</f>
        <v>0.0</v>
      </c>
      <c xmlns="http://schemas.openxmlformats.org/spreadsheetml/2006/main" r="AA317" s="0" t="str">
        <f>IF(Z317=1,SUM($Z$5:$Z317),"")</f>
        <v/>
      </c>
    </row>
    <row r="318" spans="1:1">
      <c r="A318" s="22"/>
      <c xmlns="http://schemas.openxmlformats.org/spreadsheetml/2006/main" r="U318" s="23" t="str">
        <f>IF($E318="","",COUNTIF($I318:$S318,"V"))</f>
        <v/>
      </c>
      <c xmlns="http://schemas.openxmlformats.org/spreadsheetml/2006/main" r="V318" s="22" t="str">
        <f>IF($E318="","",IF(AND($T318="V",$U318&gt;0),"⚠ 勾選矛盾",IF($T318="V","○ 免調理",IF($U318=0,"⚠ 資料缺漏",IF($U318=1,"▲ 單一設備依賴","OK")))))</f>
        <v/>
      </c>
      <c xmlns="http://schemas.openxmlformats.org/spreadsheetml/2006/main" r="W318" s="18" t="str">
        <f>IF($E318="","",IF(AND($T318="V",$U318&gt;0),"「無使用調理設備」不可與設備欄同時勾選，請擇一修正",IF($T318="V","免調理半成品（外購/僅切配等），不列入設備風險評估",IF($U318=0,"未勾選任何設備，請補填或勾選「無使用調理設備」",IF($U318=1,"僅依賴1台設備，須確認故障/排修時之備援製程","無異常")))))</f>
        <v/>
      </c>
      <c xmlns="http://schemas.openxmlformats.org/spreadsheetml/2006/main" r="Z318" s="0">
        <f>IF($D318="",0,IF(COUNTIF($D$5:$D318,$D318)=1,1,0))</f>
        <v>0.0</v>
      </c>
      <c xmlns="http://schemas.openxmlformats.org/spreadsheetml/2006/main" r="AA318" s="0" t="str">
        <f>IF(Z318=1,SUM($Z$5:$Z318),"")</f>
        <v/>
      </c>
    </row>
    <row r="319" spans="1:1">
      <c r="A319" s="22"/>
      <c xmlns="http://schemas.openxmlformats.org/spreadsheetml/2006/main" r="U319" s="23" t="str">
        <f>IF($E319="","",COUNTIF($I319:$S319,"V"))</f>
        <v/>
      </c>
      <c xmlns="http://schemas.openxmlformats.org/spreadsheetml/2006/main" r="V319" s="22" t="str">
        <f>IF($E319="","",IF(AND($T319="V",$U319&gt;0),"⚠ 勾選矛盾",IF($T319="V","○ 免調理",IF($U319=0,"⚠ 資料缺漏",IF($U319=1,"▲ 單一設備依賴","OK")))))</f>
        <v/>
      </c>
      <c xmlns="http://schemas.openxmlformats.org/spreadsheetml/2006/main" r="W319" s="18" t="str">
        <f>IF($E319="","",IF(AND($T319="V",$U319&gt;0),"「無使用調理設備」不可與設備欄同時勾選，請擇一修正",IF($T319="V","免調理半成品（外購/僅切配等），不列入設備風險評估",IF($U319=0,"未勾選任何設備，請補填或勾選「無使用調理設備」",IF($U319=1,"僅依賴1台設備，須確認故障/排修時之備援製程","無異常")))))</f>
        <v/>
      </c>
      <c xmlns="http://schemas.openxmlformats.org/spreadsheetml/2006/main" r="Z319" s="0">
        <f>IF($D319="",0,IF(COUNTIF($D$5:$D319,$D319)=1,1,0))</f>
        <v>0.0</v>
      </c>
      <c xmlns="http://schemas.openxmlformats.org/spreadsheetml/2006/main" r="AA319" s="0" t="str">
        <f>IF(Z319=1,SUM($Z$5:$Z319),"")</f>
        <v/>
      </c>
    </row>
  </sheetData>
  <autoFilter ref="A4:Y319"/>
  <mergeCells count="29">
    <mergeCell ref="A3:A4"/>
    <mergeCell ref="A1:Y1"/>
    <mergeCell ref="A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B5:B147 C20:C89 D12:D19 E13:F16 A5:A252 A259:A319">
    <cfRule type="expression" dxfId="72" priority="36">
      <formula>$R5="⚠ 資料缺漏"</formula>
    </cfRule>
  </conditionalFormatting>
  <conditionalFormatting sqref="D5:F13">
    <cfRule type="expression" dxfId="71" priority="38">
      <formula>$R5="⚠ 資料缺漏"</formula>
    </cfRule>
  </conditionalFormatting>
  <conditionalFormatting sqref="D36:D43 D98:D102 D122:D139">
    <cfRule type="expression" dxfId="70" priority="51">
      <formula>ISNUMBER(SEARCH("⚠",$V33))</formula>
    </cfRule>
  </conditionalFormatting>
  <conditionalFormatting sqref="D44:D51 D117:D121">
    <cfRule type="expression" dxfId="69" priority="53">
      <formula>ISNUMBER(SEARCH("⚠",$V38))</formula>
    </cfRule>
  </conditionalFormatting>
  <conditionalFormatting sqref="D52:D59">
    <cfRule type="expression" dxfId="68" priority="58">
      <formula>ISNUMBER(SEARCH("⚠",$V44))</formula>
    </cfRule>
  </conditionalFormatting>
  <conditionalFormatting sqref="D60:D67">
    <cfRule type="expression" dxfId="67" priority="60">
      <formula>ISNUMBER(SEARCH("⚠",$V49))</formula>
    </cfRule>
  </conditionalFormatting>
  <conditionalFormatting sqref="D68:D74">
    <cfRule type="expression" dxfId="66" priority="64">
      <formula>ISNUMBER(SEARCH("⚠",$V54))</formula>
    </cfRule>
  </conditionalFormatting>
  <conditionalFormatting sqref="D75:D83">
    <cfRule type="expression" dxfId="65" priority="67">
      <formula>ISNUMBER(SEARCH("⚠",$V58))</formula>
    </cfRule>
  </conditionalFormatting>
  <conditionalFormatting sqref="D84:D89">
    <cfRule type="expression" dxfId="64" priority="69">
      <formula>ISNUMBER(SEARCH("⚠",$V63))</formula>
    </cfRule>
  </conditionalFormatting>
  <conditionalFormatting sqref="D84:D97 D103:D116">
    <cfRule type="expression" dxfId="63" priority="56">
      <formula>ISNUMBER(SEARCH("⚠",$V79))</formula>
    </cfRule>
  </conditionalFormatting>
  <conditionalFormatting sqref="D122:D129">
    <cfRule type="expression" dxfId="62" priority="73">
      <formula>ISNUMBER(SEARCH("⚠",$V115))</formula>
    </cfRule>
  </conditionalFormatting>
  <conditionalFormatting sqref="D140:D147">
    <cfRule type="expression" dxfId="61" priority="71">
      <formula>ISNUMBER(SEARCH("⚠",$V139))</formula>
    </cfRule>
  </conditionalFormatting>
  <conditionalFormatting sqref="G5:H15 E16:H19 D19:F19 D20:H29 D30:D35 E30:H147 C90:C147 C223:H252 C218:F222 C186:H217 B148:H185 B259:H297 B215:B258">
    <cfRule type="expression" dxfId="60" priority="47">
      <formula>ISNUMBER(SEARCH("⚠",$V5))</formula>
    </cfRule>
  </conditionalFormatting>
  <conditionalFormatting sqref="V5:V167 V261:V297 V172:V185">
    <cfRule type="expression" dxfId="59" priority="43">
      <formula>ISNUMBER(SEARCH("⚠",$V5))</formula>
    </cfRule>
    <cfRule type="expression" dxfId="58" priority="44">
      <formula>$V5="▲ 單一設備依賴"</formula>
    </cfRule>
    <cfRule type="expression" dxfId="57" priority="45">
      <formula>$V5="○ 免調理"</formula>
    </cfRule>
    <cfRule type="expression" dxfId="56" priority="46">
      <formula>$V5="OK"</formula>
    </cfRule>
  </conditionalFormatting>
  <conditionalFormatting sqref="V168:V171">
    <cfRule type="expression" dxfId="55" priority="31">
      <formula>ISNUMBER(SEARCH("⚠",$V168))</formula>
    </cfRule>
    <cfRule type="expression" dxfId="54" priority="32">
      <formula>$V168="▲ 單一設備依賴"</formula>
    </cfRule>
    <cfRule type="expression" dxfId="53" priority="33">
      <formula>$V168="○ 免調理"</formula>
    </cfRule>
    <cfRule type="expression" dxfId="52" priority="34">
      <formula>$V168="OK"</formula>
    </cfRule>
  </conditionalFormatting>
  <conditionalFormatting sqref="B186:B214">
    <cfRule type="expression" dxfId="51" priority="17">
      <formula>ISNUMBER(SEARCH("⚠",$V186))</formula>
    </cfRule>
  </conditionalFormatting>
  <conditionalFormatting sqref="C5:C19">
    <cfRule type="expression" dxfId="50" priority="22">
      <formula>ISNUMBER(SEARCH("⚠",$V5))</formula>
    </cfRule>
  </conditionalFormatting>
  <conditionalFormatting sqref="V186:V252 V259:V260">
    <cfRule type="expression" dxfId="49" priority="18">
      <formula>ISNUMBER(SEARCH("⚠",$V186))</formula>
    </cfRule>
    <cfRule type="expression" dxfId="48" priority="19">
      <formula>$V186="▲ 單一設備依賴"</formula>
    </cfRule>
    <cfRule type="expression" dxfId="47" priority="20">
      <formula>$V186="○ 免調理"</formula>
    </cfRule>
    <cfRule type="expression" dxfId="46" priority="21">
      <formula>$V186="OK"</formula>
    </cfRule>
  </conditionalFormatting>
  <conditionalFormatting sqref="H218:H222">
    <cfRule type="expression" dxfId="45" priority="16">
      <formula>ISNUMBER(SEARCH("⚠",$V218))</formula>
    </cfRule>
  </conditionalFormatting>
  <conditionalFormatting sqref="G218:G222">
    <cfRule type="expression" dxfId="44" priority="11">
      <formula>ISNUMBER(SEARCH("⚠",$V218))</formula>
    </cfRule>
  </conditionalFormatting>
  <conditionalFormatting sqref="C253:H258">
    <cfRule type="expression" dxfId="43" priority="4">
      <formula>ISNUMBER(SEARCH("⚠",$V253))</formula>
    </cfRule>
  </conditionalFormatting>
  <conditionalFormatting sqref="V253:V258">
    <cfRule type="expression" dxfId="42" priority="5">
      <formula>ISNUMBER(SEARCH("⚠",$V253))</formula>
    </cfRule>
    <cfRule type="expression" dxfId="41" priority="6">
      <formula>$V253="▲ 單一設備依賴"</formula>
    </cfRule>
    <cfRule type="expression" dxfId="40" priority="7">
      <formula>$V253="○ 免調理"</formula>
    </cfRule>
    <cfRule type="expression" dxfId="39" priority="8">
      <formula>$V253="OK"</formula>
    </cfRule>
  </conditionalFormatting>
  <conditionalFormatting xmlns="http://schemas.openxmlformats.org/spreadsheetml/2006/main" sqref="A5:A319">
    <cfRule type="expression" dxfId="109" priority="1" stopIfTrue="1">
      <formula>AND($D5&lt;&gt;"",OR($A5="",COUNTIFS($D$5:$D$319,$D5,$A$5:$A$319,$A5)&lt;&gt;COUNTIF($D$5:$D$319,$D5)))</formula>
    </cfRule>
  </conditionalFormatting>
  <conditionalFormatting xmlns="http://schemas.openxmlformats.org/spreadsheetml/2006/main" sqref="Y5:Y319">
    <cfRule type="expression" dxfId="108" priority="2" stopIfTrue="1">
      <formula>AND($E5&lt;&gt;"",$Y5="")</formula>
    </cfRule>
  </conditionalFormatting>
  <conditionalFormatting xmlns="http://schemas.openxmlformats.org/spreadsheetml/2006/main" sqref="G5:G319">
    <cfRule type="expression" dxfId="108" priority="3" stopIfTrue="1">
      <formula>AND($E5&lt;&gt;"",$F5&lt;&gt;"",$G5="")</formula>
    </cfRule>
  </conditionalFormatting>
  <dataValidations xmlns="http://schemas.openxmlformats.org/spreadsheetml/2006/main" count="4">
    <dataValidation type="list" sqref="B5:B319" allowBlank="1" showDropDown="0" showErrorMessage="1" errorStyle="stop" errorTitle="請使用下拉選單" error="請選擇選單中的項目，或清除儲存格。">
      <formula1>"大溪,新豐,長家,晉欣"</formula1>
    </dataValidation>
    <dataValidation type="list" sqref="G5:G319" allowBlank="1" showDropDown="0" showErrorMessage="1" errorStyle="stop" errorTitle="請使用下拉選單" error="請選擇選單中的項目，或清除儲存格。">
      <formula1>"公克,個"</formula1>
    </dataValidation>
    <dataValidation type="list" sqref="I5:T319" allowBlank="1" showDropDown="0" showErrorMessage="1" errorStyle="stop" errorTitle="請使用下拉選單" error="請選擇選單中的項目，或清除儲存格。">
      <formula1>"V"</formula1>
    </dataValidation>
    <dataValidation type="list" sqref="A5:A319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7B00"/>
  </sheetPr>
  <dimension ref="A1:AA310"/>
  <sheetViews xmlns="http://schemas.openxmlformats.org/spreadsheetml/2006/main">
    <sheetView showGridLines="0" tabSelected="1" zoomScale="85" zoomScaleNormal="85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3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1.08984375" customWidth="1" hidden="1"/>
    <col min="27" max="27" width="0.6328125" customWidth="1" hidden="1"/>
  </cols>
  <sheetData>
    <row r="1" spans="1:27" ht="30" customHeight="1">
      <c r="B1" s="71" t="s">
        <v>78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7" ht="19.5" customHeight="1">
      <c r="B2" s="66" t="s">
        <v>43</v>
      </c>
      <c r="C2" s="66"/>
      <c r="D2" s="66"/>
      <c r="E2" s="66"/>
      <c r="F2" s="66"/>
      <c r="G2" s="66"/>
      <c r="H2" s="66"/>
      <c r="I2" s="66" t="s">
        <v>44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45</v>
      </c>
      <c r="V2" s="66"/>
      <c r="W2" s="66"/>
      <c r="X2" s="66" t="s">
        <v>46</v>
      </c>
      <c r="Y2" s="66"/>
    </row>
    <row r="3" spans="1:27" ht="24" customHeight="1">
      <c r="A3" s="64" t="s">
        <v>743</v>
      </c>
      <c r="B3" s="61" t="s">
        <v>47</v>
      </c>
      <c r="C3" s="61" t="s">
        <v>48</v>
      </c>
      <c r="D3" s="61" t="s">
        <v>49</v>
      </c>
      <c r="E3" s="61" t="s">
        <v>50</v>
      </c>
      <c r="F3" s="70" t="s">
        <v>51</v>
      </c>
      <c r="G3" s="70"/>
      <c r="H3" s="61" t="s">
        <v>52</v>
      </c>
      <c r="I3" s="62" t="s">
        <v>53</v>
      </c>
      <c r="J3" s="62" t="s">
        <v>54</v>
      </c>
      <c r="K3" s="62" t="s">
        <v>55</v>
      </c>
      <c r="L3" s="62" t="s">
        <v>56</v>
      </c>
      <c r="M3" s="62" t="s">
        <v>57</v>
      </c>
      <c r="N3" s="62" t="s">
        <v>58</v>
      </c>
      <c r="O3" s="62" t="s">
        <v>59</v>
      </c>
      <c r="P3" s="62" t="s">
        <v>60</v>
      </c>
      <c r="Q3" s="62" t="s">
        <v>61</v>
      </c>
      <c r="R3" s="62" t="s">
        <v>62</v>
      </c>
      <c r="S3" s="62" t="s">
        <v>63</v>
      </c>
      <c r="T3" s="63" t="s">
        <v>64</v>
      </c>
      <c r="U3" s="61" t="s">
        <v>65</v>
      </c>
      <c r="V3" s="61" t="s">
        <v>66</v>
      </c>
      <c r="W3" s="61" t="s">
        <v>67</v>
      </c>
      <c r="X3" s="61" t="s">
        <v>68</v>
      </c>
      <c r="Y3" s="61" t="s">
        <v>69</v>
      </c>
      <c r="Z3" s="20" t="s">
        <v>70</v>
      </c>
      <c r="AA3" s="20" t="s">
        <v>71</v>
      </c>
    </row>
    <row r="4" spans="1:27" ht="18" customHeight="1">
      <c r="A4" s="65"/>
      <c r="B4" s="61"/>
      <c r="C4" s="61"/>
      <c r="D4" s="61"/>
      <c r="E4" s="61"/>
      <c r="F4" s="21" t="s">
        <v>72</v>
      </c>
      <c r="G4" s="21" t="s">
        <v>73</v>
      </c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61"/>
      <c r="V4" s="61"/>
      <c r="W4" s="61"/>
      <c r="X4" s="61"/>
      <c r="Y4" s="61"/>
    </row>
    <row r="5" spans="1:27">
      <c r="A5" s="22" t="inlineStr">
        <is>
          <t>架上</t>
        </is>
      </c>
      <c r="B5" s="22" t="s">
        <v>127</v>
      </c>
      <c r="C5" s="22" t="s">
        <v>666</v>
      </c>
      <c r="D5" s="22" t="s">
        <v>343</v>
      </c>
      <c r="E5" s="50" t="s">
        <v>344</v>
      </c>
      <c r="F5" s="51">
        <v>1</v>
      </c>
      <c r="G5" s="51" t="s">
        <v>77</v>
      </c>
      <c r="H5" s="52">
        <v>99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 t="s">
        <v>438</v>
      </c>
      <c xmlns="http://schemas.openxmlformats.org/spreadsheetml/2006/main" r="U5" s="23">
        <f t="shared" ref="U5:U56" si="0">IF($E5="","",COUNTIF($I5:$S5,"V"))</f>
        <v>0.0</v>
      </c>
      <c xmlns="http://schemas.openxmlformats.org/spreadsheetml/2006/main" r="V5" s="22" t="str">
        <f t="shared" ref="V5:V56" si="1">IF($E5="","",IF(AND($T5="V",$U5&gt;0),"⚠ 勾選矛盾",IF($T5="V","○ 免調理",IF($U5=0,"⚠ 資料缺漏",IF($U5=1,"▲ 單一設備依賴","OK")))))</f>
        <v>○ 免調理</v>
      </c>
      <c xmlns="http://schemas.openxmlformats.org/spreadsheetml/2006/main" r="W5" s="18" t="str">
        <f t="shared" ref="W5:W56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免調理半成品（外購/僅切配等），不列入設備風險評估</v>
      </c>
      <c r="X5" s="22" t="s">
        <v>395</v>
      </c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inlineStr">
        <is>
          <t>架上</t>
        </is>
      </c>
      <c r="B6" s="22" t="s">
        <v>127</v>
      </c>
      <c r="C6" s="22" t="s">
        <v>666</v>
      </c>
      <c r="D6" s="22" t="s">
        <v>343</v>
      </c>
      <c r="E6" s="50" t="s">
        <v>439</v>
      </c>
      <c r="F6" s="51">
        <v>1</v>
      </c>
      <c r="G6" s="51" t="s">
        <v>77</v>
      </c>
      <c r="H6" s="52">
        <v>99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438</v>
      </c>
      <c xmlns="http://schemas.openxmlformats.org/spreadsheetml/2006/main" r="U6" s="23">
        <f t="shared" si="0"/>
        <v>0.0</v>
      </c>
      <c xmlns="http://schemas.openxmlformats.org/spreadsheetml/2006/main" r="V6" s="22" t="str">
        <f t="shared" si="1"/>
        <v>○ 免調理</v>
      </c>
      <c xmlns="http://schemas.openxmlformats.org/spreadsheetml/2006/main" r="W6" s="18" t="str">
        <f t="shared" si="2"/>
        <v>免調理半成品（外購/僅切配等），不列入設備風險評估</v>
      </c>
      <c r="X6" s="22" t="s">
        <v>395</v>
      </c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inlineStr">
        <is>
          <t>架上</t>
        </is>
      </c>
      <c r="B7" s="22" t="s">
        <v>127</v>
      </c>
      <c r="C7" s="22" t="s">
        <v>666</v>
      </c>
      <c r="D7" s="22" t="s">
        <v>343</v>
      </c>
      <c r="E7" s="50" t="s">
        <v>440</v>
      </c>
      <c r="F7" s="51">
        <v>195</v>
      </c>
      <c r="G7" s="51" t="s">
        <v>75</v>
      </c>
      <c r="H7" s="52">
        <v>155.80000000000001</v>
      </c>
      <c r="I7" s="25"/>
      <c r="J7" s="25" t="s">
        <v>76</v>
      </c>
      <c r="K7" s="25"/>
      <c r="L7" s="25"/>
      <c r="M7" s="25"/>
      <c r="N7" s="25"/>
      <c r="O7" s="25"/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 t="s">
        <v>395</v>
      </c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inlineStr">
        <is>
          <t>架上</t>
        </is>
      </c>
      <c r="B8" s="22" t="s">
        <v>127</v>
      </c>
      <c r="C8" s="22" t="s">
        <v>666</v>
      </c>
      <c r="D8" s="22" t="s">
        <v>343</v>
      </c>
      <c r="E8" s="50" t="s">
        <v>441</v>
      </c>
      <c r="F8" s="51">
        <v>8</v>
      </c>
      <c r="G8" s="51" t="s">
        <v>75</v>
      </c>
      <c r="H8" s="52">
        <v>70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47" t="s">
        <v>438</v>
      </c>
      <c xmlns="http://schemas.openxmlformats.org/spreadsheetml/2006/main" r="U8" s="23">
        <f t="shared" si="0"/>
        <v>0.0</v>
      </c>
      <c xmlns="http://schemas.openxmlformats.org/spreadsheetml/2006/main" r="V8" s="22" t="str">
        <f t="shared" si="1"/>
        <v>○ 免調理</v>
      </c>
      <c xmlns="http://schemas.openxmlformats.org/spreadsheetml/2006/main" r="W8" s="18" t="str">
        <f t="shared" si="2"/>
        <v>免調理半成品（外購/僅切配等），不列入設備風險評估</v>
      </c>
      <c r="X8" s="22" t="s">
        <v>395</v>
      </c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744</v>
      </c>
      <c r="B9" s="22" t="s">
        <v>127</v>
      </c>
      <c r="C9" s="22" t="s">
        <v>666</v>
      </c>
      <c r="D9" s="22" t="s">
        <v>345</v>
      </c>
      <c r="E9" s="50" t="s">
        <v>346</v>
      </c>
      <c r="F9" s="51">
        <v>3</v>
      </c>
      <c r="G9" s="51" t="s">
        <v>75</v>
      </c>
      <c r="H9" s="52">
        <v>97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">
        <v>438</v>
      </c>
      <c xmlns="http://schemas.openxmlformats.org/spreadsheetml/2006/main" r="U9" s="23">
        <f t="shared" si="0"/>
        <v>0.0</v>
      </c>
      <c xmlns="http://schemas.openxmlformats.org/spreadsheetml/2006/main" r="V9" s="22" t="str">
        <f t="shared" si="1"/>
        <v>○ 免調理</v>
      </c>
      <c xmlns="http://schemas.openxmlformats.org/spreadsheetml/2006/main" r="W9" s="18" t="str">
        <f t="shared" si="2"/>
        <v>免調理半成品（外購/僅切配等），不列入設備風險評估</v>
      </c>
      <c r="X9" s="22" t="s">
        <v>392</v>
      </c>
      <c r="Y9" s="22"/>
      <c xmlns="http://schemas.openxmlformats.org/spreadsheetml/2006/main" r="Z9">
        <f>IF($D9="",0,IF(COUNTIF($D$5:$D9,$D9)=1,1,0))</f>
        <v>1.0</v>
      </c>
      <c xmlns="http://schemas.openxmlformats.org/spreadsheetml/2006/main" r="AA9">
        <f>IF(Z9=1,SUM($Z$5:$Z9),"")</f>
        <v>2.0</v>
      </c>
    </row>
    <row r="10" spans="1:27">
      <c r="A10" s="22" t="s">
        <v>744</v>
      </c>
      <c r="B10" s="22" t="s">
        <v>127</v>
      </c>
      <c r="C10" s="22" t="s">
        <v>666</v>
      </c>
      <c r="D10" s="22" t="s">
        <v>345</v>
      </c>
      <c r="E10" s="50" t="s">
        <v>347</v>
      </c>
      <c r="F10" s="51">
        <v>1</v>
      </c>
      <c r="G10" s="51" t="s">
        <v>77</v>
      </c>
      <c r="H10" s="52">
        <v>99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">
        <v>438</v>
      </c>
      <c xmlns="http://schemas.openxmlformats.org/spreadsheetml/2006/main" r="U10" s="23">
        <f t="shared" si="0"/>
        <v>0.0</v>
      </c>
      <c xmlns="http://schemas.openxmlformats.org/spreadsheetml/2006/main" r="V10" s="22" t="str">
        <f t="shared" si="1"/>
        <v>○ 免調理</v>
      </c>
      <c xmlns="http://schemas.openxmlformats.org/spreadsheetml/2006/main" r="W10" s="18" t="str">
        <f t="shared" si="2"/>
        <v>免調理半成品（外購/僅切配等），不列入設備風險評估</v>
      </c>
      <c r="X10" s="22" t="s">
        <v>392</v>
      </c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744</v>
      </c>
      <c r="B11" s="22" t="s">
        <v>127</v>
      </c>
      <c r="C11" s="22" t="s">
        <v>666</v>
      </c>
      <c r="D11" s="22" t="s">
        <v>345</v>
      </c>
      <c r="E11" s="50" t="s">
        <v>348</v>
      </c>
      <c r="F11" s="51">
        <v>1</v>
      </c>
      <c r="G11" s="51" t="s">
        <v>77</v>
      </c>
      <c r="H11" s="52">
        <v>99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">
        <v>76</v>
      </c>
      <c xmlns="http://schemas.openxmlformats.org/spreadsheetml/2006/main" r="U11" s="23">
        <f t="shared" si="0"/>
        <v>0.0</v>
      </c>
      <c xmlns="http://schemas.openxmlformats.org/spreadsheetml/2006/main" r="V11" s="22" t="str">
        <f t="shared" si="1"/>
        <v>○ 免調理</v>
      </c>
      <c xmlns="http://schemas.openxmlformats.org/spreadsheetml/2006/main" r="W11" s="18" t="str">
        <f t="shared" si="2"/>
        <v>免調理半成品（外購/僅切配等），不列入設備風險評估</v>
      </c>
      <c r="X11" s="22" t="s">
        <v>392</v>
      </c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744</v>
      </c>
      <c r="B12" s="22" t="s">
        <v>127</v>
      </c>
      <c r="C12" s="22" t="s">
        <v>666</v>
      </c>
      <c r="D12" s="22" t="s">
        <v>345</v>
      </c>
      <c r="E12" s="50" t="s">
        <v>386</v>
      </c>
      <c r="F12" s="51">
        <v>185</v>
      </c>
      <c r="G12" s="51" t="s">
        <v>75</v>
      </c>
      <c r="H12" s="52">
        <v>157.69999999999999</v>
      </c>
      <c r="I12" s="25"/>
      <c r="J12" s="25" t="s">
        <v>76</v>
      </c>
      <c r="K12" s="25"/>
      <c r="L12" s="25"/>
      <c r="M12" s="25"/>
      <c r="N12" s="25"/>
      <c r="O12" s="25"/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 t="s">
        <v>392</v>
      </c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744</v>
      </c>
      <c r="B13" s="22" t="s">
        <v>127</v>
      </c>
      <c r="C13" s="22" t="s">
        <v>666</v>
      </c>
      <c r="D13" s="22" t="s">
        <v>345</v>
      </c>
      <c r="E13" s="50" t="s">
        <v>442</v>
      </c>
      <c r="F13" s="51">
        <v>15</v>
      </c>
      <c r="G13" s="51" t="s">
        <v>75</v>
      </c>
      <c r="H13" s="52">
        <v>75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47" t="s">
        <v>438</v>
      </c>
      <c xmlns="http://schemas.openxmlformats.org/spreadsheetml/2006/main" r="U13" s="23">
        <f t="shared" si="0"/>
        <v>0.0</v>
      </c>
      <c xmlns="http://schemas.openxmlformats.org/spreadsheetml/2006/main" r="V13" s="22" t="str">
        <f t="shared" si="1"/>
        <v>○ 免調理</v>
      </c>
      <c xmlns="http://schemas.openxmlformats.org/spreadsheetml/2006/main" r="W13" s="18" t="str">
        <f t="shared" si="2"/>
        <v>免調理半成品（外購/僅切配等），不列入設備風險評估</v>
      </c>
      <c r="X13" s="22" t="s">
        <v>392</v>
      </c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745</v>
      </c>
      <c r="B14" s="22" t="s">
        <v>127</v>
      </c>
      <c r="C14" s="22" t="s">
        <v>666</v>
      </c>
      <c r="D14" s="22" t="s">
        <v>349</v>
      </c>
      <c r="E14" s="50" t="s">
        <v>443</v>
      </c>
      <c r="F14" s="51">
        <v>300</v>
      </c>
      <c r="G14" s="51" t="s">
        <v>75</v>
      </c>
      <c r="H14" s="52">
        <v>192.5</v>
      </c>
      <c r="I14" s="25"/>
      <c r="J14" s="25" t="s">
        <v>76</v>
      </c>
      <c r="K14" s="25"/>
      <c r="L14" s="25"/>
      <c r="M14" s="25"/>
      <c r="N14" s="25"/>
      <c r="O14" s="25"/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 t="s">
        <v>388</v>
      </c>
      <c r="Y14" s="22"/>
      <c xmlns="http://schemas.openxmlformats.org/spreadsheetml/2006/main" r="Z14">
        <f>IF($D14="",0,IF(COUNTIF($D$5:$D14,$D14)=1,1,0))</f>
        <v>1.0</v>
      </c>
      <c xmlns="http://schemas.openxmlformats.org/spreadsheetml/2006/main" r="AA14">
        <f>IF(Z14=1,SUM($Z$5:$Z14),"")</f>
        <v>3.0</v>
      </c>
    </row>
    <row r="15" spans="1:27">
      <c r="A15" s="22" t="s">
        <v>745</v>
      </c>
      <c r="B15" s="22" t="s">
        <v>127</v>
      </c>
      <c r="C15" s="22" t="s">
        <v>666</v>
      </c>
      <c r="D15" s="22" t="s">
        <v>349</v>
      </c>
      <c r="E15" s="50" t="s">
        <v>444</v>
      </c>
      <c r="F15" s="51">
        <v>32</v>
      </c>
      <c r="G15" s="51" t="s">
        <v>75</v>
      </c>
      <c r="H15" s="52">
        <v>75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47" t="s">
        <v>438</v>
      </c>
      <c xmlns="http://schemas.openxmlformats.org/spreadsheetml/2006/main" r="U15" s="23">
        <f t="shared" si="0"/>
        <v>0.0</v>
      </c>
      <c xmlns="http://schemas.openxmlformats.org/spreadsheetml/2006/main" r="V15" s="22" t="str">
        <f t="shared" si="1"/>
        <v>○ 免調理</v>
      </c>
      <c xmlns="http://schemas.openxmlformats.org/spreadsheetml/2006/main" r="W15" s="18" t="str">
        <f t="shared" si="2"/>
        <v>免調理半成品（外購/僅切配等），不列入設備風險評估</v>
      </c>
      <c r="X15" s="22" t="s">
        <v>388</v>
      </c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745</v>
      </c>
      <c r="B16" s="22" t="s">
        <v>127</v>
      </c>
      <c r="C16" s="22" t="s">
        <v>666</v>
      </c>
      <c r="D16" s="22" t="s">
        <v>340</v>
      </c>
      <c r="E16" s="50" t="s">
        <v>350</v>
      </c>
      <c r="F16" s="51">
        <v>1</v>
      </c>
      <c r="G16" s="51" t="s">
        <v>77</v>
      </c>
      <c r="H16" s="52">
        <v>99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 t="s">
        <v>76</v>
      </c>
      <c xmlns="http://schemas.openxmlformats.org/spreadsheetml/2006/main" r="U16" s="23">
        <f t="shared" si="0"/>
        <v>0.0</v>
      </c>
      <c xmlns="http://schemas.openxmlformats.org/spreadsheetml/2006/main" r="V16" s="22" t="str">
        <f t="shared" si="1"/>
        <v>○ 免調理</v>
      </c>
      <c xmlns="http://schemas.openxmlformats.org/spreadsheetml/2006/main" r="W16" s="18" t="str">
        <f t="shared" si="2"/>
        <v>免調理半成品（外購/僅切配等），不列入設備風險評估</v>
      </c>
      <c r="X16" s="22" t="s">
        <v>388</v>
      </c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745</v>
      </c>
      <c r="B17" s="22" t="s">
        <v>127</v>
      </c>
      <c r="C17" s="22" t="s">
        <v>666</v>
      </c>
      <c r="D17" s="22" t="s">
        <v>340</v>
      </c>
      <c r="E17" s="50" t="s">
        <v>351</v>
      </c>
      <c r="F17" s="51">
        <v>1</v>
      </c>
      <c r="G17" s="51" t="s">
        <v>77</v>
      </c>
      <c r="H17" s="52">
        <v>99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 t="s">
        <v>438</v>
      </c>
      <c xmlns="http://schemas.openxmlformats.org/spreadsheetml/2006/main" r="U17" s="23">
        <f t="shared" si="0"/>
        <v>0.0</v>
      </c>
      <c xmlns="http://schemas.openxmlformats.org/spreadsheetml/2006/main" r="V17" s="22" t="str">
        <f t="shared" si="1"/>
        <v>○ 免調理</v>
      </c>
      <c xmlns="http://schemas.openxmlformats.org/spreadsheetml/2006/main" r="W17" s="18" t="str">
        <f t="shared" si="2"/>
        <v>免調理半成品（外購/僅切配等），不列入設備風險評估</v>
      </c>
      <c r="X17" s="22" t="s">
        <v>388</v>
      </c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745</v>
      </c>
      <c r="B18" s="22" t="s">
        <v>127</v>
      </c>
      <c r="C18" s="22" t="s">
        <v>666</v>
      </c>
      <c r="D18" s="22" t="s">
        <v>352</v>
      </c>
      <c r="E18" s="50" t="s">
        <v>443</v>
      </c>
      <c r="F18" s="51">
        <v>300</v>
      </c>
      <c r="G18" s="51" t="s">
        <v>75</v>
      </c>
      <c r="H18" s="52">
        <v>192.5</v>
      </c>
      <c r="I18" s="25"/>
      <c r="J18" s="25" t="s">
        <v>76</v>
      </c>
      <c r="K18" s="25"/>
      <c r="L18" s="25"/>
      <c r="M18" s="25"/>
      <c r="N18" s="25"/>
      <c r="O18" s="25"/>
      <c r="P18" s="25"/>
      <c r="Q18" s="25"/>
      <c r="R18" s="25"/>
      <c r="S18" s="25"/>
      <c r="T18" s="26"/>
      <c xmlns="http://schemas.openxmlformats.org/spreadsheetml/2006/main" r="U18" s="23">
        <f t="shared" si="0"/>
        <v>1.0</v>
      </c>
      <c xmlns="http://schemas.openxmlformats.org/spreadsheetml/2006/main" r="V18" s="22" t="str">
        <f t="shared" si="1"/>
        <v>▲ 單一設備依賴</v>
      </c>
      <c xmlns="http://schemas.openxmlformats.org/spreadsheetml/2006/main" r="W18" s="18" t="str">
        <f t="shared" si="2"/>
        <v>僅依賴1台設備，須確認故障/排修時之備援製程</v>
      </c>
      <c r="X18" s="22" t="s">
        <v>387</v>
      </c>
      <c r="Y18" s="22"/>
      <c xmlns="http://schemas.openxmlformats.org/spreadsheetml/2006/main" r="Z18">
        <f>IF($D18="",0,IF(COUNTIF($D$5:$D18,$D18)=1,1,0))</f>
        <v>1.0</v>
      </c>
      <c xmlns="http://schemas.openxmlformats.org/spreadsheetml/2006/main" r="AA18">
        <f>IF(Z18=1,SUM($Z$5:$Z18),"")</f>
        <v>4.0</v>
      </c>
    </row>
    <row r="19" spans="1:27">
      <c r="A19" s="22" t="s">
        <v>745</v>
      </c>
      <c r="B19" s="22" t="s">
        <v>127</v>
      </c>
      <c r="C19" s="22" t="s">
        <v>666</v>
      </c>
      <c r="D19" s="22" t="s">
        <v>352</v>
      </c>
      <c r="E19" s="50" t="s">
        <v>444</v>
      </c>
      <c r="F19" s="51">
        <v>32</v>
      </c>
      <c r="G19" s="51" t="s">
        <v>75</v>
      </c>
      <c r="H19" s="52">
        <v>95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47" t="s">
        <v>438</v>
      </c>
      <c xmlns="http://schemas.openxmlformats.org/spreadsheetml/2006/main" r="U19" s="23">
        <f t="shared" si="0"/>
        <v>0.0</v>
      </c>
      <c xmlns="http://schemas.openxmlformats.org/spreadsheetml/2006/main" r="V19" s="22" t="str">
        <f t="shared" si="1"/>
        <v>○ 免調理</v>
      </c>
      <c xmlns="http://schemas.openxmlformats.org/spreadsheetml/2006/main" r="W19" s="18" t="str">
        <f t="shared" si="2"/>
        <v>免調理半成品（外購/僅切配等），不列入設備風險評估</v>
      </c>
      <c r="X19" s="22" t="s">
        <v>387</v>
      </c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745</v>
      </c>
      <c r="B20" s="22" t="s">
        <v>127</v>
      </c>
      <c r="C20" s="22" t="s">
        <v>666</v>
      </c>
      <c r="D20" s="22" t="s">
        <v>352</v>
      </c>
      <c r="E20" s="50" t="s">
        <v>350</v>
      </c>
      <c r="F20" s="51">
        <v>1</v>
      </c>
      <c r="G20" s="51" t="s">
        <v>77</v>
      </c>
      <c r="H20" s="52">
        <v>99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438</v>
      </c>
      <c xmlns="http://schemas.openxmlformats.org/spreadsheetml/2006/main" r="U20" s="23">
        <f t="shared" si="0"/>
        <v>0.0</v>
      </c>
      <c xmlns="http://schemas.openxmlformats.org/spreadsheetml/2006/main" r="V20" s="22" t="str">
        <f t="shared" si="1"/>
        <v>○ 免調理</v>
      </c>
      <c xmlns="http://schemas.openxmlformats.org/spreadsheetml/2006/main" r="W20" s="18" t="str">
        <f t="shared" si="2"/>
        <v>免調理半成品（外購/僅切配等），不列入設備風險評估</v>
      </c>
      <c r="X20" s="22" t="s">
        <v>387</v>
      </c>
      <c r="Y20" s="22"/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745</v>
      </c>
      <c r="B21" s="22" t="s">
        <v>127</v>
      </c>
      <c r="C21" s="22" t="s">
        <v>666</v>
      </c>
      <c r="D21" s="22" t="s">
        <v>352</v>
      </c>
      <c r="E21" s="50" t="s">
        <v>351</v>
      </c>
      <c r="F21" s="51">
        <v>1</v>
      </c>
      <c r="G21" s="51" t="s">
        <v>77</v>
      </c>
      <c r="H21" s="52">
        <v>99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76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1"/>
        <v>○ 免調理</v>
      </c>
      <c xmlns="http://schemas.openxmlformats.org/spreadsheetml/2006/main" r="W21" s="18" t="str">
        <f t="shared" si="2"/>
        <v>免調理半成品（外購/僅切配等），不列入設備風險評估</v>
      </c>
      <c r="X21" s="22" t="s">
        <v>387</v>
      </c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745</v>
      </c>
      <c r="B22" s="22" t="s">
        <v>127</v>
      </c>
      <c r="C22" s="22" t="s">
        <v>666</v>
      </c>
      <c r="D22" s="22" t="s">
        <v>353</v>
      </c>
      <c r="E22" s="50" t="s">
        <v>346</v>
      </c>
      <c r="F22" s="51">
        <v>6</v>
      </c>
      <c r="G22" s="51" t="s">
        <v>75</v>
      </c>
      <c r="H22" s="52">
        <v>97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 t="s">
        <v>76</v>
      </c>
      <c xmlns="http://schemas.openxmlformats.org/spreadsheetml/2006/main" r="U22" s="23">
        <f t="shared" si="0"/>
        <v>0.0</v>
      </c>
      <c xmlns="http://schemas.openxmlformats.org/spreadsheetml/2006/main" r="V22" s="22" t="str">
        <f t="shared" si="1"/>
        <v>○ 免調理</v>
      </c>
      <c xmlns="http://schemas.openxmlformats.org/spreadsheetml/2006/main" r="W22" s="18" t="str">
        <f t="shared" si="2"/>
        <v>免調理半成品（外購/僅切配等），不列入設備風險評估</v>
      </c>
      <c r="X22" s="22" t="s">
        <v>389</v>
      </c>
      <c r="Y22" s="22"/>
      <c xmlns="http://schemas.openxmlformats.org/spreadsheetml/2006/main" r="Z22">
        <f>IF($D22="",0,IF(COUNTIF($D$5:$D22,$D22)=1,1,0))</f>
        <v>1.0</v>
      </c>
      <c xmlns="http://schemas.openxmlformats.org/spreadsheetml/2006/main" r="AA22">
        <f>IF(Z22=1,SUM($Z$5:$Z22),"")</f>
        <v>5.0</v>
      </c>
    </row>
    <row r="23" spans="1:27">
      <c r="A23" s="22" t="s">
        <v>745</v>
      </c>
      <c r="B23" s="22" t="s">
        <v>127</v>
      </c>
      <c r="C23" s="22" t="s">
        <v>666</v>
      </c>
      <c r="D23" s="22" t="s">
        <v>353</v>
      </c>
      <c r="E23" s="50" t="s">
        <v>354</v>
      </c>
      <c r="F23" s="51">
        <v>1</v>
      </c>
      <c r="G23" s="51" t="s">
        <v>77</v>
      </c>
      <c r="H23" s="52">
        <v>99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 t="s">
        <v>76</v>
      </c>
      <c xmlns="http://schemas.openxmlformats.org/spreadsheetml/2006/main" r="U23" s="23">
        <f t="shared" si="0"/>
        <v>0.0</v>
      </c>
      <c xmlns="http://schemas.openxmlformats.org/spreadsheetml/2006/main" r="V23" s="22" t="str">
        <f t="shared" si="1"/>
        <v>○ 免調理</v>
      </c>
      <c xmlns="http://schemas.openxmlformats.org/spreadsheetml/2006/main" r="W23" s="18" t="str">
        <f t="shared" si="2"/>
        <v>免調理半成品（外購/僅切配等），不列入設備風險評估</v>
      </c>
      <c r="X23" s="22" t="s">
        <v>389</v>
      </c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745</v>
      </c>
      <c r="B24" s="22" t="s">
        <v>127</v>
      </c>
      <c r="C24" s="22" t="s">
        <v>666</v>
      </c>
      <c r="D24" s="22" t="s">
        <v>341</v>
      </c>
      <c r="E24" s="50" t="s">
        <v>355</v>
      </c>
      <c r="F24" s="51">
        <v>1</v>
      </c>
      <c r="G24" s="51" t="s">
        <v>77</v>
      </c>
      <c r="H24" s="52">
        <v>99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 t="s">
        <v>76</v>
      </c>
      <c xmlns="http://schemas.openxmlformats.org/spreadsheetml/2006/main" r="U24" s="23">
        <f t="shared" si="0"/>
        <v>0.0</v>
      </c>
      <c xmlns="http://schemas.openxmlformats.org/spreadsheetml/2006/main" r="V24" s="22" t="str">
        <f t="shared" si="1"/>
        <v>○ 免調理</v>
      </c>
      <c xmlns="http://schemas.openxmlformats.org/spreadsheetml/2006/main" r="W24" s="18" t="str">
        <f t="shared" si="2"/>
        <v>免調理半成品（外購/僅切配等），不列入設備風險評估</v>
      </c>
      <c r="X24" s="22" t="s">
        <v>389</v>
      </c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745</v>
      </c>
      <c r="B25" s="22" t="s">
        <v>127</v>
      </c>
      <c r="C25" s="22" t="s">
        <v>666</v>
      </c>
      <c r="D25" s="22" t="s">
        <v>341</v>
      </c>
      <c r="E25" s="50" t="s">
        <v>443</v>
      </c>
      <c r="F25" s="51">
        <v>300</v>
      </c>
      <c r="G25" s="51" t="s">
        <v>75</v>
      </c>
      <c r="H25" s="52">
        <v>192.5</v>
      </c>
      <c r="I25" s="25"/>
      <c r="J25" s="25" t="s">
        <v>76</v>
      </c>
      <c r="K25" s="25"/>
      <c r="L25" s="25"/>
      <c r="M25" s="25"/>
      <c r="N25" s="25"/>
      <c r="O25" s="25"/>
      <c r="P25" s="25"/>
      <c r="Q25" s="25"/>
      <c r="R25" s="25"/>
      <c r="S25" s="25"/>
      <c r="T25" s="26"/>
      <c xmlns="http://schemas.openxmlformats.org/spreadsheetml/2006/main" r="U25" s="23">
        <f t="shared" si="0"/>
        <v>1.0</v>
      </c>
      <c xmlns="http://schemas.openxmlformats.org/spreadsheetml/2006/main" r="V25" s="22" t="str">
        <f t="shared" si="1"/>
        <v>▲ 單一設備依賴</v>
      </c>
      <c xmlns="http://schemas.openxmlformats.org/spreadsheetml/2006/main" r="W25" s="18" t="str">
        <f t="shared" si="2"/>
        <v>僅依賴1台設備，須確認故障/排修時之備援製程</v>
      </c>
      <c r="X25" s="22" t="s">
        <v>389</v>
      </c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745</v>
      </c>
      <c r="B26" s="22" t="s">
        <v>127</v>
      </c>
      <c r="C26" s="22" t="s">
        <v>666</v>
      </c>
      <c r="D26" s="22" t="s">
        <v>341</v>
      </c>
      <c r="E26" s="50" t="s">
        <v>444</v>
      </c>
      <c r="F26" s="51">
        <v>30</v>
      </c>
      <c r="G26" s="51" t="s">
        <v>75</v>
      </c>
      <c r="H26" s="52">
        <v>95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47" t="s">
        <v>438</v>
      </c>
      <c xmlns="http://schemas.openxmlformats.org/spreadsheetml/2006/main" r="U26" s="23">
        <f t="shared" si="0"/>
        <v>0.0</v>
      </c>
      <c xmlns="http://schemas.openxmlformats.org/spreadsheetml/2006/main" r="V26" s="22" t="str">
        <f t="shared" si="1"/>
        <v>○ 免調理</v>
      </c>
      <c xmlns="http://schemas.openxmlformats.org/spreadsheetml/2006/main" r="W26" s="18" t="str">
        <f t="shared" si="2"/>
        <v>免調理半成品（外購/僅切配等），不列入設備風險評估</v>
      </c>
      <c r="X26" s="22" t="s">
        <v>389</v>
      </c>
      <c r="Y26" s="22"/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745</v>
      </c>
      <c r="B27" s="22" t="s">
        <v>127</v>
      </c>
      <c r="C27" s="22" t="s">
        <v>666</v>
      </c>
      <c r="D27" s="22" t="s">
        <v>342</v>
      </c>
      <c r="E27" s="50" t="s">
        <v>346</v>
      </c>
      <c r="F27" s="51">
        <v>6</v>
      </c>
      <c r="G27" s="51" t="s">
        <v>75</v>
      </c>
      <c r="H27" s="52">
        <v>97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76</v>
      </c>
      <c xmlns="http://schemas.openxmlformats.org/spreadsheetml/2006/main" r="U27" s="23">
        <f t="shared" si="0"/>
        <v>0.0</v>
      </c>
      <c xmlns="http://schemas.openxmlformats.org/spreadsheetml/2006/main" r="V27" s="22" t="str">
        <f t="shared" si="1"/>
        <v>○ 免調理</v>
      </c>
      <c xmlns="http://schemas.openxmlformats.org/spreadsheetml/2006/main" r="W27" s="18" t="str">
        <f t="shared" si="2"/>
        <v>免調理半成品（外購/僅切配等），不列入設備風險評估</v>
      </c>
      <c r="X27" s="22" t="s">
        <v>390</v>
      </c>
      <c r="Y27" s="22"/>
      <c xmlns="http://schemas.openxmlformats.org/spreadsheetml/2006/main" r="Z27">
        <f>IF($D27="",0,IF(COUNTIF($D$5:$D27,$D27)=1,1,0))</f>
        <v>1.0</v>
      </c>
      <c xmlns="http://schemas.openxmlformats.org/spreadsheetml/2006/main" r="AA27">
        <f>IF(Z27=1,SUM($Z$5:$Z27),"")</f>
        <v>6.0</v>
      </c>
    </row>
    <row r="28" spans="1:27">
      <c r="A28" s="22" t="s">
        <v>745</v>
      </c>
      <c r="B28" s="22" t="s">
        <v>127</v>
      </c>
      <c r="C28" s="22" t="s">
        <v>666</v>
      </c>
      <c r="D28" s="22" t="s">
        <v>342</v>
      </c>
      <c r="E28" s="50" t="s">
        <v>354</v>
      </c>
      <c r="F28" s="51">
        <v>1</v>
      </c>
      <c r="G28" s="51" t="s">
        <v>77</v>
      </c>
      <c r="H28" s="52">
        <v>99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 t="s">
        <v>76</v>
      </c>
      <c xmlns="http://schemas.openxmlformats.org/spreadsheetml/2006/main" r="U28" s="23">
        <f t="shared" si="0"/>
        <v>0.0</v>
      </c>
      <c xmlns="http://schemas.openxmlformats.org/spreadsheetml/2006/main" r="V28" s="22" t="str">
        <f t="shared" si="1"/>
        <v>○ 免調理</v>
      </c>
      <c xmlns="http://schemas.openxmlformats.org/spreadsheetml/2006/main" r="W28" s="18" t="str">
        <f t="shared" si="2"/>
        <v>免調理半成品（外購/僅切配等），不列入設備風險評估</v>
      </c>
      <c r="X28" s="22" t="s">
        <v>390</v>
      </c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745</v>
      </c>
      <c r="B29" s="22" t="s">
        <v>127</v>
      </c>
      <c r="C29" s="22" t="s">
        <v>666</v>
      </c>
      <c r="D29" s="22" t="s">
        <v>342</v>
      </c>
      <c r="E29" s="50" t="s">
        <v>355</v>
      </c>
      <c r="F29" s="51">
        <v>1</v>
      </c>
      <c r="G29" s="51" t="s">
        <v>77</v>
      </c>
      <c r="H29" s="52">
        <v>99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 t="s">
        <v>76</v>
      </c>
      <c xmlns="http://schemas.openxmlformats.org/spreadsheetml/2006/main" r="U29" s="23">
        <f t="shared" si="0"/>
        <v>0.0</v>
      </c>
      <c xmlns="http://schemas.openxmlformats.org/spreadsheetml/2006/main" r="V29" s="22" t="str">
        <f t="shared" si="1"/>
        <v>○ 免調理</v>
      </c>
      <c xmlns="http://schemas.openxmlformats.org/spreadsheetml/2006/main" r="W29" s="18" t="str">
        <f t="shared" si="2"/>
        <v>免調理半成品（外購/僅切配等），不列入設備風險評估</v>
      </c>
      <c r="X29" s="22" t="s">
        <v>390</v>
      </c>
      <c r="Y29" s="22"/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 t="s">
        <v>745</v>
      </c>
      <c r="B30" s="22" t="s">
        <v>127</v>
      </c>
      <c r="C30" s="22" t="s">
        <v>666</v>
      </c>
      <c r="D30" s="22" t="s">
        <v>342</v>
      </c>
      <c r="E30" s="50" t="s">
        <v>443</v>
      </c>
      <c r="F30" s="51">
        <v>300</v>
      </c>
      <c r="G30" s="51" t="s">
        <v>75</v>
      </c>
      <c r="H30" s="52">
        <v>192.5</v>
      </c>
      <c r="I30" s="25"/>
      <c r="J30" s="25" t="s">
        <v>76</v>
      </c>
      <c r="K30" s="25"/>
      <c r="L30" s="25"/>
      <c r="M30" s="25"/>
      <c r="N30" s="25"/>
      <c r="O30" s="25"/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 t="s">
        <v>390</v>
      </c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745</v>
      </c>
      <c r="B31" s="22" t="s">
        <v>127</v>
      </c>
      <c r="C31" s="22" t="s">
        <v>666</v>
      </c>
      <c r="D31" s="22" t="s">
        <v>342</v>
      </c>
      <c r="E31" s="50" t="s">
        <v>444</v>
      </c>
      <c r="F31" s="51">
        <v>30</v>
      </c>
      <c r="G31" s="51" t="s">
        <v>75</v>
      </c>
      <c r="H31" s="52">
        <v>95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47" t="s">
        <v>438</v>
      </c>
      <c xmlns="http://schemas.openxmlformats.org/spreadsheetml/2006/main" r="U31" s="23">
        <f t="shared" si="0"/>
        <v>0.0</v>
      </c>
      <c xmlns="http://schemas.openxmlformats.org/spreadsheetml/2006/main" r="V31" s="22" t="str">
        <f t="shared" si="1"/>
        <v>○ 免調理</v>
      </c>
      <c xmlns="http://schemas.openxmlformats.org/spreadsheetml/2006/main" r="W31" s="18" t="str">
        <f t="shared" si="2"/>
        <v>免調理半成品（外購/僅切配等），不列入設備風險評估</v>
      </c>
      <c r="X31" s="22" t="s">
        <v>390</v>
      </c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744</v>
      </c>
      <c r="B32" s="22" t="s">
        <v>127</v>
      </c>
      <c r="C32" s="22" t="s">
        <v>666</v>
      </c>
      <c r="D32" s="22" t="s">
        <v>356</v>
      </c>
      <c r="E32" s="50" t="s">
        <v>357</v>
      </c>
      <c r="F32" s="51">
        <v>1</v>
      </c>
      <c r="G32" s="51" t="s">
        <v>77</v>
      </c>
      <c r="H32" s="52">
        <v>99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 t="s">
        <v>76</v>
      </c>
      <c xmlns="http://schemas.openxmlformats.org/spreadsheetml/2006/main" r="U32" s="23">
        <f t="shared" si="0"/>
        <v>0.0</v>
      </c>
      <c xmlns="http://schemas.openxmlformats.org/spreadsheetml/2006/main" r="V32" s="22" t="str">
        <f t="shared" si="1"/>
        <v>○ 免調理</v>
      </c>
      <c xmlns="http://schemas.openxmlformats.org/spreadsheetml/2006/main" r="W32" s="18" t="str">
        <f t="shared" si="2"/>
        <v>免調理半成品（外購/僅切配等），不列入設備風險評估</v>
      </c>
      <c r="X32" s="22" t="s">
        <v>396</v>
      </c>
      <c r="Y32" s="22"/>
      <c xmlns="http://schemas.openxmlformats.org/spreadsheetml/2006/main" r="Z32">
        <f>IF($D32="",0,IF(COUNTIF($D$5:$D32,$D32)=1,1,0))</f>
        <v>1.0</v>
      </c>
      <c xmlns="http://schemas.openxmlformats.org/spreadsheetml/2006/main" r="AA32">
        <f>IF(Z32=1,SUM($Z$5:$Z32),"")</f>
        <v>7.0</v>
      </c>
    </row>
    <row r="33" spans="1:27">
      <c r="A33" s="22" t="s">
        <v>744</v>
      </c>
      <c r="B33" s="22" t="s">
        <v>127</v>
      </c>
      <c r="C33" s="22" t="s">
        <v>666</v>
      </c>
      <c r="D33" s="22" t="s">
        <v>356</v>
      </c>
      <c r="E33" s="50" t="s">
        <v>358</v>
      </c>
      <c r="F33" s="51">
        <v>211</v>
      </c>
      <c r="G33" s="51" t="s">
        <v>75</v>
      </c>
      <c r="H33" s="52">
        <v>156.80000000000001</v>
      </c>
      <c r="I33" s="25"/>
      <c r="J33" s="25" t="s">
        <v>76</v>
      </c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>
        <f t="shared" si="0"/>
        <v>1.0</v>
      </c>
      <c xmlns="http://schemas.openxmlformats.org/spreadsheetml/2006/main" r="V33" s="22" t="str">
        <f t="shared" si="1"/>
        <v>▲ 單一設備依賴</v>
      </c>
      <c xmlns="http://schemas.openxmlformats.org/spreadsheetml/2006/main" r="W33" s="18" t="str">
        <f t="shared" si="2"/>
        <v>僅依賴1台設備，須確認故障/排修時之備援製程</v>
      </c>
      <c r="X33" s="22" t="s">
        <v>396</v>
      </c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 t="s">
        <v>744</v>
      </c>
      <c r="B34" s="22" t="s">
        <v>127</v>
      </c>
      <c r="C34" s="22" t="s">
        <v>666</v>
      </c>
      <c r="D34" s="22" t="s">
        <v>356</v>
      </c>
      <c r="E34" s="50" t="s">
        <v>442</v>
      </c>
      <c r="F34" s="51">
        <v>10</v>
      </c>
      <c r="G34" s="51" t="s">
        <v>75</v>
      </c>
      <c r="H34" s="52">
        <v>75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47" t="s">
        <v>438</v>
      </c>
      <c xmlns="http://schemas.openxmlformats.org/spreadsheetml/2006/main" r="U34" s="23">
        <f t="shared" si="0"/>
        <v>0.0</v>
      </c>
      <c xmlns="http://schemas.openxmlformats.org/spreadsheetml/2006/main" r="V34" s="22" t="str">
        <f t="shared" si="1"/>
        <v>○ 免調理</v>
      </c>
      <c xmlns="http://schemas.openxmlformats.org/spreadsheetml/2006/main" r="W34" s="18" t="str">
        <f t="shared" si="2"/>
        <v>免調理半成品（外購/僅切配等），不列入設備風險評估</v>
      </c>
      <c r="X34" s="22" t="s">
        <v>396</v>
      </c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744</v>
      </c>
      <c r="B35" s="22" t="s">
        <v>127</v>
      </c>
      <c r="C35" s="22" t="s">
        <v>666</v>
      </c>
      <c r="D35" s="22" t="s">
        <v>356</v>
      </c>
      <c r="E35" s="50" t="s">
        <v>445</v>
      </c>
      <c r="F35" s="51">
        <v>12</v>
      </c>
      <c r="G35" s="51" t="s">
        <v>75</v>
      </c>
      <c r="H35" s="52">
        <v>79.900000000000006</v>
      </c>
      <c r="I35" s="25"/>
      <c r="J35" s="25"/>
      <c r="K35" s="25"/>
      <c r="L35" s="25"/>
      <c r="M35" s="25" t="s">
        <v>76</v>
      </c>
      <c r="N35" s="25"/>
      <c r="O35" s="25"/>
      <c r="P35" s="25"/>
      <c r="Q35" s="25"/>
      <c r="R35" s="25"/>
      <c r="S35" s="25"/>
      <c r="T35" s="26"/>
      <c xmlns="http://schemas.openxmlformats.org/spreadsheetml/2006/main" r="U35" s="23">
        <f t="shared" si="0"/>
        <v>1.0</v>
      </c>
      <c xmlns="http://schemas.openxmlformats.org/spreadsheetml/2006/main" r="V35" s="22" t="str">
        <f t="shared" si="1"/>
        <v>▲ 單一設備依賴</v>
      </c>
      <c xmlns="http://schemas.openxmlformats.org/spreadsheetml/2006/main" r="W35" s="18" t="str">
        <f t="shared" si="2"/>
        <v>僅依賴1台設備，須確認故障/排修時之備援製程</v>
      </c>
      <c r="X35" s="22" t="s">
        <v>396</v>
      </c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 t="s">
        <v>744</v>
      </c>
      <c r="B36" s="22" t="s">
        <v>127</v>
      </c>
      <c r="C36" s="22" t="s">
        <v>666</v>
      </c>
      <c r="D36" s="22" t="s">
        <v>356</v>
      </c>
      <c r="E36" s="50" t="s">
        <v>360</v>
      </c>
      <c r="F36" s="51">
        <v>30</v>
      </c>
      <c r="G36" s="51" t="s">
        <v>75</v>
      </c>
      <c r="H36" s="52">
        <v>63.96</v>
      </c>
      <c r="I36" s="25"/>
      <c r="J36" s="25"/>
      <c r="K36" s="25"/>
      <c r="L36" s="25"/>
      <c r="M36" s="25"/>
      <c r="N36" s="25"/>
      <c r="O36" s="25" t="s">
        <v>76</v>
      </c>
      <c r="P36" s="25"/>
      <c r="Q36" s="25"/>
      <c r="R36" s="25"/>
      <c r="S36" s="25"/>
      <c r="T36" s="26"/>
      <c xmlns="http://schemas.openxmlformats.org/spreadsheetml/2006/main" r="U36" s="23">
        <f t="shared" si="0"/>
        <v>1.0</v>
      </c>
      <c xmlns="http://schemas.openxmlformats.org/spreadsheetml/2006/main" r="V36" s="22" t="str">
        <f t="shared" si="1"/>
        <v>▲ 單一設備依賴</v>
      </c>
      <c xmlns="http://schemas.openxmlformats.org/spreadsheetml/2006/main" r="W36" s="18" t="str">
        <f t="shared" si="2"/>
        <v>僅依賴1台設備，須確認故障/排修時之備援製程</v>
      </c>
      <c r="X36" s="22" t="s">
        <v>396</v>
      </c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 t="s">
        <v>744</v>
      </c>
      <c r="B37" s="22" t="s">
        <v>127</v>
      </c>
      <c r="C37" s="22" t="s">
        <v>666</v>
      </c>
      <c r="D37" s="22" t="s">
        <v>361</v>
      </c>
      <c r="E37" s="50" t="s">
        <v>357</v>
      </c>
      <c r="F37" s="51">
        <v>1</v>
      </c>
      <c r="G37" s="51" t="s">
        <v>77</v>
      </c>
      <c r="H37" s="52">
        <v>99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 t="s">
        <v>76</v>
      </c>
      <c xmlns="http://schemas.openxmlformats.org/spreadsheetml/2006/main" r="U37" s="23">
        <f t="shared" si="0"/>
        <v>0.0</v>
      </c>
      <c xmlns="http://schemas.openxmlformats.org/spreadsheetml/2006/main" r="V37" s="22" t="str">
        <f t="shared" si="1"/>
        <v>○ 免調理</v>
      </c>
      <c xmlns="http://schemas.openxmlformats.org/spreadsheetml/2006/main" r="W37" s="18" t="str">
        <f t="shared" si="2"/>
        <v>免調理半成品（外購/僅切配等），不列入設備風險評估</v>
      </c>
      <c r="X37" s="22" t="s">
        <v>391</v>
      </c>
      <c r="Y37" s="22"/>
      <c xmlns="http://schemas.openxmlformats.org/spreadsheetml/2006/main" r="Z37">
        <f>IF($D37="",0,IF(COUNTIF($D$5:$D37,$D37)=1,1,0))</f>
        <v>1.0</v>
      </c>
      <c xmlns="http://schemas.openxmlformats.org/spreadsheetml/2006/main" r="AA37">
        <f>IF(Z37=1,SUM($Z$5:$Z37),"")</f>
        <v>8.0</v>
      </c>
    </row>
    <row r="38" spans="1:27">
      <c r="A38" s="22" t="s">
        <v>744</v>
      </c>
      <c r="B38" s="22" t="s">
        <v>127</v>
      </c>
      <c r="C38" s="22" t="s">
        <v>666</v>
      </c>
      <c r="D38" s="22" t="s">
        <v>361</v>
      </c>
      <c r="E38" s="50" t="s">
        <v>446</v>
      </c>
      <c r="F38" s="51">
        <v>10</v>
      </c>
      <c r="G38" s="51" t="s">
        <v>75</v>
      </c>
      <c r="H38" s="52">
        <v>100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">
        <v>76</v>
      </c>
      <c xmlns="http://schemas.openxmlformats.org/spreadsheetml/2006/main" r="U38" s="23">
        <f t="shared" si="0"/>
        <v>0.0</v>
      </c>
      <c xmlns="http://schemas.openxmlformats.org/spreadsheetml/2006/main" r="V38" s="22" t="str">
        <f t="shared" si="1"/>
        <v>○ 免調理</v>
      </c>
      <c xmlns="http://schemas.openxmlformats.org/spreadsheetml/2006/main" r="W38" s="18" t="str">
        <f t="shared" si="2"/>
        <v>免調理半成品（外購/僅切配等），不列入設備風險評估</v>
      </c>
      <c r="X38" s="22" t="s">
        <v>391</v>
      </c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744</v>
      </c>
      <c r="B39" s="22" t="s">
        <v>127</v>
      </c>
      <c r="C39" s="22" t="s">
        <v>666</v>
      </c>
      <c r="D39" s="22" t="s">
        <v>361</v>
      </c>
      <c r="E39" s="50" t="s">
        <v>362</v>
      </c>
      <c r="F39" s="51">
        <v>183</v>
      </c>
      <c r="G39" s="51" t="s">
        <v>75</v>
      </c>
      <c r="H39" s="52">
        <v>146.19999999999999</v>
      </c>
      <c r="I39" s="25"/>
      <c r="J39" s="25" t="s">
        <v>76</v>
      </c>
      <c r="K39" s="25"/>
      <c r="L39" s="25"/>
      <c r="M39" s="25"/>
      <c r="N39" s="25"/>
      <c r="O39" s="25"/>
      <c r="P39" s="25"/>
      <c r="Q39" s="25"/>
      <c r="R39" s="25"/>
      <c r="S39" s="25"/>
      <c r="T39" s="26"/>
      <c xmlns="http://schemas.openxmlformats.org/spreadsheetml/2006/main" r="U39" s="23">
        <f t="shared" si="0"/>
        <v>1.0</v>
      </c>
      <c xmlns="http://schemas.openxmlformats.org/spreadsheetml/2006/main" r="V39" s="22" t="str">
        <f t="shared" si="1"/>
        <v>▲ 單一設備依賴</v>
      </c>
      <c xmlns="http://schemas.openxmlformats.org/spreadsheetml/2006/main" r="W39" s="18" t="str">
        <f t="shared" si="2"/>
        <v>僅依賴1台設備，須確認故障/排修時之備援製程</v>
      </c>
      <c r="X39" s="22" t="s">
        <v>391</v>
      </c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744</v>
      </c>
      <c r="B40" s="22" t="s">
        <v>127</v>
      </c>
      <c r="C40" s="22" t="s">
        <v>666</v>
      </c>
      <c r="D40" s="22" t="s">
        <v>361</v>
      </c>
      <c r="E40" s="50" t="s">
        <v>447</v>
      </c>
      <c r="F40" s="51">
        <v>7</v>
      </c>
      <c r="G40" s="51" t="s">
        <v>75</v>
      </c>
      <c r="H40" s="52">
        <v>75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47" t="s">
        <v>76</v>
      </c>
      <c xmlns="http://schemas.openxmlformats.org/spreadsheetml/2006/main" r="U40" s="23">
        <f t="shared" si="0"/>
        <v>0.0</v>
      </c>
      <c xmlns="http://schemas.openxmlformats.org/spreadsheetml/2006/main" r="V40" s="22" t="str">
        <f t="shared" si="1"/>
        <v>○ 免調理</v>
      </c>
      <c xmlns="http://schemas.openxmlformats.org/spreadsheetml/2006/main" r="W40" s="18" t="str">
        <f t="shared" si="2"/>
        <v>免調理半成品（外購/僅切配等），不列入設備風險評估</v>
      </c>
      <c r="X40" s="22" t="s">
        <v>391</v>
      </c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 t="s">
        <v>744</v>
      </c>
      <c r="B41" s="22" t="s">
        <v>127</v>
      </c>
      <c r="C41" s="22" t="s">
        <v>666</v>
      </c>
      <c r="D41" s="22" t="s">
        <v>361</v>
      </c>
      <c r="E41" s="50" t="s">
        <v>448</v>
      </c>
      <c r="F41" s="51">
        <v>10</v>
      </c>
      <c r="G41" s="51" t="s">
        <v>75</v>
      </c>
      <c r="H41" s="52">
        <v>80</v>
      </c>
      <c r="I41" s="25"/>
      <c r="J41" s="25"/>
      <c r="K41" s="25"/>
      <c r="L41" s="25"/>
      <c r="M41" s="25" t="s">
        <v>76</v>
      </c>
      <c r="N41" s="25"/>
      <c r="O41" s="25"/>
      <c r="P41" s="25"/>
      <c r="Q41" s="25"/>
      <c r="R41" s="25"/>
      <c r="S41" s="25"/>
      <c r="T41" s="26"/>
      <c xmlns="http://schemas.openxmlformats.org/spreadsheetml/2006/main" r="U41" s="23">
        <f t="shared" si="0"/>
        <v>1.0</v>
      </c>
      <c xmlns="http://schemas.openxmlformats.org/spreadsheetml/2006/main" r="V41" s="22" t="str">
        <f t="shared" si="1"/>
        <v>▲ 單一設備依賴</v>
      </c>
      <c xmlns="http://schemas.openxmlformats.org/spreadsheetml/2006/main" r="W41" s="18" t="str">
        <f t="shared" si="2"/>
        <v>僅依賴1台設備，須確認故障/排修時之備援製程</v>
      </c>
      <c r="X41" s="22" t="s">
        <v>391</v>
      </c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744</v>
      </c>
      <c r="B42" s="22" t="s">
        <v>127</v>
      </c>
      <c r="C42" s="22" t="s">
        <v>666</v>
      </c>
      <c r="D42" s="22" t="s">
        <v>361</v>
      </c>
      <c r="E42" s="50" t="s">
        <v>359</v>
      </c>
      <c r="F42" s="51">
        <v>22</v>
      </c>
      <c r="G42" s="51" t="s">
        <v>75</v>
      </c>
      <c r="H42" s="52">
        <v>79.900000000000006</v>
      </c>
      <c r="I42" s="25"/>
      <c r="J42" s="25"/>
      <c r="K42" s="25"/>
      <c r="L42" s="25"/>
      <c r="M42" s="25" t="s">
        <v>76</v>
      </c>
      <c r="N42" s="25"/>
      <c r="O42" s="25"/>
      <c r="P42" s="25"/>
      <c r="Q42" s="25"/>
      <c r="R42" s="25"/>
      <c r="S42" s="25"/>
      <c r="T42" s="26"/>
      <c xmlns="http://schemas.openxmlformats.org/spreadsheetml/2006/main" r="U42" s="23">
        <f t="shared" si="0"/>
        <v>1.0</v>
      </c>
      <c xmlns="http://schemas.openxmlformats.org/spreadsheetml/2006/main" r="V42" s="22" t="str">
        <f t="shared" si="1"/>
        <v>▲ 單一設備依賴</v>
      </c>
      <c xmlns="http://schemas.openxmlformats.org/spreadsheetml/2006/main" r="W42" s="18" t="str">
        <f t="shared" si="2"/>
        <v>僅依賴1台設備，須確認故障/排修時之備援製程</v>
      </c>
      <c r="X42" s="22" t="s">
        <v>391</v>
      </c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744</v>
      </c>
      <c r="B43" s="22" t="s">
        <v>127</v>
      </c>
      <c r="C43" s="22" t="s">
        <v>666</v>
      </c>
      <c r="D43" s="22" t="s">
        <v>363</v>
      </c>
      <c r="E43" s="50" t="s">
        <v>344</v>
      </c>
      <c r="F43" s="51">
        <v>1</v>
      </c>
      <c r="G43" s="51" t="s">
        <v>77</v>
      </c>
      <c r="H43" s="52">
        <v>99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 t="s">
        <v>76</v>
      </c>
      <c xmlns="http://schemas.openxmlformats.org/spreadsheetml/2006/main" r="U43" s="23">
        <f t="shared" si="0"/>
        <v>0.0</v>
      </c>
      <c xmlns="http://schemas.openxmlformats.org/spreadsheetml/2006/main" r="V43" s="22" t="str">
        <f t="shared" si="1"/>
        <v>○ 免調理</v>
      </c>
      <c xmlns="http://schemas.openxmlformats.org/spreadsheetml/2006/main" r="W43" s="18" t="str">
        <f t="shared" si="2"/>
        <v>免調理半成品（外購/僅切配等），不列入設備風險評估</v>
      </c>
      <c r="X43" s="22" t="s">
        <v>393</v>
      </c>
      <c r="Y43" s="22"/>
      <c xmlns="http://schemas.openxmlformats.org/spreadsheetml/2006/main" r="Z43">
        <f>IF($D43="",0,IF(COUNTIF($D$5:$D43,$D43)=1,1,0))</f>
        <v>1.0</v>
      </c>
      <c xmlns="http://schemas.openxmlformats.org/spreadsheetml/2006/main" r="AA43">
        <f>IF(Z43=1,SUM($Z$5:$Z43),"")</f>
        <v>9.0</v>
      </c>
    </row>
    <row r="44" spans="1:27">
      <c r="A44" s="22" t="s">
        <v>744</v>
      </c>
      <c r="B44" s="22" t="s">
        <v>127</v>
      </c>
      <c r="C44" s="22" t="s">
        <v>666</v>
      </c>
      <c r="D44" s="22" t="s">
        <v>363</v>
      </c>
      <c r="E44" s="50" t="s">
        <v>364</v>
      </c>
      <c r="F44" s="51">
        <v>1</v>
      </c>
      <c r="G44" s="51" t="s">
        <v>77</v>
      </c>
      <c r="H44" s="52">
        <v>99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 t="s">
        <v>76</v>
      </c>
      <c xmlns="http://schemas.openxmlformats.org/spreadsheetml/2006/main" r="U44" s="23">
        <f t="shared" si="0"/>
        <v>0.0</v>
      </c>
      <c xmlns="http://schemas.openxmlformats.org/spreadsheetml/2006/main" r="V44" s="22" t="str">
        <f t="shared" si="1"/>
        <v>○ 免調理</v>
      </c>
      <c xmlns="http://schemas.openxmlformats.org/spreadsheetml/2006/main" r="W44" s="18" t="str">
        <f t="shared" si="2"/>
        <v>免調理半成品（外購/僅切配等），不列入設備風險評估</v>
      </c>
      <c r="X44" s="22" t="s">
        <v>393</v>
      </c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 t="s">
        <v>744</v>
      </c>
      <c r="B45" s="22" t="s">
        <v>127</v>
      </c>
      <c r="C45" s="22" t="s">
        <v>666</v>
      </c>
      <c r="D45" s="22" t="s">
        <v>363</v>
      </c>
      <c r="E45" s="50" t="s">
        <v>365</v>
      </c>
      <c r="F45" s="51">
        <v>210</v>
      </c>
      <c r="G45" s="51" t="s">
        <v>75</v>
      </c>
      <c r="H45" s="52">
        <v>145.30000000000001</v>
      </c>
      <c r="I45" s="25"/>
      <c r="J45" s="25" t="s">
        <v>76</v>
      </c>
      <c r="K45" s="25"/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>
        <f t="shared" si="0"/>
        <v>1.0</v>
      </c>
      <c xmlns="http://schemas.openxmlformats.org/spreadsheetml/2006/main" r="V45" s="22" t="str">
        <f t="shared" si="1"/>
        <v>▲ 單一設備依賴</v>
      </c>
      <c xmlns="http://schemas.openxmlformats.org/spreadsheetml/2006/main" r="W45" s="18" t="str">
        <f t="shared" si="2"/>
        <v>僅依賴1台設備，須確認故障/排修時之備援製程</v>
      </c>
      <c r="X45" s="22" t="s">
        <v>393</v>
      </c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744</v>
      </c>
      <c r="B46" s="22" t="s">
        <v>127</v>
      </c>
      <c r="C46" s="22" t="s">
        <v>666</v>
      </c>
      <c r="D46" s="22" t="s">
        <v>363</v>
      </c>
      <c r="E46" s="50" t="s">
        <v>449</v>
      </c>
      <c r="F46" s="51">
        <v>10</v>
      </c>
      <c r="G46" s="51" t="s">
        <v>75</v>
      </c>
      <c r="H46" s="52">
        <v>850</v>
      </c>
      <c r="I46" s="25"/>
      <c r="J46" s="25"/>
      <c r="K46" s="25"/>
      <c r="L46" s="25"/>
      <c r="M46" s="25"/>
      <c r="N46" s="25"/>
      <c r="O46" s="25" t="s">
        <v>76</v>
      </c>
      <c r="P46" s="25"/>
      <c r="Q46" s="25"/>
      <c r="R46" s="25"/>
      <c r="S46" s="25"/>
      <c r="T46" s="26"/>
      <c xmlns="http://schemas.openxmlformats.org/spreadsheetml/2006/main" r="U46" s="23">
        <f t="shared" si="0"/>
        <v>1.0</v>
      </c>
      <c xmlns="http://schemas.openxmlformats.org/spreadsheetml/2006/main" r="V46" s="22" t="str">
        <f t="shared" si="1"/>
        <v>▲ 單一設備依賴</v>
      </c>
      <c xmlns="http://schemas.openxmlformats.org/spreadsheetml/2006/main" r="W46" s="18" t="str">
        <f t="shared" si="2"/>
        <v>僅依賴1台設備，須確認故障/排修時之備援製程</v>
      </c>
      <c r="X46" s="22" t="s">
        <v>393</v>
      </c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 t="s">
        <v>744</v>
      </c>
      <c r="B47" s="22" t="s">
        <v>127</v>
      </c>
      <c r="C47" s="22" t="s">
        <v>666</v>
      </c>
      <c r="D47" s="22" t="s">
        <v>363</v>
      </c>
      <c r="E47" s="50" t="s">
        <v>441</v>
      </c>
      <c r="F47" s="51">
        <v>6</v>
      </c>
      <c r="G47" s="51" t="s">
        <v>75</v>
      </c>
      <c r="H47" s="52">
        <v>70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47" t="s">
        <v>76</v>
      </c>
      <c xmlns="http://schemas.openxmlformats.org/spreadsheetml/2006/main" r="U47" s="23">
        <f t="shared" si="0"/>
        <v>0.0</v>
      </c>
      <c xmlns="http://schemas.openxmlformats.org/spreadsheetml/2006/main" r="V47" s="22" t="str">
        <f t="shared" si="1"/>
        <v>○ 免調理</v>
      </c>
      <c xmlns="http://schemas.openxmlformats.org/spreadsheetml/2006/main" r="W47" s="18" t="str">
        <f t="shared" si="2"/>
        <v>免調理半成品（外購/僅切配等），不列入設備風險評估</v>
      </c>
      <c r="X47" s="22" t="s">
        <v>393</v>
      </c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 t="s">
        <v>744</v>
      </c>
      <c r="B48" s="22" t="s">
        <v>127</v>
      </c>
      <c r="C48" s="22" t="s">
        <v>666</v>
      </c>
      <c r="D48" s="22" t="s">
        <v>366</v>
      </c>
      <c r="E48" s="50" t="s">
        <v>450</v>
      </c>
      <c r="F48" s="51">
        <v>1</v>
      </c>
      <c r="G48" s="51" t="s">
        <v>77</v>
      </c>
      <c r="H48" s="52">
        <v>99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 t="s">
        <v>76</v>
      </c>
      <c xmlns="http://schemas.openxmlformats.org/spreadsheetml/2006/main" r="U48" s="23">
        <f t="shared" si="0"/>
        <v>0.0</v>
      </c>
      <c xmlns="http://schemas.openxmlformats.org/spreadsheetml/2006/main" r="V48" s="22" t="str">
        <f t="shared" si="1"/>
        <v>○ 免調理</v>
      </c>
      <c xmlns="http://schemas.openxmlformats.org/spreadsheetml/2006/main" r="W48" s="18" t="str">
        <f t="shared" si="2"/>
        <v>免調理半成品（外購/僅切配等），不列入設備風險評估</v>
      </c>
      <c r="X48" s="22" t="s">
        <v>394</v>
      </c>
      <c r="Y48" s="22"/>
      <c xmlns="http://schemas.openxmlformats.org/spreadsheetml/2006/main" r="Z48">
        <f>IF($D48="",0,IF(COUNTIF($D$5:$D48,$D48)=1,1,0))</f>
        <v>1.0</v>
      </c>
      <c xmlns="http://schemas.openxmlformats.org/spreadsheetml/2006/main" r="AA48">
        <f>IF(Z48=1,SUM($Z$5:$Z48),"")</f>
        <v>10.0</v>
      </c>
    </row>
    <row r="49" spans="1:27">
      <c r="A49" s="22" t="s">
        <v>744</v>
      </c>
      <c r="B49" s="22" t="s">
        <v>127</v>
      </c>
      <c r="C49" s="22" t="s">
        <v>666</v>
      </c>
      <c r="D49" s="22" t="s">
        <v>366</v>
      </c>
      <c r="E49" s="50" t="s">
        <v>367</v>
      </c>
      <c r="F49" s="51">
        <v>1</v>
      </c>
      <c r="G49" s="51" t="s">
        <v>77</v>
      </c>
      <c r="H49" s="52">
        <v>99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 t="s">
        <v>76</v>
      </c>
      <c xmlns="http://schemas.openxmlformats.org/spreadsheetml/2006/main" r="U49" s="23">
        <f t="shared" si="0"/>
        <v>0.0</v>
      </c>
      <c xmlns="http://schemas.openxmlformats.org/spreadsheetml/2006/main" r="V49" s="22" t="str">
        <f t="shared" si="1"/>
        <v>○ 免調理</v>
      </c>
      <c xmlns="http://schemas.openxmlformats.org/spreadsheetml/2006/main" r="W49" s="18" t="str">
        <f t="shared" si="2"/>
        <v>免調理半成品（外購/僅切配等），不列入設備風險評估</v>
      </c>
      <c r="X49" s="22" t="s">
        <v>394</v>
      </c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744</v>
      </c>
      <c r="B50" s="22" t="s">
        <v>127</v>
      </c>
      <c r="C50" s="22" t="s">
        <v>666</v>
      </c>
      <c r="D50" s="22" t="s">
        <v>366</v>
      </c>
      <c r="E50" s="50" t="s">
        <v>451</v>
      </c>
      <c r="F50" s="51">
        <v>190</v>
      </c>
      <c r="G50" s="51" t="s">
        <v>75</v>
      </c>
      <c r="H50" s="52">
        <v>100.6</v>
      </c>
      <c r="I50" s="25"/>
      <c r="J50" s="25" t="s">
        <v>76</v>
      </c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>
        <f t="shared" si="0"/>
        <v>1.0</v>
      </c>
      <c xmlns="http://schemas.openxmlformats.org/spreadsheetml/2006/main" r="V50" s="22" t="str">
        <f t="shared" si="1"/>
        <v>▲ 單一設備依賴</v>
      </c>
      <c xmlns="http://schemas.openxmlformats.org/spreadsheetml/2006/main" r="W50" s="18" t="str">
        <f t="shared" si="2"/>
        <v>僅依賴1台設備，須確認故障/排修時之備援製程</v>
      </c>
      <c r="X50" s="22" t="s">
        <v>394</v>
      </c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 t="s">
        <v>744</v>
      </c>
      <c r="B51" s="22" t="s">
        <v>127</v>
      </c>
      <c r="C51" s="22" t="s">
        <v>666</v>
      </c>
      <c r="D51" s="22" t="s">
        <v>366</v>
      </c>
      <c r="E51" s="50" t="s">
        <v>449</v>
      </c>
      <c r="F51" s="51">
        <v>27</v>
      </c>
      <c r="G51" s="51" t="s">
        <v>75</v>
      </c>
      <c r="H51" s="52">
        <v>51.4</v>
      </c>
      <c r="I51" s="25"/>
      <c r="J51" s="25"/>
      <c r="K51" s="25"/>
      <c r="L51" s="25"/>
      <c r="M51" s="25"/>
      <c r="N51" s="25"/>
      <c r="O51" s="25" t="s">
        <v>76</v>
      </c>
      <c r="P51" s="25"/>
      <c r="Q51" s="25"/>
      <c r="R51" s="25"/>
      <c r="S51" s="25"/>
      <c r="T51" s="26"/>
      <c xmlns="http://schemas.openxmlformats.org/spreadsheetml/2006/main" r="U51" s="23">
        <f t="shared" si="0"/>
        <v>1.0</v>
      </c>
      <c xmlns="http://schemas.openxmlformats.org/spreadsheetml/2006/main" r="V51" s="22" t="str">
        <f t="shared" si="1"/>
        <v>▲ 單一設備依賴</v>
      </c>
      <c xmlns="http://schemas.openxmlformats.org/spreadsheetml/2006/main" r="W51" s="18" t="str">
        <f t="shared" si="2"/>
        <v>僅依賴1台設備，須確認故障/排修時之備援製程</v>
      </c>
      <c r="X51" s="22" t="s">
        <v>394</v>
      </c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 t="s">
        <v>744</v>
      </c>
      <c r="B52" s="22" t="s">
        <v>127</v>
      </c>
      <c r="C52" s="22" t="s">
        <v>666</v>
      </c>
      <c r="D52" s="22" t="s">
        <v>366</v>
      </c>
      <c r="E52" s="50" t="s">
        <v>448</v>
      </c>
      <c r="F52" s="51">
        <v>10</v>
      </c>
      <c r="G52" s="51" t="s">
        <v>75</v>
      </c>
      <c r="H52" s="52">
        <v>80</v>
      </c>
      <c r="I52" s="25"/>
      <c r="J52" s="25"/>
      <c r="K52" s="25"/>
      <c r="L52" s="25"/>
      <c r="M52" s="25" t="s">
        <v>76</v>
      </c>
      <c r="N52" s="25"/>
      <c r="O52" s="25"/>
      <c r="P52" s="25"/>
      <c r="Q52" s="25"/>
      <c r="R52" s="25"/>
      <c r="S52" s="25"/>
      <c r="T52" s="26"/>
      <c xmlns="http://schemas.openxmlformats.org/spreadsheetml/2006/main" r="U52" s="23">
        <f t="shared" si="0"/>
        <v>1.0</v>
      </c>
      <c xmlns="http://schemas.openxmlformats.org/spreadsheetml/2006/main" r="V52" s="22" t="str">
        <f t="shared" si="1"/>
        <v>▲ 單一設備依賴</v>
      </c>
      <c xmlns="http://schemas.openxmlformats.org/spreadsheetml/2006/main" r="W52" s="18" t="str">
        <f t="shared" si="2"/>
        <v>僅依賴1台設備，須確認故障/排修時之備援製程</v>
      </c>
      <c r="X52" s="22" t="s">
        <v>394</v>
      </c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 t="s">
        <v>745</v>
      </c>
      <c r="B53" s="22" t="s">
        <v>127</v>
      </c>
      <c r="C53" s="22" t="s">
        <v>666</v>
      </c>
      <c r="D53" s="22" t="s">
        <v>635</v>
      </c>
      <c r="E53" s="22" t="s">
        <v>636</v>
      </c>
      <c r="F53" s="23">
        <v>190</v>
      </c>
      <c r="G53" s="51" t="s">
        <v>75</v>
      </c>
      <c r="H53" s="24">
        <v>156</v>
      </c>
      <c r="I53" s="25"/>
      <c r="J53" s="25" t="s">
        <v>76</v>
      </c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>
        <f t="shared" si="0"/>
        <v>1.0</v>
      </c>
      <c xmlns="http://schemas.openxmlformats.org/spreadsheetml/2006/main" r="V53" s="22" t="str">
        <f t="shared" si="1"/>
        <v>▲ 單一設備依賴</v>
      </c>
      <c xmlns="http://schemas.openxmlformats.org/spreadsheetml/2006/main" r="W53" s="18" t="str">
        <f t="shared" si="2"/>
        <v>僅依賴1台設備，須確認故障/排修時之備援製程</v>
      </c>
      <c r="X53" s="22" t="s">
        <v>637</v>
      </c>
      <c r="Y53" s="22" t="s">
        <v>467</v>
      </c>
      <c xmlns="http://schemas.openxmlformats.org/spreadsheetml/2006/main" r="Z53">
        <f>IF($D53="",0,IF(COUNTIF($D$5:$D53,$D53)=1,1,0))</f>
        <v>1.0</v>
      </c>
      <c xmlns="http://schemas.openxmlformats.org/spreadsheetml/2006/main" r="AA53">
        <f>IF(Z53=1,SUM($Z$5:$Z53),"")</f>
        <v>11.0</v>
      </c>
    </row>
    <row r="54" spans="1:27">
      <c r="A54" s="22" t="s">
        <v>745</v>
      </c>
      <c r="B54" s="22" t="s">
        <v>127</v>
      </c>
      <c r="C54" s="22" t="s">
        <v>666</v>
      </c>
      <c r="D54" s="22" t="s">
        <v>635</v>
      </c>
      <c r="E54" s="22" t="s">
        <v>638</v>
      </c>
      <c r="F54" s="23">
        <v>15</v>
      </c>
      <c r="G54" s="51" t="s">
        <v>75</v>
      </c>
      <c r="H54" s="24">
        <v>49</v>
      </c>
      <c r="I54" s="25"/>
      <c r="J54" s="25"/>
      <c r="K54" s="25"/>
      <c r="L54" s="25"/>
      <c r="M54" s="25"/>
      <c r="N54" s="25"/>
      <c r="O54" s="25" t="s">
        <v>76</v>
      </c>
      <c r="P54" s="25"/>
      <c r="Q54" s="25"/>
      <c r="R54" s="25"/>
      <c r="S54" s="25"/>
      <c r="T54" s="26"/>
      <c xmlns="http://schemas.openxmlformats.org/spreadsheetml/2006/main" r="U54" s="23">
        <f t="shared" si="0"/>
        <v>1.0</v>
      </c>
      <c xmlns="http://schemas.openxmlformats.org/spreadsheetml/2006/main" r="V54" s="22" t="str">
        <f t="shared" si="1"/>
        <v>▲ 單一設備依賴</v>
      </c>
      <c xmlns="http://schemas.openxmlformats.org/spreadsheetml/2006/main" r="W54" s="18" t="str">
        <f t="shared" si="2"/>
        <v>僅依賴1台設備，須確認故障/排修時之備援製程</v>
      </c>
      <c r="X54" s="22" t="s">
        <v>637</v>
      </c>
      <c r="Y54" s="22" t="s">
        <v>467</v>
      </c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 t="s">
        <v>745</v>
      </c>
      <c r="B55" s="22" t="s">
        <v>127</v>
      </c>
      <c r="C55" s="22" t="s">
        <v>666</v>
      </c>
      <c r="D55" s="22" t="s">
        <v>635</v>
      </c>
      <c r="E55" s="22" t="s">
        <v>639</v>
      </c>
      <c r="F55" s="23">
        <v>42</v>
      </c>
      <c r="G55" s="51" t="s">
        <v>75</v>
      </c>
      <c r="H55" s="24">
        <v>80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 t="s">
        <v>76</v>
      </c>
      <c xmlns="http://schemas.openxmlformats.org/spreadsheetml/2006/main" r="U55" s="23">
        <f t="shared" si="0"/>
        <v>0.0</v>
      </c>
      <c xmlns="http://schemas.openxmlformats.org/spreadsheetml/2006/main" r="V55" s="22" t="str">
        <f t="shared" si="1"/>
        <v>○ 免調理</v>
      </c>
      <c xmlns="http://schemas.openxmlformats.org/spreadsheetml/2006/main" r="W55" s="18" t="str">
        <f t="shared" si="2"/>
        <v>免調理半成品（外購/僅切配等），不列入設備風險評估</v>
      </c>
      <c r="X55" s="22" t="s">
        <v>637</v>
      </c>
      <c r="Y55" s="22" t="s">
        <v>467</v>
      </c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 t="s">
        <v>745</v>
      </c>
      <c r="B56" s="22" t="s">
        <v>127</v>
      </c>
      <c r="C56" s="22" t="s">
        <v>666</v>
      </c>
      <c r="D56" s="22" t="s">
        <v>635</v>
      </c>
      <c r="E56" s="22" t="s">
        <v>640</v>
      </c>
      <c r="F56" s="23">
        <v>1</v>
      </c>
      <c r="G56" s="51" t="s">
        <v>77</v>
      </c>
      <c r="H56" s="24">
        <v>100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 t="s">
        <v>76</v>
      </c>
      <c xmlns="http://schemas.openxmlformats.org/spreadsheetml/2006/main" r="U56" s="23">
        <f t="shared" si="0"/>
        <v>0.0</v>
      </c>
      <c xmlns="http://schemas.openxmlformats.org/spreadsheetml/2006/main" r="V56" s="22" t="str">
        <f t="shared" si="1"/>
        <v>○ 免調理</v>
      </c>
      <c xmlns="http://schemas.openxmlformats.org/spreadsheetml/2006/main" r="W56" s="18" t="str">
        <f t="shared" si="2"/>
        <v>免調理半成品（外購/僅切配等），不列入設備風險評估</v>
      </c>
      <c r="X56" s="22" t="s">
        <v>637</v>
      </c>
      <c r="Y56" s="22" t="s">
        <v>467</v>
      </c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 t="inlineStr">
        <is>
          <t>待上架</t>
        </is>
      </c>
      <c r="B57" s="22" t="s">
        <v>127</v>
      </c>
      <c r="C57" s="22" t="s">
        <v>725</v>
      </c>
      <c r="D57" s="22" t="s">
        <v>726</v>
      </c>
      <c r="E57" s="22" t="s">
        <v>727</v>
      </c>
      <c r="F57" s="23">
        <v>220</v>
      </c>
      <c r="G57" s="23" t="s">
        <v>75</v>
      </c>
      <c r="H57" s="24">
        <v>145</v>
      </c>
      <c r="I57" s="25"/>
      <c r="J57" s="25" t="s">
        <v>76</v>
      </c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>
        <f>IF($E57="","",COUNTIF($I57:$S57,"V"))</f>
        <v>1.0</v>
      </c>
      <c xmlns="http://schemas.openxmlformats.org/spreadsheetml/2006/main" r="V57" s="22" t="str">
        <f>IF($E57="","",IF(AND($T57="V",$U57&gt;0),"⚠ 勾選矛盾",IF($T57="V","○ 免調理",IF($U57=0,"⚠ 資料缺漏",IF($U57=1,"▲ 單一設備依賴","OK")))))</f>
        <v>▲ 單一設備依賴</v>
      </c>
      <c xmlns="http://schemas.openxmlformats.org/spreadsheetml/2006/main" r="W57" s="18" t="str">
        <f>IF($E57="","",IF(AND($T57="V",$U57&gt;0),"「無使用調理設備」不可與設備欄同時勾選，請擇一修正",IF($T57="V","免調理半成品（外購/僅切配等），不列入設備風險評估",IF($U57=0,"未勾選任何設備，請補填或勾選「無使用調理設備」",IF($U57=1,"僅依賴1台設備，須確認故障/排修時之備援製程","無異常")))))</f>
        <v>僅依賴1台設備，須確認故障/排修時之備援製程</v>
      </c>
      <c r="X57" s="22" t="s">
        <v>728</v>
      </c>
      <c r="Y57" s="22" t="s">
        <v>514</v>
      </c>
      <c xmlns="http://schemas.openxmlformats.org/spreadsheetml/2006/main" r="Z57">
        <f>IF($D57="",0,IF(COUNTIF($D$5:$D57,$D57)=1,1,0))</f>
        <v>1.0</v>
      </c>
      <c xmlns="http://schemas.openxmlformats.org/spreadsheetml/2006/main" r="AA57">
        <f>IF(Z57=1,SUM($Z$5:$Z57),"")</f>
        <v>12.0</v>
      </c>
    </row>
    <row r="58" spans="1:27">
      <c r="A58" s="22" t="s">
        <v>747</v>
      </c>
      <c r="B58" s="22" t="s">
        <v>127</v>
      </c>
      <c r="C58" s="22" t="s">
        <v>725</v>
      </c>
      <c r="D58" s="22" t="s">
        <v>726</v>
      </c>
      <c r="E58" s="22" t="s">
        <v>729</v>
      </c>
      <c r="F58" s="23">
        <v>125</v>
      </c>
      <c r="G58" s="23" t="s">
        <v>75</v>
      </c>
      <c r="H58" s="24">
        <v>85</v>
      </c>
      <c r="I58" s="25"/>
      <c r="J58" s="25"/>
      <c r="K58" s="25"/>
      <c r="L58" s="25"/>
      <c r="M58" s="25"/>
      <c r="N58" s="25"/>
      <c r="O58" s="25" t="s">
        <v>76</v>
      </c>
      <c r="P58" s="25"/>
      <c r="Q58" s="25"/>
      <c r="R58" s="25"/>
      <c r="S58" s="25"/>
      <c r="T58" s="26"/>
      <c xmlns="http://schemas.openxmlformats.org/spreadsheetml/2006/main" r="U58" s="23">
        <f>IF($E58="","",COUNTIF($I58:$S58,"V"))</f>
        <v>1.0</v>
      </c>
      <c xmlns="http://schemas.openxmlformats.org/spreadsheetml/2006/main" r="V58" s="22" t="str">
        <f>IF($E58="","",IF(AND($T58="V",$U58&gt;0),"⚠ 勾選矛盾",IF($T58="V","○ 免調理",IF($U58=0,"⚠ 資料缺漏",IF($U58=1,"▲ 單一設備依賴","OK")))))</f>
        <v>▲ 單一設備依賴</v>
      </c>
      <c xmlns="http://schemas.openxmlformats.org/spreadsheetml/2006/main" r="W58" s="18" t="str">
        <f>IF($E58="","",IF(AND($T58="V",$U58&gt;0),"「無使用調理設備」不可與設備欄同時勾選，請擇一修正",IF($T58="V","免調理半成品（外購/僅切配等），不列入設備風險評估",IF($U58=0,"未勾選任何設備，請補填或勾選「無使用調理設備」",IF($U58=1,"僅依賴1台設備，須確認故障/排修時之備援製程","無異常")))))</f>
        <v>僅依賴1台設備，須確認故障/排修時之備援製程</v>
      </c>
      <c r="X58" s="22" t="s">
        <v>728</v>
      </c>
      <c r="Y58" s="22" t="s">
        <v>514</v>
      </c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 t="s">
        <v>747</v>
      </c>
      <c r="B59" s="22" t="s">
        <v>127</v>
      </c>
      <c r="C59" s="22" t="s">
        <v>725</v>
      </c>
      <c r="D59" s="22" t="s">
        <v>726</v>
      </c>
      <c r="E59" s="22" t="s">
        <v>730</v>
      </c>
      <c r="F59" s="23">
        <v>20</v>
      </c>
      <c r="G59" s="23" t="s">
        <v>75</v>
      </c>
      <c r="H59" s="24">
        <v>53</v>
      </c>
      <c r="I59" s="25"/>
      <c r="J59" s="25"/>
      <c r="K59" s="25"/>
      <c r="L59" s="25"/>
      <c r="M59" s="25"/>
      <c r="N59" s="25"/>
      <c r="O59" s="25" t="s">
        <v>76</v>
      </c>
      <c r="P59" s="25"/>
      <c r="Q59" s="25"/>
      <c r="R59" s="25"/>
      <c r="S59" s="25"/>
      <c r="T59" s="26"/>
      <c xmlns="http://schemas.openxmlformats.org/spreadsheetml/2006/main" r="U59" s="23">
        <f>IF($E59="","",COUNTIF($I59:$S59,"V"))</f>
        <v>1.0</v>
      </c>
      <c xmlns="http://schemas.openxmlformats.org/spreadsheetml/2006/main" r="V59" s="22" t="str">
        <f>IF($E59="","",IF(AND($T59="V",$U59&gt;0),"⚠ 勾選矛盾",IF($T59="V","○ 免調理",IF($U59=0,"⚠ 資料缺漏",IF($U59=1,"▲ 單一設備依賴","OK")))))</f>
        <v>▲ 單一設備依賴</v>
      </c>
      <c xmlns="http://schemas.openxmlformats.org/spreadsheetml/2006/main" r="W59" s="18" t="str">
        <f>IF($E59="","",IF(AND($T59="V",$U59&gt;0),"「無使用調理設備」不可與設備欄同時勾選，請擇一修正",IF($T59="V","免調理半成品（外購/僅切配等），不列入設備風險評估",IF($U59=0,"未勾選任何設備，請補填或勾選「無使用調理設備」",IF($U59=1,"僅依賴1台設備，須確認故障/排修時之備援製程","無異常")))))</f>
        <v>僅依賴1台設備，須確認故障/排修時之備援製程</v>
      </c>
      <c r="X59" s="22" t="s">
        <v>728</v>
      </c>
      <c r="Y59" s="22" t="s">
        <v>514</v>
      </c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747</v>
      </c>
      <c r="B60" s="22" t="s">
        <v>127</v>
      </c>
      <c r="C60" s="22" t="s">
        <v>725</v>
      </c>
      <c r="D60" s="22" t="s">
        <v>726</v>
      </c>
      <c r="E60" s="22" t="s">
        <v>731</v>
      </c>
      <c r="F60" s="23">
        <v>26</v>
      </c>
      <c r="G60" s="23" t="s">
        <v>75</v>
      </c>
      <c r="H60" s="24">
        <v>50</v>
      </c>
      <c r="I60" s="25"/>
      <c r="J60" s="25"/>
      <c r="K60" s="25"/>
      <c r="L60" s="25"/>
      <c r="M60" s="25"/>
      <c r="N60" s="25"/>
      <c r="O60" s="25" t="s">
        <v>76</v>
      </c>
      <c r="P60" s="25"/>
      <c r="Q60" s="25"/>
      <c r="R60" s="25"/>
      <c r="S60" s="25"/>
      <c r="T60" s="26"/>
      <c xmlns="http://schemas.openxmlformats.org/spreadsheetml/2006/main" r="U60" s="23">
        <f>IF($E60="","",COUNTIF($I60:$S60,"V"))</f>
        <v>1.0</v>
      </c>
      <c xmlns="http://schemas.openxmlformats.org/spreadsheetml/2006/main" r="V60" s="22" t="str">
        <f>IF($E60="","",IF(AND($T60="V",$U60&gt;0),"⚠ 勾選矛盾",IF($T60="V","○ 免調理",IF($U60=0,"⚠ 資料缺漏",IF($U60=1,"▲ 單一設備依賴","OK")))))</f>
        <v>▲ 單一設備依賴</v>
      </c>
      <c xmlns="http://schemas.openxmlformats.org/spreadsheetml/2006/main" r="W60" s="18" t="str">
        <f>IF($E60="","",IF(AND($T60="V",$U60&gt;0),"「無使用調理設備」不可與設備欄同時勾選，請擇一修正",IF($T60="V","免調理半成品（外購/僅切配等），不列入設備風險評估",IF($U60=0,"未勾選任何設備，請補填或勾選「無使用調理設備」",IF($U60=1,"僅依賴1台設備，須確認故障/排修時之備援製程","無異常")))))</f>
        <v>僅依賴1台設備，須確認故障/排修時之備援製程</v>
      </c>
      <c r="X60" s="22" t="s">
        <v>728</v>
      </c>
      <c r="Y60" s="22" t="s">
        <v>514</v>
      </c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 t="s">
        <v>747</v>
      </c>
      <c r="B61" s="22" t="s">
        <v>127</v>
      </c>
      <c r="C61" s="22" t="s">
        <v>725</v>
      </c>
      <c r="D61" s="22" t="s">
        <v>726</v>
      </c>
      <c r="E61" s="22" t="s">
        <v>732</v>
      </c>
      <c r="F61" s="23">
        <v>15</v>
      </c>
      <c r="G61" s="23" t="s">
        <v>75</v>
      </c>
      <c r="H61" s="24">
        <v>79</v>
      </c>
      <c r="I61" s="25"/>
      <c r="J61" s="25"/>
      <c r="K61" s="25"/>
      <c r="L61" s="25"/>
      <c r="M61" s="25"/>
      <c r="N61" s="25"/>
      <c r="O61" s="25" t="s">
        <v>76</v>
      </c>
      <c r="P61" s="25"/>
      <c r="Q61" s="25"/>
      <c r="R61" s="25"/>
      <c r="S61" s="25"/>
      <c r="T61" s="26"/>
      <c xmlns="http://schemas.openxmlformats.org/spreadsheetml/2006/main" r="U61" s="23">
        <f>IF($E61="","",COUNTIF($I61:$S61,"V"))</f>
        <v>1.0</v>
      </c>
      <c xmlns="http://schemas.openxmlformats.org/spreadsheetml/2006/main" r="V61" s="22" t="str">
        <f>IF($E61="","",IF(AND($T61="V",$U61&gt;0),"⚠ 勾選矛盾",IF($T61="V","○ 免調理",IF($U61=0,"⚠ 資料缺漏",IF($U61=1,"▲ 單一設備依賴","OK")))))</f>
        <v>▲ 單一設備依賴</v>
      </c>
      <c xmlns="http://schemas.openxmlformats.org/spreadsheetml/2006/main" r="W61" s="18" t="str">
        <f>IF($E61="","",IF(AND($T61="V",$U61&gt;0),"「無使用調理設備」不可與設備欄同時勾選，請擇一修正",IF($T61="V","免調理半成品（外購/僅切配等），不列入設備風險評估",IF($U61=0,"未勾選任何設備，請補填或勾選「無使用調理設備」",IF($U61=1,"僅依賴1台設備，須確認故障/排修時之備援製程","無異常")))))</f>
        <v>僅依賴1台設備，須確認故障/排修時之備援製程</v>
      </c>
      <c r="X61" s="22" t="s">
        <v>728</v>
      </c>
      <c r="Y61" s="22" t="s">
        <v>514</v>
      </c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 t="s">
        <v>747</v>
      </c>
      <c r="B62" s="22" t="s">
        <v>127</v>
      </c>
      <c r="C62" s="22" t="s">
        <v>725</v>
      </c>
      <c r="D62" s="22" t="s">
        <v>726</v>
      </c>
      <c r="E62" s="22" t="s">
        <v>733</v>
      </c>
      <c r="F62" s="23">
        <v>3</v>
      </c>
      <c r="G62" s="23" t="s">
        <v>75</v>
      </c>
      <c r="H62" s="24">
        <v>40</v>
      </c>
      <c r="I62" s="25"/>
      <c r="J62" s="25"/>
      <c r="K62" s="25" t="s">
        <v>76</v>
      </c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>
        <f>IF($E62="","",COUNTIF($I62:$S62,"V"))</f>
        <v>1.0</v>
      </c>
      <c xmlns="http://schemas.openxmlformats.org/spreadsheetml/2006/main" r="V62" s="22" t="str">
        <f>IF($E62="","",IF(AND($T62="V",$U62&gt;0),"⚠ 勾選矛盾",IF($T62="V","○ 免調理",IF($U62=0,"⚠ 資料缺漏",IF($U62=1,"▲ 單一設備依賴","OK")))))</f>
        <v>▲ 單一設備依賴</v>
      </c>
      <c xmlns="http://schemas.openxmlformats.org/spreadsheetml/2006/main" r="W62" s="18" t="str">
        <f>IF($E62="","",IF(AND($T62="V",$U62&gt;0),"「無使用調理設備」不可與設備欄同時勾選，請擇一修正",IF($T62="V","免調理半成品（外購/僅切配等），不列入設備風險評估",IF($U62=0,"未勾選任何設備，請補填或勾選「無使用調理設備」",IF($U62=1,"僅依賴1台設備，須確認故障/排修時之備援製程","無異常")))))</f>
        <v>僅依賴1台設備，須確認故障/排修時之備援製程</v>
      </c>
      <c r="X62" s="22" t="s">
        <v>728</v>
      </c>
      <c r="Y62" s="22" t="s">
        <v>514</v>
      </c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747</v>
      </c>
      <c r="B63" s="22" t="s">
        <v>127</v>
      </c>
      <c r="C63" s="22" t="s">
        <v>725</v>
      </c>
      <c r="D63" s="22" t="s">
        <v>726</v>
      </c>
      <c r="E63" s="22" t="s">
        <v>734</v>
      </c>
      <c r="F63" s="23">
        <v>5</v>
      </c>
      <c r="G63" s="23" t="s">
        <v>75</v>
      </c>
      <c r="H63" s="24">
        <v>95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 t="s">
        <v>76</v>
      </c>
      <c xmlns="http://schemas.openxmlformats.org/spreadsheetml/2006/main" r="U63" s="23">
        <f>IF($E63="","",COUNTIF($I63:$S63,"V"))</f>
        <v>0.0</v>
      </c>
      <c xmlns="http://schemas.openxmlformats.org/spreadsheetml/2006/main" r="V63" s="22" t="str">
        <f>IF($E63="","",IF(AND($T63="V",$U63&gt;0),"⚠ 勾選矛盾",IF($T63="V","○ 免調理",IF($U63=0,"⚠ 資料缺漏",IF($U63=1,"▲ 單一設備依賴","OK")))))</f>
        <v>○ 免調理</v>
      </c>
      <c xmlns="http://schemas.openxmlformats.org/spreadsheetml/2006/main" r="W63" s="18" t="str">
        <f>IF($E63="","",IF(AND($T63="V",$U63&gt;0),"「無使用調理設備」不可與設備欄同時勾選，請擇一修正",IF($T63="V","免調理半成品（外購/僅切配等），不列入設備風險評估",IF($U63=0,"未勾選任何設備，請補填或勾選「無使用調理設備」",IF($U63=1,"僅依賴1台設備，須確認故障/排修時之備援製程","無異常")))))</f>
        <v>免調理半成品（外購/僅切配等），不列入設備風險評估</v>
      </c>
      <c r="X63" s="22" t="s">
        <v>728</v>
      </c>
      <c r="Y63" s="22" t="s">
        <v>514</v>
      </c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 t="s">
        <v>747</v>
      </c>
      <c r="B64" s="22" t="s">
        <v>127</v>
      </c>
      <c r="C64" s="22" t="s">
        <v>725</v>
      </c>
      <c r="D64" s="22" t="s">
        <v>726</v>
      </c>
      <c r="E64" s="22" t="s">
        <v>735</v>
      </c>
      <c r="F64" s="23">
        <v>1</v>
      </c>
      <c r="G64" s="23" t="s">
        <v>75</v>
      </c>
      <c r="H64" s="24">
        <v>135</v>
      </c>
      <c r="I64" s="25"/>
      <c r="J64" s="25"/>
      <c r="K64" s="25"/>
      <c r="L64" s="25"/>
      <c r="M64" s="25"/>
      <c r="N64" s="25"/>
      <c r="O64" s="25" t="s">
        <v>76</v>
      </c>
      <c r="P64" s="25"/>
      <c r="Q64" s="25"/>
      <c r="R64" s="25"/>
      <c r="S64" s="25"/>
      <c r="T64" s="26"/>
      <c xmlns="http://schemas.openxmlformats.org/spreadsheetml/2006/main" r="U64" s="23">
        <f>IF($E64="","",COUNTIF($I64:$S64,"V"))</f>
        <v>1.0</v>
      </c>
      <c xmlns="http://schemas.openxmlformats.org/spreadsheetml/2006/main" r="V64" s="22" t="str">
        <f>IF($E64="","",IF(AND($T64="V",$U64&gt;0),"⚠ 勾選矛盾",IF($T64="V","○ 免調理",IF($U64=0,"⚠ 資料缺漏",IF($U64=1,"▲ 單一設備依賴","OK")))))</f>
        <v>▲ 單一設備依賴</v>
      </c>
      <c xmlns="http://schemas.openxmlformats.org/spreadsheetml/2006/main" r="W64" s="18" t="str">
        <f>IF($E64="","",IF(AND($T64="V",$U64&gt;0),"「無使用調理設備」不可與設備欄同時勾選，請擇一修正",IF($T64="V","免調理半成品（外購/僅切配等），不列入設備風險評估",IF($U64=0,"未勾選任何設備，請補填或勾選「無使用調理設備」",IF($U64=1,"僅依賴1台設備，須確認故障/排修時之備援製程","無異常")))))</f>
        <v>僅依賴1台設備，須確認故障/排修時之備援製程</v>
      </c>
      <c r="X64" s="22" t="s">
        <v>728</v>
      </c>
      <c r="Y64" s="22" t="s">
        <v>514</v>
      </c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 t="s">
        <v>747</v>
      </c>
      <c r="B65" s="22" t="s">
        <v>127</v>
      </c>
      <c r="C65" s="22" t="s">
        <v>725</v>
      </c>
      <c r="D65" s="22" t="s">
        <v>764</v>
      </c>
      <c r="E65" s="22" t="s">
        <v>765</v>
      </c>
      <c r="F65" s="23">
        <v>160</v>
      </c>
      <c r="G65" s="23" t="s">
        <v>75</v>
      </c>
      <c r="H65" s="24">
        <v>128</v>
      </c>
      <c r="I65" s="25"/>
      <c r="J65" s="25" t="s">
        <v>76</v>
      </c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>
        <f t="shared" ref="U65:U120" si="3">IF($E65="","",COUNTIF($I65:$S65,"V"))</f>
        <v>1.0</v>
      </c>
      <c xmlns="http://schemas.openxmlformats.org/spreadsheetml/2006/main" r="V65" s="22" t="str">
        <f t="shared" ref="V65:V120" si="4">IF($E65="","",IF(AND($T65="V",$U65&gt;0),"⚠ 勾選矛盾",IF($T65="V","○ 免調理",IF($U65=0,"⚠ 資料缺漏",IF($U65=1,"▲ 單一設備依賴","OK")))))</f>
        <v>▲ 單一設備依賴</v>
      </c>
      <c xmlns="http://schemas.openxmlformats.org/spreadsheetml/2006/main" r="W65" s="18" t="str">
        <f t="shared" ref="W65:W120" si="5">IF($E65="","",IF(AND($T65="V",$U65&gt;0),"「無使用調理設備」不可與設備欄同時勾選，請擇一修正",IF($T65="V","免調理半成品（外購/僅切配等），不列入設備風險評估",IF($U65=0,"未勾選任何設備，請補填或勾選「無使用調理設備」",IF($U65=1,"僅依賴1台設備，須確認故障/排修時之備援製程","無異常")))))</f>
        <v>僅依賴1台設備，須確認故障/排修時之備援製程</v>
      </c>
      <c r="X65" s="22" t="s">
        <v>766</v>
      </c>
      <c r="Y65" s="22" t="s">
        <v>467</v>
      </c>
      <c xmlns="http://schemas.openxmlformats.org/spreadsheetml/2006/main" r="Z65">
        <f>IF($D65="",0,IF(COUNTIF($D$5:$D65,$D65)=1,1,0))</f>
        <v>1.0</v>
      </c>
      <c xmlns="http://schemas.openxmlformats.org/spreadsheetml/2006/main" r="AA65">
        <f>IF(Z65=1,SUM($Z$5:$Z65),"")</f>
        <v>13.0</v>
      </c>
    </row>
    <row r="66" spans="1:27">
      <c r="A66" s="22" t="s">
        <v>747</v>
      </c>
      <c r="B66" s="22" t="s">
        <v>127</v>
      </c>
      <c r="C66" s="22" t="s">
        <v>725</v>
      </c>
      <c r="D66" s="22" t="s">
        <v>764</v>
      </c>
      <c r="E66" s="22" t="s">
        <v>767</v>
      </c>
      <c r="F66" s="23">
        <v>6</v>
      </c>
      <c r="G66" s="23" t="s">
        <v>75</v>
      </c>
      <c r="H66" s="24">
        <v>75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 t="s">
        <v>76</v>
      </c>
      <c xmlns="http://schemas.openxmlformats.org/spreadsheetml/2006/main" r="U66" s="23">
        <f t="shared" si="3"/>
        <v>0.0</v>
      </c>
      <c xmlns="http://schemas.openxmlformats.org/spreadsheetml/2006/main" r="V66" s="22" t="str">
        <f t="shared" si="4"/>
        <v>○ 免調理</v>
      </c>
      <c xmlns="http://schemas.openxmlformats.org/spreadsheetml/2006/main" r="W66" s="18" t="str">
        <f t="shared" si="5"/>
        <v>免調理半成品（外購/僅切配等），不列入設備風險評估</v>
      </c>
      <c r="X66" s="22" t="s">
        <v>766</v>
      </c>
      <c r="Y66" s="22" t="s">
        <v>467</v>
      </c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747</v>
      </c>
      <c r="B67" s="22" t="s">
        <v>127</v>
      </c>
      <c r="C67" s="22" t="s">
        <v>725</v>
      </c>
      <c r="D67" s="22" t="s">
        <v>764</v>
      </c>
      <c r="E67" s="22" t="s">
        <v>768</v>
      </c>
      <c r="F67" s="23">
        <v>12</v>
      </c>
      <c r="G67" s="23" t="s">
        <v>75</v>
      </c>
      <c r="H67" s="24">
        <v>70</v>
      </c>
      <c r="I67" s="25"/>
      <c r="J67" s="25"/>
      <c r="K67" s="25"/>
      <c r="L67" s="25"/>
      <c r="M67" s="25"/>
      <c r="N67" s="25"/>
      <c r="O67" s="25" t="s">
        <v>76</v>
      </c>
      <c r="P67" s="25"/>
      <c r="Q67" s="25"/>
      <c r="R67" s="25"/>
      <c r="S67" s="25"/>
      <c r="T67" s="26"/>
      <c xmlns="http://schemas.openxmlformats.org/spreadsheetml/2006/main" r="U67" s="23">
        <f t="shared" si="3"/>
        <v>1.0</v>
      </c>
      <c xmlns="http://schemas.openxmlformats.org/spreadsheetml/2006/main" r="V67" s="22" t="str">
        <f t="shared" si="4"/>
        <v>▲ 單一設備依賴</v>
      </c>
      <c xmlns="http://schemas.openxmlformats.org/spreadsheetml/2006/main" r="W67" s="18" t="str">
        <f t="shared" si="5"/>
        <v>僅依賴1台設備，須確認故障/排修時之備援製程</v>
      </c>
      <c r="X67" s="22" t="s">
        <v>766</v>
      </c>
      <c r="Y67" s="22" t="s">
        <v>467</v>
      </c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 t="s">
        <v>747</v>
      </c>
      <c r="B68" s="22" t="s">
        <v>127</v>
      </c>
      <c r="C68" s="22" t="s">
        <v>725</v>
      </c>
      <c r="D68" s="22" t="s">
        <v>764</v>
      </c>
      <c r="E68" s="22" t="s">
        <v>769</v>
      </c>
      <c r="F68" s="23">
        <v>24</v>
      </c>
      <c r="G68" s="23" t="s">
        <v>75</v>
      </c>
      <c r="H68" s="24">
        <v>92</v>
      </c>
      <c r="I68" s="25"/>
      <c r="J68" s="25"/>
      <c r="K68" s="25" t="s">
        <v>76</v>
      </c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>
        <f t="shared" si="3"/>
        <v>1.0</v>
      </c>
      <c xmlns="http://schemas.openxmlformats.org/spreadsheetml/2006/main" r="V68" s="22" t="str">
        <f t="shared" si="4"/>
        <v>▲ 單一設備依賴</v>
      </c>
      <c xmlns="http://schemas.openxmlformats.org/spreadsheetml/2006/main" r="W68" s="18" t="str">
        <f t="shared" si="5"/>
        <v>僅依賴1台設備，須確認故障/排修時之備援製程</v>
      </c>
      <c r="X68" s="22" t="s">
        <v>766</v>
      </c>
      <c r="Y68" s="22" t="s">
        <v>467</v>
      </c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 t="s">
        <v>747</v>
      </c>
      <c r="B69" s="22" t="s">
        <v>127</v>
      </c>
      <c r="C69" s="22" t="s">
        <v>725</v>
      </c>
      <c r="D69" s="22" t="s">
        <v>764</v>
      </c>
      <c r="E69" s="22" t="s">
        <v>770</v>
      </c>
      <c r="F69" s="23">
        <v>3</v>
      </c>
      <c r="G69" s="23" t="s">
        <v>75</v>
      </c>
      <c r="H69" s="24">
        <v>70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 t="s">
        <v>76</v>
      </c>
      <c xmlns="http://schemas.openxmlformats.org/spreadsheetml/2006/main" r="U69" s="23">
        <f t="shared" si="3"/>
        <v>0.0</v>
      </c>
      <c xmlns="http://schemas.openxmlformats.org/spreadsheetml/2006/main" r="V69" s="22" t="str">
        <f t="shared" si="4"/>
        <v>○ 免調理</v>
      </c>
      <c xmlns="http://schemas.openxmlformats.org/spreadsheetml/2006/main" r="W69" s="18" t="str">
        <f t="shared" si="5"/>
        <v>免調理半成品（外購/僅切配等），不列入設備風險評估</v>
      </c>
      <c r="X69" s="22" t="s">
        <v>766</v>
      </c>
      <c r="Y69" s="22" t="s">
        <v>467</v>
      </c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747</v>
      </c>
      <c r="B70" s="22" t="s">
        <v>127</v>
      </c>
      <c r="C70" s="22" t="s">
        <v>725</v>
      </c>
      <c r="D70" s="22" t="s">
        <v>764</v>
      </c>
      <c r="E70" s="22" t="s">
        <v>771</v>
      </c>
      <c r="F70" s="23">
        <v>2</v>
      </c>
      <c r="G70" s="23" t="s">
        <v>75</v>
      </c>
      <c r="H70" s="24">
        <v>100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 t="s">
        <v>76</v>
      </c>
      <c xmlns="http://schemas.openxmlformats.org/spreadsheetml/2006/main" r="U70" s="23">
        <f t="shared" si="3"/>
        <v>0.0</v>
      </c>
      <c xmlns="http://schemas.openxmlformats.org/spreadsheetml/2006/main" r="V70" s="22" t="str">
        <f t="shared" si="4"/>
        <v>○ 免調理</v>
      </c>
      <c xmlns="http://schemas.openxmlformats.org/spreadsheetml/2006/main" r="W70" s="18" t="str">
        <f t="shared" si="5"/>
        <v>免調理半成品（外購/僅切配等），不列入設備風險評估</v>
      </c>
      <c r="X70" s="22" t="s">
        <v>766</v>
      </c>
      <c r="Y70" s="22" t="s">
        <v>467</v>
      </c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 t="s">
        <v>747</v>
      </c>
      <c r="B71" s="22" t="s">
        <v>127</v>
      </c>
      <c r="C71" s="22" t="s">
        <v>725</v>
      </c>
      <c r="D71" s="22" t="s">
        <v>764</v>
      </c>
      <c r="E71" s="22" t="s">
        <v>772</v>
      </c>
      <c r="F71" s="23">
        <v>265</v>
      </c>
      <c r="G71" s="23" t="s">
        <v>75</v>
      </c>
      <c r="H71" s="24">
        <v>55</v>
      </c>
      <c r="I71" s="25"/>
      <c r="J71" s="25"/>
      <c r="K71" s="25"/>
      <c r="L71" s="25"/>
      <c r="M71" s="25"/>
      <c r="N71" s="25"/>
      <c r="O71" s="25" t="s">
        <v>76</v>
      </c>
      <c r="P71" s="25"/>
      <c r="Q71" s="25"/>
      <c r="R71" s="25"/>
      <c r="S71" s="25"/>
      <c r="T71" s="26"/>
      <c xmlns="http://schemas.openxmlformats.org/spreadsheetml/2006/main" r="U71" s="23">
        <f t="shared" si="3"/>
        <v>1.0</v>
      </c>
      <c xmlns="http://schemas.openxmlformats.org/spreadsheetml/2006/main" r="V71" s="22" t="str">
        <f t="shared" si="4"/>
        <v>▲ 單一設備依賴</v>
      </c>
      <c xmlns="http://schemas.openxmlformats.org/spreadsheetml/2006/main" r="W71" s="18" t="str">
        <f t="shared" si="5"/>
        <v>僅依賴1台設備，須確認故障/排修時之備援製程</v>
      </c>
      <c r="X71" s="22" t="s">
        <v>766</v>
      </c>
      <c r="Y71" s="22" t="s">
        <v>467</v>
      </c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 t="s">
        <v>747</v>
      </c>
      <c r="B72" s="22" t="s">
        <v>127</v>
      </c>
      <c r="C72" s="22" t="s">
        <v>725</v>
      </c>
      <c r="D72" s="22" t="s">
        <v>773</v>
      </c>
      <c r="E72" s="22" t="s">
        <v>506</v>
      </c>
      <c r="F72" s="23">
        <v>1</v>
      </c>
      <c r="G72" s="23" t="s">
        <v>77</v>
      </c>
      <c r="H72" s="24">
        <v>2000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 t="s">
        <v>76</v>
      </c>
      <c xmlns="http://schemas.openxmlformats.org/spreadsheetml/2006/main" r="U72" s="23">
        <f t="shared" si="3"/>
        <v>0.0</v>
      </c>
      <c xmlns="http://schemas.openxmlformats.org/spreadsheetml/2006/main" r="V72" s="22" t="str">
        <f t="shared" si="4"/>
        <v>○ 免調理</v>
      </c>
      <c xmlns="http://schemas.openxmlformats.org/spreadsheetml/2006/main" r="W72" s="18" t="str">
        <f t="shared" si="5"/>
        <v>免調理半成品（外購/僅切配等），不列入設備風險評估</v>
      </c>
      <c r="X72" s="22" t="s">
        <v>774</v>
      </c>
      <c r="Y72" s="22" t="s">
        <v>467</v>
      </c>
      <c xmlns="http://schemas.openxmlformats.org/spreadsheetml/2006/main" r="Z72">
        <f>IF($D72="",0,IF(COUNTIF($D$5:$D72,$D72)=1,1,0))</f>
        <v>1.0</v>
      </c>
      <c xmlns="http://schemas.openxmlformats.org/spreadsheetml/2006/main" r="AA72">
        <f>IF(Z72=1,SUM($Z$5:$Z72),"")</f>
        <v>14.0</v>
      </c>
    </row>
    <row r="73" spans="1:27">
      <c r="A73" s="22" t="s">
        <v>747</v>
      </c>
      <c r="B73" s="22" t="s">
        <v>127</v>
      </c>
      <c r="C73" s="22" t="s">
        <v>725</v>
      </c>
      <c r="D73" s="22" t="s">
        <v>773</v>
      </c>
      <c r="E73" s="22" t="s">
        <v>765</v>
      </c>
      <c r="F73" s="23">
        <v>170</v>
      </c>
      <c r="G73" s="23" t="s">
        <v>75</v>
      </c>
      <c r="H73" s="24">
        <v>128</v>
      </c>
      <c r="I73" s="25"/>
      <c r="J73" s="25" t="s">
        <v>76</v>
      </c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>
        <f t="shared" si="3"/>
        <v>1.0</v>
      </c>
      <c xmlns="http://schemas.openxmlformats.org/spreadsheetml/2006/main" r="V73" s="22" t="str">
        <f t="shared" si="4"/>
        <v>▲ 單一設備依賴</v>
      </c>
      <c xmlns="http://schemas.openxmlformats.org/spreadsheetml/2006/main" r="W73" s="18" t="str">
        <f t="shared" si="5"/>
        <v>僅依賴1台設備，須確認故障/排修時之備援製程</v>
      </c>
      <c r="X73" s="22" t="s">
        <v>774</v>
      </c>
      <c r="Y73" s="22" t="s">
        <v>467</v>
      </c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 t="s">
        <v>747</v>
      </c>
      <c r="B74" s="22" t="s">
        <v>127</v>
      </c>
      <c r="C74" s="22" t="s">
        <v>725</v>
      </c>
      <c r="D74" s="22" t="s">
        <v>773</v>
      </c>
      <c r="E74" s="22" t="s">
        <v>598</v>
      </c>
      <c r="F74" s="23">
        <v>10</v>
      </c>
      <c r="G74" s="23" t="s">
        <v>75</v>
      </c>
      <c r="H74" s="24">
        <v>51.4</v>
      </c>
      <c r="I74" s="25"/>
      <c r="J74" s="25"/>
      <c r="K74" s="25"/>
      <c r="L74" s="25"/>
      <c r="M74" s="25"/>
      <c r="N74" s="25"/>
      <c r="O74" s="25" t="s">
        <v>76</v>
      </c>
      <c r="P74" s="25"/>
      <c r="Q74" s="25"/>
      <c r="R74" s="25"/>
      <c r="S74" s="25"/>
      <c r="T74" s="26"/>
      <c xmlns="http://schemas.openxmlformats.org/spreadsheetml/2006/main" r="U74" s="23">
        <f t="shared" si="3"/>
        <v>1.0</v>
      </c>
      <c xmlns="http://schemas.openxmlformats.org/spreadsheetml/2006/main" r="V74" s="22" t="str">
        <f t="shared" si="4"/>
        <v>▲ 單一設備依賴</v>
      </c>
      <c xmlns="http://schemas.openxmlformats.org/spreadsheetml/2006/main" r="W74" s="18" t="str">
        <f t="shared" si="5"/>
        <v>僅依賴1台設備，須確認故障/排修時之備援製程</v>
      </c>
      <c r="X74" s="22" t="s">
        <v>774</v>
      </c>
      <c r="Y74" s="22" t="s">
        <v>467</v>
      </c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s">
        <v>747</v>
      </c>
      <c r="B75" s="22" t="s">
        <v>127</v>
      </c>
      <c r="C75" s="22" t="s">
        <v>725</v>
      </c>
      <c r="D75" s="22" t="s">
        <v>773</v>
      </c>
      <c r="E75" s="22" t="s">
        <v>768</v>
      </c>
      <c r="F75" s="23">
        <v>12</v>
      </c>
      <c r="G75" s="23" t="s">
        <v>75</v>
      </c>
      <c r="H75" s="24">
        <v>70</v>
      </c>
      <c r="I75" s="25"/>
      <c r="J75" s="25"/>
      <c r="K75" s="25"/>
      <c r="L75" s="25"/>
      <c r="M75" s="25"/>
      <c r="N75" s="25"/>
      <c r="O75" s="25" t="s">
        <v>76</v>
      </c>
      <c r="P75" s="25"/>
      <c r="Q75" s="25"/>
      <c r="R75" s="25"/>
      <c r="S75" s="25"/>
      <c r="T75" s="26"/>
      <c xmlns="http://schemas.openxmlformats.org/spreadsheetml/2006/main" r="U75" s="23">
        <f t="shared" si="3"/>
        <v>1.0</v>
      </c>
      <c xmlns="http://schemas.openxmlformats.org/spreadsheetml/2006/main" r="V75" s="22" t="str">
        <f t="shared" si="4"/>
        <v>▲ 單一設備依賴</v>
      </c>
      <c xmlns="http://schemas.openxmlformats.org/spreadsheetml/2006/main" r="W75" s="18" t="str">
        <f t="shared" si="5"/>
        <v>僅依賴1台設備，須確認故障/排修時之備援製程</v>
      </c>
      <c r="X75" s="22" t="s">
        <v>774</v>
      </c>
      <c r="Y75" s="22" t="s">
        <v>467</v>
      </c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 t="s">
        <v>747</v>
      </c>
      <c r="B76" s="22" t="s">
        <v>127</v>
      </c>
      <c r="C76" s="22" t="s">
        <v>725</v>
      </c>
      <c r="D76" s="22" t="s">
        <v>773</v>
      </c>
      <c r="E76" s="22" t="s">
        <v>775</v>
      </c>
      <c r="F76" s="23">
        <v>1</v>
      </c>
      <c r="G76" s="23" t="s">
        <v>77</v>
      </c>
      <c r="H76" s="24">
        <v>100</v>
      </c>
      <c r="I76" s="25"/>
      <c r="J76" s="25"/>
      <c r="K76" s="25"/>
      <c r="L76" s="25"/>
      <c r="M76" s="25" t="s">
        <v>76</v>
      </c>
      <c r="N76" s="25"/>
      <c r="O76" s="25"/>
      <c r="P76" s="25"/>
      <c r="Q76" s="25"/>
      <c r="R76" s="25"/>
      <c r="S76" s="25"/>
      <c r="T76" s="26"/>
      <c xmlns="http://schemas.openxmlformats.org/spreadsheetml/2006/main" r="U76" s="23">
        <f t="shared" si="3"/>
        <v>1.0</v>
      </c>
      <c xmlns="http://schemas.openxmlformats.org/spreadsheetml/2006/main" r="V76" s="22" t="str">
        <f t="shared" si="4"/>
        <v>▲ 單一設備依賴</v>
      </c>
      <c xmlns="http://schemas.openxmlformats.org/spreadsheetml/2006/main" r="W76" s="18" t="str">
        <f t="shared" si="5"/>
        <v>僅依賴1台設備，須確認故障/排修時之備援製程</v>
      </c>
      <c r="X76" s="22" t="s">
        <v>774</v>
      </c>
      <c r="Y76" s="22" t="s">
        <v>467</v>
      </c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s">
        <v>747</v>
      </c>
      <c r="B77" s="22" t="s">
        <v>127</v>
      </c>
      <c r="C77" s="22" t="s">
        <v>725</v>
      </c>
      <c r="D77" s="22" t="s">
        <v>773</v>
      </c>
      <c r="E77" s="22" t="s">
        <v>776</v>
      </c>
      <c r="F77" s="23">
        <v>3</v>
      </c>
      <c r="G77" s="23" t="s">
        <v>75</v>
      </c>
      <c r="H77" s="24">
        <v>70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 t="s">
        <v>76</v>
      </c>
      <c xmlns="http://schemas.openxmlformats.org/spreadsheetml/2006/main" r="U77" s="23">
        <f t="shared" si="3"/>
        <v>0.0</v>
      </c>
      <c xmlns="http://schemas.openxmlformats.org/spreadsheetml/2006/main" r="V77" s="22" t="str">
        <f t="shared" si="4"/>
        <v>○ 免調理</v>
      </c>
      <c xmlns="http://schemas.openxmlformats.org/spreadsheetml/2006/main" r="W77" s="18" t="str">
        <f t="shared" si="5"/>
        <v>免調理半成品（外購/僅切配等），不列入設備風險評估</v>
      </c>
      <c r="X77" s="22" t="s">
        <v>774</v>
      </c>
      <c r="Y77" s="22" t="s">
        <v>467</v>
      </c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s">
        <v>747</v>
      </c>
      <c r="B78" s="22" t="s">
        <v>127</v>
      </c>
      <c r="C78" s="22" t="s">
        <v>725</v>
      </c>
      <c r="D78" s="22" t="s">
        <v>773</v>
      </c>
      <c r="E78" s="22" t="s">
        <v>777</v>
      </c>
      <c r="F78" s="23">
        <v>270</v>
      </c>
      <c r="G78" s="23" t="s">
        <v>75</v>
      </c>
      <c r="H78" s="24">
        <v>52</v>
      </c>
      <c r="I78" s="25"/>
      <c r="J78" s="25"/>
      <c r="K78" s="25"/>
      <c r="L78" s="25"/>
      <c r="M78" s="25"/>
      <c r="N78" s="25"/>
      <c r="O78" s="25" t="s">
        <v>76</v>
      </c>
      <c r="P78" s="25"/>
      <c r="Q78" s="25"/>
      <c r="R78" s="25"/>
      <c r="S78" s="25"/>
      <c r="T78" s="26"/>
      <c xmlns="http://schemas.openxmlformats.org/spreadsheetml/2006/main" r="U78" s="23">
        <f t="shared" si="3"/>
        <v>1.0</v>
      </c>
      <c xmlns="http://schemas.openxmlformats.org/spreadsheetml/2006/main" r="V78" s="22" t="str">
        <f t="shared" si="4"/>
        <v>▲ 單一設備依賴</v>
      </c>
      <c xmlns="http://schemas.openxmlformats.org/spreadsheetml/2006/main" r="W78" s="18" t="str">
        <f t="shared" si="5"/>
        <v>僅依賴1台設備，須確認故障/排修時之備援製程</v>
      </c>
      <c r="X78" s="22" t="s">
        <v>774</v>
      </c>
      <c r="Y78" s="22" t="s">
        <v>467</v>
      </c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si="3"/>
        <v/>
      </c>
      <c xmlns="http://schemas.openxmlformats.org/spreadsheetml/2006/main" r="V85" s="22" t="str">
        <f t="shared" si="4"/>
        <v/>
      </c>
      <c xmlns="http://schemas.openxmlformats.org/spreadsheetml/2006/main" r="W85" s="18" t="str">
        <f t="shared" si="5"/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3"/>
        <v/>
      </c>
      <c xmlns="http://schemas.openxmlformats.org/spreadsheetml/2006/main" r="V86" s="22" t="str">
        <f t="shared" si="4"/>
        <v/>
      </c>
      <c xmlns="http://schemas.openxmlformats.org/spreadsheetml/2006/main" r="W86" s="18" t="str">
        <f t="shared" si="5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3"/>
        <v/>
      </c>
      <c xmlns="http://schemas.openxmlformats.org/spreadsheetml/2006/main" r="V87" s="22" t="str">
        <f t="shared" si="4"/>
        <v/>
      </c>
      <c xmlns="http://schemas.openxmlformats.org/spreadsheetml/2006/main" r="W87" s="18" t="str">
        <f t="shared" si="5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3"/>
        <v/>
      </c>
      <c xmlns="http://schemas.openxmlformats.org/spreadsheetml/2006/main" r="V88" s="22" t="str">
        <f t="shared" si="4"/>
        <v/>
      </c>
      <c xmlns="http://schemas.openxmlformats.org/spreadsheetml/2006/main" r="W88" s="18" t="str">
        <f t="shared" si="5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3"/>
        <v/>
      </c>
      <c xmlns="http://schemas.openxmlformats.org/spreadsheetml/2006/main" r="V89" s="22" t="str">
        <f t="shared" si="4"/>
        <v/>
      </c>
      <c xmlns="http://schemas.openxmlformats.org/spreadsheetml/2006/main" r="W89" s="18" t="str">
        <f t="shared" si="5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3"/>
        <v/>
      </c>
      <c xmlns="http://schemas.openxmlformats.org/spreadsheetml/2006/main" r="V90" s="22" t="str">
        <f t="shared" si="4"/>
        <v/>
      </c>
      <c xmlns="http://schemas.openxmlformats.org/spreadsheetml/2006/main" r="W90" s="18" t="str">
        <f t="shared" si="5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3"/>
        <v/>
      </c>
      <c xmlns="http://schemas.openxmlformats.org/spreadsheetml/2006/main" r="V91" s="22" t="str">
        <f t="shared" si="4"/>
        <v/>
      </c>
      <c xmlns="http://schemas.openxmlformats.org/spreadsheetml/2006/main" r="W91" s="18" t="str">
        <f t="shared" si="5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3"/>
        <v/>
      </c>
      <c xmlns="http://schemas.openxmlformats.org/spreadsheetml/2006/main" r="V92" s="22" t="str">
        <f t="shared" si="4"/>
        <v/>
      </c>
      <c xmlns="http://schemas.openxmlformats.org/spreadsheetml/2006/main" r="W92" s="18" t="str">
        <f t="shared" si="5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3"/>
        <v/>
      </c>
      <c xmlns="http://schemas.openxmlformats.org/spreadsheetml/2006/main" r="V93" s="22" t="str">
        <f t="shared" si="4"/>
        <v/>
      </c>
      <c xmlns="http://schemas.openxmlformats.org/spreadsheetml/2006/main" r="W93" s="18" t="str">
        <f t="shared" si="5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3"/>
        <v/>
      </c>
      <c xmlns="http://schemas.openxmlformats.org/spreadsheetml/2006/main" r="V94" s="22" t="str">
        <f t="shared" si="4"/>
        <v/>
      </c>
      <c xmlns="http://schemas.openxmlformats.org/spreadsheetml/2006/main" r="W94" s="18" t="str">
        <f t="shared" si="5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3"/>
        <v/>
      </c>
      <c xmlns="http://schemas.openxmlformats.org/spreadsheetml/2006/main" r="V95" s="22" t="str">
        <f t="shared" si="4"/>
        <v/>
      </c>
      <c xmlns="http://schemas.openxmlformats.org/spreadsheetml/2006/main" r="W95" s="18" t="str">
        <f t="shared" si="5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3"/>
        <v/>
      </c>
      <c xmlns="http://schemas.openxmlformats.org/spreadsheetml/2006/main" r="V96" s="22" t="str">
        <f t="shared" si="4"/>
        <v/>
      </c>
      <c xmlns="http://schemas.openxmlformats.org/spreadsheetml/2006/main" r="W96" s="18" t="str">
        <f t="shared" si="5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3"/>
        <v/>
      </c>
      <c xmlns="http://schemas.openxmlformats.org/spreadsheetml/2006/main" r="V97" s="22" t="str">
        <f t="shared" si="4"/>
        <v/>
      </c>
      <c xmlns="http://schemas.openxmlformats.org/spreadsheetml/2006/main" r="W97" s="18" t="str">
        <f t="shared" si="5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3"/>
        <v/>
      </c>
      <c xmlns="http://schemas.openxmlformats.org/spreadsheetml/2006/main" r="V98" s="22" t="str">
        <f t="shared" si="4"/>
        <v/>
      </c>
      <c xmlns="http://schemas.openxmlformats.org/spreadsheetml/2006/main" r="W98" s="18" t="str">
        <f t="shared" si="5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3"/>
        <v/>
      </c>
      <c xmlns="http://schemas.openxmlformats.org/spreadsheetml/2006/main" r="V99" s="22" t="str">
        <f t="shared" si="4"/>
        <v/>
      </c>
      <c xmlns="http://schemas.openxmlformats.org/spreadsheetml/2006/main" r="W99" s="18" t="str">
        <f t="shared" si="5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3"/>
        <v/>
      </c>
      <c xmlns="http://schemas.openxmlformats.org/spreadsheetml/2006/main" r="V100" s="22" t="str">
        <f t="shared" si="4"/>
        <v/>
      </c>
      <c xmlns="http://schemas.openxmlformats.org/spreadsheetml/2006/main" r="W100" s="18" t="str">
        <f t="shared" si="5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3"/>
        <v/>
      </c>
      <c xmlns="http://schemas.openxmlformats.org/spreadsheetml/2006/main" r="V101" s="22" t="str">
        <f t="shared" si="4"/>
        <v/>
      </c>
      <c xmlns="http://schemas.openxmlformats.org/spreadsheetml/2006/main" r="W101" s="18" t="str">
        <f t="shared" si="5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3"/>
        <v/>
      </c>
      <c xmlns="http://schemas.openxmlformats.org/spreadsheetml/2006/main" r="V102" s="22" t="str">
        <f t="shared" si="4"/>
        <v/>
      </c>
      <c xmlns="http://schemas.openxmlformats.org/spreadsheetml/2006/main" r="W102" s="18" t="str">
        <f t="shared" si="5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3"/>
        <v/>
      </c>
      <c xmlns="http://schemas.openxmlformats.org/spreadsheetml/2006/main" r="V103" s="22" t="str">
        <f t="shared" si="4"/>
        <v/>
      </c>
      <c xmlns="http://schemas.openxmlformats.org/spreadsheetml/2006/main" r="W103" s="18" t="str">
        <f t="shared" si="5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3"/>
        <v/>
      </c>
      <c xmlns="http://schemas.openxmlformats.org/spreadsheetml/2006/main" r="V104" s="22" t="str">
        <f t="shared" si="4"/>
        <v/>
      </c>
      <c xmlns="http://schemas.openxmlformats.org/spreadsheetml/2006/main" r="W104" s="18" t="str">
        <f t="shared" si="5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3"/>
        <v/>
      </c>
      <c xmlns="http://schemas.openxmlformats.org/spreadsheetml/2006/main" r="V105" s="22" t="str">
        <f t="shared" si="4"/>
        <v/>
      </c>
      <c xmlns="http://schemas.openxmlformats.org/spreadsheetml/2006/main" r="W105" s="18" t="str">
        <f t="shared" si="5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3"/>
        <v/>
      </c>
      <c xmlns="http://schemas.openxmlformats.org/spreadsheetml/2006/main" r="V106" s="22" t="str">
        <f t="shared" si="4"/>
        <v/>
      </c>
      <c xmlns="http://schemas.openxmlformats.org/spreadsheetml/2006/main" r="W106" s="18" t="str">
        <f t="shared" si="5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3"/>
        <v/>
      </c>
      <c xmlns="http://schemas.openxmlformats.org/spreadsheetml/2006/main" r="V107" s="22" t="str">
        <f t="shared" si="4"/>
        <v/>
      </c>
      <c xmlns="http://schemas.openxmlformats.org/spreadsheetml/2006/main" r="W107" s="18" t="str">
        <f t="shared" si="5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3"/>
        <v/>
      </c>
      <c xmlns="http://schemas.openxmlformats.org/spreadsheetml/2006/main" r="V108" s="22" t="str">
        <f t="shared" si="4"/>
        <v/>
      </c>
      <c xmlns="http://schemas.openxmlformats.org/spreadsheetml/2006/main" r="W108" s="18" t="str">
        <f t="shared" si="5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3"/>
        <v/>
      </c>
      <c xmlns="http://schemas.openxmlformats.org/spreadsheetml/2006/main" r="V109" s="22" t="str">
        <f t="shared" si="4"/>
        <v/>
      </c>
      <c xmlns="http://schemas.openxmlformats.org/spreadsheetml/2006/main" r="W109" s="18" t="str">
        <f t="shared" si="5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3"/>
        <v/>
      </c>
      <c xmlns="http://schemas.openxmlformats.org/spreadsheetml/2006/main" r="V110" s="22" t="str">
        <f t="shared" si="4"/>
        <v/>
      </c>
      <c xmlns="http://schemas.openxmlformats.org/spreadsheetml/2006/main" r="W110" s="18" t="str">
        <f t="shared" si="5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3"/>
        <v/>
      </c>
      <c xmlns="http://schemas.openxmlformats.org/spreadsheetml/2006/main" r="V111" s="22" t="str">
        <f t="shared" si="4"/>
        <v/>
      </c>
      <c xmlns="http://schemas.openxmlformats.org/spreadsheetml/2006/main" r="W111" s="18" t="str">
        <f t="shared" si="5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3"/>
        <v/>
      </c>
      <c xmlns="http://schemas.openxmlformats.org/spreadsheetml/2006/main" r="V112" s="22" t="str">
        <f t="shared" si="4"/>
        <v/>
      </c>
      <c xmlns="http://schemas.openxmlformats.org/spreadsheetml/2006/main" r="W112" s="18" t="str">
        <f t="shared" si="5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3"/>
        <v/>
      </c>
      <c xmlns="http://schemas.openxmlformats.org/spreadsheetml/2006/main" r="V113" s="22" t="str">
        <f t="shared" si="4"/>
        <v/>
      </c>
      <c xmlns="http://schemas.openxmlformats.org/spreadsheetml/2006/main" r="W113" s="18" t="str">
        <f t="shared" si="5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3"/>
        <v/>
      </c>
      <c xmlns="http://schemas.openxmlformats.org/spreadsheetml/2006/main" r="V114" s="22" t="str">
        <f t="shared" si="4"/>
        <v/>
      </c>
      <c xmlns="http://schemas.openxmlformats.org/spreadsheetml/2006/main" r="W114" s="18" t="str">
        <f t="shared" si="5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3"/>
        <v/>
      </c>
      <c xmlns="http://schemas.openxmlformats.org/spreadsheetml/2006/main" r="V115" s="22" t="str">
        <f t="shared" si="4"/>
        <v/>
      </c>
      <c xmlns="http://schemas.openxmlformats.org/spreadsheetml/2006/main" r="W115" s="18" t="str">
        <f t="shared" si="5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3"/>
        <v/>
      </c>
      <c xmlns="http://schemas.openxmlformats.org/spreadsheetml/2006/main" r="V116" s="22" t="str">
        <f t="shared" si="4"/>
        <v/>
      </c>
      <c xmlns="http://schemas.openxmlformats.org/spreadsheetml/2006/main" r="W116" s="18" t="str">
        <f t="shared" si="5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3"/>
        <v/>
      </c>
      <c xmlns="http://schemas.openxmlformats.org/spreadsheetml/2006/main" r="V117" s="22" t="str">
        <f t="shared" si="4"/>
        <v/>
      </c>
      <c xmlns="http://schemas.openxmlformats.org/spreadsheetml/2006/main" r="W117" s="18" t="str">
        <f t="shared" si="5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3"/>
        <v/>
      </c>
      <c xmlns="http://schemas.openxmlformats.org/spreadsheetml/2006/main" r="V118" s="22" t="str">
        <f t="shared" si="4"/>
        <v/>
      </c>
      <c xmlns="http://schemas.openxmlformats.org/spreadsheetml/2006/main" r="W118" s="18" t="str">
        <f t="shared" si="5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3"/>
        <v/>
      </c>
      <c xmlns="http://schemas.openxmlformats.org/spreadsheetml/2006/main" r="V119" s="22" t="str">
        <f t="shared" si="4"/>
        <v/>
      </c>
      <c xmlns="http://schemas.openxmlformats.org/spreadsheetml/2006/main" r="W119" s="18" t="str">
        <f t="shared" si="5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3"/>
        <v/>
      </c>
      <c xmlns="http://schemas.openxmlformats.org/spreadsheetml/2006/main" r="V120" s="22" t="str">
        <f t="shared" si="4"/>
        <v/>
      </c>
      <c xmlns="http://schemas.openxmlformats.org/spreadsheetml/2006/main" r="W120" s="18" t="str">
        <f t="shared" si="5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ref="U121:U184" si="6">IF($E121="","",COUNTIF($I121:$S121,"V"))</f>
        <v/>
      </c>
      <c xmlns="http://schemas.openxmlformats.org/spreadsheetml/2006/main" r="V121" s="22" t="str">
        <f t="shared" ref="V121:V184" si="7">IF($E121="","",IF(AND($T121="V",$U121&gt;0),"⚠ 勾選矛盾",IF($T121="V","○ 免調理",IF($U121=0,"⚠ 資料缺漏",IF($U121=1,"▲ 單一設備依賴","OK")))))</f>
        <v/>
      </c>
      <c xmlns="http://schemas.openxmlformats.org/spreadsheetml/2006/main" r="W121" s="18" t="str">
        <f t="shared" ref="W121:W184" si="8">IF($E121="","",IF(AND($T121="V",$U121&gt;0),"「無使用調理設備」不可與設備欄同時勾選，請擇一修正",IF($T121="V","免調理半成品（外購/僅切配等），不列入設備風險評估",IF($U121=0,"未勾選任何設備，請補填或勾選「無使用調理設備」",IF($U121=1,"僅依賴1台設備，須確認故障/排修時之備援製程","無異常")))))</f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6"/>
        <v/>
      </c>
      <c xmlns="http://schemas.openxmlformats.org/spreadsheetml/2006/main" r="V122" s="22" t="str">
        <f t="shared" si="7"/>
        <v/>
      </c>
      <c xmlns="http://schemas.openxmlformats.org/spreadsheetml/2006/main" r="W122" s="18" t="str">
        <f t="shared" si="8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6"/>
        <v/>
      </c>
      <c xmlns="http://schemas.openxmlformats.org/spreadsheetml/2006/main" r="V123" s="22" t="str">
        <f t="shared" si="7"/>
        <v/>
      </c>
      <c xmlns="http://schemas.openxmlformats.org/spreadsheetml/2006/main" r="W123" s="18" t="str">
        <f t="shared" si="8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6"/>
        <v/>
      </c>
      <c xmlns="http://schemas.openxmlformats.org/spreadsheetml/2006/main" r="V124" s="22" t="str">
        <f t="shared" si="7"/>
        <v/>
      </c>
      <c xmlns="http://schemas.openxmlformats.org/spreadsheetml/2006/main" r="W124" s="18" t="str">
        <f t="shared" si="8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6"/>
        <v/>
      </c>
      <c xmlns="http://schemas.openxmlformats.org/spreadsheetml/2006/main" r="V125" s="22" t="str">
        <f t="shared" si="7"/>
        <v/>
      </c>
      <c xmlns="http://schemas.openxmlformats.org/spreadsheetml/2006/main" r="W125" s="18" t="str">
        <f t="shared" si="8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6"/>
        <v/>
      </c>
      <c xmlns="http://schemas.openxmlformats.org/spreadsheetml/2006/main" r="V126" s="22" t="str">
        <f t="shared" si="7"/>
        <v/>
      </c>
      <c xmlns="http://schemas.openxmlformats.org/spreadsheetml/2006/main" r="W126" s="18" t="str">
        <f t="shared" si="8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6"/>
        <v/>
      </c>
      <c xmlns="http://schemas.openxmlformats.org/spreadsheetml/2006/main" r="V127" s="22" t="str">
        <f t="shared" si="7"/>
        <v/>
      </c>
      <c xmlns="http://schemas.openxmlformats.org/spreadsheetml/2006/main" r="W127" s="18" t="str">
        <f t="shared" si="8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6"/>
        <v/>
      </c>
      <c xmlns="http://schemas.openxmlformats.org/spreadsheetml/2006/main" r="V128" s="22" t="str">
        <f t="shared" si="7"/>
        <v/>
      </c>
      <c xmlns="http://schemas.openxmlformats.org/spreadsheetml/2006/main" r="W128" s="18" t="str">
        <f t="shared" si="8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6"/>
        <v/>
      </c>
      <c xmlns="http://schemas.openxmlformats.org/spreadsheetml/2006/main" r="V129" s="22" t="str">
        <f t="shared" si="7"/>
        <v/>
      </c>
      <c xmlns="http://schemas.openxmlformats.org/spreadsheetml/2006/main" r="W129" s="18" t="str">
        <f t="shared" si="8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6"/>
        <v/>
      </c>
      <c xmlns="http://schemas.openxmlformats.org/spreadsheetml/2006/main" r="V130" s="22" t="str">
        <f t="shared" si="7"/>
        <v/>
      </c>
      <c xmlns="http://schemas.openxmlformats.org/spreadsheetml/2006/main" r="W130" s="18" t="str">
        <f t="shared" si="8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6"/>
        <v/>
      </c>
      <c xmlns="http://schemas.openxmlformats.org/spreadsheetml/2006/main" r="V131" s="22" t="str">
        <f t="shared" si="7"/>
        <v/>
      </c>
      <c xmlns="http://schemas.openxmlformats.org/spreadsheetml/2006/main" r="W131" s="18" t="str">
        <f t="shared" si="8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si="6"/>
        <v/>
      </c>
      <c xmlns="http://schemas.openxmlformats.org/spreadsheetml/2006/main" r="V132" s="22" t="str">
        <f t="shared" si="7"/>
        <v/>
      </c>
      <c xmlns="http://schemas.openxmlformats.org/spreadsheetml/2006/main" r="W132" s="18" t="str">
        <f t="shared" si="8"/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si="6"/>
        <v/>
      </c>
      <c xmlns="http://schemas.openxmlformats.org/spreadsheetml/2006/main" r="V133" s="22" t="str">
        <f t="shared" si="7"/>
        <v/>
      </c>
      <c xmlns="http://schemas.openxmlformats.org/spreadsheetml/2006/main" r="W133" s="18" t="str">
        <f t="shared" si="8"/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si="6"/>
        <v/>
      </c>
      <c xmlns="http://schemas.openxmlformats.org/spreadsheetml/2006/main" r="V149" s="22" t="str">
        <f t="shared" si="7"/>
        <v/>
      </c>
      <c xmlns="http://schemas.openxmlformats.org/spreadsheetml/2006/main" r="W149" s="18" t="str">
        <f t="shared" si="8"/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6"/>
        <v/>
      </c>
      <c xmlns="http://schemas.openxmlformats.org/spreadsheetml/2006/main" r="V150" s="22" t="str">
        <f t="shared" si="7"/>
        <v/>
      </c>
      <c xmlns="http://schemas.openxmlformats.org/spreadsheetml/2006/main" r="W150" s="18" t="str">
        <f t="shared" si="8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6"/>
        <v/>
      </c>
      <c xmlns="http://schemas.openxmlformats.org/spreadsheetml/2006/main" r="V151" s="22" t="str">
        <f t="shared" si="7"/>
        <v/>
      </c>
      <c xmlns="http://schemas.openxmlformats.org/spreadsheetml/2006/main" r="W151" s="18" t="str">
        <f t="shared" si="8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6"/>
        <v/>
      </c>
      <c xmlns="http://schemas.openxmlformats.org/spreadsheetml/2006/main" r="V152" s="22" t="str">
        <f t="shared" si="7"/>
        <v/>
      </c>
      <c xmlns="http://schemas.openxmlformats.org/spreadsheetml/2006/main" r="W152" s="18" t="str">
        <f t="shared" si="8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6"/>
        <v/>
      </c>
      <c xmlns="http://schemas.openxmlformats.org/spreadsheetml/2006/main" r="V153" s="22" t="str">
        <f t="shared" si="7"/>
        <v/>
      </c>
      <c xmlns="http://schemas.openxmlformats.org/spreadsheetml/2006/main" r="W153" s="18" t="str">
        <f t="shared" si="8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6"/>
        <v/>
      </c>
      <c xmlns="http://schemas.openxmlformats.org/spreadsheetml/2006/main" r="V154" s="22" t="str">
        <f t="shared" si="7"/>
        <v/>
      </c>
      <c xmlns="http://schemas.openxmlformats.org/spreadsheetml/2006/main" r="W154" s="18" t="str">
        <f t="shared" si="8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6"/>
        <v/>
      </c>
      <c xmlns="http://schemas.openxmlformats.org/spreadsheetml/2006/main" r="V155" s="22" t="str">
        <f t="shared" si="7"/>
        <v/>
      </c>
      <c xmlns="http://schemas.openxmlformats.org/spreadsheetml/2006/main" r="W155" s="18" t="str">
        <f t="shared" si="8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6"/>
        <v/>
      </c>
      <c xmlns="http://schemas.openxmlformats.org/spreadsheetml/2006/main" r="V156" s="22" t="str">
        <f t="shared" si="7"/>
        <v/>
      </c>
      <c xmlns="http://schemas.openxmlformats.org/spreadsheetml/2006/main" r="W156" s="18" t="str">
        <f t="shared" si="8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6"/>
        <v/>
      </c>
      <c xmlns="http://schemas.openxmlformats.org/spreadsheetml/2006/main" r="V157" s="22" t="str">
        <f t="shared" si="7"/>
        <v/>
      </c>
      <c xmlns="http://schemas.openxmlformats.org/spreadsheetml/2006/main" r="W157" s="18" t="str">
        <f t="shared" si="8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6"/>
        <v/>
      </c>
      <c xmlns="http://schemas.openxmlformats.org/spreadsheetml/2006/main" r="V158" s="22" t="str">
        <f t="shared" si="7"/>
        <v/>
      </c>
      <c xmlns="http://schemas.openxmlformats.org/spreadsheetml/2006/main" r="W158" s="18" t="str">
        <f t="shared" si="8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6"/>
        <v/>
      </c>
      <c xmlns="http://schemas.openxmlformats.org/spreadsheetml/2006/main" r="V159" s="22" t="str">
        <f t="shared" si="7"/>
        <v/>
      </c>
      <c xmlns="http://schemas.openxmlformats.org/spreadsheetml/2006/main" r="W159" s="18" t="str">
        <f t="shared" si="8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6"/>
        <v/>
      </c>
      <c xmlns="http://schemas.openxmlformats.org/spreadsheetml/2006/main" r="V160" s="22" t="str">
        <f t="shared" si="7"/>
        <v/>
      </c>
      <c xmlns="http://schemas.openxmlformats.org/spreadsheetml/2006/main" r="W160" s="18" t="str">
        <f t="shared" si="8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6"/>
        <v/>
      </c>
      <c xmlns="http://schemas.openxmlformats.org/spreadsheetml/2006/main" r="V161" s="22" t="str">
        <f t="shared" si="7"/>
        <v/>
      </c>
      <c xmlns="http://schemas.openxmlformats.org/spreadsheetml/2006/main" r="W161" s="18" t="str">
        <f t="shared" si="8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6"/>
        <v/>
      </c>
      <c xmlns="http://schemas.openxmlformats.org/spreadsheetml/2006/main" r="V162" s="22" t="str">
        <f t="shared" si="7"/>
        <v/>
      </c>
      <c xmlns="http://schemas.openxmlformats.org/spreadsheetml/2006/main" r="W162" s="18" t="str">
        <f t="shared" si="8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6"/>
        <v/>
      </c>
      <c xmlns="http://schemas.openxmlformats.org/spreadsheetml/2006/main" r="V163" s="22" t="str">
        <f t="shared" si="7"/>
        <v/>
      </c>
      <c xmlns="http://schemas.openxmlformats.org/spreadsheetml/2006/main" r="W163" s="18" t="str">
        <f t="shared" si="8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6"/>
        <v/>
      </c>
      <c xmlns="http://schemas.openxmlformats.org/spreadsheetml/2006/main" r="V164" s="22" t="str">
        <f t="shared" si="7"/>
        <v/>
      </c>
      <c xmlns="http://schemas.openxmlformats.org/spreadsheetml/2006/main" r="W164" s="18" t="str">
        <f t="shared" si="8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6"/>
        <v/>
      </c>
      <c xmlns="http://schemas.openxmlformats.org/spreadsheetml/2006/main" r="V165" s="22" t="str">
        <f t="shared" si="7"/>
        <v/>
      </c>
      <c xmlns="http://schemas.openxmlformats.org/spreadsheetml/2006/main" r="W165" s="18" t="str">
        <f t="shared" si="8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6"/>
        <v/>
      </c>
      <c xmlns="http://schemas.openxmlformats.org/spreadsheetml/2006/main" r="V166" s="22" t="str">
        <f t="shared" si="7"/>
        <v/>
      </c>
      <c xmlns="http://schemas.openxmlformats.org/spreadsheetml/2006/main" r="W166" s="18" t="str">
        <f t="shared" si="8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6"/>
        <v/>
      </c>
      <c xmlns="http://schemas.openxmlformats.org/spreadsheetml/2006/main" r="V167" s="22" t="str">
        <f t="shared" si="7"/>
        <v/>
      </c>
      <c xmlns="http://schemas.openxmlformats.org/spreadsheetml/2006/main" r="W167" s="18" t="str">
        <f t="shared" si="8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6"/>
        <v/>
      </c>
      <c xmlns="http://schemas.openxmlformats.org/spreadsheetml/2006/main" r="V168" s="22" t="str">
        <f t="shared" si="7"/>
        <v/>
      </c>
      <c xmlns="http://schemas.openxmlformats.org/spreadsheetml/2006/main" r="W168" s="18" t="str">
        <f t="shared" si="8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6"/>
        <v/>
      </c>
      <c xmlns="http://schemas.openxmlformats.org/spreadsheetml/2006/main" r="V169" s="22" t="str">
        <f t="shared" si="7"/>
        <v/>
      </c>
      <c xmlns="http://schemas.openxmlformats.org/spreadsheetml/2006/main" r="W169" s="18" t="str">
        <f t="shared" si="8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6"/>
        <v/>
      </c>
      <c xmlns="http://schemas.openxmlformats.org/spreadsheetml/2006/main" r="V170" s="22" t="str">
        <f t="shared" si="7"/>
        <v/>
      </c>
      <c xmlns="http://schemas.openxmlformats.org/spreadsheetml/2006/main" r="W170" s="18" t="str">
        <f t="shared" si="8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6"/>
        <v/>
      </c>
      <c xmlns="http://schemas.openxmlformats.org/spreadsheetml/2006/main" r="V171" s="22" t="str">
        <f t="shared" si="7"/>
        <v/>
      </c>
      <c xmlns="http://schemas.openxmlformats.org/spreadsheetml/2006/main" r="W171" s="18" t="str">
        <f t="shared" si="8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6"/>
        <v/>
      </c>
      <c xmlns="http://schemas.openxmlformats.org/spreadsheetml/2006/main" r="V172" s="22" t="str">
        <f t="shared" si="7"/>
        <v/>
      </c>
      <c xmlns="http://schemas.openxmlformats.org/spreadsheetml/2006/main" r="W172" s="18" t="str">
        <f t="shared" si="8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6"/>
        <v/>
      </c>
      <c xmlns="http://schemas.openxmlformats.org/spreadsheetml/2006/main" r="V173" s="22" t="str">
        <f t="shared" si="7"/>
        <v/>
      </c>
      <c xmlns="http://schemas.openxmlformats.org/spreadsheetml/2006/main" r="W173" s="18" t="str">
        <f t="shared" si="8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6"/>
        <v/>
      </c>
      <c xmlns="http://schemas.openxmlformats.org/spreadsheetml/2006/main" r="V174" s="22" t="str">
        <f t="shared" si="7"/>
        <v/>
      </c>
      <c xmlns="http://schemas.openxmlformats.org/spreadsheetml/2006/main" r="W174" s="18" t="str">
        <f t="shared" si="8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6"/>
        <v/>
      </c>
      <c xmlns="http://schemas.openxmlformats.org/spreadsheetml/2006/main" r="V175" s="22" t="str">
        <f t="shared" si="7"/>
        <v/>
      </c>
      <c xmlns="http://schemas.openxmlformats.org/spreadsheetml/2006/main" r="W175" s="18" t="str">
        <f t="shared" si="8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6"/>
        <v/>
      </c>
      <c xmlns="http://schemas.openxmlformats.org/spreadsheetml/2006/main" r="V176" s="22" t="str">
        <f t="shared" si="7"/>
        <v/>
      </c>
      <c xmlns="http://schemas.openxmlformats.org/spreadsheetml/2006/main" r="W176" s="18" t="str">
        <f t="shared" si="8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6"/>
        <v/>
      </c>
      <c xmlns="http://schemas.openxmlformats.org/spreadsheetml/2006/main" r="V177" s="22" t="str">
        <f t="shared" si="7"/>
        <v/>
      </c>
      <c xmlns="http://schemas.openxmlformats.org/spreadsheetml/2006/main" r="W177" s="18" t="str">
        <f t="shared" si="8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6"/>
        <v/>
      </c>
      <c xmlns="http://schemas.openxmlformats.org/spreadsheetml/2006/main" r="V178" s="22" t="str">
        <f t="shared" si="7"/>
        <v/>
      </c>
      <c xmlns="http://schemas.openxmlformats.org/spreadsheetml/2006/main" r="W178" s="18" t="str">
        <f t="shared" si="8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6"/>
        <v/>
      </c>
      <c xmlns="http://schemas.openxmlformats.org/spreadsheetml/2006/main" r="V179" s="22" t="str">
        <f t="shared" si="7"/>
        <v/>
      </c>
      <c xmlns="http://schemas.openxmlformats.org/spreadsheetml/2006/main" r="W179" s="18" t="str">
        <f t="shared" si="8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6"/>
        <v/>
      </c>
      <c xmlns="http://schemas.openxmlformats.org/spreadsheetml/2006/main" r="V180" s="22" t="str">
        <f t="shared" si="7"/>
        <v/>
      </c>
      <c xmlns="http://schemas.openxmlformats.org/spreadsheetml/2006/main" r="W180" s="18" t="str">
        <f t="shared" si="8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6"/>
        <v/>
      </c>
      <c xmlns="http://schemas.openxmlformats.org/spreadsheetml/2006/main" r="V181" s="22" t="str">
        <f t="shared" si="7"/>
        <v/>
      </c>
      <c xmlns="http://schemas.openxmlformats.org/spreadsheetml/2006/main" r="W181" s="18" t="str">
        <f t="shared" si="8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6"/>
        <v/>
      </c>
      <c xmlns="http://schemas.openxmlformats.org/spreadsheetml/2006/main" r="V182" s="22" t="str">
        <f t="shared" si="7"/>
        <v/>
      </c>
      <c xmlns="http://schemas.openxmlformats.org/spreadsheetml/2006/main" r="W182" s="18" t="str">
        <f t="shared" si="8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6"/>
        <v/>
      </c>
      <c xmlns="http://schemas.openxmlformats.org/spreadsheetml/2006/main" r="V183" s="22" t="str">
        <f t="shared" si="7"/>
        <v/>
      </c>
      <c xmlns="http://schemas.openxmlformats.org/spreadsheetml/2006/main" r="W183" s="18" t="str">
        <f t="shared" si="8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6"/>
        <v/>
      </c>
      <c xmlns="http://schemas.openxmlformats.org/spreadsheetml/2006/main" r="V184" s="22" t="str">
        <f t="shared" si="7"/>
        <v/>
      </c>
      <c xmlns="http://schemas.openxmlformats.org/spreadsheetml/2006/main" r="W184" s="18" t="str">
        <f t="shared" si="8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ref="U185:U248" si="9">IF($E185="","",COUNTIF($I185:$S185,"V"))</f>
        <v/>
      </c>
      <c xmlns="http://schemas.openxmlformats.org/spreadsheetml/2006/main" r="V185" s="22" t="str">
        <f t="shared" ref="V185:V248" si="10">IF($E185="","",IF(AND($T185="V",$U185&gt;0),"⚠ 勾選矛盾",IF($T185="V","○ 免調理",IF($U185=0,"⚠ 資料缺漏",IF($U185=1,"▲ 單一設備依賴","OK")))))</f>
        <v/>
      </c>
      <c xmlns="http://schemas.openxmlformats.org/spreadsheetml/2006/main" r="W185" s="18" t="str">
        <f t="shared" ref="W185:W248" si="11">IF($E185="","",IF(AND($T185="V",$U185&gt;0),"「無使用調理設備」不可與設備欄同時勾選，請擇一修正",IF($T185="V","免調理半成品（外購/僅切配等），不列入設備風險評估",IF($U185=0,"未勾選任何設備，請補填或勾選「無使用調理設備」",IF($U185=1,"僅依賴1台設備，須確認故障/排修時之備援製程","無異常")))))</f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9"/>
        <v/>
      </c>
      <c xmlns="http://schemas.openxmlformats.org/spreadsheetml/2006/main" r="V186" s="22" t="str">
        <f t="shared" si="10"/>
        <v/>
      </c>
      <c xmlns="http://schemas.openxmlformats.org/spreadsheetml/2006/main" r="W186" s="18" t="str">
        <f t="shared" si="11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9"/>
        <v/>
      </c>
      <c xmlns="http://schemas.openxmlformats.org/spreadsheetml/2006/main" r="V187" s="22" t="str">
        <f t="shared" si="10"/>
        <v/>
      </c>
      <c xmlns="http://schemas.openxmlformats.org/spreadsheetml/2006/main" r="W187" s="18" t="str">
        <f t="shared" si="11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9"/>
        <v/>
      </c>
      <c xmlns="http://schemas.openxmlformats.org/spreadsheetml/2006/main" r="V188" s="22" t="str">
        <f t="shared" si="10"/>
        <v/>
      </c>
      <c xmlns="http://schemas.openxmlformats.org/spreadsheetml/2006/main" r="W188" s="18" t="str">
        <f t="shared" si="11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9"/>
        <v/>
      </c>
      <c xmlns="http://schemas.openxmlformats.org/spreadsheetml/2006/main" r="V189" s="22" t="str">
        <f t="shared" si="10"/>
        <v/>
      </c>
      <c xmlns="http://schemas.openxmlformats.org/spreadsheetml/2006/main" r="W189" s="18" t="str">
        <f t="shared" si="11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9"/>
        <v/>
      </c>
      <c xmlns="http://schemas.openxmlformats.org/spreadsheetml/2006/main" r="V190" s="22" t="str">
        <f t="shared" si="10"/>
        <v/>
      </c>
      <c xmlns="http://schemas.openxmlformats.org/spreadsheetml/2006/main" r="W190" s="18" t="str">
        <f t="shared" si="11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9"/>
        <v/>
      </c>
      <c xmlns="http://schemas.openxmlformats.org/spreadsheetml/2006/main" r="V191" s="22" t="str">
        <f t="shared" si="10"/>
        <v/>
      </c>
      <c xmlns="http://schemas.openxmlformats.org/spreadsheetml/2006/main" r="W191" s="18" t="str">
        <f t="shared" si="11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9"/>
        <v/>
      </c>
      <c xmlns="http://schemas.openxmlformats.org/spreadsheetml/2006/main" r="V192" s="22" t="str">
        <f t="shared" si="10"/>
        <v/>
      </c>
      <c xmlns="http://schemas.openxmlformats.org/spreadsheetml/2006/main" r="W192" s="18" t="str">
        <f t="shared" si="11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9"/>
        <v/>
      </c>
      <c xmlns="http://schemas.openxmlformats.org/spreadsheetml/2006/main" r="V193" s="22" t="str">
        <f t="shared" si="10"/>
        <v/>
      </c>
      <c xmlns="http://schemas.openxmlformats.org/spreadsheetml/2006/main" r="W193" s="18" t="str">
        <f t="shared" si="11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9"/>
        <v/>
      </c>
      <c xmlns="http://schemas.openxmlformats.org/spreadsheetml/2006/main" r="V194" s="22" t="str">
        <f t="shared" si="10"/>
        <v/>
      </c>
      <c xmlns="http://schemas.openxmlformats.org/spreadsheetml/2006/main" r="W194" s="18" t="str">
        <f t="shared" si="11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9"/>
        <v/>
      </c>
      <c xmlns="http://schemas.openxmlformats.org/spreadsheetml/2006/main" r="V195" s="22" t="str">
        <f t="shared" si="10"/>
        <v/>
      </c>
      <c xmlns="http://schemas.openxmlformats.org/spreadsheetml/2006/main" r="W195" s="18" t="str">
        <f t="shared" si="11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9"/>
        <v/>
      </c>
      <c xmlns="http://schemas.openxmlformats.org/spreadsheetml/2006/main" r="V196" s="22" t="str">
        <f t="shared" si="10"/>
        <v/>
      </c>
      <c xmlns="http://schemas.openxmlformats.org/spreadsheetml/2006/main" r="W196" s="18" t="str">
        <f t="shared" si="11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si="9"/>
        <v/>
      </c>
      <c xmlns="http://schemas.openxmlformats.org/spreadsheetml/2006/main" r="V197" s="22" t="str">
        <f t="shared" si="10"/>
        <v/>
      </c>
      <c xmlns="http://schemas.openxmlformats.org/spreadsheetml/2006/main" r="W197" s="18" t="str">
        <f t="shared" si="11"/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9"/>
        <v/>
      </c>
      <c xmlns="http://schemas.openxmlformats.org/spreadsheetml/2006/main" r="V213" s="22" t="str">
        <f t="shared" si="10"/>
        <v/>
      </c>
      <c xmlns="http://schemas.openxmlformats.org/spreadsheetml/2006/main" r="W213" s="18" t="str">
        <f t="shared" si="11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9"/>
        <v/>
      </c>
      <c xmlns="http://schemas.openxmlformats.org/spreadsheetml/2006/main" r="V214" s="22" t="str">
        <f t="shared" si="10"/>
        <v/>
      </c>
      <c xmlns="http://schemas.openxmlformats.org/spreadsheetml/2006/main" r="W214" s="18" t="str">
        <f t="shared" si="11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9"/>
        <v/>
      </c>
      <c xmlns="http://schemas.openxmlformats.org/spreadsheetml/2006/main" r="V215" s="22" t="str">
        <f t="shared" si="10"/>
        <v/>
      </c>
      <c xmlns="http://schemas.openxmlformats.org/spreadsheetml/2006/main" r="W215" s="18" t="str">
        <f t="shared" si="11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9"/>
        <v/>
      </c>
      <c xmlns="http://schemas.openxmlformats.org/spreadsheetml/2006/main" r="V216" s="22" t="str">
        <f t="shared" si="10"/>
        <v/>
      </c>
      <c xmlns="http://schemas.openxmlformats.org/spreadsheetml/2006/main" r="W216" s="18" t="str">
        <f t="shared" si="11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9"/>
        <v/>
      </c>
      <c xmlns="http://schemas.openxmlformats.org/spreadsheetml/2006/main" r="V217" s="22" t="str">
        <f t="shared" si="10"/>
        <v/>
      </c>
      <c xmlns="http://schemas.openxmlformats.org/spreadsheetml/2006/main" r="W217" s="18" t="str">
        <f t="shared" si="11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9"/>
        <v/>
      </c>
      <c xmlns="http://schemas.openxmlformats.org/spreadsheetml/2006/main" r="V218" s="22" t="str">
        <f t="shared" si="10"/>
        <v/>
      </c>
      <c xmlns="http://schemas.openxmlformats.org/spreadsheetml/2006/main" r="W218" s="18" t="str">
        <f t="shared" si="11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9"/>
        <v/>
      </c>
      <c xmlns="http://schemas.openxmlformats.org/spreadsheetml/2006/main" r="V219" s="22" t="str">
        <f t="shared" si="10"/>
        <v/>
      </c>
      <c xmlns="http://schemas.openxmlformats.org/spreadsheetml/2006/main" r="W219" s="18" t="str">
        <f t="shared" si="11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9"/>
        <v/>
      </c>
      <c xmlns="http://schemas.openxmlformats.org/spreadsheetml/2006/main" r="V220" s="22" t="str">
        <f t="shared" si="10"/>
        <v/>
      </c>
      <c xmlns="http://schemas.openxmlformats.org/spreadsheetml/2006/main" r="W220" s="18" t="str">
        <f t="shared" si="11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9"/>
        <v/>
      </c>
      <c xmlns="http://schemas.openxmlformats.org/spreadsheetml/2006/main" r="V221" s="22" t="str">
        <f t="shared" si="10"/>
        <v/>
      </c>
      <c xmlns="http://schemas.openxmlformats.org/spreadsheetml/2006/main" r="W221" s="18" t="str">
        <f t="shared" si="11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9"/>
        <v/>
      </c>
      <c xmlns="http://schemas.openxmlformats.org/spreadsheetml/2006/main" r="V222" s="22" t="str">
        <f t="shared" si="10"/>
        <v/>
      </c>
      <c xmlns="http://schemas.openxmlformats.org/spreadsheetml/2006/main" r="W222" s="18" t="str">
        <f t="shared" si="11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9"/>
        <v/>
      </c>
      <c xmlns="http://schemas.openxmlformats.org/spreadsheetml/2006/main" r="V223" s="22" t="str">
        <f t="shared" si="10"/>
        <v/>
      </c>
      <c xmlns="http://schemas.openxmlformats.org/spreadsheetml/2006/main" r="W223" s="18" t="str">
        <f t="shared" si="11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9"/>
        <v/>
      </c>
      <c xmlns="http://schemas.openxmlformats.org/spreadsheetml/2006/main" r="V224" s="22" t="str">
        <f t="shared" si="10"/>
        <v/>
      </c>
      <c xmlns="http://schemas.openxmlformats.org/spreadsheetml/2006/main" r="W224" s="18" t="str">
        <f t="shared" si="11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9"/>
        <v/>
      </c>
      <c xmlns="http://schemas.openxmlformats.org/spreadsheetml/2006/main" r="V225" s="22" t="str">
        <f t="shared" si="10"/>
        <v/>
      </c>
      <c xmlns="http://schemas.openxmlformats.org/spreadsheetml/2006/main" r="W225" s="18" t="str">
        <f t="shared" si="11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9"/>
        <v/>
      </c>
      <c xmlns="http://schemas.openxmlformats.org/spreadsheetml/2006/main" r="V226" s="22" t="str">
        <f t="shared" si="10"/>
        <v/>
      </c>
      <c xmlns="http://schemas.openxmlformats.org/spreadsheetml/2006/main" r="W226" s="18" t="str">
        <f t="shared" si="11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9"/>
        <v/>
      </c>
      <c xmlns="http://schemas.openxmlformats.org/spreadsheetml/2006/main" r="V227" s="22" t="str">
        <f t="shared" si="10"/>
        <v/>
      </c>
      <c xmlns="http://schemas.openxmlformats.org/spreadsheetml/2006/main" r="W227" s="18" t="str">
        <f t="shared" si="11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9"/>
        <v/>
      </c>
      <c xmlns="http://schemas.openxmlformats.org/spreadsheetml/2006/main" r="V228" s="22" t="str">
        <f t="shared" si="10"/>
        <v/>
      </c>
      <c xmlns="http://schemas.openxmlformats.org/spreadsheetml/2006/main" r="W228" s="18" t="str">
        <f t="shared" si="11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9"/>
        <v/>
      </c>
      <c xmlns="http://schemas.openxmlformats.org/spreadsheetml/2006/main" r="V229" s="22" t="str">
        <f t="shared" si="10"/>
        <v/>
      </c>
      <c xmlns="http://schemas.openxmlformats.org/spreadsheetml/2006/main" r="W229" s="18" t="str">
        <f t="shared" si="11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9"/>
        <v/>
      </c>
      <c xmlns="http://schemas.openxmlformats.org/spreadsheetml/2006/main" r="V230" s="22" t="str">
        <f t="shared" si="10"/>
        <v/>
      </c>
      <c xmlns="http://schemas.openxmlformats.org/spreadsheetml/2006/main" r="W230" s="18" t="str">
        <f t="shared" si="11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9"/>
        <v/>
      </c>
      <c xmlns="http://schemas.openxmlformats.org/spreadsheetml/2006/main" r="V231" s="22" t="str">
        <f t="shared" si="10"/>
        <v/>
      </c>
      <c xmlns="http://schemas.openxmlformats.org/spreadsheetml/2006/main" r="W231" s="18" t="str">
        <f t="shared" si="11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9"/>
        <v/>
      </c>
      <c xmlns="http://schemas.openxmlformats.org/spreadsheetml/2006/main" r="V232" s="22" t="str">
        <f t="shared" si="10"/>
        <v/>
      </c>
      <c xmlns="http://schemas.openxmlformats.org/spreadsheetml/2006/main" r="W232" s="18" t="str">
        <f t="shared" si="11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9"/>
        <v/>
      </c>
      <c xmlns="http://schemas.openxmlformats.org/spreadsheetml/2006/main" r="V233" s="22" t="str">
        <f t="shared" si="10"/>
        <v/>
      </c>
      <c xmlns="http://schemas.openxmlformats.org/spreadsheetml/2006/main" r="W233" s="18" t="str">
        <f t="shared" si="11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9"/>
        <v/>
      </c>
      <c xmlns="http://schemas.openxmlformats.org/spreadsheetml/2006/main" r="V234" s="22" t="str">
        <f t="shared" si="10"/>
        <v/>
      </c>
      <c xmlns="http://schemas.openxmlformats.org/spreadsheetml/2006/main" r="W234" s="18" t="str">
        <f t="shared" si="11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9"/>
        <v/>
      </c>
      <c xmlns="http://schemas.openxmlformats.org/spreadsheetml/2006/main" r="V235" s="22" t="str">
        <f t="shared" si="10"/>
        <v/>
      </c>
      <c xmlns="http://schemas.openxmlformats.org/spreadsheetml/2006/main" r="W235" s="18" t="str">
        <f t="shared" si="11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9"/>
        <v/>
      </c>
      <c xmlns="http://schemas.openxmlformats.org/spreadsheetml/2006/main" r="V236" s="22" t="str">
        <f t="shared" si="10"/>
        <v/>
      </c>
      <c xmlns="http://schemas.openxmlformats.org/spreadsheetml/2006/main" r="W236" s="18" t="str">
        <f t="shared" si="11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9"/>
        <v/>
      </c>
      <c xmlns="http://schemas.openxmlformats.org/spreadsheetml/2006/main" r="V237" s="22" t="str">
        <f t="shared" si="10"/>
        <v/>
      </c>
      <c xmlns="http://schemas.openxmlformats.org/spreadsheetml/2006/main" r="W237" s="18" t="str">
        <f t="shared" si="11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9"/>
        <v/>
      </c>
      <c xmlns="http://schemas.openxmlformats.org/spreadsheetml/2006/main" r="V238" s="22" t="str">
        <f t="shared" si="10"/>
        <v/>
      </c>
      <c xmlns="http://schemas.openxmlformats.org/spreadsheetml/2006/main" r="W238" s="18" t="str">
        <f t="shared" si="11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9"/>
        <v/>
      </c>
      <c xmlns="http://schemas.openxmlformats.org/spreadsheetml/2006/main" r="V239" s="22" t="str">
        <f t="shared" si="10"/>
        <v/>
      </c>
      <c xmlns="http://schemas.openxmlformats.org/spreadsheetml/2006/main" r="W239" s="18" t="str">
        <f t="shared" si="11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9"/>
        <v/>
      </c>
      <c xmlns="http://schemas.openxmlformats.org/spreadsheetml/2006/main" r="V240" s="22" t="str">
        <f t="shared" si="10"/>
        <v/>
      </c>
      <c xmlns="http://schemas.openxmlformats.org/spreadsheetml/2006/main" r="W240" s="18" t="str">
        <f t="shared" si="11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9"/>
        <v/>
      </c>
      <c xmlns="http://schemas.openxmlformats.org/spreadsheetml/2006/main" r="V241" s="22" t="str">
        <f t="shared" si="10"/>
        <v/>
      </c>
      <c xmlns="http://schemas.openxmlformats.org/spreadsheetml/2006/main" r="W241" s="18" t="str">
        <f t="shared" si="11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9"/>
        <v/>
      </c>
      <c xmlns="http://schemas.openxmlformats.org/spreadsheetml/2006/main" r="V242" s="22" t="str">
        <f t="shared" si="10"/>
        <v/>
      </c>
      <c xmlns="http://schemas.openxmlformats.org/spreadsheetml/2006/main" r="W242" s="18" t="str">
        <f t="shared" si="11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9"/>
        <v/>
      </c>
      <c xmlns="http://schemas.openxmlformats.org/spreadsheetml/2006/main" r="V243" s="22" t="str">
        <f t="shared" si="10"/>
        <v/>
      </c>
      <c xmlns="http://schemas.openxmlformats.org/spreadsheetml/2006/main" r="W243" s="18" t="str">
        <f t="shared" si="11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9"/>
        <v/>
      </c>
      <c xmlns="http://schemas.openxmlformats.org/spreadsheetml/2006/main" r="V244" s="22" t="str">
        <f t="shared" si="10"/>
        <v/>
      </c>
      <c xmlns="http://schemas.openxmlformats.org/spreadsheetml/2006/main" r="W244" s="18" t="str">
        <f t="shared" si="11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9"/>
        <v/>
      </c>
      <c xmlns="http://schemas.openxmlformats.org/spreadsheetml/2006/main" r="V245" s="22" t="str">
        <f t="shared" si="10"/>
        <v/>
      </c>
      <c xmlns="http://schemas.openxmlformats.org/spreadsheetml/2006/main" r="W245" s="18" t="str">
        <f t="shared" si="11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9"/>
        <v/>
      </c>
      <c xmlns="http://schemas.openxmlformats.org/spreadsheetml/2006/main" r="V246" s="22" t="str">
        <f t="shared" si="10"/>
        <v/>
      </c>
      <c xmlns="http://schemas.openxmlformats.org/spreadsheetml/2006/main" r="W246" s="18" t="str">
        <f t="shared" si="11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9"/>
        <v/>
      </c>
      <c xmlns="http://schemas.openxmlformats.org/spreadsheetml/2006/main" r="V247" s="22" t="str">
        <f t="shared" si="10"/>
        <v/>
      </c>
      <c xmlns="http://schemas.openxmlformats.org/spreadsheetml/2006/main" r="W247" s="18" t="str">
        <f t="shared" si="11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9"/>
        <v/>
      </c>
      <c xmlns="http://schemas.openxmlformats.org/spreadsheetml/2006/main" r="V248" s="22" t="str">
        <f t="shared" si="10"/>
        <v/>
      </c>
      <c xmlns="http://schemas.openxmlformats.org/spreadsheetml/2006/main" r="W248" s="18" t="str">
        <f t="shared" si="11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ref="U249:U292" si="12">IF($E249="","",COUNTIF($I249:$S249,"V"))</f>
        <v/>
      </c>
      <c xmlns="http://schemas.openxmlformats.org/spreadsheetml/2006/main" r="V249" s="22" t="str">
        <f t="shared" ref="V249:V292" si="13">IF($E249="","",IF(AND($T249="V",$U249&gt;0),"⚠ 勾選矛盾",IF($T249="V","○ 免調理",IF($U249=0,"⚠ 資料缺漏",IF($U249=1,"▲ 單一設備依賴","OK")))))</f>
        <v/>
      </c>
      <c xmlns="http://schemas.openxmlformats.org/spreadsheetml/2006/main" r="W249" s="18" t="str">
        <f t="shared" ref="W249:W292" si="14">IF($E249="","",IF(AND($T249="V",$U249&gt;0),"「無使用調理設備」不可與設備欄同時勾選，請擇一修正",IF($T249="V","免調理半成品（外購/僅切配等），不列入設備風險評估",IF($U249=0,"未勾選任何設備，請補填或勾選「無使用調理設備」",IF($U249=1,"僅依賴1台設備，須確認故障/排修時之備援製程","無異常")))))</f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12"/>
        <v/>
      </c>
      <c xmlns="http://schemas.openxmlformats.org/spreadsheetml/2006/main" r="V250" s="22" t="str">
        <f t="shared" si="13"/>
        <v/>
      </c>
      <c xmlns="http://schemas.openxmlformats.org/spreadsheetml/2006/main" r="W250" s="18" t="str">
        <f t="shared" si="14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12"/>
        <v/>
      </c>
      <c xmlns="http://schemas.openxmlformats.org/spreadsheetml/2006/main" r="V251" s="22" t="str">
        <f t="shared" si="13"/>
        <v/>
      </c>
      <c xmlns="http://schemas.openxmlformats.org/spreadsheetml/2006/main" r="W251" s="18" t="str">
        <f t="shared" si="14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12"/>
        <v/>
      </c>
      <c xmlns="http://schemas.openxmlformats.org/spreadsheetml/2006/main" r="V252" s="22" t="str">
        <f t="shared" si="13"/>
        <v/>
      </c>
      <c xmlns="http://schemas.openxmlformats.org/spreadsheetml/2006/main" r="W252" s="18" t="str">
        <f t="shared" si="14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12"/>
        <v/>
      </c>
      <c xmlns="http://schemas.openxmlformats.org/spreadsheetml/2006/main" r="V253" s="22" t="str">
        <f t="shared" si="13"/>
        <v/>
      </c>
      <c xmlns="http://schemas.openxmlformats.org/spreadsheetml/2006/main" r="W253" s="18" t="str">
        <f t="shared" si="14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12"/>
        <v/>
      </c>
      <c xmlns="http://schemas.openxmlformats.org/spreadsheetml/2006/main" r="V254" s="22" t="str">
        <f t="shared" si="13"/>
        <v/>
      </c>
      <c xmlns="http://schemas.openxmlformats.org/spreadsheetml/2006/main" r="W254" s="18" t="str">
        <f t="shared" si="14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12"/>
        <v/>
      </c>
      <c xmlns="http://schemas.openxmlformats.org/spreadsheetml/2006/main" r="V255" s="22" t="str">
        <f t="shared" si="13"/>
        <v/>
      </c>
      <c xmlns="http://schemas.openxmlformats.org/spreadsheetml/2006/main" r="W255" s="18" t="str">
        <f t="shared" si="14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12"/>
        <v/>
      </c>
      <c xmlns="http://schemas.openxmlformats.org/spreadsheetml/2006/main" r="V256" s="22" t="str">
        <f t="shared" si="13"/>
        <v/>
      </c>
      <c xmlns="http://schemas.openxmlformats.org/spreadsheetml/2006/main" r="W256" s="18" t="str">
        <f t="shared" si="14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12"/>
        <v/>
      </c>
      <c xmlns="http://schemas.openxmlformats.org/spreadsheetml/2006/main" r="V257" s="22" t="str">
        <f t="shared" si="13"/>
        <v/>
      </c>
      <c xmlns="http://schemas.openxmlformats.org/spreadsheetml/2006/main" r="W257" s="18" t="str">
        <f t="shared" si="14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12"/>
        <v/>
      </c>
      <c xmlns="http://schemas.openxmlformats.org/spreadsheetml/2006/main" r="V258" s="22" t="str">
        <f t="shared" si="13"/>
        <v/>
      </c>
      <c xmlns="http://schemas.openxmlformats.org/spreadsheetml/2006/main" r="W258" s="18" t="str">
        <f t="shared" si="14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12"/>
        <v/>
      </c>
      <c xmlns="http://schemas.openxmlformats.org/spreadsheetml/2006/main" r="V259" s="22" t="str">
        <f t="shared" si="13"/>
        <v/>
      </c>
      <c xmlns="http://schemas.openxmlformats.org/spreadsheetml/2006/main" r="W259" s="18" t="str">
        <f t="shared" si="14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12"/>
        <v/>
      </c>
      <c xmlns="http://schemas.openxmlformats.org/spreadsheetml/2006/main" r="V260" s="22" t="str">
        <f t="shared" si="13"/>
        <v/>
      </c>
      <c xmlns="http://schemas.openxmlformats.org/spreadsheetml/2006/main" r="W260" s="18" t="str">
        <f t="shared" si="14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si="12"/>
        <v/>
      </c>
      <c xmlns="http://schemas.openxmlformats.org/spreadsheetml/2006/main" r="V261" s="22" t="str">
        <f t="shared" si="13"/>
        <v/>
      </c>
      <c xmlns="http://schemas.openxmlformats.org/spreadsheetml/2006/main" r="W261" s="18" t="str">
        <f t="shared" si="14"/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2"/>
        <v/>
      </c>
      <c xmlns="http://schemas.openxmlformats.org/spreadsheetml/2006/main" r="V275" s="22" t="str">
        <f t="shared" si="13"/>
        <v/>
      </c>
      <c xmlns="http://schemas.openxmlformats.org/spreadsheetml/2006/main" r="W275" s="18" t="str">
        <f t="shared" si="14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2"/>
        <v/>
      </c>
      <c xmlns="http://schemas.openxmlformats.org/spreadsheetml/2006/main" r="V276" s="22" t="str">
        <f t="shared" si="13"/>
        <v/>
      </c>
      <c xmlns="http://schemas.openxmlformats.org/spreadsheetml/2006/main" r="W276" s="18" t="str">
        <f t="shared" si="14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2"/>
        <v/>
      </c>
      <c xmlns="http://schemas.openxmlformats.org/spreadsheetml/2006/main" r="V277" s="22" t="str">
        <f t="shared" si="13"/>
        <v/>
      </c>
      <c xmlns="http://schemas.openxmlformats.org/spreadsheetml/2006/main" r="W277" s="18" t="str">
        <f t="shared" si="14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2"/>
        <v/>
      </c>
      <c xmlns="http://schemas.openxmlformats.org/spreadsheetml/2006/main" r="V278" s="22" t="str">
        <f t="shared" si="13"/>
        <v/>
      </c>
      <c xmlns="http://schemas.openxmlformats.org/spreadsheetml/2006/main" r="W278" s="18" t="str">
        <f t="shared" si="14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2"/>
        <v/>
      </c>
      <c xmlns="http://schemas.openxmlformats.org/spreadsheetml/2006/main" r="V279" s="22" t="str">
        <f t="shared" si="13"/>
        <v/>
      </c>
      <c xmlns="http://schemas.openxmlformats.org/spreadsheetml/2006/main" r="W279" s="18" t="str">
        <f t="shared" si="14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2"/>
        <v/>
      </c>
      <c xmlns="http://schemas.openxmlformats.org/spreadsheetml/2006/main" r="V280" s="22" t="str">
        <f t="shared" si="13"/>
        <v/>
      </c>
      <c xmlns="http://schemas.openxmlformats.org/spreadsheetml/2006/main" r="W280" s="18" t="str">
        <f t="shared" si="14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2"/>
        <v/>
      </c>
      <c xmlns="http://schemas.openxmlformats.org/spreadsheetml/2006/main" r="V281" s="22" t="str">
        <f t="shared" si="13"/>
        <v/>
      </c>
      <c xmlns="http://schemas.openxmlformats.org/spreadsheetml/2006/main" r="W281" s="18" t="str">
        <f t="shared" si="14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2"/>
        <v/>
      </c>
      <c xmlns="http://schemas.openxmlformats.org/spreadsheetml/2006/main" r="V282" s="22" t="str">
        <f t="shared" si="13"/>
        <v/>
      </c>
      <c xmlns="http://schemas.openxmlformats.org/spreadsheetml/2006/main" r="W282" s="18" t="str">
        <f t="shared" si="14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2"/>
        <v/>
      </c>
      <c xmlns="http://schemas.openxmlformats.org/spreadsheetml/2006/main" r="V283" s="22" t="str">
        <f t="shared" si="13"/>
        <v/>
      </c>
      <c xmlns="http://schemas.openxmlformats.org/spreadsheetml/2006/main" r="W283" s="18" t="str">
        <f t="shared" si="14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2"/>
        <v/>
      </c>
      <c xmlns="http://schemas.openxmlformats.org/spreadsheetml/2006/main" r="V284" s="22" t="str">
        <f t="shared" si="13"/>
        <v/>
      </c>
      <c xmlns="http://schemas.openxmlformats.org/spreadsheetml/2006/main" r="W284" s="18" t="str">
        <f t="shared" si="14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2"/>
        <v/>
      </c>
      <c xmlns="http://schemas.openxmlformats.org/spreadsheetml/2006/main" r="V285" s="22" t="str">
        <f t="shared" si="13"/>
        <v/>
      </c>
      <c xmlns="http://schemas.openxmlformats.org/spreadsheetml/2006/main" r="W285" s="18" t="str">
        <f t="shared" si="14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2"/>
        <v/>
      </c>
      <c xmlns="http://schemas.openxmlformats.org/spreadsheetml/2006/main" r="V286" s="22" t="str">
        <f t="shared" si="13"/>
        <v/>
      </c>
      <c xmlns="http://schemas.openxmlformats.org/spreadsheetml/2006/main" r="W286" s="18" t="str">
        <f t="shared" si="14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2"/>
        <v/>
      </c>
      <c xmlns="http://schemas.openxmlformats.org/spreadsheetml/2006/main" r="V287" s="22" t="str">
        <f t="shared" si="13"/>
        <v/>
      </c>
      <c xmlns="http://schemas.openxmlformats.org/spreadsheetml/2006/main" r="W287" s="18" t="str">
        <f t="shared" si="14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2"/>
        <v/>
      </c>
      <c xmlns="http://schemas.openxmlformats.org/spreadsheetml/2006/main" r="V288" s="22" t="str">
        <f t="shared" si="13"/>
        <v/>
      </c>
      <c xmlns="http://schemas.openxmlformats.org/spreadsheetml/2006/main" r="W288" s="18" t="str">
        <f t="shared" si="14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2"/>
        <v/>
      </c>
      <c xmlns="http://schemas.openxmlformats.org/spreadsheetml/2006/main" r="V289" s="22" t="str">
        <f t="shared" si="13"/>
        <v/>
      </c>
      <c xmlns="http://schemas.openxmlformats.org/spreadsheetml/2006/main" r="W289" s="18" t="str">
        <f t="shared" si="14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2"/>
        <v/>
      </c>
      <c xmlns="http://schemas.openxmlformats.org/spreadsheetml/2006/main" r="V290" s="22" t="str">
        <f t="shared" si="13"/>
        <v/>
      </c>
      <c xmlns="http://schemas.openxmlformats.org/spreadsheetml/2006/main" r="W290" s="18" t="str">
        <f t="shared" si="14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2"/>
        <v/>
      </c>
      <c xmlns="http://schemas.openxmlformats.org/spreadsheetml/2006/main" r="V291" s="22" t="str">
        <f t="shared" si="13"/>
        <v/>
      </c>
      <c xmlns="http://schemas.openxmlformats.org/spreadsheetml/2006/main" r="W291" s="18" t="str">
        <f t="shared" si="14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2"/>
        <v/>
      </c>
      <c xmlns="http://schemas.openxmlformats.org/spreadsheetml/2006/main" r="V292" s="22" t="str">
        <f t="shared" si="13"/>
        <v/>
      </c>
      <c xmlns="http://schemas.openxmlformats.org/spreadsheetml/2006/main" r="W292" s="18" t="str">
        <f t="shared" si="14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A293" s="22"/>
      <c xmlns="http://schemas.openxmlformats.org/spreadsheetml/2006/main" r="U293" s="23" t="str">
        <f>IF($E293="","",COUNTIF($I293:$S293,"V"))</f>
        <v/>
      </c>
      <c xmlns="http://schemas.openxmlformats.org/spreadsheetml/2006/main" r="V293" s="22" t="str">
        <f>IF($E293="","",IF(AND($T293="V",$U293&gt;0),"⚠ 勾選矛盾",IF($T293="V","○ 免調理",IF($U293=0,"⚠ 資料缺漏",IF($U293=1,"▲ 單一設備依賴","OK")))))</f>
        <v/>
      </c>
      <c xmlns="http://schemas.openxmlformats.org/spreadsheetml/2006/main" r="W293" s="18" t="str">
        <f>IF($E293="","",IF(AND($T293="V",$U293&gt;0),"「無使用調理設備」不可與設備欄同時勾選，請擇一修正",IF($T293="V","免調理半成品（外購/僅切配等），不列入設備風險評估",IF($U293=0,"未勾選任何設備，請補填或勾選「無使用調理設備」",IF($U293=1,"僅依賴1台設備，須確認故障/排修時之備援製程","無異常")))))</f>
        <v/>
      </c>
      <c xmlns="http://schemas.openxmlformats.org/spreadsheetml/2006/main" r="Z293" s="0">
        <f>IF($D293="",0,IF(COUNTIF($D$5:$D293,$D293)=1,1,0))</f>
        <v>0.0</v>
      </c>
      <c xmlns="http://schemas.openxmlformats.org/spreadsheetml/2006/main" r="AA293" s="0" t="str">
        <f>IF(Z293=1,SUM($Z$5:$Z293),"")</f>
        <v/>
      </c>
    </row>
    <row r="294" spans="1:27">
      <c r="A294" s="22"/>
      <c xmlns="http://schemas.openxmlformats.org/spreadsheetml/2006/main" r="U294" s="23" t="str">
        <f>IF($E294="","",COUNTIF($I294:$S294,"V"))</f>
        <v/>
      </c>
      <c xmlns="http://schemas.openxmlformats.org/spreadsheetml/2006/main" r="V294" s="22" t="str">
        <f>IF($E294="","",IF(AND($T294="V",$U294&gt;0),"⚠ 勾選矛盾",IF($T294="V","○ 免調理",IF($U294=0,"⚠ 資料缺漏",IF($U294=1,"▲ 單一設備依賴","OK")))))</f>
        <v/>
      </c>
      <c xmlns="http://schemas.openxmlformats.org/spreadsheetml/2006/main" r="W294" s="18" t="str">
        <f>IF($E294="","",IF(AND($T294="V",$U294&gt;0),"「無使用調理設備」不可與設備欄同時勾選，請擇一修正",IF($T294="V","免調理半成品（外購/僅切配等），不列入設備風險評估",IF($U294=0,"未勾選任何設備，請補填或勾選「無使用調理設備」",IF($U294=1,"僅依賴1台設備，須確認故障/排修時之備援製程","無異常")))))</f>
        <v/>
      </c>
      <c xmlns="http://schemas.openxmlformats.org/spreadsheetml/2006/main" r="Z294" s="0">
        <f>IF($D294="",0,IF(COUNTIF($D$5:$D294,$D294)=1,1,0))</f>
        <v>0.0</v>
      </c>
      <c xmlns="http://schemas.openxmlformats.org/spreadsheetml/2006/main" r="AA294" s="0" t="str">
        <f>IF(Z294=1,SUM($Z$5:$Z294),"")</f>
        <v/>
      </c>
    </row>
    <row r="295" spans="1:27">
      <c r="A295" s="22"/>
      <c xmlns="http://schemas.openxmlformats.org/spreadsheetml/2006/main" r="U295" s="23" t="str">
        <f>IF($E295="","",COUNTIF($I295:$S295,"V"))</f>
        <v/>
      </c>
      <c xmlns="http://schemas.openxmlformats.org/spreadsheetml/2006/main" r="V295" s="22" t="str">
        <f>IF($E295="","",IF(AND($T295="V",$U295&gt;0),"⚠ 勾選矛盾",IF($T295="V","○ 免調理",IF($U295=0,"⚠ 資料缺漏",IF($U295=1,"▲ 單一設備依賴","OK")))))</f>
        <v/>
      </c>
      <c xmlns="http://schemas.openxmlformats.org/spreadsheetml/2006/main" r="W295" s="18" t="str">
        <f>IF($E295="","",IF(AND($T295="V",$U295&gt;0),"「無使用調理設備」不可與設備欄同時勾選，請擇一修正",IF($T295="V","免調理半成品（外購/僅切配等），不列入設備風險評估",IF($U295=0,"未勾選任何設備，請補填或勾選「無使用調理設備」",IF($U295=1,"僅依賴1台設備，須確認故障/排修時之備援製程","無異常")))))</f>
        <v/>
      </c>
      <c xmlns="http://schemas.openxmlformats.org/spreadsheetml/2006/main" r="Z295" s="0">
        <f>IF($D295="",0,IF(COUNTIF($D$5:$D295,$D295)=1,1,0))</f>
        <v>0.0</v>
      </c>
      <c xmlns="http://schemas.openxmlformats.org/spreadsheetml/2006/main" r="AA295" s="0" t="str">
        <f>IF(Z295=1,SUM($Z$5:$Z295),"")</f>
        <v/>
      </c>
    </row>
    <row r="296" spans="1:27">
      <c r="A296" s="22"/>
      <c xmlns="http://schemas.openxmlformats.org/spreadsheetml/2006/main" r="U296" s="23" t="str">
        <f>IF($E296="","",COUNTIF($I296:$S296,"V"))</f>
        <v/>
      </c>
      <c xmlns="http://schemas.openxmlformats.org/spreadsheetml/2006/main" r="V296" s="22" t="str">
        <f>IF($E296="","",IF(AND($T296="V",$U296&gt;0),"⚠ 勾選矛盾",IF($T296="V","○ 免調理",IF($U296=0,"⚠ 資料缺漏",IF($U296=1,"▲ 單一設備依賴","OK")))))</f>
        <v/>
      </c>
      <c xmlns="http://schemas.openxmlformats.org/spreadsheetml/2006/main" r="W296" s="18" t="str">
        <f>IF($E296="","",IF(AND($T296="V",$U296&gt;0),"「無使用調理設備」不可與設備欄同時勾選，請擇一修正",IF($T296="V","免調理半成品（外購/僅切配等），不列入設備風險評估",IF($U296=0,"未勾選任何設備，請補填或勾選「無使用調理設備」",IF($U296=1,"僅依賴1台設備，須確認故障/排修時之備援製程","無異常")))))</f>
        <v/>
      </c>
      <c xmlns="http://schemas.openxmlformats.org/spreadsheetml/2006/main" r="Z296" s="0">
        <f>IF($D296="",0,IF(COUNTIF($D$5:$D296,$D296)=1,1,0))</f>
        <v>0.0</v>
      </c>
      <c xmlns="http://schemas.openxmlformats.org/spreadsheetml/2006/main" r="AA296" s="0" t="str">
        <f>IF(Z296=1,SUM($Z$5:$Z296),"")</f>
        <v/>
      </c>
    </row>
    <row r="297" spans="1:27">
      <c r="A297" s="22"/>
      <c xmlns="http://schemas.openxmlformats.org/spreadsheetml/2006/main" r="U297" s="23" t="str">
        <f>IF($E297="","",COUNTIF($I297:$S297,"V"))</f>
        <v/>
      </c>
      <c xmlns="http://schemas.openxmlformats.org/spreadsheetml/2006/main" r="V297" s="22" t="str">
        <f>IF($E297="","",IF(AND($T297="V",$U297&gt;0),"⚠ 勾選矛盾",IF($T297="V","○ 免調理",IF($U297=0,"⚠ 資料缺漏",IF($U297=1,"▲ 單一設備依賴","OK")))))</f>
        <v/>
      </c>
      <c xmlns="http://schemas.openxmlformats.org/spreadsheetml/2006/main" r="W297" s="18" t="str">
        <f>IF($E297="","",IF(AND($T297="V",$U297&gt;0),"「無使用調理設備」不可與設備欄同時勾選，請擇一修正",IF($T297="V","免調理半成品（外購/僅切配等），不列入設備風險評估",IF($U297=0,"未勾選任何設備，請補填或勾選「無使用調理設備」",IF($U297=1,"僅依賴1台設備，須確認故障/排修時之備援製程","無異常")))))</f>
        <v/>
      </c>
      <c xmlns="http://schemas.openxmlformats.org/spreadsheetml/2006/main" r="Z297" s="0">
        <f>IF($D297="",0,IF(COUNTIF($D$5:$D297,$D297)=1,1,0))</f>
        <v>0.0</v>
      </c>
      <c xmlns="http://schemas.openxmlformats.org/spreadsheetml/2006/main" r="AA297" s="0" t="str">
        <f>IF(Z297=1,SUM($Z$5:$Z297),"")</f>
        <v/>
      </c>
    </row>
    <row r="298" spans="1:27">
      <c r="A298" s="22"/>
      <c xmlns="http://schemas.openxmlformats.org/spreadsheetml/2006/main" r="U298" s="23" t="str">
        <f>IF($E298="","",COUNTIF($I298:$S298,"V"))</f>
        <v/>
      </c>
      <c xmlns="http://schemas.openxmlformats.org/spreadsheetml/2006/main" r="V298" s="22" t="str">
        <f>IF($E298="","",IF(AND($T298="V",$U298&gt;0),"⚠ 勾選矛盾",IF($T298="V","○ 免調理",IF($U298=0,"⚠ 資料缺漏",IF($U298=1,"▲ 單一設備依賴","OK")))))</f>
        <v/>
      </c>
      <c xmlns="http://schemas.openxmlformats.org/spreadsheetml/2006/main" r="W298" s="18" t="str">
        <f>IF($E298="","",IF(AND($T298="V",$U298&gt;0),"「無使用調理設備」不可與設備欄同時勾選，請擇一修正",IF($T298="V","免調理半成品（外購/僅切配等），不列入設備風險評估",IF($U298=0,"未勾選任何設備，請補填或勾選「無使用調理設備」",IF($U298=1,"僅依賴1台設備，須確認故障/排修時之備援製程","無異常")))))</f>
        <v/>
      </c>
      <c xmlns="http://schemas.openxmlformats.org/spreadsheetml/2006/main" r="Z298" s="0">
        <f>IF($D298="",0,IF(COUNTIF($D$5:$D298,$D298)=1,1,0))</f>
        <v>0.0</v>
      </c>
      <c xmlns="http://schemas.openxmlformats.org/spreadsheetml/2006/main" r="AA298" s="0" t="str">
        <f>IF(Z298=1,SUM($Z$5:$Z298),"")</f>
        <v/>
      </c>
    </row>
    <row r="299" spans="1:27">
      <c r="A299" s="22"/>
      <c xmlns="http://schemas.openxmlformats.org/spreadsheetml/2006/main" r="U299" s="23" t="str">
        <f>IF($E299="","",COUNTIF($I299:$S299,"V"))</f>
        <v/>
      </c>
      <c xmlns="http://schemas.openxmlformats.org/spreadsheetml/2006/main" r="V299" s="22" t="str">
        <f>IF($E299="","",IF(AND($T299="V",$U299&gt;0),"⚠ 勾選矛盾",IF($T299="V","○ 免調理",IF($U299=0,"⚠ 資料缺漏",IF($U299=1,"▲ 單一設備依賴","OK")))))</f>
        <v/>
      </c>
      <c xmlns="http://schemas.openxmlformats.org/spreadsheetml/2006/main" r="W299" s="18" t="str">
        <f>IF($E299="","",IF(AND($T299="V",$U299&gt;0),"「無使用調理設備」不可與設備欄同時勾選，請擇一修正",IF($T299="V","免調理半成品（外購/僅切配等），不列入設備風險評估",IF($U299=0,"未勾選任何設備，請補填或勾選「無使用調理設備」",IF($U299=1,"僅依賴1台設備，須確認故障/排修時之備援製程","無異常")))))</f>
        <v/>
      </c>
      <c xmlns="http://schemas.openxmlformats.org/spreadsheetml/2006/main" r="Z299" s="0">
        <f>IF($D299="",0,IF(COUNTIF($D$5:$D299,$D299)=1,1,0))</f>
        <v>0.0</v>
      </c>
      <c xmlns="http://schemas.openxmlformats.org/spreadsheetml/2006/main" r="AA299" s="0" t="str">
        <f>IF(Z299=1,SUM($Z$5:$Z299),"")</f>
        <v/>
      </c>
    </row>
    <row r="300" spans="1:27">
      <c r="A300" s="22"/>
      <c xmlns="http://schemas.openxmlformats.org/spreadsheetml/2006/main" r="U300" s="23" t="str">
        <f>IF($E300="","",COUNTIF($I300:$S300,"V"))</f>
        <v/>
      </c>
      <c xmlns="http://schemas.openxmlformats.org/spreadsheetml/2006/main" r="V300" s="22" t="str">
        <f>IF($E300="","",IF(AND($T300="V",$U300&gt;0),"⚠ 勾選矛盾",IF($T300="V","○ 免調理",IF($U300=0,"⚠ 資料缺漏",IF($U300=1,"▲ 單一設備依賴","OK")))))</f>
        <v/>
      </c>
      <c xmlns="http://schemas.openxmlformats.org/spreadsheetml/2006/main" r="W300" s="18" t="str">
        <f>IF($E300="","",IF(AND($T300="V",$U300&gt;0),"「無使用調理設備」不可與設備欄同時勾選，請擇一修正",IF($T300="V","免調理半成品（外購/僅切配等），不列入設備風險評估",IF($U300=0,"未勾選任何設備，請補填或勾選「無使用調理設備」",IF($U300=1,"僅依賴1台設備，須確認故障/排修時之備援製程","無異常")))))</f>
        <v/>
      </c>
      <c xmlns="http://schemas.openxmlformats.org/spreadsheetml/2006/main" r="Z300" s="0">
        <f>IF($D300="",0,IF(COUNTIF($D$5:$D300,$D300)=1,1,0))</f>
        <v>0.0</v>
      </c>
      <c xmlns="http://schemas.openxmlformats.org/spreadsheetml/2006/main" r="AA300" s="0" t="str">
        <f>IF(Z300=1,SUM($Z$5:$Z300),"")</f>
        <v/>
      </c>
    </row>
    <row r="301" spans="1:27">
      <c r="A301" s="22"/>
      <c xmlns="http://schemas.openxmlformats.org/spreadsheetml/2006/main" r="U301" s="23" t="str">
        <f>IF($E301="","",COUNTIF($I301:$S301,"V"))</f>
        <v/>
      </c>
      <c xmlns="http://schemas.openxmlformats.org/spreadsheetml/2006/main" r="V301" s="22" t="str">
        <f>IF($E301="","",IF(AND($T301="V",$U301&gt;0),"⚠ 勾選矛盾",IF($T301="V","○ 免調理",IF($U301=0,"⚠ 資料缺漏",IF($U301=1,"▲ 單一設備依賴","OK")))))</f>
        <v/>
      </c>
      <c xmlns="http://schemas.openxmlformats.org/spreadsheetml/2006/main" r="W301" s="18" t="str">
        <f>IF($E301="","",IF(AND($T301="V",$U301&gt;0),"「無使用調理設備」不可與設備欄同時勾選，請擇一修正",IF($T301="V","免調理半成品（外購/僅切配等），不列入設備風險評估",IF($U301=0,"未勾選任何設備，請補填或勾選「無使用調理設備」",IF($U301=1,"僅依賴1台設備，須確認故障/排修時之備援製程","無異常")))))</f>
        <v/>
      </c>
      <c xmlns="http://schemas.openxmlformats.org/spreadsheetml/2006/main" r="Z301" s="0">
        <f>IF($D301="",0,IF(COUNTIF($D$5:$D301,$D301)=1,1,0))</f>
        <v>0.0</v>
      </c>
      <c xmlns="http://schemas.openxmlformats.org/spreadsheetml/2006/main" r="AA301" s="0" t="str">
        <f>IF(Z301=1,SUM($Z$5:$Z301),"")</f>
        <v/>
      </c>
    </row>
    <row r="302" spans="1:27">
      <c r="A302" s="22"/>
      <c xmlns="http://schemas.openxmlformats.org/spreadsheetml/2006/main" r="U302" s="23" t="str">
        <f>IF($E302="","",COUNTIF($I302:$S302,"V"))</f>
        <v/>
      </c>
      <c xmlns="http://schemas.openxmlformats.org/spreadsheetml/2006/main" r="V302" s="22" t="str">
        <f>IF($E302="","",IF(AND($T302="V",$U302&gt;0),"⚠ 勾選矛盾",IF($T302="V","○ 免調理",IF($U302=0,"⚠ 資料缺漏",IF($U302=1,"▲ 單一設備依賴","OK")))))</f>
        <v/>
      </c>
      <c xmlns="http://schemas.openxmlformats.org/spreadsheetml/2006/main" r="W302" s="18" t="str">
        <f>IF($E302="","",IF(AND($T302="V",$U302&gt;0),"「無使用調理設備」不可與設備欄同時勾選，請擇一修正",IF($T302="V","免調理半成品（外購/僅切配等），不列入設備風險評估",IF($U302=0,"未勾選任何設備，請補填或勾選「無使用調理設備」",IF($U302=1,"僅依賴1台設備，須確認故障/排修時之備援製程","無異常")))))</f>
        <v/>
      </c>
      <c xmlns="http://schemas.openxmlformats.org/spreadsheetml/2006/main" r="Z302" s="0">
        <f>IF($D302="",0,IF(COUNTIF($D$5:$D302,$D302)=1,1,0))</f>
        <v>0.0</v>
      </c>
      <c xmlns="http://schemas.openxmlformats.org/spreadsheetml/2006/main" r="AA302" s="0" t="str">
        <f>IF(Z302=1,SUM($Z$5:$Z302),"")</f>
        <v/>
      </c>
    </row>
    <row r="303" spans="1:27">
      <c r="A303" s="22"/>
      <c xmlns="http://schemas.openxmlformats.org/spreadsheetml/2006/main" r="U303" s="23" t="str">
        <f>IF($E303="","",COUNTIF($I303:$S303,"V"))</f>
        <v/>
      </c>
      <c xmlns="http://schemas.openxmlformats.org/spreadsheetml/2006/main" r="V303" s="22" t="str">
        <f>IF($E303="","",IF(AND($T303="V",$U303&gt;0),"⚠ 勾選矛盾",IF($T303="V","○ 免調理",IF($U303=0,"⚠ 資料缺漏",IF($U303=1,"▲ 單一設備依賴","OK")))))</f>
        <v/>
      </c>
      <c xmlns="http://schemas.openxmlformats.org/spreadsheetml/2006/main" r="W303" s="18" t="str">
        <f>IF($E303="","",IF(AND($T303="V",$U303&gt;0),"「無使用調理設備」不可與設備欄同時勾選，請擇一修正",IF($T303="V","免調理半成品（外購/僅切配等），不列入設備風險評估",IF($U303=0,"未勾選任何設備，請補填或勾選「無使用調理設備」",IF($U303=1,"僅依賴1台設備，須確認故障/排修時之備援製程","無異常")))))</f>
        <v/>
      </c>
      <c xmlns="http://schemas.openxmlformats.org/spreadsheetml/2006/main" r="Z303" s="0">
        <f>IF($D303="",0,IF(COUNTIF($D$5:$D303,$D303)=1,1,0))</f>
        <v>0.0</v>
      </c>
      <c xmlns="http://schemas.openxmlformats.org/spreadsheetml/2006/main" r="AA303" s="0" t="str">
        <f>IF(Z303=1,SUM($Z$5:$Z303),"")</f>
        <v/>
      </c>
    </row>
    <row r="304" spans="1:27">
      <c r="A304" s="22"/>
      <c xmlns="http://schemas.openxmlformats.org/spreadsheetml/2006/main" r="U304" s="23" t="str">
        <f>IF($E304="","",COUNTIF($I304:$S304,"V"))</f>
        <v/>
      </c>
      <c xmlns="http://schemas.openxmlformats.org/spreadsheetml/2006/main" r="V304" s="22" t="str">
        <f>IF($E304="","",IF(AND($T304="V",$U304&gt;0),"⚠ 勾選矛盾",IF($T304="V","○ 免調理",IF($U304=0,"⚠ 資料缺漏",IF($U304=1,"▲ 單一設備依賴","OK")))))</f>
        <v/>
      </c>
      <c xmlns="http://schemas.openxmlformats.org/spreadsheetml/2006/main" r="W304" s="18" t="str">
        <f>IF($E304="","",IF(AND($T304="V",$U304&gt;0),"「無使用調理設備」不可與設備欄同時勾選，請擇一修正",IF($T304="V","免調理半成品（外購/僅切配等），不列入設備風險評估",IF($U304=0,"未勾選任何設備，請補填或勾選「無使用調理設備」",IF($U304=1,"僅依賴1台設備，須確認故障/排修時之備援製程","無異常")))))</f>
        <v/>
      </c>
      <c xmlns="http://schemas.openxmlformats.org/spreadsheetml/2006/main" r="Z304" s="0">
        <f>IF($D304="",0,IF(COUNTIF($D$5:$D304,$D304)=1,1,0))</f>
        <v>0.0</v>
      </c>
      <c xmlns="http://schemas.openxmlformats.org/spreadsheetml/2006/main" r="AA304" s="0" t="str">
        <f>IF(Z304=1,SUM($Z$5:$Z304),"")</f>
        <v/>
      </c>
    </row>
    <row r="305" spans="1:1">
      <c r="A305" s="22"/>
      <c xmlns="http://schemas.openxmlformats.org/spreadsheetml/2006/main" r="U305" s="23" t="str">
        <f>IF($E305="","",COUNTIF($I305:$S305,"V"))</f>
        <v/>
      </c>
      <c xmlns="http://schemas.openxmlformats.org/spreadsheetml/2006/main" r="V305" s="22" t="str">
        <f>IF($E305="","",IF(AND($T305="V",$U305&gt;0),"⚠ 勾選矛盾",IF($T305="V","○ 免調理",IF($U305=0,"⚠ 資料缺漏",IF($U305=1,"▲ 單一設備依賴","OK")))))</f>
        <v/>
      </c>
      <c xmlns="http://schemas.openxmlformats.org/spreadsheetml/2006/main" r="W305" s="18" t="str">
        <f>IF($E305="","",IF(AND($T305="V",$U305&gt;0),"「無使用調理設備」不可與設備欄同時勾選，請擇一修正",IF($T305="V","免調理半成品（外購/僅切配等），不列入設備風險評估",IF($U305=0,"未勾選任何設備，請補填或勾選「無使用調理設備」",IF($U305=1,"僅依賴1台設備，須確認故障/排修時之備援製程","無異常")))))</f>
        <v/>
      </c>
      <c xmlns="http://schemas.openxmlformats.org/spreadsheetml/2006/main" r="Z305" s="0">
        <f>IF($D305="",0,IF(COUNTIF($D$5:$D305,$D305)=1,1,0))</f>
        <v>0.0</v>
      </c>
      <c xmlns="http://schemas.openxmlformats.org/spreadsheetml/2006/main" r="AA305" s="0" t="str">
        <f>IF(Z305=1,SUM($Z$5:$Z305),"")</f>
        <v/>
      </c>
    </row>
    <row r="306" spans="1:1">
      <c r="A306" s="22"/>
      <c xmlns="http://schemas.openxmlformats.org/spreadsheetml/2006/main" r="U306" s="23" t="str">
        <f>IF($E306="","",COUNTIF($I306:$S306,"V"))</f>
        <v/>
      </c>
      <c xmlns="http://schemas.openxmlformats.org/spreadsheetml/2006/main" r="V306" s="22" t="str">
        <f>IF($E306="","",IF(AND($T306="V",$U306&gt;0),"⚠ 勾選矛盾",IF($T306="V","○ 免調理",IF($U306=0,"⚠ 資料缺漏",IF($U306=1,"▲ 單一設備依賴","OK")))))</f>
        <v/>
      </c>
      <c xmlns="http://schemas.openxmlformats.org/spreadsheetml/2006/main" r="W306" s="18" t="str">
        <f>IF($E306="","",IF(AND($T306="V",$U306&gt;0),"「無使用調理設備」不可與設備欄同時勾選，請擇一修正",IF($T306="V","免調理半成品（外購/僅切配等），不列入設備風險評估",IF($U306=0,"未勾選任何設備，請補填或勾選「無使用調理設備」",IF($U306=1,"僅依賴1台設備，須確認故障/排修時之備援製程","無異常")))))</f>
        <v/>
      </c>
      <c xmlns="http://schemas.openxmlformats.org/spreadsheetml/2006/main" r="Z306" s="0">
        <f>IF($D306="",0,IF(COUNTIF($D$5:$D306,$D306)=1,1,0))</f>
        <v>0.0</v>
      </c>
      <c xmlns="http://schemas.openxmlformats.org/spreadsheetml/2006/main" r="AA306" s="0" t="str">
        <f>IF(Z306=1,SUM($Z$5:$Z306),"")</f>
        <v/>
      </c>
    </row>
    <row r="307" spans="1:1">
      <c r="A307" s="22"/>
      <c xmlns="http://schemas.openxmlformats.org/spreadsheetml/2006/main" r="U307" s="23" t="str">
        <f>IF($E307="","",COUNTIF($I307:$S307,"V"))</f>
        <v/>
      </c>
      <c xmlns="http://schemas.openxmlformats.org/spreadsheetml/2006/main" r="V307" s="22" t="str">
        <f>IF($E307="","",IF(AND($T307="V",$U307&gt;0),"⚠ 勾選矛盾",IF($T307="V","○ 免調理",IF($U307=0,"⚠ 資料缺漏",IF($U307=1,"▲ 單一設備依賴","OK")))))</f>
        <v/>
      </c>
      <c xmlns="http://schemas.openxmlformats.org/spreadsheetml/2006/main" r="W307" s="18" t="str">
        <f>IF($E307="","",IF(AND($T307="V",$U307&gt;0),"「無使用調理設備」不可與設備欄同時勾選，請擇一修正",IF($T307="V","免調理半成品（外購/僅切配等），不列入設備風險評估",IF($U307=0,"未勾選任何設備，請補填或勾選「無使用調理設備」",IF($U307=1,"僅依賴1台設備，須確認故障/排修時之備援製程","無異常")))))</f>
        <v/>
      </c>
      <c xmlns="http://schemas.openxmlformats.org/spreadsheetml/2006/main" r="Z307" s="0">
        <f>IF($D307="",0,IF(COUNTIF($D$5:$D307,$D307)=1,1,0))</f>
        <v>0.0</v>
      </c>
      <c xmlns="http://schemas.openxmlformats.org/spreadsheetml/2006/main" r="AA307" s="0" t="str">
        <f>IF(Z307=1,SUM($Z$5:$Z307),"")</f>
        <v/>
      </c>
    </row>
    <row r="308" spans="1:1">
      <c r="A308" s="22"/>
      <c xmlns="http://schemas.openxmlformats.org/spreadsheetml/2006/main" r="U308" s="23" t="str">
        <f>IF($E308="","",COUNTIF($I308:$S308,"V"))</f>
        <v/>
      </c>
      <c xmlns="http://schemas.openxmlformats.org/spreadsheetml/2006/main" r="V308" s="22" t="str">
        <f>IF($E308="","",IF(AND($T308="V",$U308&gt;0),"⚠ 勾選矛盾",IF($T308="V","○ 免調理",IF($U308=0,"⚠ 資料缺漏",IF($U308=1,"▲ 單一設備依賴","OK")))))</f>
        <v/>
      </c>
      <c xmlns="http://schemas.openxmlformats.org/spreadsheetml/2006/main" r="W308" s="18" t="str">
        <f>IF($E308="","",IF(AND($T308="V",$U308&gt;0),"「無使用調理設備」不可與設備欄同時勾選，請擇一修正",IF($T308="V","免調理半成品（外購/僅切配等），不列入設備風險評估",IF($U308=0,"未勾選任何設備，請補填或勾選「無使用調理設備」",IF($U308=1,"僅依賴1台設備，須確認故障/排修時之備援製程","無異常")))))</f>
        <v/>
      </c>
      <c xmlns="http://schemas.openxmlformats.org/spreadsheetml/2006/main" r="Z308" s="0">
        <f>IF($D308="",0,IF(COUNTIF($D$5:$D308,$D308)=1,1,0))</f>
        <v>0.0</v>
      </c>
      <c xmlns="http://schemas.openxmlformats.org/spreadsheetml/2006/main" r="AA308" s="0" t="str">
        <f>IF(Z308=1,SUM($Z$5:$Z308),"")</f>
        <v/>
      </c>
    </row>
    <row r="309" spans="1:1">
      <c r="A309" s="22"/>
      <c xmlns="http://schemas.openxmlformats.org/spreadsheetml/2006/main" r="U309" s="23" t="str">
        <f>IF($E309="","",COUNTIF($I309:$S309,"V"))</f>
        <v/>
      </c>
      <c xmlns="http://schemas.openxmlformats.org/spreadsheetml/2006/main" r="V309" s="22" t="str">
        <f>IF($E309="","",IF(AND($T309="V",$U309&gt;0),"⚠ 勾選矛盾",IF($T309="V","○ 免調理",IF($U309=0,"⚠ 資料缺漏",IF($U309=1,"▲ 單一設備依賴","OK")))))</f>
        <v/>
      </c>
      <c xmlns="http://schemas.openxmlformats.org/spreadsheetml/2006/main" r="W309" s="18" t="str">
        <f>IF($E309="","",IF(AND($T309="V",$U309&gt;0),"「無使用調理設備」不可與設備欄同時勾選，請擇一修正",IF($T309="V","免調理半成品（外購/僅切配等），不列入設備風險評估",IF($U309=0,"未勾選任何設備，請補填或勾選「無使用調理設備」",IF($U309=1,"僅依賴1台設備，須確認故障/排修時之備援製程","無異常")))))</f>
        <v/>
      </c>
      <c xmlns="http://schemas.openxmlformats.org/spreadsheetml/2006/main" r="Z309" s="0">
        <f>IF($D309="",0,IF(COUNTIF($D$5:$D309,$D309)=1,1,0))</f>
        <v>0.0</v>
      </c>
      <c xmlns="http://schemas.openxmlformats.org/spreadsheetml/2006/main" r="AA309" s="0" t="str">
        <f>IF(Z309=1,SUM($Z$5:$Z309),"")</f>
        <v/>
      </c>
    </row>
    <row r="310" spans="1:1">
      <c r="A310" s="22"/>
      <c xmlns="http://schemas.openxmlformats.org/spreadsheetml/2006/main" r="U310" s="23" t="str">
        <f>IF($E310="","",COUNTIF($I310:$S310,"V"))</f>
        <v/>
      </c>
      <c xmlns="http://schemas.openxmlformats.org/spreadsheetml/2006/main" r="V310" s="22" t="str">
        <f>IF($E310="","",IF(AND($T310="V",$U310&gt;0),"⚠ 勾選矛盾",IF($T310="V","○ 免調理",IF($U310=0,"⚠ 資料缺漏",IF($U310=1,"▲ 單一設備依賴","OK")))))</f>
        <v/>
      </c>
      <c xmlns="http://schemas.openxmlformats.org/spreadsheetml/2006/main" r="W310" s="18" t="str">
        <f>IF($E310="","",IF(AND($T310="V",$U310&gt;0),"「無使用調理設備」不可與設備欄同時勾選，請擇一修正",IF($T310="V","免調理半成品（外購/僅切配等），不列入設備風險評估",IF($U310=0,"未勾選任何設備，請補填或勾選「無使用調理設備」",IF($U310=1,"僅依賴1台設備，須確認故障/排修時之備援製程","無異常")))))</f>
        <v/>
      </c>
      <c xmlns="http://schemas.openxmlformats.org/spreadsheetml/2006/main" r="Z310" s="0">
        <f>IF($D310="",0,IF(COUNTIF($D$5:$D310,$D310)=1,1,0))</f>
        <v>0.0</v>
      </c>
      <c xmlns="http://schemas.openxmlformats.org/spreadsheetml/2006/main" r="AA310" s="0" t="str">
        <f>IF(Z310=1,SUM($Z$5:$Z310),"")</f>
        <v/>
      </c>
    </row>
  </sheetData>
  <autoFilter ref="A4:Y310"/>
  <mergeCells count="29">
    <mergeCell ref="A3:A4"/>
    <mergeCell ref="B1:Y1"/>
    <mergeCell ref="B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C5:C56 A5:B64 A79:A310 B65:B78">
    <cfRule type="expression" dxfId="38" priority="18">
      <formula>$R5="⚠ 資料缺漏"</formula>
    </cfRule>
  </conditionalFormatting>
  <conditionalFormatting sqref="D5:D13 D35:D52 G53:H56 C57:H64 B79:H292">
    <cfRule type="expression" dxfId="37" priority="25">
      <formula>ISNUMBER(SEARCH("⚠",$V5))</formula>
    </cfRule>
  </conditionalFormatting>
  <conditionalFormatting sqref="D14:D47">
    <cfRule type="expression" dxfId="36" priority="17">
      <formula>ISNUMBER(SEARCH("⚠",$V12))</formula>
    </cfRule>
  </conditionalFormatting>
  <conditionalFormatting sqref="E5:H52">
    <cfRule type="expression" dxfId="35" priority="13">
      <formula>ISNUMBER(SEARCH("⚠",$V5))</formula>
    </cfRule>
  </conditionalFormatting>
  <conditionalFormatting sqref="V5:V52 V57:V292">
    <cfRule type="expression" dxfId="34" priority="21">
      <formula>ISNUMBER(SEARCH("⚠",$V5))</formula>
    </cfRule>
    <cfRule type="expression" dxfId="33" priority="22">
      <formula>$V5="▲ 單一設備依賴"</formula>
    </cfRule>
    <cfRule type="expression" dxfId="32" priority="23">
      <formula>$V5="○ 免調理"</formula>
    </cfRule>
    <cfRule type="expression" dxfId="31" priority="24">
      <formula>$V5="OK"</formula>
    </cfRule>
  </conditionalFormatting>
  <conditionalFormatting sqref="D53:F56">
    <cfRule type="expression" dxfId="30" priority="12">
      <formula>ISNUMBER(SEARCH("⚠",$V53))</formula>
    </cfRule>
  </conditionalFormatting>
  <conditionalFormatting sqref="V53:V56">
    <cfRule type="expression" dxfId="29" priority="8">
      <formula>ISNUMBER(SEARCH("⚠",$V53))</formula>
    </cfRule>
    <cfRule type="expression" dxfId="28" priority="9">
      <formula>$V53="▲ 單一設備依賴"</formula>
    </cfRule>
    <cfRule type="expression" dxfId="27" priority="10">
      <formula>$V53="○ 免調理"</formula>
    </cfRule>
    <cfRule type="expression" dxfId="26" priority="11">
      <formula>$V53="OK"</formula>
    </cfRule>
  </conditionalFormatting>
  <conditionalFormatting sqref="C65:H78">
    <cfRule type="expression" dxfId="1" priority="5">
      <formula>ISNUMBER(SEARCH("⚠",$W65))</formula>
    </cfRule>
  </conditionalFormatting>
  <conditionalFormatting sqref="A65:A78">
    <cfRule type="expression" dxfId="0" priority="4">
      <formula>$S65="⚠ 資料缺漏"</formula>
    </cfRule>
  </conditionalFormatting>
  <conditionalFormatting xmlns="http://schemas.openxmlformats.org/spreadsheetml/2006/main" sqref="A5:A310">
    <cfRule type="expression" dxfId="109" priority="1" stopIfTrue="1">
      <formula>AND($D5&lt;&gt;"",OR($A5="",COUNTIFS($D$5:$D$310,$D5,$A$5:$A$310,$A5)&lt;&gt;COUNTIF($D$5:$D$310,$D5)))</formula>
    </cfRule>
  </conditionalFormatting>
  <conditionalFormatting xmlns="http://schemas.openxmlformats.org/spreadsheetml/2006/main" sqref="Y5:Y310">
    <cfRule type="expression" dxfId="108" priority="2" stopIfTrue="1">
      <formula>AND($E5&lt;&gt;"",$Y5="")</formula>
    </cfRule>
  </conditionalFormatting>
  <conditionalFormatting xmlns="http://schemas.openxmlformats.org/spreadsheetml/2006/main" sqref="G5:G310">
    <cfRule type="expression" dxfId="108" priority="3" stopIfTrue="1">
      <formula>AND($E5&lt;&gt;"",$F5&lt;&gt;"",$G5="")</formula>
    </cfRule>
  </conditionalFormatting>
  <dataValidations xmlns="http://schemas.openxmlformats.org/spreadsheetml/2006/main" count="4">
    <dataValidation type="list" sqref="B5:B310" allowBlank="1" showDropDown="0" showErrorMessage="1" errorStyle="stop" errorTitle="請使用下拉選單" error="請選擇選單中的項目，或清除儲存格。">
      <formula1>"大溪,新豐,長家,晉欣"</formula1>
    </dataValidation>
    <dataValidation type="list" sqref="G5:G310" allowBlank="1" showDropDown="0" showErrorMessage="1" errorStyle="stop" errorTitle="請使用下拉選單" error="請選擇選單中的項目，或清除儲存格。">
      <formula1>"公克,個"</formula1>
    </dataValidation>
    <dataValidation type="list" sqref="I5:T310" allowBlank="1" showDropDown="0" showErrorMessage="1" errorStyle="stop" errorTitle="請使用下拉選單" error="請選擇選單中的項目，或清除儲存格。">
      <formula1>"V"</formula1>
    </dataValidation>
    <dataValidation type="list" sqref="A5:A310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4FA6"/>
  </sheetPr>
  <dimension ref="A1:AA322"/>
  <sheetViews xmlns="http://schemas.openxmlformats.org/spreadsheetml/2006/main">
    <sheetView showGridLines="0" zoomScaleNormal="100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13" hidden="1" customWidth="1"/>
    <col min="27" max="27" width="13" hidden="1" customWidth="1"/>
  </cols>
  <sheetData>
    <row r="1" spans="1:27" ht="30" customHeight="1">
      <c r="B1" s="72" t="s">
        <v>79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7" ht="19.5" customHeight="1">
      <c r="B2" s="66" t="s">
        <v>43</v>
      </c>
      <c r="C2" s="66"/>
      <c r="D2" s="66"/>
      <c r="E2" s="66"/>
      <c r="F2" s="66"/>
      <c r="G2" s="66"/>
      <c r="H2" s="66"/>
      <c r="I2" s="66" t="s">
        <v>44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45</v>
      </c>
      <c r="V2" s="66"/>
      <c r="W2" s="66"/>
      <c r="X2" s="66" t="s">
        <v>46</v>
      </c>
      <c r="Y2" s="66"/>
    </row>
    <row r="3" spans="1:27" ht="24" customHeight="1">
      <c r="A3" s="64" t="s">
        <v>743</v>
      </c>
      <c r="B3" s="61" t="s">
        <v>47</v>
      </c>
      <c r="C3" s="61" t="s">
        <v>48</v>
      </c>
      <c r="D3" s="61" t="s">
        <v>49</v>
      </c>
      <c r="E3" s="61" t="s">
        <v>50</v>
      </c>
      <c r="F3" s="70" t="s">
        <v>51</v>
      </c>
      <c r="G3" s="70"/>
      <c r="H3" s="61" t="s">
        <v>52</v>
      </c>
      <c r="I3" s="62" t="s">
        <v>53</v>
      </c>
      <c r="J3" s="62" t="s">
        <v>54</v>
      </c>
      <c r="K3" s="62" t="s">
        <v>55</v>
      </c>
      <c r="L3" s="62" t="s">
        <v>56</v>
      </c>
      <c r="M3" s="62" t="s">
        <v>57</v>
      </c>
      <c r="N3" s="62" t="s">
        <v>58</v>
      </c>
      <c r="O3" s="62" t="s">
        <v>59</v>
      </c>
      <c r="P3" s="62" t="s">
        <v>60</v>
      </c>
      <c r="Q3" s="62" t="s">
        <v>61</v>
      </c>
      <c r="R3" s="62" t="s">
        <v>62</v>
      </c>
      <c r="S3" s="62" t="s">
        <v>63</v>
      </c>
      <c r="T3" s="63" t="s">
        <v>64</v>
      </c>
      <c r="U3" s="61" t="s">
        <v>65</v>
      </c>
      <c r="V3" s="61" t="s">
        <v>66</v>
      </c>
      <c r="W3" s="61" t="s">
        <v>67</v>
      </c>
      <c r="X3" s="61" t="s">
        <v>68</v>
      </c>
      <c r="Y3" s="61" t="s">
        <v>69</v>
      </c>
      <c r="Z3" s="20" t="s">
        <v>70</v>
      </c>
      <c r="AA3" s="20" t="s">
        <v>71</v>
      </c>
    </row>
    <row r="4" spans="1:27" ht="18" customHeight="1">
      <c r="A4" s="65"/>
      <c r="B4" s="61"/>
      <c r="C4" s="61"/>
      <c r="D4" s="61"/>
      <c r="E4" s="61"/>
      <c r="F4" s="21" t="s">
        <v>72</v>
      </c>
      <c r="G4" s="21" t="s">
        <v>73</v>
      </c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61"/>
      <c r="V4" s="61"/>
      <c r="W4" s="61"/>
      <c r="X4" s="61"/>
      <c r="Y4" s="61"/>
    </row>
    <row r="5" spans="1:27">
      <c r="A5" s="22" t="s">
        <v>744</v>
      </c>
      <c r="B5" s="22" t="s">
        <v>295</v>
      </c>
      <c r="C5" s="22" t="s">
        <v>325</v>
      </c>
      <c r="D5" s="22" t="s">
        <v>326</v>
      </c>
      <c r="E5" s="22" t="s">
        <v>327</v>
      </c>
      <c r="F5" s="23">
        <v>0.5</v>
      </c>
      <c r="G5" s="23" t="s">
        <v>75</v>
      </c>
      <c r="H5" s="24">
        <v>97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 t="s">
        <v>438</v>
      </c>
      <c xmlns="http://schemas.openxmlformats.org/spreadsheetml/2006/main" r="U5" s="23">
        <f t="shared" ref="U5:U20" si="0">IF($E5="","",COUNTIF($I5:$S5,"V"))</f>
        <v>0.0</v>
      </c>
      <c xmlns="http://schemas.openxmlformats.org/spreadsheetml/2006/main" r="V5" s="22" t="str">
        <f t="shared" ref="V5:V20" si="1">IF($E5="","",IF(AND($T5="V",$U5&gt;0),"⚠ 勾選矛盾",IF($T5="V","○ 免調理",IF($U5=0,"⚠ 資料缺漏",IF($U5=1,"▲ 單一設備依賴","OK")))))</f>
        <v>○ 免調理</v>
      </c>
      <c xmlns="http://schemas.openxmlformats.org/spreadsheetml/2006/main" r="W5" s="18" t="str">
        <f t="shared" ref="W5:W20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免調理半成品（外購/僅切配等），不列入設備風險評估</v>
      </c>
      <c r="X5" s="22" t="s">
        <v>397</v>
      </c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744</v>
      </c>
      <c r="B6" s="22" t="s">
        <v>127</v>
      </c>
      <c r="C6" s="22" t="s">
        <v>325</v>
      </c>
      <c r="D6" s="22" t="s">
        <v>326</v>
      </c>
      <c r="E6" s="53" t="s">
        <v>452</v>
      </c>
      <c r="F6" s="54">
        <v>140</v>
      </c>
      <c r="G6" s="23" t="s">
        <v>75</v>
      </c>
      <c r="H6" s="24">
        <v>290</v>
      </c>
      <c r="I6" s="25"/>
      <c r="J6" s="25" t="s">
        <v>76</v>
      </c>
      <c r="K6" s="25"/>
      <c r="L6" s="25"/>
      <c r="M6" s="25"/>
      <c r="N6" s="25"/>
      <c r="O6" s="25"/>
      <c r="P6" s="25"/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si="1"/>
        <v>▲ 單一設備依賴</v>
      </c>
      <c xmlns="http://schemas.openxmlformats.org/spreadsheetml/2006/main" r="W6" s="18" t="str">
        <f t="shared" si="2"/>
        <v>僅依賴1台設備，須確認故障/排修時之備援製程</v>
      </c>
      <c r="X6" s="22" t="s">
        <v>397</v>
      </c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744</v>
      </c>
      <c r="B7" s="22" t="s">
        <v>127</v>
      </c>
      <c r="C7" s="22" t="s">
        <v>325</v>
      </c>
      <c r="D7" s="22" t="s">
        <v>326</v>
      </c>
      <c r="E7" s="53" t="s">
        <v>453</v>
      </c>
      <c r="F7" s="54">
        <v>12</v>
      </c>
      <c r="G7" s="23" t="s">
        <v>75</v>
      </c>
      <c r="H7" s="24">
        <v>75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47" t="s">
        <v>438</v>
      </c>
      <c xmlns="http://schemas.openxmlformats.org/spreadsheetml/2006/main" r="U7" s="23">
        <f t="shared" si="0"/>
        <v>0.0</v>
      </c>
      <c xmlns="http://schemas.openxmlformats.org/spreadsheetml/2006/main" r="V7" s="22" t="str">
        <f t="shared" si="1"/>
        <v>○ 免調理</v>
      </c>
      <c xmlns="http://schemas.openxmlformats.org/spreadsheetml/2006/main" r="W7" s="18" t="str">
        <f t="shared" si="2"/>
        <v>免調理半成品（外購/僅切配等），不列入設備風險評估</v>
      </c>
      <c r="X7" s="22" t="s">
        <v>397</v>
      </c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744</v>
      </c>
      <c r="B8" s="22" t="s">
        <v>127</v>
      </c>
      <c r="C8" s="22" t="s">
        <v>325</v>
      </c>
      <c r="D8" s="22" t="s">
        <v>326</v>
      </c>
      <c r="E8" s="53" t="s">
        <v>328</v>
      </c>
      <c r="F8" s="54">
        <v>24</v>
      </c>
      <c r="G8" s="23" t="s">
        <v>75</v>
      </c>
      <c r="H8" s="24">
        <v>53.5</v>
      </c>
      <c r="I8" s="25"/>
      <c r="J8" s="25"/>
      <c r="K8" s="25"/>
      <c r="L8" s="25"/>
      <c r="M8" s="25"/>
      <c r="N8" s="25"/>
      <c r="O8" s="25" t="s">
        <v>76</v>
      </c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 t="s">
        <v>397</v>
      </c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744</v>
      </c>
      <c r="B9" s="22" t="s">
        <v>127</v>
      </c>
      <c r="C9" s="22" t="s">
        <v>325</v>
      </c>
      <c r="D9" s="22" t="s">
        <v>326</v>
      </c>
      <c r="E9" s="53" t="s">
        <v>454</v>
      </c>
      <c r="F9" s="54">
        <v>28</v>
      </c>
      <c r="G9" s="23" t="s">
        <v>75</v>
      </c>
      <c r="H9" s="24">
        <v>58.37</v>
      </c>
      <c r="I9" s="25"/>
      <c r="J9" s="25"/>
      <c r="K9" s="25"/>
      <c r="L9" s="25"/>
      <c r="M9" s="25"/>
      <c r="N9" s="25"/>
      <c r="O9" s="25" t="s">
        <v>76</v>
      </c>
      <c r="P9" s="25"/>
      <c r="Q9" s="25"/>
      <c r="R9" s="25"/>
      <c r="S9" s="25"/>
      <c r="T9" s="26"/>
      <c xmlns="http://schemas.openxmlformats.org/spreadsheetml/2006/main" r="U9" s="23">
        <f t="shared" si="0"/>
        <v>1.0</v>
      </c>
      <c xmlns="http://schemas.openxmlformats.org/spreadsheetml/2006/main" r="V9" s="22" t="str">
        <f t="shared" si="1"/>
        <v>▲ 單一設備依賴</v>
      </c>
      <c xmlns="http://schemas.openxmlformats.org/spreadsheetml/2006/main" r="W9" s="18" t="str">
        <f t="shared" si="2"/>
        <v>僅依賴1台設備，須確認故障/排修時之備援製程</v>
      </c>
      <c r="X9" s="22" t="s">
        <v>397</v>
      </c>
      <c r="Y9" s="22"/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744</v>
      </c>
      <c r="B10" s="22" t="s">
        <v>127</v>
      </c>
      <c r="C10" s="22" t="s">
        <v>325</v>
      </c>
      <c r="D10" s="22" t="s">
        <v>326</v>
      </c>
      <c r="E10" s="53" t="s">
        <v>441</v>
      </c>
      <c r="F10" s="54">
        <v>3</v>
      </c>
      <c r="G10" s="23" t="s">
        <v>75</v>
      </c>
      <c r="H10" s="24">
        <v>70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47" t="s">
        <v>438</v>
      </c>
      <c xmlns="http://schemas.openxmlformats.org/spreadsheetml/2006/main" r="U10" s="23">
        <f t="shared" si="0"/>
        <v>0.0</v>
      </c>
      <c xmlns="http://schemas.openxmlformats.org/spreadsheetml/2006/main" r="V10" s="22" t="str">
        <f t="shared" si="1"/>
        <v>○ 免調理</v>
      </c>
      <c xmlns="http://schemas.openxmlformats.org/spreadsheetml/2006/main" r="W10" s="18" t="str">
        <f t="shared" si="2"/>
        <v>免調理半成品（外購/僅切配等），不列入設備風險評估</v>
      </c>
      <c r="X10" s="22" t="s">
        <v>397</v>
      </c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744</v>
      </c>
      <c r="B11" s="22" t="s">
        <v>127</v>
      </c>
      <c r="C11" s="22" t="s">
        <v>325</v>
      </c>
      <c r="D11" s="22" t="s">
        <v>326</v>
      </c>
      <c r="E11" s="53" t="s">
        <v>455</v>
      </c>
      <c r="F11" s="54">
        <v>255</v>
      </c>
      <c r="G11" s="23" t="s">
        <v>75</v>
      </c>
      <c r="H11" s="24">
        <v>55.96</v>
      </c>
      <c r="I11" s="25"/>
      <c r="J11" s="25"/>
      <c r="K11" s="25"/>
      <c r="L11" s="25"/>
      <c r="M11" s="25"/>
      <c r="N11" s="25"/>
      <c r="O11" s="25" t="s">
        <v>76</v>
      </c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 t="s">
        <v>397</v>
      </c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744</v>
      </c>
      <c r="B12" s="22" t="s">
        <v>127</v>
      </c>
      <c r="C12" s="22" t="s">
        <v>325</v>
      </c>
      <c r="D12" s="22" t="s">
        <v>329</v>
      </c>
      <c r="E12" s="53" t="s">
        <v>330</v>
      </c>
      <c r="F12" s="54">
        <v>240</v>
      </c>
      <c r="G12" s="23" t="s">
        <v>75</v>
      </c>
      <c r="H12" s="24">
        <v>47.2</v>
      </c>
      <c r="I12" s="25"/>
      <c r="J12" s="25"/>
      <c r="K12" s="25"/>
      <c r="L12" s="25"/>
      <c r="M12" s="25"/>
      <c r="N12" s="25"/>
      <c r="O12" s="25" t="s">
        <v>76</v>
      </c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 t="s">
        <v>399</v>
      </c>
      <c r="Y12" s="22"/>
      <c xmlns="http://schemas.openxmlformats.org/spreadsheetml/2006/main" r="Z12">
        <f>IF($D12="",0,IF(COUNTIF($D$5:$D12,$D12)=1,1,0))</f>
        <v>1.0</v>
      </c>
      <c xmlns="http://schemas.openxmlformats.org/spreadsheetml/2006/main" r="AA12">
        <f>IF(Z12=1,SUM($Z$5:$Z12),"")</f>
        <v>2.0</v>
      </c>
    </row>
    <row r="13" spans="1:27">
      <c r="A13" s="22" t="s">
        <v>744</v>
      </c>
      <c r="B13" s="22" t="s">
        <v>127</v>
      </c>
      <c r="C13" s="22" t="s">
        <v>325</v>
      </c>
      <c r="D13" s="22" t="s">
        <v>329</v>
      </c>
      <c r="E13" s="53" t="s">
        <v>456</v>
      </c>
      <c r="F13" s="54">
        <v>3</v>
      </c>
      <c r="G13" s="23" t="s">
        <v>75</v>
      </c>
      <c r="H13" s="24">
        <v>56.7</v>
      </c>
      <c r="I13" s="25"/>
      <c r="J13" s="25"/>
      <c r="K13" s="25"/>
      <c r="L13" s="25"/>
      <c r="M13" s="25"/>
      <c r="N13" s="25"/>
      <c r="O13" s="25" t="s">
        <v>76</v>
      </c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 t="s">
        <v>399</v>
      </c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744</v>
      </c>
      <c r="B14" s="22" t="s">
        <v>127</v>
      </c>
      <c r="C14" s="22" t="s">
        <v>325</v>
      </c>
      <c r="D14" s="22" t="s">
        <v>329</v>
      </c>
      <c r="E14" s="53" t="s">
        <v>331</v>
      </c>
      <c r="F14" s="54">
        <v>2</v>
      </c>
      <c r="G14" s="23" t="s">
        <v>77</v>
      </c>
      <c r="H14" s="24">
        <v>100</v>
      </c>
      <c r="I14" s="25"/>
      <c r="J14" s="25"/>
      <c r="K14" s="25"/>
      <c r="L14" s="25"/>
      <c r="M14" s="25"/>
      <c r="N14" s="25"/>
      <c r="O14" s="25" t="s">
        <v>76</v>
      </c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 t="s">
        <v>399</v>
      </c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744</v>
      </c>
      <c r="B15" s="22" t="s">
        <v>127</v>
      </c>
      <c r="C15" s="22" t="s">
        <v>325</v>
      </c>
      <c r="D15" s="22" t="s">
        <v>329</v>
      </c>
      <c r="E15" s="53" t="s">
        <v>332</v>
      </c>
      <c r="F15" s="54">
        <v>35</v>
      </c>
      <c r="G15" s="23" t="s">
        <v>75</v>
      </c>
      <c r="H15" s="24">
        <v>51.6</v>
      </c>
      <c r="I15" s="25"/>
      <c r="J15" s="25"/>
      <c r="K15" s="25"/>
      <c r="L15" s="25"/>
      <c r="M15" s="25"/>
      <c r="N15" s="25"/>
      <c r="O15" s="25" t="s">
        <v>76</v>
      </c>
      <c r="P15" s="25"/>
      <c r="Q15" s="25"/>
      <c r="R15" s="25"/>
      <c r="S15" s="25"/>
      <c r="T15" s="26"/>
      <c xmlns="http://schemas.openxmlformats.org/spreadsheetml/2006/main" r="U15" s="23">
        <f t="shared" si="0"/>
        <v>1.0</v>
      </c>
      <c xmlns="http://schemas.openxmlformats.org/spreadsheetml/2006/main" r="V15" s="22" t="str">
        <f t="shared" si="1"/>
        <v>▲ 單一設備依賴</v>
      </c>
      <c xmlns="http://schemas.openxmlformats.org/spreadsheetml/2006/main" r="W15" s="18" t="str">
        <f t="shared" si="2"/>
        <v>僅依賴1台設備，須確認故障/排修時之備援製程</v>
      </c>
      <c r="X15" s="22" t="s">
        <v>399</v>
      </c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744</v>
      </c>
      <c r="B16" s="22" t="s">
        <v>127</v>
      </c>
      <c r="C16" s="22" t="s">
        <v>325</v>
      </c>
      <c r="D16" s="22" t="s">
        <v>329</v>
      </c>
      <c r="E16" s="53" t="s">
        <v>449</v>
      </c>
      <c r="F16" s="54">
        <v>8</v>
      </c>
      <c r="G16" s="23" t="s">
        <v>75</v>
      </c>
      <c r="H16" s="24">
        <v>51.4</v>
      </c>
      <c r="I16" s="25"/>
      <c r="J16" s="25"/>
      <c r="K16" s="25"/>
      <c r="L16" s="25"/>
      <c r="M16" s="25"/>
      <c r="N16" s="25"/>
      <c r="O16" s="25" t="s">
        <v>76</v>
      </c>
      <c r="P16" s="25"/>
      <c r="Q16" s="25"/>
      <c r="R16" s="25"/>
      <c r="S16" s="25"/>
      <c r="T16" s="26"/>
      <c xmlns="http://schemas.openxmlformats.org/spreadsheetml/2006/main" r="U16" s="23">
        <f t="shared" si="0"/>
        <v>1.0</v>
      </c>
      <c xmlns="http://schemas.openxmlformats.org/spreadsheetml/2006/main" r="V16" s="22" t="str">
        <f t="shared" si="1"/>
        <v>▲ 單一設備依賴</v>
      </c>
      <c xmlns="http://schemas.openxmlformats.org/spreadsheetml/2006/main" r="W16" s="18" t="str">
        <f t="shared" si="2"/>
        <v>僅依賴1台設備，須確認故障/排修時之備援製程</v>
      </c>
      <c r="X16" s="22" t="s">
        <v>399</v>
      </c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744</v>
      </c>
      <c r="B17" s="22" t="s">
        <v>127</v>
      </c>
      <c r="C17" s="22" t="s">
        <v>325</v>
      </c>
      <c r="D17" s="22" t="s">
        <v>329</v>
      </c>
      <c r="E17" s="53" t="s">
        <v>460</v>
      </c>
      <c r="F17" s="54">
        <v>20</v>
      </c>
      <c r="G17" s="23" t="s">
        <v>75</v>
      </c>
      <c r="H17" s="46">
        <v>18000</v>
      </c>
      <c r="I17" s="25"/>
      <c r="J17" s="25"/>
      <c r="K17" s="25"/>
      <c r="L17" s="25"/>
      <c r="M17" s="25" t="s">
        <v>76</v>
      </c>
      <c r="N17" s="25"/>
      <c r="O17" s="25"/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1"/>
        <v>▲ 單一設備依賴</v>
      </c>
      <c xmlns="http://schemas.openxmlformats.org/spreadsheetml/2006/main" r="W17" s="18" t="str">
        <f t="shared" si="2"/>
        <v>僅依賴1台設備，須確認故障/排修時之備援製程</v>
      </c>
      <c r="X17" s="22" t="s">
        <v>399</v>
      </c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744</v>
      </c>
      <c r="B18" s="22" t="s">
        <v>127</v>
      </c>
      <c r="C18" s="22" t="s">
        <v>325</v>
      </c>
      <c r="D18" s="22" t="s">
        <v>339</v>
      </c>
      <c r="E18" s="53" t="s">
        <v>334</v>
      </c>
      <c r="F18" s="54">
        <v>0.2</v>
      </c>
      <c r="G18" s="23" t="s">
        <v>75</v>
      </c>
      <c r="H18" s="24">
        <v>97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 t="s">
        <v>438</v>
      </c>
      <c xmlns="http://schemas.openxmlformats.org/spreadsheetml/2006/main" r="U18" s="23">
        <f t="shared" si="0"/>
        <v>0.0</v>
      </c>
      <c xmlns="http://schemas.openxmlformats.org/spreadsheetml/2006/main" r="V18" s="22" t="str">
        <f t="shared" si="1"/>
        <v>○ 免調理</v>
      </c>
      <c xmlns="http://schemas.openxmlformats.org/spreadsheetml/2006/main" r="W18" s="18" t="str">
        <f t="shared" si="2"/>
        <v>免調理半成品（外購/僅切配等），不列入設備風險評估</v>
      </c>
      <c r="X18" s="22" t="s">
        <v>400</v>
      </c>
      <c r="Y18" s="22"/>
      <c xmlns="http://schemas.openxmlformats.org/spreadsheetml/2006/main" r="Z18">
        <f>IF($D18="",0,IF(COUNTIF($D$5:$D18,$D18)=1,1,0))</f>
        <v>1.0</v>
      </c>
      <c xmlns="http://schemas.openxmlformats.org/spreadsheetml/2006/main" r="AA18">
        <f>IF(Z18=1,SUM($Z$5:$Z18),"")</f>
        <v>3.0</v>
      </c>
    </row>
    <row r="19" spans="1:27">
      <c r="A19" s="22" t="s">
        <v>744</v>
      </c>
      <c r="B19" s="22" t="s">
        <v>127</v>
      </c>
      <c r="C19" s="22" t="s">
        <v>325</v>
      </c>
      <c r="D19" s="22" t="s">
        <v>333</v>
      </c>
      <c r="E19" s="53" t="s">
        <v>457</v>
      </c>
      <c r="F19" s="54">
        <v>20</v>
      </c>
      <c r="G19" s="23" t="s">
        <v>75</v>
      </c>
      <c r="H19" s="24">
        <v>53.5</v>
      </c>
      <c r="I19" s="25"/>
      <c r="J19" s="25"/>
      <c r="K19" s="25"/>
      <c r="L19" s="25"/>
      <c r="M19" s="25"/>
      <c r="N19" s="25"/>
      <c r="O19" s="25" t="s">
        <v>76</v>
      </c>
      <c r="P19" s="25"/>
      <c r="Q19" s="25"/>
      <c r="R19" s="25"/>
      <c r="S19" s="25"/>
      <c r="T19" s="26"/>
      <c xmlns="http://schemas.openxmlformats.org/spreadsheetml/2006/main" r="U19" s="23">
        <f t="shared" si="0"/>
        <v>1.0</v>
      </c>
      <c xmlns="http://schemas.openxmlformats.org/spreadsheetml/2006/main" r="V19" s="22" t="str">
        <f t="shared" si="1"/>
        <v>▲ 單一設備依賴</v>
      </c>
      <c xmlns="http://schemas.openxmlformats.org/spreadsheetml/2006/main" r="W19" s="18" t="str">
        <f t="shared" si="2"/>
        <v>僅依賴1台設備，須確認故障/排修時之備援製程</v>
      </c>
      <c r="X19" s="22" t="s">
        <v>400</v>
      </c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744</v>
      </c>
      <c r="B20" s="22" t="s">
        <v>127</v>
      </c>
      <c r="C20" s="22" t="s">
        <v>325</v>
      </c>
      <c r="D20" s="22" t="s">
        <v>333</v>
      </c>
      <c r="E20" s="53" t="s">
        <v>458</v>
      </c>
      <c r="F20" s="54">
        <v>50</v>
      </c>
      <c r="G20" s="23" t="s">
        <v>75</v>
      </c>
      <c r="H20" s="24">
        <v>73</v>
      </c>
      <c r="I20" s="25"/>
      <c r="J20" s="25"/>
      <c r="K20" s="25"/>
      <c r="L20" s="25"/>
      <c r="M20" s="25"/>
      <c r="N20" s="25"/>
      <c r="O20" s="25" t="s">
        <v>76</v>
      </c>
      <c r="P20" s="25"/>
      <c r="Q20" s="25"/>
      <c r="R20" s="25"/>
      <c r="S20" s="25"/>
      <c r="T20" s="26"/>
      <c xmlns="http://schemas.openxmlformats.org/spreadsheetml/2006/main" r="U20" s="23">
        <f t="shared" si="0"/>
        <v>1.0</v>
      </c>
      <c xmlns="http://schemas.openxmlformats.org/spreadsheetml/2006/main" r="V20" s="22" t="str">
        <f t="shared" si="1"/>
        <v>▲ 單一設備依賴</v>
      </c>
      <c xmlns="http://schemas.openxmlformats.org/spreadsheetml/2006/main" r="W20" s="18" t="str">
        <f t="shared" si="2"/>
        <v>僅依賴1台設備，須確認故障/排修時之備援製程</v>
      </c>
      <c r="X20" s="22" t="s">
        <v>400</v>
      </c>
      <c r="Y20" s="22"/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744</v>
      </c>
      <c r="B21" s="22" t="s">
        <v>127</v>
      </c>
      <c r="C21" s="22" t="s">
        <v>325</v>
      </c>
      <c r="D21" s="22" t="s">
        <v>333</v>
      </c>
      <c r="E21" s="53" t="s">
        <v>335</v>
      </c>
      <c r="F21" s="54">
        <v>250</v>
      </c>
      <c r="G21" s="23" t="s">
        <v>75</v>
      </c>
      <c r="H21" s="24">
        <v>49.36</v>
      </c>
      <c r="I21" s="25"/>
      <c r="J21" s="25"/>
      <c r="K21" s="25"/>
      <c r="L21" s="25"/>
      <c r="M21" s="25"/>
      <c r="N21" s="25"/>
      <c r="O21" s="25" t="s">
        <v>76</v>
      </c>
      <c r="P21" s="25"/>
      <c r="Q21" s="25"/>
      <c r="R21" s="25"/>
      <c r="S21" s="25"/>
      <c r="T21" s="26"/>
      <c xmlns="http://schemas.openxmlformats.org/spreadsheetml/2006/main" r="U21" s="23">
        <f t="shared" ref="U21:U84" si="3">IF($E21="","",COUNTIF($I21:$S21,"V"))</f>
        <v>1.0</v>
      </c>
      <c xmlns="http://schemas.openxmlformats.org/spreadsheetml/2006/main" r="V21" s="22" t="str">
        <f t="shared" ref="V21:V84" si="4">IF($E21="","",IF(AND($T21="V",$U21&gt;0),"⚠ 勾選矛盾",IF($T21="V","○ 免調理",IF($U21=0,"⚠ 資料缺漏",IF($U21=1,"▲ 單一設備依賴","OK")))))</f>
        <v>▲ 單一設備依賴</v>
      </c>
      <c xmlns="http://schemas.openxmlformats.org/spreadsheetml/2006/main" r="W21" s="18" t="str">
        <f t="shared" ref="W21:W84" si="5">IF($E21="","",IF(AND($T21="V",$U21&gt;0),"「無使用調理設備」不可與設備欄同時勾選，請擇一修正",IF($T21="V","免調理半成品（外購/僅切配等），不列入設備風險評估",IF($U21=0,"未勾選任何設備，請補填或勾選「無使用調理設備」",IF($U21=1,"僅依賴1台設備，須確認故障/排修時之備援製程","無異常")))))</f>
        <v>僅依賴1台設備，須確認故障/排修時之備援製程</v>
      </c>
      <c r="X21" s="22" t="s">
        <v>400</v>
      </c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744</v>
      </c>
      <c r="B22" s="22" t="s">
        <v>127</v>
      </c>
      <c r="C22" s="22" t="s">
        <v>325</v>
      </c>
      <c r="D22" s="22" t="s">
        <v>338</v>
      </c>
      <c r="E22" s="53" t="s">
        <v>385</v>
      </c>
      <c r="F22" s="54">
        <v>203</v>
      </c>
      <c r="G22" s="23" t="s">
        <v>75</v>
      </c>
      <c r="H22" s="24">
        <v>47.8</v>
      </c>
      <c r="I22" s="25"/>
      <c r="J22" s="25"/>
      <c r="K22" s="25"/>
      <c r="L22" s="25"/>
      <c r="M22" s="25"/>
      <c r="N22" s="25"/>
      <c r="O22" s="25" t="s">
        <v>76</v>
      </c>
      <c r="P22" s="25"/>
      <c r="Q22" s="25"/>
      <c r="R22" s="25"/>
      <c r="S22" s="25"/>
      <c r="T22" s="26"/>
      <c xmlns="http://schemas.openxmlformats.org/spreadsheetml/2006/main" r="U22" s="23">
        <f t="shared" si="3"/>
        <v>1.0</v>
      </c>
      <c xmlns="http://schemas.openxmlformats.org/spreadsheetml/2006/main" r="V22" s="22" t="str">
        <f t="shared" si="4"/>
        <v>▲ 單一設備依賴</v>
      </c>
      <c xmlns="http://schemas.openxmlformats.org/spreadsheetml/2006/main" r="W22" s="18" t="str">
        <f t="shared" si="5"/>
        <v>僅依賴1台設備，須確認故障/排修時之備援製程</v>
      </c>
      <c r="X22" s="22" t="s">
        <v>398</v>
      </c>
      <c r="Y22" s="22"/>
      <c xmlns="http://schemas.openxmlformats.org/spreadsheetml/2006/main" r="Z22">
        <f>IF($D22="",0,IF(COUNTIF($D$5:$D22,$D22)=1,1,0))</f>
        <v>1.0</v>
      </c>
      <c xmlns="http://schemas.openxmlformats.org/spreadsheetml/2006/main" r="AA22">
        <f>IF(Z22=1,SUM($Z$5:$Z22),"")</f>
        <v>4.0</v>
      </c>
    </row>
    <row r="23" spans="1:27">
      <c r="A23" s="22" t="s">
        <v>744</v>
      </c>
      <c r="B23" s="22" t="s">
        <v>127</v>
      </c>
      <c r="C23" s="22" t="s">
        <v>325</v>
      </c>
      <c r="D23" s="22" t="s">
        <v>336</v>
      </c>
      <c r="E23" s="53" t="s">
        <v>441</v>
      </c>
      <c r="F23" s="54">
        <v>2</v>
      </c>
      <c r="G23" s="23" t="s">
        <v>75</v>
      </c>
      <c r="H23" s="24">
        <v>70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47" t="s">
        <v>459</v>
      </c>
      <c xmlns="http://schemas.openxmlformats.org/spreadsheetml/2006/main" r="U23" s="23">
        <f t="shared" si="3"/>
        <v>0.0</v>
      </c>
      <c xmlns="http://schemas.openxmlformats.org/spreadsheetml/2006/main" r="V23" s="22" t="str">
        <f t="shared" si="4"/>
        <v>○ 免調理</v>
      </c>
      <c xmlns="http://schemas.openxmlformats.org/spreadsheetml/2006/main" r="W23" s="18" t="str">
        <f t="shared" si="5"/>
        <v>免調理半成品（外購/僅切配等），不列入設備風險評估</v>
      </c>
      <c r="X23" s="22" t="s">
        <v>398</v>
      </c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744</v>
      </c>
      <c r="B24" s="22" t="s">
        <v>127</v>
      </c>
      <c r="C24" s="22" t="s">
        <v>325</v>
      </c>
      <c r="D24" s="22" t="s">
        <v>336</v>
      </c>
      <c r="E24" s="53" t="s">
        <v>337</v>
      </c>
      <c r="F24" s="54">
        <v>1</v>
      </c>
      <c r="G24" s="23" t="s">
        <v>77</v>
      </c>
      <c r="H24" s="24">
        <v>100</v>
      </c>
      <c r="I24" s="25"/>
      <c r="J24" s="25"/>
      <c r="K24" s="25"/>
      <c r="L24" s="25"/>
      <c r="M24" s="25" t="s">
        <v>76</v>
      </c>
      <c r="N24" s="25"/>
      <c r="O24" s="25"/>
      <c r="P24" s="25"/>
      <c r="Q24" s="25"/>
      <c r="R24" s="25"/>
      <c r="S24" s="25"/>
      <c r="T24" s="26"/>
      <c xmlns="http://schemas.openxmlformats.org/spreadsheetml/2006/main" r="U24" s="23">
        <f t="shared" si="3"/>
        <v>1.0</v>
      </c>
      <c xmlns="http://schemas.openxmlformats.org/spreadsheetml/2006/main" r="V24" s="22" t="str">
        <f t="shared" si="4"/>
        <v>▲ 單一設備依賴</v>
      </c>
      <c xmlns="http://schemas.openxmlformats.org/spreadsheetml/2006/main" r="W24" s="18" t="str">
        <f t="shared" si="5"/>
        <v>僅依賴1台設備，須確認故障/排修時之備援製程</v>
      </c>
      <c r="X24" s="22" t="s">
        <v>398</v>
      </c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745</v>
      </c>
      <c r="B25" s="22" t="s">
        <v>127</v>
      </c>
      <c r="C25" s="22" t="s">
        <v>548</v>
      </c>
      <c r="D25" s="22" t="s">
        <v>547</v>
      </c>
      <c r="E25" s="22" t="s">
        <v>549</v>
      </c>
      <c r="F25" s="23">
        <v>55</v>
      </c>
      <c r="G25" s="23" t="s">
        <v>75</v>
      </c>
      <c r="H25" s="24"/>
      <c r="I25" s="25"/>
      <c r="J25" s="25"/>
      <c r="K25" s="25"/>
      <c r="L25" s="25"/>
      <c r="M25" s="25"/>
      <c r="N25" s="25"/>
      <c r="O25" s="25" t="s">
        <v>76</v>
      </c>
      <c r="P25" s="25"/>
      <c r="Q25" s="25"/>
      <c r="R25" s="25"/>
      <c r="S25" s="25"/>
      <c r="T25" s="26"/>
      <c xmlns="http://schemas.openxmlformats.org/spreadsheetml/2006/main" r="U25" s="23">
        <f t="shared" si="3"/>
        <v>1.0</v>
      </c>
      <c xmlns="http://schemas.openxmlformats.org/spreadsheetml/2006/main" r="V25" s="22" t="str">
        <f t="shared" si="4"/>
        <v>▲ 單一設備依賴</v>
      </c>
      <c xmlns="http://schemas.openxmlformats.org/spreadsheetml/2006/main" r="W25" s="18" t="str">
        <f t="shared" si="5"/>
        <v>僅依賴1台設備，須確認故障/排修時之備援製程</v>
      </c>
      <c r="X25" s="22" t="s">
        <v>552</v>
      </c>
      <c r="Y25" s="22" t="s">
        <v>553</v>
      </c>
      <c xmlns="http://schemas.openxmlformats.org/spreadsheetml/2006/main" r="Z25">
        <f>IF($D25="",0,IF(COUNTIF($D$5:$D25,$D25)=1,1,0))</f>
        <v>1.0</v>
      </c>
      <c xmlns="http://schemas.openxmlformats.org/spreadsheetml/2006/main" r="AA25">
        <f>IF(Z25=1,SUM($Z$5:$Z25),"")</f>
        <v>5.0</v>
      </c>
    </row>
    <row r="26" spans="1:27">
      <c r="A26" s="22" t="s">
        <v>745</v>
      </c>
      <c r="B26" s="22" t="s">
        <v>127</v>
      </c>
      <c r="C26" s="22" t="s">
        <v>548</v>
      </c>
      <c r="D26" s="22" t="s">
        <v>547</v>
      </c>
      <c r="E26" s="22" t="s">
        <v>550</v>
      </c>
      <c r="F26" s="23">
        <v>3</v>
      </c>
      <c r="G26" s="23" t="s">
        <v>75</v>
      </c>
      <c r="H26" s="24"/>
      <c r="I26" s="25"/>
      <c r="J26" s="25"/>
      <c r="K26" s="25"/>
      <c r="L26" s="25"/>
      <c r="M26" s="25"/>
      <c r="N26" s="25"/>
      <c r="O26" s="25" t="s">
        <v>76</v>
      </c>
      <c r="P26" s="25"/>
      <c r="Q26" s="25"/>
      <c r="R26" s="25"/>
      <c r="S26" s="25"/>
      <c r="T26" s="26"/>
      <c xmlns="http://schemas.openxmlformats.org/spreadsheetml/2006/main" r="U26" s="23">
        <f t="shared" si="3"/>
        <v>1.0</v>
      </c>
      <c xmlns="http://schemas.openxmlformats.org/spreadsheetml/2006/main" r="V26" s="22" t="str">
        <f t="shared" si="4"/>
        <v>▲ 單一設備依賴</v>
      </c>
      <c xmlns="http://schemas.openxmlformats.org/spreadsheetml/2006/main" r="W26" s="18" t="str">
        <f t="shared" si="5"/>
        <v>僅依賴1台設備，須確認故障/排修時之備援製程</v>
      </c>
      <c r="X26" s="22" t="s">
        <v>552</v>
      </c>
      <c r="Y26" s="22" t="s">
        <v>553</v>
      </c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745</v>
      </c>
      <c r="B27" s="22" t="s">
        <v>127</v>
      </c>
      <c r="C27" s="22" t="s">
        <v>548</v>
      </c>
      <c r="D27" s="22" t="s">
        <v>547</v>
      </c>
      <c r="E27" s="22" t="s">
        <v>551</v>
      </c>
      <c r="F27" s="23">
        <v>1</v>
      </c>
      <c r="G27" s="23" t="s">
        <v>77</v>
      </c>
      <c r="H27" s="24"/>
      <c r="I27" s="25"/>
      <c r="J27" s="25"/>
      <c r="K27" s="25" t="s">
        <v>76</v>
      </c>
      <c r="L27" s="25"/>
      <c r="M27" s="25"/>
      <c r="N27" s="25"/>
      <c r="O27" s="25"/>
      <c r="P27" s="25"/>
      <c r="Q27" s="25"/>
      <c r="R27" s="25"/>
      <c r="S27" s="25"/>
      <c r="T27" s="26"/>
      <c xmlns="http://schemas.openxmlformats.org/spreadsheetml/2006/main" r="U27" s="23">
        <f t="shared" si="3"/>
        <v>1.0</v>
      </c>
      <c xmlns="http://schemas.openxmlformats.org/spreadsheetml/2006/main" r="V27" s="22" t="str">
        <f t="shared" si="4"/>
        <v>▲ 單一設備依賴</v>
      </c>
      <c xmlns="http://schemas.openxmlformats.org/spreadsheetml/2006/main" r="W27" s="18" t="str">
        <f t="shared" si="5"/>
        <v>僅依賴1台設備，須確認故障/排修時之備援製程</v>
      </c>
      <c r="X27" s="22" t="s">
        <v>552</v>
      </c>
      <c r="Y27" s="22" t="s">
        <v>553</v>
      </c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747</v>
      </c>
      <c r="B28" s="22" t="s">
        <v>127</v>
      </c>
      <c r="C28" s="22" t="s">
        <v>325</v>
      </c>
      <c r="D28" s="22" t="s">
        <v>602</v>
      </c>
      <c r="E28" s="22" t="s">
        <v>594</v>
      </c>
      <c r="F28" s="23">
        <v>175</v>
      </c>
      <c r="G28" s="23" t="s">
        <v>75</v>
      </c>
      <c r="H28" s="24">
        <v>350</v>
      </c>
      <c r="I28" s="25"/>
      <c r="J28" s="25" t="s">
        <v>76</v>
      </c>
      <c r="K28" s="25"/>
      <c r="L28" s="25"/>
      <c r="M28" s="25"/>
      <c r="N28" s="25"/>
      <c r="O28" s="25"/>
      <c r="P28" s="25"/>
      <c r="Q28" s="25"/>
      <c r="R28" s="25"/>
      <c r="S28" s="25"/>
      <c r="T28" s="26"/>
      <c xmlns="http://schemas.openxmlformats.org/spreadsheetml/2006/main" r="U28" s="23">
        <f t="shared" si="3"/>
        <v>1.0</v>
      </c>
      <c xmlns="http://schemas.openxmlformats.org/spreadsheetml/2006/main" r="V28" s="22" t="str">
        <f t="shared" si="4"/>
        <v>▲ 單一設備依賴</v>
      </c>
      <c xmlns="http://schemas.openxmlformats.org/spreadsheetml/2006/main" r="W28" s="18" t="str">
        <f t="shared" si="5"/>
        <v>僅依賴1台設備，須確認故障/排修時之備援製程</v>
      </c>
      <c r="X28" s="22" t="s">
        <v>593</v>
      </c>
      <c r="Y28" s="22" t="s">
        <v>467</v>
      </c>
      <c xmlns="http://schemas.openxmlformats.org/spreadsheetml/2006/main" r="Z28">
        <f>IF($D28="",0,IF(COUNTIF($D$5:$D28,$D28)=1,1,0))</f>
        <v>1.0</v>
      </c>
      <c xmlns="http://schemas.openxmlformats.org/spreadsheetml/2006/main" r="AA28">
        <f>IF(Z28=1,SUM($Z$5:$Z28),"")</f>
        <v>6.0</v>
      </c>
    </row>
    <row r="29" spans="1:27">
      <c r="A29" s="22" t="s">
        <v>747</v>
      </c>
      <c r="B29" s="22" t="s">
        <v>127</v>
      </c>
      <c r="C29" s="22" t="s">
        <v>325</v>
      </c>
      <c r="D29" s="22" t="s">
        <v>602</v>
      </c>
      <c r="E29" s="22" t="s">
        <v>595</v>
      </c>
      <c r="F29" s="23">
        <v>20</v>
      </c>
      <c r="G29" s="23" t="s">
        <v>75</v>
      </c>
      <c r="H29" s="24">
        <v>52</v>
      </c>
      <c r="I29" s="25"/>
      <c r="J29" s="25"/>
      <c r="K29" s="25"/>
      <c r="L29" s="25"/>
      <c r="M29" s="25"/>
      <c r="N29" s="25"/>
      <c r="O29" s="25" t="s">
        <v>76</v>
      </c>
      <c r="P29" s="25"/>
      <c r="Q29" s="25"/>
      <c r="R29" s="25"/>
      <c r="S29" s="25"/>
      <c r="T29" s="26"/>
      <c xmlns="http://schemas.openxmlformats.org/spreadsheetml/2006/main" r="U29" s="23">
        <f t="shared" si="3"/>
        <v>1.0</v>
      </c>
      <c xmlns="http://schemas.openxmlformats.org/spreadsheetml/2006/main" r="V29" s="22" t="str">
        <f t="shared" si="4"/>
        <v>▲ 單一設備依賴</v>
      </c>
      <c xmlns="http://schemas.openxmlformats.org/spreadsheetml/2006/main" r="W29" s="18" t="str">
        <f t="shared" si="5"/>
        <v>僅依賴1台設備，須確認故障/排修時之備援製程</v>
      </c>
      <c r="X29" s="22" t="s">
        <v>593</v>
      </c>
      <c r="Y29" s="22" t="s">
        <v>467</v>
      </c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 t="s">
        <v>747</v>
      </c>
      <c r="B30" s="22" t="s">
        <v>127</v>
      </c>
      <c r="C30" s="22" t="s">
        <v>325</v>
      </c>
      <c r="D30" s="22" t="s">
        <v>602</v>
      </c>
      <c r="E30" s="22" t="s">
        <v>596</v>
      </c>
      <c r="F30" s="23">
        <v>25</v>
      </c>
      <c r="G30" s="23" t="s">
        <v>75</v>
      </c>
      <c r="H30" s="24">
        <v>68</v>
      </c>
      <c r="I30" s="25"/>
      <c r="J30" s="25"/>
      <c r="K30" s="25"/>
      <c r="L30" s="25"/>
      <c r="M30" s="25"/>
      <c r="N30" s="25"/>
      <c r="O30" s="25" t="s">
        <v>76</v>
      </c>
      <c r="P30" s="25"/>
      <c r="Q30" s="25"/>
      <c r="R30" s="25"/>
      <c r="S30" s="25"/>
      <c r="T30" s="26"/>
      <c xmlns="http://schemas.openxmlformats.org/spreadsheetml/2006/main" r="U30" s="23">
        <f t="shared" si="3"/>
        <v>1.0</v>
      </c>
      <c xmlns="http://schemas.openxmlformats.org/spreadsheetml/2006/main" r="V30" s="22" t="str">
        <f t="shared" si="4"/>
        <v>▲ 單一設備依賴</v>
      </c>
      <c xmlns="http://schemas.openxmlformats.org/spreadsheetml/2006/main" r="W30" s="18" t="str">
        <f t="shared" si="5"/>
        <v>僅依賴1台設備，須確認故障/排修時之備援製程</v>
      </c>
      <c r="X30" s="22" t="s">
        <v>593</v>
      </c>
      <c r="Y30" s="22" t="s">
        <v>467</v>
      </c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747</v>
      </c>
      <c r="B31" s="22" t="s">
        <v>127</v>
      </c>
      <c r="C31" s="22" t="s">
        <v>325</v>
      </c>
      <c r="D31" s="22" t="s">
        <v>602</v>
      </c>
      <c r="E31" s="22" t="s">
        <v>597</v>
      </c>
      <c r="F31" s="23">
        <v>28</v>
      </c>
      <c r="G31" s="23" t="s">
        <v>75</v>
      </c>
      <c r="H31" s="24">
        <v>47</v>
      </c>
      <c r="I31" s="25"/>
      <c r="J31" s="25"/>
      <c r="K31" s="25"/>
      <c r="L31" s="25"/>
      <c r="M31" s="25"/>
      <c r="N31" s="25"/>
      <c r="O31" s="25" t="s">
        <v>76</v>
      </c>
      <c r="P31" s="25"/>
      <c r="Q31" s="25"/>
      <c r="R31" s="25"/>
      <c r="S31" s="25"/>
      <c r="T31" s="26"/>
      <c xmlns="http://schemas.openxmlformats.org/spreadsheetml/2006/main" r="U31" s="23">
        <f t="shared" si="3"/>
        <v>1.0</v>
      </c>
      <c xmlns="http://schemas.openxmlformats.org/spreadsheetml/2006/main" r="V31" s="22" t="str">
        <f t="shared" si="4"/>
        <v>▲ 單一設備依賴</v>
      </c>
      <c xmlns="http://schemas.openxmlformats.org/spreadsheetml/2006/main" r="W31" s="18" t="str">
        <f t="shared" si="5"/>
        <v>僅依賴1台設備，須確認故障/排修時之備援製程</v>
      </c>
      <c r="X31" s="22" t="s">
        <v>593</v>
      </c>
      <c r="Y31" s="22" t="s">
        <v>467</v>
      </c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747</v>
      </c>
      <c r="B32" s="22" t="s">
        <v>127</v>
      </c>
      <c r="C32" s="22" t="s">
        <v>325</v>
      </c>
      <c r="D32" s="22" t="s">
        <v>602</v>
      </c>
      <c r="E32" s="22" t="s">
        <v>598</v>
      </c>
      <c r="F32" s="23">
        <v>10</v>
      </c>
      <c r="G32" s="23" t="s">
        <v>75</v>
      </c>
      <c r="H32" s="24">
        <v>51</v>
      </c>
      <c r="I32" s="25"/>
      <c r="J32" s="25"/>
      <c r="K32" s="25"/>
      <c r="L32" s="25"/>
      <c r="M32" s="25"/>
      <c r="N32" s="25"/>
      <c r="O32" s="25" t="s">
        <v>76</v>
      </c>
      <c r="P32" s="25"/>
      <c r="Q32" s="25"/>
      <c r="R32" s="25"/>
      <c r="S32" s="25"/>
      <c r="T32" s="26"/>
      <c xmlns="http://schemas.openxmlformats.org/spreadsheetml/2006/main" r="U32" s="23">
        <f t="shared" si="3"/>
        <v>1.0</v>
      </c>
      <c xmlns="http://schemas.openxmlformats.org/spreadsheetml/2006/main" r="V32" s="22" t="str">
        <f t="shared" si="4"/>
        <v>▲ 單一設備依賴</v>
      </c>
      <c xmlns="http://schemas.openxmlformats.org/spreadsheetml/2006/main" r="W32" s="18" t="str">
        <f t="shared" si="5"/>
        <v>僅依賴1台設備，須確認故障/排修時之備援製程</v>
      </c>
      <c r="X32" s="22" t="s">
        <v>593</v>
      </c>
      <c r="Y32" s="22" t="s">
        <v>467</v>
      </c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747</v>
      </c>
      <c r="B33" s="22" t="s">
        <v>127</v>
      </c>
      <c r="C33" s="22" t="s">
        <v>325</v>
      </c>
      <c r="D33" s="22" t="s">
        <v>602</v>
      </c>
      <c r="E33" s="22" t="s">
        <v>599</v>
      </c>
      <c r="F33" s="23">
        <v>15</v>
      </c>
      <c r="G33" s="23" t="s">
        <v>75</v>
      </c>
      <c r="H33" s="24">
        <v>53</v>
      </c>
      <c r="I33" s="25"/>
      <c r="J33" s="25"/>
      <c r="K33" s="25"/>
      <c r="L33" s="25"/>
      <c r="M33" s="25"/>
      <c r="N33" s="25"/>
      <c r="O33" s="25" t="s">
        <v>76</v>
      </c>
      <c r="P33" s="25"/>
      <c r="Q33" s="25"/>
      <c r="R33" s="25"/>
      <c r="S33" s="25"/>
      <c r="T33" s="26"/>
      <c xmlns="http://schemas.openxmlformats.org/spreadsheetml/2006/main" r="U33" s="23">
        <f t="shared" si="3"/>
        <v>1.0</v>
      </c>
      <c xmlns="http://schemas.openxmlformats.org/spreadsheetml/2006/main" r="V33" s="22" t="str">
        <f t="shared" si="4"/>
        <v>▲ 單一設備依賴</v>
      </c>
      <c xmlns="http://schemas.openxmlformats.org/spreadsheetml/2006/main" r="W33" s="18" t="str">
        <f t="shared" si="5"/>
        <v>僅依賴1台設備，須確認故障/排修時之備援製程</v>
      </c>
      <c r="X33" s="22" t="s">
        <v>593</v>
      </c>
      <c r="Y33" s="22" t="s">
        <v>467</v>
      </c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 t="s">
        <v>747</v>
      </c>
      <c r="B34" s="22" t="s">
        <v>127</v>
      </c>
      <c r="C34" s="22" t="s">
        <v>325</v>
      </c>
      <c r="D34" s="22" t="s">
        <v>602</v>
      </c>
      <c r="E34" s="22" t="s">
        <v>600</v>
      </c>
      <c r="F34" s="23">
        <v>1</v>
      </c>
      <c r="G34" s="23" t="s">
        <v>77</v>
      </c>
      <c r="H34" s="24">
        <v>100</v>
      </c>
      <c r="I34" s="25"/>
      <c r="J34" s="25"/>
      <c r="K34" s="25"/>
      <c r="L34" s="25"/>
      <c r="M34" s="25"/>
      <c r="N34" s="25"/>
      <c r="O34" s="25" t="s">
        <v>76</v>
      </c>
      <c r="P34" s="25"/>
      <c r="Q34" s="25"/>
      <c r="R34" s="25"/>
      <c r="S34" s="25"/>
      <c r="T34" s="26"/>
      <c xmlns="http://schemas.openxmlformats.org/spreadsheetml/2006/main" r="U34" s="23">
        <f t="shared" si="3"/>
        <v>1.0</v>
      </c>
      <c xmlns="http://schemas.openxmlformats.org/spreadsheetml/2006/main" r="V34" s="22" t="str">
        <f t="shared" si="4"/>
        <v>▲ 單一設備依賴</v>
      </c>
      <c xmlns="http://schemas.openxmlformats.org/spreadsheetml/2006/main" r="W34" s="18" t="str">
        <f t="shared" si="5"/>
        <v>僅依賴1台設備，須確認故障/排修時之備援製程</v>
      </c>
      <c r="X34" s="22" t="s">
        <v>593</v>
      </c>
      <c r="Y34" s="22" t="s">
        <v>467</v>
      </c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747</v>
      </c>
      <c r="B35" s="22" t="s">
        <v>127</v>
      </c>
      <c r="C35" s="22" t="s">
        <v>325</v>
      </c>
      <c r="D35" s="22" t="s">
        <v>602</v>
      </c>
      <c r="E35" s="22" t="s">
        <v>601</v>
      </c>
      <c r="F35" s="23">
        <v>250</v>
      </c>
      <c r="G35" s="23" t="s">
        <v>75</v>
      </c>
      <c r="H35" s="24">
        <v>47</v>
      </c>
      <c r="I35" s="25"/>
      <c r="J35" s="25"/>
      <c r="K35" s="25"/>
      <c r="L35" s="25"/>
      <c r="M35" s="25"/>
      <c r="N35" s="25"/>
      <c r="O35" s="25" t="s">
        <v>76</v>
      </c>
      <c r="P35" s="25"/>
      <c r="Q35" s="25"/>
      <c r="R35" s="25"/>
      <c r="S35" s="25"/>
      <c r="T35" s="26"/>
      <c xmlns="http://schemas.openxmlformats.org/spreadsheetml/2006/main" r="U35" s="23">
        <f t="shared" si="3"/>
        <v>1.0</v>
      </c>
      <c xmlns="http://schemas.openxmlformats.org/spreadsheetml/2006/main" r="V35" s="22" t="str">
        <f t="shared" si="4"/>
        <v>▲ 單一設備依賴</v>
      </c>
      <c xmlns="http://schemas.openxmlformats.org/spreadsheetml/2006/main" r="W35" s="18" t="str">
        <f t="shared" si="5"/>
        <v>僅依賴1台設備，須確認故障/排修時之備援製程</v>
      </c>
      <c r="X35" s="22" t="s">
        <v>593</v>
      </c>
      <c r="Y35" s="22" t="s">
        <v>467</v>
      </c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 t="s">
        <v>747</v>
      </c>
      <c r="B36" s="22" t="s">
        <v>127</v>
      </c>
      <c r="C36" s="22" t="s">
        <v>668</v>
      </c>
      <c r="D36" s="58" t="s">
        <v>669</v>
      </c>
      <c r="E36" s="22" t="s">
        <v>670</v>
      </c>
      <c r="F36" s="23">
        <v>130</v>
      </c>
      <c r="G36" s="23" t="s">
        <v>75</v>
      </c>
      <c r="H36" s="24">
        <v>170</v>
      </c>
      <c r="I36" s="25"/>
      <c r="J36" s="25" t="s">
        <v>76</v>
      </c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>
        <f t="shared" si="3"/>
        <v>1.0</v>
      </c>
      <c xmlns="http://schemas.openxmlformats.org/spreadsheetml/2006/main" r="V36" s="22" t="str">
        <f t="shared" si="4"/>
        <v>▲ 單一設備依賴</v>
      </c>
      <c xmlns="http://schemas.openxmlformats.org/spreadsheetml/2006/main" r="W36" s="18" t="str">
        <f t="shared" si="5"/>
        <v>僅依賴1台設備，須確認故障/排修時之備援製程</v>
      </c>
      <c r="X36" s="22" t="s">
        <v>671</v>
      </c>
      <c r="Y36" s="22" t="s">
        <v>514</v>
      </c>
      <c xmlns="http://schemas.openxmlformats.org/spreadsheetml/2006/main" r="Z36">
        <f>IF($D36="",0,IF(COUNTIF($D$5:$D36,$D36)=1,1,0))</f>
        <v>1.0</v>
      </c>
      <c xmlns="http://schemas.openxmlformats.org/spreadsheetml/2006/main" r="AA36">
        <f>IF(Z36=1,SUM($Z$5:$Z36),"")</f>
        <v>7.0</v>
      </c>
    </row>
    <row r="37" spans="1:27">
      <c r="A37" s="22" t="s">
        <v>747</v>
      </c>
      <c r="B37" s="22" t="s">
        <v>127</v>
      </c>
      <c r="C37" s="22" t="s">
        <v>668</v>
      </c>
      <c r="D37" s="58" t="s">
        <v>669</v>
      </c>
      <c r="E37" s="22" t="s">
        <v>672</v>
      </c>
      <c r="F37" s="23">
        <v>25</v>
      </c>
      <c r="G37" s="23" t="s">
        <v>75</v>
      </c>
      <c r="H37" s="24">
        <v>59</v>
      </c>
      <c r="I37" s="25"/>
      <c r="J37" s="25"/>
      <c r="K37" s="25"/>
      <c r="L37" s="25"/>
      <c r="M37" s="25"/>
      <c r="N37" s="25"/>
      <c r="O37" s="25" t="s">
        <v>76</v>
      </c>
      <c r="P37" s="25"/>
      <c r="Q37" s="25"/>
      <c r="R37" s="25"/>
      <c r="S37" s="25"/>
      <c r="T37" s="26"/>
      <c xmlns="http://schemas.openxmlformats.org/spreadsheetml/2006/main" r="U37" s="23">
        <f t="shared" si="3"/>
        <v>1.0</v>
      </c>
      <c xmlns="http://schemas.openxmlformats.org/spreadsheetml/2006/main" r="V37" s="22" t="str">
        <f t="shared" si="4"/>
        <v>▲ 單一設備依賴</v>
      </c>
      <c xmlns="http://schemas.openxmlformats.org/spreadsheetml/2006/main" r="W37" s="18" t="str">
        <f t="shared" si="5"/>
        <v>僅依賴1台設備，須確認故障/排修時之備援製程</v>
      </c>
      <c r="X37" s="22" t="s">
        <v>671</v>
      </c>
      <c r="Y37" s="22" t="s">
        <v>514</v>
      </c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747</v>
      </c>
      <c r="B38" s="22" t="s">
        <v>127</v>
      </c>
      <c r="C38" s="22" t="s">
        <v>668</v>
      </c>
      <c r="D38" s="58" t="s">
        <v>669</v>
      </c>
      <c r="E38" s="22" t="s">
        <v>673</v>
      </c>
      <c r="F38" s="23">
        <v>3</v>
      </c>
      <c r="G38" s="23" t="s">
        <v>77</v>
      </c>
      <c r="H38" s="24">
        <v>400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">
        <v>76</v>
      </c>
      <c xmlns="http://schemas.openxmlformats.org/spreadsheetml/2006/main" r="U38" s="23">
        <f t="shared" si="3"/>
        <v>0.0</v>
      </c>
      <c xmlns="http://schemas.openxmlformats.org/spreadsheetml/2006/main" r="V38" s="22" t="str">
        <f t="shared" si="4"/>
        <v>○ 免調理</v>
      </c>
      <c xmlns="http://schemas.openxmlformats.org/spreadsheetml/2006/main" r="W38" s="18" t="str">
        <f t="shared" si="5"/>
        <v>免調理半成品（外購/僅切配等），不列入設備風險評估</v>
      </c>
      <c r="X38" s="22" t="s">
        <v>671</v>
      </c>
      <c r="Y38" s="22" t="s">
        <v>514</v>
      </c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747</v>
      </c>
      <c r="B39" s="22" t="s">
        <v>127</v>
      </c>
      <c r="C39" s="22" t="s">
        <v>668</v>
      </c>
      <c r="D39" s="58" t="s">
        <v>669</v>
      </c>
      <c r="E39" s="22" t="s">
        <v>674</v>
      </c>
      <c r="F39" s="23">
        <v>2</v>
      </c>
      <c r="G39" s="23" t="s">
        <v>77</v>
      </c>
      <c r="H39" s="24">
        <v>800</v>
      </c>
      <c r="I39" s="25"/>
      <c r="J39" s="25"/>
      <c r="K39" s="25"/>
      <c r="L39" s="25"/>
      <c r="M39" s="25" t="s">
        <v>76</v>
      </c>
      <c r="N39" s="25"/>
      <c r="O39" s="25"/>
      <c r="P39" s="25"/>
      <c r="Q39" s="25"/>
      <c r="R39" s="25"/>
      <c r="S39" s="25"/>
      <c r="T39" s="26"/>
      <c xmlns="http://schemas.openxmlformats.org/spreadsheetml/2006/main" r="U39" s="23">
        <f t="shared" si="3"/>
        <v>1.0</v>
      </c>
      <c xmlns="http://schemas.openxmlformats.org/spreadsheetml/2006/main" r="V39" s="22" t="str">
        <f t="shared" si="4"/>
        <v>▲ 單一設備依賴</v>
      </c>
      <c xmlns="http://schemas.openxmlformats.org/spreadsheetml/2006/main" r="W39" s="18" t="str">
        <f t="shared" si="5"/>
        <v>僅依賴1台設備，須確認故障/排修時之備援製程</v>
      </c>
      <c r="X39" s="22" t="s">
        <v>671</v>
      </c>
      <c r="Y39" s="22" t="s">
        <v>514</v>
      </c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747</v>
      </c>
      <c r="B40" s="22" t="s">
        <v>127</v>
      </c>
      <c r="C40" s="22" t="s">
        <v>668</v>
      </c>
      <c r="D40" s="58" t="s">
        <v>669</v>
      </c>
      <c r="E40" s="22" t="s">
        <v>675</v>
      </c>
      <c r="F40" s="23">
        <v>3</v>
      </c>
      <c r="G40" s="23" t="s">
        <v>77</v>
      </c>
      <c r="H40" s="24">
        <v>94</v>
      </c>
      <c r="I40" s="25"/>
      <c r="J40" s="25"/>
      <c r="K40" s="25"/>
      <c r="L40" s="25"/>
      <c r="M40" s="25" t="s">
        <v>76</v>
      </c>
      <c r="N40" s="25"/>
      <c r="O40" s="25" t="s">
        <v>76</v>
      </c>
      <c r="P40" s="25"/>
      <c r="Q40" s="25"/>
      <c r="R40" s="25"/>
      <c r="S40" s="25"/>
      <c r="T40" s="26"/>
      <c xmlns="http://schemas.openxmlformats.org/spreadsheetml/2006/main" r="U40" s="23">
        <f t="shared" si="3"/>
        <v>2.0</v>
      </c>
      <c xmlns="http://schemas.openxmlformats.org/spreadsheetml/2006/main" r="V40" s="22" t="str">
        <f t="shared" si="4"/>
        <v>OK</v>
      </c>
      <c xmlns="http://schemas.openxmlformats.org/spreadsheetml/2006/main" r="W40" s="18" t="str">
        <f t="shared" si="5"/>
        <v>無異常</v>
      </c>
      <c r="X40" s="22" t="s">
        <v>671</v>
      </c>
      <c r="Y40" s="22" t="s">
        <v>514</v>
      </c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 t="s">
        <v>747</v>
      </c>
      <c r="B41" s="22" t="s">
        <v>127</v>
      </c>
      <c r="C41" s="22" t="s">
        <v>668</v>
      </c>
      <c r="D41" s="58" t="s">
        <v>669</v>
      </c>
      <c r="E41" s="22" t="s">
        <v>676</v>
      </c>
      <c r="F41" s="23">
        <v>1</v>
      </c>
      <c r="G41" s="23" t="s">
        <v>77</v>
      </c>
      <c r="H41" s="24">
        <v>100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 t="s">
        <v>76</v>
      </c>
      <c xmlns="http://schemas.openxmlformats.org/spreadsheetml/2006/main" r="U41" s="23">
        <f t="shared" si="3"/>
        <v>0.0</v>
      </c>
      <c xmlns="http://schemas.openxmlformats.org/spreadsheetml/2006/main" r="V41" s="22" t="str">
        <f t="shared" si="4"/>
        <v>○ 免調理</v>
      </c>
      <c xmlns="http://schemas.openxmlformats.org/spreadsheetml/2006/main" r="W41" s="18" t="str">
        <f t="shared" si="5"/>
        <v>免調理半成品（外購/僅切配等），不列入設備風險評估</v>
      </c>
      <c r="X41" s="22" t="s">
        <v>671</v>
      </c>
      <c r="Y41" s="22" t="s">
        <v>514</v>
      </c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747</v>
      </c>
      <c r="B42" s="22" t="s">
        <v>127</v>
      </c>
      <c r="C42" s="22" t="s">
        <v>668</v>
      </c>
      <c r="D42" s="58" t="s">
        <v>669</v>
      </c>
      <c r="E42" s="22" t="s">
        <v>677</v>
      </c>
      <c r="F42" s="23">
        <v>230</v>
      </c>
      <c r="G42" s="23" t="s">
        <v>75</v>
      </c>
      <c r="H42" s="24">
        <v>61</v>
      </c>
      <c r="I42" s="25"/>
      <c r="J42" s="25"/>
      <c r="K42" s="25"/>
      <c r="L42" s="25"/>
      <c r="M42" s="25"/>
      <c r="N42" s="25"/>
      <c r="O42" s="25" t="s">
        <v>76</v>
      </c>
      <c r="P42" s="25"/>
      <c r="Q42" s="25"/>
      <c r="R42" s="25"/>
      <c r="S42" s="25"/>
      <c r="T42" s="26"/>
      <c xmlns="http://schemas.openxmlformats.org/spreadsheetml/2006/main" r="U42" s="23">
        <f t="shared" si="3"/>
        <v>1.0</v>
      </c>
      <c xmlns="http://schemas.openxmlformats.org/spreadsheetml/2006/main" r="V42" s="22" t="str">
        <f t="shared" si="4"/>
        <v>▲ 單一設備依賴</v>
      </c>
      <c xmlns="http://schemas.openxmlformats.org/spreadsheetml/2006/main" r="W42" s="18" t="str">
        <f t="shared" si="5"/>
        <v>僅依賴1台設備，須確認故障/排修時之備援製程</v>
      </c>
      <c r="X42" s="22" t="s">
        <v>671</v>
      </c>
      <c r="Y42" s="22" t="s">
        <v>514</v>
      </c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747</v>
      </c>
      <c r="B43" s="22" t="s">
        <v>127</v>
      </c>
      <c r="C43" s="22" t="s">
        <v>761</v>
      </c>
      <c r="D43" s="22" t="s">
        <v>760</v>
      </c>
      <c r="E43" s="22" t="s">
        <v>756</v>
      </c>
      <c r="F43" s="23">
        <v>20</v>
      </c>
      <c r="G43" s="23" t="s">
        <v>75</v>
      </c>
      <c r="H43" s="24" t="s">
        <v>762</v>
      </c>
      <c r="I43" s="25"/>
      <c r="J43" s="25"/>
      <c r="K43" s="25"/>
      <c r="L43" s="25"/>
      <c r="M43" s="25"/>
      <c r="N43" s="25"/>
      <c r="O43" s="25" t="s">
        <v>76</v>
      </c>
      <c r="P43" s="25"/>
      <c r="Q43" s="25"/>
      <c r="R43" s="25"/>
      <c r="S43" s="25"/>
      <c r="T43" s="26"/>
      <c xmlns="http://schemas.openxmlformats.org/spreadsheetml/2006/main" r="U43" s="23">
        <f t="shared" si="3"/>
        <v>1.0</v>
      </c>
      <c xmlns="http://schemas.openxmlformats.org/spreadsheetml/2006/main" r="V43" s="22" t="str">
        <f t="shared" si="4"/>
        <v>▲ 單一設備依賴</v>
      </c>
      <c xmlns="http://schemas.openxmlformats.org/spreadsheetml/2006/main" r="W43" s="18" t="str">
        <f t="shared" si="5"/>
        <v>僅依賴1台設備，須確認故障/排修時之備援製程</v>
      </c>
      <c r="X43" s="22" t="s">
        <v>763</v>
      </c>
      <c r="Y43" s="22" t="s">
        <v>514</v>
      </c>
      <c xmlns="http://schemas.openxmlformats.org/spreadsheetml/2006/main" r="Z43">
        <f>IF($D43="",0,IF(COUNTIF($D$5:$D43,$D43)=1,1,0))</f>
        <v>1.0</v>
      </c>
      <c xmlns="http://schemas.openxmlformats.org/spreadsheetml/2006/main" r="AA43">
        <f>IF(Z43=1,SUM($Z$5:$Z43),"")</f>
        <v>8.0</v>
      </c>
    </row>
    <row r="44" spans="1:27">
      <c r="A44" s="22" t="s">
        <v>747</v>
      </c>
      <c r="B44" s="22" t="s">
        <v>127</v>
      </c>
      <c r="C44" s="22" t="s">
        <v>761</v>
      </c>
      <c r="D44" s="22" t="s">
        <v>760</v>
      </c>
      <c r="E44" s="22" t="s">
        <v>757</v>
      </c>
      <c r="F44" s="23">
        <v>25</v>
      </c>
      <c r="G44" s="23" t="s">
        <v>75</v>
      </c>
      <c r="H44" s="24" t="s">
        <v>762</v>
      </c>
      <c r="I44" s="25"/>
      <c r="J44" s="25"/>
      <c r="K44" s="25"/>
      <c r="L44" s="25"/>
      <c r="M44" s="25"/>
      <c r="N44" s="25"/>
      <c r="O44" s="25" t="s">
        <v>76</v>
      </c>
      <c r="P44" s="25"/>
      <c r="Q44" s="25"/>
      <c r="R44" s="25"/>
      <c r="S44" s="25"/>
      <c r="T44" s="26"/>
      <c xmlns="http://schemas.openxmlformats.org/spreadsheetml/2006/main" r="U44" s="23">
        <f t="shared" si="3"/>
        <v>1.0</v>
      </c>
      <c xmlns="http://schemas.openxmlformats.org/spreadsheetml/2006/main" r="V44" s="22" t="str">
        <f t="shared" si="4"/>
        <v>▲ 單一設備依賴</v>
      </c>
      <c xmlns="http://schemas.openxmlformats.org/spreadsheetml/2006/main" r="W44" s="18" t="str">
        <f t="shared" si="5"/>
        <v>僅依賴1台設備，須確認故障/排修時之備援製程</v>
      </c>
      <c r="X44" s="22" t="s">
        <v>763</v>
      </c>
      <c r="Y44" s="22" t="s">
        <v>514</v>
      </c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 t="s">
        <v>747</v>
      </c>
      <c r="B45" s="22" t="s">
        <v>127</v>
      </c>
      <c r="C45" s="22" t="s">
        <v>761</v>
      </c>
      <c r="D45" s="22" t="s">
        <v>760</v>
      </c>
      <c r="E45" s="22" t="s">
        <v>758</v>
      </c>
      <c r="F45" s="23">
        <v>25</v>
      </c>
      <c r="G45" s="23" t="s">
        <v>75</v>
      </c>
      <c r="H45" s="24" t="s">
        <v>762</v>
      </c>
      <c r="I45" s="25"/>
      <c r="J45" s="25"/>
      <c r="K45" s="25"/>
      <c r="L45" s="25"/>
      <c r="M45" s="25"/>
      <c r="N45" s="25"/>
      <c r="O45" s="25" t="s">
        <v>76</v>
      </c>
      <c r="P45" s="25"/>
      <c r="Q45" s="25"/>
      <c r="R45" s="25"/>
      <c r="S45" s="25"/>
      <c r="T45" s="26"/>
      <c xmlns="http://schemas.openxmlformats.org/spreadsheetml/2006/main" r="U45" s="23">
        <f t="shared" si="3"/>
        <v>1.0</v>
      </c>
      <c xmlns="http://schemas.openxmlformats.org/spreadsheetml/2006/main" r="V45" s="22" t="str">
        <f t="shared" si="4"/>
        <v>▲ 單一設備依賴</v>
      </c>
      <c xmlns="http://schemas.openxmlformats.org/spreadsheetml/2006/main" r="W45" s="18" t="str">
        <f t="shared" si="5"/>
        <v>僅依賴1台設備，須確認故障/排修時之備援製程</v>
      </c>
      <c r="X45" s="22" t="s">
        <v>763</v>
      </c>
      <c r="Y45" s="22" t="s">
        <v>514</v>
      </c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747</v>
      </c>
      <c r="B46" s="22" t="s">
        <v>127</v>
      </c>
      <c r="C46" s="22" t="s">
        <v>761</v>
      </c>
      <c r="D46" s="22" t="s">
        <v>760</v>
      </c>
      <c r="E46" s="22" t="s">
        <v>759</v>
      </c>
      <c r="F46" s="23">
        <v>25</v>
      </c>
      <c r="G46" s="23" t="s">
        <v>75</v>
      </c>
      <c r="H46" s="24" t="s">
        <v>762</v>
      </c>
      <c r="I46" s="25"/>
      <c r="J46" s="25"/>
      <c r="K46" s="25" t="s">
        <v>76</v>
      </c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>
        <f t="shared" si="3"/>
        <v>1.0</v>
      </c>
      <c xmlns="http://schemas.openxmlformats.org/spreadsheetml/2006/main" r="V46" s="22" t="str">
        <f t="shared" si="4"/>
        <v>▲ 單一設備依賴</v>
      </c>
      <c xmlns="http://schemas.openxmlformats.org/spreadsheetml/2006/main" r="W46" s="18" t="str">
        <f t="shared" si="5"/>
        <v>僅依賴1台設備，須確認故障/排修時之備援製程</v>
      </c>
      <c r="X46" s="22" t="s">
        <v>763</v>
      </c>
      <c r="Y46" s="22" t="s">
        <v>514</v>
      </c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xmlns="http://schemas.openxmlformats.org/spreadsheetml/2006/main" r="U47" s="23" t="str">
        <f t="shared" si="3"/>
        <v/>
      </c>
      <c xmlns="http://schemas.openxmlformats.org/spreadsheetml/2006/main" r="V47" s="22" t="str">
        <f t="shared" si="4"/>
        <v/>
      </c>
      <c xmlns="http://schemas.openxmlformats.org/spreadsheetml/2006/main" r="W47" s="18" t="str">
        <f t="shared" si="5"/>
        <v/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 t="str">
        <f t="shared" si="3"/>
        <v/>
      </c>
      <c xmlns="http://schemas.openxmlformats.org/spreadsheetml/2006/main" r="V48" s="22" t="str">
        <f t="shared" si="4"/>
        <v/>
      </c>
      <c xmlns="http://schemas.openxmlformats.org/spreadsheetml/2006/main" r="W48" s="18" t="str">
        <f t="shared" si="5"/>
        <v/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 t="str">
        <f t="shared" si="3"/>
        <v/>
      </c>
      <c xmlns="http://schemas.openxmlformats.org/spreadsheetml/2006/main" r="V49" s="22" t="str">
        <f t="shared" si="4"/>
        <v/>
      </c>
      <c xmlns="http://schemas.openxmlformats.org/spreadsheetml/2006/main" r="W49" s="18" t="str">
        <f t="shared" si="5"/>
        <v/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 t="str">
        <f t="shared" si="3"/>
        <v/>
      </c>
      <c xmlns="http://schemas.openxmlformats.org/spreadsheetml/2006/main" r="V50" s="22" t="str">
        <f t="shared" si="4"/>
        <v/>
      </c>
      <c xmlns="http://schemas.openxmlformats.org/spreadsheetml/2006/main" r="W50" s="18" t="str">
        <f t="shared" si="5"/>
        <v/>
      </c>
      <c r="X50" s="22"/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 t="str">
        <f t="shared" si="3"/>
        <v/>
      </c>
      <c xmlns="http://schemas.openxmlformats.org/spreadsheetml/2006/main" r="V51" s="22" t="str">
        <f t="shared" si="4"/>
        <v/>
      </c>
      <c xmlns="http://schemas.openxmlformats.org/spreadsheetml/2006/main" r="W51" s="18" t="str">
        <f t="shared" si="5"/>
        <v/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xmlns="http://schemas.openxmlformats.org/spreadsheetml/2006/main" r="U52" s="23" t="str">
        <f t="shared" si="3"/>
        <v/>
      </c>
      <c xmlns="http://schemas.openxmlformats.org/spreadsheetml/2006/main" r="V52" s="22" t="str">
        <f t="shared" si="4"/>
        <v/>
      </c>
      <c xmlns="http://schemas.openxmlformats.org/spreadsheetml/2006/main" r="W52" s="18" t="str">
        <f t="shared" si="5"/>
        <v/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 t="str">
        <f t="shared" si="3"/>
        <v/>
      </c>
      <c xmlns="http://schemas.openxmlformats.org/spreadsheetml/2006/main" r="V53" s="22" t="str">
        <f t="shared" si="4"/>
        <v/>
      </c>
      <c xmlns="http://schemas.openxmlformats.org/spreadsheetml/2006/main" r="W53" s="18" t="str">
        <f t="shared" si="5"/>
        <v/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 t="str">
        <f t="shared" si="3"/>
        <v/>
      </c>
      <c xmlns="http://schemas.openxmlformats.org/spreadsheetml/2006/main" r="V54" s="22" t="str">
        <f t="shared" si="4"/>
        <v/>
      </c>
      <c xmlns="http://schemas.openxmlformats.org/spreadsheetml/2006/main" r="W54" s="18" t="str">
        <f t="shared" si="5"/>
        <v/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 t="str">
        <f t="shared" si="3"/>
        <v/>
      </c>
      <c xmlns="http://schemas.openxmlformats.org/spreadsheetml/2006/main" r="V55" s="22" t="str">
        <f t="shared" si="4"/>
        <v/>
      </c>
      <c xmlns="http://schemas.openxmlformats.org/spreadsheetml/2006/main" r="W55" s="18" t="str">
        <f t="shared" si="5"/>
        <v/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 t="str">
        <f t="shared" si="3"/>
        <v/>
      </c>
      <c xmlns="http://schemas.openxmlformats.org/spreadsheetml/2006/main" r="V56" s="22" t="str">
        <f t="shared" si="4"/>
        <v/>
      </c>
      <c xmlns="http://schemas.openxmlformats.org/spreadsheetml/2006/main" r="W56" s="18" t="str">
        <f t="shared" si="5"/>
        <v/>
      </c>
      <c r="X56" s="22"/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 t="str">
        <f t="shared" si="3"/>
        <v/>
      </c>
      <c xmlns="http://schemas.openxmlformats.org/spreadsheetml/2006/main" r="V57" s="22" t="str">
        <f t="shared" si="4"/>
        <v/>
      </c>
      <c xmlns="http://schemas.openxmlformats.org/spreadsheetml/2006/main" r="W57" s="18" t="str">
        <f t="shared" si="5"/>
        <v/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 t="str">
        <f t="shared" si="3"/>
        <v/>
      </c>
      <c xmlns="http://schemas.openxmlformats.org/spreadsheetml/2006/main" r="V58" s="22" t="str">
        <f t="shared" si="4"/>
        <v/>
      </c>
      <c xmlns="http://schemas.openxmlformats.org/spreadsheetml/2006/main" r="W58" s="18" t="str">
        <f t="shared" si="5"/>
        <v/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 t="str">
        <f t="shared" si="3"/>
        <v/>
      </c>
      <c xmlns="http://schemas.openxmlformats.org/spreadsheetml/2006/main" r="V59" s="22" t="str">
        <f t="shared" si="4"/>
        <v/>
      </c>
      <c xmlns="http://schemas.openxmlformats.org/spreadsheetml/2006/main" r="W59" s="18" t="str">
        <f t="shared" si="5"/>
        <v/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 t="str">
        <f t="shared" si="3"/>
        <v/>
      </c>
      <c xmlns="http://schemas.openxmlformats.org/spreadsheetml/2006/main" r="V60" s="22" t="str">
        <f t="shared" si="4"/>
        <v/>
      </c>
      <c xmlns="http://schemas.openxmlformats.org/spreadsheetml/2006/main" r="W60" s="18" t="str">
        <f t="shared" si="5"/>
        <v/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 t="str">
        <f t="shared" si="3"/>
        <v/>
      </c>
      <c xmlns="http://schemas.openxmlformats.org/spreadsheetml/2006/main" r="V61" s="22" t="str">
        <f t="shared" si="4"/>
        <v/>
      </c>
      <c xmlns="http://schemas.openxmlformats.org/spreadsheetml/2006/main" r="W61" s="18" t="str">
        <f t="shared" si="5"/>
        <v/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 t="str">
        <f t="shared" si="3"/>
        <v/>
      </c>
      <c xmlns="http://schemas.openxmlformats.org/spreadsheetml/2006/main" r="V62" s="22" t="str">
        <f t="shared" si="4"/>
        <v/>
      </c>
      <c xmlns="http://schemas.openxmlformats.org/spreadsheetml/2006/main" r="W62" s="18" t="str">
        <f t="shared" si="5"/>
        <v/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 t="str">
        <f t="shared" si="3"/>
        <v/>
      </c>
      <c xmlns="http://schemas.openxmlformats.org/spreadsheetml/2006/main" r="V63" s="22" t="str">
        <f t="shared" si="4"/>
        <v/>
      </c>
      <c xmlns="http://schemas.openxmlformats.org/spreadsheetml/2006/main" r="W63" s="18" t="str">
        <f t="shared" si="5"/>
        <v/>
      </c>
      <c r="X63" s="22"/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 t="str">
        <f t="shared" si="3"/>
        <v/>
      </c>
      <c xmlns="http://schemas.openxmlformats.org/spreadsheetml/2006/main" r="V64" s="22" t="str">
        <f t="shared" si="4"/>
        <v/>
      </c>
      <c xmlns="http://schemas.openxmlformats.org/spreadsheetml/2006/main" r="W64" s="18" t="str">
        <f t="shared" si="5"/>
        <v/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 t="str">
        <f t="shared" si="3"/>
        <v/>
      </c>
      <c xmlns="http://schemas.openxmlformats.org/spreadsheetml/2006/main" r="V65" s="22" t="str">
        <f t="shared" si="4"/>
        <v/>
      </c>
      <c xmlns="http://schemas.openxmlformats.org/spreadsheetml/2006/main" r="W65" s="18" t="str">
        <f t="shared" si="5"/>
        <v/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xmlns="http://schemas.openxmlformats.org/spreadsheetml/2006/main" r="U66" s="23" t="str">
        <f t="shared" si="3"/>
        <v/>
      </c>
      <c xmlns="http://schemas.openxmlformats.org/spreadsheetml/2006/main" r="V66" s="22" t="str">
        <f t="shared" si="4"/>
        <v/>
      </c>
      <c xmlns="http://schemas.openxmlformats.org/spreadsheetml/2006/main" r="W66" s="18" t="str">
        <f t="shared" si="5"/>
        <v/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 t="str">
        <f t="shared" si="3"/>
        <v/>
      </c>
      <c xmlns="http://schemas.openxmlformats.org/spreadsheetml/2006/main" r="V67" s="22" t="str">
        <f t="shared" si="4"/>
        <v/>
      </c>
      <c xmlns="http://schemas.openxmlformats.org/spreadsheetml/2006/main" r="W67" s="18" t="str">
        <f t="shared" si="5"/>
        <v/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 t="str">
        <f t="shared" si="3"/>
        <v/>
      </c>
      <c xmlns="http://schemas.openxmlformats.org/spreadsheetml/2006/main" r="V68" s="22" t="str">
        <f t="shared" si="4"/>
        <v/>
      </c>
      <c xmlns="http://schemas.openxmlformats.org/spreadsheetml/2006/main" r="W68" s="18" t="str">
        <f t="shared" si="5"/>
        <v/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xmlns="http://schemas.openxmlformats.org/spreadsheetml/2006/main" r="U69" s="23" t="str">
        <f t="shared" si="3"/>
        <v/>
      </c>
      <c xmlns="http://schemas.openxmlformats.org/spreadsheetml/2006/main" r="V69" s="22" t="str">
        <f t="shared" si="4"/>
        <v/>
      </c>
      <c xmlns="http://schemas.openxmlformats.org/spreadsheetml/2006/main" r="W69" s="18" t="str">
        <f t="shared" si="5"/>
        <v/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 t="str">
        <f t="shared" si="3"/>
        <v/>
      </c>
      <c xmlns="http://schemas.openxmlformats.org/spreadsheetml/2006/main" r="V70" s="22" t="str">
        <f t="shared" si="4"/>
        <v/>
      </c>
      <c xmlns="http://schemas.openxmlformats.org/spreadsheetml/2006/main" r="W70" s="18" t="str">
        <f t="shared" si="5"/>
        <v/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 t="str">
        <f t="shared" si="3"/>
        <v/>
      </c>
      <c xmlns="http://schemas.openxmlformats.org/spreadsheetml/2006/main" r="V71" s="22" t="str">
        <f t="shared" si="4"/>
        <v/>
      </c>
      <c xmlns="http://schemas.openxmlformats.org/spreadsheetml/2006/main" r="W71" s="18" t="str">
        <f t="shared" si="5"/>
        <v/>
      </c>
      <c r="X71" s="22"/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 t="str">
        <f t="shared" si="3"/>
        <v/>
      </c>
      <c xmlns="http://schemas.openxmlformats.org/spreadsheetml/2006/main" r="V72" s="22" t="str">
        <f t="shared" si="4"/>
        <v/>
      </c>
      <c xmlns="http://schemas.openxmlformats.org/spreadsheetml/2006/main" r="W72" s="18" t="str">
        <f t="shared" si="5"/>
        <v/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 t="str">
        <f t="shared" si="3"/>
        <v/>
      </c>
      <c xmlns="http://schemas.openxmlformats.org/spreadsheetml/2006/main" r="V73" s="22" t="str">
        <f t="shared" si="4"/>
        <v/>
      </c>
      <c xmlns="http://schemas.openxmlformats.org/spreadsheetml/2006/main" r="W73" s="18" t="str">
        <f t="shared" si="5"/>
        <v/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xmlns="http://schemas.openxmlformats.org/spreadsheetml/2006/main" r="U74" s="23" t="str">
        <f t="shared" si="3"/>
        <v/>
      </c>
      <c xmlns="http://schemas.openxmlformats.org/spreadsheetml/2006/main" r="V74" s="22" t="str">
        <f t="shared" si="4"/>
        <v/>
      </c>
      <c xmlns="http://schemas.openxmlformats.org/spreadsheetml/2006/main" r="W74" s="18" t="str">
        <f t="shared" si="5"/>
        <v/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 t="str">
        <f t="shared" si="3"/>
        <v/>
      </c>
      <c xmlns="http://schemas.openxmlformats.org/spreadsheetml/2006/main" r="V75" s="22" t="str">
        <f t="shared" si="4"/>
        <v/>
      </c>
      <c xmlns="http://schemas.openxmlformats.org/spreadsheetml/2006/main" r="W75" s="18" t="str">
        <f t="shared" si="5"/>
        <v/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 t="str">
        <f t="shared" si="3"/>
        <v/>
      </c>
      <c xmlns="http://schemas.openxmlformats.org/spreadsheetml/2006/main" r="V76" s="22" t="str">
        <f t="shared" si="4"/>
        <v/>
      </c>
      <c xmlns="http://schemas.openxmlformats.org/spreadsheetml/2006/main" r="W76" s="18" t="str">
        <f t="shared" si="5"/>
        <v/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xmlns="http://schemas.openxmlformats.org/spreadsheetml/2006/main" r="U77" s="23" t="str">
        <f t="shared" si="3"/>
        <v/>
      </c>
      <c xmlns="http://schemas.openxmlformats.org/spreadsheetml/2006/main" r="V77" s="22" t="str">
        <f t="shared" si="4"/>
        <v/>
      </c>
      <c xmlns="http://schemas.openxmlformats.org/spreadsheetml/2006/main" r="W77" s="18" t="str">
        <f t="shared" si="5"/>
        <v/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 t="str">
        <f t="shared" si="3"/>
        <v/>
      </c>
      <c xmlns="http://schemas.openxmlformats.org/spreadsheetml/2006/main" r="V78" s="22" t="str">
        <f t="shared" si="4"/>
        <v/>
      </c>
      <c xmlns="http://schemas.openxmlformats.org/spreadsheetml/2006/main" r="W78" s="18" t="str">
        <f t="shared" si="5"/>
        <v/>
      </c>
      <c r="X78" s="22"/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ref="U85:U148" si="6">IF($E85="","",COUNTIF($I85:$S85,"V"))</f>
        <v/>
      </c>
      <c xmlns="http://schemas.openxmlformats.org/spreadsheetml/2006/main" r="V85" s="22" t="str">
        <f t="shared" ref="V85:V148" si="7">IF($E85="","",IF(AND($T85="V",$U85&gt;0),"⚠ 勾選矛盾",IF($T85="V","○ 免調理",IF($U85=0,"⚠ 資料缺漏",IF($U85=1,"▲ 單一設備依賴","OK")))))</f>
        <v/>
      </c>
      <c xmlns="http://schemas.openxmlformats.org/spreadsheetml/2006/main" r="W85" s="18" t="str">
        <f t="shared" ref="W85:W148" si="8">IF($E85="","",IF(AND($T85="V",$U85&gt;0),"「無使用調理設備」不可與設備欄同時勾選，請擇一修正",IF($T85="V","免調理半成品（外購/僅切配等），不列入設備風險評估",IF($U85=0,"未勾選任何設備，請補填或勾選「無使用調理設備」",IF($U85=1,"僅依賴1台設備，須確認故障/排修時之備援製程","無異常")))))</f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6"/>
        <v/>
      </c>
      <c xmlns="http://schemas.openxmlformats.org/spreadsheetml/2006/main" r="V86" s="22" t="str">
        <f t="shared" si="7"/>
        <v/>
      </c>
      <c xmlns="http://schemas.openxmlformats.org/spreadsheetml/2006/main" r="W86" s="18" t="str">
        <f t="shared" si="8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6"/>
        <v/>
      </c>
      <c xmlns="http://schemas.openxmlformats.org/spreadsheetml/2006/main" r="V87" s="22" t="str">
        <f t="shared" si="7"/>
        <v/>
      </c>
      <c xmlns="http://schemas.openxmlformats.org/spreadsheetml/2006/main" r="W87" s="18" t="str">
        <f t="shared" si="8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6"/>
        <v/>
      </c>
      <c xmlns="http://schemas.openxmlformats.org/spreadsheetml/2006/main" r="V88" s="22" t="str">
        <f t="shared" si="7"/>
        <v/>
      </c>
      <c xmlns="http://schemas.openxmlformats.org/spreadsheetml/2006/main" r="W88" s="18" t="str">
        <f t="shared" si="8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6"/>
        <v/>
      </c>
      <c xmlns="http://schemas.openxmlformats.org/spreadsheetml/2006/main" r="V89" s="22" t="str">
        <f t="shared" si="7"/>
        <v/>
      </c>
      <c xmlns="http://schemas.openxmlformats.org/spreadsheetml/2006/main" r="W89" s="18" t="str">
        <f t="shared" si="8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6"/>
        <v/>
      </c>
      <c xmlns="http://schemas.openxmlformats.org/spreadsheetml/2006/main" r="V90" s="22" t="str">
        <f t="shared" si="7"/>
        <v/>
      </c>
      <c xmlns="http://schemas.openxmlformats.org/spreadsheetml/2006/main" r="W90" s="18" t="str">
        <f t="shared" si="8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6"/>
        <v/>
      </c>
      <c xmlns="http://schemas.openxmlformats.org/spreadsheetml/2006/main" r="V91" s="22" t="str">
        <f t="shared" si="7"/>
        <v/>
      </c>
      <c xmlns="http://schemas.openxmlformats.org/spreadsheetml/2006/main" r="W91" s="18" t="str">
        <f t="shared" si="8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6"/>
        <v/>
      </c>
      <c xmlns="http://schemas.openxmlformats.org/spreadsheetml/2006/main" r="V92" s="22" t="str">
        <f t="shared" si="7"/>
        <v/>
      </c>
      <c xmlns="http://schemas.openxmlformats.org/spreadsheetml/2006/main" r="W92" s="18" t="str">
        <f t="shared" si="8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6"/>
        <v/>
      </c>
      <c xmlns="http://schemas.openxmlformats.org/spreadsheetml/2006/main" r="V93" s="22" t="str">
        <f t="shared" si="7"/>
        <v/>
      </c>
      <c xmlns="http://schemas.openxmlformats.org/spreadsheetml/2006/main" r="W93" s="18" t="str">
        <f t="shared" si="8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6"/>
        <v/>
      </c>
      <c xmlns="http://schemas.openxmlformats.org/spreadsheetml/2006/main" r="V94" s="22" t="str">
        <f t="shared" si="7"/>
        <v/>
      </c>
      <c xmlns="http://schemas.openxmlformats.org/spreadsheetml/2006/main" r="W94" s="18" t="str">
        <f t="shared" si="8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6"/>
        <v/>
      </c>
      <c xmlns="http://schemas.openxmlformats.org/spreadsheetml/2006/main" r="V95" s="22" t="str">
        <f t="shared" si="7"/>
        <v/>
      </c>
      <c xmlns="http://schemas.openxmlformats.org/spreadsheetml/2006/main" r="W95" s="18" t="str">
        <f t="shared" si="8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6"/>
        <v/>
      </c>
      <c xmlns="http://schemas.openxmlformats.org/spreadsheetml/2006/main" r="V96" s="22" t="str">
        <f t="shared" si="7"/>
        <v/>
      </c>
      <c xmlns="http://schemas.openxmlformats.org/spreadsheetml/2006/main" r="W96" s="18" t="str">
        <f t="shared" si="8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6"/>
        <v/>
      </c>
      <c xmlns="http://schemas.openxmlformats.org/spreadsheetml/2006/main" r="V97" s="22" t="str">
        <f t="shared" si="7"/>
        <v/>
      </c>
      <c xmlns="http://schemas.openxmlformats.org/spreadsheetml/2006/main" r="W97" s="18" t="str">
        <f t="shared" si="8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6"/>
        <v/>
      </c>
      <c xmlns="http://schemas.openxmlformats.org/spreadsheetml/2006/main" r="V98" s="22" t="str">
        <f t="shared" si="7"/>
        <v/>
      </c>
      <c xmlns="http://schemas.openxmlformats.org/spreadsheetml/2006/main" r="W98" s="18" t="str">
        <f t="shared" si="8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6"/>
        <v/>
      </c>
      <c xmlns="http://schemas.openxmlformats.org/spreadsheetml/2006/main" r="V99" s="22" t="str">
        <f t="shared" si="7"/>
        <v/>
      </c>
      <c xmlns="http://schemas.openxmlformats.org/spreadsheetml/2006/main" r="W99" s="18" t="str">
        <f t="shared" si="8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6"/>
        <v/>
      </c>
      <c xmlns="http://schemas.openxmlformats.org/spreadsheetml/2006/main" r="V100" s="22" t="str">
        <f t="shared" si="7"/>
        <v/>
      </c>
      <c xmlns="http://schemas.openxmlformats.org/spreadsheetml/2006/main" r="W100" s="18" t="str">
        <f t="shared" si="8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6"/>
        <v/>
      </c>
      <c xmlns="http://schemas.openxmlformats.org/spreadsheetml/2006/main" r="V101" s="22" t="str">
        <f t="shared" si="7"/>
        <v/>
      </c>
      <c xmlns="http://schemas.openxmlformats.org/spreadsheetml/2006/main" r="W101" s="18" t="str">
        <f t="shared" si="8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6"/>
        <v/>
      </c>
      <c xmlns="http://schemas.openxmlformats.org/spreadsheetml/2006/main" r="V102" s="22" t="str">
        <f t="shared" si="7"/>
        <v/>
      </c>
      <c xmlns="http://schemas.openxmlformats.org/spreadsheetml/2006/main" r="W102" s="18" t="str">
        <f t="shared" si="8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6"/>
        <v/>
      </c>
      <c xmlns="http://schemas.openxmlformats.org/spreadsheetml/2006/main" r="V103" s="22" t="str">
        <f t="shared" si="7"/>
        <v/>
      </c>
      <c xmlns="http://schemas.openxmlformats.org/spreadsheetml/2006/main" r="W103" s="18" t="str">
        <f t="shared" si="8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6"/>
        <v/>
      </c>
      <c xmlns="http://schemas.openxmlformats.org/spreadsheetml/2006/main" r="V104" s="22" t="str">
        <f t="shared" si="7"/>
        <v/>
      </c>
      <c xmlns="http://schemas.openxmlformats.org/spreadsheetml/2006/main" r="W104" s="18" t="str">
        <f t="shared" si="8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6"/>
        <v/>
      </c>
      <c xmlns="http://schemas.openxmlformats.org/spreadsheetml/2006/main" r="V105" s="22" t="str">
        <f t="shared" si="7"/>
        <v/>
      </c>
      <c xmlns="http://schemas.openxmlformats.org/spreadsheetml/2006/main" r="W105" s="18" t="str">
        <f t="shared" si="8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6"/>
        <v/>
      </c>
      <c xmlns="http://schemas.openxmlformats.org/spreadsheetml/2006/main" r="V106" s="22" t="str">
        <f t="shared" si="7"/>
        <v/>
      </c>
      <c xmlns="http://schemas.openxmlformats.org/spreadsheetml/2006/main" r="W106" s="18" t="str">
        <f t="shared" si="8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6"/>
        <v/>
      </c>
      <c xmlns="http://schemas.openxmlformats.org/spreadsheetml/2006/main" r="V107" s="22" t="str">
        <f t="shared" si="7"/>
        <v/>
      </c>
      <c xmlns="http://schemas.openxmlformats.org/spreadsheetml/2006/main" r="W107" s="18" t="str">
        <f t="shared" si="8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6"/>
        <v/>
      </c>
      <c xmlns="http://schemas.openxmlformats.org/spreadsheetml/2006/main" r="V108" s="22" t="str">
        <f t="shared" si="7"/>
        <v/>
      </c>
      <c xmlns="http://schemas.openxmlformats.org/spreadsheetml/2006/main" r="W108" s="18" t="str">
        <f t="shared" si="8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6"/>
        <v/>
      </c>
      <c xmlns="http://schemas.openxmlformats.org/spreadsheetml/2006/main" r="V109" s="22" t="str">
        <f t="shared" si="7"/>
        <v/>
      </c>
      <c xmlns="http://schemas.openxmlformats.org/spreadsheetml/2006/main" r="W109" s="18" t="str">
        <f t="shared" si="8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6"/>
        <v/>
      </c>
      <c xmlns="http://schemas.openxmlformats.org/spreadsheetml/2006/main" r="V110" s="22" t="str">
        <f t="shared" si="7"/>
        <v/>
      </c>
      <c xmlns="http://schemas.openxmlformats.org/spreadsheetml/2006/main" r="W110" s="18" t="str">
        <f t="shared" si="8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6"/>
        <v/>
      </c>
      <c xmlns="http://schemas.openxmlformats.org/spreadsheetml/2006/main" r="V111" s="22" t="str">
        <f t="shared" si="7"/>
        <v/>
      </c>
      <c xmlns="http://schemas.openxmlformats.org/spreadsheetml/2006/main" r="W111" s="18" t="str">
        <f t="shared" si="8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6"/>
        <v/>
      </c>
      <c xmlns="http://schemas.openxmlformats.org/spreadsheetml/2006/main" r="V112" s="22" t="str">
        <f t="shared" si="7"/>
        <v/>
      </c>
      <c xmlns="http://schemas.openxmlformats.org/spreadsheetml/2006/main" r="W112" s="18" t="str">
        <f t="shared" si="8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6"/>
        <v/>
      </c>
      <c xmlns="http://schemas.openxmlformats.org/spreadsheetml/2006/main" r="V113" s="22" t="str">
        <f t="shared" si="7"/>
        <v/>
      </c>
      <c xmlns="http://schemas.openxmlformats.org/spreadsheetml/2006/main" r="W113" s="18" t="str">
        <f t="shared" si="8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6"/>
        <v/>
      </c>
      <c xmlns="http://schemas.openxmlformats.org/spreadsheetml/2006/main" r="V114" s="22" t="str">
        <f t="shared" si="7"/>
        <v/>
      </c>
      <c xmlns="http://schemas.openxmlformats.org/spreadsheetml/2006/main" r="W114" s="18" t="str">
        <f t="shared" si="8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6"/>
        <v/>
      </c>
      <c xmlns="http://schemas.openxmlformats.org/spreadsheetml/2006/main" r="V115" s="22" t="str">
        <f t="shared" si="7"/>
        <v/>
      </c>
      <c xmlns="http://schemas.openxmlformats.org/spreadsheetml/2006/main" r="W115" s="18" t="str">
        <f t="shared" si="8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6"/>
        <v/>
      </c>
      <c xmlns="http://schemas.openxmlformats.org/spreadsheetml/2006/main" r="V116" s="22" t="str">
        <f t="shared" si="7"/>
        <v/>
      </c>
      <c xmlns="http://schemas.openxmlformats.org/spreadsheetml/2006/main" r="W116" s="18" t="str">
        <f t="shared" si="8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6"/>
        <v/>
      </c>
      <c xmlns="http://schemas.openxmlformats.org/spreadsheetml/2006/main" r="V117" s="22" t="str">
        <f t="shared" si="7"/>
        <v/>
      </c>
      <c xmlns="http://schemas.openxmlformats.org/spreadsheetml/2006/main" r="W117" s="18" t="str">
        <f t="shared" si="8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6"/>
        <v/>
      </c>
      <c xmlns="http://schemas.openxmlformats.org/spreadsheetml/2006/main" r="V118" s="22" t="str">
        <f t="shared" si="7"/>
        <v/>
      </c>
      <c xmlns="http://schemas.openxmlformats.org/spreadsheetml/2006/main" r="W118" s="18" t="str">
        <f t="shared" si="8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6"/>
        <v/>
      </c>
      <c xmlns="http://schemas.openxmlformats.org/spreadsheetml/2006/main" r="V119" s="22" t="str">
        <f t="shared" si="7"/>
        <v/>
      </c>
      <c xmlns="http://schemas.openxmlformats.org/spreadsheetml/2006/main" r="W119" s="18" t="str">
        <f t="shared" si="8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6"/>
        <v/>
      </c>
      <c xmlns="http://schemas.openxmlformats.org/spreadsheetml/2006/main" r="V120" s="22" t="str">
        <f t="shared" si="7"/>
        <v/>
      </c>
      <c xmlns="http://schemas.openxmlformats.org/spreadsheetml/2006/main" r="W120" s="18" t="str">
        <f t="shared" si="8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si="6"/>
        <v/>
      </c>
      <c xmlns="http://schemas.openxmlformats.org/spreadsheetml/2006/main" r="V121" s="22" t="str">
        <f t="shared" si="7"/>
        <v/>
      </c>
      <c xmlns="http://schemas.openxmlformats.org/spreadsheetml/2006/main" r="W121" s="18" t="str">
        <f t="shared" si="8"/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6"/>
        <v/>
      </c>
      <c xmlns="http://schemas.openxmlformats.org/spreadsheetml/2006/main" r="V122" s="22" t="str">
        <f t="shared" si="7"/>
        <v/>
      </c>
      <c xmlns="http://schemas.openxmlformats.org/spreadsheetml/2006/main" r="W122" s="18" t="str">
        <f t="shared" si="8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6"/>
        <v/>
      </c>
      <c xmlns="http://schemas.openxmlformats.org/spreadsheetml/2006/main" r="V123" s="22" t="str">
        <f t="shared" si="7"/>
        <v/>
      </c>
      <c xmlns="http://schemas.openxmlformats.org/spreadsheetml/2006/main" r="W123" s="18" t="str">
        <f t="shared" si="8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6"/>
        <v/>
      </c>
      <c xmlns="http://schemas.openxmlformats.org/spreadsheetml/2006/main" r="V124" s="22" t="str">
        <f t="shared" si="7"/>
        <v/>
      </c>
      <c xmlns="http://schemas.openxmlformats.org/spreadsheetml/2006/main" r="W124" s="18" t="str">
        <f t="shared" si="8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6"/>
        <v/>
      </c>
      <c xmlns="http://schemas.openxmlformats.org/spreadsheetml/2006/main" r="V125" s="22" t="str">
        <f t="shared" si="7"/>
        <v/>
      </c>
      <c xmlns="http://schemas.openxmlformats.org/spreadsheetml/2006/main" r="W125" s="18" t="str">
        <f t="shared" si="8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6"/>
        <v/>
      </c>
      <c xmlns="http://schemas.openxmlformats.org/spreadsheetml/2006/main" r="V126" s="22" t="str">
        <f t="shared" si="7"/>
        <v/>
      </c>
      <c xmlns="http://schemas.openxmlformats.org/spreadsheetml/2006/main" r="W126" s="18" t="str">
        <f t="shared" si="8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6"/>
        <v/>
      </c>
      <c xmlns="http://schemas.openxmlformats.org/spreadsheetml/2006/main" r="V127" s="22" t="str">
        <f t="shared" si="7"/>
        <v/>
      </c>
      <c xmlns="http://schemas.openxmlformats.org/spreadsheetml/2006/main" r="W127" s="18" t="str">
        <f t="shared" si="8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6"/>
        <v/>
      </c>
      <c xmlns="http://schemas.openxmlformats.org/spreadsheetml/2006/main" r="V128" s="22" t="str">
        <f t="shared" si="7"/>
        <v/>
      </c>
      <c xmlns="http://schemas.openxmlformats.org/spreadsheetml/2006/main" r="W128" s="18" t="str">
        <f t="shared" si="8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6"/>
        <v/>
      </c>
      <c xmlns="http://schemas.openxmlformats.org/spreadsheetml/2006/main" r="V129" s="22" t="str">
        <f t="shared" si="7"/>
        <v/>
      </c>
      <c xmlns="http://schemas.openxmlformats.org/spreadsheetml/2006/main" r="W129" s="18" t="str">
        <f t="shared" si="8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6"/>
        <v/>
      </c>
      <c xmlns="http://schemas.openxmlformats.org/spreadsheetml/2006/main" r="V130" s="22" t="str">
        <f t="shared" si="7"/>
        <v/>
      </c>
      <c xmlns="http://schemas.openxmlformats.org/spreadsheetml/2006/main" r="W130" s="18" t="str">
        <f t="shared" si="8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6"/>
        <v/>
      </c>
      <c xmlns="http://schemas.openxmlformats.org/spreadsheetml/2006/main" r="V131" s="22" t="str">
        <f t="shared" si="7"/>
        <v/>
      </c>
      <c xmlns="http://schemas.openxmlformats.org/spreadsheetml/2006/main" r="W131" s="18" t="str">
        <f t="shared" si="8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si="6"/>
        <v/>
      </c>
      <c xmlns="http://schemas.openxmlformats.org/spreadsheetml/2006/main" r="V132" s="22" t="str">
        <f t="shared" si="7"/>
        <v/>
      </c>
      <c xmlns="http://schemas.openxmlformats.org/spreadsheetml/2006/main" r="W132" s="18" t="str">
        <f t="shared" si="8"/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si="6"/>
        <v/>
      </c>
      <c xmlns="http://schemas.openxmlformats.org/spreadsheetml/2006/main" r="V133" s="22" t="str">
        <f t="shared" si="7"/>
        <v/>
      </c>
      <c xmlns="http://schemas.openxmlformats.org/spreadsheetml/2006/main" r="W133" s="18" t="str">
        <f t="shared" si="8"/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ref="U149:U212" si="9">IF($E149="","",COUNTIF($I149:$S149,"V"))</f>
        <v/>
      </c>
      <c xmlns="http://schemas.openxmlformats.org/spreadsheetml/2006/main" r="V149" s="22" t="str">
        <f t="shared" ref="V149:V212" si="10">IF($E149="","",IF(AND($T149="V",$U149&gt;0),"⚠ 勾選矛盾",IF($T149="V","○ 免調理",IF($U149=0,"⚠ 資料缺漏",IF($U149=1,"▲ 單一設備依賴","OK")))))</f>
        <v/>
      </c>
      <c xmlns="http://schemas.openxmlformats.org/spreadsheetml/2006/main" r="W149" s="18" t="str">
        <f t="shared" ref="W149:W212" si="11">IF($E149="","",IF(AND($T149="V",$U149&gt;0),"「無使用調理設備」不可與設備欄同時勾選，請擇一修正",IF($T149="V","免調理半成品（外購/僅切配等），不列入設備風險評估",IF($U149=0,"未勾選任何設備，請補填或勾選「無使用調理設備」",IF($U149=1,"僅依賴1台設備，須確認故障/排修時之備援製程","無異常")))))</f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9"/>
        <v/>
      </c>
      <c xmlns="http://schemas.openxmlformats.org/spreadsheetml/2006/main" r="V150" s="22" t="str">
        <f t="shared" si="10"/>
        <v/>
      </c>
      <c xmlns="http://schemas.openxmlformats.org/spreadsheetml/2006/main" r="W150" s="18" t="str">
        <f t="shared" si="11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9"/>
        <v/>
      </c>
      <c xmlns="http://schemas.openxmlformats.org/spreadsheetml/2006/main" r="V151" s="22" t="str">
        <f t="shared" si="10"/>
        <v/>
      </c>
      <c xmlns="http://schemas.openxmlformats.org/spreadsheetml/2006/main" r="W151" s="18" t="str">
        <f t="shared" si="11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9"/>
        <v/>
      </c>
      <c xmlns="http://schemas.openxmlformats.org/spreadsheetml/2006/main" r="V152" s="22" t="str">
        <f t="shared" si="10"/>
        <v/>
      </c>
      <c xmlns="http://schemas.openxmlformats.org/spreadsheetml/2006/main" r="W152" s="18" t="str">
        <f t="shared" si="11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9"/>
        <v/>
      </c>
      <c xmlns="http://schemas.openxmlformats.org/spreadsheetml/2006/main" r="V153" s="22" t="str">
        <f t="shared" si="10"/>
        <v/>
      </c>
      <c xmlns="http://schemas.openxmlformats.org/spreadsheetml/2006/main" r="W153" s="18" t="str">
        <f t="shared" si="11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9"/>
        <v/>
      </c>
      <c xmlns="http://schemas.openxmlformats.org/spreadsheetml/2006/main" r="V154" s="22" t="str">
        <f t="shared" si="10"/>
        <v/>
      </c>
      <c xmlns="http://schemas.openxmlformats.org/spreadsheetml/2006/main" r="W154" s="18" t="str">
        <f t="shared" si="11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9"/>
        <v/>
      </c>
      <c xmlns="http://schemas.openxmlformats.org/spreadsheetml/2006/main" r="V155" s="22" t="str">
        <f t="shared" si="10"/>
        <v/>
      </c>
      <c xmlns="http://schemas.openxmlformats.org/spreadsheetml/2006/main" r="W155" s="18" t="str">
        <f t="shared" si="11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9"/>
        <v/>
      </c>
      <c xmlns="http://schemas.openxmlformats.org/spreadsheetml/2006/main" r="V156" s="22" t="str">
        <f t="shared" si="10"/>
        <v/>
      </c>
      <c xmlns="http://schemas.openxmlformats.org/spreadsheetml/2006/main" r="W156" s="18" t="str">
        <f t="shared" si="11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9"/>
        <v/>
      </c>
      <c xmlns="http://schemas.openxmlformats.org/spreadsheetml/2006/main" r="V157" s="22" t="str">
        <f t="shared" si="10"/>
        <v/>
      </c>
      <c xmlns="http://schemas.openxmlformats.org/spreadsheetml/2006/main" r="W157" s="18" t="str">
        <f t="shared" si="11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9"/>
        <v/>
      </c>
      <c xmlns="http://schemas.openxmlformats.org/spreadsheetml/2006/main" r="V158" s="22" t="str">
        <f t="shared" si="10"/>
        <v/>
      </c>
      <c xmlns="http://schemas.openxmlformats.org/spreadsheetml/2006/main" r="W158" s="18" t="str">
        <f t="shared" si="11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9"/>
        <v/>
      </c>
      <c xmlns="http://schemas.openxmlformats.org/spreadsheetml/2006/main" r="V159" s="22" t="str">
        <f t="shared" si="10"/>
        <v/>
      </c>
      <c xmlns="http://schemas.openxmlformats.org/spreadsheetml/2006/main" r="W159" s="18" t="str">
        <f t="shared" si="11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9"/>
        <v/>
      </c>
      <c xmlns="http://schemas.openxmlformats.org/spreadsheetml/2006/main" r="V160" s="22" t="str">
        <f t="shared" si="10"/>
        <v/>
      </c>
      <c xmlns="http://schemas.openxmlformats.org/spreadsheetml/2006/main" r="W160" s="18" t="str">
        <f t="shared" si="11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9"/>
        <v/>
      </c>
      <c xmlns="http://schemas.openxmlformats.org/spreadsheetml/2006/main" r="V161" s="22" t="str">
        <f t="shared" si="10"/>
        <v/>
      </c>
      <c xmlns="http://schemas.openxmlformats.org/spreadsheetml/2006/main" r="W161" s="18" t="str">
        <f t="shared" si="11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9"/>
        <v/>
      </c>
      <c xmlns="http://schemas.openxmlformats.org/spreadsheetml/2006/main" r="V162" s="22" t="str">
        <f t="shared" si="10"/>
        <v/>
      </c>
      <c xmlns="http://schemas.openxmlformats.org/spreadsheetml/2006/main" r="W162" s="18" t="str">
        <f t="shared" si="11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9"/>
        <v/>
      </c>
      <c xmlns="http://schemas.openxmlformats.org/spreadsheetml/2006/main" r="V163" s="22" t="str">
        <f t="shared" si="10"/>
        <v/>
      </c>
      <c xmlns="http://schemas.openxmlformats.org/spreadsheetml/2006/main" r="W163" s="18" t="str">
        <f t="shared" si="11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9"/>
        <v/>
      </c>
      <c xmlns="http://schemas.openxmlformats.org/spreadsheetml/2006/main" r="V164" s="22" t="str">
        <f t="shared" si="10"/>
        <v/>
      </c>
      <c xmlns="http://schemas.openxmlformats.org/spreadsheetml/2006/main" r="W164" s="18" t="str">
        <f t="shared" si="11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9"/>
        <v/>
      </c>
      <c xmlns="http://schemas.openxmlformats.org/spreadsheetml/2006/main" r="V165" s="22" t="str">
        <f t="shared" si="10"/>
        <v/>
      </c>
      <c xmlns="http://schemas.openxmlformats.org/spreadsheetml/2006/main" r="W165" s="18" t="str">
        <f t="shared" si="11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9"/>
        <v/>
      </c>
      <c xmlns="http://schemas.openxmlformats.org/spreadsheetml/2006/main" r="V166" s="22" t="str">
        <f t="shared" si="10"/>
        <v/>
      </c>
      <c xmlns="http://schemas.openxmlformats.org/spreadsheetml/2006/main" r="W166" s="18" t="str">
        <f t="shared" si="11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9"/>
        <v/>
      </c>
      <c xmlns="http://schemas.openxmlformats.org/spreadsheetml/2006/main" r="V167" s="22" t="str">
        <f t="shared" si="10"/>
        <v/>
      </c>
      <c xmlns="http://schemas.openxmlformats.org/spreadsheetml/2006/main" r="W167" s="18" t="str">
        <f t="shared" si="11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9"/>
        <v/>
      </c>
      <c xmlns="http://schemas.openxmlformats.org/spreadsheetml/2006/main" r="V168" s="22" t="str">
        <f t="shared" si="10"/>
        <v/>
      </c>
      <c xmlns="http://schemas.openxmlformats.org/spreadsheetml/2006/main" r="W168" s="18" t="str">
        <f t="shared" si="11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9"/>
        <v/>
      </c>
      <c xmlns="http://schemas.openxmlformats.org/spreadsheetml/2006/main" r="V169" s="22" t="str">
        <f t="shared" si="10"/>
        <v/>
      </c>
      <c xmlns="http://schemas.openxmlformats.org/spreadsheetml/2006/main" r="W169" s="18" t="str">
        <f t="shared" si="11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9"/>
        <v/>
      </c>
      <c xmlns="http://schemas.openxmlformats.org/spreadsheetml/2006/main" r="V170" s="22" t="str">
        <f t="shared" si="10"/>
        <v/>
      </c>
      <c xmlns="http://schemas.openxmlformats.org/spreadsheetml/2006/main" r="W170" s="18" t="str">
        <f t="shared" si="11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9"/>
        <v/>
      </c>
      <c xmlns="http://schemas.openxmlformats.org/spreadsheetml/2006/main" r="V171" s="22" t="str">
        <f t="shared" si="10"/>
        <v/>
      </c>
      <c xmlns="http://schemas.openxmlformats.org/spreadsheetml/2006/main" r="W171" s="18" t="str">
        <f t="shared" si="11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9"/>
        <v/>
      </c>
      <c xmlns="http://schemas.openxmlformats.org/spreadsheetml/2006/main" r="V172" s="22" t="str">
        <f t="shared" si="10"/>
        <v/>
      </c>
      <c xmlns="http://schemas.openxmlformats.org/spreadsheetml/2006/main" r="W172" s="18" t="str">
        <f t="shared" si="11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9"/>
        <v/>
      </c>
      <c xmlns="http://schemas.openxmlformats.org/spreadsheetml/2006/main" r="V173" s="22" t="str">
        <f t="shared" si="10"/>
        <v/>
      </c>
      <c xmlns="http://schemas.openxmlformats.org/spreadsheetml/2006/main" r="W173" s="18" t="str">
        <f t="shared" si="11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9"/>
        <v/>
      </c>
      <c xmlns="http://schemas.openxmlformats.org/spreadsheetml/2006/main" r="V174" s="22" t="str">
        <f t="shared" si="10"/>
        <v/>
      </c>
      <c xmlns="http://schemas.openxmlformats.org/spreadsheetml/2006/main" r="W174" s="18" t="str">
        <f t="shared" si="11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9"/>
        <v/>
      </c>
      <c xmlns="http://schemas.openxmlformats.org/spreadsheetml/2006/main" r="V175" s="22" t="str">
        <f t="shared" si="10"/>
        <v/>
      </c>
      <c xmlns="http://schemas.openxmlformats.org/spreadsheetml/2006/main" r="W175" s="18" t="str">
        <f t="shared" si="11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9"/>
        <v/>
      </c>
      <c xmlns="http://schemas.openxmlformats.org/spreadsheetml/2006/main" r="V176" s="22" t="str">
        <f t="shared" si="10"/>
        <v/>
      </c>
      <c xmlns="http://schemas.openxmlformats.org/spreadsheetml/2006/main" r="W176" s="18" t="str">
        <f t="shared" si="11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9"/>
        <v/>
      </c>
      <c xmlns="http://schemas.openxmlformats.org/spreadsheetml/2006/main" r="V177" s="22" t="str">
        <f t="shared" si="10"/>
        <v/>
      </c>
      <c xmlns="http://schemas.openxmlformats.org/spreadsheetml/2006/main" r="W177" s="18" t="str">
        <f t="shared" si="11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9"/>
        <v/>
      </c>
      <c xmlns="http://schemas.openxmlformats.org/spreadsheetml/2006/main" r="V178" s="22" t="str">
        <f t="shared" si="10"/>
        <v/>
      </c>
      <c xmlns="http://schemas.openxmlformats.org/spreadsheetml/2006/main" r="W178" s="18" t="str">
        <f t="shared" si="11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9"/>
        <v/>
      </c>
      <c xmlns="http://schemas.openxmlformats.org/spreadsheetml/2006/main" r="V179" s="22" t="str">
        <f t="shared" si="10"/>
        <v/>
      </c>
      <c xmlns="http://schemas.openxmlformats.org/spreadsheetml/2006/main" r="W179" s="18" t="str">
        <f t="shared" si="11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9"/>
        <v/>
      </c>
      <c xmlns="http://schemas.openxmlformats.org/spreadsheetml/2006/main" r="V180" s="22" t="str">
        <f t="shared" si="10"/>
        <v/>
      </c>
      <c xmlns="http://schemas.openxmlformats.org/spreadsheetml/2006/main" r="W180" s="18" t="str">
        <f t="shared" si="11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9"/>
        <v/>
      </c>
      <c xmlns="http://schemas.openxmlformats.org/spreadsheetml/2006/main" r="V181" s="22" t="str">
        <f t="shared" si="10"/>
        <v/>
      </c>
      <c xmlns="http://schemas.openxmlformats.org/spreadsheetml/2006/main" r="W181" s="18" t="str">
        <f t="shared" si="11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9"/>
        <v/>
      </c>
      <c xmlns="http://schemas.openxmlformats.org/spreadsheetml/2006/main" r="V182" s="22" t="str">
        <f t="shared" si="10"/>
        <v/>
      </c>
      <c xmlns="http://schemas.openxmlformats.org/spreadsheetml/2006/main" r="W182" s="18" t="str">
        <f t="shared" si="11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9"/>
        <v/>
      </c>
      <c xmlns="http://schemas.openxmlformats.org/spreadsheetml/2006/main" r="V183" s="22" t="str">
        <f t="shared" si="10"/>
        <v/>
      </c>
      <c xmlns="http://schemas.openxmlformats.org/spreadsheetml/2006/main" r="W183" s="18" t="str">
        <f t="shared" si="11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9"/>
        <v/>
      </c>
      <c xmlns="http://schemas.openxmlformats.org/spreadsheetml/2006/main" r="V184" s="22" t="str">
        <f t="shared" si="10"/>
        <v/>
      </c>
      <c xmlns="http://schemas.openxmlformats.org/spreadsheetml/2006/main" r="W184" s="18" t="str">
        <f t="shared" si="11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9"/>
        <v/>
      </c>
      <c xmlns="http://schemas.openxmlformats.org/spreadsheetml/2006/main" r="V185" s="22" t="str">
        <f t="shared" si="10"/>
        <v/>
      </c>
      <c xmlns="http://schemas.openxmlformats.org/spreadsheetml/2006/main" r="W185" s="18" t="str">
        <f t="shared" si="11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9"/>
        <v/>
      </c>
      <c xmlns="http://schemas.openxmlformats.org/spreadsheetml/2006/main" r="V186" s="22" t="str">
        <f t="shared" si="10"/>
        <v/>
      </c>
      <c xmlns="http://schemas.openxmlformats.org/spreadsheetml/2006/main" r="W186" s="18" t="str">
        <f t="shared" si="11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9"/>
        <v/>
      </c>
      <c xmlns="http://schemas.openxmlformats.org/spreadsheetml/2006/main" r="V187" s="22" t="str">
        <f t="shared" si="10"/>
        <v/>
      </c>
      <c xmlns="http://schemas.openxmlformats.org/spreadsheetml/2006/main" r="W187" s="18" t="str">
        <f t="shared" si="11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9"/>
        <v/>
      </c>
      <c xmlns="http://schemas.openxmlformats.org/spreadsheetml/2006/main" r="V188" s="22" t="str">
        <f t="shared" si="10"/>
        <v/>
      </c>
      <c xmlns="http://schemas.openxmlformats.org/spreadsheetml/2006/main" r="W188" s="18" t="str">
        <f t="shared" si="11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9"/>
        <v/>
      </c>
      <c xmlns="http://schemas.openxmlformats.org/spreadsheetml/2006/main" r="V189" s="22" t="str">
        <f t="shared" si="10"/>
        <v/>
      </c>
      <c xmlns="http://schemas.openxmlformats.org/spreadsheetml/2006/main" r="W189" s="18" t="str">
        <f t="shared" si="11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9"/>
        <v/>
      </c>
      <c xmlns="http://schemas.openxmlformats.org/spreadsheetml/2006/main" r="V190" s="22" t="str">
        <f t="shared" si="10"/>
        <v/>
      </c>
      <c xmlns="http://schemas.openxmlformats.org/spreadsheetml/2006/main" r="W190" s="18" t="str">
        <f t="shared" si="11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9"/>
        <v/>
      </c>
      <c xmlns="http://schemas.openxmlformats.org/spreadsheetml/2006/main" r="V191" s="22" t="str">
        <f t="shared" si="10"/>
        <v/>
      </c>
      <c xmlns="http://schemas.openxmlformats.org/spreadsheetml/2006/main" r="W191" s="18" t="str">
        <f t="shared" si="11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9"/>
        <v/>
      </c>
      <c xmlns="http://schemas.openxmlformats.org/spreadsheetml/2006/main" r="V192" s="22" t="str">
        <f t="shared" si="10"/>
        <v/>
      </c>
      <c xmlns="http://schemas.openxmlformats.org/spreadsheetml/2006/main" r="W192" s="18" t="str">
        <f t="shared" si="11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9"/>
        <v/>
      </c>
      <c xmlns="http://schemas.openxmlformats.org/spreadsheetml/2006/main" r="V193" s="22" t="str">
        <f t="shared" si="10"/>
        <v/>
      </c>
      <c xmlns="http://schemas.openxmlformats.org/spreadsheetml/2006/main" r="W193" s="18" t="str">
        <f t="shared" si="11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9"/>
        <v/>
      </c>
      <c xmlns="http://schemas.openxmlformats.org/spreadsheetml/2006/main" r="V194" s="22" t="str">
        <f t="shared" si="10"/>
        <v/>
      </c>
      <c xmlns="http://schemas.openxmlformats.org/spreadsheetml/2006/main" r="W194" s="18" t="str">
        <f t="shared" si="11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9"/>
        <v/>
      </c>
      <c xmlns="http://schemas.openxmlformats.org/spreadsheetml/2006/main" r="V195" s="22" t="str">
        <f t="shared" si="10"/>
        <v/>
      </c>
      <c xmlns="http://schemas.openxmlformats.org/spreadsheetml/2006/main" r="W195" s="18" t="str">
        <f t="shared" si="11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9"/>
        <v/>
      </c>
      <c xmlns="http://schemas.openxmlformats.org/spreadsheetml/2006/main" r="V196" s="22" t="str">
        <f t="shared" si="10"/>
        <v/>
      </c>
      <c xmlns="http://schemas.openxmlformats.org/spreadsheetml/2006/main" r="W196" s="18" t="str">
        <f t="shared" si="11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si="9"/>
        <v/>
      </c>
      <c xmlns="http://schemas.openxmlformats.org/spreadsheetml/2006/main" r="V197" s="22" t="str">
        <f t="shared" si="10"/>
        <v/>
      </c>
      <c xmlns="http://schemas.openxmlformats.org/spreadsheetml/2006/main" r="W197" s="18" t="str">
        <f t="shared" si="11"/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ref="U213:U256" si="12">IF($E213="","",COUNTIF($I213:$S213,"V"))</f>
        <v/>
      </c>
      <c xmlns="http://schemas.openxmlformats.org/spreadsheetml/2006/main" r="V213" s="22" t="str">
        <f t="shared" ref="V213:V256" si="13">IF($E213="","",IF(AND($T213="V",$U213&gt;0),"⚠ 勾選矛盾",IF($T213="V","○ 免調理",IF($U213=0,"⚠ 資料缺漏",IF($U213=1,"▲ 單一設備依賴","OK")))))</f>
        <v/>
      </c>
      <c xmlns="http://schemas.openxmlformats.org/spreadsheetml/2006/main" r="W213" s="18" t="str">
        <f t="shared" ref="W213:W256" si="14">IF($E213="","",IF(AND($T213="V",$U213&gt;0),"「無使用調理設備」不可與設備欄同時勾選，請擇一修正",IF($T213="V","免調理半成品（外購/僅切配等），不列入設備風險評估",IF($U213=0,"未勾選任何設備，請補填或勾選「無使用調理設備」",IF($U213=1,"僅依賴1台設備，須確認故障/排修時之備援製程","無異常")))))</f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12"/>
        <v/>
      </c>
      <c xmlns="http://schemas.openxmlformats.org/spreadsheetml/2006/main" r="V214" s="22" t="str">
        <f t="shared" si="13"/>
        <v/>
      </c>
      <c xmlns="http://schemas.openxmlformats.org/spreadsheetml/2006/main" r="W214" s="18" t="str">
        <f t="shared" si="14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12"/>
        <v/>
      </c>
      <c xmlns="http://schemas.openxmlformats.org/spreadsheetml/2006/main" r="V215" s="22" t="str">
        <f t="shared" si="13"/>
        <v/>
      </c>
      <c xmlns="http://schemas.openxmlformats.org/spreadsheetml/2006/main" r="W215" s="18" t="str">
        <f t="shared" si="14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12"/>
        <v/>
      </c>
      <c xmlns="http://schemas.openxmlformats.org/spreadsheetml/2006/main" r="V216" s="22" t="str">
        <f t="shared" si="13"/>
        <v/>
      </c>
      <c xmlns="http://schemas.openxmlformats.org/spreadsheetml/2006/main" r="W216" s="18" t="str">
        <f t="shared" si="14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12"/>
        <v/>
      </c>
      <c xmlns="http://schemas.openxmlformats.org/spreadsheetml/2006/main" r="V217" s="22" t="str">
        <f t="shared" si="13"/>
        <v/>
      </c>
      <c xmlns="http://schemas.openxmlformats.org/spreadsheetml/2006/main" r="W217" s="18" t="str">
        <f t="shared" si="14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12"/>
        <v/>
      </c>
      <c xmlns="http://schemas.openxmlformats.org/spreadsheetml/2006/main" r="V218" s="22" t="str">
        <f t="shared" si="13"/>
        <v/>
      </c>
      <c xmlns="http://schemas.openxmlformats.org/spreadsheetml/2006/main" r="W218" s="18" t="str">
        <f t="shared" si="14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12"/>
        <v/>
      </c>
      <c xmlns="http://schemas.openxmlformats.org/spreadsheetml/2006/main" r="V219" s="22" t="str">
        <f t="shared" si="13"/>
        <v/>
      </c>
      <c xmlns="http://schemas.openxmlformats.org/spreadsheetml/2006/main" r="W219" s="18" t="str">
        <f t="shared" si="14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12"/>
        <v/>
      </c>
      <c xmlns="http://schemas.openxmlformats.org/spreadsheetml/2006/main" r="V220" s="22" t="str">
        <f t="shared" si="13"/>
        <v/>
      </c>
      <c xmlns="http://schemas.openxmlformats.org/spreadsheetml/2006/main" r="W220" s="18" t="str">
        <f t="shared" si="14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12"/>
        <v/>
      </c>
      <c xmlns="http://schemas.openxmlformats.org/spreadsheetml/2006/main" r="V221" s="22" t="str">
        <f t="shared" si="13"/>
        <v/>
      </c>
      <c xmlns="http://schemas.openxmlformats.org/spreadsheetml/2006/main" r="W221" s="18" t="str">
        <f t="shared" si="14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12"/>
        <v/>
      </c>
      <c xmlns="http://schemas.openxmlformats.org/spreadsheetml/2006/main" r="V222" s="22" t="str">
        <f t="shared" si="13"/>
        <v/>
      </c>
      <c xmlns="http://schemas.openxmlformats.org/spreadsheetml/2006/main" r="W222" s="18" t="str">
        <f t="shared" si="14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12"/>
        <v/>
      </c>
      <c xmlns="http://schemas.openxmlformats.org/spreadsheetml/2006/main" r="V223" s="22" t="str">
        <f t="shared" si="13"/>
        <v/>
      </c>
      <c xmlns="http://schemas.openxmlformats.org/spreadsheetml/2006/main" r="W223" s="18" t="str">
        <f t="shared" si="14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12"/>
        <v/>
      </c>
      <c xmlns="http://schemas.openxmlformats.org/spreadsheetml/2006/main" r="V224" s="22" t="str">
        <f t="shared" si="13"/>
        <v/>
      </c>
      <c xmlns="http://schemas.openxmlformats.org/spreadsheetml/2006/main" r="W224" s="18" t="str">
        <f t="shared" si="14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12"/>
        <v/>
      </c>
      <c xmlns="http://schemas.openxmlformats.org/spreadsheetml/2006/main" r="V225" s="22" t="str">
        <f t="shared" si="13"/>
        <v/>
      </c>
      <c xmlns="http://schemas.openxmlformats.org/spreadsheetml/2006/main" r="W225" s="18" t="str">
        <f t="shared" si="14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12"/>
        <v/>
      </c>
      <c xmlns="http://schemas.openxmlformats.org/spreadsheetml/2006/main" r="V226" s="22" t="str">
        <f t="shared" si="13"/>
        <v/>
      </c>
      <c xmlns="http://schemas.openxmlformats.org/spreadsheetml/2006/main" r="W226" s="18" t="str">
        <f t="shared" si="14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12"/>
        <v/>
      </c>
      <c xmlns="http://schemas.openxmlformats.org/spreadsheetml/2006/main" r="V227" s="22" t="str">
        <f t="shared" si="13"/>
        <v/>
      </c>
      <c xmlns="http://schemas.openxmlformats.org/spreadsheetml/2006/main" r="W227" s="18" t="str">
        <f t="shared" si="14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12"/>
        <v/>
      </c>
      <c xmlns="http://schemas.openxmlformats.org/spreadsheetml/2006/main" r="V228" s="22" t="str">
        <f t="shared" si="13"/>
        <v/>
      </c>
      <c xmlns="http://schemas.openxmlformats.org/spreadsheetml/2006/main" r="W228" s="18" t="str">
        <f t="shared" si="14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12"/>
        <v/>
      </c>
      <c xmlns="http://schemas.openxmlformats.org/spreadsheetml/2006/main" r="V229" s="22" t="str">
        <f t="shared" si="13"/>
        <v/>
      </c>
      <c xmlns="http://schemas.openxmlformats.org/spreadsheetml/2006/main" r="W229" s="18" t="str">
        <f t="shared" si="14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12"/>
        <v/>
      </c>
      <c xmlns="http://schemas.openxmlformats.org/spreadsheetml/2006/main" r="V230" s="22" t="str">
        <f t="shared" si="13"/>
        <v/>
      </c>
      <c xmlns="http://schemas.openxmlformats.org/spreadsheetml/2006/main" r="W230" s="18" t="str">
        <f t="shared" si="14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12"/>
        <v/>
      </c>
      <c xmlns="http://schemas.openxmlformats.org/spreadsheetml/2006/main" r="V231" s="22" t="str">
        <f t="shared" si="13"/>
        <v/>
      </c>
      <c xmlns="http://schemas.openxmlformats.org/spreadsheetml/2006/main" r="W231" s="18" t="str">
        <f t="shared" si="14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12"/>
        <v/>
      </c>
      <c xmlns="http://schemas.openxmlformats.org/spreadsheetml/2006/main" r="V232" s="22" t="str">
        <f t="shared" si="13"/>
        <v/>
      </c>
      <c xmlns="http://schemas.openxmlformats.org/spreadsheetml/2006/main" r="W232" s="18" t="str">
        <f t="shared" si="14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12"/>
        <v/>
      </c>
      <c xmlns="http://schemas.openxmlformats.org/spreadsheetml/2006/main" r="V233" s="22" t="str">
        <f t="shared" si="13"/>
        <v/>
      </c>
      <c xmlns="http://schemas.openxmlformats.org/spreadsheetml/2006/main" r="W233" s="18" t="str">
        <f t="shared" si="14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12"/>
        <v/>
      </c>
      <c xmlns="http://schemas.openxmlformats.org/spreadsheetml/2006/main" r="V234" s="22" t="str">
        <f t="shared" si="13"/>
        <v/>
      </c>
      <c xmlns="http://schemas.openxmlformats.org/spreadsheetml/2006/main" r="W234" s="18" t="str">
        <f t="shared" si="14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12"/>
        <v/>
      </c>
      <c xmlns="http://schemas.openxmlformats.org/spreadsheetml/2006/main" r="V235" s="22" t="str">
        <f t="shared" si="13"/>
        <v/>
      </c>
      <c xmlns="http://schemas.openxmlformats.org/spreadsheetml/2006/main" r="W235" s="18" t="str">
        <f t="shared" si="14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12"/>
        <v/>
      </c>
      <c xmlns="http://schemas.openxmlformats.org/spreadsheetml/2006/main" r="V236" s="22" t="str">
        <f t="shared" si="13"/>
        <v/>
      </c>
      <c xmlns="http://schemas.openxmlformats.org/spreadsheetml/2006/main" r="W236" s="18" t="str">
        <f t="shared" si="14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12"/>
        <v/>
      </c>
      <c xmlns="http://schemas.openxmlformats.org/spreadsheetml/2006/main" r="V237" s="22" t="str">
        <f t="shared" si="13"/>
        <v/>
      </c>
      <c xmlns="http://schemas.openxmlformats.org/spreadsheetml/2006/main" r="W237" s="18" t="str">
        <f t="shared" si="14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12"/>
        <v/>
      </c>
      <c xmlns="http://schemas.openxmlformats.org/spreadsheetml/2006/main" r="V238" s="22" t="str">
        <f t="shared" si="13"/>
        <v/>
      </c>
      <c xmlns="http://schemas.openxmlformats.org/spreadsheetml/2006/main" r="W238" s="18" t="str">
        <f t="shared" si="14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12"/>
        <v/>
      </c>
      <c xmlns="http://schemas.openxmlformats.org/spreadsheetml/2006/main" r="V239" s="22" t="str">
        <f t="shared" si="13"/>
        <v/>
      </c>
      <c xmlns="http://schemas.openxmlformats.org/spreadsheetml/2006/main" r="W239" s="18" t="str">
        <f t="shared" si="14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12"/>
        <v/>
      </c>
      <c xmlns="http://schemas.openxmlformats.org/spreadsheetml/2006/main" r="V240" s="22" t="str">
        <f t="shared" si="13"/>
        <v/>
      </c>
      <c xmlns="http://schemas.openxmlformats.org/spreadsheetml/2006/main" r="W240" s="18" t="str">
        <f t="shared" si="14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12"/>
        <v/>
      </c>
      <c xmlns="http://schemas.openxmlformats.org/spreadsheetml/2006/main" r="V241" s="22" t="str">
        <f t="shared" si="13"/>
        <v/>
      </c>
      <c xmlns="http://schemas.openxmlformats.org/spreadsheetml/2006/main" r="W241" s="18" t="str">
        <f t="shared" si="14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12"/>
        <v/>
      </c>
      <c xmlns="http://schemas.openxmlformats.org/spreadsheetml/2006/main" r="V242" s="22" t="str">
        <f t="shared" si="13"/>
        <v/>
      </c>
      <c xmlns="http://schemas.openxmlformats.org/spreadsheetml/2006/main" r="W242" s="18" t="str">
        <f t="shared" si="14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12"/>
        <v/>
      </c>
      <c xmlns="http://schemas.openxmlformats.org/spreadsheetml/2006/main" r="V243" s="22" t="str">
        <f t="shared" si="13"/>
        <v/>
      </c>
      <c xmlns="http://schemas.openxmlformats.org/spreadsheetml/2006/main" r="W243" s="18" t="str">
        <f t="shared" si="14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12"/>
        <v/>
      </c>
      <c xmlns="http://schemas.openxmlformats.org/spreadsheetml/2006/main" r="V244" s="22" t="str">
        <f t="shared" si="13"/>
        <v/>
      </c>
      <c xmlns="http://schemas.openxmlformats.org/spreadsheetml/2006/main" r="W244" s="18" t="str">
        <f t="shared" si="14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12"/>
        <v/>
      </c>
      <c xmlns="http://schemas.openxmlformats.org/spreadsheetml/2006/main" r="V245" s="22" t="str">
        <f t="shared" si="13"/>
        <v/>
      </c>
      <c xmlns="http://schemas.openxmlformats.org/spreadsheetml/2006/main" r="W245" s="18" t="str">
        <f t="shared" si="14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12"/>
        <v/>
      </c>
      <c xmlns="http://schemas.openxmlformats.org/spreadsheetml/2006/main" r="V246" s="22" t="str">
        <f t="shared" si="13"/>
        <v/>
      </c>
      <c xmlns="http://schemas.openxmlformats.org/spreadsheetml/2006/main" r="W246" s="18" t="str">
        <f t="shared" si="14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12"/>
        <v/>
      </c>
      <c xmlns="http://schemas.openxmlformats.org/spreadsheetml/2006/main" r="V247" s="22" t="str">
        <f t="shared" si="13"/>
        <v/>
      </c>
      <c xmlns="http://schemas.openxmlformats.org/spreadsheetml/2006/main" r="W247" s="18" t="str">
        <f t="shared" si="14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12"/>
        <v/>
      </c>
      <c xmlns="http://schemas.openxmlformats.org/spreadsheetml/2006/main" r="V248" s="22" t="str">
        <f t="shared" si="13"/>
        <v/>
      </c>
      <c xmlns="http://schemas.openxmlformats.org/spreadsheetml/2006/main" r="W248" s="18" t="str">
        <f t="shared" si="14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12"/>
        <v/>
      </c>
      <c xmlns="http://schemas.openxmlformats.org/spreadsheetml/2006/main" r="V249" s="22" t="str">
        <f t="shared" si="13"/>
        <v/>
      </c>
      <c xmlns="http://schemas.openxmlformats.org/spreadsheetml/2006/main" r="W249" s="18" t="str">
        <f t="shared" si="14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12"/>
        <v/>
      </c>
      <c xmlns="http://schemas.openxmlformats.org/spreadsheetml/2006/main" r="V250" s="22" t="str">
        <f t="shared" si="13"/>
        <v/>
      </c>
      <c xmlns="http://schemas.openxmlformats.org/spreadsheetml/2006/main" r="W250" s="18" t="str">
        <f t="shared" si="14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12"/>
        <v/>
      </c>
      <c xmlns="http://schemas.openxmlformats.org/spreadsheetml/2006/main" r="V251" s="22" t="str">
        <f t="shared" si="13"/>
        <v/>
      </c>
      <c xmlns="http://schemas.openxmlformats.org/spreadsheetml/2006/main" r="W251" s="18" t="str">
        <f t="shared" si="14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12"/>
        <v/>
      </c>
      <c xmlns="http://schemas.openxmlformats.org/spreadsheetml/2006/main" r="V252" s="22" t="str">
        <f t="shared" si="13"/>
        <v/>
      </c>
      <c xmlns="http://schemas.openxmlformats.org/spreadsheetml/2006/main" r="W252" s="18" t="str">
        <f t="shared" si="14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12"/>
        <v/>
      </c>
      <c xmlns="http://schemas.openxmlformats.org/spreadsheetml/2006/main" r="V253" s="22" t="str">
        <f t="shared" si="13"/>
        <v/>
      </c>
      <c xmlns="http://schemas.openxmlformats.org/spreadsheetml/2006/main" r="W253" s="18" t="str">
        <f t="shared" si="14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12"/>
        <v/>
      </c>
      <c xmlns="http://schemas.openxmlformats.org/spreadsheetml/2006/main" r="V254" s="22" t="str">
        <f t="shared" si="13"/>
        <v/>
      </c>
      <c xmlns="http://schemas.openxmlformats.org/spreadsheetml/2006/main" r="W254" s="18" t="str">
        <f t="shared" si="14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12"/>
        <v/>
      </c>
      <c xmlns="http://schemas.openxmlformats.org/spreadsheetml/2006/main" r="V255" s="22" t="str">
        <f t="shared" si="13"/>
        <v/>
      </c>
      <c xmlns="http://schemas.openxmlformats.org/spreadsheetml/2006/main" r="W255" s="18" t="str">
        <f t="shared" si="14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12"/>
        <v/>
      </c>
      <c xmlns="http://schemas.openxmlformats.org/spreadsheetml/2006/main" r="V256" s="22" t="str">
        <f t="shared" si="13"/>
        <v/>
      </c>
      <c xmlns="http://schemas.openxmlformats.org/spreadsheetml/2006/main" r="W256" s="18" t="str">
        <f t="shared" si="14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1">
      <c r="A257" s="22"/>
      <c xmlns="http://schemas.openxmlformats.org/spreadsheetml/2006/main" r="U257" s="23" t="str">
        <f>IF($E257="","",COUNTIF($I257:$S257,"V"))</f>
        <v/>
      </c>
      <c xmlns="http://schemas.openxmlformats.org/spreadsheetml/2006/main" r="V257" s="22" t="str">
        <f>IF($E257="","",IF(AND($T257="V",$U257&gt;0),"⚠ 勾選矛盾",IF($T257="V","○ 免調理",IF($U257=0,"⚠ 資料缺漏",IF($U257=1,"▲ 單一設備依賴","OK")))))</f>
        <v/>
      </c>
      <c xmlns="http://schemas.openxmlformats.org/spreadsheetml/2006/main" r="W257" s="18" t="str">
        <f>IF($E257="","",IF(AND($T257="V",$U257&gt;0),"「無使用調理設備」不可與設備欄同時勾選，請擇一修正",IF($T257="V","免調理半成品（外購/僅切配等），不列入設備風險評估",IF($U257=0,"未勾選任何設備，請補填或勾選「無使用調理設備」",IF($U257=1,"僅依賴1台設備，須確認故障/排修時之備援製程","無異常")))))</f>
        <v/>
      </c>
      <c xmlns="http://schemas.openxmlformats.org/spreadsheetml/2006/main" r="Z257" s="0">
        <f>IF($D257="",0,IF(COUNTIF($D$5:$D257,$D257)=1,1,0))</f>
        <v>0.0</v>
      </c>
      <c xmlns="http://schemas.openxmlformats.org/spreadsheetml/2006/main" r="AA257" s="0" t="str">
        <f>IF(Z257=1,SUM($Z$5:$Z257),"")</f>
        <v/>
      </c>
    </row>
    <row r="258" spans="1:1">
      <c r="A258" s="22"/>
      <c xmlns="http://schemas.openxmlformats.org/spreadsheetml/2006/main" r="U258" s="23" t="str">
        <f>IF($E258="","",COUNTIF($I258:$S258,"V"))</f>
        <v/>
      </c>
      <c xmlns="http://schemas.openxmlformats.org/spreadsheetml/2006/main" r="V258" s="22" t="str">
        <f>IF($E258="","",IF(AND($T258="V",$U258&gt;0),"⚠ 勾選矛盾",IF($T258="V","○ 免調理",IF($U258=0,"⚠ 資料缺漏",IF($U258=1,"▲ 單一設備依賴","OK")))))</f>
        <v/>
      </c>
      <c xmlns="http://schemas.openxmlformats.org/spreadsheetml/2006/main" r="W258" s="18" t="str">
        <f>IF($E258="","",IF(AND($T258="V",$U258&gt;0),"「無使用調理設備」不可與設備欄同時勾選，請擇一修正",IF($T258="V","免調理半成品（外購/僅切配等），不列入設備風險評估",IF($U258=0,"未勾選任何設備，請補填或勾選「無使用調理設備」",IF($U258=1,"僅依賴1台設備，須確認故障/排修時之備援製程","無異常")))))</f>
        <v/>
      </c>
      <c xmlns="http://schemas.openxmlformats.org/spreadsheetml/2006/main" r="Z258" s="0">
        <f>IF($D258="",0,IF(COUNTIF($D$5:$D258,$D258)=1,1,0))</f>
        <v>0.0</v>
      </c>
      <c xmlns="http://schemas.openxmlformats.org/spreadsheetml/2006/main" r="AA258" s="0" t="str">
        <f>IF(Z258=1,SUM($Z$5:$Z258),"")</f>
        <v/>
      </c>
    </row>
    <row r="259" spans="1:1">
      <c r="A259" s="22"/>
      <c xmlns="http://schemas.openxmlformats.org/spreadsheetml/2006/main" r="U259" s="23" t="str">
        <f>IF($E259="","",COUNTIF($I259:$S259,"V"))</f>
        <v/>
      </c>
      <c xmlns="http://schemas.openxmlformats.org/spreadsheetml/2006/main" r="V259" s="22" t="str">
        <f>IF($E259="","",IF(AND($T259="V",$U259&gt;0),"⚠ 勾選矛盾",IF($T259="V","○ 免調理",IF($U259=0,"⚠ 資料缺漏",IF($U259=1,"▲ 單一設備依賴","OK")))))</f>
        <v/>
      </c>
      <c xmlns="http://schemas.openxmlformats.org/spreadsheetml/2006/main" r="W259" s="18" t="str">
        <f>IF($E259="","",IF(AND($T259="V",$U259&gt;0),"「無使用調理設備」不可與設備欄同時勾選，請擇一修正",IF($T259="V","免調理半成品（外購/僅切配等），不列入設備風險評估",IF($U259=0,"未勾選任何設備，請補填或勾選「無使用調理設備」",IF($U259=1,"僅依賴1台設備，須確認故障/排修時之備援製程","無異常")))))</f>
        <v/>
      </c>
      <c xmlns="http://schemas.openxmlformats.org/spreadsheetml/2006/main" r="Z259" s="0">
        <f>IF($D259="",0,IF(COUNTIF($D$5:$D259,$D259)=1,1,0))</f>
        <v>0.0</v>
      </c>
      <c xmlns="http://schemas.openxmlformats.org/spreadsheetml/2006/main" r="AA259" s="0" t="str">
        <f>IF(Z259=1,SUM($Z$5:$Z259),"")</f>
        <v/>
      </c>
    </row>
    <row r="260" spans="1:1">
      <c r="A260" s="22"/>
      <c xmlns="http://schemas.openxmlformats.org/spreadsheetml/2006/main" r="U260" s="23" t="str">
        <f>IF($E260="","",COUNTIF($I260:$S260,"V"))</f>
        <v/>
      </c>
      <c xmlns="http://schemas.openxmlformats.org/spreadsheetml/2006/main" r="V260" s="22" t="str">
        <f>IF($E260="","",IF(AND($T260="V",$U260&gt;0),"⚠ 勾選矛盾",IF($T260="V","○ 免調理",IF($U260=0,"⚠ 資料缺漏",IF($U260=1,"▲ 單一設備依賴","OK")))))</f>
        <v/>
      </c>
      <c xmlns="http://schemas.openxmlformats.org/spreadsheetml/2006/main" r="W260" s="18" t="str">
        <f>IF($E260="","",IF(AND($T260="V",$U260&gt;0),"「無使用調理設備」不可與設備欄同時勾選，請擇一修正",IF($T260="V","免調理半成品（外購/僅切配等），不列入設備風險評估",IF($U260=0,"未勾選任何設備，請補填或勾選「無使用調理設備」",IF($U260=1,"僅依賴1台設備，須確認故障/排修時之備援製程","無異常")))))</f>
        <v/>
      </c>
      <c xmlns="http://schemas.openxmlformats.org/spreadsheetml/2006/main" r="Z260" s="0">
        <f>IF($D260="",0,IF(COUNTIF($D$5:$D260,$D260)=1,1,0))</f>
        <v>0.0</v>
      </c>
      <c xmlns="http://schemas.openxmlformats.org/spreadsheetml/2006/main" r="AA260" s="0" t="str">
        <f>IF(Z260=1,SUM($Z$5:$Z260),"")</f>
        <v/>
      </c>
    </row>
    <row r="261" spans="1:1">
      <c r="A261" s="22"/>
      <c xmlns="http://schemas.openxmlformats.org/spreadsheetml/2006/main" r="U261" s="23" t="str">
        <f>IF($E261="","",COUNTIF($I261:$S261,"V"))</f>
        <v/>
      </c>
      <c xmlns="http://schemas.openxmlformats.org/spreadsheetml/2006/main" r="V261" s="22" t="str">
        <f>IF($E261="","",IF(AND($T261="V",$U261&gt;0),"⚠ 勾選矛盾",IF($T261="V","○ 免調理",IF($U261=0,"⚠ 資料缺漏",IF($U261=1,"▲ 單一設備依賴","OK")))))</f>
        <v/>
      </c>
      <c xmlns="http://schemas.openxmlformats.org/spreadsheetml/2006/main" r="W261" s="18" t="str">
        <f>IF($E261="","",IF(AND($T261="V",$U261&gt;0),"「無使用調理設備」不可與設備欄同時勾選，請擇一修正",IF($T261="V","免調理半成品（外購/僅切配等），不列入設備風險評估",IF($U261=0,"未勾選任何設備，請補填或勾選「無使用調理設備」",IF($U261=1,"僅依賴1台設備，須確認故障/排修時之備援製程","無異常")))))</f>
        <v/>
      </c>
      <c xmlns="http://schemas.openxmlformats.org/spreadsheetml/2006/main" r="Z261" s="0">
        <f>IF($D261="",0,IF(COUNTIF($D$5:$D261,$D261)=1,1,0))</f>
        <v>0.0</v>
      </c>
      <c xmlns="http://schemas.openxmlformats.org/spreadsheetml/2006/main" r="AA261" s="0" t="str">
        <f>IF(Z261=1,SUM($Z$5:$Z261),"")</f>
        <v/>
      </c>
    </row>
    <row r="262" spans="1:1">
      <c r="A262" s="22"/>
      <c xmlns="http://schemas.openxmlformats.org/spreadsheetml/2006/main" r="U262" s="23" t="str">
        <f>IF($E262="","",COUNTIF($I262:$S262,"V"))</f>
        <v/>
      </c>
      <c xmlns="http://schemas.openxmlformats.org/spreadsheetml/2006/main" r="V262" s="22" t="str">
        <f>IF($E262="","",IF(AND($T262="V",$U262&gt;0),"⚠ 勾選矛盾",IF($T262="V","○ 免調理",IF($U262=0,"⚠ 資料缺漏",IF($U262=1,"▲ 單一設備依賴","OK")))))</f>
        <v/>
      </c>
      <c xmlns="http://schemas.openxmlformats.org/spreadsheetml/2006/main" r="W262" s="18" t="str">
        <f>IF($E262="","",IF(AND($T262="V",$U262&gt;0),"「無使用調理設備」不可與設備欄同時勾選，請擇一修正",IF($T262="V","免調理半成品（外購/僅切配等），不列入設備風險評估",IF($U262=0,"未勾選任何設備，請補填或勾選「無使用調理設備」",IF($U262=1,"僅依賴1台設備，須確認故障/排修時之備援製程","無異常")))))</f>
        <v/>
      </c>
      <c xmlns="http://schemas.openxmlformats.org/spreadsheetml/2006/main" r="Z262" s="0">
        <f>IF($D262="",0,IF(COUNTIF($D$5:$D262,$D262)=1,1,0))</f>
        <v>0.0</v>
      </c>
      <c xmlns="http://schemas.openxmlformats.org/spreadsheetml/2006/main" r="AA262" s="0" t="str">
        <f>IF(Z262=1,SUM($Z$5:$Z262),"")</f>
        <v/>
      </c>
    </row>
    <row r="263" spans="1:1">
      <c r="A263" s="22"/>
      <c xmlns="http://schemas.openxmlformats.org/spreadsheetml/2006/main" r="U263" s="23" t="str">
        <f>IF($E263="","",COUNTIF($I263:$S263,"V"))</f>
        <v/>
      </c>
      <c xmlns="http://schemas.openxmlformats.org/spreadsheetml/2006/main" r="V263" s="22" t="str">
        <f>IF($E263="","",IF(AND($T263="V",$U263&gt;0),"⚠ 勾選矛盾",IF($T263="V","○ 免調理",IF($U263=0,"⚠ 資料缺漏",IF($U263=1,"▲ 單一設備依賴","OK")))))</f>
        <v/>
      </c>
      <c xmlns="http://schemas.openxmlformats.org/spreadsheetml/2006/main" r="W263" s="18" t="str">
        <f>IF($E263="","",IF(AND($T263="V",$U263&gt;0),"「無使用調理設備」不可與設備欄同時勾選，請擇一修正",IF($T263="V","免調理半成品（外購/僅切配等），不列入設備風險評估",IF($U263=0,"未勾選任何設備，請補填或勾選「無使用調理設備」",IF($U263=1,"僅依賴1台設備，須確認故障/排修時之備援製程","無異常")))))</f>
        <v/>
      </c>
      <c xmlns="http://schemas.openxmlformats.org/spreadsheetml/2006/main" r="Z263" s="0">
        <f>IF($D263="",0,IF(COUNTIF($D$5:$D263,$D263)=1,1,0))</f>
        <v>0.0</v>
      </c>
      <c xmlns="http://schemas.openxmlformats.org/spreadsheetml/2006/main" r="AA263" s="0" t="str">
        <f>IF(Z263=1,SUM($Z$5:$Z263),"")</f>
        <v/>
      </c>
    </row>
    <row r="264" spans="1:1">
      <c r="A264" s="22"/>
      <c xmlns="http://schemas.openxmlformats.org/spreadsheetml/2006/main" r="U264" s="23" t="str">
        <f>IF($E264="","",COUNTIF($I264:$S264,"V"))</f>
        <v/>
      </c>
      <c xmlns="http://schemas.openxmlformats.org/spreadsheetml/2006/main" r="V264" s="22" t="str">
        <f>IF($E264="","",IF(AND($T264="V",$U264&gt;0),"⚠ 勾選矛盾",IF($T264="V","○ 免調理",IF($U264=0,"⚠ 資料缺漏",IF($U264=1,"▲ 單一設備依賴","OK")))))</f>
        <v/>
      </c>
      <c xmlns="http://schemas.openxmlformats.org/spreadsheetml/2006/main" r="W264" s="18" t="str">
        <f>IF($E264="","",IF(AND($T264="V",$U264&gt;0),"「無使用調理設備」不可與設備欄同時勾選，請擇一修正",IF($T264="V","免調理半成品（外購/僅切配等），不列入設備風險評估",IF($U264=0,"未勾選任何設備，請補填或勾選「無使用調理設備」",IF($U264=1,"僅依賴1台設備，須確認故障/排修時之備援製程","無異常")))))</f>
        <v/>
      </c>
      <c xmlns="http://schemas.openxmlformats.org/spreadsheetml/2006/main" r="Z264" s="0">
        <f>IF($D264="",0,IF(COUNTIF($D$5:$D264,$D264)=1,1,0))</f>
        <v>0.0</v>
      </c>
      <c xmlns="http://schemas.openxmlformats.org/spreadsheetml/2006/main" r="AA264" s="0" t="str">
        <f>IF(Z264=1,SUM($Z$5:$Z264),"")</f>
        <v/>
      </c>
    </row>
    <row r="265" spans="1:1">
      <c r="A265" s="22"/>
      <c xmlns="http://schemas.openxmlformats.org/spreadsheetml/2006/main" r="U265" s="23" t="str">
        <f>IF($E265="","",COUNTIF($I265:$S265,"V"))</f>
        <v/>
      </c>
      <c xmlns="http://schemas.openxmlformats.org/spreadsheetml/2006/main" r="V265" s="22" t="str">
        <f>IF($E265="","",IF(AND($T265="V",$U265&gt;0),"⚠ 勾選矛盾",IF($T265="V","○ 免調理",IF($U265=0,"⚠ 資料缺漏",IF($U265=1,"▲ 單一設備依賴","OK")))))</f>
        <v/>
      </c>
      <c xmlns="http://schemas.openxmlformats.org/spreadsheetml/2006/main" r="W265" s="18" t="str">
        <f>IF($E265="","",IF(AND($T265="V",$U265&gt;0),"「無使用調理設備」不可與設備欄同時勾選，請擇一修正",IF($T265="V","免調理半成品（外購/僅切配等），不列入設備風險評估",IF($U265=0,"未勾選任何設備，請補填或勾選「無使用調理設備」",IF($U265=1,"僅依賴1台設備，須確認故障/排修時之備援製程","無異常")))))</f>
        <v/>
      </c>
      <c xmlns="http://schemas.openxmlformats.org/spreadsheetml/2006/main" r="Z265" s="0">
        <f>IF($D265="",0,IF(COUNTIF($D$5:$D265,$D265)=1,1,0))</f>
        <v>0.0</v>
      </c>
      <c xmlns="http://schemas.openxmlformats.org/spreadsheetml/2006/main" r="AA265" s="0" t="str">
        <f>IF(Z265=1,SUM($Z$5:$Z265),"")</f>
        <v/>
      </c>
    </row>
    <row r="266" spans="1:1">
      <c r="A266" s="22"/>
      <c xmlns="http://schemas.openxmlformats.org/spreadsheetml/2006/main" r="U266" s="23" t="str">
        <f>IF($E266="","",COUNTIF($I266:$S266,"V"))</f>
        <v/>
      </c>
      <c xmlns="http://schemas.openxmlformats.org/spreadsheetml/2006/main" r="V266" s="22" t="str">
        <f>IF($E266="","",IF(AND($T266="V",$U266&gt;0),"⚠ 勾選矛盾",IF($T266="V","○ 免調理",IF($U266=0,"⚠ 資料缺漏",IF($U266=1,"▲ 單一設備依賴","OK")))))</f>
        <v/>
      </c>
      <c xmlns="http://schemas.openxmlformats.org/spreadsheetml/2006/main" r="W266" s="18" t="str">
        <f>IF($E266="","",IF(AND($T266="V",$U266&gt;0),"「無使用調理設備」不可與設備欄同時勾選，請擇一修正",IF($T266="V","免調理半成品（外購/僅切配等），不列入設備風險評估",IF($U266=0,"未勾選任何設備，請補填或勾選「無使用調理設備」",IF($U266=1,"僅依賴1台設備，須確認故障/排修時之備援製程","無異常")))))</f>
        <v/>
      </c>
      <c xmlns="http://schemas.openxmlformats.org/spreadsheetml/2006/main" r="Z266" s="0">
        <f>IF($D266="",0,IF(COUNTIF($D$5:$D266,$D266)=1,1,0))</f>
        <v>0.0</v>
      </c>
      <c xmlns="http://schemas.openxmlformats.org/spreadsheetml/2006/main" r="AA266" s="0" t="str">
        <f>IF(Z266=1,SUM($Z$5:$Z266),"")</f>
        <v/>
      </c>
    </row>
    <row r="267" spans="1:1">
      <c r="A267" s="22"/>
      <c xmlns="http://schemas.openxmlformats.org/spreadsheetml/2006/main" r="U267" s="23" t="str">
        <f>IF($E267="","",COUNTIF($I267:$S267,"V"))</f>
        <v/>
      </c>
      <c xmlns="http://schemas.openxmlformats.org/spreadsheetml/2006/main" r="V267" s="22" t="str">
        <f>IF($E267="","",IF(AND($T267="V",$U267&gt;0),"⚠ 勾選矛盾",IF($T267="V","○ 免調理",IF($U267=0,"⚠ 資料缺漏",IF($U267=1,"▲ 單一設備依賴","OK")))))</f>
        <v/>
      </c>
      <c xmlns="http://schemas.openxmlformats.org/spreadsheetml/2006/main" r="W267" s="18" t="str">
        <f>IF($E267="","",IF(AND($T267="V",$U267&gt;0),"「無使用調理設備」不可與設備欄同時勾選，請擇一修正",IF($T267="V","免調理半成品（外購/僅切配等），不列入設備風險評估",IF($U267=0,"未勾選任何設備，請補填或勾選「無使用調理設備」",IF($U267=1,"僅依賴1台設備，須確認故障/排修時之備援製程","無異常")))))</f>
        <v/>
      </c>
      <c xmlns="http://schemas.openxmlformats.org/spreadsheetml/2006/main" r="Z267" s="0">
        <f>IF($D267="",0,IF(COUNTIF($D$5:$D267,$D267)=1,1,0))</f>
        <v>0.0</v>
      </c>
      <c xmlns="http://schemas.openxmlformats.org/spreadsheetml/2006/main" r="AA267" s="0" t="str">
        <f>IF(Z267=1,SUM($Z$5:$Z267),"")</f>
        <v/>
      </c>
    </row>
    <row r="268" spans="1:1">
      <c r="A268" s="22"/>
      <c xmlns="http://schemas.openxmlformats.org/spreadsheetml/2006/main" r="U268" s="23" t="str">
        <f>IF($E268="","",COUNTIF($I268:$S268,"V"))</f>
        <v/>
      </c>
      <c xmlns="http://schemas.openxmlformats.org/spreadsheetml/2006/main" r="V268" s="22" t="str">
        <f>IF($E268="","",IF(AND($T268="V",$U268&gt;0),"⚠ 勾選矛盾",IF($T268="V","○ 免調理",IF($U268=0,"⚠ 資料缺漏",IF($U268=1,"▲ 單一設備依賴","OK")))))</f>
        <v/>
      </c>
      <c xmlns="http://schemas.openxmlformats.org/spreadsheetml/2006/main" r="W268" s="18" t="str">
        <f>IF($E268="","",IF(AND($T268="V",$U268&gt;0),"「無使用調理設備」不可與設備欄同時勾選，請擇一修正",IF($T268="V","免調理半成品（外購/僅切配等），不列入設備風險評估",IF($U268=0,"未勾選任何設備，請補填或勾選「無使用調理設備」",IF($U268=1,"僅依賴1台設備，須確認故障/排修時之備援製程","無異常")))))</f>
        <v/>
      </c>
      <c xmlns="http://schemas.openxmlformats.org/spreadsheetml/2006/main" r="Z268" s="0">
        <f>IF($D268="",0,IF(COUNTIF($D$5:$D268,$D268)=1,1,0))</f>
        <v>0.0</v>
      </c>
      <c xmlns="http://schemas.openxmlformats.org/spreadsheetml/2006/main" r="AA268" s="0" t="str">
        <f>IF(Z268=1,SUM($Z$5:$Z268),"")</f>
        <v/>
      </c>
    </row>
    <row r="269" spans="1:1">
      <c r="A269" s="22"/>
      <c xmlns="http://schemas.openxmlformats.org/spreadsheetml/2006/main" r="U269" s="23" t="str">
        <f>IF($E269="","",COUNTIF($I269:$S269,"V"))</f>
        <v/>
      </c>
      <c xmlns="http://schemas.openxmlformats.org/spreadsheetml/2006/main" r="V269" s="22" t="str">
        <f>IF($E269="","",IF(AND($T269="V",$U269&gt;0),"⚠ 勾選矛盾",IF($T269="V","○ 免調理",IF($U269=0,"⚠ 資料缺漏",IF($U269=1,"▲ 單一設備依賴","OK")))))</f>
        <v/>
      </c>
      <c xmlns="http://schemas.openxmlformats.org/spreadsheetml/2006/main" r="W269" s="18" t="str">
        <f>IF($E269="","",IF(AND($T269="V",$U269&gt;0),"「無使用調理設備」不可與設備欄同時勾選，請擇一修正",IF($T269="V","免調理半成品（外購/僅切配等），不列入設備風險評估",IF($U269=0,"未勾選任何設備，請補填或勾選「無使用調理設備」",IF($U269=1,"僅依賴1台設備，須確認故障/排修時之備援製程","無異常")))))</f>
        <v/>
      </c>
      <c xmlns="http://schemas.openxmlformats.org/spreadsheetml/2006/main" r="Z269" s="0">
        <f>IF($D269="",0,IF(COUNTIF($D$5:$D269,$D269)=1,1,0))</f>
        <v>0.0</v>
      </c>
      <c xmlns="http://schemas.openxmlformats.org/spreadsheetml/2006/main" r="AA269" s="0" t="str">
        <f>IF(Z269=1,SUM($Z$5:$Z269),"")</f>
        <v/>
      </c>
    </row>
    <row r="270" spans="1:1">
      <c r="A270" s="22"/>
      <c xmlns="http://schemas.openxmlformats.org/spreadsheetml/2006/main" r="U270" s="23" t="str">
        <f>IF($E270="","",COUNTIF($I270:$S270,"V"))</f>
        <v/>
      </c>
      <c xmlns="http://schemas.openxmlformats.org/spreadsheetml/2006/main" r="V270" s="22" t="str">
        <f>IF($E270="","",IF(AND($T270="V",$U270&gt;0),"⚠ 勾選矛盾",IF($T270="V","○ 免調理",IF($U270=0,"⚠ 資料缺漏",IF($U270=1,"▲ 單一設備依賴","OK")))))</f>
        <v/>
      </c>
      <c xmlns="http://schemas.openxmlformats.org/spreadsheetml/2006/main" r="W270" s="18" t="str">
        <f>IF($E270="","",IF(AND($T270="V",$U270&gt;0),"「無使用調理設備」不可與設備欄同時勾選，請擇一修正",IF($T270="V","免調理半成品（外購/僅切配等），不列入設備風險評估",IF($U270=0,"未勾選任何設備，請補填或勾選「無使用調理設備」",IF($U270=1,"僅依賴1台設備，須確認故障/排修時之備援製程","無異常")))))</f>
        <v/>
      </c>
      <c xmlns="http://schemas.openxmlformats.org/spreadsheetml/2006/main" r="Z270" s="0">
        <f>IF($D270="",0,IF(COUNTIF($D$5:$D270,$D270)=1,1,0))</f>
        <v>0.0</v>
      </c>
      <c xmlns="http://schemas.openxmlformats.org/spreadsheetml/2006/main" r="AA270" s="0" t="str">
        <f>IF(Z270=1,SUM($Z$5:$Z270),"")</f>
        <v/>
      </c>
    </row>
    <row r="271" spans="1:1">
      <c r="A271" s="22"/>
      <c xmlns="http://schemas.openxmlformats.org/spreadsheetml/2006/main" r="U271" s="23" t="str">
        <f>IF($E271="","",COUNTIF($I271:$S271,"V"))</f>
        <v/>
      </c>
      <c xmlns="http://schemas.openxmlformats.org/spreadsheetml/2006/main" r="V271" s="22" t="str">
        <f>IF($E271="","",IF(AND($T271="V",$U271&gt;0),"⚠ 勾選矛盾",IF($T271="V","○ 免調理",IF($U271=0,"⚠ 資料缺漏",IF($U271=1,"▲ 單一設備依賴","OK")))))</f>
        <v/>
      </c>
      <c xmlns="http://schemas.openxmlformats.org/spreadsheetml/2006/main" r="W271" s="18" t="str">
        <f>IF($E271="","",IF(AND($T271="V",$U271&gt;0),"「無使用調理設備」不可與設備欄同時勾選，請擇一修正",IF($T271="V","免調理半成品（外購/僅切配等），不列入設備風險評估",IF($U271=0,"未勾選任何設備，請補填或勾選「無使用調理設備」",IF($U271=1,"僅依賴1台設備，須確認故障/排修時之備援製程","無異常")))))</f>
        <v/>
      </c>
      <c xmlns="http://schemas.openxmlformats.org/spreadsheetml/2006/main" r="Z271" s="0">
        <f>IF($D271="",0,IF(COUNTIF($D$5:$D271,$D271)=1,1,0))</f>
        <v>0.0</v>
      </c>
      <c xmlns="http://schemas.openxmlformats.org/spreadsheetml/2006/main" r="AA271" s="0" t="str">
        <f>IF(Z271=1,SUM($Z$5:$Z271),"")</f>
        <v/>
      </c>
    </row>
    <row r="272" spans="1:1">
      <c r="A272" s="22"/>
      <c xmlns="http://schemas.openxmlformats.org/spreadsheetml/2006/main" r="U272" s="23" t="str">
        <f>IF($E272="","",COUNTIF($I272:$S272,"V"))</f>
        <v/>
      </c>
      <c xmlns="http://schemas.openxmlformats.org/spreadsheetml/2006/main" r="V272" s="22" t="str">
        <f>IF($E272="","",IF(AND($T272="V",$U272&gt;0),"⚠ 勾選矛盾",IF($T272="V","○ 免調理",IF($U272=0,"⚠ 資料缺漏",IF($U272=1,"▲ 單一設備依賴","OK")))))</f>
        <v/>
      </c>
      <c xmlns="http://schemas.openxmlformats.org/spreadsheetml/2006/main" r="W272" s="18" t="str">
        <f>IF($E272="","",IF(AND($T272="V",$U272&gt;0),"「無使用調理設備」不可與設備欄同時勾選，請擇一修正",IF($T272="V","免調理半成品（外購/僅切配等），不列入設備風險評估",IF($U272=0,"未勾選任何設備，請補填或勾選「無使用調理設備」",IF($U272=1,"僅依賴1台設備，須確認故障/排修時之備援製程","無異常")))))</f>
        <v/>
      </c>
      <c xmlns="http://schemas.openxmlformats.org/spreadsheetml/2006/main" r="Z272" s="0">
        <f>IF($D272="",0,IF(COUNTIF($D$5:$D272,$D272)=1,1,0))</f>
        <v>0.0</v>
      </c>
      <c xmlns="http://schemas.openxmlformats.org/spreadsheetml/2006/main" r="AA272" s="0" t="str">
        <f>IF(Z272=1,SUM($Z$5:$Z272),"")</f>
        <v/>
      </c>
    </row>
    <row r="273" spans="1:1">
      <c r="A273" s="22"/>
      <c xmlns="http://schemas.openxmlformats.org/spreadsheetml/2006/main" r="U273" s="23" t="str">
        <f>IF($E273="","",COUNTIF($I273:$S273,"V"))</f>
        <v/>
      </c>
      <c xmlns="http://schemas.openxmlformats.org/spreadsheetml/2006/main" r="V273" s="22" t="str">
        <f>IF($E273="","",IF(AND($T273="V",$U273&gt;0),"⚠ 勾選矛盾",IF($T273="V","○ 免調理",IF($U273=0,"⚠ 資料缺漏",IF($U273=1,"▲ 單一設備依賴","OK")))))</f>
        <v/>
      </c>
      <c xmlns="http://schemas.openxmlformats.org/spreadsheetml/2006/main" r="W273" s="18" t="str">
        <f>IF($E273="","",IF(AND($T273="V",$U273&gt;0),"「無使用調理設備」不可與設備欄同時勾選，請擇一修正",IF($T273="V","免調理半成品（外購/僅切配等），不列入設備風險評估",IF($U273=0,"未勾選任何設備，請補填或勾選「無使用調理設備」",IF($U273=1,"僅依賴1台設備，須確認故障/排修時之備援製程","無異常")))))</f>
        <v/>
      </c>
      <c xmlns="http://schemas.openxmlformats.org/spreadsheetml/2006/main" r="Z273" s="0">
        <f>IF($D273="",0,IF(COUNTIF($D$5:$D273,$D273)=1,1,0))</f>
        <v>0.0</v>
      </c>
      <c xmlns="http://schemas.openxmlformats.org/spreadsheetml/2006/main" r="AA273" s="0" t="str">
        <f>IF(Z273=1,SUM($Z$5:$Z273),"")</f>
        <v/>
      </c>
    </row>
    <row r="274" spans="1:1">
      <c r="A274" s="22"/>
      <c xmlns="http://schemas.openxmlformats.org/spreadsheetml/2006/main" r="U274" s="23" t="str">
        <f>IF($E274="","",COUNTIF($I274:$S274,"V"))</f>
        <v/>
      </c>
      <c xmlns="http://schemas.openxmlformats.org/spreadsheetml/2006/main" r="V274" s="22" t="str">
        <f>IF($E274="","",IF(AND($T274="V",$U274&gt;0),"⚠ 勾選矛盾",IF($T274="V","○ 免調理",IF($U274=0,"⚠ 資料缺漏",IF($U274=1,"▲ 單一設備依賴","OK")))))</f>
        <v/>
      </c>
      <c xmlns="http://schemas.openxmlformats.org/spreadsheetml/2006/main" r="W274" s="18" t="str">
        <f>IF($E274="","",IF(AND($T274="V",$U274&gt;0),"「無使用調理設備」不可與設備欄同時勾選，請擇一修正",IF($T274="V","免調理半成品（外購/僅切配等），不列入設備風險評估",IF($U274=0,"未勾選任何設備，請補填或勾選「無使用調理設備」",IF($U274=1,"僅依賴1台設備，須確認故障/排修時之備援製程","無異常")))))</f>
        <v/>
      </c>
      <c xmlns="http://schemas.openxmlformats.org/spreadsheetml/2006/main" r="Z274" s="0">
        <f>IF($D274="",0,IF(COUNTIF($D$5:$D274,$D274)=1,1,0))</f>
        <v>0.0</v>
      </c>
      <c xmlns="http://schemas.openxmlformats.org/spreadsheetml/2006/main" r="AA274" s="0" t="str">
        <f>IF(Z274=1,SUM($Z$5:$Z274),"")</f>
        <v/>
      </c>
    </row>
    <row r="275" spans="1:1">
      <c r="A275" s="22"/>
      <c xmlns="http://schemas.openxmlformats.org/spreadsheetml/2006/main" r="U275" s="23" t="str">
        <f>IF($E275="","",COUNTIF($I275:$S275,"V"))</f>
        <v/>
      </c>
      <c xmlns="http://schemas.openxmlformats.org/spreadsheetml/2006/main" r="V275" s="22" t="str">
        <f>IF($E275="","",IF(AND($T275="V",$U275&gt;0),"⚠ 勾選矛盾",IF($T275="V","○ 免調理",IF($U275=0,"⚠ 資料缺漏",IF($U275=1,"▲ 單一設備依賴","OK")))))</f>
        <v/>
      </c>
      <c xmlns="http://schemas.openxmlformats.org/spreadsheetml/2006/main" r="W275" s="18" t="str">
        <f>IF($E275="","",IF(AND($T275="V",$U275&gt;0),"「無使用調理設備」不可與設備欄同時勾選，請擇一修正",IF($T275="V","免調理半成品（外購/僅切配等），不列入設備風險評估",IF($U275=0,"未勾選任何設備，請補填或勾選「無使用調理設備」",IF($U275=1,"僅依賴1台設備，須確認故障/排修時之備援製程","無異常")))))</f>
        <v/>
      </c>
      <c xmlns="http://schemas.openxmlformats.org/spreadsheetml/2006/main" r="Z275" s="0">
        <f>IF($D275="",0,IF(COUNTIF($D$5:$D275,$D275)=1,1,0))</f>
        <v>0.0</v>
      </c>
      <c xmlns="http://schemas.openxmlformats.org/spreadsheetml/2006/main" r="AA275" s="0" t="str">
        <f>IF(Z275=1,SUM($Z$5:$Z275),"")</f>
        <v/>
      </c>
    </row>
    <row r="276" spans="1:1">
      <c r="A276" s="22"/>
      <c xmlns="http://schemas.openxmlformats.org/spreadsheetml/2006/main" r="U276" s="23" t="str">
        <f>IF($E276="","",COUNTIF($I276:$S276,"V"))</f>
        <v/>
      </c>
      <c xmlns="http://schemas.openxmlformats.org/spreadsheetml/2006/main" r="V276" s="22" t="str">
        <f>IF($E276="","",IF(AND($T276="V",$U276&gt;0),"⚠ 勾選矛盾",IF($T276="V","○ 免調理",IF($U276=0,"⚠ 資料缺漏",IF($U276=1,"▲ 單一設備依賴","OK")))))</f>
        <v/>
      </c>
      <c xmlns="http://schemas.openxmlformats.org/spreadsheetml/2006/main" r="W276" s="18" t="str">
        <f>IF($E276="","",IF(AND($T276="V",$U276&gt;0),"「無使用調理設備」不可與設備欄同時勾選，請擇一修正",IF($T276="V","免調理半成品（外購/僅切配等），不列入設備風險評估",IF($U276=0,"未勾選任何設備，請補填或勾選「無使用調理設備」",IF($U276=1,"僅依賴1台設備，須確認故障/排修時之備援製程","無異常")))))</f>
        <v/>
      </c>
      <c xmlns="http://schemas.openxmlformats.org/spreadsheetml/2006/main" r="Z276" s="0">
        <f>IF($D276="",0,IF(COUNTIF($D$5:$D276,$D276)=1,1,0))</f>
        <v>0.0</v>
      </c>
      <c xmlns="http://schemas.openxmlformats.org/spreadsheetml/2006/main" r="AA276" s="0" t="str">
        <f>IF(Z276=1,SUM($Z$5:$Z276),"")</f>
        <v/>
      </c>
    </row>
    <row r="277" spans="1:1">
      <c r="A277" s="22"/>
      <c xmlns="http://schemas.openxmlformats.org/spreadsheetml/2006/main" r="U277" s="23" t="str">
        <f>IF($E277="","",COUNTIF($I277:$S277,"V"))</f>
        <v/>
      </c>
      <c xmlns="http://schemas.openxmlformats.org/spreadsheetml/2006/main" r="V277" s="22" t="str">
        <f>IF($E277="","",IF(AND($T277="V",$U277&gt;0),"⚠ 勾選矛盾",IF($T277="V","○ 免調理",IF($U277=0,"⚠ 資料缺漏",IF($U277=1,"▲ 單一設備依賴","OK")))))</f>
        <v/>
      </c>
      <c xmlns="http://schemas.openxmlformats.org/spreadsheetml/2006/main" r="W277" s="18" t="str">
        <f>IF($E277="","",IF(AND($T277="V",$U277&gt;0),"「無使用調理設備」不可與設備欄同時勾選，請擇一修正",IF($T277="V","免調理半成品（外購/僅切配等），不列入設備風險評估",IF($U277=0,"未勾選任何設備，請補填或勾選「無使用調理設備」",IF($U277=1,"僅依賴1台設備，須確認故障/排修時之備援製程","無異常")))))</f>
        <v/>
      </c>
      <c xmlns="http://schemas.openxmlformats.org/spreadsheetml/2006/main" r="Z277" s="0">
        <f>IF($D277="",0,IF(COUNTIF($D$5:$D277,$D277)=1,1,0))</f>
        <v>0.0</v>
      </c>
      <c xmlns="http://schemas.openxmlformats.org/spreadsheetml/2006/main" r="AA277" s="0" t="str">
        <f>IF(Z277=1,SUM($Z$5:$Z277),"")</f>
        <v/>
      </c>
    </row>
    <row r="278" spans="1:1">
      <c r="A278" s="22"/>
      <c xmlns="http://schemas.openxmlformats.org/spreadsheetml/2006/main" r="U278" s="23" t="str">
        <f>IF($E278="","",COUNTIF($I278:$S278,"V"))</f>
        <v/>
      </c>
      <c xmlns="http://schemas.openxmlformats.org/spreadsheetml/2006/main" r="V278" s="22" t="str">
        <f>IF($E278="","",IF(AND($T278="V",$U278&gt;0),"⚠ 勾選矛盾",IF($T278="V","○ 免調理",IF($U278=0,"⚠ 資料缺漏",IF($U278=1,"▲ 單一設備依賴","OK")))))</f>
        <v/>
      </c>
      <c xmlns="http://schemas.openxmlformats.org/spreadsheetml/2006/main" r="W278" s="18" t="str">
        <f>IF($E278="","",IF(AND($T278="V",$U278&gt;0),"「無使用調理設備」不可與設備欄同時勾選，請擇一修正",IF($T278="V","免調理半成品（外購/僅切配等），不列入設備風險評估",IF($U278=0,"未勾選任何設備，請補填或勾選「無使用調理設備」",IF($U278=1,"僅依賴1台設備，須確認故障/排修時之備援製程","無異常")))))</f>
        <v/>
      </c>
      <c xmlns="http://schemas.openxmlformats.org/spreadsheetml/2006/main" r="Z278" s="0">
        <f>IF($D278="",0,IF(COUNTIF($D$5:$D278,$D278)=1,1,0))</f>
        <v>0.0</v>
      </c>
      <c xmlns="http://schemas.openxmlformats.org/spreadsheetml/2006/main" r="AA278" s="0" t="str">
        <f>IF(Z278=1,SUM($Z$5:$Z278),"")</f>
        <v/>
      </c>
    </row>
    <row r="279" spans="1:1">
      <c r="A279" s="22"/>
      <c xmlns="http://schemas.openxmlformats.org/spreadsheetml/2006/main" r="U279" s="23" t="str">
        <f>IF($E279="","",COUNTIF($I279:$S279,"V"))</f>
        <v/>
      </c>
      <c xmlns="http://schemas.openxmlformats.org/spreadsheetml/2006/main" r="V279" s="22" t="str">
        <f>IF($E279="","",IF(AND($T279="V",$U279&gt;0),"⚠ 勾選矛盾",IF($T279="V","○ 免調理",IF($U279=0,"⚠ 資料缺漏",IF($U279=1,"▲ 單一設備依賴","OK")))))</f>
        <v/>
      </c>
      <c xmlns="http://schemas.openxmlformats.org/spreadsheetml/2006/main" r="W279" s="18" t="str">
        <f>IF($E279="","",IF(AND($T279="V",$U279&gt;0),"「無使用調理設備」不可與設備欄同時勾選，請擇一修正",IF($T279="V","免調理半成品（外購/僅切配等），不列入設備風險評估",IF($U279=0,"未勾選任何設備，請補填或勾選「無使用調理設備」",IF($U279=1,"僅依賴1台設備，須確認故障/排修時之備援製程","無異常")))))</f>
        <v/>
      </c>
      <c xmlns="http://schemas.openxmlformats.org/spreadsheetml/2006/main" r="Z279" s="0">
        <f>IF($D279="",0,IF(COUNTIF($D$5:$D279,$D279)=1,1,0))</f>
        <v>0.0</v>
      </c>
      <c xmlns="http://schemas.openxmlformats.org/spreadsheetml/2006/main" r="AA279" s="0" t="str">
        <f>IF(Z279=1,SUM($Z$5:$Z279),"")</f>
        <v/>
      </c>
    </row>
    <row r="280" spans="1:1">
      <c r="A280" s="22"/>
      <c xmlns="http://schemas.openxmlformats.org/spreadsheetml/2006/main" r="U280" s="23" t="str">
        <f>IF($E280="","",COUNTIF($I280:$S280,"V"))</f>
        <v/>
      </c>
      <c xmlns="http://schemas.openxmlformats.org/spreadsheetml/2006/main" r="V280" s="22" t="str">
        <f>IF($E280="","",IF(AND($T280="V",$U280&gt;0),"⚠ 勾選矛盾",IF($T280="V","○ 免調理",IF($U280=0,"⚠ 資料缺漏",IF($U280=1,"▲ 單一設備依賴","OK")))))</f>
        <v/>
      </c>
      <c xmlns="http://schemas.openxmlformats.org/spreadsheetml/2006/main" r="W280" s="18" t="str">
        <f>IF($E280="","",IF(AND($T280="V",$U280&gt;0),"「無使用調理設備」不可與設備欄同時勾選，請擇一修正",IF($T280="V","免調理半成品（外購/僅切配等），不列入設備風險評估",IF($U280=0,"未勾選任何設備，請補填或勾選「無使用調理設備」",IF($U280=1,"僅依賴1台設備，須確認故障/排修時之備援製程","無異常")))))</f>
        <v/>
      </c>
      <c xmlns="http://schemas.openxmlformats.org/spreadsheetml/2006/main" r="Z280" s="0">
        <f>IF($D280="",0,IF(COUNTIF($D$5:$D280,$D280)=1,1,0))</f>
        <v>0.0</v>
      </c>
      <c xmlns="http://schemas.openxmlformats.org/spreadsheetml/2006/main" r="AA280" s="0" t="str">
        <f>IF(Z280=1,SUM($Z$5:$Z280),"")</f>
        <v/>
      </c>
    </row>
    <row r="281" spans="1:1">
      <c r="A281" s="22"/>
      <c xmlns="http://schemas.openxmlformats.org/spreadsheetml/2006/main" r="U281" s="23" t="str">
        <f>IF($E281="","",COUNTIF($I281:$S281,"V"))</f>
        <v/>
      </c>
      <c xmlns="http://schemas.openxmlformats.org/spreadsheetml/2006/main" r="V281" s="22" t="str">
        <f>IF($E281="","",IF(AND($T281="V",$U281&gt;0),"⚠ 勾選矛盾",IF($T281="V","○ 免調理",IF($U281=0,"⚠ 資料缺漏",IF($U281=1,"▲ 單一設備依賴","OK")))))</f>
        <v/>
      </c>
      <c xmlns="http://schemas.openxmlformats.org/spreadsheetml/2006/main" r="W281" s="18" t="str">
        <f>IF($E281="","",IF(AND($T281="V",$U281&gt;0),"「無使用調理設備」不可與設備欄同時勾選，請擇一修正",IF($T281="V","免調理半成品（外購/僅切配等），不列入設備風險評估",IF($U281=0,"未勾選任何設備，請補填或勾選「無使用調理設備」",IF($U281=1,"僅依賴1台設備，須確認故障/排修時之備援製程","無異常")))))</f>
        <v/>
      </c>
      <c xmlns="http://schemas.openxmlformats.org/spreadsheetml/2006/main" r="Z281" s="0">
        <f>IF($D281="",0,IF(COUNTIF($D$5:$D281,$D281)=1,1,0))</f>
        <v>0.0</v>
      </c>
      <c xmlns="http://schemas.openxmlformats.org/spreadsheetml/2006/main" r="AA281" s="0" t="str">
        <f>IF(Z281=1,SUM($Z$5:$Z281),"")</f>
        <v/>
      </c>
    </row>
    <row r="282" spans="1:1">
      <c r="A282" s="22"/>
      <c xmlns="http://schemas.openxmlformats.org/spreadsheetml/2006/main" r="U282" s="23" t="str">
        <f>IF($E282="","",COUNTIF($I282:$S282,"V"))</f>
        <v/>
      </c>
      <c xmlns="http://schemas.openxmlformats.org/spreadsheetml/2006/main" r="V282" s="22" t="str">
        <f>IF($E282="","",IF(AND($T282="V",$U282&gt;0),"⚠ 勾選矛盾",IF($T282="V","○ 免調理",IF($U282=0,"⚠ 資料缺漏",IF($U282=1,"▲ 單一設備依賴","OK")))))</f>
        <v/>
      </c>
      <c xmlns="http://schemas.openxmlformats.org/spreadsheetml/2006/main" r="W282" s="18" t="str">
        <f>IF($E282="","",IF(AND($T282="V",$U282&gt;0),"「無使用調理設備」不可與設備欄同時勾選，請擇一修正",IF($T282="V","免調理半成品（外購/僅切配等），不列入設備風險評估",IF($U282=0,"未勾選任何設備，請補填或勾選「無使用調理設備」",IF($U282=1,"僅依賴1台設備，須確認故障/排修時之備援製程","無異常")))))</f>
        <v/>
      </c>
      <c xmlns="http://schemas.openxmlformats.org/spreadsheetml/2006/main" r="Z282" s="0">
        <f>IF($D282="",0,IF(COUNTIF($D$5:$D282,$D282)=1,1,0))</f>
        <v>0.0</v>
      </c>
      <c xmlns="http://schemas.openxmlformats.org/spreadsheetml/2006/main" r="AA282" s="0" t="str">
        <f>IF(Z282=1,SUM($Z$5:$Z282),"")</f>
        <v/>
      </c>
    </row>
    <row r="283" spans="1:1">
      <c r="A283" s="22"/>
      <c xmlns="http://schemas.openxmlformats.org/spreadsheetml/2006/main" r="U283" s="23" t="str">
        <f>IF($E283="","",COUNTIF($I283:$S283,"V"))</f>
        <v/>
      </c>
      <c xmlns="http://schemas.openxmlformats.org/spreadsheetml/2006/main" r="V283" s="22" t="str">
        <f>IF($E283="","",IF(AND($T283="V",$U283&gt;0),"⚠ 勾選矛盾",IF($T283="V","○ 免調理",IF($U283=0,"⚠ 資料缺漏",IF($U283=1,"▲ 單一設備依賴","OK")))))</f>
        <v/>
      </c>
      <c xmlns="http://schemas.openxmlformats.org/spreadsheetml/2006/main" r="W283" s="18" t="str">
        <f>IF($E283="","",IF(AND($T283="V",$U283&gt;0),"「無使用調理設備」不可與設備欄同時勾選，請擇一修正",IF($T283="V","免調理半成品（外購/僅切配等），不列入設備風險評估",IF($U283=0,"未勾選任何設備，請補填或勾選「無使用調理設備」",IF($U283=1,"僅依賴1台設備，須確認故障/排修時之備援製程","無異常")))))</f>
        <v/>
      </c>
      <c xmlns="http://schemas.openxmlformats.org/spreadsheetml/2006/main" r="Z283" s="0">
        <f>IF($D283="",0,IF(COUNTIF($D$5:$D283,$D283)=1,1,0))</f>
        <v>0.0</v>
      </c>
      <c xmlns="http://schemas.openxmlformats.org/spreadsheetml/2006/main" r="AA283" s="0" t="str">
        <f>IF(Z283=1,SUM($Z$5:$Z283),"")</f>
        <v/>
      </c>
    </row>
    <row r="284" spans="1:1">
      <c r="A284" s="22"/>
      <c xmlns="http://schemas.openxmlformats.org/spreadsheetml/2006/main" r="U284" s="23" t="str">
        <f>IF($E284="","",COUNTIF($I284:$S284,"V"))</f>
        <v/>
      </c>
      <c xmlns="http://schemas.openxmlformats.org/spreadsheetml/2006/main" r="V284" s="22" t="str">
        <f>IF($E284="","",IF(AND($T284="V",$U284&gt;0),"⚠ 勾選矛盾",IF($T284="V","○ 免調理",IF($U284=0,"⚠ 資料缺漏",IF($U284=1,"▲ 單一設備依賴","OK")))))</f>
        <v/>
      </c>
      <c xmlns="http://schemas.openxmlformats.org/spreadsheetml/2006/main" r="W284" s="18" t="str">
        <f>IF($E284="","",IF(AND($T284="V",$U284&gt;0),"「無使用調理設備」不可與設備欄同時勾選，請擇一修正",IF($T284="V","免調理半成品（外購/僅切配等），不列入設備風險評估",IF($U284=0,"未勾選任何設備，請補填或勾選「無使用調理設備」",IF($U284=1,"僅依賴1台設備，須確認故障/排修時之備援製程","無異常")))))</f>
        <v/>
      </c>
      <c xmlns="http://schemas.openxmlformats.org/spreadsheetml/2006/main" r="Z284" s="0">
        <f>IF($D284="",0,IF(COUNTIF($D$5:$D284,$D284)=1,1,0))</f>
        <v>0.0</v>
      </c>
      <c xmlns="http://schemas.openxmlformats.org/spreadsheetml/2006/main" r="AA284" s="0" t="str">
        <f>IF(Z284=1,SUM($Z$5:$Z284),"")</f>
        <v/>
      </c>
    </row>
    <row r="285" spans="1:1">
      <c r="A285" s="22"/>
      <c xmlns="http://schemas.openxmlformats.org/spreadsheetml/2006/main" r="U285" s="23" t="str">
        <f>IF($E285="","",COUNTIF($I285:$S285,"V"))</f>
        <v/>
      </c>
      <c xmlns="http://schemas.openxmlformats.org/spreadsheetml/2006/main" r="V285" s="22" t="str">
        <f>IF($E285="","",IF(AND($T285="V",$U285&gt;0),"⚠ 勾選矛盾",IF($T285="V","○ 免調理",IF($U285=0,"⚠ 資料缺漏",IF($U285=1,"▲ 單一設備依賴","OK")))))</f>
        <v/>
      </c>
      <c xmlns="http://schemas.openxmlformats.org/spreadsheetml/2006/main" r="W285" s="18" t="str">
        <f>IF($E285="","",IF(AND($T285="V",$U285&gt;0),"「無使用調理設備」不可與設備欄同時勾選，請擇一修正",IF($T285="V","免調理半成品（外購/僅切配等），不列入設備風險評估",IF($U285=0,"未勾選任何設備，請補填或勾選「無使用調理設備」",IF($U285=1,"僅依賴1台設備，須確認故障/排修時之備援製程","無異常")))))</f>
        <v/>
      </c>
      <c xmlns="http://schemas.openxmlformats.org/spreadsheetml/2006/main" r="Z285" s="0">
        <f>IF($D285="",0,IF(COUNTIF($D$5:$D285,$D285)=1,1,0))</f>
        <v>0.0</v>
      </c>
      <c xmlns="http://schemas.openxmlformats.org/spreadsheetml/2006/main" r="AA285" s="0" t="str">
        <f>IF(Z285=1,SUM($Z$5:$Z285),"")</f>
        <v/>
      </c>
    </row>
    <row r="286" spans="1:1">
      <c r="A286" s="22"/>
      <c xmlns="http://schemas.openxmlformats.org/spreadsheetml/2006/main" r="U286" s="23" t="str">
        <f>IF($E286="","",COUNTIF($I286:$S286,"V"))</f>
        <v/>
      </c>
      <c xmlns="http://schemas.openxmlformats.org/spreadsheetml/2006/main" r="V286" s="22" t="str">
        <f>IF($E286="","",IF(AND($T286="V",$U286&gt;0),"⚠ 勾選矛盾",IF($T286="V","○ 免調理",IF($U286=0,"⚠ 資料缺漏",IF($U286=1,"▲ 單一設備依賴","OK")))))</f>
        <v/>
      </c>
      <c xmlns="http://schemas.openxmlformats.org/spreadsheetml/2006/main" r="W286" s="18" t="str">
        <f>IF($E286="","",IF(AND($T286="V",$U286&gt;0),"「無使用調理設備」不可與設備欄同時勾選，請擇一修正",IF($T286="V","免調理半成品（外購/僅切配等），不列入設備風險評估",IF($U286=0,"未勾選任何設備，請補填或勾選「無使用調理設備」",IF($U286=1,"僅依賴1台設備，須確認故障/排修時之備援製程","無異常")))))</f>
        <v/>
      </c>
      <c xmlns="http://schemas.openxmlformats.org/spreadsheetml/2006/main" r="Z286" s="0">
        <f>IF($D286="",0,IF(COUNTIF($D$5:$D286,$D286)=1,1,0))</f>
        <v>0.0</v>
      </c>
      <c xmlns="http://schemas.openxmlformats.org/spreadsheetml/2006/main" r="AA286" s="0" t="str">
        <f>IF(Z286=1,SUM($Z$5:$Z286),"")</f>
        <v/>
      </c>
    </row>
    <row r="287" spans="1:1">
      <c r="A287" s="22"/>
      <c xmlns="http://schemas.openxmlformats.org/spreadsheetml/2006/main" r="U287" s="23" t="str">
        <f>IF($E287="","",COUNTIF($I287:$S287,"V"))</f>
        <v/>
      </c>
      <c xmlns="http://schemas.openxmlformats.org/spreadsheetml/2006/main" r="V287" s="22" t="str">
        <f>IF($E287="","",IF(AND($T287="V",$U287&gt;0),"⚠ 勾選矛盾",IF($T287="V","○ 免調理",IF($U287=0,"⚠ 資料缺漏",IF($U287=1,"▲ 單一設備依賴","OK")))))</f>
        <v/>
      </c>
      <c xmlns="http://schemas.openxmlformats.org/spreadsheetml/2006/main" r="W287" s="18" t="str">
        <f>IF($E287="","",IF(AND($T287="V",$U287&gt;0),"「無使用調理設備」不可與設備欄同時勾選，請擇一修正",IF($T287="V","免調理半成品（外購/僅切配等），不列入設備風險評估",IF($U287=0,"未勾選任何設備，請補填或勾選「無使用調理設備」",IF($U287=1,"僅依賴1台設備，須確認故障/排修時之備援製程","無異常")))))</f>
        <v/>
      </c>
      <c xmlns="http://schemas.openxmlformats.org/spreadsheetml/2006/main" r="Z287" s="0">
        <f>IF($D287="",0,IF(COUNTIF($D$5:$D287,$D287)=1,1,0))</f>
        <v>0.0</v>
      </c>
      <c xmlns="http://schemas.openxmlformats.org/spreadsheetml/2006/main" r="AA287" s="0" t="str">
        <f>IF(Z287=1,SUM($Z$5:$Z287),"")</f>
        <v/>
      </c>
    </row>
    <row r="288" spans="1:1">
      <c r="A288" s="22"/>
      <c xmlns="http://schemas.openxmlformats.org/spreadsheetml/2006/main" r="U288" s="23" t="str">
        <f>IF($E288="","",COUNTIF($I288:$S288,"V"))</f>
        <v/>
      </c>
      <c xmlns="http://schemas.openxmlformats.org/spreadsheetml/2006/main" r="V288" s="22" t="str">
        <f>IF($E288="","",IF(AND($T288="V",$U288&gt;0),"⚠ 勾選矛盾",IF($T288="V","○ 免調理",IF($U288=0,"⚠ 資料缺漏",IF($U288=1,"▲ 單一設備依賴","OK")))))</f>
        <v/>
      </c>
      <c xmlns="http://schemas.openxmlformats.org/spreadsheetml/2006/main" r="W288" s="18" t="str">
        <f>IF($E288="","",IF(AND($T288="V",$U288&gt;0),"「無使用調理設備」不可與設備欄同時勾選，請擇一修正",IF($T288="V","免調理半成品（外購/僅切配等），不列入設備風險評估",IF($U288=0,"未勾選任何設備，請補填或勾選「無使用調理設備」",IF($U288=1,"僅依賴1台設備，須確認故障/排修時之備援製程","無異常")))))</f>
        <v/>
      </c>
      <c xmlns="http://schemas.openxmlformats.org/spreadsheetml/2006/main" r="Z288" s="0">
        <f>IF($D288="",0,IF(COUNTIF($D$5:$D288,$D288)=1,1,0))</f>
        <v>0.0</v>
      </c>
      <c xmlns="http://schemas.openxmlformats.org/spreadsheetml/2006/main" r="AA288" s="0" t="str">
        <f>IF(Z288=1,SUM($Z$5:$Z288),"")</f>
        <v/>
      </c>
    </row>
    <row r="289" spans="1:1">
      <c r="A289" s="22"/>
      <c xmlns="http://schemas.openxmlformats.org/spreadsheetml/2006/main" r="U289" s="23" t="str">
        <f>IF($E289="","",COUNTIF($I289:$S289,"V"))</f>
        <v/>
      </c>
      <c xmlns="http://schemas.openxmlformats.org/spreadsheetml/2006/main" r="V289" s="22" t="str">
        <f>IF($E289="","",IF(AND($T289="V",$U289&gt;0),"⚠ 勾選矛盾",IF($T289="V","○ 免調理",IF($U289=0,"⚠ 資料缺漏",IF($U289=1,"▲ 單一設備依賴","OK")))))</f>
        <v/>
      </c>
      <c xmlns="http://schemas.openxmlformats.org/spreadsheetml/2006/main" r="W289" s="18" t="str">
        <f>IF($E289="","",IF(AND($T289="V",$U289&gt;0),"「無使用調理設備」不可與設備欄同時勾選，請擇一修正",IF($T289="V","免調理半成品（外購/僅切配等），不列入設備風險評估",IF($U289=0,"未勾選任何設備，請補填或勾選「無使用調理設備」",IF($U289=1,"僅依賴1台設備，須確認故障/排修時之備援製程","無異常")))))</f>
        <v/>
      </c>
      <c xmlns="http://schemas.openxmlformats.org/spreadsheetml/2006/main" r="Z289" s="0">
        <f>IF($D289="",0,IF(COUNTIF($D$5:$D289,$D289)=1,1,0))</f>
        <v>0.0</v>
      </c>
      <c xmlns="http://schemas.openxmlformats.org/spreadsheetml/2006/main" r="AA289" s="0" t="str">
        <f>IF(Z289=1,SUM($Z$5:$Z289),"")</f>
        <v/>
      </c>
    </row>
    <row r="290" spans="1:1">
      <c r="A290" s="22"/>
      <c xmlns="http://schemas.openxmlformats.org/spreadsheetml/2006/main" r="U290" s="23" t="str">
        <f>IF($E290="","",COUNTIF($I290:$S290,"V"))</f>
        <v/>
      </c>
      <c xmlns="http://schemas.openxmlformats.org/spreadsheetml/2006/main" r="V290" s="22" t="str">
        <f>IF($E290="","",IF(AND($T290="V",$U290&gt;0),"⚠ 勾選矛盾",IF($T290="V","○ 免調理",IF($U290=0,"⚠ 資料缺漏",IF($U290=1,"▲ 單一設備依賴","OK")))))</f>
        <v/>
      </c>
      <c xmlns="http://schemas.openxmlformats.org/spreadsheetml/2006/main" r="W290" s="18" t="str">
        <f>IF($E290="","",IF(AND($T290="V",$U290&gt;0),"「無使用調理設備」不可與設備欄同時勾選，請擇一修正",IF($T290="V","免調理半成品（外購/僅切配等），不列入設備風險評估",IF($U290=0,"未勾選任何設備，請補填或勾選「無使用調理設備」",IF($U290=1,"僅依賴1台設備，須確認故障/排修時之備援製程","無異常")))))</f>
        <v/>
      </c>
      <c xmlns="http://schemas.openxmlformats.org/spreadsheetml/2006/main" r="Z290" s="0">
        <f>IF($D290="",0,IF(COUNTIF($D$5:$D290,$D290)=1,1,0))</f>
        <v>0.0</v>
      </c>
      <c xmlns="http://schemas.openxmlformats.org/spreadsheetml/2006/main" r="AA290" s="0" t="str">
        <f>IF(Z290=1,SUM($Z$5:$Z290),"")</f>
        <v/>
      </c>
    </row>
    <row r="291" spans="1:1">
      <c r="A291" s="22"/>
      <c xmlns="http://schemas.openxmlformats.org/spreadsheetml/2006/main" r="U291" s="23" t="str">
        <f>IF($E291="","",COUNTIF($I291:$S291,"V"))</f>
        <v/>
      </c>
      <c xmlns="http://schemas.openxmlformats.org/spreadsheetml/2006/main" r="V291" s="22" t="str">
        <f>IF($E291="","",IF(AND($T291="V",$U291&gt;0),"⚠ 勾選矛盾",IF($T291="V","○ 免調理",IF($U291=0,"⚠ 資料缺漏",IF($U291=1,"▲ 單一設備依賴","OK")))))</f>
        <v/>
      </c>
      <c xmlns="http://schemas.openxmlformats.org/spreadsheetml/2006/main" r="W291" s="18" t="str">
        <f>IF($E291="","",IF(AND($T291="V",$U291&gt;0),"「無使用調理設備」不可與設備欄同時勾選，請擇一修正",IF($T291="V","免調理半成品（外購/僅切配等），不列入設備風險評估",IF($U291=0,"未勾選任何設備，請補填或勾選「無使用調理設備」",IF($U291=1,"僅依賴1台設備，須確認故障/排修時之備援製程","無異常")))))</f>
        <v/>
      </c>
      <c xmlns="http://schemas.openxmlformats.org/spreadsheetml/2006/main" r="Z291" s="0">
        <f>IF($D291="",0,IF(COUNTIF($D$5:$D291,$D291)=1,1,0))</f>
        <v>0.0</v>
      </c>
      <c xmlns="http://schemas.openxmlformats.org/spreadsheetml/2006/main" r="AA291" s="0" t="str">
        <f>IF(Z291=1,SUM($Z$5:$Z291),"")</f>
        <v/>
      </c>
    </row>
    <row r="292" spans="1:1">
      <c r="A292" s="22"/>
      <c xmlns="http://schemas.openxmlformats.org/spreadsheetml/2006/main" r="U292" s="23" t="str">
        <f>IF($E292="","",COUNTIF($I292:$S292,"V"))</f>
        <v/>
      </c>
      <c xmlns="http://schemas.openxmlformats.org/spreadsheetml/2006/main" r="V292" s="22" t="str">
        <f>IF($E292="","",IF(AND($T292="V",$U292&gt;0),"⚠ 勾選矛盾",IF($T292="V","○ 免調理",IF($U292=0,"⚠ 資料缺漏",IF($U292=1,"▲ 單一設備依賴","OK")))))</f>
        <v/>
      </c>
      <c xmlns="http://schemas.openxmlformats.org/spreadsheetml/2006/main" r="W292" s="18" t="str">
        <f>IF($E292="","",IF(AND($T292="V",$U292&gt;0),"「無使用調理設備」不可與設備欄同時勾選，請擇一修正",IF($T292="V","免調理半成品（外購/僅切配等），不列入設備風險評估",IF($U292=0,"未勾選任何設備，請補填或勾選「無使用調理設備」",IF($U292=1,"僅依賴1台設備，須確認故障/排修時之備援製程","無異常")))))</f>
        <v/>
      </c>
      <c xmlns="http://schemas.openxmlformats.org/spreadsheetml/2006/main" r="Z292" s="0">
        <f>IF($D292="",0,IF(COUNTIF($D$5:$D292,$D292)=1,1,0))</f>
        <v>0.0</v>
      </c>
      <c xmlns="http://schemas.openxmlformats.org/spreadsheetml/2006/main" r="AA292" s="0" t="str">
        <f>IF(Z292=1,SUM($Z$5:$Z292),"")</f>
        <v/>
      </c>
    </row>
    <row r="293" spans="1:1">
      <c r="A293" s="22"/>
      <c xmlns="http://schemas.openxmlformats.org/spreadsheetml/2006/main" r="U293" s="23" t="str">
        <f>IF($E293="","",COUNTIF($I293:$S293,"V"))</f>
        <v/>
      </c>
      <c xmlns="http://schemas.openxmlformats.org/spreadsheetml/2006/main" r="V293" s="22" t="str">
        <f>IF($E293="","",IF(AND($T293="V",$U293&gt;0),"⚠ 勾選矛盾",IF($T293="V","○ 免調理",IF($U293=0,"⚠ 資料缺漏",IF($U293=1,"▲ 單一設備依賴","OK")))))</f>
        <v/>
      </c>
      <c xmlns="http://schemas.openxmlformats.org/spreadsheetml/2006/main" r="W293" s="18" t="str">
        <f>IF($E293="","",IF(AND($T293="V",$U293&gt;0),"「無使用調理設備」不可與設備欄同時勾選，請擇一修正",IF($T293="V","免調理半成品（外購/僅切配等），不列入設備風險評估",IF($U293=0,"未勾選任何設備，請補填或勾選「無使用調理設備」",IF($U293=1,"僅依賴1台設備，須確認故障/排修時之備援製程","無異常")))))</f>
        <v/>
      </c>
      <c xmlns="http://schemas.openxmlformats.org/spreadsheetml/2006/main" r="Z293" s="0">
        <f>IF($D293="",0,IF(COUNTIF($D$5:$D293,$D293)=1,1,0))</f>
        <v>0.0</v>
      </c>
      <c xmlns="http://schemas.openxmlformats.org/spreadsheetml/2006/main" r="AA293" s="0" t="str">
        <f>IF(Z293=1,SUM($Z$5:$Z293),"")</f>
        <v/>
      </c>
    </row>
    <row r="294" spans="1:1">
      <c r="A294" s="22"/>
      <c xmlns="http://schemas.openxmlformats.org/spreadsheetml/2006/main" r="U294" s="23" t="str">
        <f>IF($E294="","",COUNTIF($I294:$S294,"V"))</f>
        <v/>
      </c>
      <c xmlns="http://schemas.openxmlformats.org/spreadsheetml/2006/main" r="V294" s="22" t="str">
        <f>IF($E294="","",IF(AND($T294="V",$U294&gt;0),"⚠ 勾選矛盾",IF($T294="V","○ 免調理",IF($U294=0,"⚠ 資料缺漏",IF($U294=1,"▲ 單一設備依賴","OK")))))</f>
        <v/>
      </c>
      <c xmlns="http://schemas.openxmlformats.org/spreadsheetml/2006/main" r="W294" s="18" t="str">
        <f>IF($E294="","",IF(AND($T294="V",$U294&gt;0),"「無使用調理設備」不可與設備欄同時勾選，請擇一修正",IF($T294="V","免調理半成品（外購/僅切配等），不列入設備風險評估",IF($U294=0,"未勾選任何設備，請補填或勾選「無使用調理設備」",IF($U294=1,"僅依賴1台設備，須確認故障/排修時之備援製程","無異常")))))</f>
        <v/>
      </c>
      <c xmlns="http://schemas.openxmlformats.org/spreadsheetml/2006/main" r="Z294" s="0">
        <f>IF($D294="",0,IF(COUNTIF($D$5:$D294,$D294)=1,1,0))</f>
        <v>0.0</v>
      </c>
      <c xmlns="http://schemas.openxmlformats.org/spreadsheetml/2006/main" r="AA294" s="0" t="str">
        <f>IF(Z294=1,SUM($Z$5:$Z294),"")</f>
        <v/>
      </c>
    </row>
    <row r="295" spans="1:1">
      <c r="A295" s="22"/>
      <c xmlns="http://schemas.openxmlformats.org/spreadsheetml/2006/main" r="U295" s="23" t="str">
        <f>IF($E295="","",COUNTIF($I295:$S295,"V"))</f>
        <v/>
      </c>
      <c xmlns="http://schemas.openxmlformats.org/spreadsheetml/2006/main" r="V295" s="22" t="str">
        <f>IF($E295="","",IF(AND($T295="V",$U295&gt;0),"⚠ 勾選矛盾",IF($T295="V","○ 免調理",IF($U295=0,"⚠ 資料缺漏",IF($U295=1,"▲ 單一設備依賴","OK")))))</f>
        <v/>
      </c>
      <c xmlns="http://schemas.openxmlformats.org/spreadsheetml/2006/main" r="W295" s="18" t="str">
        <f>IF($E295="","",IF(AND($T295="V",$U295&gt;0),"「無使用調理設備」不可與設備欄同時勾選，請擇一修正",IF($T295="V","免調理半成品（外購/僅切配等），不列入設備風險評估",IF($U295=0,"未勾選任何設備，請補填或勾選「無使用調理設備」",IF($U295=1,"僅依賴1台設備，須確認故障/排修時之備援製程","無異常")))))</f>
        <v/>
      </c>
      <c xmlns="http://schemas.openxmlformats.org/spreadsheetml/2006/main" r="Z295" s="0">
        <f>IF($D295="",0,IF(COUNTIF($D$5:$D295,$D295)=1,1,0))</f>
        <v>0.0</v>
      </c>
      <c xmlns="http://schemas.openxmlformats.org/spreadsheetml/2006/main" r="AA295" s="0" t="str">
        <f>IF(Z295=1,SUM($Z$5:$Z295),"")</f>
        <v/>
      </c>
    </row>
    <row r="296" spans="1:1">
      <c r="A296" s="22"/>
      <c xmlns="http://schemas.openxmlformats.org/spreadsheetml/2006/main" r="U296" s="23" t="str">
        <f>IF($E296="","",COUNTIF($I296:$S296,"V"))</f>
        <v/>
      </c>
      <c xmlns="http://schemas.openxmlformats.org/spreadsheetml/2006/main" r="V296" s="22" t="str">
        <f>IF($E296="","",IF(AND($T296="V",$U296&gt;0),"⚠ 勾選矛盾",IF($T296="V","○ 免調理",IF($U296=0,"⚠ 資料缺漏",IF($U296=1,"▲ 單一設備依賴","OK")))))</f>
        <v/>
      </c>
      <c xmlns="http://schemas.openxmlformats.org/spreadsheetml/2006/main" r="W296" s="18" t="str">
        <f>IF($E296="","",IF(AND($T296="V",$U296&gt;0),"「無使用調理設備」不可與設備欄同時勾選，請擇一修正",IF($T296="V","免調理半成品（外購/僅切配等），不列入設備風險評估",IF($U296=0,"未勾選任何設備，請補填或勾選「無使用調理設備」",IF($U296=1,"僅依賴1台設備，須確認故障/排修時之備援製程","無異常")))))</f>
        <v/>
      </c>
      <c xmlns="http://schemas.openxmlformats.org/spreadsheetml/2006/main" r="Z296" s="0">
        <f>IF($D296="",0,IF(COUNTIF($D$5:$D296,$D296)=1,1,0))</f>
        <v>0.0</v>
      </c>
      <c xmlns="http://schemas.openxmlformats.org/spreadsheetml/2006/main" r="AA296" s="0" t="str">
        <f>IF(Z296=1,SUM($Z$5:$Z296),"")</f>
        <v/>
      </c>
    </row>
    <row r="297" spans="1:1">
      <c r="A297" s="22"/>
      <c xmlns="http://schemas.openxmlformats.org/spreadsheetml/2006/main" r="U297" s="23" t="str">
        <f>IF($E297="","",COUNTIF($I297:$S297,"V"))</f>
        <v/>
      </c>
      <c xmlns="http://schemas.openxmlformats.org/spreadsheetml/2006/main" r="V297" s="22" t="str">
        <f>IF($E297="","",IF(AND($T297="V",$U297&gt;0),"⚠ 勾選矛盾",IF($T297="V","○ 免調理",IF($U297=0,"⚠ 資料缺漏",IF($U297=1,"▲ 單一設備依賴","OK")))))</f>
        <v/>
      </c>
      <c xmlns="http://schemas.openxmlformats.org/spreadsheetml/2006/main" r="W297" s="18" t="str">
        <f>IF($E297="","",IF(AND($T297="V",$U297&gt;0),"「無使用調理設備」不可與設備欄同時勾選，請擇一修正",IF($T297="V","免調理半成品（外購/僅切配等），不列入設備風險評估",IF($U297=0,"未勾選任何設備，請補填或勾選「無使用調理設備」",IF($U297=1,"僅依賴1台設備，須確認故障/排修時之備援製程","無異常")))))</f>
        <v/>
      </c>
      <c xmlns="http://schemas.openxmlformats.org/spreadsheetml/2006/main" r="Z297" s="0">
        <f>IF($D297="",0,IF(COUNTIF($D$5:$D297,$D297)=1,1,0))</f>
        <v>0.0</v>
      </c>
      <c xmlns="http://schemas.openxmlformats.org/spreadsheetml/2006/main" r="AA297" s="0" t="str">
        <f>IF(Z297=1,SUM($Z$5:$Z297),"")</f>
        <v/>
      </c>
    </row>
    <row r="298" spans="1:1">
      <c r="A298" s="22"/>
      <c xmlns="http://schemas.openxmlformats.org/spreadsheetml/2006/main" r="U298" s="23" t="str">
        <f>IF($E298="","",COUNTIF($I298:$S298,"V"))</f>
        <v/>
      </c>
      <c xmlns="http://schemas.openxmlformats.org/spreadsheetml/2006/main" r="V298" s="22" t="str">
        <f>IF($E298="","",IF(AND($T298="V",$U298&gt;0),"⚠ 勾選矛盾",IF($T298="V","○ 免調理",IF($U298=0,"⚠ 資料缺漏",IF($U298=1,"▲ 單一設備依賴","OK")))))</f>
        <v/>
      </c>
      <c xmlns="http://schemas.openxmlformats.org/spreadsheetml/2006/main" r="W298" s="18" t="str">
        <f>IF($E298="","",IF(AND($T298="V",$U298&gt;0),"「無使用調理設備」不可與設備欄同時勾選，請擇一修正",IF($T298="V","免調理半成品（外購/僅切配等），不列入設備風險評估",IF($U298=0,"未勾選任何設備，請補填或勾選「無使用調理設備」",IF($U298=1,"僅依賴1台設備，須確認故障/排修時之備援製程","無異常")))))</f>
        <v/>
      </c>
      <c xmlns="http://schemas.openxmlformats.org/spreadsheetml/2006/main" r="Z298" s="0">
        <f>IF($D298="",0,IF(COUNTIF($D$5:$D298,$D298)=1,1,0))</f>
        <v>0.0</v>
      </c>
      <c xmlns="http://schemas.openxmlformats.org/spreadsheetml/2006/main" r="AA298" s="0" t="str">
        <f>IF(Z298=1,SUM($Z$5:$Z298),"")</f>
        <v/>
      </c>
    </row>
    <row r="299" spans="1:1">
      <c r="A299" s="22"/>
      <c xmlns="http://schemas.openxmlformats.org/spreadsheetml/2006/main" r="U299" s="23" t="str">
        <f>IF($E299="","",COUNTIF($I299:$S299,"V"))</f>
        <v/>
      </c>
      <c xmlns="http://schemas.openxmlformats.org/spreadsheetml/2006/main" r="V299" s="22" t="str">
        <f>IF($E299="","",IF(AND($T299="V",$U299&gt;0),"⚠ 勾選矛盾",IF($T299="V","○ 免調理",IF($U299=0,"⚠ 資料缺漏",IF($U299=1,"▲ 單一設備依賴","OK")))))</f>
        <v/>
      </c>
      <c xmlns="http://schemas.openxmlformats.org/spreadsheetml/2006/main" r="W299" s="18" t="str">
        <f>IF($E299="","",IF(AND($T299="V",$U299&gt;0),"「無使用調理設備」不可與設備欄同時勾選，請擇一修正",IF($T299="V","免調理半成品（外購/僅切配等），不列入設備風險評估",IF($U299=0,"未勾選任何設備，請補填或勾選「無使用調理設備」",IF($U299=1,"僅依賴1台設備，須確認故障/排修時之備援製程","無異常")))))</f>
        <v/>
      </c>
      <c xmlns="http://schemas.openxmlformats.org/spreadsheetml/2006/main" r="Z299" s="0">
        <f>IF($D299="",0,IF(COUNTIF($D$5:$D299,$D299)=1,1,0))</f>
        <v>0.0</v>
      </c>
      <c xmlns="http://schemas.openxmlformats.org/spreadsheetml/2006/main" r="AA299" s="0" t="str">
        <f>IF(Z299=1,SUM($Z$5:$Z299),"")</f>
        <v/>
      </c>
    </row>
    <row r="300" spans="1:1">
      <c r="A300" s="22"/>
      <c xmlns="http://schemas.openxmlformats.org/spreadsheetml/2006/main" r="U300" s="23" t="str">
        <f>IF($E300="","",COUNTIF($I300:$S300,"V"))</f>
        <v/>
      </c>
      <c xmlns="http://schemas.openxmlformats.org/spreadsheetml/2006/main" r="V300" s="22" t="str">
        <f>IF($E300="","",IF(AND($T300="V",$U300&gt;0),"⚠ 勾選矛盾",IF($T300="V","○ 免調理",IF($U300=0,"⚠ 資料缺漏",IF($U300=1,"▲ 單一設備依賴","OK")))))</f>
        <v/>
      </c>
      <c xmlns="http://schemas.openxmlformats.org/spreadsheetml/2006/main" r="W300" s="18" t="str">
        <f>IF($E300="","",IF(AND($T300="V",$U300&gt;0),"「無使用調理設備」不可與設備欄同時勾選，請擇一修正",IF($T300="V","免調理半成品（外購/僅切配等），不列入設備風險評估",IF($U300=0,"未勾選任何設備，請補填或勾選「無使用調理設備」",IF($U300=1,"僅依賴1台設備，須確認故障/排修時之備援製程","無異常")))))</f>
        <v/>
      </c>
      <c xmlns="http://schemas.openxmlformats.org/spreadsheetml/2006/main" r="Z300" s="0">
        <f>IF($D300="",0,IF(COUNTIF($D$5:$D300,$D300)=1,1,0))</f>
        <v>0.0</v>
      </c>
      <c xmlns="http://schemas.openxmlformats.org/spreadsheetml/2006/main" r="AA300" s="0" t="str">
        <f>IF(Z300=1,SUM($Z$5:$Z300),"")</f>
        <v/>
      </c>
    </row>
    <row r="301" spans="1:1">
      <c r="A301" s="22"/>
      <c xmlns="http://schemas.openxmlformats.org/spreadsheetml/2006/main" r="U301" s="23" t="str">
        <f>IF($E301="","",COUNTIF($I301:$S301,"V"))</f>
        <v/>
      </c>
      <c xmlns="http://schemas.openxmlformats.org/spreadsheetml/2006/main" r="V301" s="22" t="str">
        <f>IF($E301="","",IF(AND($T301="V",$U301&gt;0),"⚠ 勾選矛盾",IF($T301="V","○ 免調理",IF($U301=0,"⚠ 資料缺漏",IF($U301=1,"▲ 單一設備依賴","OK")))))</f>
        <v/>
      </c>
      <c xmlns="http://schemas.openxmlformats.org/spreadsheetml/2006/main" r="W301" s="18" t="str">
        <f>IF($E301="","",IF(AND($T301="V",$U301&gt;0),"「無使用調理設備」不可與設備欄同時勾選，請擇一修正",IF($T301="V","免調理半成品（外購/僅切配等），不列入設備風險評估",IF($U301=0,"未勾選任何設備，請補填或勾選「無使用調理設備」",IF($U301=1,"僅依賴1台設備，須確認故障/排修時之備援製程","無異常")))))</f>
        <v/>
      </c>
      <c xmlns="http://schemas.openxmlformats.org/spreadsheetml/2006/main" r="Z301" s="0">
        <f>IF($D301="",0,IF(COUNTIF($D$5:$D301,$D301)=1,1,0))</f>
        <v>0.0</v>
      </c>
      <c xmlns="http://schemas.openxmlformats.org/spreadsheetml/2006/main" r="AA301" s="0" t="str">
        <f>IF(Z301=1,SUM($Z$5:$Z301),"")</f>
        <v/>
      </c>
    </row>
    <row r="302" spans="1:1">
      <c r="A302" s="22"/>
      <c xmlns="http://schemas.openxmlformats.org/spreadsheetml/2006/main" r="U302" s="23" t="str">
        <f>IF($E302="","",COUNTIF($I302:$S302,"V"))</f>
        <v/>
      </c>
      <c xmlns="http://schemas.openxmlformats.org/spreadsheetml/2006/main" r="V302" s="22" t="str">
        <f>IF($E302="","",IF(AND($T302="V",$U302&gt;0),"⚠ 勾選矛盾",IF($T302="V","○ 免調理",IF($U302=0,"⚠ 資料缺漏",IF($U302=1,"▲ 單一設備依賴","OK")))))</f>
        <v/>
      </c>
      <c xmlns="http://schemas.openxmlformats.org/spreadsheetml/2006/main" r="W302" s="18" t="str">
        <f>IF($E302="","",IF(AND($T302="V",$U302&gt;0),"「無使用調理設備」不可與設備欄同時勾選，請擇一修正",IF($T302="V","免調理半成品（外購/僅切配等），不列入設備風險評估",IF($U302=0,"未勾選任何設備，請補填或勾選「無使用調理設備」",IF($U302=1,"僅依賴1台設備，須確認故障/排修時之備援製程","無異常")))))</f>
        <v/>
      </c>
      <c xmlns="http://schemas.openxmlformats.org/spreadsheetml/2006/main" r="Z302" s="0">
        <f>IF($D302="",0,IF(COUNTIF($D$5:$D302,$D302)=1,1,0))</f>
        <v>0.0</v>
      </c>
      <c xmlns="http://schemas.openxmlformats.org/spreadsheetml/2006/main" r="AA302" s="0" t="str">
        <f>IF(Z302=1,SUM($Z$5:$Z302),"")</f>
        <v/>
      </c>
    </row>
    <row r="303" spans="1:1">
      <c r="A303" s="22"/>
      <c xmlns="http://schemas.openxmlformats.org/spreadsheetml/2006/main" r="U303" s="23" t="str">
        <f>IF($E303="","",COUNTIF($I303:$S303,"V"))</f>
        <v/>
      </c>
      <c xmlns="http://schemas.openxmlformats.org/spreadsheetml/2006/main" r="V303" s="22" t="str">
        <f>IF($E303="","",IF(AND($T303="V",$U303&gt;0),"⚠ 勾選矛盾",IF($T303="V","○ 免調理",IF($U303=0,"⚠ 資料缺漏",IF($U303=1,"▲ 單一設備依賴","OK")))))</f>
        <v/>
      </c>
      <c xmlns="http://schemas.openxmlformats.org/spreadsheetml/2006/main" r="W303" s="18" t="str">
        <f>IF($E303="","",IF(AND($T303="V",$U303&gt;0),"「無使用調理設備」不可與設備欄同時勾選，請擇一修正",IF($T303="V","免調理半成品（外購/僅切配等），不列入設備風險評估",IF($U303=0,"未勾選任何設備，請補填或勾選「無使用調理設備」",IF($U303=1,"僅依賴1台設備，須確認故障/排修時之備援製程","無異常")))))</f>
        <v/>
      </c>
      <c xmlns="http://schemas.openxmlformats.org/spreadsheetml/2006/main" r="Z303" s="0">
        <f>IF($D303="",0,IF(COUNTIF($D$5:$D303,$D303)=1,1,0))</f>
        <v>0.0</v>
      </c>
      <c xmlns="http://schemas.openxmlformats.org/spreadsheetml/2006/main" r="AA303" s="0" t="str">
        <f>IF(Z303=1,SUM($Z$5:$Z303),"")</f>
        <v/>
      </c>
    </row>
    <row r="304" spans="1:1">
      <c r="A304" s="22"/>
      <c xmlns="http://schemas.openxmlformats.org/spreadsheetml/2006/main" r="U304" s="23" t="str">
        <f>IF($E304="","",COUNTIF($I304:$S304,"V"))</f>
        <v/>
      </c>
      <c xmlns="http://schemas.openxmlformats.org/spreadsheetml/2006/main" r="V304" s="22" t="str">
        <f>IF($E304="","",IF(AND($T304="V",$U304&gt;0),"⚠ 勾選矛盾",IF($T304="V","○ 免調理",IF($U304=0,"⚠ 資料缺漏",IF($U304=1,"▲ 單一設備依賴","OK")))))</f>
        <v/>
      </c>
      <c xmlns="http://schemas.openxmlformats.org/spreadsheetml/2006/main" r="W304" s="18" t="str">
        <f>IF($E304="","",IF(AND($T304="V",$U304&gt;0),"「無使用調理設備」不可與設備欄同時勾選，請擇一修正",IF($T304="V","免調理半成品（外購/僅切配等），不列入設備風險評估",IF($U304=0,"未勾選任何設備，請補填或勾選「無使用調理設備」",IF($U304=1,"僅依賴1台設備，須確認故障/排修時之備援製程","無異常")))))</f>
        <v/>
      </c>
      <c xmlns="http://schemas.openxmlformats.org/spreadsheetml/2006/main" r="Z304" s="0">
        <f>IF($D304="",0,IF(COUNTIF($D$5:$D304,$D304)=1,1,0))</f>
        <v>0.0</v>
      </c>
      <c xmlns="http://schemas.openxmlformats.org/spreadsheetml/2006/main" r="AA304" s="0" t="str">
        <f>IF(Z304=1,SUM($Z$5:$Z304),"")</f>
        <v/>
      </c>
    </row>
    <row r="305" spans="1:1">
      <c r="A305" s="22"/>
      <c xmlns="http://schemas.openxmlformats.org/spreadsheetml/2006/main" r="U305" s="23" t="str">
        <f>IF($E305="","",COUNTIF($I305:$S305,"V"))</f>
        <v/>
      </c>
      <c xmlns="http://schemas.openxmlformats.org/spreadsheetml/2006/main" r="V305" s="22" t="str">
        <f>IF($E305="","",IF(AND($T305="V",$U305&gt;0),"⚠ 勾選矛盾",IF($T305="V","○ 免調理",IF($U305=0,"⚠ 資料缺漏",IF($U305=1,"▲ 單一設備依賴","OK")))))</f>
        <v/>
      </c>
      <c xmlns="http://schemas.openxmlformats.org/spreadsheetml/2006/main" r="W305" s="18" t="str">
        <f>IF($E305="","",IF(AND($T305="V",$U305&gt;0),"「無使用調理設備」不可與設備欄同時勾選，請擇一修正",IF($T305="V","免調理半成品（外購/僅切配等），不列入設備風險評估",IF($U305=0,"未勾選任何設備，請補填或勾選「無使用調理設備」",IF($U305=1,"僅依賴1台設備，須確認故障/排修時之備援製程","無異常")))))</f>
        <v/>
      </c>
      <c xmlns="http://schemas.openxmlformats.org/spreadsheetml/2006/main" r="Z305" s="0">
        <f>IF($D305="",0,IF(COUNTIF($D$5:$D305,$D305)=1,1,0))</f>
        <v>0.0</v>
      </c>
      <c xmlns="http://schemas.openxmlformats.org/spreadsheetml/2006/main" r="AA305" s="0" t="str">
        <f>IF(Z305=1,SUM($Z$5:$Z305),"")</f>
        <v/>
      </c>
    </row>
    <row r="306" spans="1:1">
      <c r="A306" s="22"/>
      <c xmlns="http://schemas.openxmlformats.org/spreadsheetml/2006/main" r="U306" s="23" t="str">
        <f>IF($E306="","",COUNTIF($I306:$S306,"V"))</f>
        <v/>
      </c>
      <c xmlns="http://schemas.openxmlformats.org/spreadsheetml/2006/main" r="V306" s="22" t="str">
        <f>IF($E306="","",IF(AND($T306="V",$U306&gt;0),"⚠ 勾選矛盾",IF($T306="V","○ 免調理",IF($U306=0,"⚠ 資料缺漏",IF($U306=1,"▲ 單一設備依賴","OK")))))</f>
        <v/>
      </c>
      <c xmlns="http://schemas.openxmlformats.org/spreadsheetml/2006/main" r="W306" s="18" t="str">
        <f>IF($E306="","",IF(AND($T306="V",$U306&gt;0),"「無使用調理設備」不可與設備欄同時勾選，請擇一修正",IF($T306="V","免調理半成品（外購/僅切配等），不列入設備風險評估",IF($U306=0,"未勾選任何設備，請補填或勾選「無使用調理設備」",IF($U306=1,"僅依賴1台設備，須確認故障/排修時之備援製程","無異常")))))</f>
        <v/>
      </c>
      <c xmlns="http://schemas.openxmlformats.org/spreadsheetml/2006/main" r="Z306" s="0">
        <f>IF($D306="",0,IF(COUNTIF($D$5:$D306,$D306)=1,1,0))</f>
        <v>0.0</v>
      </c>
      <c xmlns="http://schemas.openxmlformats.org/spreadsheetml/2006/main" r="AA306" s="0" t="str">
        <f>IF(Z306=1,SUM($Z$5:$Z306),"")</f>
        <v/>
      </c>
    </row>
    <row r="307" spans="1:1">
      <c r="A307" s="22"/>
      <c xmlns="http://schemas.openxmlformats.org/spreadsheetml/2006/main" r="U307" s="23" t="str">
        <f>IF($E307="","",COUNTIF($I307:$S307,"V"))</f>
        <v/>
      </c>
      <c xmlns="http://schemas.openxmlformats.org/spreadsheetml/2006/main" r="V307" s="22" t="str">
        <f>IF($E307="","",IF(AND($T307="V",$U307&gt;0),"⚠ 勾選矛盾",IF($T307="V","○ 免調理",IF($U307=0,"⚠ 資料缺漏",IF($U307=1,"▲ 單一設備依賴","OK")))))</f>
        <v/>
      </c>
      <c xmlns="http://schemas.openxmlformats.org/spreadsheetml/2006/main" r="W307" s="18" t="str">
        <f>IF($E307="","",IF(AND($T307="V",$U307&gt;0),"「無使用調理設備」不可與設備欄同時勾選，請擇一修正",IF($T307="V","免調理半成品（外購/僅切配等），不列入設備風險評估",IF($U307=0,"未勾選任何設備，請補填或勾選「無使用調理設備」",IF($U307=1,"僅依賴1台設備，須確認故障/排修時之備援製程","無異常")))))</f>
        <v/>
      </c>
      <c xmlns="http://schemas.openxmlformats.org/spreadsheetml/2006/main" r="Z307" s="0">
        <f>IF($D307="",0,IF(COUNTIF($D$5:$D307,$D307)=1,1,0))</f>
        <v>0.0</v>
      </c>
      <c xmlns="http://schemas.openxmlformats.org/spreadsheetml/2006/main" r="AA307" s="0" t="str">
        <f>IF(Z307=1,SUM($Z$5:$Z307),"")</f>
        <v/>
      </c>
    </row>
    <row r="308" spans="1:1">
      <c r="A308" s="22"/>
      <c xmlns="http://schemas.openxmlformats.org/spreadsheetml/2006/main" r="U308" s="23" t="str">
        <f>IF($E308="","",COUNTIF($I308:$S308,"V"))</f>
        <v/>
      </c>
      <c xmlns="http://schemas.openxmlformats.org/spreadsheetml/2006/main" r="V308" s="22" t="str">
        <f>IF($E308="","",IF(AND($T308="V",$U308&gt;0),"⚠ 勾選矛盾",IF($T308="V","○ 免調理",IF($U308=0,"⚠ 資料缺漏",IF($U308=1,"▲ 單一設備依賴","OK")))))</f>
        <v/>
      </c>
      <c xmlns="http://schemas.openxmlformats.org/spreadsheetml/2006/main" r="W308" s="18" t="str">
        <f>IF($E308="","",IF(AND($T308="V",$U308&gt;0),"「無使用調理設備」不可與設備欄同時勾選，請擇一修正",IF($T308="V","免調理半成品（外購/僅切配等），不列入設備風險評估",IF($U308=0,"未勾選任何設備，請補填或勾選「無使用調理設備」",IF($U308=1,"僅依賴1台設備，須確認故障/排修時之備援製程","無異常")))))</f>
        <v/>
      </c>
      <c xmlns="http://schemas.openxmlformats.org/spreadsheetml/2006/main" r="Z308" s="0">
        <f>IF($D308="",0,IF(COUNTIF($D$5:$D308,$D308)=1,1,0))</f>
        <v>0.0</v>
      </c>
      <c xmlns="http://schemas.openxmlformats.org/spreadsheetml/2006/main" r="AA308" s="0" t="str">
        <f>IF(Z308=1,SUM($Z$5:$Z308),"")</f>
        <v/>
      </c>
    </row>
    <row r="309" spans="1:1">
      <c r="A309" s="22"/>
      <c xmlns="http://schemas.openxmlformats.org/spreadsheetml/2006/main" r="U309" s="23" t="str">
        <f>IF($E309="","",COUNTIF($I309:$S309,"V"))</f>
        <v/>
      </c>
      <c xmlns="http://schemas.openxmlformats.org/spreadsheetml/2006/main" r="V309" s="22" t="str">
        <f>IF($E309="","",IF(AND($T309="V",$U309&gt;0),"⚠ 勾選矛盾",IF($T309="V","○ 免調理",IF($U309=0,"⚠ 資料缺漏",IF($U309=1,"▲ 單一設備依賴","OK")))))</f>
        <v/>
      </c>
      <c xmlns="http://schemas.openxmlformats.org/spreadsheetml/2006/main" r="W309" s="18" t="str">
        <f>IF($E309="","",IF(AND($T309="V",$U309&gt;0),"「無使用調理設備」不可與設備欄同時勾選，請擇一修正",IF($T309="V","免調理半成品（外購/僅切配等），不列入設備風險評估",IF($U309=0,"未勾選任何設備，請補填或勾選「無使用調理設備」",IF($U309=1,"僅依賴1台設備，須確認故障/排修時之備援製程","無異常")))))</f>
        <v/>
      </c>
      <c xmlns="http://schemas.openxmlformats.org/spreadsheetml/2006/main" r="Z309" s="0">
        <f>IF($D309="",0,IF(COUNTIF($D$5:$D309,$D309)=1,1,0))</f>
        <v>0.0</v>
      </c>
      <c xmlns="http://schemas.openxmlformats.org/spreadsheetml/2006/main" r="AA309" s="0" t="str">
        <f>IF(Z309=1,SUM($Z$5:$Z309),"")</f>
        <v/>
      </c>
    </row>
    <row r="310" spans="1:1">
      <c r="A310" s="22"/>
      <c xmlns="http://schemas.openxmlformats.org/spreadsheetml/2006/main" r="U310" s="23" t="str">
        <f>IF($E310="","",COUNTIF($I310:$S310,"V"))</f>
        <v/>
      </c>
      <c xmlns="http://schemas.openxmlformats.org/spreadsheetml/2006/main" r="V310" s="22" t="str">
        <f>IF($E310="","",IF(AND($T310="V",$U310&gt;0),"⚠ 勾選矛盾",IF($T310="V","○ 免調理",IF($U310=0,"⚠ 資料缺漏",IF($U310=1,"▲ 單一設備依賴","OK")))))</f>
        <v/>
      </c>
      <c xmlns="http://schemas.openxmlformats.org/spreadsheetml/2006/main" r="W310" s="18" t="str">
        <f>IF($E310="","",IF(AND($T310="V",$U310&gt;0),"「無使用調理設備」不可與設備欄同時勾選，請擇一修正",IF($T310="V","免調理半成品（外購/僅切配等），不列入設備風險評估",IF($U310=0,"未勾選任何設備，請補填或勾選「無使用調理設備」",IF($U310=1,"僅依賴1台設備，須確認故障/排修時之備援製程","無異常")))))</f>
        <v/>
      </c>
      <c xmlns="http://schemas.openxmlformats.org/spreadsheetml/2006/main" r="Z310" s="0">
        <f>IF($D310="",0,IF(COUNTIF($D$5:$D310,$D310)=1,1,0))</f>
        <v>0.0</v>
      </c>
      <c xmlns="http://schemas.openxmlformats.org/spreadsheetml/2006/main" r="AA310" s="0" t="str">
        <f>IF(Z310=1,SUM($Z$5:$Z310),"")</f>
        <v/>
      </c>
    </row>
    <row r="311" spans="1:1">
      <c r="A311" s="22"/>
      <c xmlns="http://schemas.openxmlformats.org/spreadsheetml/2006/main" r="U311" s="23" t="str">
        <f>IF($E311="","",COUNTIF($I311:$S311,"V"))</f>
        <v/>
      </c>
      <c xmlns="http://schemas.openxmlformats.org/spreadsheetml/2006/main" r="V311" s="22" t="str">
        <f>IF($E311="","",IF(AND($T311="V",$U311&gt;0),"⚠ 勾選矛盾",IF($T311="V","○ 免調理",IF($U311=0,"⚠ 資料缺漏",IF($U311=1,"▲ 單一設備依賴","OK")))))</f>
        <v/>
      </c>
      <c xmlns="http://schemas.openxmlformats.org/spreadsheetml/2006/main" r="W311" s="18" t="str">
        <f>IF($E311="","",IF(AND($T311="V",$U311&gt;0),"「無使用調理設備」不可與設備欄同時勾選，請擇一修正",IF($T311="V","免調理半成品（外購/僅切配等），不列入設備風險評估",IF($U311=0,"未勾選任何設備，請補填或勾選「無使用調理設備」",IF($U311=1,"僅依賴1台設備，須確認故障/排修時之備援製程","無異常")))))</f>
        <v/>
      </c>
      <c xmlns="http://schemas.openxmlformats.org/spreadsheetml/2006/main" r="Z311" s="0">
        <f>IF($D311="",0,IF(COUNTIF($D$5:$D311,$D311)=1,1,0))</f>
        <v>0.0</v>
      </c>
      <c xmlns="http://schemas.openxmlformats.org/spreadsheetml/2006/main" r="AA311" s="0" t="str">
        <f>IF(Z311=1,SUM($Z$5:$Z311),"")</f>
        <v/>
      </c>
    </row>
    <row r="312" spans="1:1">
      <c r="A312" s="22"/>
      <c xmlns="http://schemas.openxmlformats.org/spreadsheetml/2006/main" r="U312" s="23" t="str">
        <f>IF($E312="","",COUNTIF($I312:$S312,"V"))</f>
        <v/>
      </c>
      <c xmlns="http://schemas.openxmlformats.org/spreadsheetml/2006/main" r="V312" s="22" t="str">
        <f>IF($E312="","",IF(AND($T312="V",$U312&gt;0),"⚠ 勾選矛盾",IF($T312="V","○ 免調理",IF($U312=0,"⚠ 資料缺漏",IF($U312=1,"▲ 單一設備依賴","OK")))))</f>
        <v/>
      </c>
      <c xmlns="http://schemas.openxmlformats.org/spreadsheetml/2006/main" r="W312" s="18" t="str">
        <f>IF($E312="","",IF(AND($T312="V",$U312&gt;0),"「無使用調理設備」不可與設備欄同時勾選，請擇一修正",IF($T312="V","免調理半成品（外購/僅切配等），不列入設備風險評估",IF($U312=0,"未勾選任何設備，請補填或勾選「無使用調理設備」",IF($U312=1,"僅依賴1台設備，須確認故障/排修時之備援製程","無異常")))))</f>
        <v/>
      </c>
      <c xmlns="http://schemas.openxmlformats.org/spreadsheetml/2006/main" r="Z312" s="0">
        <f>IF($D312="",0,IF(COUNTIF($D$5:$D312,$D312)=1,1,0))</f>
        <v>0.0</v>
      </c>
      <c xmlns="http://schemas.openxmlformats.org/spreadsheetml/2006/main" r="AA312" s="0" t="str">
        <f>IF(Z312=1,SUM($Z$5:$Z312),"")</f>
        <v/>
      </c>
    </row>
    <row r="313" spans="1:1">
      <c r="A313" s="22"/>
      <c xmlns="http://schemas.openxmlformats.org/spreadsheetml/2006/main" r="U313" s="23" t="str">
        <f>IF($E313="","",COUNTIF($I313:$S313,"V"))</f>
        <v/>
      </c>
      <c xmlns="http://schemas.openxmlformats.org/spreadsheetml/2006/main" r="V313" s="22" t="str">
        <f>IF($E313="","",IF(AND($T313="V",$U313&gt;0),"⚠ 勾選矛盾",IF($T313="V","○ 免調理",IF($U313=0,"⚠ 資料缺漏",IF($U313=1,"▲ 單一設備依賴","OK")))))</f>
        <v/>
      </c>
      <c xmlns="http://schemas.openxmlformats.org/spreadsheetml/2006/main" r="W313" s="18" t="str">
        <f>IF($E313="","",IF(AND($T313="V",$U313&gt;0),"「無使用調理設備」不可與設備欄同時勾選，請擇一修正",IF($T313="V","免調理半成品（外購/僅切配等），不列入設備風險評估",IF($U313=0,"未勾選任何設備，請補填或勾選「無使用調理設備」",IF($U313=1,"僅依賴1台設備，須確認故障/排修時之備援製程","無異常")))))</f>
        <v/>
      </c>
      <c xmlns="http://schemas.openxmlformats.org/spreadsheetml/2006/main" r="Z313" s="0">
        <f>IF($D313="",0,IF(COUNTIF($D$5:$D313,$D313)=1,1,0))</f>
        <v>0.0</v>
      </c>
      <c xmlns="http://schemas.openxmlformats.org/spreadsheetml/2006/main" r="AA313" s="0" t="str">
        <f>IF(Z313=1,SUM($Z$5:$Z313),"")</f>
        <v/>
      </c>
    </row>
    <row r="314" spans="1:1">
      <c r="A314" s="22"/>
      <c xmlns="http://schemas.openxmlformats.org/spreadsheetml/2006/main" r="U314" s="23" t="str">
        <f>IF($E314="","",COUNTIF($I314:$S314,"V"))</f>
        <v/>
      </c>
      <c xmlns="http://schemas.openxmlformats.org/spreadsheetml/2006/main" r="V314" s="22" t="str">
        <f>IF($E314="","",IF(AND($T314="V",$U314&gt;0),"⚠ 勾選矛盾",IF($T314="V","○ 免調理",IF($U314=0,"⚠ 資料缺漏",IF($U314=1,"▲ 單一設備依賴","OK")))))</f>
        <v/>
      </c>
      <c xmlns="http://schemas.openxmlformats.org/spreadsheetml/2006/main" r="W314" s="18" t="str">
        <f>IF($E314="","",IF(AND($T314="V",$U314&gt;0),"「無使用調理設備」不可與設備欄同時勾選，請擇一修正",IF($T314="V","免調理半成品（外購/僅切配等），不列入設備風險評估",IF($U314=0,"未勾選任何設備，請補填或勾選「無使用調理設備」",IF($U314=1,"僅依賴1台設備，須確認故障/排修時之備援製程","無異常")))))</f>
        <v/>
      </c>
      <c xmlns="http://schemas.openxmlformats.org/spreadsheetml/2006/main" r="Z314" s="0">
        <f>IF($D314="",0,IF(COUNTIF($D$5:$D314,$D314)=1,1,0))</f>
        <v>0.0</v>
      </c>
      <c xmlns="http://schemas.openxmlformats.org/spreadsheetml/2006/main" r="AA314" s="0" t="str">
        <f>IF(Z314=1,SUM($Z$5:$Z314),"")</f>
        <v/>
      </c>
    </row>
    <row r="315" spans="1:1">
      <c r="A315" s="22"/>
      <c xmlns="http://schemas.openxmlformats.org/spreadsheetml/2006/main" r="U315" s="23" t="str">
        <f>IF($E315="","",COUNTIF($I315:$S315,"V"))</f>
        <v/>
      </c>
      <c xmlns="http://schemas.openxmlformats.org/spreadsheetml/2006/main" r="V315" s="22" t="str">
        <f>IF($E315="","",IF(AND($T315="V",$U315&gt;0),"⚠ 勾選矛盾",IF($T315="V","○ 免調理",IF($U315=0,"⚠ 資料缺漏",IF($U315=1,"▲ 單一設備依賴","OK")))))</f>
        <v/>
      </c>
      <c xmlns="http://schemas.openxmlformats.org/spreadsheetml/2006/main" r="W315" s="18" t="str">
        <f>IF($E315="","",IF(AND($T315="V",$U315&gt;0),"「無使用調理設備」不可與設備欄同時勾選，請擇一修正",IF($T315="V","免調理半成品（外購/僅切配等），不列入設備風險評估",IF($U315=0,"未勾選任何設備，請補填或勾選「無使用調理設備」",IF($U315=1,"僅依賴1台設備，須確認故障/排修時之備援製程","無異常")))))</f>
        <v/>
      </c>
      <c xmlns="http://schemas.openxmlformats.org/spreadsheetml/2006/main" r="Z315" s="0">
        <f>IF($D315="",0,IF(COUNTIF($D$5:$D315,$D315)=1,1,0))</f>
        <v>0.0</v>
      </c>
      <c xmlns="http://schemas.openxmlformats.org/spreadsheetml/2006/main" r="AA315" s="0" t="str">
        <f>IF(Z315=1,SUM($Z$5:$Z315),"")</f>
        <v/>
      </c>
    </row>
    <row r="316" spans="1:1">
      <c r="A316" s="22"/>
      <c xmlns="http://schemas.openxmlformats.org/spreadsheetml/2006/main" r="U316" s="23" t="str">
        <f>IF($E316="","",COUNTIF($I316:$S316,"V"))</f>
        <v/>
      </c>
      <c xmlns="http://schemas.openxmlformats.org/spreadsheetml/2006/main" r="V316" s="22" t="str">
        <f>IF($E316="","",IF(AND($T316="V",$U316&gt;0),"⚠ 勾選矛盾",IF($T316="V","○ 免調理",IF($U316=0,"⚠ 資料缺漏",IF($U316=1,"▲ 單一設備依賴","OK")))))</f>
        <v/>
      </c>
      <c xmlns="http://schemas.openxmlformats.org/spreadsheetml/2006/main" r="W316" s="18" t="str">
        <f>IF($E316="","",IF(AND($T316="V",$U316&gt;0),"「無使用調理設備」不可與設備欄同時勾選，請擇一修正",IF($T316="V","免調理半成品（外購/僅切配等），不列入設備風險評估",IF($U316=0,"未勾選任何設備，請補填或勾選「無使用調理設備」",IF($U316=1,"僅依賴1台設備，須確認故障/排修時之備援製程","無異常")))))</f>
        <v/>
      </c>
      <c xmlns="http://schemas.openxmlformats.org/spreadsheetml/2006/main" r="Z316" s="0">
        <f>IF($D316="",0,IF(COUNTIF($D$5:$D316,$D316)=1,1,0))</f>
        <v>0.0</v>
      </c>
      <c xmlns="http://schemas.openxmlformats.org/spreadsheetml/2006/main" r="AA316" s="0" t="str">
        <f>IF(Z316=1,SUM($Z$5:$Z316),"")</f>
        <v/>
      </c>
    </row>
    <row r="317" spans="1:1">
      <c r="A317" s="22"/>
      <c xmlns="http://schemas.openxmlformats.org/spreadsheetml/2006/main" r="U317" s="23" t="str">
        <f>IF($E317="","",COUNTIF($I317:$S317,"V"))</f>
        <v/>
      </c>
      <c xmlns="http://schemas.openxmlformats.org/spreadsheetml/2006/main" r="V317" s="22" t="str">
        <f>IF($E317="","",IF(AND($T317="V",$U317&gt;0),"⚠ 勾選矛盾",IF($T317="V","○ 免調理",IF($U317=0,"⚠ 資料缺漏",IF($U317=1,"▲ 單一設備依賴","OK")))))</f>
        <v/>
      </c>
      <c xmlns="http://schemas.openxmlformats.org/spreadsheetml/2006/main" r="W317" s="18" t="str">
        <f>IF($E317="","",IF(AND($T317="V",$U317&gt;0),"「無使用調理設備」不可與設備欄同時勾選，請擇一修正",IF($T317="V","免調理半成品（外購/僅切配等），不列入設備風險評估",IF($U317=0,"未勾選任何設備，請補填或勾選「無使用調理設備」",IF($U317=1,"僅依賴1台設備，須確認故障/排修時之備援製程","無異常")))))</f>
        <v/>
      </c>
      <c xmlns="http://schemas.openxmlformats.org/spreadsheetml/2006/main" r="Z317" s="0">
        <f>IF($D317="",0,IF(COUNTIF($D$5:$D317,$D317)=1,1,0))</f>
        <v>0.0</v>
      </c>
      <c xmlns="http://schemas.openxmlformats.org/spreadsheetml/2006/main" r="AA317" s="0" t="str">
        <f>IF(Z317=1,SUM($Z$5:$Z317),"")</f>
        <v/>
      </c>
    </row>
    <row r="318" spans="1:1">
      <c r="A318" s="22"/>
      <c xmlns="http://schemas.openxmlformats.org/spreadsheetml/2006/main" r="U318" s="23" t="str">
        <f>IF($E318="","",COUNTIF($I318:$S318,"V"))</f>
        <v/>
      </c>
      <c xmlns="http://schemas.openxmlformats.org/spreadsheetml/2006/main" r="V318" s="22" t="str">
        <f>IF($E318="","",IF(AND($T318="V",$U318&gt;0),"⚠ 勾選矛盾",IF($T318="V","○ 免調理",IF($U318=0,"⚠ 資料缺漏",IF($U318=1,"▲ 單一設備依賴","OK")))))</f>
        <v/>
      </c>
      <c xmlns="http://schemas.openxmlformats.org/spreadsheetml/2006/main" r="W318" s="18" t="str">
        <f>IF($E318="","",IF(AND($T318="V",$U318&gt;0),"「無使用調理設備」不可與設備欄同時勾選，請擇一修正",IF($T318="V","免調理半成品（外購/僅切配等），不列入設備風險評估",IF($U318=0,"未勾選任何設備，請補填或勾選「無使用調理設備」",IF($U318=1,"僅依賴1台設備，須確認故障/排修時之備援製程","無異常")))))</f>
        <v/>
      </c>
      <c xmlns="http://schemas.openxmlformats.org/spreadsheetml/2006/main" r="Z318" s="0">
        <f>IF($D318="",0,IF(COUNTIF($D$5:$D318,$D318)=1,1,0))</f>
        <v>0.0</v>
      </c>
      <c xmlns="http://schemas.openxmlformats.org/spreadsheetml/2006/main" r="AA318" s="0" t="str">
        <f>IF(Z318=1,SUM($Z$5:$Z318),"")</f>
        <v/>
      </c>
    </row>
    <row r="319" spans="1:1">
      <c r="A319" s="22"/>
      <c xmlns="http://schemas.openxmlformats.org/spreadsheetml/2006/main" r="U319" s="23" t="str">
        <f>IF($E319="","",COUNTIF($I319:$S319,"V"))</f>
        <v/>
      </c>
      <c xmlns="http://schemas.openxmlformats.org/spreadsheetml/2006/main" r="V319" s="22" t="str">
        <f>IF($E319="","",IF(AND($T319="V",$U319&gt;0),"⚠ 勾選矛盾",IF($T319="V","○ 免調理",IF($U319=0,"⚠ 資料缺漏",IF($U319=1,"▲ 單一設備依賴","OK")))))</f>
        <v/>
      </c>
      <c xmlns="http://schemas.openxmlformats.org/spreadsheetml/2006/main" r="W319" s="18" t="str">
        <f>IF($E319="","",IF(AND($T319="V",$U319&gt;0),"「無使用調理設備」不可與設備欄同時勾選，請擇一修正",IF($T319="V","免調理半成品（外購/僅切配等），不列入設備風險評估",IF($U319=0,"未勾選任何設備，請補填或勾選「無使用調理設備」",IF($U319=1,"僅依賴1台設備，須確認故障/排修時之備援製程","無異常")))))</f>
        <v/>
      </c>
      <c xmlns="http://schemas.openxmlformats.org/spreadsheetml/2006/main" r="Z319" s="0">
        <f>IF($D319="",0,IF(COUNTIF($D$5:$D319,$D319)=1,1,0))</f>
        <v>0.0</v>
      </c>
      <c xmlns="http://schemas.openxmlformats.org/spreadsheetml/2006/main" r="AA319" s="0" t="str">
        <f>IF(Z319=1,SUM($Z$5:$Z319),"")</f>
        <v/>
      </c>
    </row>
    <row r="320" spans="1:1">
      <c r="A320" s="22"/>
      <c xmlns="http://schemas.openxmlformats.org/spreadsheetml/2006/main" r="U320" s="23" t="str">
        <f>IF($E320="","",COUNTIF($I320:$S320,"V"))</f>
        <v/>
      </c>
      <c xmlns="http://schemas.openxmlformats.org/spreadsheetml/2006/main" r="V320" s="22" t="str">
        <f>IF($E320="","",IF(AND($T320="V",$U320&gt;0),"⚠ 勾選矛盾",IF($T320="V","○ 免調理",IF($U320=0,"⚠ 資料缺漏",IF($U320=1,"▲ 單一設備依賴","OK")))))</f>
        <v/>
      </c>
      <c xmlns="http://schemas.openxmlformats.org/spreadsheetml/2006/main" r="W320" s="18" t="str">
        <f>IF($E320="","",IF(AND($T320="V",$U320&gt;0),"「無使用調理設備」不可與設備欄同時勾選，請擇一修正",IF($T320="V","免調理半成品（外購/僅切配等），不列入設備風險評估",IF($U320=0,"未勾選任何設備，請補填或勾選「無使用調理設備」",IF($U320=1,"僅依賴1台設備，須確認故障/排修時之備援製程","無異常")))))</f>
        <v/>
      </c>
      <c xmlns="http://schemas.openxmlformats.org/spreadsheetml/2006/main" r="Z320" s="0">
        <f>IF($D320="",0,IF(COUNTIF($D$5:$D320,$D320)=1,1,0))</f>
        <v>0.0</v>
      </c>
      <c xmlns="http://schemas.openxmlformats.org/spreadsheetml/2006/main" r="AA320" s="0" t="str">
        <f>IF(Z320=1,SUM($Z$5:$Z320),"")</f>
        <v/>
      </c>
    </row>
    <row r="321" spans="1:1">
      <c r="A321" s="22"/>
      <c xmlns="http://schemas.openxmlformats.org/spreadsheetml/2006/main" r="U321" s="23" t="str">
        <f>IF($E321="","",COUNTIF($I321:$S321,"V"))</f>
        <v/>
      </c>
      <c xmlns="http://schemas.openxmlformats.org/spreadsheetml/2006/main" r="V321" s="22" t="str">
        <f>IF($E321="","",IF(AND($T321="V",$U321&gt;0),"⚠ 勾選矛盾",IF($T321="V","○ 免調理",IF($U321=0,"⚠ 資料缺漏",IF($U321=1,"▲ 單一設備依賴","OK")))))</f>
        <v/>
      </c>
      <c xmlns="http://schemas.openxmlformats.org/spreadsheetml/2006/main" r="W321" s="18" t="str">
        <f>IF($E321="","",IF(AND($T321="V",$U321&gt;0),"「無使用調理設備」不可與設備欄同時勾選，請擇一修正",IF($T321="V","免調理半成品（外購/僅切配等），不列入設備風險評估",IF($U321=0,"未勾選任何設備，請補填或勾選「無使用調理設備」",IF($U321=1,"僅依賴1台設備，須確認故障/排修時之備援製程","無異常")))))</f>
        <v/>
      </c>
      <c xmlns="http://schemas.openxmlformats.org/spreadsheetml/2006/main" r="Z321" s="0">
        <f>IF($D321="",0,IF(COUNTIF($D$5:$D321,$D321)=1,1,0))</f>
        <v>0.0</v>
      </c>
      <c xmlns="http://schemas.openxmlformats.org/spreadsheetml/2006/main" r="AA321" s="0" t="str">
        <f>IF(Z321=1,SUM($Z$5:$Z321),"")</f>
        <v/>
      </c>
    </row>
    <row r="322" spans="1:1">
      <c r="A322" s="22"/>
      <c xmlns="http://schemas.openxmlformats.org/spreadsheetml/2006/main" r="U322" s="23" t="str">
        <f>IF($E322="","",COUNTIF($I322:$S322,"V"))</f>
        <v/>
      </c>
      <c xmlns="http://schemas.openxmlformats.org/spreadsheetml/2006/main" r="V322" s="22" t="str">
        <f>IF($E322="","",IF(AND($T322="V",$U322&gt;0),"⚠ 勾選矛盾",IF($T322="V","○ 免調理",IF($U322=0,"⚠ 資料缺漏",IF($U322=1,"▲ 單一設備依賴","OK")))))</f>
        <v/>
      </c>
      <c xmlns="http://schemas.openxmlformats.org/spreadsheetml/2006/main" r="W322" s="18" t="str">
        <f>IF($E322="","",IF(AND($T322="V",$U322&gt;0),"「無使用調理設備」不可與設備欄同時勾選，請擇一修正",IF($T322="V","免調理半成品（外購/僅切配等），不列入設備風險評估",IF($U322=0,"未勾選任何設備，請補填或勾選「無使用調理設備」",IF($U322=1,"僅依賴1台設備，須確認故障/排修時之備援製程","無異常")))))</f>
        <v/>
      </c>
      <c xmlns="http://schemas.openxmlformats.org/spreadsheetml/2006/main" r="Z322" s="0">
        <f>IF($D322="",0,IF(COUNTIF($D$5:$D322,$D322)=1,1,0))</f>
        <v>0.0</v>
      </c>
      <c xmlns="http://schemas.openxmlformats.org/spreadsheetml/2006/main" r="AA322" s="0" t="str">
        <f>IF(Z322=1,SUM($Z$5:$Z322),"")</f>
        <v/>
      </c>
    </row>
  </sheetData>
  <autoFilter ref="A4:Y322"/>
  <mergeCells count="29">
    <mergeCell ref="A3:A4"/>
    <mergeCell ref="B1:Y1"/>
    <mergeCell ref="B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B5:H5 C6:H35 B6:B42 B47:H256 B43:F46 H43:H46">
    <cfRule type="expression" dxfId="25" priority="12">
      <formula>ISNUMBER(SEARCH("⚠",$V5))</formula>
    </cfRule>
  </conditionalFormatting>
  <conditionalFormatting sqref="V5:V35 V43:V256">
    <cfRule type="expression" dxfId="24" priority="15">
      <formula>ISNUMBER(SEARCH("⚠",$V5))</formula>
    </cfRule>
    <cfRule type="expression" dxfId="23" priority="16">
      <formula>$V5="▲ 單一設備依賴"</formula>
    </cfRule>
    <cfRule type="expression" dxfId="22" priority="17">
      <formula>$V5="○ 免調理"</formula>
    </cfRule>
    <cfRule type="expression" dxfId="21" priority="18">
      <formula>$V5="OK"</formula>
    </cfRule>
  </conditionalFormatting>
  <conditionalFormatting sqref="C36:H42 G43:G46">
    <cfRule type="expression" dxfId="20" priority="11">
      <formula>ISNUMBER(SEARCH("⚠",$V36))</formula>
    </cfRule>
  </conditionalFormatting>
  <conditionalFormatting sqref="V36:V42">
    <cfRule type="expression" dxfId="19" priority="7">
      <formula>ISNUMBER(SEARCH("⚠",$V36))</formula>
    </cfRule>
    <cfRule type="expression" dxfId="18" priority="8">
      <formula>$V36="▲ 單一設備依賴"</formula>
    </cfRule>
    <cfRule type="expression" dxfId="17" priority="9">
      <formula>$V36="○ 免調理"</formula>
    </cfRule>
    <cfRule type="expression" dxfId="16" priority="10">
      <formula>$V36="OK"</formula>
    </cfRule>
  </conditionalFormatting>
  <conditionalFormatting sqref="A5:A322">
    <cfRule type="expression" dxfId="15" priority="4">
      <formula>$R5="⚠ 資料缺漏"</formula>
    </cfRule>
  </conditionalFormatting>
  <conditionalFormatting xmlns="http://schemas.openxmlformats.org/spreadsheetml/2006/main" sqref="A5:A322">
    <cfRule type="expression" dxfId="109" priority="1" stopIfTrue="1">
      <formula>AND($D5&lt;&gt;"",OR($A5="",COUNTIFS($D$5:$D$322,$D5,$A$5:$A$322,$A5)&lt;&gt;COUNTIF($D$5:$D$322,$D5)))</formula>
    </cfRule>
  </conditionalFormatting>
  <conditionalFormatting xmlns="http://schemas.openxmlformats.org/spreadsheetml/2006/main" sqref="Y5:Y322">
    <cfRule type="expression" dxfId="108" priority="2" stopIfTrue="1">
      <formula>AND($E5&lt;&gt;"",$Y5="")</formula>
    </cfRule>
  </conditionalFormatting>
  <conditionalFormatting xmlns="http://schemas.openxmlformats.org/spreadsheetml/2006/main" sqref="G5:G322">
    <cfRule type="expression" dxfId="108" priority="3" stopIfTrue="1">
      <formula>AND($E5&lt;&gt;"",$F5&lt;&gt;"",$G5="")</formula>
    </cfRule>
  </conditionalFormatting>
  <dataValidations xmlns="http://schemas.openxmlformats.org/spreadsheetml/2006/main" count="4">
    <dataValidation type="list" sqref="B5:B322" allowBlank="1" showDropDown="0" showErrorMessage="1" errorStyle="stop" errorTitle="請使用下拉選單" error="請選擇選單中的項目，或清除儲存格。">
      <formula1>"大溪,新豐,長家,晉欣"</formula1>
    </dataValidation>
    <dataValidation type="list" sqref="G5:G322" allowBlank="1" showDropDown="0" showErrorMessage="1" errorStyle="stop" errorTitle="請使用下拉選單" error="請選擇選單中的項目，或清除儲存格。">
      <formula1>"公克,個"</formula1>
    </dataValidation>
    <dataValidation type="list" sqref="I5:T322" allowBlank="1" showDropDown="0" showErrorMessage="1" errorStyle="stop" errorTitle="請使用下拉選單" error="請選擇選單中的項目，或清除儲存格。">
      <formula1>"V"</formula1>
    </dataValidation>
    <dataValidation type="list" sqref="A5:A322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9DB0"/>
  </sheetPr>
  <dimension ref="A1:AA322"/>
  <sheetViews xmlns="http://schemas.openxmlformats.org/spreadsheetml/2006/main">
    <sheetView showGridLines="0" zoomScaleNormal="100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13" hidden="1" customWidth="1"/>
    <col min="27" max="27" width="13" hidden="1" customWidth="1"/>
  </cols>
  <sheetData>
    <row r="1" spans="1:27" ht="30" customHeight="1">
      <c r="A1" s="73" t="s">
        <v>80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7" ht="19.5" customHeight="1">
      <c r="A2" s="66" t="s">
        <v>43</v>
      </c>
      <c r="B2" s="66"/>
      <c r="C2" s="66"/>
      <c r="D2" s="66"/>
      <c r="E2" s="66"/>
      <c r="F2" s="66"/>
      <c r="G2" s="66"/>
      <c r="H2" s="66"/>
      <c r="I2" s="66" t="s">
        <v>44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 t="s">
        <v>45</v>
      </c>
      <c r="V2" s="66"/>
      <c r="W2" s="66"/>
      <c r="X2" s="66" t="s">
        <v>46</v>
      </c>
      <c r="Y2" s="66"/>
    </row>
    <row r="3" spans="1:27" ht="24" customHeight="1">
      <c r="A3" s="61" t="s">
        <v>47</v>
      </c>
      <c r="B3" s="64" t="s">
        <v>743</v>
      </c>
      <c r="C3" s="61" t="s">
        <v>48</v>
      </c>
      <c r="D3" s="61" t="s">
        <v>49</v>
      </c>
      <c r="E3" s="61" t="s">
        <v>50</v>
      </c>
      <c r="F3" s="70" t="s">
        <v>51</v>
      </c>
      <c r="G3" s="70"/>
      <c r="H3" s="61" t="s">
        <v>52</v>
      </c>
      <c r="I3" s="62" t="s">
        <v>53</v>
      </c>
      <c r="J3" s="62" t="s">
        <v>54</v>
      </c>
      <c r="K3" s="62" t="s">
        <v>55</v>
      </c>
      <c r="L3" s="62" t="s">
        <v>56</v>
      </c>
      <c r="M3" s="62" t="s">
        <v>57</v>
      </c>
      <c r="N3" s="62" t="s">
        <v>58</v>
      </c>
      <c r="O3" s="62" t="s">
        <v>59</v>
      </c>
      <c r="P3" s="62" t="s">
        <v>60</v>
      </c>
      <c r="Q3" s="62" t="s">
        <v>61</v>
      </c>
      <c r="R3" s="62" t="s">
        <v>62</v>
      </c>
      <c r="S3" s="62" t="s">
        <v>63</v>
      </c>
      <c r="T3" s="63" t="s">
        <v>64</v>
      </c>
      <c r="U3" s="61" t="s">
        <v>65</v>
      </c>
      <c r="V3" s="61" t="s">
        <v>66</v>
      </c>
      <c r="W3" s="61" t="s">
        <v>67</v>
      </c>
      <c r="X3" s="61" t="s">
        <v>68</v>
      </c>
      <c r="Y3" s="61" t="s">
        <v>69</v>
      </c>
      <c r="Z3" s="20" t="s">
        <v>70</v>
      </c>
      <c r="AA3" s="20" t="s">
        <v>71</v>
      </c>
    </row>
    <row r="4" spans="1:27" ht="18" customHeight="1">
      <c r="A4" s="61"/>
      <c r="B4" s="65"/>
      <c r="C4" s="61"/>
      <c r="D4" s="61"/>
      <c r="E4" s="61"/>
      <c r="F4" s="21" t="s">
        <v>72</v>
      </c>
      <c r="G4" s="21" t="s">
        <v>73</v>
      </c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61"/>
      <c r="V4" s="61"/>
      <c r="W4" s="61"/>
      <c r="X4" s="61"/>
      <c r="Y4" s="61"/>
    </row>
    <row r="5" spans="1:27">
      <c r="A5" s="22"/>
      <c r="B5" s="22"/>
      <c r="C5" s="22"/>
      <c r="D5" s="22"/>
      <c r="E5" s="22"/>
      <c r="F5" s="23"/>
      <c r="G5" s="23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xmlns="http://schemas.openxmlformats.org/spreadsheetml/2006/main" r="U5" s="23" t="str">
        <f t="shared" ref="U5:U68" si="0">IF($E5="","",COUNTIF($I5:$S5,"V"))</f>
        <v/>
      </c>
      <c xmlns="http://schemas.openxmlformats.org/spreadsheetml/2006/main" r="V5" s="22" t="str">
        <f t="shared" ref="V5:V68" si="1">IF($E5="","",IF(AND($T5="V",$U5&gt;0),"⚠ 勾選矛盾",IF($T5="V","○ 免調理",IF($U5=0,"⚠ 資料缺漏",IF($U5=1,"▲ 單一設備依賴","OK")))))</f>
        <v/>
      </c>
      <c xmlns="http://schemas.openxmlformats.org/spreadsheetml/2006/main" r="W5" s="18" t="str">
        <f t="shared" ref="W5:W68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/>
      </c>
      <c r="X5" s="22"/>
      <c r="Y5" s="22"/>
      <c xmlns="http://schemas.openxmlformats.org/spreadsheetml/2006/main" r="Z5">
        <f>IF($D5="",0,IF(COUNTIF($D$5:$D5,$D5)=1,1,0))</f>
        <v>0.0</v>
      </c>
      <c xmlns="http://schemas.openxmlformats.org/spreadsheetml/2006/main" r="AA5" t="str">
        <f>IF(Z5=1,SUM($Z$5:$Z5),"")</f>
        <v/>
      </c>
    </row>
    <row r="6" spans="1:27">
      <c r="A6" s="22"/>
      <c r="B6" s="22"/>
      <c r="C6" s="22"/>
      <c r="D6" s="22"/>
      <c r="E6" s="22"/>
      <c r="F6" s="23"/>
      <c r="G6" s="23"/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  <c xmlns="http://schemas.openxmlformats.org/spreadsheetml/2006/main" r="U6" s="23" t="str">
        <f t="shared" si="0"/>
        <v/>
      </c>
      <c xmlns="http://schemas.openxmlformats.org/spreadsheetml/2006/main" r="V6" s="22" t="str">
        <f t="shared" si="1"/>
        <v/>
      </c>
      <c xmlns="http://schemas.openxmlformats.org/spreadsheetml/2006/main" r="W6" s="18" t="str">
        <f t="shared" si="2"/>
        <v/>
      </c>
      <c r="X6" s="22"/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/>
      <c r="B7" s="22"/>
      <c r="C7" s="22"/>
      <c r="D7" s="22"/>
      <c r="E7" s="22"/>
      <c r="F7" s="23"/>
      <c r="G7" s="23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/>
      <c xmlns="http://schemas.openxmlformats.org/spreadsheetml/2006/main" r="U7" s="23" t="str">
        <f t="shared" si="0"/>
        <v/>
      </c>
      <c xmlns="http://schemas.openxmlformats.org/spreadsheetml/2006/main" r="V7" s="22" t="str">
        <f t="shared" si="1"/>
        <v/>
      </c>
      <c xmlns="http://schemas.openxmlformats.org/spreadsheetml/2006/main" r="W7" s="18" t="str">
        <f t="shared" si="2"/>
        <v/>
      </c>
      <c r="X7" s="22"/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/>
      <c r="B8" s="22"/>
      <c r="C8" s="22"/>
      <c r="D8" s="22"/>
      <c r="E8" s="22"/>
      <c r="F8" s="23"/>
      <c r="G8" s="23"/>
      <c r="H8" s="24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xmlns="http://schemas.openxmlformats.org/spreadsheetml/2006/main" r="U8" s="23" t="str">
        <f t="shared" si="0"/>
        <v/>
      </c>
      <c xmlns="http://schemas.openxmlformats.org/spreadsheetml/2006/main" r="V8" s="22" t="str">
        <f t="shared" si="1"/>
        <v/>
      </c>
      <c xmlns="http://schemas.openxmlformats.org/spreadsheetml/2006/main" r="W8" s="18" t="str">
        <f t="shared" si="2"/>
        <v/>
      </c>
      <c r="X8" s="22"/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/>
      <c r="B9" s="22"/>
      <c r="C9" s="22"/>
      <c r="D9" s="22"/>
      <c r="E9" s="22"/>
      <c r="F9" s="23"/>
      <c r="G9" s="23"/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xmlns="http://schemas.openxmlformats.org/spreadsheetml/2006/main" r="U9" s="23" t="str">
        <f t="shared" si="0"/>
        <v/>
      </c>
      <c xmlns="http://schemas.openxmlformats.org/spreadsheetml/2006/main" r="V9" s="22" t="str">
        <f t="shared" si="1"/>
        <v/>
      </c>
      <c xmlns="http://schemas.openxmlformats.org/spreadsheetml/2006/main" r="W9" s="18" t="str">
        <f t="shared" si="2"/>
        <v/>
      </c>
      <c r="X9" s="22"/>
      <c r="Y9" s="22"/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/>
      <c r="B10" s="22"/>
      <c r="C10" s="22"/>
      <c r="D10" s="22"/>
      <c r="E10" s="22"/>
      <c r="F10" s="23"/>
      <c r="G10" s="23"/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xmlns="http://schemas.openxmlformats.org/spreadsheetml/2006/main" r="U10" s="23" t="str">
        <f t="shared" si="0"/>
        <v/>
      </c>
      <c xmlns="http://schemas.openxmlformats.org/spreadsheetml/2006/main" r="V10" s="22" t="str">
        <f t="shared" si="1"/>
        <v/>
      </c>
      <c xmlns="http://schemas.openxmlformats.org/spreadsheetml/2006/main" r="W10" s="18" t="str">
        <f t="shared" si="2"/>
        <v/>
      </c>
      <c r="X10" s="22"/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/>
      <c r="B11" s="22"/>
      <c r="C11" s="22"/>
      <c r="D11" s="22"/>
      <c r="E11" s="22"/>
      <c r="F11" s="23"/>
      <c r="G11" s="23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  <c xmlns="http://schemas.openxmlformats.org/spreadsheetml/2006/main" r="U11" s="23" t="str">
        <f t="shared" si="0"/>
        <v/>
      </c>
      <c xmlns="http://schemas.openxmlformats.org/spreadsheetml/2006/main" r="V11" s="22" t="str">
        <f t="shared" si="1"/>
        <v/>
      </c>
      <c xmlns="http://schemas.openxmlformats.org/spreadsheetml/2006/main" r="W11" s="18" t="str">
        <f t="shared" si="2"/>
        <v/>
      </c>
      <c r="X11" s="22"/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/>
      <c r="B12" s="22"/>
      <c r="C12" s="22"/>
      <c r="D12" s="22"/>
      <c r="E12" s="22"/>
      <c r="F12" s="23"/>
      <c r="G12" s="23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/>
      <c xmlns="http://schemas.openxmlformats.org/spreadsheetml/2006/main" r="U12" s="23" t="str">
        <f t="shared" si="0"/>
        <v/>
      </c>
      <c xmlns="http://schemas.openxmlformats.org/spreadsheetml/2006/main" r="V12" s="22" t="str">
        <f t="shared" si="1"/>
        <v/>
      </c>
      <c xmlns="http://schemas.openxmlformats.org/spreadsheetml/2006/main" r="W12" s="18" t="str">
        <f t="shared" si="2"/>
        <v/>
      </c>
      <c r="X12" s="22"/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/>
      <c r="B13" s="22"/>
      <c r="C13" s="22"/>
      <c r="D13" s="22"/>
      <c r="E13" s="22"/>
      <c r="F13" s="23"/>
      <c r="G13" s="23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xmlns="http://schemas.openxmlformats.org/spreadsheetml/2006/main" r="U13" s="23" t="str">
        <f t="shared" si="0"/>
        <v/>
      </c>
      <c xmlns="http://schemas.openxmlformats.org/spreadsheetml/2006/main" r="V13" s="22" t="str">
        <f t="shared" si="1"/>
        <v/>
      </c>
      <c xmlns="http://schemas.openxmlformats.org/spreadsheetml/2006/main" r="W13" s="18" t="str">
        <f t="shared" si="2"/>
        <v/>
      </c>
      <c r="X13" s="22"/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/>
      <c r="B14" s="22"/>
      <c r="C14" s="22"/>
      <c r="D14" s="22"/>
      <c r="E14" s="22"/>
      <c r="F14" s="23"/>
      <c r="G14" s="23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  <c xmlns="http://schemas.openxmlformats.org/spreadsheetml/2006/main" r="U14" s="23" t="str">
        <f t="shared" si="0"/>
        <v/>
      </c>
      <c xmlns="http://schemas.openxmlformats.org/spreadsheetml/2006/main" r="V14" s="22" t="str">
        <f t="shared" si="1"/>
        <v/>
      </c>
      <c xmlns="http://schemas.openxmlformats.org/spreadsheetml/2006/main" r="W14" s="18" t="str">
        <f t="shared" si="2"/>
        <v/>
      </c>
      <c r="X14" s="22"/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/>
      <c r="B15" s="22"/>
      <c r="C15" s="22"/>
      <c r="D15" s="22"/>
      <c r="E15" s="22"/>
      <c r="F15" s="23"/>
      <c r="G15" s="23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  <c xmlns="http://schemas.openxmlformats.org/spreadsheetml/2006/main" r="U15" s="23" t="str">
        <f t="shared" si="0"/>
        <v/>
      </c>
      <c xmlns="http://schemas.openxmlformats.org/spreadsheetml/2006/main" r="V15" s="22" t="str">
        <f t="shared" si="1"/>
        <v/>
      </c>
      <c xmlns="http://schemas.openxmlformats.org/spreadsheetml/2006/main" r="W15" s="18" t="str">
        <f t="shared" si="2"/>
        <v/>
      </c>
      <c r="X15" s="22"/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/>
      <c r="B16" s="22"/>
      <c r="C16" s="22"/>
      <c r="D16" s="22"/>
      <c r="E16" s="22"/>
      <c r="F16" s="23"/>
      <c r="G16" s="23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  <c xmlns="http://schemas.openxmlformats.org/spreadsheetml/2006/main" r="U16" s="23" t="str">
        <f t="shared" si="0"/>
        <v/>
      </c>
      <c xmlns="http://schemas.openxmlformats.org/spreadsheetml/2006/main" r="V16" s="22" t="str">
        <f t="shared" si="1"/>
        <v/>
      </c>
      <c xmlns="http://schemas.openxmlformats.org/spreadsheetml/2006/main" r="W16" s="18" t="str">
        <f t="shared" si="2"/>
        <v/>
      </c>
      <c r="X16" s="22"/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/>
      <c r="B17" s="22"/>
      <c r="C17" s="22"/>
      <c r="D17" s="22"/>
      <c r="E17" s="22"/>
      <c r="F17" s="23"/>
      <c r="G17" s="23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  <c xmlns="http://schemas.openxmlformats.org/spreadsheetml/2006/main" r="U17" s="23" t="str">
        <f t="shared" si="0"/>
        <v/>
      </c>
      <c xmlns="http://schemas.openxmlformats.org/spreadsheetml/2006/main" r="V17" s="22" t="str">
        <f t="shared" si="1"/>
        <v/>
      </c>
      <c xmlns="http://schemas.openxmlformats.org/spreadsheetml/2006/main" r="W17" s="18" t="str">
        <f t="shared" si="2"/>
        <v/>
      </c>
      <c r="X17" s="22"/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/>
      <c r="B18" s="22"/>
      <c r="C18" s="22"/>
      <c r="D18" s="22"/>
      <c r="E18" s="22"/>
      <c r="F18" s="23"/>
      <c r="G18" s="23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xmlns="http://schemas.openxmlformats.org/spreadsheetml/2006/main" r="U18" s="23" t="str">
        <f t="shared" si="0"/>
        <v/>
      </c>
      <c xmlns="http://schemas.openxmlformats.org/spreadsheetml/2006/main" r="V18" s="22" t="str">
        <f t="shared" si="1"/>
        <v/>
      </c>
      <c xmlns="http://schemas.openxmlformats.org/spreadsheetml/2006/main" r="W18" s="18" t="str">
        <f t="shared" si="2"/>
        <v/>
      </c>
      <c r="X18" s="22"/>
      <c r="Y18" s="22"/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/>
      <c r="B19" s="22"/>
      <c r="C19" s="22"/>
      <c r="D19" s="22"/>
      <c r="E19" s="22"/>
      <c r="F19" s="23"/>
      <c r="G19" s="23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  <c xmlns="http://schemas.openxmlformats.org/spreadsheetml/2006/main" r="U19" s="23" t="str">
        <f t="shared" si="0"/>
        <v/>
      </c>
      <c xmlns="http://schemas.openxmlformats.org/spreadsheetml/2006/main" r="V19" s="22" t="str">
        <f t="shared" si="1"/>
        <v/>
      </c>
      <c xmlns="http://schemas.openxmlformats.org/spreadsheetml/2006/main" r="W19" s="18" t="str">
        <f t="shared" si="2"/>
        <v/>
      </c>
      <c r="X19" s="22"/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/>
      <c r="B20" s="22"/>
      <c r="C20" s="22"/>
      <c r="D20" s="22"/>
      <c r="E20" s="22"/>
      <c r="F20" s="23"/>
      <c r="G20" s="23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  <c xmlns="http://schemas.openxmlformats.org/spreadsheetml/2006/main" r="U20" s="23" t="str">
        <f t="shared" si="0"/>
        <v/>
      </c>
      <c xmlns="http://schemas.openxmlformats.org/spreadsheetml/2006/main" r="V20" s="22" t="str">
        <f t="shared" si="1"/>
        <v/>
      </c>
      <c xmlns="http://schemas.openxmlformats.org/spreadsheetml/2006/main" r="W20" s="18" t="str">
        <f t="shared" si="2"/>
        <v/>
      </c>
      <c r="X20" s="22"/>
      <c r="Y20" s="22"/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/>
      <c r="B21" s="22"/>
      <c r="C21" s="22"/>
      <c r="D21" s="22"/>
      <c r="E21" s="22"/>
      <c r="F21" s="23"/>
      <c r="G21" s="23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  <c xmlns="http://schemas.openxmlformats.org/spreadsheetml/2006/main" r="U21" s="23" t="str">
        <f t="shared" si="0"/>
        <v/>
      </c>
      <c xmlns="http://schemas.openxmlformats.org/spreadsheetml/2006/main" r="V21" s="22" t="str">
        <f t="shared" si="1"/>
        <v/>
      </c>
      <c xmlns="http://schemas.openxmlformats.org/spreadsheetml/2006/main" r="W21" s="18" t="str">
        <f t="shared" si="2"/>
        <v/>
      </c>
      <c r="X21" s="22"/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/>
      <c r="B22" s="22"/>
      <c r="C22" s="22"/>
      <c r="D22" s="22"/>
      <c r="E22" s="22"/>
      <c r="F22" s="23"/>
      <c r="G22" s="23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xmlns="http://schemas.openxmlformats.org/spreadsheetml/2006/main" r="U22" s="23" t="str">
        <f t="shared" si="0"/>
        <v/>
      </c>
      <c xmlns="http://schemas.openxmlformats.org/spreadsheetml/2006/main" r="V22" s="22" t="str">
        <f t="shared" si="1"/>
        <v/>
      </c>
      <c xmlns="http://schemas.openxmlformats.org/spreadsheetml/2006/main" r="W22" s="18" t="str">
        <f t="shared" si="2"/>
        <v/>
      </c>
      <c r="X22" s="22"/>
      <c r="Y22" s="22"/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/>
      <c r="B23" s="22"/>
      <c r="C23" s="22"/>
      <c r="D23" s="22"/>
      <c r="E23" s="22"/>
      <c r="F23" s="23"/>
      <c r="G23" s="23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  <c xmlns="http://schemas.openxmlformats.org/spreadsheetml/2006/main" r="U23" s="23" t="str">
        <f t="shared" si="0"/>
        <v/>
      </c>
      <c xmlns="http://schemas.openxmlformats.org/spreadsheetml/2006/main" r="V23" s="22" t="str">
        <f t="shared" si="1"/>
        <v/>
      </c>
      <c xmlns="http://schemas.openxmlformats.org/spreadsheetml/2006/main" r="W23" s="18" t="str">
        <f t="shared" si="2"/>
        <v/>
      </c>
      <c r="X23" s="22"/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/>
      <c r="B24" s="22"/>
      <c r="C24" s="22"/>
      <c r="D24" s="22"/>
      <c r="E24" s="22"/>
      <c r="F24" s="23"/>
      <c r="G24" s="23"/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  <c xmlns="http://schemas.openxmlformats.org/spreadsheetml/2006/main" r="U24" s="23" t="str">
        <f t="shared" si="0"/>
        <v/>
      </c>
      <c xmlns="http://schemas.openxmlformats.org/spreadsheetml/2006/main" r="V24" s="22" t="str">
        <f t="shared" si="1"/>
        <v/>
      </c>
      <c xmlns="http://schemas.openxmlformats.org/spreadsheetml/2006/main" r="W24" s="18" t="str">
        <f t="shared" si="2"/>
        <v/>
      </c>
      <c r="X24" s="22"/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/>
      <c r="B25" s="22"/>
      <c r="C25" s="22"/>
      <c r="D25" s="22"/>
      <c r="E25" s="22"/>
      <c r="F25" s="23"/>
      <c r="G25" s="23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/>
      <c xmlns="http://schemas.openxmlformats.org/spreadsheetml/2006/main" r="U25" s="23" t="str">
        <f t="shared" si="0"/>
        <v/>
      </c>
      <c xmlns="http://schemas.openxmlformats.org/spreadsheetml/2006/main" r="V25" s="22" t="str">
        <f t="shared" si="1"/>
        <v/>
      </c>
      <c xmlns="http://schemas.openxmlformats.org/spreadsheetml/2006/main" r="W25" s="18" t="str">
        <f t="shared" si="2"/>
        <v/>
      </c>
      <c r="X25" s="22"/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/>
      <c r="B26" s="22"/>
      <c r="C26" s="22"/>
      <c r="D26" s="22"/>
      <c r="E26" s="22"/>
      <c r="F26" s="23"/>
      <c r="G26" s="23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xmlns="http://schemas.openxmlformats.org/spreadsheetml/2006/main" r="U26" s="23" t="str">
        <f t="shared" si="0"/>
        <v/>
      </c>
      <c xmlns="http://schemas.openxmlformats.org/spreadsheetml/2006/main" r="V26" s="22" t="str">
        <f t="shared" si="1"/>
        <v/>
      </c>
      <c xmlns="http://schemas.openxmlformats.org/spreadsheetml/2006/main" r="W26" s="18" t="str">
        <f t="shared" si="2"/>
        <v/>
      </c>
      <c r="X26" s="22"/>
      <c r="Y26" s="22"/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/>
      <c r="B27" s="22"/>
      <c r="C27" s="22"/>
      <c r="D27" s="22"/>
      <c r="E27" s="22"/>
      <c r="F27" s="23"/>
      <c r="G27" s="23"/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  <c xmlns="http://schemas.openxmlformats.org/spreadsheetml/2006/main" r="U27" s="23" t="str">
        <f t="shared" si="0"/>
        <v/>
      </c>
      <c xmlns="http://schemas.openxmlformats.org/spreadsheetml/2006/main" r="V27" s="22" t="str">
        <f t="shared" si="1"/>
        <v/>
      </c>
      <c xmlns="http://schemas.openxmlformats.org/spreadsheetml/2006/main" r="W27" s="18" t="str">
        <f t="shared" si="2"/>
        <v/>
      </c>
      <c r="X27" s="22"/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/>
      <c r="B28" s="22"/>
      <c r="C28" s="22"/>
      <c r="D28" s="22"/>
      <c r="E28" s="22"/>
      <c r="F28" s="23"/>
      <c r="G28" s="23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xmlns="http://schemas.openxmlformats.org/spreadsheetml/2006/main" r="U28" s="23" t="str">
        <f t="shared" si="0"/>
        <v/>
      </c>
      <c xmlns="http://schemas.openxmlformats.org/spreadsheetml/2006/main" r="V28" s="22" t="str">
        <f t="shared" si="1"/>
        <v/>
      </c>
      <c xmlns="http://schemas.openxmlformats.org/spreadsheetml/2006/main" r="W28" s="18" t="str">
        <f t="shared" si="2"/>
        <v/>
      </c>
      <c r="X28" s="22"/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/>
      <c r="B29" s="22"/>
      <c r="C29" s="22"/>
      <c r="D29" s="22"/>
      <c r="E29" s="22"/>
      <c r="F29" s="23"/>
      <c r="G29" s="23"/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xmlns="http://schemas.openxmlformats.org/spreadsheetml/2006/main" r="U29" s="23" t="str">
        <f t="shared" si="0"/>
        <v/>
      </c>
      <c xmlns="http://schemas.openxmlformats.org/spreadsheetml/2006/main" r="V29" s="22" t="str">
        <f t="shared" si="1"/>
        <v/>
      </c>
      <c xmlns="http://schemas.openxmlformats.org/spreadsheetml/2006/main" r="W29" s="18" t="str">
        <f t="shared" si="2"/>
        <v/>
      </c>
      <c r="X29" s="22"/>
      <c r="Y29" s="22"/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/>
      <c r="B30" s="22"/>
      <c r="C30" s="22"/>
      <c r="D30" s="22"/>
      <c r="E30" s="22"/>
      <c r="F30" s="23"/>
      <c r="G30" s="23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xmlns="http://schemas.openxmlformats.org/spreadsheetml/2006/main" r="U30" s="23" t="str">
        <f t="shared" si="0"/>
        <v/>
      </c>
      <c xmlns="http://schemas.openxmlformats.org/spreadsheetml/2006/main" r="V30" s="22" t="str">
        <f t="shared" si="1"/>
        <v/>
      </c>
      <c xmlns="http://schemas.openxmlformats.org/spreadsheetml/2006/main" r="W30" s="18" t="str">
        <f t="shared" si="2"/>
        <v/>
      </c>
      <c r="X30" s="22"/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/>
      <c r="B31" s="22"/>
      <c r="C31" s="22"/>
      <c r="D31" s="22"/>
      <c r="E31" s="22"/>
      <c r="F31" s="23"/>
      <c r="G31" s="23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xmlns="http://schemas.openxmlformats.org/spreadsheetml/2006/main" r="U31" s="23" t="str">
        <f t="shared" si="0"/>
        <v/>
      </c>
      <c xmlns="http://schemas.openxmlformats.org/spreadsheetml/2006/main" r="V31" s="22" t="str">
        <f t="shared" si="1"/>
        <v/>
      </c>
      <c xmlns="http://schemas.openxmlformats.org/spreadsheetml/2006/main" r="W31" s="18" t="str">
        <f t="shared" si="2"/>
        <v/>
      </c>
      <c r="X31" s="22"/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/>
      <c r="B32" s="22"/>
      <c r="C32" s="22"/>
      <c r="D32" s="22"/>
      <c r="E32" s="22"/>
      <c r="F32" s="23"/>
      <c r="G32" s="23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xmlns="http://schemas.openxmlformats.org/spreadsheetml/2006/main" r="U32" s="23" t="str">
        <f t="shared" si="0"/>
        <v/>
      </c>
      <c xmlns="http://schemas.openxmlformats.org/spreadsheetml/2006/main" r="V32" s="22" t="str">
        <f t="shared" si="1"/>
        <v/>
      </c>
      <c xmlns="http://schemas.openxmlformats.org/spreadsheetml/2006/main" r="W32" s="18" t="str">
        <f t="shared" si="2"/>
        <v/>
      </c>
      <c r="X32" s="22"/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/>
      <c r="B33" s="22"/>
      <c r="C33" s="22"/>
      <c r="D33" s="22"/>
      <c r="E33" s="22"/>
      <c r="F33" s="23"/>
      <c r="G33" s="23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 t="str">
        <f t="shared" si="0"/>
        <v/>
      </c>
      <c xmlns="http://schemas.openxmlformats.org/spreadsheetml/2006/main" r="V33" s="22" t="str">
        <f t="shared" si="1"/>
        <v/>
      </c>
      <c xmlns="http://schemas.openxmlformats.org/spreadsheetml/2006/main" r="W33" s="18" t="str">
        <f t="shared" si="2"/>
        <v/>
      </c>
      <c r="X33" s="22"/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/>
      <c r="B34" s="22"/>
      <c r="C34" s="22"/>
      <c r="D34" s="22"/>
      <c r="E34" s="22"/>
      <c r="F34" s="23"/>
      <c r="G34" s="23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xmlns="http://schemas.openxmlformats.org/spreadsheetml/2006/main" r="U34" s="23" t="str">
        <f t="shared" si="0"/>
        <v/>
      </c>
      <c xmlns="http://schemas.openxmlformats.org/spreadsheetml/2006/main" r="V34" s="22" t="str">
        <f t="shared" si="1"/>
        <v/>
      </c>
      <c xmlns="http://schemas.openxmlformats.org/spreadsheetml/2006/main" r="W34" s="18" t="str">
        <f t="shared" si="2"/>
        <v/>
      </c>
      <c r="X34" s="22"/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/>
      <c r="B35" s="22"/>
      <c r="C35" s="22"/>
      <c r="D35" s="22"/>
      <c r="E35" s="22"/>
      <c r="F35" s="23"/>
      <c r="G35" s="23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 t="str">
        <f t="shared" si="0"/>
        <v/>
      </c>
      <c xmlns="http://schemas.openxmlformats.org/spreadsheetml/2006/main" r="V35" s="22" t="str">
        <f t="shared" si="1"/>
        <v/>
      </c>
      <c xmlns="http://schemas.openxmlformats.org/spreadsheetml/2006/main" r="W35" s="18" t="str">
        <f t="shared" si="2"/>
        <v/>
      </c>
      <c r="X35" s="22"/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/>
      <c r="B36" s="22"/>
      <c r="C36" s="22"/>
      <c r="D36" s="22"/>
      <c r="E36" s="22"/>
      <c r="F36" s="23"/>
      <c r="G36" s="23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 t="str">
        <f t="shared" si="0"/>
        <v/>
      </c>
      <c xmlns="http://schemas.openxmlformats.org/spreadsheetml/2006/main" r="V36" s="22" t="str">
        <f t="shared" si="1"/>
        <v/>
      </c>
      <c xmlns="http://schemas.openxmlformats.org/spreadsheetml/2006/main" r="W36" s="18" t="str">
        <f t="shared" si="2"/>
        <v/>
      </c>
      <c r="X36" s="22"/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/>
      <c r="B37" s="22"/>
      <c r="C37" s="22"/>
      <c r="D37" s="22"/>
      <c r="E37" s="22"/>
      <c r="F37" s="23"/>
      <c r="G37" s="23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xmlns="http://schemas.openxmlformats.org/spreadsheetml/2006/main" r="U37" s="23" t="str">
        <f t="shared" si="0"/>
        <v/>
      </c>
      <c xmlns="http://schemas.openxmlformats.org/spreadsheetml/2006/main" r="V37" s="22" t="str">
        <f t="shared" si="1"/>
        <v/>
      </c>
      <c xmlns="http://schemas.openxmlformats.org/spreadsheetml/2006/main" r="W37" s="18" t="str">
        <f t="shared" si="2"/>
        <v/>
      </c>
      <c r="X37" s="22"/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/>
      <c r="B38" s="22"/>
      <c r="C38" s="22"/>
      <c r="D38" s="22"/>
      <c r="E38" s="22"/>
      <c r="F38" s="23"/>
      <c r="G38" s="23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xmlns="http://schemas.openxmlformats.org/spreadsheetml/2006/main" r="U38" s="23" t="str">
        <f t="shared" si="0"/>
        <v/>
      </c>
      <c xmlns="http://schemas.openxmlformats.org/spreadsheetml/2006/main" r="V38" s="22" t="str">
        <f t="shared" si="1"/>
        <v/>
      </c>
      <c xmlns="http://schemas.openxmlformats.org/spreadsheetml/2006/main" r="W38" s="18" t="str">
        <f t="shared" si="2"/>
        <v/>
      </c>
      <c r="X38" s="22"/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/>
      <c r="B39" s="22"/>
      <c r="C39" s="22"/>
      <c r="D39" s="22"/>
      <c r="E39" s="22"/>
      <c r="F39" s="23"/>
      <c r="G39" s="23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xmlns="http://schemas.openxmlformats.org/spreadsheetml/2006/main" r="U39" s="23" t="str">
        <f t="shared" si="0"/>
        <v/>
      </c>
      <c xmlns="http://schemas.openxmlformats.org/spreadsheetml/2006/main" r="V39" s="22" t="str">
        <f t="shared" si="1"/>
        <v/>
      </c>
      <c xmlns="http://schemas.openxmlformats.org/spreadsheetml/2006/main" r="W39" s="18" t="str">
        <f t="shared" si="2"/>
        <v/>
      </c>
      <c r="X39" s="22"/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/>
      <c r="B40" s="22"/>
      <c r="C40" s="22"/>
      <c r="D40" s="22"/>
      <c r="E40" s="22"/>
      <c r="F40" s="23"/>
      <c r="G40" s="23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xmlns="http://schemas.openxmlformats.org/spreadsheetml/2006/main" r="U40" s="23" t="str">
        <f t="shared" si="0"/>
        <v/>
      </c>
      <c xmlns="http://schemas.openxmlformats.org/spreadsheetml/2006/main" r="V40" s="22" t="str">
        <f t="shared" si="1"/>
        <v/>
      </c>
      <c xmlns="http://schemas.openxmlformats.org/spreadsheetml/2006/main" r="W40" s="18" t="str">
        <f t="shared" si="2"/>
        <v/>
      </c>
      <c r="X40" s="22"/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/>
      <c r="B41" s="22"/>
      <c r="C41" s="22"/>
      <c r="D41" s="22"/>
      <c r="E41" s="22"/>
      <c r="F41" s="23"/>
      <c r="G41" s="23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 t="str">
        <f t="shared" si="0"/>
        <v/>
      </c>
      <c xmlns="http://schemas.openxmlformats.org/spreadsheetml/2006/main" r="V41" s="22" t="str">
        <f t="shared" si="1"/>
        <v/>
      </c>
      <c xmlns="http://schemas.openxmlformats.org/spreadsheetml/2006/main" r="W41" s="18" t="str">
        <f t="shared" si="2"/>
        <v/>
      </c>
      <c r="X41" s="22"/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/>
      <c r="B42" s="22"/>
      <c r="C42" s="22"/>
      <c r="D42" s="22"/>
      <c r="E42" s="22"/>
      <c r="F42" s="23"/>
      <c r="G42" s="23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 t="str">
        <f t="shared" si="0"/>
        <v/>
      </c>
      <c xmlns="http://schemas.openxmlformats.org/spreadsheetml/2006/main" r="V42" s="22" t="str">
        <f t="shared" si="1"/>
        <v/>
      </c>
      <c xmlns="http://schemas.openxmlformats.org/spreadsheetml/2006/main" r="W42" s="18" t="str">
        <f t="shared" si="2"/>
        <v/>
      </c>
      <c r="X42" s="22"/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/>
      <c r="B43" s="22"/>
      <c r="C43" s="22"/>
      <c r="D43" s="22"/>
      <c r="E43" s="22"/>
      <c r="F43" s="23"/>
      <c r="G43" s="23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xmlns="http://schemas.openxmlformats.org/spreadsheetml/2006/main" r="U43" s="23" t="str">
        <f t="shared" si="0"/>
        <v/>
      </c>
      <c xmlns="http://schemas.openxmlformats.org/spreadsheetml/2006/main" r="V43" s="22" t="str">
        <f t="shared" si="1"/>
        <v/>
      </c>
      <c xmlns="http://schemas.openxmlformats.org/spreadsheetml/2006/main" r="W43" s="18" t="str">
        <f t="shared" si="2"/>
        <v/>
      </c>
      <c r="X43" s="22"/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/>
      <c r="B44" s="22"/>
      <c r="C44" s="22"/>
      <c r="D44" s="22"/>
      <c r="E44" s="22"/>
      <c r="F44" s="23"/>
      <c r="G44" s="23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 t="str">
        <f t="shared" si="0"/>
        <v/>
      </c>
      <c xmlns="http://schemas.openxmlformats.org/spreadsheetml/2006/main" r="V44" s="22" t="str">
        <f t="shared" si="1"/>
        <v/>
      </c>
      <c xmlns="http://schemas.openxmlformats.org/spreadsheetml/2006/main" r="W44" s="18" t="str">
        <f t="shared" si="2"/>
        <v/>
      </c>
      <c r="X44" s="22"/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/>
      <c r="B45" s="22"/>
      <c r="C45" s="22"/>
      <c r="D45" s="22"/>
      <c r="E45" s="22"/>
      <c r="F45" s="23"/>
      <c r="G45" s="23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 t="str">
        <f t="shared" si="0"/>
        <v/>
      </c>
      <c xmlns="http://schemas.openxmlformats.org/spreadsheetml/2006/main" r="V45" s="22" t="str">
        <f t="shared" si="1"/>
        <v/>
      </c>
      <c xmlns="http://schemas.openxmlformats.org/spreadsheetml/2006/main" r="W45" s="18" t="str">
        <f t="shared" si="2"/>
        <v/>
      </c>
      <c r="X45" s="22"/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/>
      <c r="B46" s="22"/>
      <c r="C46" s="22"/>
      <c r="D46" s="22"/>
      <c r="E46" s="22"/>
      <c r="F46" s="23"/>
      <c r="G46" s="23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 t="str">
        <f t="shared" si="0"/>
        <v/>
      </c>
      <c xmlns="http://schemas.openxmlformats.org/spreadsheetml/2006/main" r="V46" s="22" t="str">
        <f t="shared" si="1"/>
        <v/>
      </c>
      <c xmlns="http://schemas.openxmlformats.org/spreadsheetml/2006/main" r="W46" s="18" t="str">
        <f t="shared" si="2"/>
        <v/>
      </c>
      <c r="X46" s="22"/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xmlns="http://schemas.openxmlformats.org/spreadsheetml/2006/main" r="U47" s="23" t="str">
        <f t="shared" si="0"/>
        <v/>
      </c>
      <c xmlns="http://schemas.openxmlformats.org/spreadsheetml/2006/main" r="V47" s="22" t="str">
        <f t="shared" si="1"/>
        <v/>
      </c>
      <c xmlns="http://schemas.openxmlformats.org/spreadsheetml/2006/main" r="W47" s="18" t="str">
        <f t="shared" si="2"/>
        <v/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 t="str">
        <f t="shared" si="0"/>
        <v/>
      </c>
      <c xmlns="http://schemas.openxmlformats.org/spreadsheetml/2006/main" r="V48" s="22" t="str">
        <f t="shared" si="1"/>
        <v/>
      </c>
      <c xmlns="http://schemas.openxmlformats.org/spreadsheetml/2006/main" r="W48" s="18" t="str">
        <f t="shared" si="2"/>
        <v/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 t="str">
        <f t="shared" si="0"/>
        <v/>
      </c>
      <c xmlns="http://schemas.openxmlformats.org/spreadsheetml/2006/main" r="V49" s="22" t="str">
        <f t="shared" si="1"/>
        <v/>
      </c>
      <c xmlns="http://schemas.openxmlformats.org/spreadsheetml/2006/main" r="W49" s="18" t="str">
        <f t="shared" si="2"/>
        <v/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 t="str">
        <f t="shared" si="0"/>
        <v/>
      </c>
      <c xmlns="http://schemas.openxmlformats.org/spreadsheetml/2006/main" r="V50" s="22" t="str">
        <f t="shared" si="1"/>
        <v/>
      </c>
      <c xmlns="http://schemas.openxmlformats.org/spreadsheetml/2006/main" r="W50" s="18" t="str">
        <f t="shared" si="2"/>
        <v/>
      </c>
      <c r="X50" s="22"/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 t="str">
        <f t="shared" si="0"/>
        <v/>
      </c>
      <c xmlns="http://schemas.openxmlformats.org/spreadsheetml/2006/main" r="V51" s="22" t="str">
        <f t="shared" si="1"/>
        <v/>
      </c>
      <c xmlns="http://schemas.openxmlformats.org/spreadsheetml/2006/main" r="W51" s="18" t="str">
        <f t="shared" si="2"/>
        <v/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xmlns="http://schemas.openxmlformats.org/spreadsheetml/2006/main" r="U52" s="23" t="str">
        <f t="shared" si="0"/>
        <v/>
      </c>
      <c xmlns="http://schemas.openxmlformats.org/spreadsheetml/2006/main" r="V52" s="22" t="str">
        <f t="shared" si="1"/>
        <v/>
      </c>
      <c xmlns="http://schemas.openxmlformats.org/spreadsheetml/2006/main" r="W52" s="18" t="str">
        <f t="shared" si="2"/>
        <v/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 t="str">
        <f t="shared" si="0"/>
        <v/>
      </c>
      <c xmlns="http://schemas.openxmlformats.org/spreadsheetml/2006/main" r="V53" s="22" t="str">
        <f t="shared" si="1"/>
        <v/>
      </c>
      <c xmlns="http://schemas.openxmlformats.org/spreadsheetml/2006/main" r="W53" s="18" t="str">
        <f t="shared" si="2"/>
        <v/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 t="str">
        <f t="shared" si="0"/>
        <v/>
      </c>
      <c xmlns="http://schemas.openxmlformats.org/spreadsheetml/2006/main" r="V54" s="22" t="str">
        <f t="shared" si="1"/>
        <v/>
      </c>
      <c xmlns="http://schemas.openxmlformats.org/spreadsheetml/2006/main" r="W54" s="18" t="str">
        <f t="shared" si="2"/>
        <v/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 t="str">
        <f t="shared" si="0"/>
        <v/>
      </c>
      <c xmlns="http://schemas.openxmlformats.org/spreadsheetml/2006/main" r="V55" s="22" t="str">
        <f t="shared" si="1"/>
        <v/>
      </c>
      <c xmlns="http://schemas.openxmlformats.org/spreadsheetml/2006/main" r="W55" s="18" t="str">
        <f t="shared" si="2"/>
        <v/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 t="str">
        <f t="shared" si="0"/>
        <v/>
      </c>
      <c xmlns="http://schemas.openxmlformats.org/spreadsheetml/2006/main" r="V56" s="22" t="str">
        <f t="shared" si="1"/>
        <v/>
      </c>
      <c xmlns="http://schemas.openxmlformats.org/spreadsheetml/2006/main" r="W56" s="18" t="str">
        <f t="shared" si="2"/>
        <v/>
      </c>
      <c r="X56" s="22"/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 t="str">
        <f t="shared" si="0"/>
        <v/>
      </c>
      <c xmlns="http://schemas.openxmlformats.org/spreadsheetml/2006/main" r="V57" s="22" t="str">
        <f t="shared" si="1"/>
        <v/>
      </c>
      <c xmlns="http://schemas.openxmlformats.org/spreadsheetml/2006/main" r="W57" s="18" t="str">
        <f t="shared" si="2"/>
        <v/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 t="str">
        <f t="shared" si="0"/>
        <v/>
      </c>
      <c xmlns="http://schemas.openxmlformats.org/spreadsheetml/2006/main" r="V58" s="22" t="str">
        <f t="shared" si="1"/>
        <v/>
      </c>
      <c xmlns="http://schemas.openxmlformats.org/spreadsheetml/2006/main" r="W58" s="18" t="str">
        <f t="shared" si="2"/>
        <v/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 t="str">
        <f t="shared" si="0"/>
        <v/>
      </c>
      <c xmlns="http://schemas.openxmlformats.org/spreadsheetml/2006/main" r="V59" s="22" t="str">
        <f t="shared" si="1"/>
        <v/>
      </c>
      <c xmlns="http://schemas.openxmlformats.org/spreadsheetml/2006/main" r="W59" s="18" t="str">
        <f t="shared" si="2"/>
        <v/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 t="str">
        <f t="shared" si="0"/>
        <v/>
      </c>
      <c xmlns="http://schemas.openxmlformats.org/spreadsheetml/2006/main" r="V60" s="22" t="str">
        <f t="shared" si="1"/>
        <v/>
      </c>
      <c xmlns="http://schemas.openxmlformats.org/spreadsheetml/2006/main" r="W60" s="18" t="str">
        <f t="shared" si="2"/>
        <v/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 t="str">
        <f t="shared" si="0"/>
        <v/>
      </c>
      <c xmlns="http://schemas.openxmlformats.org/spreadsheetml/2006/main" r="V61" s="22" t="str">
        <f t="shared" si="1"/>
        <v/>
      </c>
      <c xmlns="http://schemas.openxmlformats.org/spreadsheetml/2006/main" r="W61" s="18" t="str">
        <f t="shared" si="2"/>
        <v/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 t="str">
        <f t="shared" si="0"/>
        <v/>
      </c>
      <c xmlns="http://schemas.openxmlformats.org/spreadsheetml/2006/main" r="V62" s="22" t="str">
        <f t="shared" si="1"/>
        <v/>
      </c>
      <c xmlns="http://schemas.openxmlformats.org/spreadsheetml/2006/main" r="W62" s="18" t="str">
        <f t="shared" si="2"/>
        <v/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 t="str">
        <f t="shared" si="0"/>
        <v/>
      </c>
      <c xmlns="http://schemas.openxmlformats.org/spreadsheetml/2006/main" r="V63" s="22" t="str">
        <f t="shared" si="1"/>
        <v/>
      </c>
      <c xmlns="http://schemas.openxmlformats.org/spreadsheetml/2006/main" r="W63" s="18" t="str">
        <f t="shared" si="2"/>
        <v/>
      </c>
      <c r="X63" s="22"/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 t="str">
        <f t="shared" si="0"/>
        <v/>
      </c>
      <c xmlns="http://schemas.openxmlformats.org/spreadsheetml/2006/main" r="V64" s="22" t="str">
        <f t="shared" si="1"/>
        <v/>
      </c>
      <c xmlns="http://schemas.openxmlformats.org/spreadsheetml/2006/main" r="W64" s="18" t="str">
        <f t="shared" si="2"/>
        <v/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 t="str">
        <f t="shared" si="0"/>
        <v/>
      </c>
      <c xmlns="http://schemas.openxmlformats.org/spreadsheetml/2006/main" r="V65" s="22" t="str">
        <f t="shared" si="1"/>
        <v/>
      </c>
      <c xmlns="http://schemas.openxmlformats.org/spreadsheetml/2006/main" r="W65" s="18" t="str">
        <f t="shared" si="2"/>
        <v/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xmlns="http://schemas.openxmlformats.org/spreadsheetml/2006/main" r="U66" s="23" t="str">
        <f t="shared" si="0"/>
        <v/>
      </c>
      <c xmlns="http://schemas.openxmlformats.org/spreadsheetml/2006/main" r="V66" s="22" t="str">
        <f t="shared" si="1"/>
        <v/>
      </c>
      <c xmlns="http://schemas.openxmlformats.org/spreadsheetml/2006/main" r="W66" s="18" t="str">
        <f t="shared" si="2"/>
        <v/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 t="str">
        <f t="shared" si="0"/>
        <v/>
      </c>
      <c xmlns="http://schemas.openxmlformats.org/spreadsheetml/2006/main" r="V67" s="22" t="str">
        <f t="shared" si="1"/>
        <v/>
      </c>
      <c xmlns="http://schemas.openxmlformats.org/spreadsheetml/2006/main" r="W67" s="18" t="str">
        <f t="shared" si="2"/>
        <v/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 t="str">
        <f t="shared" si="0"/>
        <v/>
      </c>
      <c xmlns="http://schemas.openxmlformats.org/spreadsheetml/2006/main" r="V68" s="22" t="str">
        <f t="shared" si="1"/>
        <v/>
      </c>
      <c xmlns="http://schemas.openxmlformats.org/spreadsheetml/2006/main" r="W68" s="18" t="str">
        <f t="shared" si="2"/>
        <v/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xmlns="http://schemas.openxmlformats.org/spreadsheetml/2006/main" r="U69" s="23" t="str">
        <f t="shared" ref="U69:U132" si="3">IF($E69="","",COUNTIF($I69:$S69,"V"))</f>
        <v/>
      </c>
      <c xmlns="http://schemas.openxmlformats.org/spreadsheetml/2006/main" r="V69" s="22" t="str">
        <f t="shared" ref="V69:V132" si="4">IF($E69="","",IF(AND($T69="V",$U69&gt;0),"⚠ 勾選矛盾",IF($T69="V","○ 免調理",IF($U69=0,"⚠ 資料缺漏",IF($U69=1,"▲ 單一設備依賴","OK")))))</f>
        <v/>
      </c>
      <c xmlns="http://schemas.openxmlformats.org/spreadsheetml/2006/main" r="W69" s="18" t="str">
        <f t="shared" ref="W69:W132" si="5">IF($E69="","",IF(AND($T69="V",$U69&gt;0),"「無使用調理設備」不可與設備欄同時勾選，請擇一修正",IF($T69="V","免調理半成品（外購/僅切配等），不列入設備風險評估",IF($U69=0,"未勾選任何設備，請補填或勾選「無使用調理設備」",IF($U69=1,"僅依賴1台設備，須確認故障/排修時之備援製程","無異常")))))</f>
        <v/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 t="str">
        <f t="shared" si="3"/>
        <v/>
      </c>
      <c xmlns="http://schemas.openxmlformats.org/spreadsheetml/2006/main" r="V70" s="22" t="str">
        <f t="shared" si="4"/>
        <v/>
      </c>
      <c xmlns="http://schemas.openxmlformats.org/spreadsheetml/2006/main" r="W70" s="18" t="str">
        <f t="shared" si="5"/>
        <v/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 t="str">
        <f t="shared" si="3"/>
        <v/>
      </c>
      <c xmlns="http://schemas.openxmlformats.org/spreadsheetml/2006/main" r="V71" s="22" t="str">
        <f t="shared" si="4"/>
        <v/>
      </c>
      <c xmlns="http://schemas.openxmlformats.org/spreadsheetml/2006/main" r="W71" s="18" t="str">
        <f t="shared" si="5"/>
        <v/>
      </c>
      <c r="X71" s="22"/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 t="str">
        <f t="shared" si="3"/>
        <v/>
      </c>
      <c xmlns="http://schemas.openxmlformats.org/spreadsheetml/2006/main" r="V72" s="22" t="str">
        <f t="shared" si="4"/>
        <v/>
      </c>
      <c xmlns="http://schemas.openxmlformats.org/spreadsheetml/2006/main" r="W72" s="18" t="str">
        <f t="shared" si="5"/>
        <v/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 t="str">
        <f t="shared" si="3"/>
        <v/>
      </c>
      <c xmlns="http://schemas.openxmlformats.org/spreadsheetml/2006/main" r="V73" s="22" t="str">
        <f t="shared" si="4"/>
        <v/>
      </c>
      <c xmlns="http://schemas.openxmlformats.org/spreadsheetml/2006/main" r="W73" s="18" t="str">
        <f t="shared" si="5"/>
        <v/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xmlns="http://schemas.openxmlformats.org/spreadsheetml/2006/main" r="U74" s="23" t="str">
        <f t="shared" si="3"/>
        <v/>
      </c>
      <c xmlns="http://schemas.openxmlformats.org/spreadsheetml/2006/main" r="V74" s="22" t="str">
        <f t="shared" si="4"/>
        <v/>
      </c>
      <c xmlns="http://schemas.openxmlformats.org/spreadsheetml/2006/main" r="W74" s="18" t="str">
        <f t="shared" si="5"/>
        <v/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 t="str">
        <f t="shared" si="3"/>
        <v/>
      </c>
      <c xmlns="http://schemas.openxmlformats.org/spreadsheetml/2006/main" r="V75" s="22" t="str">
        <f t="shared" si="4"/>
        <v/>
      </c>
      <c xmlns="http://schemas.openxmlformats.org/spreadsheetml/2006/main" r="W75" s="18" t="str">
        <f t="shared" si="5"/>
        <v/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 t="str">
        <f t="shared" si="3"/>
        <v/>
      </c>
      <c xmlns="http://schemas.openxmlformats.org/spreadsheetml/2006/main" r="V76" s="22" t="str">
        <f t="shared" si="4"/>
        <v/>
      </c>
      <c xmlns="http://schemas.openxmlformats.org/spreadsheetml/2006/main" r="W76" s="18" t="str">
        <f t="shared" si="5"/>
        <v/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xmlns="http://schemas.openxmlformats.org/spreadsheetml/2006/main" r="U77" s="23" t="str">
        <f t="shared" si="3"/>
        <v/>
      </c>
      <c xmlns="http://schemas.openxmlformats.org/spreadsheetml/2006/main" r="V77" s="22" t="str">
        <f t="shared" si="4"/>
        <v/>
      </c>
      <c xmlns="http://schemas.openxmlformats.org/spreadsheetml/2006/main" r="W77" s="18" t="str">
        <f t="shared" si="5"/>
        <v/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 t="str">
        <f t="shared" si="3"/>
        <v/>
      </c>
      <c xmlns="http://schemas.openxmlformats.org/spreadsheetml/2006/main" r="V78" s="22" t="str">
        <f t="shared" si="4"/>
        <v/>
      </c>
      <c xmlns="http://schemas.openxmlformats.org/spreadsheetml/2006/main" r="W78" s="18" t="str">
        <f t="shared" si="5"/>
        <v/>
      </c>
      <c r="X78" s="22"/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si="3"/>
        <v/>
      </c>
      <c xmlns="http://schemas.openxmlformats.org/spreadsheetml/2006/main" r="V85" s="22" t="str">
        <f t="shared" si="4"/>
        <v/>
      </c>
      <c xmlns="http://schemas.openxmlformats.org/spreadsheetml/2006/main" r="W85" s="18" t="str">
        <f t="shared" si="5"/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3"/>
        <v/>
      </c>
      <c xmlns="http://schemas.openxmlformats.org/spreadsheetml/2006/main" r="V86" s="22" t="str">
        <f t="shared" si="4"/>
        <v/>
      </c>
      <c xmlns="http://schemas.openxmlformats.org/spreadsheetml/2006/main" r="W86" s="18" t="str">
        <f t="shared" si="5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3"/>
        <v/>
      </c>
      <c xmlns="http://schemas.openxmlformats.org/spreadsheetml/2006/main" r="V87" s="22" t="str">
        <f t="shared" si="4"/>
        <v/>
      </c>
      <c xmlns="http://schemas.openxmlformats.org/spreadsheetml/2006/main" r="W87" s="18" t="str">
        <f t="shared" si="5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3"/>
        <v/>
      </c>
      <c xmlns="http://schemas.openxmlformats.org/spreadsheetml/2006/main" r="V88" s="22" t="str">
        <f t="shared" si="4"/>
        <v/>
      </c>
      <c xmlns="http://schemas.openxmlformats.org/spreadsheetml/2006/main" r="W88" s="18" t="str">
        <f t="shared" si="5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3"/>
        <v/>
      </c>
      <c xmlns="http://schemas.openxmlformats.org/spreadsheetml/2006/main" r="V89" s="22" t="str">
        <f t="shared" si="4"/>
        <v/>
      </c>
      <c xmlns="http://schemas.openxmlformats.org/spreadsheetml/2006/main" r="W89" s="18" t="str">
        <f t="shared" si="5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3"/>
        <v/>
      </c>
      <c xmlns="http://schemas.openxmlformats.org/spreadsheetml/2006/main" r="V90" s="22" t="str">
        <f t="shared" si="4"/>
        <v/>
      </c>
      <c xmlns="http://schemas.openxmlformats.org/spreadsheetml/2006/main" r="W90" s="18" t="str">
        <f t="shared" si="5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3"/>
        <v/>
      </c>
      <c xmlns="http://schemas.openxmlformats.org/spreadsheetml/2006/main" r="V91" s="22" t="str">
        <f t="shared" si="4"/>
        <v/>
      </c>
      <c xmlns="http://schemas.openxmlformats.org/spreadsheetml/2006/main" r="W91" s="18" t="str">
        <f t="shared" si="5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3"/>
        <v/>
      </c>
      <c xmlns="http://schemas.openxmlformats.org/spreadsheetml/2006/main" r="V92" s="22" t="str">
        <f t="shared" si="4"/>
        <v/>
      </c>
      <c xmlns="http://schemas.openxmlformats.org/spreadsheetml/2006/main" r="W92" s="18" t="str">
        <f t="shared" si="5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3"/>
        <v/>
      </c>
      <c xmlns="http://schemas.openxmlformats.org/spreadsheetml/2006/main" r="V93" s="22" t="str">
        <f t="shared" si="4"/>
        <v/>
      </c>
      <c xmlns="http://schemas.openxmlformats.org/spreadsheetml/2006/main" r="W93" s="18" t="str">
        <f t="shared" si="5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3"/>
        <v/>
      </c>
      <c xmlns="http://schemas.openxmlformats.org/spreadsheetml/2006/main" r="V94" s="22" t="str">
        <f t="shared" si="4"/>
        <v/>
      </c>
      <c xmlns="http://schemas.openxmlformats.org/spreadsheetml/2006/main" r="W94" s="18" t="str">
        <f t="shared" si="5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3"/>
        <v/>
      </c>
      <c xmlns="http://schemas.openxmlformats.org/spreadsheetml/2006/main" r="V95" s="22" t="str">
        <f t="shared" si="4"/>
        <v/>
      </c>
      <c xmlns="http://schemas.openxmlformats.org/spreadsheetml/2006/main" r="W95" s="18" t="str">
        <f t="shared" si="5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3"/>
        <v/>
      </c>
      <c xmlns="http://schemas.openxmlformats.org/spreadsheetml/2006/main" r="V96" s="22" t="str">
        <f t="shared" si="4"/>
        <v/>
      </c>
      <c xmlns="http://schemas.openxmlformats.org/spreadsheetml/2006/main" r="W96" s="18" t="str">
        <f t="shared" si="5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3"/>
        <v/>
      </c>
      <c xmlns="http://schemas.openxmlformats.org/spreadsheetml/2006/main" r="V97" s="22" t="str">
        <f t="shared" si="4"/>
        <v/>
      </c>
      <c xmlns="http://schemas.openxmlformats.org/spreadsheetml/2006/main" r="W97" s="18" t="str">
        <f t="shared" si="5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3"/>
        <v/>
      </c>
      <c xmlns="http://schemas.openxmlformats.org/spreadsheetml/2006/main" r="V98" s="22" t="str">
        <f t="shared" si="4"/>
        <v/>
      </c>
      <c xmlns="http://schemas.openxmlformats.org/spreadsheetml/2006/main" r="W98" s="18" t="str">
        <f t="shared" si="5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3"/>
        <v/>
      </c>
      <c xmlns="http://schemas.openxmlformats.org/spreadsheetml/2006/main" r="V99" s="22" t="str">
        <f t="shared" si="4"/>
        <v/>
      </c>
      <c xmlns="http://schemas.openxmlformats.org/spreadsheetml/2006/main" r="W99" s="18" t="str">
        <f t="shared" si="5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3"/>
        <v/>
      </c>
      <c xmlns="http://schemas.openxmlformats.org/spreadsheetml/2006/main" r="V100" s="22" t="str">
        <f t="shared" si="4"/>
        <v/>
      </c>
      <c xmlns="http://schemas.openxmlformats.org/spreadsheetml/2006/main" r="W100" s="18" t="str">
        <f t="shared" si="5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3"/>
        <v/>
      </c>
      <c xmlns="http://schemas.openxmlformats.org/spreadsheetml/2006/main" r="V101" s="22" t="str">
        <f t="shared" si="4"/>
        <v/>
      </c>
      <c xmlns="http://schemas.openxmlformats.org/spreadsheetml/2006/main" r="W101" s="18" t="str">
        <f t="shared" si="5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3"/>
        <v/>
      </c>
      <c xmlns="http://schemas.openxmlformats.org/spreadsheetml/2006/main" r="V102" s="22" t="str">
        <f t="shared" si="4"/>
        <v/>
      </c>
      <c xmlns="http://schemas.openxmlformats.org/spreadsheetml/2006/main" r="W102" s="18" t="str">
        <f t="shared" si="5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3"/>
        <v/>
      </c>
      <c xmlns="http://schemas.openxmlformats.org/spreadsheetml/2006/main" r="V103" s="22" t="str">
        <f t="shared" si="4"/>
        <v/>
      </c>
      <c xmlns="http://schemas.openxmlformats.org/spreadsheetml/2006/main" r="W103" s="18" t="str">
        <f t="shared" si="5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3"/>
        <v/>
      </c>
      <c xmlns="http://schemas.openxmlformats.org/spreadsheetml/2006/main" r="V104" s="22" t="str">
        <f t="shared" si="4"/>
        <v/>
      </c>
      <c xmlns="http://schemas.openxmlformats.org/spreadsheetml/2006/main" r="W104" s="18" t="str">
        <f t="shared" si="5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3"/>
        <v/>
      </c>
      <c xmlns="http://schemas.openxmlformats.org/spreadsheetml/2006/main" r="V105" s="22" t="str">
        <f t="shared" si="4"/>
        <v/>
      </c>
      <c xmlns="http://schemas.openxmlformats.org/spreadsheetml/2006/main" r="W105" s="18" t="str">
        <f t="shared" si="5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3"/>
        <v/>
      </c>
      <c xmlns="http://schemas.openxmlformats.org/spreadsheetml/2006/main" r="V106" s="22" t="str">
        <f t="shared" si="4"/>
        <v/>
      </c>
      <c xmlns="http://schemas.openxmlformats.org/spreadsheetml/2006/main" r="W106" s="18" t="str">
        <f t="shared" si="5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3"/>
        <v/>
      </c>
      <c xmlns="http://schemas.openxmlformats.org/spreadsheetml/2006/main" r="V107" s="22" t="str">
        <f t="shared" si="4"/>
        <v/>
      </c>
      <c xmlns="http://schemas.openxmlformats.org/spreadsheetml/2006/main" r="W107" s="18" t="str">
        <f t="shared" si="5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3"/>
        <v/>
      </c>
      <c xmlns="http://schemas.openxmlformats.org/spreadsheetml/2006/main" r="V108" s="22" t="str">
        <f t="shared" si="4"/>
        <v/>
      </c>
      <c xmlns="http://schemas.openxmlformats.org/spreadsheetml/2006/main" r="W108" s="18" t="str">
        <f t="shared" si="5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3"/>
        <v/>
      </c>
      <c xmlns="http://schemas.openxmlformats.org/spreadsheetml/2006/main" r="V109" s="22" t="str">
        <f t="shared" si="4"/>
        <v/>
      </c>
      <c xmlns="http://schemas.openxmlformats.org/spreadsheetml/2006/main" r="W109" s="18" t="str">
        <f t="shared" si="5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3"/>
        <v/>
      </c>
      <c xmlns="http://schemas.openxmlformats.org/spreadsheetml/2006/main" r="V110" s="22" t="str">
        <f t="shared" si="4"/>
        <v/>
      </c>
      <c xmlns="http://schemas.openxmlformats.org/spreadsheetml/2006/main" r="W110" s="18" t="str">
        <f t="shared" si="5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3"/>
        <v/>
      </c>
      <c xmlns="http://schemas.openxmlformats.org/spreadsheetml/2006/main" r="V111" s="22" t="str">
        <f t="shared" si="4"/>
        <v/>
      </c>
      <c xmlns="http://schemas.openxmlformats.org/spreadsheetml/2006/main" r="W111" s="18" t="str">
        <f t="shared" si="5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3"/>
        <v/>
      </c>
      <c xmlns="http://schemas.openxmlformats.org/spreadsheetml/2006/main" r="V112" s="22" t="str">
        <f t="shared" si="4"/>
        <v/>
      </c>
      <c xmlns="http://schemas.openxmlformats.org/spreadsheetml/2006/main" r="W112" s="18" t="str">
        <f t="shared" si="5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3"/>
        <v/>
      </c>
      <c xmlns="http://schemas.openxmlformats.org/spreadsheetml/2006/main" r="V113" s="22" t="str">
        <f t="shared" si="4"/>
        <v/>
      </c>
      <c xmlns="http://schemas.openxmlformats.org/spreadsheetml/2006/main" r="W113" s="18" t="str">
        <f t="shared" si="5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3"/>
        <v/>
      </c>
      <c xmlns="http://schemas.openxmlformats.org/spreadsheetml/2006/main" r="V114" s="22" t="str">
        <f t="shared" si="4"/>
        <v/>
      </c>
      <c xmlns="http://schemas.openxmlformats.org/spreadsheetml/2006/main" r="W114" s="18" t="str">
        <f t="shared" si="5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3"/>
        <v/>
      </c>
      <c xmlns="http://schemas.openxmlformats.org/spreadsheetml/2006/main" r="V115" s="22" t="str">
        <f t="shared" si="4"/>
        <v/>
      </c>
      <c xmlns="http://schemas.openxmlformats.org/spreadsheetml/2006/main" r="W115" s="18" t="str">
        <f t="shared" si="5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3"/>
        <v/>
      </c>
      <c xmlns="http://schemas.openxmlformats.org/spreadsheetml/2006/main" r="V116" s="22" t="str">
        <f t="shared" si="4"/>
        <v/>
      </c>
      <c xmlns="http://schemas.openxmlformats.org/spreadsheetml/2006/main" r="W116" s="18" t="str">
        <f t="shared" si="5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3"/>
        <v/>
      </c>
      <c xmlns="http://schemas.openxmlformats.org/spreadsheetml/2006/main" r="V117" s="22" t="str">
        <f t="shared" si="4"/>
        <v/>
      </c>
      <c xmlns="http://schemas.openxmlformats.org/spreadsheetml/2006/main" r="W117" s="18" t="str">
        <f t="shared" si="5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3"/>
        <v/>
      </c>
      <c xmlns="http://schemas.openxmlformats.org/spreadsheetml/2006/main" r="V118" s="22" t="str">
        <f t="shared" si="4"/>
        <v/>
      </c>
      <c xmlns="http://schemas.openxmlformats.org/spreadsheetml/2006/main" r="W118" s="18" t="str">
        <f t="shared" si="5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3"/>
        <v/>
      </c>
      <c xmlns="http://schemas.openxmlformats.org/spreadsheetml/2006/main" r="V119" s="22" t="str">
        <f t="shared" si="4"/>
        <v/>
      </c>
      <c xmlns="http://schemas.openxmlformats.org/spreadsheetml/2006/main" r="W119" s="18" t="str">
        <f t="shared" si="5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3"/>
        <v/>
      </c>
      <c xmlns="http://schemas.openxmlformats.org/spreadsheetml/2006/main" r="V120" s="22" t="str">
        <f t="shared" si="4"/>
        <v/>
      </c>
      <c xmlns="http://schemas.openxmlformats.org/spreadsheetml/2006/main" r="W120" s="18" t="str">
        <f t="shared" si="5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si="3"/>
        <v/>
      </c>
      <c xmlns="http://schemas.openxmlformats.org/spreadsheetml/2006/main" r="V121" s="22" t="str">
        <f t="shared" si="4"/>
        <v/>
      </c>
      <c xmlns="http://schemas.openxmlformats.org/spreadsheetml/2006/main" r="W121" s="18" t="str">
        <f t="shared" si="5"/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3"/>
        <v/>
      </c>
      <c xmlns="http://schemas.openxmlformats.org/spreadsheetml/2006/main" r="V122" s="22" t="str">
        <f t="shared" si="4"/>
        <v/>
      </c>
      <c xmlns="http://schemas.openxmlformats.org/spreadsheetml/2006/main" r="W122" s="18" t="str">
        <f t="shared" si="5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3"/>
        <v/>
      </c>
      <c xmlns="http://schemas.openxmlformats.org/spreadsheetml/2006/main" r="V123" s="22" t="str">
        <f t="shared" si="4"/>
        <v/>
      </c>
      <c xmlns="http://schemas.openxmlformats.org/spreadsheetml/2006/main" r="W123" s="18" t="str">
        <f t="shared" si="5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3"/>
        <v/>
      </c>
      <c xmlns="http://schemas.openxmlformats.org/spreadsheetml/2006/main" r="V124" s="22" t="str">
        <f t="shared" si="4"/>
        <v/>
      </c>
      <c xmlns="http://schemas.openxmlformats.org/spreadsheetml/2006/main" r="W124" s="18" t="str">
        <f t="shared" si="5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3"/>
        <v/>
      </c>
      <c xmlns="http://schemas.openxmlformats.org/spreadsheetml/2006/main" r="V125" s="22" t="str">
        <f t="shared" si="4"/>
        <v/>
      </c>
      <c xmlns="http://schemas.openxmlformats.org/spreadsheetml/2006/main" r="W125" s="18" t="str">
        <f t="shared" si="5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3"/>
        <v/>
      </c>
      <c xmlns="http://schemas.openxmlformats.org/spreadsheetml/2006/main" r="V126" s="22" t="str">
        <f t="shared" si="4"/>
        <v/>
      </c>
      <c xmlns="http://schemas.openxmlformats.org/spreadsheetml/2006/main" r="W126" s="18" t="str">
        <f t="shared" si="5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3"/>
        <v/>
      </c>
      <c xmlns="http://schemas.openxmlformats.org/spreadsheetml/2006/main" r="V127" s="22" t="str">
        <f t="shared" si="4"/>
        <v/>
      </c>
      <c xmlns="http://schemas.openxmlformats.org/spreadsheetml/2006/main" r="W127" s="18" t="str">
        <f t="shared" si="5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3"/>
        <v/>
      </c>
      <c xmlns="http://schemas.openxmlformats.org/spreadsheetml/2006/main" r="V128" s="22" t="str">
        <f t="shared" si="4"/>
        <v/>
      </c>
      <c xmlns="http://schemas.openxmlformats.org/spreadsheetml/2006/main" r="W128" s="18" t="str">
        <f t="shared" si="5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3"/>
        <v/>
      </c>
      <c xmlns="http://schemas.openxmlformats.org/spreadsheetml/2006/main" r="V129" s="22" t="str">
        <f t="shared" si="4"/>
        <v/>
      </c>
      <c xmlns="http://schemas.openxmlformats.org/spreadsheetml/2006/main" r="W129" s="18" t="str">
        <f t="shared" si="5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3"/>
        <v/>
      </c>
      <c xmlns="http://schemas.openxmlformats.org/spreadsheetml/2006/main" r="V130" s="22" t="str">
        <f t="shared" si="4"/>
        <v/>
      </c>
      <c xmlns="http://schemas.openxmlformats.org/spreadsheetml/2006/main" r="W130" s="18" t="str">
        <f t="shared" si="5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3"/>
        <v/>
      </c>
      <c xmlns="http://schemas.openxmlformats.org/spreadsheetml/2006/main" r="V131" s="22" t="str">
        <f t="shared" si="4"/>
        <v/>
      </c>
      <c xmlns="http://schemas.openxmlformats.org/spreadsheetml/2006/main" r="W131" s="18" t="str">
        <f t="shared" si="5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si="3"/>
        <v/>
      </c>
      <c xmlns="http://schemas.openxmlformats.org/spreadsheetml/2006/main" r="V132" s="22" t="str">
        <f t="shared" si="4"/>
        <v/>
      </c>
      <c xmlns="http://schemas.openxmlformats.org/spreadsheetml/2006/main" r="W132" s="18" t="str">
        <f t="shared" si="5"/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ref="U133:U196" si="6">IF($E133="","",COUNTIF($I133:$S133,"V"))</f>
        <v/>
      </c>
      <c xmlns="http://schemas.openxmlformats.org/spreadsheetml/2006/main" r="V133" s="22" t="str">
        <f t="shared" ref="V133:V196" si="7">IF($E133="","",IF(AND($T133="V",$U133&gt;0),"⚠ 勾選矛盾",IF($T133="V","○ 免調理",IF($U133=0,"⚠ 資料缺漏",IF($U133=1,"▲ 單一設備依賴","OK")))))</f>
        <v/>
      </c>
      <c xmlns="http://schemas.openxmlformats.org/spreadsheetml/2006/main" r="W133" s="18" t="str">
        <f t="shared" ref="W133:W196" si="8">IF($E133="","",IF(AND($T133="V",$U133&gt;0),"「無使用調理設備」不可與設備欄同時勾選，請擇一修正",IF($T133="V","免調理半成品（外購/僅切配等），不列入設備風險評估",IF($U133=0,"未勾選任何設備，請補填或勾選「無使用調理設備」",IF($U133=1,"僅依賴1台設備，須確認故障/排修時之備援製程","無異常")))))</f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si="6"/>
        <v/>
      </c>
      <c xmlns="http://schemas.openxmlformats.org/spreadsheetml/2006/main" r="V149" s="22" t="str">
        <f t="shared" si="7"/>
        <v/>
      </c>
      <c xmlns="http://schemas.openxmlformats.org/spreadsheetml/2006/main" r="W149" s="18" t="str">
        <f t="shared" si="8"/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6"/>
        <v/>
      </c>
      <c xmlns="http://schemas.openxmlformats.org/spreadsheetml/2006/main" r="V150" s="22" t="str">
        <f t="shared" si="7"/>
        <v/>
      </c>
      <c xmlns="http://schemas.openxmlformats.org/spreadsheetml/2006/main" r="W150" s="18" t="str">
        <f t="shared" si="8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6"/>
        <v/>
      </c>
      <c xmlns="http://schemas.openxmlformats.org/spreadsheetml/2006/main" r="V151" s="22" t="str">
        <f t="shared" si="7"/>
        <v/>
      </c>
      <c xmlns="http://schemas.openxmlformats.org/spreadsheetml/2006/main" r="W151" s="18" t="str">
        <f t="shared" si="8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6"/>
        <v/>
      </c>
      <c xmlns="http://schemas.openxmlformats.org/spreadsheetml/2006/main" r="V152" s="22" t="str">
        <f t="shared" si="7"/>
        <v/>
      </c>
      <c xmlns="http://schemas.openxmlformats.org/spreadsheetml/2006/main" r="W152" s="18" t="str">
        <f t="shared" si="8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6"/>
        <v/>
      </c>
      <c xmlns="http://schemas.openxmlformats.org/spreadsheetml/2006/main" r="V153" s="22" t="str">
        <f t="shared" si="7"/>
        <v/>
      </c>
      <c xmlns="http://schemas.openxmlformats.org/spreadsheetml/2006/main" r="W153" s="18" t="str">
        <f t="shared" si="8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6"/>
        <v/>
      </c>
      <c xmlns="http://schemas.openxmlformats.org/spreadsheetml/2006/main" r="V154" s="22" t="str">
        <f t="shared" si="7"/>
        <v/>
      </c>
      <c xmlns="http://schemas.openxmlformats.org/spreadsheetml/2006/main" r="W154" s="18" t="str">
        <f t="shared" si="8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6"/>
        <v/>
      </c>
      <c xmlns="http://schemas.openxmlformats.org/spreadsheetml/2006/main" r="V155" s="22" t="str">
        <f t="shared" si="7"/>
        <v/>
      </c>
      <c xmlns="http://schemas.openxmlformats.org/spreadsheetml/2006/main" r="W155" s="18" t="str">
        <f t="shared" si="8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6"/>
        <v/>
      </c>
      <c xmlns="http://schemas.openxmlformats.org/spreadsheetml/2006/main" r="V156" s="22" t="str">
        <f t="shared" si="7"/>
        <v/>
      </c>
      <c xmlns="http://schemas.openxmlformats.org/spreadsheetml/2006/main" r="W156" s="18" t="str">
        <f t="shared" si="8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6"/>
        <v/>
      </c>
      <c xmlns="http://schemas.openxmlformats.org/spreadsheetml/2006/main" r="V157" s="22" t="str">
        <f t="shared" si="7"/>
        <v/>
      </c>
      <c xmlns="http://schemas.openxmlformats.org/spreadsheetml/2006/main" r="W157" s="18" t="str">
        <f t="shared" si="8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6"/>
        <v/>
      </c>
      <c xmlns="http://schemas.openxmlformats.org/spreadsheetml/2006/main" r="V158" s="22" t="str">
        <f t="shared" si="7"/>
        <v/>
      </c>
      <c xmlns="http://schemas.openxmlformats.org/spreadsheetml/2006/main" r="W158" s="18" t="str">
        <f t="shared" si="8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6"/>
        <v/>
      </c>
      <c xmlns="http://schemas.openxmlformats.org/spreadsheetml/2006/main" r="V159" s="22" t="str">
        <f t="shared" si="7"/>
        <v/>
      </c>
      <c xmlns="http://schemas.openxmlformats.org/spreadsheetml/2006/main" r="W159" s="18" t="str">
        <f t="shared" si="8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6"/>
        <v/>
      </c>
      <c xmlns="http://schemas.openxmlformats.org/spreadsheetml/2006/main" r="V160" s="22" t="str">
        <f t="shared" si="7"/>
        <v/>
      </c>
      <c xmlns="http://schemas.openxmlformats.org/spreadsheetml/2006/main" r="W160" s="18" t="str">
        <f t="shared" si="8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6"/>
        <v/>
      </c>
      <c xmlns="http://schemas.openxmlformats.org/spreadsheetml/2006/main" r="V161" s="22" t="str">
        <f t="shared" si="7"/>
        <v/>
      </c>
      <c xmlns="http://schemas.openxmlformats.org/spreadsheetml/2006/main" r="W161" s="18" t="str">
        <f t="shared" si="8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6"/>
        <v/>
      </c>
      <c xmlns="http://schemas.openxmlformats.org/spreadsheetml/2006/main" r="V162" s="22" t="str">
        <f t="shared" si="7"/>
        <v/>
      </c>
      <c xmlns="http://schemas.openxmlformats.org/spreadsheetml/2006/main" r="W162" s="18" t="str">
        <f t="shared" si="8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6"/>
        <v/>
      </c>
      <c xmlns="http://schemas.openxmlformats.org/spreadsheetml/2006/main" r="V163" s="22" t="str">
        <f t="shared" si="7"/>
        <v/>
      </c>
      <c xmlns="http://schemas.openxmlformats.org/spreadsheetml/2006/main" r="W163" s="18" t="str">
        <f t="shared" si="8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6"/>
        <v/>
      </c>
      <c xmlns="http://schemas.openxmlformats.org/spreadsheetml/2006/main" r="V164" s="22" t="str">
        <f t="shared" si="7"/>
        <v/>
      </c>
      <c xmlns="http://schemas.openxmlformats.org/spreadsheetml/2006/main" r="W164" s="18" t="str">
        <f t="shared" si="8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6"/>
        <v/>
      </c>
      <c xmlns="http://schemas.openxmlformats.org/spreadsheetml/2006/main" r="V165" s="22" t="str">
        <f t="shared" si="7"/>
        <v/>
      </c>
      <c xmlns="http://schemas.openxmlformats.org/spreadsheetml/2006/main" r="W165" s="18" t="str">
        <f t="shared" si="8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6"/>
        <v/>
      </c>
      <c xmlns="http://schemas.openxmlformats.org/spreadsheetml/2006/main" r="V166" s="22" t="str">
        <f t="shared" si="7"/>
        <v/>
      </c>
      <c xmlns="http://schemas.openxmlformats.org/spreadsheetml/2006/main" r="W166" s="18" t="str">
        <f t="shared" si="8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6"/>
        <v/>
      </c>
      <c xmlns="http://schemas.openxmlformats.org/spreadsheetml/2006/main" r="V167" s="22" t="str">
        <f t="shared" si="7"/>
        <v/>
      </c>
      <c xmlns="http://schemas.openxmlformats.org/spreadsheetml/2006/main" r="W167" s="18" t="str">
        <f t="shared" si="8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6"/>
        <v/>
      </c>
      <c xmlns="http://schemas.openxmlformats.org/spreadsheetml/2006/main" r="V168" s="22" t="str">
        <f t="shared" si="7"/>
        <v/>
      </c>
      <c xmlns="http://schemas.openxmlformats.org/spreadsheetml/2006/main" r="W168" s="18" t="str">
        <f t="shared" si="8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6"/>
        <v/>
      </c>
      <c xmlns="http://schemas.openxmlformats.org/spreadsheetml/2006/main" r="V169" s="22" t="str">
        <f t="shared" si="7"/>
        <v/>
      </c>
      <c xmlns="http://schemas.openxmlformats.org/spreadsheetml/2006/main" r="W169" s="18" t="str">
        <f t="shared" si="8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6"/>
        <v/>
      </c>
      <c xmlns="http://schemas.openxmlformats.org/spreadsheetml/2006/main" r="V170" s="22" t="str">
        <f t="shared" si="7"/>
        <v/>
      </c>
      <c xmlns="http://schemas.openxmlformats.org/spreadsheetml/2006/main" r="W170" s="18" t="str">
        <f t="shared" si="8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6"/>
        <v/>
      </c>
      <c xmlns="http://schemas.openxmlformats.org/spreadsheetml/2006/main" r="V171" s="22" t="str">
        <f t="shared" si="7"/>
        <v/>
      </c>
      <c xmlns="http://schemas.openxmlformats.org/spreadsheetml/2006/main" r="W171" s="18" t="str">
        <f t="shared" si="8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6"/>
        <v/>
      </c>
      <c xmlns="http://schemas.openxmlformats.org/spreadsheetml/2006/main" r="V172" s="22" t="str">
        <f t="shared" si="7"/>
        <v/>
      </c>
      <c xmlns="http://schemas.openxmlformats.org/spreadsheetml/2006/main" r="W172" s="18" t="str">
        <f t="shared" si="8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6"/>
        <v/>
      </c>
      <c xmlns="http://schemas.openxmlformats.org/spreadsheetml/2006/main" r="V173" s="22" t="str">
        <f t="shared" si="7"/>
        <v/>
      </c>
      <c xmlns="http://schemas.openxmlformats.org/spreadsheetml/2006/main" r="W173" s="18" t="str">
        <f t="shared" si="8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6"/>
        <v/>
      </c>
      <c xmlns="http://schemas.openxmlformats.org/spreadsheetml/2006/main" r="V174" s="22" t="str">
        <f t="shared" si="7"/>
        <v/>
      </c>
      <c xmlns="http://schemas.openxmlformats.org/spreadsheetml/2006/main" r="W174" s="18" t="str">
        <f t="shared" si="8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6"/>
        <v/>
      </c>
      <c xmlns="http://schemas.openxmlformats.org/spreadsheetml/2006/main" r="V175" s="22" t="str">
        <f t="shared" si="7"/>
        <v/>
      </c>
      <c xmlns="http://schemas.openxmlformats.org/spreadsheetml/2006/main" r="W175" s="18" t="str">
        <f t="shared" si="8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6"/>
        <v/>
      </c>
      <c xmlns="http://schemas.openxmlformats.org/spreadsheetml/2006/main" r="V176" s="22" t="str">
        <f t="shared" si="7"/>
        <v/>
      </c>
      <c xmlns="http://schemas.openxmlformats.org/spreadsheetml/2006/main" r="W176" s="18" t="str">
        <f t="shared" si="8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6"/>
        <v/>
      </c>
      <c xmlns="http://schemas.openxmlformats.org/spreadsheetml/2006/main" r="V177" s="22" t="str">
        <f t="shared" si="7"/>
        <v/>
      </c>
      <c xmlns="http://schemas.openxmlformats.org/spreadsheetml/2006/main" r="W177" s="18" t="str">
        <f t="shared" si="8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6"/>
        <v/>
      </c>
      <c xmlns="http://schemas.openxmlformats.org/spreadsheetml/2006/main" r="V178" s="22" t="str">
        <f t="shared" si="7"/>
        <v/>
      </c>
      <c xmlns="http://schemas.openxmlformats.org/spreadsheetml/2006/main" r="W178" s="18" t="str">
        <f t="shared" si="8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6"/>
        <v/>
      </c>
      <c xmlns="http://schemas.openxmlformats.org/spreadsheetml/2006/main" r="V179" s="22" t="str">
        <f t="shared" si="7"/>
        <v/>
      </c>
      <c xmlns="http://schemas.openxmlformats.org/spreadsheetml/2006/main" r="W179" s="18" t="str">
        <f t="shared" si="8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6"/>
        <v/>
      </c>
      <c xmlns="http://schemas.openxmlformats.org/spreadsheetml/2006/main" r="V180" s="22" t="str">
        <f t="shared" si="7"/>
        <v/>
      </c>
      <c xmlns="http://schemas.openxmlformats.org/spreadsheetml/2006/main" r="W180" s="18" t="str">
        <f t="shared" si="8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6"/>
        <v/>
      </c>
      <c xmlns="http://schemas.openxmlformats.org/spreadsheetml/2006/main" r="V181" s="22" t="str">
        <f t="shared" si="7"/>
        <v/>
      </c>
      <c xmlns="http://schemas.openxmlformats.org/spreadsheetml/2006/main" r="W181" s="18" t="str">
        <f t="shared" si="8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6"/>
        <v/>
      </c>
      <c xmlns="http://schemas.openxmlformats.org/spreadsheetml/2006/main" r="V182" s="22" t="str">
        <f t="shared" si="7"/>
        <v/>
      </c>
      <c xmlns="http://schemas.openxmlformats.org/spreadsheetml/2006/main" r="W182" s="18" t="str">
        <f t="shared" si="8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6"/>
        <v/>
      </c>
      <c xmlns="http://schemas.openxmlformats.org/spreadsheetml/2006/main" r="V183" s="22" t="str">
        <f t="shared" si="7"/>
        <v/>
      </c>
      <c xmlns="http://schemas.openxmlformats.org/spreadsheetml/2006/main" r="W183" s="18" t="str">
        <f t="shared" si="8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6"/>
        <v/>
      </c>
      <c xmlns="http://schemas.openxmlformats.org/spreadsheetml/2006/main" r="V184" s="22" t="str">
        <f t="shared" si="7"/>
        <v/>
      </c>
      <c xmlns="http://schemas.openxmlformats.org/spreadsheetml/2006/main" r="W184" s="18" t="str">
        <f t="shared" si="8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6"/>
        <v/>
      </c>
      <c xmlns="http://schemas.openxmlformats.org/spreadsheetml/2006/main" r="V185" s="22" t="str">
        <f t="shared" si="7"/>
        <v/>
      </c>
      <c xmlns="http://schemas.openxmlformats.org/spreadsheetml/2006/main" r="W185" s="18" t="str">
        <f t="shared" si="8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6"/>
        <v/>
      </c>
      <c xmlns="http://schemas.openxmlformats.org/spreadsheetml/2006/main" r="V186" s="22" t="str">
        <f t="shared" si="7"/>
        <v/>
      </c>
      <c xmlns="http://schemas.openxmlformats.org/spreadsheetml/2006/main" r="W186" s="18" t="str">
        <f t="shared" si="8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6"/>
        <v/>
      </c>
      <c xmlns="http://schemas.openxmlformats.org/spreadsheetml/2006/main" r="V187" s="22" t="str">
        <f t="shared" si="7"/>
        <v/>
      </c>
      <c xmlns="http://schemas.openxmlformats.org/spreadsheetml/2006/main" r="W187" s="18" t="str">
        <f t="shared" si="8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6"/>
        <v/>
      </c>
      <c xmlns="http://schemas.openxmlformats.org/spreadsheetml/2006/main" r="V188" s="22" t="str">
        <f t="shared" si="7"/>
        <v/>
      </c>
      <c xmlns="http://schemas.openxmlformats.org/spreadsheetml/2006/main" r="W188" s="18" t="str">
        <f t="shared" si="8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6"/>
        <v/>
      </c>
      <c xmlns="http://schemas.openxmlformats.org/spreadsheetml/2006/main" r="V189" s="22" t="str">
        <f t="shared" si="7"/>
        <v/>
      </c>
      <c xmlns="http://schemas.openxmlformats.org/spreadsheetml/2006/main" r="W189" s="18" t="str">
        <f t="shared" si="8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6"/>
        <v/>
      </c>
      <c xmlns="http://schemas.openxmlformats.org/spreadsheetml/2006/main" r="V190" s="22" t="str">
        <f t="shared" si="7"/>
        <v/>
      </c>
      <c xmlns="http://schemas.openxmlformats.org/spreadsheetml/2006/main" r="W190" s="18" t="str">
        <f t="shared" si="8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6"/>
        <v/>
      </c>
      <c xmlns="http://schemas.openxmlformats.org/spreadsheetml/2006/main" r="V191" s="22" t="str">
        <f t="shared" si="7"/>
        <v/>
      </c>
      <c xmlns="http://schemas.openxmlformats.org/spreadsheetml/2006/main" r="W191" s="18" t="str">
        <f t="shared" si="8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6"/>
        <v/>
      </c>
      <c xmlns="http://schemas.openxmlformats.org/spreadsheetml/2006/main" r="V192" s="22" t="str">
        <f t="shared" si="7"/>
        <v/>
      </c>
      <c xmlns="http://schemas.openxmlformats.org/spreadsheetml/2006/main" r="W192" s="18" t="str">
        <f t="shared" si="8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6"/>
        <v/>
      </c>
      <c xmlns="http://schemas.openxmlformats.org/spreadsheetml/2006/main" r="V193" s="22" t="str">
        <f t="shared" si="7"/>
        <v/>
      </c>
      <c xmlns="http://schemas.openxmlformats.org/spreadsheetml/2006/main" r="W193" s="18" t="str">
        <f t="shared" si="8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6"/>
        <v/>
      </c>
      <c xmlns="http://schemas.openxmlformats.org/spreadsheetml/2006/main" r="V194" s="22" t="str">
        <f t="shared" si="7"/>
        <v/>
      </c>
      <c xmlns="http://schemas.openxmlformats.org/spreadsheetml/2006/main" r="W194" s="18" t="str">
        <f t="shared" si="8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6"/>
        <v/>
      </c>
      <c xmlns="http://schemas.openxmlformats.org/spreadsheetml/2006/main" r="V195" s="22" t="str">
        <f t="shared" si="7"/>
        <v/>
      </c>
      <c xmlns="http://schemas.openxmlformats.org/spreadsheetml/2006/main" r="W195" s="18" t="str">
        <f t="shared" si="8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6"/>
        <v/>
      </c>
      <c xmlns="http://schemas.openxmlformats.org/spreadsheetml/2006/main" r="V196" s="22" t="str">
        <f t="shared" si="7"/>
        <v/>
      </c>
      <c xmlns="http://schemas.openxmlformats.org/spreadsheetml/2006/main" r="W196" s="18" t="str">
        <f t="shared" si="8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ref="U197:U260" si="9">IF($E197="","",COUNTIF($I197:$S197,"V"))</f>
        <v/>
      </c>
      <c xmlns="http://schemas.openxmlformats.org/spreadsheetml/2006/main" r="V197" s="22" t="str">
        <f t="shared" ref="V197:V260" si="10">IF($E197="","",IF(AND($T197="V",$U197&gt;0),"⚠ 勾選矛盾",IF($T197="V","○ 免調理",IF($U197=0,"⚠ 資料缺漏",IF($U197=1,"▲ 單一設備依賴","OK")))))</f>
        <v/>
      </c>
      <c xmlns="http://schemas.openxmlformats.org/spreadsheetml/2006/main" r="W197" s="18" t="str">
        <f t="shared" ref="W197:W260" si="11">IF($E197="","",IF(AND($T197="V",$U197&gt;0),"「無使用調理設備」不可與設備欄同時勾選，請擇一修正",IF($T197="V","免調理半成品（外購/僅切配等），不列入設備風險評估",IF($U197=0,"未勾選任何設備，請補填或勾選「無使用調理設備」",IF($U197=1,"僅依賴1台設備，須確認故障/排修時之備援製程","無異常")))))</f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9"/>
        <v/>
      </c>
      <c xmlns="http://schemas.openxmlformats.org/spreadsheetml/2006/main" r="V213" s="22" t="str">
        <f t="shared" si="10"/>
        <v/>
      </c>
      <c xmlns="http://schemas.openxmlformats.org/spreadsheetml/2006/main" r="W213" s="18" t="str">
        <f t="shared" si="11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9"/>
        <v/>
      </c>
      <c xmlns="http://schemas.openxmlformats.org/spreadsheetml/2006/main" r="V214" s="22" t="str">
        <f t="shared" si="10"/>
        <v/>
      </c>
      <c xmlns="http://schemas.openxmlformats.org/spreadsheetml/2006/main" r="W214" s="18" t="str">
        <f t="shared" si="11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9"/>
        <v/>
      </c>
      <c xmlns="http://schemas.openxmlformats.org/spreadsheetml/2006/main" r="V215" s="22" t="str">
        <f t="shared" si="10"/>
        <v/>
      </c>
      <c xmlns="http://schemas.openxmlformats.org/spreadsheetml/2006/main" r="W215" s="18" t="str">
        <f t="shared" si="11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9"/>
        <v/>
      </c>
      <c xmlns="http://schemas.openxmlformats.org/spreadsheetml/2006/main" r="V216" s="22" t="str">
        <f t="shared" si="10"/>
        <v/>
      </c>
      <c xmlns="http://schemas.openxmlformats.org/spreadsheetml/2006/main" r="W216" s="18" t="str">
        <f t="shared" si="11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9"/>
        <v/>
      </c>
      <c xmlns="http://schemas.openxmlformats.org/spreadsheetml/2006/main" r="V217" s="22" t="str">
        <f t="shared" si="10"/>
        <v/>
      </c>
      <c xmlns="http://schemas.openxmlformats.org/spreadsheetml/2006/main" r="W217" s="18" t="str">
        <f t="shared" si="11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9"/>
        <v/>
      </c>
      <c xmlns="http://schemas.openxmlformats.org/spreadsheetml/2006/main" r="V218" s="22" t="str">
        <f t="shared" si="10"/>
        <v/>
      </c>
      <c xmlns="http://schemas.openxmlformats.org/spreadsheetml/2006/main" r="W218" s="18" t="str">
        <f t="shared" si="11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9"/>
        <v/>
      </c>
      <c xmlns="http://schemas.openxmlformats.org/spreadsheetml/2006/main" r="V219" s="22" t="str">
        <f t="shared" si="10"/>
        <v/>
      </c>
      <c xmlns="http://schemas.openxmlformats.org/spreadsheetml/2006/main" r="W219" s="18" t="str">
        <f t="shared" si="11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9"/>
        <v/>
      </c>
      <c xmlns="http://schemas.openxmlformats.org/spreadsheetml/2006/main" r="V220" s="22" t="str">
        <f t="shared" si="10"/>
        <v/>
      </c>
      <c xmlns="http://schemas.openxmlformats.org/spreadsheetml/2006/main" r="W220" s="18" t="str">
        <f t="shared" si="11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9"/>
        <v/>
      </c>
      <c xmlns="http://schemas.openxmlformats.org/spreadsheetml/2006/main" r="V221" s="22" t="str">
        <f t="shared" si="10"/>
        <v/>
      </c>
      <c xmlns="http://schemas.openxmlformats.org/spreadsheetml/2006/main" r="W221" s="18" t="str">
        <f t="shared" si="11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9"/>
        <v/>
      </c>
      <c xmlns="http://schemas.openxmlformats.org/spreadsheetml/2006/main" r="V222" s="22" t="str">
        <f t="shared" si="10"/>
        <v/>
      </c>
      <c xmlns="http://schemas.openxmlformats.org/spreadsheetml/2006/main" r="W222" s="18" t="str">
        <f t="shared" si="11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9"/>
        <v/>
      </c>
      <c xmlns="http://schemas.openxmlformats.org/spreadsheetml/2006/main" r="V223" s="22" t="str">
        <f t="shared" si="10"/>
        <v/>
      </c>
      <c xmlns="http://schemas.openxmlformats.org/spreadsheetml/2006/main" r="W223" s="18" t="str">
        <f t="shared" si="11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9"/>
        <v/>
      </c>
      <c xmlns="http://schemas.openxmlformats.org/spreadsheetml/2006/main" r="V224" s="22" t="str">
        <f t="shared" si="10"/>
        <v/>
      </c>
      <c xmlns="http://schemas.openxmlformats.org/spreadsheetml/2006/main" r="W224" s="18" t="str">
        <f t="shared" si="11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9"/>
        <v/>
      </c>
      <c xmlns="http://schemas.openxmlformats.org/spreadsheetml/2006/main" r="V225" s="22" t="str">
        <f t="shared" si="10"/>
        <v/>
      </c>
      <c xmlns="http://schemas.openxmlformats.org/spreadsheetml/2006/main" r="W225" s="18" t="str">
        <f t="shared" si="11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9"/>
        <v/>
      </c>
      <c xmlns="http://schemas.openxmlformats.org/spreadsheetml/2006/main" r="V226" s="22" t="str">
        <f t="shared" si="10"/>
        <v/>
      </c>
      <c xmlns="http://schemas.openxmlformats.org/spreadsheetml/2006/main" r="W226" s="18" t="str">
        <f t="shared" si="11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9"/>
        <v/>
      </c>
      <c xmlns="http://schemas.openxmlformats.org/spreadsheetml/2006/main" r="V227" s="22" t="str">
        <f t="shared" si="10"/>
        <v/>
      </c>
      <c xmlns="http://schemas.openxmlformats.org/spreadsheetml/2006/main" r="W227" s="18" t="str">
        <f t="shared" si="11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9"/>
        <v/>
      </c>
      <c xmlns="http://schemas.openxmlformats.org/spreadsheetml/2006/main" r="V228" s="22" t="str">
        <f t="shared" si="10"/>
        <v/>
      </c>
      <c xmlns="http://schemas.openxmlformats.org/spreadsheetml/2006/main" r="W228" s="18" t="str">
        <f t="shared" si="11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9"/>
        <v/>
      </c>
      <c xmlns="http://schemas.openxmlformats.org/spreadsheetml/2006/main" r="V229" s="22" t="str">
        <f t="shared" si="10"/>
        <v/>
      </c>
      <c xmlns="http://schemas.openxmlformats.org/spreadsheetml/2006/main" r="W229" s="18" t="str">
        <f t="shared" si="11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9"/>
        <v/>
      </c>
      <c xmlns="http://schemas.openxmlformats.org/spreadsheetml/2006/main" r="V230" s="22" t="str">
        <f t="shared" si="10"/>
        <v/>
      </c>
      <c xmlns="http://schemas.openxmlformats.org/spreadsheetml/2006/main" r="W230" s="18" t="str">
        <f t="shared" si="11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9"/>
        <v/>
      </c>
      <c xmlns="http://schemas.openxmlformats.org/spreadsheetml/2006/main" r="V231" s="22" t="str">
        <f t="shared" si="10"/>
        <v/>
      </c>
      <c xmlns="http://schemas.openxmlformats.org/spreadsheetml/2006/main" r="W231" s="18" t="str">
        <f t="shared" si="11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9"/>
        <v/>
      </c>
      <c xmlns="http://schemas.openxmlformats.org/spreadsheetml/2006/main" r="V232" s="22" t="str">
        <f t="shared" si="10"/>
        <v/>
      </c>
      <c xmlns="http://schemas.openxmlformats.org/spreadsheetml/2006/main" r="W232" s="18" t="str">
        <f t="shared" si="11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9"/>
        <v/>
      </c>
      <c xmlns="http://schemas.openxmlformats.org/spreadsheetml/2006/main" r="V233" s="22" t="str">
        <f t="shared" si="10"/>
        <v/>
      </c>
      <c xmlns="http://schemas.openxmlformats.org/spreadsheetml/2006/main" r="W233" s="18" t="str">
        <f t="shared" si="11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9"/>
        <v/>
      </c>
      <c xmlns="http://schemas.openxmlformats.org/spreadsheetml/2006/main" r="V234" s="22" t="str">
        <f t="shared" si="10"/>
        <v/>
      </c>
      <c xmlns="http://schemas.openxmlformats.org/spreadsheetml/2006/main" r="W234" s="18" t="str">
        <f t="shared" si="11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9"/>
        <v/>
      </c>
      <c xmlns="http://schemas.openxmlformats.org/spreadsheetml/2006/main" r="V235" s="22" t="str">
        <f t="shared" si="10"/>
        <v/>
      </c>
      <c xmlns="http://schemas.openxmlformats.org/spreadsheetml/2006/main" r="W235" s="18" t="str">
        <f t="shared" si="11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9"/>
        <v/>
      </c>
      <c xmlns="http://schemas.openxmlformats.org/spreadsheetml/2006/main" r="V236" s="22" t="str">
        <f t="shared" si="10"/>
        <v/>
      </c>
      <c xmlns="http://schemas.openxmlformats.org/spreadsheetml/2006/main" r="W236" s="18" t="str">
        <f t="shared" si="11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9"/>
        <v/>
      </c>
      <c xmlns="http://schemas.openxmlformats.org/spreadsheetml/2006/main" r="V237" s="22" t="str">
        <f t="shared" si="10"/>
        <v/>
      </c>
      <c xmlns="http://schemas.openxmlformats.org/spreadsheetml/2006/main" r="W237" s="18" t="str">
        <f t="shared" si="11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9"/>
        <v/>
      </c>
      <c xmlns="http://schemas.openxmlformats.org/spreadsheetml/2006/main" r="V238" s="22" t="str">
        <f t="shared" si="10"/>
        <v/>
      </c>
      <c xmlns="http://schemas.openxmlformats.org/spreadsheetml/2006/main" r="W238" s="18" t="str">
        <f t="shared" si="11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9"/>
        <v/>
      </c>
      <c xmlns="http://schemas.openxmlformats.org/spreadsheetml/2006/main" r="V239" s="22" t="str">
        <f t="shared" si="10"/>
        <v/>
      </c>
      <c xmlns="http://schemas.openxmlformats.org/spreadsheetml/2006/main" r="W239" s="18" t="str">
        <f t="shared" si="11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9"/>
        <v/>
      </c>
      <c xmlns="http://schemas.openxmlformats.org/spreadsheetml/2006/main" r="V240" s="22" t="str">
        <f t="shared" si="10"/>
        <v/>
      </c>
      <c xmlns="http://schemas.openxmlformats.org/spreadsheetml/2006/main" r="W240" s="18" t="str">
        <f t="shared" si="11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9"/>
        <v/>
      </c>
      <c xmlns="http://schemas.openxmlformats.org/spreadsheetml/2006/main" r="V241" s="22" t="str">
        <f t="shared" si="10"/>
        <v/>
      </c>
      <c xmlns="http://schemas.openxmlformats.org/spreadsheetml/2006/main" r="W241" s="18" t="str">
        <f t="shared" si="11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9"/>
        <v/>
      </c>
      <c xmlns="http://schemas.openxmlformats.org/spreadsheetml/2006/main" r="V242" s="22" t="str">
        <f t="shared" si="10"/>
        <v/>
      </c>
      <c xmlns="http://schemas.openxmlformats.org/spreadsheetml/2006/main" r="W242" s="18" t="str">
        <f t="shared" si="11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9"/>
        <v/>
      </c>
      <c xmlns="http://schemas.openxmlformats.org/spreadsheetml/2006/main" r="V243" s="22" t="str">
        <f t="shared" si="10"/>
        <v/>
      </c>
      <c xmlns="http://schemas.openxmlformats.org/spreadsheetml/2006/main" r="W243" s="18" t="str">
        <f t="shared" si="11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9"/>
        <v/>
      </c>
      <c xmlns="http://schemas.openxmlformats.org/spreadsheetml/2006/main" r="V244" s="22" t="str">
        <f t="shared" si="10"/>
        <v/>
      </c>
      <c xmlns="http://schemas.openxmlformats.org/spreadsheetml/2006/main" r="W244" s="18" t="str">
        <f t="shared" si="11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9"/>
        <v/>
      </c>
      <c xmlns="http://schemas.openxmlformats.org/spreadsheetml/2006/main" r="V245" s="22" t="str">
        <f t="shared" si="10"/>
        <v/>
      </c>
      <c xmlns="http://schemas.openxmlformats.org/spreadsheetml/2006/main" r="W245" s="18" t="str">
        <f t="shared" si="11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9"/>
        <v/>
      </c>
      <c xmlns="http://schemas.openxmlformats.org/spreadsheetml/2006/main" r="V246" s="22" t="str">
        <f t="shared" si="10"/>
        <v/>
      </c>
      <c xmlns="http://schemas.openxmlformats.org/spreadsheetml/2006/main" r="W246" s="18" t="str">
        <f t="shared" si="11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9"/>
        <v/>
      </c>
      <c xmlns="http://schemas.openxmlformats.org/spreadsheetml/2006/main" r="V247" s="22" t="str">
        <f t="shared" si="10"/>
        <v/>
      </c>
      <c xmlns="http://schemas.openxmlformats.org/spreadsheetml/2006/main" r="W247" s="18" t="str">
        <f t="shared" si="11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9"/>
        <v/>
      </c>
      <c xmlns="http://schemas.openxmlformats.org/spreadsheetml/2006/main" r="V248" s="22" t="str">
        <f t="shared" si="10"/>
        <v/>
      </c>
      <c xmlns="http://schemas.openxmlformats.org/spreadsheetml/2006/main" r="W248" s="18" t="str">
        <f t="shared" si="11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9"/>
        <v/>
      </c>
      <c xmlns="http://schemas.openxmlformats.org/spreadsheetml/2006/main" r="V249" s="22" t="str">
        <f t="shared" si="10"/>
        <v/>
      </c>
      <c xmlns="http://schemas.openxmlformats.org/spreadsheetml/2006/main" r="W249" s="18" t="str">
        <f t="shared" si="11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9"/>
        <v/>
      </c>
      <c xmlns="http://schemas.openxmlformats.org/spreadsheetml/2006/main" r="V250" s="22" t="str">
        <f t="shared" si="10"/>
        <v/>
      </c>
      <c xmlns="http://schemas.openxmlformats.org/spreadsheetml/2006/main" r="W250" s="18" t="str">
        <f t="shared" si="11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9"/>
        <v/>
      </c>
      <c xmlns="http://schemas.openxmlformats.org/spreadsheetml/2006/main" r="V251" s="22" t="str">
        <f t="shared" si="10"/>
        <v/>
      </c>
      <c xmlns="http://schemas.openxmlformats.org/spreadsheetml/2006/main" r="W251" s="18" t="str">
        <f t="shared" si="11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9"/>
        <v/>
      </c>
      <c xmlns="http://schemas.openxmlformats.org/spreadsheetml/2006/main" r="V252" s="22" t="str">
        <f t="shared" si="10"/>
        <v/>
      </c>
      <c xmlns="http://schemas.openxmlformats.org/spreadsheetml/2006/main" r="W252" s="18" t="str">
        <f t="shared" si="11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9"/>
        <v/>
      </c>
      <c xmlns="http://schemas.openxmlformats.org/spreadsheetml/2006/main" r="V253" s="22" t="str">
        <f t="shared" si="10"/>
        <v/>
      </c>
      <c xmlns="http://schemas.openxmlformats.org/spreadsheetml/2006/main" r="W253" s="18" t="str">
        <f t="shared" si="11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9"/>
        <v/>
      </c>
      <c xmlns="http://schemas.openxmlformats.org/spreadsheetml/2006/main" r="V254" s="22" t="str">
        <f t="shared" si="10"/>
        <v/>
      </c>
      <c xmlns="http://schemas.openxmlformats.org/spreadsheetml/2006/main" r="W254" s="18" t="str">
        <f t="shared" si="11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9"/>
        <v/>
      </c>
      <c xmlns="http://schemas.openxmlformats.org/spreadsheetml/2006/main" r="V255" s="22" t="str">
        <f t="shared" si="10"/>
        <v/>
      </c>
      <c xmlns="http://schemas.openxmlformats.org/spreadsheetml/2006/main" r="W255" s="18" t="str">
        <f t="shared" si="11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9"/>
        <v/>
      </c>
      <c xmlns="http://schemas.openxmlformats.org/spreadsheetml/2006/main" r="V256" s="22" t="str">
        <f t="shared" si="10"/>
        <v/>
      </c>
      <c xmlns="http://schemas.openxmlformats.org/spreadsheetml/2006/main" r="W256" s="18" t="str">
        <f t="shared" si="11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9"/>
        <v/>
      </c>
      <c xmlns="http://schemas.openxmlformats.org/spreadsheetml/2006/main" r="V257" s="22" t="str">
        <f t="shared" si="10"/>
        <v/>
      </c>
      <c xmlns="http://schemas.openxmlformats.org/spreadsheetml/2006/main" r="W257" s="18" t="str">
        <f t="shared" si="11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9"/>
        <v/>
      </c>
      <c xmlns="http://schemas.openxmlformats.org/spreadsheetml/2006/main" r="V258" s="22" t="str">
        <f t="shared" si="10"/>
        <v/>
      </c>
      <c xmlns="http://schemas.openxmlformats.org/spreadsheetml/2006/main" r="W258" s="18" t="str">
        <f t="shared" si="11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9"/>
        <v/>
      </c>
      <c xmlns="http://schemas.openxmlformats.org/spreadsheetml/2006/main" r="V259" s="22" t="str">
        <f t="shared" si="10"/>
        <v/>
      </c>
      <c xmlns="http://schemas.openxmlformats.org/spreadsheetml/2006/main" r="W259" s="18" t="str">
        <f t="shared" si="11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9"/>
        <v/>
      </c>
      <c xmlns="http://schemas.openxmlformats.org/spreadsheetml/2006/main" r="V260" s="22" t="str">
        <f t="shared" si="10"/>
        <v/>
      </c>
      <c xmlns="http://schemas.openxmlformats.org/spreadsheetml/2006/main" r="W260" s="18" t="str">
        <f t="shared" si="11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ref="U261:U304" si="12">IF($E261="","",COUNTIF($I261:$S261,"V"))</f>
        <v/>
      </c>
      <c xmlns="http://schemas.openxmlformats.org/spreadsheetml/2006/main" r="V261" s="22" t="str">
        <f t="shared" ref="V261:V304" si="13">IF($E261="","",IF(AND($T261="V",$U261&gt;0),"⚠ 勾選矛盾",IF($T261="V","○ 免調理",IF($U261=0,"⚠ 資料缺漏",IF($U261=1,"▲ 單一設備依賴","OK")))))</f>
        <v/>
      </c>
      <c xmlns="http://schemas.openxmlformats.org/spreadsheetml/2006/main" r="W261" s="18" t="str">
        <f t="shared" ref="W261:W304" si="14">IF($E261="","",IF(AND($T261="V",$U261&gt;0),"「無使用調理設備」不可與設備欄同時勾選，請擇一修正",IF($T261="V","免調理半成品（外購/僅切配等），不列入設備風險評估",IF($U261=0,"未勾選任何設備，請補填或勾選「無使用調理設備」",IF($U261=1,"僅依賴1台設備，須確認故障/排修時之備援製程","無異常")))))</f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2"/>
        <v/>
      </c>
      <c xmlns="http://schemas.openxmlformats.org/spreadsheetml/2006/main" r="V275" s="22" t="str">
        <f t="shared" si="13"/>
        <v/>
      </c>
      <c xmlns="http://schemas.openxmlformats.org/spreadsheetml/2006/main" r="W275" s="18" t="str">
        <f t="shared" si="14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2"/>
        <v/>
      </c>
      <c xmlns="http://schemas.openxmlformats.org/spreadsheetml/2006/main" r="V276" s="22" t="str">
        <f t="shared" si="13"/>
        <v/>
      </c>
      <c xmlns="http://schemas.openxmlformats.org/spreadsheetml/2006/main" r="W276" s="18" t="str">
        <f t="shared" si="14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2"/>
        <v/>
      </c>
      <c xmlns="http://schemas.openxmlformats.org/spreadsheetml/2006/main" r="V277" s="22" t="str">
        <f t="shared" si="13"/>
        <v/>
      </c>
      <c xmlns="http://schemas.openxmlformats.org/spreadsheetml/2006/main" r="W277" s="18" t="str">
        <f t="shared" si="14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2"/>
        <v/>
      </c>
      <c xmlns="http://schemas.openxmlformats.org/spreadsheetml/2006/main" r="V278" s="22" t="str">
        <f t="shared" si="13"/>
        <v/>
      </c>
      <c xmlns="http://schemas.openxmlformats.org/spreadsheetml/2006/main" r="W278" s="18" t="str">
        <f t="shared" si="14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2"/>
        <v/>
      </c>
      <c xmlns="http://schemas.openxmlformats.org/spreadsheetml/2006/main" r="V279" s="22" t="str">
        <f t="shared" si="13"/>
        <v/>
      </c>
      <c xmlns="http://schemas.openxmlformats.org/spreadsheetml/2006/main" r="W279" s="18" t="str">
        <f t="shared" si="14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2"/>
        <v/>
      </c>
      <c xmlns="http://schemas.openxmlformats.org/spreadsheetml/2006/main" r="V280" s="22" t="str">
        <f t="shared" si="13"/>
        <v/>
      </c>
      <c xmlns="http://schemas.openxmlformats.org/spreadsheetml/2006/main" r="W280" s="18" t="str">
        <f t="shared" si="14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2"/>
        <v/>
      </c>
      <c xmlns="http://schemas.openxmlformats.org/spreadsheetml/2006/main" r="V281" s="22" t="str">
        <f t="shared" si="13"/>
        <v/>
      </c>
      <c xmlns="http://schemas.openxmlformats.org/spreadsheetml/2006/main" r="W281" s="18" t="str">
        <f t="shared" si="14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2"/>
        <v/>
      </c>
      <c xmlns="http://schemas.openxmlformats.org/spreadsheetml/2006/main" r="V282" s="22" t="str">
        <f t="shared" si="13"/>
        <v/>
      </c>
      <c xmlns="http://schemas.openxmlformats.org/spreadsheetml/2006/main" r="W282" s="18" t="str">
        <f t="shared" si="14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2"/>
        <v/>
      </c>
      <c xmlns="http://schemas.openxmlformats.org/spreadsheetml/2006/main" r="V283" s="22" t="str">
        <f t="shared" si="13"/>
        <v/>
      </c>
      <c xmlns="http://schemas.openxmlformats.org/spreadsheetml/2006/main" r="W283" s="18" t="str">
        <f t="shared" si="14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2"/>
        <v/>
      </c>
      <c xmlns="http://schemas.openxmlformats.org/spreadsheetml/2006/main" r="V284" s="22" t="str">
        <f t="shared" si="13"/>
        <v/>
      </c>
      <c xmlns="http://schemas.openxmlformats.org/spreadsheetml/2006/main" r="W284" s="18" t="str">
        <f t="shared" si="14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2"/>
        <v/>
      </c>
      <c xmlns="http://schemas.openxmlformats.org/spreadsheetml/2006/main" r="V285" s="22" t="str">
        <f t="shared" si="13"/>
        <v/>
      </c>
      <c xmlns="http://schemas.openxmlformats.org/spreadsheetml/2006/main" r="W285" s="18" t="str">
        <f t="shared" si="14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2"/>
        <v/>
      </c>
      <c xmlns="http://schemas.openxmlformats.org/spreadsheetml/2006/main" r="V286" s="22" t="str">
        <f t="shared" si="13"/>
        <v/>
      </c>
      <c xmlns="http://schemas.openxmlformats.org/spreadsheetml/2006/main" r="W286" s="18" t="str">
        <f t="shared" si="14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2"/>
        <v/>
      </c>
      <c xmlns="http://schemas.openxmlformats.org/spreadsheetml/2006/main" r="V287" s="22" t="str">
        <f t="shared" si="13"/>
        <v/>
      </c>
      <c xmlns="http://schemas.openxmlformats.org/spreadsheetml/2006/main" r="W287" s="18" t="str">
        <f t="shared" si="14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2"/>
        <v/>
      </c>
      <c xmlns="http://schemas.openxmlformats.org/spreadsheetml/2006/main" r="V288" s="22" t="str">
        <f t="shared" si="13"/>
        <v/>
      </c>
      <c xmlns="http://schemas.openxmlformats.org/spreadsheetml/2006/main" r="W288" s="18" t="str">
        <f t="shared" si="14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2"/>
        <v/>
      </c>
      <c xmlns="http://schemas.openxmlformats.org/spreadsheetml/2006/main" r="V289" s="22" t="str">
        <f t="shared" si="13"/>
        <v/>
      </c>
      <c xmlns="http://schemas.openxmlformats.org/spreadsheetml/2006/main" r="W289" s="18" t="str">
        <f t="shared" si="14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2"/>
        <v/>
      </c>
      <c xmlns="http://schemas.openxmlformats.org/spreadsheetml/2006/main" r="V290" s="22" t="str">
        <f t="shared" si="13"/>
        <v/>
      </c>
      <c xmlns="http://schemas.openxmlformats.org/spreadsheetml/2006/main" r="W290" s="18" t="str">
        <f t="shared" si="14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2"/>
        <v/>
      </c>
      <c xmlns="http://schemas.openxmlformats.org/spreadsheetml/2006/main" r="V291" s="22" t="str">
        <f t="shared" si="13"/>
        <v/>
      </c>
      <c xmlns="http://schemas.openxmlformats.org/spreadsheetml/2006/main" r="W291" s="18" t="str">
        <f t="shared" si="14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2"/>
        <v/>
      </c>
      <c xmlns="http://schemas.openxmlformats.org/spreadsheetml/2006/main" r="V292" s="22" t="str">
        <f t="shared" si="13"/>
        <v/>
      </c>
      <c xmlns="http://schemas.openxmlformats.org/spreadsheetml/2006/main" r="W292" s="18" t="str">
        <f t="shared" si="14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A293" s="22"/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2"/>
        <v/>
      </c>
      <c xmlns="http://schemas.openxmlformats.org/spreadsheetml/2006/main" r="V293" s="22" t="str">
        <f t="shared" si="13"/>
        <v/>
      </c>
      <c xmlns="http://schemas.openxmlformats.org/spreadsheetml/2006/main" r="W293" s="18" t="str">
        <f t="shared" si="14"/>
        <v/>
      </c>
      <c r="X293" s="22"/>
      <c r="Y293" s="22"/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1:27">
      <c r="A294" s="22"/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2"/>
        <v/>
      </c>
      <c xmlns="http://schemas.openxmlformats.org/spreadsheetml/2006/main" r="V294" s="22" t="str">
        <f t="shared" si="13"/>
        <v/>
      </c>
      <c xmlns="http://schemas.openxmlformats.org/spreadsheetml/2006/main" r="W294" s="18" t="str">
        <f t="shared" si="14"/>
        <v/>
      </c>
      <c r="X294" s="22"/>
      <c r="Y294" s="22"/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1:27">
      <c r="A295" s="22"/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2"/>
        <v/>
      </c>
      <c xmlns="http://schemas.openxmlformats.org/spreadsheetml/2006/main" r="V295" s="22" t="str">
        <f t="shared" si="13"/>
        <v/>
      </c>
      <c xmlns="http://schemas.openxmlformats.org/spreadsheetml/2006/main" r="W295" s="18" t="str">
        <f t="shared" si="14"/>
        <v/>
      </c>
      <c r="X295" s="22"/>
      <c r="Y295" s="22"/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1:27">
      <c r="A296" s="22"/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2"/>
        <v/>
      </c>
      <c xmlns="http://schemas.openxmlformats.org/spreadsheetml/2006/main" r="V296" s="22" t="str">
        <f t="shared" si="13"/>
        <v/>
      </c>
      <c xmlns="http://schemas.openxmlformats.org/spreadsheetml/2006/main" r="W296" s="18" t="str">
        <f t="shared" si="14"/>
        <v/>
      </c>
      <c r="X296" s="22"/>
      <c r="Y296" s="22"/>
      <c xmlns="http://schemas.openxmlformats.org/spreadsheetml/2006/main" r="Z296">
        <f>IF($D296="",0,IF(COUNTIF($D$5:$D296,$D296)=1,1,0))</f>
        <v>0.0</v>
      </c>
      <c xmlns="http://schemas.openxmlformats.org/spreadsheetml/2006/main" r="AA296" t="str">
        <f>IF(Z296=1,SUM($Z$5:$Z296),"")</f>
        <v/>
      </c>
    </row>
    <row r="297" spans="1:27">
      <c r="A297" s="22"/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2"/>
        <v/>
      </c>
      <c xmlns="http://schemas.openxmlformats.org/spreadsheetml/2006/main" r="V297" s="22" t="str">
        <f t="shared" si="13"/>
        <v/>
      </c>
      <c xmlns="http://schemas.openxmlformats.org/spreadsheetml/2006/main" r="W297" s="18" t="str">
        <f t="shared" si="14"/>
        <v/>
      </c>
      <c r="X297" s="22"/>
      <c r="Y297" s="22"/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1:27">
      <c r="A298" s="22"/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xmlns="http://schemas.openxmlformats.org/spreadsheetml/2006/main" r="U298" s="23" t="str">
        <f t="shared" si="12"/>
        <v/>
      </c>
      <c xmlns="http://schemas.openxmlformats.org/spreadsheetml/2006/main" r="V298" s="22" t="str">
        <f t="shared" si="13"/>
        <v/>
      </c>
      <c xmlns="http://schemas.openxmlformats.org/spreadsheetml/2006/main" r="W298" s="18" t="str">
        <f t="shared" si="14"/>
        <v/>
      </c>
      <c r="X298" s="22"/>
      <c r="Y298" s="22"/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1:27">
      <c r="A299" s="22"/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xmlns="http://schemas.openxmlformats.org/spreadsheetml/2006/main" r="U299" s="23" t="str">
        <f t="shared" si="12"/>
        <v/>
      </c>
      <c xmlns="http://schemas.openxmlformats.org/spreadsheetml/2006/main" r="V299" s="22" t="str">
        <f t="shared" si="13"/>
        <v/>
      </c>
      <c xmlns="http://schemas.openxmlformats.org/spreadsheetml/2006/main" r="W299" s="18" t="str">
        <f t="shared" si="14"/>
        <v/>
      </c>
      <c r="X299" s="22"/>
      <c r="Y299" s="22"/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1:27">
      <c r="A300" s="22"/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xmlns="http://schemas.openxmlformats.org/spreadsheetml/2006/main" r="U300" s="23" t="str">
        <f t="shared" si="12"/>
        <v/>
      </c>
      <c xmlns="http://schemas.openxmlformats.org/spreadsheetml/2006/main" r="V300" s="22" t="str">
        <f t="shared" si="13"/>
        <v/>
      </c>
      <c xmlns="http://schemas.openxmlformats.org/spreadsheetml/2006/main" r="W300" s="18" t="str">
        <f t="shared" si="14"/>
        <v/>
      </c>
      <c r="X300" s="22"/>
      <c r="Y300" s="22"/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1:27">
      <c r="A301" s="22"/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xmlns="http://schemas.openxmlformats.org/spreadsheetml/2006/main" r="U301" s="23" t="str">
        <f t="shared" si="12"/>
        <v/>
      </c>
      <c xmlns="http://schemas.openxmlformats.org/spreadsheetml/2006/main" r="V301" s="22" t="str">
        <f t="shared" si="13"/>
        <v/>
      </c>
      <c xmlns="http://schemas.openxmlformats.org/spreadsheetml/2006/main" r="W301" s="18" t="str">
        <f t="shared" si="14"/>
        <v/>
      </c>
      <c r="X301" s="22"/>
      <c r="Y301" s="22"/>
      <c xmlns="http://schemas.openxmlformats.org/spreadsheetml/2006/main" r="Z301">
        <f>IF($D301="",0,IF(COUNTIF($D$5:$D301,$D301)=1,1,0))</f>
        <v>0.0</v>
      </c>
      <c xmlns="http://schemas.openxmlformats.org/spreadsheetml/2006/main" r="AA301" t="str">
        <f>IF(Z301=1,SUM($Z$5:$Z301),"")</f>
        <v/>
      </c>
    </row>
    <row r="302" spans="1:27">
      <c r="A302" s="22"/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 t="str">
        <f t="shared" si="12"/>
        <v/>
      </c>
      <c xmlns="http://schemas.openxmlformats.org/spreadsheetml/2006/main" r="V302" s="22" t="str">
        <f t="shared" si="13"/>
        <v/>
      </c>
      <c xmlns="http://schemas.openxmlformats.org/spreadsheetml/2006/main" r="W302" s="18" t="str">
        <f t="shared" si="14"/>
        <v/>
      </c>
      <c r="X302" s="22"/>
      <c r="Y302" s="22"/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1:27">
      <c r="A303" s="22"/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xmlns="http://schemas.openxmlformats.org/spreadsheetml/2006/main" r="U303" s="23" t="str">
        <f t="shared" si="12"/>
        <v/>
      </c>
      <c xmlns="http://schemas.openxmlformats.org/spreadsheetml/2006/main" r="V303" s="22" t="str">
        <f t="shared" si="13"/>
        <v/>
      </c>
      <c xmlns="http://schemas.openxmlformats.org/spreadsheetml/2006/main" r="W303" s="18" t="str">
        <f t="shared" si="14"/>
        <v/>
      </c>
      <c r="X303" s="22"/>
      <c r="Y303" s="22"/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  <row r="304" spans="1:27">
      <c r="A304" s="22"/>
      <c r="B304" s="22"/>
      <c r="C304" s="22"/>
      <c r="D304" s="22"/>
      <c r="E304" s="22"/>
      <c r="F304" s="23"/>
      <c r="G304" s="23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xmlns="http://schemas.openxmlformats.org/spreadsheetml/2006/main" r="U304" s="23" t="str">
        <f t="shared" si="12"/>
        <v/>
      </c>
      <c xmlns="http://schemas.openxmlformats.org/spreadsheetml/2006/main" r="V304" s="22" t="str">
        <f t="shared" si="13"/>
        <v/>
      </c>
      <c xmlns="http://schemas.openxmlformats.org/spreadsheetml/2006/main" r="W304" s="18" t="str">
        <f t="shared" si="14"/>
        <v/>
      </c>
      <c r="X304" s="22"/>
      <c r="Y304" s="22"/>
      <c xmlns="http://schemas.openxmlformats.org/spreadsheetml/2006/main" r="Z304">
        <f>IF($D304="",0,IF(COUNTIF($D$5:$D304,$D304)=1,1,0))</f>
        <v>0.0</v>
      </c>
      <c xmlns="http://schemas.openxmlformats.org/spreadsheetml/2006/main" r="AA304" t="str">
        <f>IF(Z304=1,SUM($Z$5:$Z304),"")</f>
        <v/>
      </c>
    </row>
    <row r="305" spans="2:2">
      <c r="B305" s="22"/>
      <c xmlns="http://schemas.openxmlformats.org/spreadsheetml/2006/main" r="U305" s="23" t="str">
        <f>IF($E305="","",COUNTIF($I305:$S305,"V"))</f>
        <v/>
      </c>
      <c xmlns="http://schemas.openxmlformats.org/spreadsheetml/2006/main" r="V305" s="22" t="str">
        <f>IF($E305="","",IF(AND($T305="V",$U305&gt;0),"⚠ 勾選矛盾",IF($T305="V","○ 免調理",IF($U305=0,"⚠ 資料缺漏",IF($U305=1,"▲ 單一設備依賴","OK")))))</f>
        <v/>
      </c>
      <c xmlns="http://schemas.openxmlformats.org/spreadsheetml/2006/main" r="W305" s="18" t="str">
        <f>IF($E305="","",IF(AND($T305="V",$U305&gt;0),"「無使用調理設備」不可與設備欄同時勾選，請擇一修正",IF($T305="V","免調理半成品（外購/僅切配等），不列入設備風險評估",IF($U305=0,"未勾選任何設備，請補填或勾選「無使用調理設備」",IF($U305=1,"僅依賴1台設備，須確認故障/排修時之備援製程","無異常")))))</f>
        <v/>
      </c>
      <c xmlns="http://schemas.openxmlformats.org/spreadsheetml/2006/main" r="Z305" s="0">
        <f>IF($D305="",0,IF(COUNTIF($D$5:$D305,$D305)=1,1,0))</f>
        <v>0.0</v>
      </c>
      <c xmlns="http://schemas.openxmlformats.org/spreadsheetml/2006/main" r="AA305" s="0" t="str">
        <f>IF(Z305=1,SUM($Z$5:$Z305),"")</f>
        <v/>
      </c>
    </row>
    <row r="306" spans="2:2">
      <c r="B306" s="22"/>
      <c xmlns="http://schemas.openxmlformats.org/spreadsheetml/2006/main" r="U306" s="23" t="str">
        <f>IF($E306="","",COUNTIF($I306:$S306,"V"))</f>
        <v/>
      </c>
      <c xmlns="http://schemas.openxmlformats.org/spreadsheetml/2006/main" r="V306" s="22" t="str">
        <f>IF($E306="","",IF(AND($T306="V",$U306&gt;0),"⚠ 勾選矛盾",IF($T306="V","○ 免調理",IF($U306=0,"⚠ 資料缺漏",IF($U306=1,"▲ 單一設備依賴","OK")))))</f>
        <v/>
      </c>
      <c xmlns="http://schemas.openxmlformats.org/spreadsheetml/2006/main" r="W306" s="18" t="str">
        <f>IF($E306="","",IF(AND($T306="V",$U306&gt;0),"「無使用調理設備」不可與設備欄同時勾選，請擇一修正",IF($T306="V","免調理半成品（外購/僅切配等），不列入設備風險評估",IF($U306=0,"未勾選任何設備，請補填或勾選「無使用調理設備」",IF($U306=1,"僅依賴1台設備，須確認故障/排修時之備援製程","無異常")))))</f>
        <v/>
      </c>
      <c xmlns="http://schemas.openxmlformats.org/spreadsheetml/2006/main" r="Z306" s="0">
        <f>IF($D306="",0,IF(COUNTIF($D$5:$D306,$D306)=1,1,0))</f>
        <v>0.0</v>
      </c>
      <c xmlns="http://schemas.openxmlformats.org/spreadsheetml/2006/main" r="AA306" s="0" t="str">
        <f>IF(Z306=1,SUM($Z$5:$Z306),"")</f>
        <v/>
      </c>
    </row>
    <row r="307" spans="2:2">
      <c r="B307" s="22"/>
      <c xmlns="http://schemas.openxmlformats.org/spreadsheetml/2006/main" r="U307" s="23" t="str">
        <f>IF($E307="","",COUNTIF($I307:$S307,"V"))</f>
        <v/>
      </c>
      <c xmlns="http://schemas.openxmlformats.org/spreadsheetml/2006/main" r="V307" s="22" t="str">
        <f>IF($E307="","",IF(AND($T307="V",$U307&gt;0),"⚠ 勾選矛盾",IF($T307="V","○ 免調理",IF($U307=0,"⚠ 資料缺漏",IF($U307=1,"▲ 單一設備依賴","OK")))))</f>
        <v/>
      </c>
      <c xmlns="http://schemas.openxmlformats.org/spreadsheetml/2006/main" r="W307" s="18" t="str">
        <f>IF($E307="","",IF(AND($T307="V",$U307&gt;0),"「無使用調理設備」不可與設備欄同時勾選，請擇一修正",IF($T307="V","免調理半成品（外購/僅切配等），不列入設備風險評估",IF($U307=0,"未勾選任何設備，請補填或勾選「無使用調理設備」",IF($U307=1,"僅依賴1台設備，須確認故障/排修時之備援製程","無異常")))))</f>
        <v/>
      </c>
      <c xmlns="http://schemas.openxmlformats.org/spreadsheetml/2006/main" r="Z307" s="0">
        <f>IF($D307="",0,IF(COUNTIF($D$5:$D307,$D307)=1,1,0))</f>
        <v>0.0</v>
      </c>
      <c xmlns="http://schemas.openxmlformats.org/spreadsheetml/2006/main" r="AA307" s="0" t="str">
        <f>IF(Z307=1,SUM($Z$5:$Z307),"")</f>
        <v/>
      </c>
    </row>
    <row r="308" spans="2:2">
      <c r="B308" s="22"/>
      <c xmlns="http://schemas.openxmlformats.org/spreadsheetml/2006/main" r="U308" s="23" t="str">
        <f>IF($E308="","",COUNTIF($I308:$S308,"V"))</f>
        <v/>
      </c>
      <c xmlns="http://schemas.openxmlformats.org/spreadsheetml/2006/main" r="V308" s="22" t="str">
        <f>IF($E308="","",IF(AND($T308="V",$U308&gt;0),"⚠ 勾選矛盾",IF($T308="V","○ 免調理",IF($U308=0,"⚠ 資料缺漏",IF($U308=1,"▲ 單一設備依賴","OK")))))</f>
        <v/>
      </c>
      <c xmlns="http://schemas.openxmlformats.org/spreadsheetml/2006/main" r="W308" s="18" t="str">
        <f>IF($E308="","",IF(AND($T308="V",$U308&gt;0),"「無使用調理設備」不可與設備欄同時勾選，請擇一修正",IF($T308="V","免調理半成品（外購/僅切配等），不列入設備風險評估",IF($U308=0,"未勾選任何設備，請補填或勾選「無使用調理設備」",IF($U308=1,"僅依賴1台設備，須確認故障/排修時之備援製程","無異常")))))</f>
        <v/>
      </c>
      <c xmlns="http://schemas.openxmlformats.org/spreadsheetml/2006/main" r="Z308" s="0">
        <f>IF($D308="",0,IF(COUNTIF($D$5:$D308,$D308)=1,1,0))</f>
        <v>0.0</v>
      </c>
      <c xmlns="http://schemas.openxmlformats.org/spreadsheetml/2006/main" r="AA308" s="0" t="str">
        <f>IF(Z308=1,SUM($Z$5:$Z308),"")</f>
        <v/>
      </c>
    </row>
    <row r="309" spans="2:2">
      <c r="B309" s="22"/>
      <c xmlns="http://schemas.openxmlformats.org/spreadsheetml/2006/main" r="U309" s="23" t="str">
        <f>IF($E309="","",COUNTIF($I309:$S309,"V"))</f>
        <v/>
      </c>
      <c xmlns="http://schemas.openxmlformats.org/spreadsheetml/2006/main" r="V309" s="22" t="str">
        <f>IF($E309="","",IF(AND($T309="V",$U309&gt;0),"⚠ 勾選矛盾",IF($T309="V","○ 免調理",IF($U309=0,"⚠ 資料缺漏",IF($U309=1,"▲ 單一設備依賴","OK")))))</f>
        <v/>
      </c>
      <c xmlns="http://schemas.openxmlformats.org/spreadsheetml/2006/main" r="W309" s="18" t="str">
        <f>IF($E309="","",IF(AND($T309="V",$U309&gt;0),"「無使用調理設備」不可與設備欄同時勾選，請擇一修正",IF($T309="V","免調理半成品（外購/僅切配等），不列入設備風險評估",IF($U309=0,"未勾選任何設備，請補填或勾選「無使用調理設備」",IF($U309=1,"僅依賴1台設備，須確認故障/排修時之備援製程","無異常")))))</f>
        <v/>
      </c>
      <c xmlns="http://schemas.openxmlformats.org/spreadsheetml/2006/main" r="Z309" s="0">
        <f>IF($D309="",0,IF(COUNTIF($D$5:$D309,$D309)=1,1,0))</f>
        <v>0.0</v>
      </c>
      <c xmlns="http://schemas.openxmlformats.org/spreadsheetml/2006/main" r="AA309" s="0" t="str">
        <f>IF(Z309=1,SUM($Z$5:$Z309),"")</f>
        <v/>
      </c>
    </row>
    <row r="310" spans="2:2">
      <c r="B310" s="22"/>
      <c xmlns="http://schemas.openxmlformats.org/spreadsheetml/2006/main" r="U310" s="23" t="str">
        <f>IF($E310="","",COUNTIF($I310:$S310,"V"))</f>
        <v/>
      </c>
      <c xmlns="http://schemas.openxmlformats.org/spreadsheetml/2006/main" r="V310" s="22" t="str">
        <f>IF($E310="","",IF(AND($T310="V",$U310&gt;0),"⚠ 勾選矛盾",IF($T310="V","○ 免調理",IF($U310=0,"⚠ 資料缺漏",IF($U310=1,"▲ 單一設備依賴","OK")))))</f>
        <v/>
      </c>
      <c xmlns="http://schemas.openxmlformats.org/spreadsheetml/2006/main" r="W310" s="18" t="str">
        <f>IF($E310="","",IF(AND($T310="V",$U310&gt;0),"「無使用調理設備」不可與設備欄同時勾選，請擇一修正",IF($T310="V","免調理半成品（外購/僅切配等），不列入設備風險評估",IF($U310=0,"未勾選任何設備，請補填或勾選「無使用調理設備」",IF($U310=1,"僅依賴1台設備，須確認故障/排修時之備援製程","無異常")))))</f>
        <v/>
      </c>
      <c xmlns="http://schemas.openxmlformats.org/spreadsheetml/2006/main" r="Z310" s="0">
        <f>IF($D310="",0,IF(COUNTIF($D$5:$D310,$D310)=1,1,0))</f>
        <v>0.0</v>
      </c>
      <c xmlns="http://schemas.openxmlformats.org/spreadsheetml/2006/main" r="AA310" s="0" t="str">
        <f>IF(Z310=1,SUM($Z$5:$Z310),"")</f>
        <v/>
      </c>
    </row>
    <row r="311" spans="2:2">
      <c r="B311" s="22"/>
      <c xmlns="http://schemas.openxmlformats.org/spreadsheetml/2006/main" r="U311" s="23" t="str">
        <f>IF($E311="","",COUNTIF($I311:$S311,"V"))</f>
        <v/>
      </c>
      <c xmlns="http://schemas.openxmlformats.org/spreadsheetml/2006/main" r="V311" s="22" t="str">
        <f>IF($E311="","",IF(AND($T311="V",$U311&gt;0),"⚠ 勾選矛盾",IF($T311="V","○ 免調理",IF($U311=0,"⚠ 資料缺漏",IF($U311=1,"▲ 單一設備依賴","OK")))))</f>
        <v/>
      </c>
      <c xmlns="http://schemas.openxmlformats.org/spreadsheetml/2006/main" r="W311" s="18" t="str">
        <f>IF($E311="","",IF(AND($T311="V",$U311&gt;0),"「無使用調理設備」不可與設備欄同時勾選，請擇一修正",IF($T311="V","免調理半成品（外購/僅切配等），不列入設備風險評估",IF($U311=0,"未勾選任何設備，請補填或勾選「無使用調理設備」",IF($U311=1,"僅依賴1台設備，須確認故障/排修時之備援製程","無異常")))))</f>
        <v/>
      </c>
      <c xmlns="http://schemas.openxmlformats.org/spreadsheetml/2006/main" r="Z311" s="0">
        <f>IF($D311="",0,IF(COUNTIF($D$5:$D311,$D311)=1,1,0))</f>
        <v>0.0</v>
      </c>
      <c xmlns="http://schemas.openxmlformats.org/spreadsheetml/2006/main" r="AA311" s="0" t="str">
        <f>IF(Z311=1,SUM($Z$5:$Z311),"")</f>
        <v/>
      </c>
    </row>
    <row r="312" spans="2:2">
      <c r="B312" s="22"/>
      <c xmlns="http://schemas.openxmlformats.org/spreadsheetml/2006/main" r="U312" s="23" t="str">
        <f>IF($E312="","",COUNTIF($I312:$S312,"V"))</f>
        <v/>
      </c>
      <c xmlns="http://schemas.openxmlformats.org/spreadsheetml/2006/main" r="V312" s="22" t="str">
        <f>IF($E312="","",IF(AND($T312="V",$U312&gt;0),"⚠ 勾選矛盾",IF($T312="V","○ 免調理",IF($U312=0,"⚠ 資料缺漏",IF($U312=1,"▲ 單一設備依賴","OK")))))</f>
        <v/>
      </c>
      <c xmlns="http://schemas.openxmlformats.org/spreadsheetml/2006/main" r="W312" s="18" t="str">
        <f>IF($E312="","",IF(AND($T312="V",$U312&gt;0),"「無使用調理設備」不可與設備欄同時勾選，請擇一修正",IF($T312="V","免調理半成品（外購/僅切配等），不列入設備風險評估",IF($U312=0,"未勾選任何設備，請補填或勾選「無使用調理設備」",IF($U312=1,"僅依賴1台設備，須確認故障/排修時之備援製程","無異常")))))</f>
        <v/>
      </c>
      <c xmlns="http://schemas.openxmlformats.org/spreadsheetml/2006/main" r="Z312" s="0">
        <f>IF($D312="",0,IF(COUNTIF($D$5:$D312,$D312)=1,1,0))</f>
        <v>0.0</v>
      </c>
      <c xmlns="http://schemas.openxmlformats.org/spreadsheetml/2006/main" r="AA312" s="0" t="str">
        <f>IF(Z312=1,SUM($Z$5:$Z312),"")</f>
        <v/>
      </c>
    </row>
    <row r="313" spans="2:2">
      <c r="B313" s="22"/>
      <c xmlns="http://schemas.openxmlformats.org/spreadsheetml/2006/main" r="U313" s="23" t="str">
        <f>IF($E313="","",COUNTIF($I313:$S313,"V"))</f>
        <v/>
      </c>
      <c xmlns="http://schemas.openxmlformats.org/spreadsheetml/2006/main" r="V313" s="22" t="str">
        <f>IF($E313="","",IF(AND($T313="V",$U313&gt;0),"⚠ 勾選矛盾",IF($T313="V","○ 免調理",IF($U313=0,"⚠ 資料缺漏",IF($U313=1,"▲ 單一設備依賴","OK")))))</f>
        <v/>
      </c>
      <c xmlns="http://schemas.openxmlformats.org/spreadsheetml/2006/main" r="W313" s="18" t="str">
        <f>IF($E313="","",IF(AND($T313="V",$U313&gt;0),"「無使用調理設備」不可與設備欄同時勾選，請擇一修正",IF($T313="V","免調理半成品（外購/僅切配等），不列入設備風險評估",IF($U313=0,"未勾選任何設備，請補填或勾選「無使用調理設備」",IF($U313=1,"僅依賴1台設備，須確認故障/排修時之備援製程","無異常")))))</f>
        <v/>
      </c>
      <c xmlns="http://schemas.openxmlformats.org/spreadsheetml/2006/main" r="Z313" s="0">
        <f>IF($D313="",0,IF(COUNTIF($D$5:$D313,$D313)=1,1,0))</f>
        <v>0.0</v>
      </c>
      <c xmlns="http://schemas.openxmlformats.org/spreadsheetml/2006/main" r="AA313" s="0" t="str">
        <f>IF(Z313=1,SUM($Z$5:$Z313),"")</f>
        <v/>
      </c>
    </row>
    <row r="314" spans="2:2">
      <c r="B314" s="22"/>
      <c xmlns="http://schemas.openxmlformats.org/spreadsheetml/2006/main" r="U314" s="23" t="str">
        <f>IF($E314="","",COUNTIF($I314:$S314,"V"))</f>
        <v/>
      </c>
      <c xmlns="http://schemas.openxmlformats.org/spreadsheetml/2006/main" r="V314" s="22" t="str">
        <f>IF($E314="","",IF(AND($T314="V",$U314&gt;0),"⚠ 勾選矛盾",IF($T314="V","○ 免調理",IF($U314=0,"⚠ 資料缺漏",IF($U314=1,"▲ 單一設備依賴","OK")))))</f>
        <v/>
      </c>
      <c xmlns="http://schemas.openxmlformats.org/spreadsheetml/2006/main" r="W314" s="18" t="str">
        <f>IF($E314="","",IF(AND($T314="V",$U314&gt;0),"「無使用調理設備」不可與設備欄同時勾選，請擇一修正",IF($T314="V","免調理半成品（外購/僅切配等），不列入設備風險評估",IF($U314=0,"未勾選任何設備，請補填或勾選「無使用調理設備」",IF($U314=1,"僅依賴1台設備，須確認故障/排修時之備援製程","無異常")))))</f>
        <v/>
      </c>
      <c xmlns="http://schemas.openxmlformats.org/spreadsheetml/2006/main" r="Z314" s="0">
        <f>IF($D314="",0,IF(COUNTIF($D$5:$D314,$D314)=1,1,0))</f>
        <v>0.0</v>
      </c>
      <c xmlns="http://schemas.openxmlformats.org/spreadsheetml/2006/main" r="AA314" s="0" t="str">
        <f>IF(Z314=1,SUM($Z$5:$Z314),"")</f>
        <v/>
      </c>
    </row>
    <row r="315" spans="2:2">
      <c r="B315" s="22"/>
      <c xmlns="http://schemas.openxmlformats.org/spreadsheetml/2006/main" r="U315" s="23" t="str">
        <f>IF($E315="","",COUNTIF($I315:$S315,"V"))</f>
        <v/>
      </c>
      <c xmlns="http://schemas.openxmlformats.org/spreadsheetml/2006/main" r="V315" s="22" t="str">
        <f>IF($E315="","",IF(AND($T315="V",$U315&gt;0),"⚠ 勾選矛盾",IF($T315="V","○ 免調理",IF($U315=0,"⚠ 資料缺漏",IF($U315=1,"▲ 單一設備依賴","OK")))))</f>
        <v/>
      </c>
      <c xmlns="http://schemas.openxmlformats.org/spreadsheetml/2006/main" r="W315" s="18" t="str">
        <f>IF($E315="","",IF(AND($T315="V",$U315&gt;0),"「無使用調理設備」不可與設備欄同時勾選，請擇一修正",IF($T315="V","免調理半成品（外購/僅切配等），不列入設備風險評估",IF($U315=0,"未勾選任何設備，請補填或勾選「無使用調理設備」",IF($U315=1,"僅依賴1台設備，須確認故障/排修時之備援製程","無異常")))))</f>
        <v/>
      </c>
      <c xmlns="http://schemas.openxmlformats.org/spreadsheetml/2006/main" r="Z315" s="0">
        <f>IF($D315="",0,IF(COUNTIF($D$5:$D315,$D315)=1,1,0))</f>
        <v>0.0</v>
      </c>
      <c xmlns="http://schemas.openxmlformats.org/spreadsheetml/2006/main" r="AA315" s="0" t="str">
        <f>IF(Z315=1,SUM($Z$5:$Z315),"")</f>
        <v/>
      </c>
    </row>
    <row r="316" spans="2:2">
      <c r="B316" s="22"/>
      <c xmlns="http://schemas.openxmlformats.org/spreadsheetml/2006/main" r="U316" s="23" t="str">
        <f>IF($E316="","",COUNTIF($I316:$S316,"V"))</f>
        <v/>
      </c>
      <c xmlns="http://schemas.openxmlformats.org/spreadsheetml/2006/main" r="V316" s="22" t="str">
        <f>IF($E316="","",IF(AND($T316="V",$U316&gt;0),"⚠ 勾選矛盾",IF($T316="V","○ 免調理",IF($U316=0,"⚠ 資料缺漏",IF($U316=1,"▲ 單一設備依賴","OK")))))</f>
        <v/>
      </c>
      <c xmlns="http://schemas.openxmlformats.org/spreadsheetml/2006/main" r="W316" s="18" t="str">
        <f>IF($E316="","",IF(AND($T316="V",$U316&gt;0),"「無使用調理設備」不可與設備欄同時勾選，請擇一修正",IF($T316="V","免調理半成品（外購/僅切配等），不列入設備風險評估",IF($U316=0,"未勾選任何設備，請補填或勾選「無使用調理設備」",IF($U316=1,"僅依賴1台設備，須確認故障/排修時之備援製程","無異常")))))</f>
        <v/>
      </c>
      <c xmlns="http://schemas.openxmlformats.org/spreadsheetml/2006/main" r="Z316" s="0">
        <f>IF($D316="",0,IF(COUNTIF($D$5:$D316,$D316)=1,1,0))</f>
        <v>0.0</v>
      </c>
      <c xmlns="http://schemas.openxmlformats.org/spreadsheetml/2006/main" r="AA316" s="0" t="str">
        <f>IF(Z316=1,SUM($Z$5:$Z316),"")</f>
        <v/>
      </c>
    </row>
    <row r="317" spans="2:2">
      <c r="B317" s="22"/>
      <c xmlns="http://schemas.openxmlformats.org/spreadsheetml/2006/main" r="U317" s="23" t="str">
        <f>IF($E317="","",COUNTIF($I317:$S317,"V"))</f>
        <v/>
      </c>
      <c xmlns="http://schemas.openxmlformats.org/spreadsheetml/2006/main" r="V317" s="22" t="str">
        <f>IF($E317="","",IF(AND($T317="V",$U317&gt;0),"⚠ 勾選矛盾",IF($T317="V","○ 免調理",IF($U317=0,"⚠ 資料缺漏",IF($U317=1,"▲ 單一設備依賴","OK")))))</f>
        <v/>
      </c>
      <c xmlns="http://schemas.openxmlformats.org/spreadsheetml/2006/main" r="W317" s="18" t="str">
        <f>IF($E317="","",IF(AND($T317="V",$U317&gt;0),"「無使用調理設備」不可與設備欄同時勾選，請擇一修正",IF($T317="V","免調理半成品（外購/僅切配等），不列入設備風險評估",IF($U317=0,"未勾選任何設備，請補填或勾選「無使用調理設備」",IF($U317=1,"僅依賴1台設備，須確認故障/排修時之備援製程","無異常")))))</f>
        <v/>
      </c>
      <c xmlns="http://schemas.openxmlformats.org/spreadsheetml/2006/main" r="Z317" s="0">
        <f>IF($D317="",0,IF(COUNTIF($D$5:$D317,$D317)=1,1,0))</f>
        <v>0.0</v>
      </c>
      <c xmlns="http://schemas.openxmlformats.org/spreadsheetml/2006/main" r="AA317" s="0" t="str">
        <f>IF(Z317=1,SUM($Z$5:$Z317),"")</f>
        <v/>
      </c>
    </row>
    <row r="318" spans="2:2">
      <c r="B318" s="22"/>
      <c xmlns="http://schemas.openxmlformats.org/spreadsheetml/2006/main" r="U318" s="23" t="str">
        <f>IF($E318="","",COUNTIF($I318:$S318,"V"))</f>
        <v/>
      </c>
      <c xmlns="http://schemas.openxmlformats.org/spreadsheetml/2006/main" r="V318" s="22" t="str">
        <f>IF($E318="","",IF(AND($T318="V",$U318&gt;0),"⚠ 勾選矛盾",IF($T318="V","○ 免調理",IF($U318=0,"⚠ 資料缺漏",IF($U318=1,"▲ 單一設備依賴","OK")))))</f>
        <v/>
      </c>
      <c xmlns="http://schemas.openxmlformats.org/spreadsheetml/2006/main" r="W318" s="18" t="str">
        <f>IF($E318="","",IF(AND($T318="V",$U318&gt;0),"「無使用調理設備」不可與設備欄同時勾選，請擇一修正",IF($T318="V","免調理半成品（外購/僅切配等），不列入設備風險評估",IF($U318=0,"未勾選任何設備，請補填或勾選「無使用調理設備」",IF($U318=1,"僅依賴1台設備，須確認故障/排修時之備援製程","無異常")))))</f>
        <v/>
      </c>
      <c xmlns="http://schemas.openxmlformats.org/spreadsheetml/2006/main" r="Z318" s="0">
        <f>IF($D318="",0,IF(COUNTIF($D$5:$D318,$D318)=1,1,0))</f>
        <v>0.0</v>
      </c>
      <c xmlns="http://schemas.openxmlformats.org/spreadsheetml/2006/main" r="AA318" s="0" t="str">
        <f>IF(Z318=1,SUM($Z$5:$Z318),"")</f>
        <v/>
      </c>
    </row>
    <row r="319" spans="2:2">
      <c r="B319" s="22"/>
      <c xmlns="http://schemas.openxmlformats.org/spreadsheetml/2006/main" r="U319" s="23" t="str">
        <f>IF($E319="","",COUNTIF($I319:$S319,"V"))</f>
        <v/>
      </c>
      <c xmlns="http://schemas.openxmlformats.org/spreadsheetml/2006/main" r="V319" s="22" t="str">
        <f>IF($E319="","",IF(AND($T319="V",$U319&gt;0),"⚠ 勾選矛盾",IF($T319="V","○ 免調理",IF($U319=0,"⚠ 資料缺漏",IF($U319=1,"▲ 單一設備依賴","OK")))))</f>
        <v/>
      </c>
      <c xmlns="http://schemas.openxmlformats.org/spreadsheetml/2006/main" r="W319" s="18" t="str">
        <f>IF($E319="","",IF(AND($T319="V",$U319&gt;0),"「無使用調理設備」不可與設備欄同時勾選，請擇一修正",IF($T319="V","免調理半成品（外購/僅切配等），不列入設備風險評估",IF($U319=0,"未勾選任何設備，請補填或勾選「無使用調理設備」",IF($U319=1,"僅依賴1台設備，須確認故障/排修時之備援製程","無異常")))))</f>
        <v/>
      </c>
      <c xmlns="http://schemas.openxmlformats.org/spreadsheetml/2006/main" r="Z319" s="0">
        <f>IF($D319="",0,IF(COUNTIF($D$5:$D319,$D319)=1,1,0))</f>
        <v>0.0</v>
      </c>
      <c xmlns="http://schemas.openxmlformats.org/spreadsheetml/2006/main" r="AA319" s="0" t="str">
        <f>IF(Z319=1,SUM($Z$5:$Z319),"")</f>
        <v/>
      </c>
    </row>
    <row r="320" spans="2:2">
      <c r="B320" s="22"/>
      <c xmlns="http://schemas.openxmlformats.org/spreadsheetml/2006/main" r="U320" s="23" t="str">
        <f>IF($E320="","",COUNTIF($I320:$S320,"V"))</f>
        <v/>
      </c>
      <c xmlns="http://schemas.openxmlformats.org/spreadsheetml/2006/main" r="V320" s="22" t="str">
        <f>IF($E320="","",IF(AND($T320="V",$U320&gt;0),"⚠ 勾選矛盾",IF($T320="V","○ 免調理",IF($U320=0,"⚠ 資料缺漏",IF($U320=1,"▲ 單一設備依賴","OK")))))</f>
        <v/>
      </c>
      <c xmlns="http://schemas.openxmlformats.org/spreadsheetml/2006/main" r="W320" s="18" t="str">
        <f>IF($E320="","",IF(AND($T320="V",$U320&gt;0),"「無使用調理設備」不可與設備欄同時勾選，請擇一修正",IF($T320="V","免調理半成品（外購/僅切配等），不列入設備風險評估",IF($U320=0,"未勾選任何設備，請補填或勾選「無使用調理設備」",IF($U320=1,"僅依賴1台設備，須確認故障/排修時之備援製程","無異常")))))</f>
        <v/>
      </c>
      <c xmlns="http://schemas.openxmlformats.org/spreadsheetml/2006/main" r="Z320" s="0">
        <f>IF($D320="",0,IF(COUNTIF($D$5:$D320,$D320)=1,1,0))</f>
        <v>0.0</v>
      </c>
      <c xmlns="http://schemas.openxmlformats.org/spreadsheetml/2006/main" r="AA320" s="0" t="str">
        <f>IF(Z320=1,SUM($Z$5:$Z320),"")</f>
        <v/>
      </c>
    </row>
    <row r="321" spans="2:2">
      <c r="B321" s="22"/>
      <c xmlns="http://schemas.openxmlformats.org/spreadsheetml/2006/main" r="U321" s="23" t="str">
        <f>IF($E321="","",COUNTIF($I321:$S321,"V"))</f>
        <v/>
      </c>
      <c xmlns="http://schemas.openxmlformats.org/spreadsheetml/2006/main" r="V321" s="22" t="str">
        <f>IF($E321="","",IF(AND($T321="V",$U321&gt;0),"⚠ 勾選矛盾",IF($T321="V","○ 免調理",IF($U321=0,"⚠ 資料缺漏",IF($U321=1,"▲ 單一設備依賴","OK")))))</f>
        <v/>
      </c>
      <c xmlns="http://schemas.openxmlformats.org/spreadsheetml/2006/main" r="W321" s="18" t="str">
        <f>IF($E321="","",IF(AND($T321="V",$U321&gt;0),"「無使用調理設備」不可與設備欄同時勾選，請擇一修正",IF($T321="V","免調理半成品（外購/僅切配等），不列入設備風險評估",IF($U321=0,"未勾選任何設備，請補填或勾選「無使用調理設備」",IF($U321=1,"僅依賴1台設備，須確認故障/排修時之備援製程","無異常")))))</f>
        <v/>
      </c>
      <c xmlns="http://schemas.openxmlformats.org/spreadsheetml/2006/main" r="Z321" s="0">
        <f>IF($D321="",0,IF(COUNTIF($D$5:$D321,$D321)=1,1,0))</f>
        <v>0.0</v>
      </c>
      <c xmlns="http://schemas.openxmlformats.org/spreadsheetml/2006/main" r="AA321" s="0" t="str">
        <f>IF(Z321=1,SUM($Z$5:$Z321),"")</f>
        <v/>
      </c>
    </row>
    <row r="322" spans="2:2">
      <c r="B322" s="22"/>
      <c xmlns="http://schemas.openxmlformats.org/spreadsheetml/2006/main" r="U322" s="23" t="str">
        <f>IF($E322="","",COUNTIF($I322:$S322,"V"))</f>
        <v/>
      </c>
      <c xmlns="http://schemas.openxmlformats.org/spreadsheetml/2006/main" r="V322" s="22" t="str">
        <f>IF($E322="","",IF(AND($T322="V",$U322&gt;0),"⚠ 勾選矛盾",IF($T322="V","○ 免調理",IF($U322=0,"⚠ 資料缺漏",IF($U322=1,"▲ 單一設備依賴","OK")))))</f>
        <v/>
      </c>
      <c xmlns="http://schemas.openxmlformats.org/spreadsheetml/2006/main" r="W322" s="18" t="str">
        <f>IF($E322="","",IF(AND($T322="V",$U322&gt;0),"「無使用調理設備」不可與設備欄同時勾選，請擇一修正",IF($T322="V","免調理半成品（外購/僅切配等），不列入設備風險評估",IF($U322=0,"未勾選任何設備，請補填或勾選「無使用調理設備」",IF($U322=1,"僅依賴1台設備，須確認故障/排修時之備援製程","無異常")))))</f>
        <v/>
      </c>
      <c xmlns="http://schemas.openxmlformats.org/spreadsheetml/2006/main" r="Z322" s="0">
        <f>IF($D322="",0,IF(COUNTIF($D$5:$D322,$D322)=1,1,0))</f>
        <v>0.0</v>
      </c>
      <c xmlns="http://schemas.openxmlformats.org/spreadsheetml/2006/main" r="AA322" s="0" t="str">
        <f>IF(Z322=1,SUM($Z$5:$Z322),"")</f>
        <v/>
      </c>
    </row>
  </sheetData>
  <autoFilter ref="A4:Y322"/>
  <mergeCells count="29">
    <mergeCell ref="A1:Y1"/>
    <mergeCell ref="A2:H2"/>
    <mergeCell ref="I2:T2"/>
    <mergeCell ref="U2:W2"/>
    <mergeCell ref="X2:Y2"/>
    <mergeCell ref="A3:A4"/>
    <mergeCell ref="C3:C4"/>
    <mergeCell ref="D3:D4"/>
    <mergeCell ref="E3:E4"/>
    <mergeCell ref="F3:G3"/>
    <mergeCell ref="B3:B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A5:A9">
    <cfRule type="expression" dxfId="14" priority="5">
      <formula>$R5="⚠ 資料缺漏"</formula>
    </cfRule>
  </conditionalFormatting>
  <conditionalFormatting sqref="A10:A304 C5:H304">
    <cfRule type="expression" dxfId="13" priority="12">
      <formula>ISNUMBER(SEARCH("⚠",$V5))</formula>
    </cfRule>
  </conditionalFormatting>
  <conditionalFormatting sqref="V5:V304">
    <cfRule type="expression" dxfId="12" priority="8">
      <formula>ISNUMBER(SEARCH("⚠",$V5))</formula>
    </cfRule>
    <cfRule type="expression" dxfId="11" priority="9">
      <formula>$V5="▲ 單一設備依賴"</formula>
    </cfRule>
    <cfRule type="expression" dxfId="10" priority="10">
      <formula>$V5="○ 免調理"</formula>
    </cfRule>
    <cfRule type="expression" dxfId="9" priority="11">
      <formula>$V5="OK"</formula>
    </cfRule>
  </conditionalFormatting>
  <conditionalFormatting sqref="B5:B322">
    <cfRule type="expression" dxfId="8" priority="4">
      <formula>$R5="⚠ 資料缺漏"</formula>
    </cfRule>
  </conditionalFormatting>
  <conditionalFormatting xmlns="http://schemas.openxmlformats.org/spreadsheetml/2006/main" sqref="B5:B322">
    <cfRule type="expression" dxfId="109" priority="1" stopIfTrue="1">
      <formula>AND($D5&lt;&gt;"",OR($B5="",COUNTIFS($D$5:$D$322,$D5,$B$5:$B$322,$B5)&lt;&gt;COUNTIF($D$5:$D$322,$D5)))</formula>
    </cfRule>
  </conditionalFormatting>
  <conditionalFormatting xmlns="http://schemas.openxmlformats.org/spreadsheetml/2006/main" sqref="Y5:Y322">
    <cfRule type="expression" dxfId="108" priority="2" stopIfTrue="1">
      <formula>AND($E5&lt;&gt;"",$Y5="")</formula>
    </cfRule>
  </conditionalFormatting>
  <conditionalFormatting xmlns="http://schemas.openxmlformats.org/spreadsheetml/2006/main" sqref="G5:G322">
    <cfRule type="expression" dxfId="108" priority="3" stopIfTrue="1">
      <formula>AND($E5&lt;&gt;"",$F5&lt;&gt;"",$G5="")</formula>
    </cfRule>
  </conditionalFormatting>
  <dataValidations xmlns="http://schemas.openxmlformats.org/spreadsheetml/2006/main" count="4">
    <dataValidation type="list" sqref="A5:A322" allowBlank="1" showDropDown="0" showErrorMessage="1" errorStyle="stop" errorTitle="請使用下拉選單" error="請選擇選單中的項目，或清除儲存格。">
      <formula1>"大溪,新豐,長家,晉欣"</formula1>
    </dataValidation>
    <dataValidation type="list" sqref="G5:G322" allowBlank="1" showDropDown="0" showErrorMessage="1" errorStyle="stop" errorTitle="請使用下拉選單" error="請選擇選單中的項目，或清除儲存格。">
      <formula1>"公克,個"</formula1>
    </dataValidation>
    <dataValidation type="list" sqref="I5:T322" allowBlank="1" showDropDown="0" showErrorMessage="1" errorStyle="stop" errorTitle="請使用下拉選單" error="請選擇選單中的項目，或清除儲存格。">
      <formula1>"V"</formula1>
    </dataValidation>
    <dataValidation type="list" allowBlank="1" sqref="B5:B322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K28"/>
  <sheetViews>
    <sheetView showGridLines="0" zoomScaleNormal="100" workbookViewId="0">
      <selection activeCell="H11" sqref="H11"/>
    </sheetView>
  </sheetViews>
  <sheetFormatPr defaultColWidth="8.7265625" defaultRowHeight="14.5"/>
  <cols>
    <col min="1" max="1" width="3" customWidth="1"/>
    <col min="2" max="2" width="21.81640625" customWidth="1"/>
    <col min="3" max="8" width="13" customWidth="1"/>
    <col min="9" max="9" width="16" customWidth="1"/>
    <col min="10" max="10" width="14" customWidth="1"/>
    <col min="11" max="11" width="42" customWidth="1"/>
  </cols>
  <sheetData>
    <row r="1" spans="2:11" ht="18">
      <c r="B1" s="29" t="s">
        <v>81</v>
      </c>
    </row>
    <row r="2" spans="2:11">
      <c r="B2" s="19" t="s">
        <v>82</v>
      </c>
    </row>
    <row r="3" spans="2:11">
      <c r="B3" s="30" t="s">
        <v>83</v>
      </c>
      <c r="C3" s="31">
        <v>0.3</v>
      </c>
      <c r="D3" s="32" t="s">
        <v>84</v>
      </c>
    </row>
    <row r="4" spans="2:11">
      <c r="B4" s="30" t="s">
        <v>85</v>
      </c>
      <c r="C4" s="31">
        <v>0.15</v>
      </c>
      <c r="D4" s="32" t="s">
        <v>86</v>
      </c>
    </row>
    <row r="5" spans="2:11">
      <c r="B5" s="30" t="s">
        <v>87</v>
      </c>
      <c r="C5" s="33">
        <v>0</v>
      </c>
      <c r="D5" s="32" t="s">
        <v>88</v>
      </c>
    </row>
    <row r="7" spans="2:11">
      <c r="B7" s="34" t="s">
        <v>89</v>
      </c>
    </row>
    <row r="8" spans="2:11">
      <c r="B8" s="6" t="s">
        <v>12</v>
      </c>
      <c r="C8" s="35" t="s">
        <v>17</v>
      </c>
      <c r="D8" s="35" t="s">
        <v>90</v>
      </c>
      <c r="E8" s="35" t="s">
        <v>91</v>
      </c>
      <c r="F8" s="35" t="s">
        <v>92</v>
      </c>
      <c r="G8" s="6" t="s">
        <v>21</v>
      </c>
      <c r="H8" s="6" t="s">
        <v>22</v>
      </c>
    </row>
    <row r="9" spans="2:11">
      <c r="B9" s="36" t="s">
        <v>15</v>
      </c>
      <c xmlns="http://schemas.openxmlformats.org/spreadsheetml/2006/main" r="C9" s="7">
        <f>COUNTA('18℃'!$E$5:$E$319)</f>
        <v>165.0</v>
      </c>
      <c xmlns="http://schemas.openxmlformats.org/spreadsheetml/2006/main" r="D9" s="7">
        <f>COUNTA('4℃飯'!$E$5:$E$319)</f>
        <v>254.0</v>
      </c>
      <c xmlns="http://schemas.openxmlformats.org/spreadsheetml/2006/main" r="E9" s="7">
        <f>COUNTA('4℃麵'!$E$5:$E$310)</f>
        <v>74.0</v>
      </c>
      <c xmlns="http://schemas.openxmlformats.org/spreadsheetml/2006/main" r="F9" s="7">
        <f>COUNTA('4℃其他'!$E$5:$E$322)</f>
        <v>42.0</v>
      </c>
      <c xmlns="http://schemas.openxmlformats.org/spreadsheetml/2006/main" r="G9" s="7">
        <f>COUNTA(冷凍品!$E$5:$E$322)</f>
        <v>0.0</v>
      </c>
      <c xmlns="http://schemas.openxmlformats.org/spreadsheetml/2006/main" r="H9" s="10">
        <f>SUM(C9:G9)</f>
        <v>535.0</v>
      </c>
    </row>
    <row r="10" spans="2:11">
      <c r="B10" s="36" t="s">
        <v>93</v>
      </c>
      <c xmlns="http://schemas.openxmlformats.org/spreadsheetml/2006/main" r="C10" s="7">
        <f>COUNTIF('18℃'!$V$5:$V$319,"⚠ 資料缺漏")</f>
        <v>0.0</v>
      </c>
      <c xmlns="http://schemas.openxmlformats.org/spreadsheetml/2006/main" r="D10" s="7">
        <f>COUNTIF('4℃飯'!$V$5:$V$319,"⚠ 資料缺漏")</f>
        <v>0.0</v>
      </c>
      <c xmlns="http://schemas.openxmlformats.org/spreadsheetml/2006/main" r="E10" s="7">
        <f>COUNTIF('4℃麵'!$V$5:$V$310,"⚠ 資料缺漏")</f>
        <v>0.0</v>
      </c>
      <c xmlns="http://schemas.openxmlformats.org/spreadsheetml/2006/main" r="F10" s="7">
        <f>COUNTIF('4℃其他'!$V$5:$V$322,"⚠ 資料缺漏")</f>
        <v>0.0</v>
      </c>
      <c xmlns="http://schemas.openxmlformats.org/spreadsheetml/2006/main" r="G10" s="7">
        <f>COUNTIF(冷凍品!$V$5:$V$322,"⚠ 資料缺漏")</f>
        <v>0.0</v>
      </c>
      <c xmlns="http://schemas.openxmlformats.org/spreadsheetml/2006/main" r="H10" s="10">
        <f>SUM(C10:G10)</f>
        <v>0.0</v>
      </c>
    </row>
    <row r="11" spans="2:11">
      <c r="B11" s="36" t="s">
        <v>94</v>
      </c>
      <c xmlns="http://schemas.openxmlformats.org/spreadsheetml/2006/main" r="C11" s="7">
        <f>COUNTIF('18℃'!$V$5:$V$319,"⚠ 勾選矛盾")</f>
        <v>0.0</v>
      </c>
      <c xmlns="http://schemas.openxmlformats.org/spreadsheetml/2006/main" r="D11" s="7">
        <f>COUNTIF('4℃飯'!$V$5:$V$319,"⚠ 勾選矛盾")</f>
        <v>0.0</v>
      </c>
      <c xmlns="http://schemas.openxmlformats.org/spreadsheetml/2006/main" r="E11" s="7">
        <f>COUNTIF('4℃麵'!$V$5:$V$310,"⚠ 勾選矛盾")</f>
        <v>0.0</v>
      </c>
      <c xmlns="http://schemas.openxmlformats.org/spreadsheetml/2006/main" r="F11" s="7">
        <f>COUNTIF('4℃其他'!$V$5:$V$322,"⚠ 勾選矛盾")</f>
        <v>0.0</v>
      </c>
      <c xmlns="http://schemas.openxmlformats.org/spreadsheetml/2006/main" r="G11" s="7">
        <f>COUNTIF(冷凍品!$V$5:$V$322,"⚠ 勾選矛盾")</f>
        <v>0.0</v>
      </c>
      <c xmlns="http://schemas.openxmlformats.org/spreadsheetml/2006/main" r="H11" s="10">
        <f>SUM(C11:G11)</f>
        <v>0.0</v>
      </c>
    </row>
    <row r="12" spans="2:11">
      <c r="B12" s="36" t="s">
        <v>9</v>
      </c>
      <c xmlns="http://schemas.openxmlformats.org/spreadsheetml/2006/main" r="C12" s="7">
        <f>COUNTIF('18℃'!$V$5:$V$319,"▲ 單一設備依賴")</f>
        <v>46.0</v>
      </c>
      <c xmlns="http://schemas.openxmlformats.org/spreadsheetml/2006/main" r="D12" s="7">
        <f>COUNTIF('4℃飯'!$V$5:$V$319,"▲ 單一設備依賴")</f>
        <v>177.0</v>
      </c>
      <c xmlns="http://schemas.openxmlformats.org/spreadsheetml/2006/main" r="E12" s="7">
        <f>COUNTIF('4℃麵'!$V$5:$V$310,"▲ 單一設備依賴")</f>
        <v>35.0</v>
      </c>
      <c xmlns="http://schemas.openxmlformats.org/spreadsheetml/2006/main" r="F12" s="7">
        <f>COUNTIF('4℃其他'!$V$5:$V$322,"▲ 單一設備依賴")</f>
        <v>34.0</v>
      </c>
      <c xmlns="http://schemas.openxmlformats.org/spreadsheetml/2006/main" r="G12" s="7">
        <f>COUNTIF(冷凍品!$V$5:$V$322,"▲ 單一設備依賴")</f>
        <v>0.0</v>
      </c>
      <c xmlns="http://schemas.openxmlformats.org/spreadsheetml/2006/main" r="H12" s="10">
        <f>SUM(C12:G12)</f>
        <v>292.0</v>
      </c>
    </row>
    <row r="13" spans="2:11">
      <c r="B13" s="36" t="s">
        <v>95</v>
      </c>
      <c xmlns="http://schemas.openxmlformats.org/spreadsheetml/2006/main" r="C13" s="7">
        <f>COUNTIF('18℃'!$V$5:$V$319,"○ 免調理")</f>
        <v>69.0</v>
      </c>
      <c xmlns="http://schemas.openxmlformats.org/spreadsheetml/2006/main" r="D13" s="7">
        <f>COUNTIF('4℃飯'!$V$5:$V$319,"○ 免調理")</f>
        <v>56.0</v>
      </c>
      <c xmlns="http://schemas.openxmlformats.org/spreadsheetml/2006/main" r="E13" s="7">
        <f>COUNTIF('4℃麵'!$V$5:$V$310,"○ 免調理")</f>
        <v>39.0</v>
      </c>
      <c xmlns="http://schemas.openxmlformats.org/spreadsheetml/2006/main" r="F13" s="7">
        <f>COUNTIF('4℃其他'!$V$5:$V$322,"○ 免調理")</f>
        <v>7.0</v>
      </c>
      <c xmlns="http://schemas.openxmlformats.org/spreadsheetml/2006/main" r="G13" s="7">
        <f>COUNTIF(冷凍品!$V$5:$V$322,"○ 免調理")</f>
        <v>0.0</v>
      </c>
      <c xmlns="http://schemas.openxmlformats.org/spreadsheetml/2006/main" r="H13" s="10">
        <f>SUM(C13:G13)</f>
        <v>171.0</v>
      </c>
    </row>
    <row r="15" spans="2:11">
      <c r="B15" s="34" t="s">
        <v>96</v>
      </c>
    </row>
    <row r="16" spans="2:11" ht="24" customHeight="1">
      <c r="B16" s="37" t="s">
        <v>97</v>
      </c>
      <c r="C16" s="38" t="s">
        <v>17</v>
      </c>
      <c r="D16" s="38" t="s">
        <v>90</v>
      </c>
      <c r="E16" s="38" t="s">
        <v>91</v>
      </c>
      <c r="F16" s="38" t="s">
        <v>92</v>
      </c>
      <c r="G16" s="37" t="s">
        <v>21</v>
      </c>
      <c r="H16" s="37" t="s">
        <v>22</v>
      </c>
      <c r="I16" s="37" t="s">
        <v>98</v>
      </c>
      <c r="J16" s="37" t="s">
        <v>99</v>
      </c>
      <c r="K16" s="37" t="s">
        <v>100</v>
      </c>
    </row>
    <row r="17" spans="2:11" ht="25.5" customHeight="1">
      <c r="B17" s="27" t="s">
        <v>53</v>
      </c>
      <c xmlns="http://schemas.openxmlformats.org/spreadsheetml/2006/main" r="C17" s="23">
        <f>COUNTIF('18℃'!$I$5:$I$319,"V")</f>
        <v>43.0</v>
      </c>
      <c xmlns="http://schemas.openxmlformats.org/spreadsheetml/2006/main" r="D17" s="23">
        <f>COUNTIF('4℃飯'!$I$5:$I$319,"V")</f>
        <v>40.0</v>
      </c>
      <c xmlns="http://schemas.openxmlformats.org/spreadsheetml/2006/main" r="E17" s="23">
        <f>COUNTIF('4℃麵'!$I$5:$I$310,"V")</f>
        <v>0.0</v>
      </c>
      <c xmlns="http://schemas.openxmlformats.org/spreadsheetml/2006/main" r="F17" s="23">
        <f>COUNTIF('4℃其他'!$I$5:$I$322,"V")</f>
        <v>0.0</v>
      </c>
      <c xmlns="http://schemas.openxmlformats.org/spreadsheetml/2006/main" r="G17" s="23">
        <f>COUNTIF(冷凍品!$I$5:$I$322,"V")</f>
        <v>0.0</v>
      </c>
      <c xmlns="http://schemas.openxmlformats.org/spreadsheetml/2006/main" r="H17" s="39">
        <f t="shared" ref="H17:H28" si="0">SUM(C17:G17)</f>
        <v>83.0</v>
      </c>
      <c xmlns="http://schemas.openxmlformats.org/spreadsheetml/2006/main" r="I17" s="40">
        <f t="shared" ref="I17:I28" si="1">IF($H$9=0,0,H17/$H$9)</f>
        <v>0.155140186915888</v>
      </c>
      <c xmlns="http://schemas.openxmlformats.org/spreadsheetml/2006/main" r="J17" s="28" t="str">
        <f t="shared" ref="J17:J27" si="2">IF(H17&lt;=$C$5,"⬜ 閒置確認",IF(I17&gt;=$C$3,"🔴 高依賴",IF(I17&gt;=$C$4,"🟡 中度關注","🟢 正常")))</f>
        <v>🟡 中度關注</v>
      </c>
      <c xmlns="http://schemas.openxmlformats.org/spreadsheetml/2006/main" r="K17" s="41" t="str">
        <f t="shared" ref="K17:K27" si="3">IF(H17&lt;=$C$5,"目前無半成品應用，確認設備是否閒置或盤點未涵蓋",IF(I17&gt;=$C$3,"多數半成品集中依賴此設備，故障影響面大，建議盤點備援製程與保養頻率",IF(I17&gt;=$C$4,"依賴度偏高，建議列入產能與排修監控","無異常")))</f>
        <v>依賴度偏高，建議列入產能與排修監控</v>
      </c>
    </row>
    <row r="18" spans="2:11" ht="25.5" customHeight="1">
      <c r="B18" s="27" t="s">
        <v>54</v>
      </c>
      <c xmlns="http://schemas.openxmlformats.org/spreadsheetml/2006/main" r="C18" s="23">
        <f>COUNTIF('18℃'!$J$5:$J$319,"V")</f>
        <v>0.0</v>
      </c>
      <c xmlns="http://schemas.openxmlformats.org/spreadsheetml/2006/main" r="D18" s="23">
        <f>COUNTIF('4℃飯'!$J$5:$J$319,"V")</f>
        <v>0.0</v>
      </c>
      <c xmlns="http://schemas.openxmlformats.org/spreadsheetml/2006/main" r="E18" s="23">
        <f>COUNTIF('4℃麵'!$J$5:$J$310,"V")</f>
        <v>14.0</v>
      </c>
      <c xmlns="http://schemas.openxmlformats.org/spreadsheetml/2006/main" r="F18" s="23">
        <f>COUNTIF('4℃其他'!$J$5:$J$322,"V")</f>
        <v>3.0</v>
      </c>
      <c xmlns="http://schemas.openxmlformats.org/spreadsheetml/2006/main" r="G18" s="23">
        <f>COUNTIF(冷凍品!$J$5:$J$322,"V")</f>
        <v>0.0</v>
      </c>
      <c xmlns="http://schemas.openxmlformats.org/spreadsheetml/2006/main" r="H18" s="39">
        <f t="shared" si="0"/>
        <v>17.0</v>
      </c>
      <c xmlns="http://schemas.openxmlformats.org/spreadsheetml/2006/main" r="I18" s="40">
        <f t="shared" si="1"/>
        <v>0.0317757009345794</v>
      </c>
      <c xmlns="http://schemas.openxmlformats.org/spreadsheetml/2006/main" r="J18" s="28" t="str">
        <f t="shared" si="2"/>
        <v>🟢 正常</v>
      </c>
      <c xmlns="http://schemas.openxmlformats.org/spreadsheetml/2006/main" r="K18" s="41" t="str">
        <f t="shared" si="3"/>
        <v>無異常</v>
      </c>
    </row>
    <row r="19" spans="2:11" ht="25.5" customHeight="1">
      <c r="B19" s="27" t="s">
        <v>55</v>
      </c>
      <c xmlns="http://schemas.openxmlformats.org/spreadsheetml/2006/main" r="C19" s="23">
        <f>COUNTIF('18℃'!$K$5:$K$319,"V")</f>
        <v>9.0</v>
      </c>
      <c xmlns="http://schemas.openxmlformats.org/spreadsheetml/2006/main" r="D19" s="23">
        <f>COUNTIF('4℃飯'!$K$5:$K$319,"V")</f>
        <v>42.0</v>
      </c>
      <c xmlns="http://schemas.openxmlformats.org/spreadsheetml/2006/main" r="E19" s="23">
        <f>COUNTIF('4℃麵'!$K$5:$K$310,"V")</f>
        <v>2.0</v>
      </c>
      <c xmlns="http://schemas.openxmlformats.org/spreadsheetml/2006/main" r="F19" s="23">
        <f>COUNTIF('4℃其他'!$K$5:$K$322,"V")</f>
        <v>2.0</v>
      </c>
      <c xmlns="http://schemas.openxmlformats.org/spreadsheetml/2006/main" r="G19" s="23">
        <f>COUNTIF(冷凍品!$K$5:$K$322,"V")</f>
        <v>0.0</v>
      </c>
      <c xmlns="http://schemas.openxmlformats.org/spreadsheetml/2006/main" r="H19" s="39">
        <f t="shared" si="0"/>
        <v>55.0</v>
      </c>
      <c xmlns="http://schemas.openxmlformats.org/spreadsheetml/2006/main" r="I19" s="40">
        <f t="shared" si="1"/>
        <v>0.102803738317757</v>
      </c>
      <c xmlns="http://schemas.openxmlformats.org/spreadsheetml/2006/main" r="J19" s="28" t="str">
        <f t="shared" si="2"/>
        <v>🟢 正常</v>
      </c>
      <c xmlns="http://schemas.openxmlformats.org/spreadsheetml/2006/main" r="K19" s="41" t="str">
        <f t="shared" si="3"/>
        <v>無異常</v>
      </c>
    </row>
    <row r="20" spans="2:11" ht="25.5" customHeight="1">
      <c r="B20" s="27" t="s">
        <v>56</v>
      </c>
      <c xmlns="http://schemas.openxmlformats.org/spreadsheetml/2006/main" r="C20" s="23">
        <f>COUNTIF('18℃'!$L$5:$L$319,"V")</f>
        <v>4.0</v>
      </c>
      <c xmlns="http://schemas.openxmlformats.org/spreadsheetml/2006/main" r="D20" s="23">
        <f>COUNTIF('4℃飯'!$L$5:$L$319,"V")</f>
        <v>1.0</v>
      </c>
      <c xmlns="http://schemas.openxmlformats.org/spreadsheetml/2006/main" r="E20" s="23">
        <f>COUNTIF('4℃麵'!$L$5:$L$310,"V")</f>
        <v>0.0</v>
      </c>
      <c xmlns="http://schemas.openxmlformats.org/spreadsheetml/2006/main" r="F20" s="23">
        <f>COUNTIF('4℃其他'!$L$5:$L$322,"V")</f>
        <v>0.0</v>
      </c>
      <c xmlns="http://schemas.openxmlformats.org/spreadsheetml/2006/main" r="G20" s="23">
        <f>COUNTIF(冷凍品!$L$5:$L$322,"V")</f>
        <v>0.0</v>
      </c>
      <c xmlns="http://schemas.openxmlformats.org/spreadsheetml/2006/main" r="H20" s="39">
        <f t="shared" si="0"/>
        <v>5.0</v>
      </c>
      <c xmlns="http://schemas.openxmlformats.org/spreadsheetml/2006/main" r="I20" s="40">
        <f t="shared" si="1"/>
        <v>0.00934579439252336</v>
      </c>
      <c xmlns="http://schemas.openxmlformats.org/spreadsheetml/2006/main" r="J20" s="28" t="str">
        <f t="shared" si="2"/>
        <v>🟢 正常</v>
      </c>
      <c xmlns="http://schemas.openxmlformats.org/spreadsheetml/2006/main" r="K20" s="41" t="str">
        <f t="shared" si="3"/>
        <v>無異常</v>
      </c>
    </row>
    <row r="21" spans="2:11" ht="25.5" customHeight="1">
      <c r="B21" s="27" t="s">
        <v>57</v>
      </c>
      <c xmlns="http://schemas.openxmlformats.org/spreadsheetml/2006/main" r="C21" s="23">
        <f>COUNTIF('18℃'!$M$5:$M$319,"V")</f>
        <v>8.0</v>
      </c>
      <c xmlns="http://schemas.openxmlformats.org/spreadsheetml/2006/main" r="D21" s="23">
        <f>COUNTIF('4℃飯'!$M$5:$M$319,"V")</f>
        <v>13.0</v>
      </c>
      <c xmlns="http://schemas.openxmlformats.org/spreadsheetml/2006/main" r="E21" s="23">
        <f>COUNTIF('4℃麵'!$M$5:$M$310,"V")</f>
        <v>5.0</v>
      </c>
      <c xmlns="http://schemas.openxmlformats.org/spreadsheetml/2006/main" r="F21" s="23">
        <f>COUNTIF('4℃其他'!$M$5:$M$322,"V")</f>
        <v>4.0</v>
      </c>
      <c xmlns="http://schemas.openxmlformats.org/spreadsheetml/2006/main" r="G21" s="23">
        <f>COUNTIF(冷凍品!$M$5:$M$322,"V")</f>
        <v>0.0</v>
      </c>
      <c xmlns="http://schemas.openxmlformats.org/spreadsheetml/2006/main" r="H21" s="39">
        <f t="shared" si="0"/>
        <v>30.0</v>
      </c>
      <c xmlns="http://schemas.openxmlformats.org/spreadsheetml/2006/main" r="I21" s="40">
        <f t="shared" si="1"/>
        <v>0.0560747663551402</v>
      </c>
      <c xmlns="http://schemas.openxmlformats.org/spreadsheetml/2006/main" r="J21" s="28" t="str">
        <f t="shared" si="2"/>
        <v>🟢 正常</v>
      </c>
      <c xmlns="http://schemas.openxmlformats.org/spreadsheetml/2006/main" r="K21" s="41" t="str">
        <f t="shared" si="3"/>
        <v>無異常</v>
      </c>
    </row>
    <row r="22" spans="2:11" ht="25.5" customHeight="1">
      <c r="B22" s="27" t="s">
        <v>58</v>
      </c>
      <c xmlns="http://schemas.openxmlformats.org/spreadsheetml/2006/main" r="C22" s="23">
        <f>COUNTIF('18℃'!$N$5:$N$319,"V")</f>
        <v>0.0</v>
      </c>
      <c xmlns="http://schemas.openxmlformats.org/spreadsheetml/2006/main" r="D22" s="23">
        <f>COUNTIF('4℃飯'!$N$5:$N$319,"V")</f>
        <v>5.0</v>
      </c>
      <c xmlns="http://schemas.openxmlformats.org/spreadsheetml/2006/main" r="E22" s="23">
        <f>COUNTIF('4℃麵'!$N$5:$N$310,"V")</f>
        <v>0.0</v>
      </c>
      <c xmlns="http://schemas.openxmlformats.org/spreadsheetml/2006/main" r="F22" s="23">
        <f>COUNTIF('4℃其他'!$N$5:$N$322,"V")</f>
        <v>0.0</v>
      </c>
      <c xmlns="http://schemas.openxmlformats.org/spreadsheetml/2006/main" r="G22" s="23">
        <f>COUNTIF(冷凍品!$N$5:$N$322,"V")</f>
        <v>0.0</v>
      </c>
      <c xmlns="http://schemas.openxmlformats.org/spreadsheetml/2006/main" r="H22" s="39">
        <f t="shared" si="0"/>
        <v>5.0</v>
      </c>
      <c xmlns="http://schemas.openxmlformats.org/spreadsheetml/2006/main" r="I22" s="40">
        <f t="shared" si="1"/>
        <v>0.00934579439252336</v>
      </c>
      <c xmlns="http://schemas.openxmlformats.org/spreadsheetml/2006/main" r="J22" s="28" t="str">
        <f t="shared" si="2"/>
        <v>🟢 正常</v>
      </c>
      <c xmlns="http://schemas.openxmlformats.org/spreadsheetml/2006/main" r="K22" s="41" t="str">
        <f t="shared" si="3"/>
        <v>無異常</v>
      </c>
    </row>
    <row r="23" spans="2:11" ht="25.5" customHeight="1">
      <c r="B23" s="27" t="s">
        <v>59</v>
      </c>
      <c xmlns="http://schemas.openxmlformats.org/spreadsheetml/2006/main" r="C23" s="23">
        <f>COUNTIF('18℃'!$O$5:$O$319,"V")</f>
        <v>83.0</v>
      </c>
      <c xmlns="http://schemas.openxmlformats.org/spreadsheetml/2006/main" r="D23" s="23">
        <f>COUNTIF('4℃飯'!$O$5:$O$319,"V")</f>
        <v>119.0</v>
      </c>
      <c xmlns="http://schemas.openxmlformats.org/spreadsheetml/2006/main" r="E23" s="23">
        <f>COUNTIF('4℃麵'!$O$5:$O$310,"V")</f>
        <v>14.0</v>
      </c>
      <c xmlns="http://schemas.openxmlformats.org/spreadsheetml/2006/main" r="F23" s="23">
        <f>COUNTIF('4℃其他'!$O$5:$O$322,"V")</f>
        <v>27.0</v>
      </c>
      <c xmlns="http://schemas.openxmlformats.org/spreadsheetml/2006/main" r="G23" s="23">
        <f>COUNTIF(冷凍品!$O$5:$O$322,"V")</f>
        <v>0.0</v>
      </c>
      <c xmlns="http://schemas.openxmlformats.org/spreadsheetml/2006/main" r="H23" s="39">
        <f t="shared" si="0"/>
        <v>243.0</v>
      </c>
      <c xmlns="http://schemas.openxmlformats.org/spreadsheetml/2006/main" r="I23" s="40">
        <f t="shared" si="1"/>
        <v>0.454205607476636</v>
      </c>
      <c xmlns="http://schemas.openxmlformats.org/spreadsheetml/2006/main" r="J23" s="28" t="str">
        <f t="shared" si="2"/>
        <v>🔴 高依賴</v>
      </c>
      <c xmlns="http://schemas.openxmlformats.org/spreadsheetml/2006/main" r="K23" s="41" t="str">
        <f t="shared" si="3"/>
        <v>多數半成品集中依賴此設備，故障影響面大，建議盤點備援製程與保養頻率</v>
      </c>
    </row>
    <row r="24" spans="2:11" ht="25.5" customHeight="1">
      <c r="B24" s="27" t="s">
        <v>101</v>
      </c>
      <c xmlns="http://schemas.openxmlformats.org/spreadsheetml/2006/main" r="C24" s="23">
        <f>COUNTIF('18℃'!$P$5:$P$319,"V")</f>
        <v>0.0</v>
      </c>
      <c xmlns="http://schemas.openxmlformats.org/spreadsheetml/2006/main" r="D24" s="23">
        <f>COUNTIF('4℃飯'!$P$5:$P$319,"V")</f>
        <v>0.0</v>
      </c>
      <c xmlns="http://schemas.openxmlformats.org/spreadsheetml/2006/main" r="E24" s="23">
        <f>COUNTIF('4℃麵'!$P$5:$P$310,"V")</f>
        <v>0.0</v>
      </c>
      <c xmlns="http://schemas.openxmlformats.org/spreadsheetml/2006/main" r="F24" s="23">
        <f>COUNTIF('4℃其他'!$P$5:$P$322,"V")</f>
        <v>0.0</v>
      </c>
      <c xmlns="http://schemas.openxmlformats.org/spreadsheetml/2006/main" r="G24" s="23">
        <f>COUNTIF(冷凍品!$P$5:$P$322,"V")</f>
        <v>0.0</v>
      </c>
      <c xmlns="http://schemas.openxmlformats.org/spreadsheetml/2006/main" r="H24" s="39">
        <f t="shared" si="0"/>
        <v>0.0</v>
      </c>
      <c xmlns="http://schemas.openxmlformats.org/spreadsheetml/2006/main" r="I24" s="40">
        <f t="shared" si="1"/>
        <v>0.0</v>
      </c>
      <c xmlns="http://schemas.openxmlformats.org/spreadsheetml/2006/main" r="J24" s="28" t="str">
        <f t="shared" si="2"/>
        <v>⬜ 閒置確認</v>
      </c>
      <c xmlns="http://schemas.openxmlformats.org/spreadsheetml/2006/main" r="K24" s="41" t="str">
        <f t="shared" si="3"/>
        <v>目前無半成品應用，確認設備是否閒置或盤點未涵蓋</v>
      </c>
    </row>
    <row r="25" spans="2:11" ht="25.5" customHeight="1">
      <c r="B25" s="27" t="s">
        <v>102</v>
      </c>
      <c xmlns="http://schemas.openxmlformats.org/spreadsheetml/2006/main" r="C25" s="23">
        <f>COUNTIF('18℃'!$Q$5:$Q$319,"V")</f>
        <v>0.0</v>
      </c>
      <c xmlns="http://schemas.openxmlformats.org/spreadsheetml/2006/main" r="D25" s="23">
        <f>COUNTIF('4℃飯'!$Q$5:$Q$319,"V")</f>
        <v>0.0</v>
      </c>
      <c xmlns="http://schemas.openxmlformats.org/spreadsheetml/2006/main" r="E25" s="23">
        <f>COUNTIF('4℃麵'!$Q$5:$Q$310,"V")</f>
        <v>0.0</v>
      </c>
      <c xmlns="http://schemas.openxmlformats.org/spreadsheetml/2006/main" r="F25" s="23">
        <f>COUNTIF('4℃其他'!$Q$5:$Q$322,"V")</f>
        <v>0.0</v>
      </c>
      <c xmlns="http://schemas.openxmlformats.org/spreadsheetml/2006/main" r="G25" s="23">
        <f>COUNTIF(冷凍品!$Q$5:$Q$322,"V")</f>
        <v>0.0</v>
      </c>
      <c xmlns="http://schemas.openxmlformats.org/spreadsheetml/2006/main" r="H25" s="39">
        <f t="shared" si="0"/>
        <v>0.0</v>
      </c>
      <c xmlns="http://schemas.openxmlformats.org/spreadsheetml/2006/main" r="I25" s="40">
        <f t="shared" si="1"/>
        <v>0.0</v>
      </c>
      <c xmlns="http://schemas.openxmlformats.org/spreadsheetml/2006/main" r="J25" s="28" t="str">
        <f t="shared" si="2"/>
        <v>⬜ 閒置確認</v>
      </c>
      <c xmlns="http://schemas.openxmlformats.org/spreadsheetml/2006/main" r="K25" s="41" t="str">
        <f t="shared" si="3"/>
        <v>目前無半成品應用，確認設備是否閒置或盤點未涵蓋</v>
      </c>
    </row>
    <row r="26" spans="2:11" ht="25.5" customHeight="1">
      <c r="B26" s="27" t="s">
        <v>62</v>
      </c>
      <c xmlns="http://schemas.openxmlformats.org/spreadsheetml/2006/main" r="C26" s="23">
        <f>COUNTIF('18℃'!$R$5:$R$319,"V")</f>
        <v>0.0</v>
      </c>
      <c xmlns="http://schemas.openxmlformats.org/spreadsheetml/2006/main" r="D26" s="23">
        <f>COUNTIF('4℃飯'!$R$5:$R$319,"V")</f>
        <v>0.0</v>
      </c>
      <c xmlns="http://schemas.openxmlformats.org/spreadsheetml/2006/main" r="E26" s="23">
        <f>COUNTIF('4℃麵'!$R$5:$R$310,"V")</f>
        <v>0.0</v>
      </c>
      <c xmlns="http://schemas.openxmlformats.org/spreadsheetml/2006/main" r="F26" s="23">
        <f>COUNTIF('4℃其他'!$R$5:$R$322,"V")</f>
        <v>0.0</v>
      </c>
      <c xmlns="http://schemas.openxmlformats.org/spreadsheetml/2006/main" r="G26" s="23">
        <f>COUNTIF(冷凍品!$R$5:$R$322,"V")</f>
        <v>0.0</v>
      </c>
      <c xmlns="http://schemas.openxmlformats.org/spreadsheetml/2006/main" r="H26" s="39">
        <f t="shared" si="0"/>
        <v>0.0</v>
      </c>
      <c xmlns="http://schemas.openxmlformats.org/spreadsheetml/2006/main" r="I26" s="40">
        <f t="shared" si="1"/>
        <v>0.0</v>
      </c>
      <c xmlns="http://schemas.openxmlformats.org/spreadsheetml/2006/main" r="J26" s="28" t="str">
        <f t="shared" si="2"/>
        <v>⬜ 閒置確認</v>
      </c>
      <c xmlns="http://schemas.openxmlformats.org/spreadsheetml/2006/main" r="K26" s="41" t="str">
        <f t="shared" si="3"/>
        <v>目前無半成品應用，確認設備是否閒置或盤點未涵蓋</v>
      </c>
    </row>
    <row r="27" spans="2:11" ht="25.5" customHeight="1">
      <c r="B27" s="27" t="s">
        <v>63</v>
      </c>
      <c xmlns="http://schemas.openxmlformats.org/spreadsheetml/2006/main" r="C27" s="23">
        <f>COUNTIF('18℃'!$S$5:$S$319,"V")</f>
        <v>0.0</v>
      </c>
      <c xmlns="http://schemas.openxmlformats.org/spreadsheetml/2006/main" r="D27" s="23">
        <f>COUNTIF('4℃飯'!$S$5:$S$319,"V")</f>
        <v>0.0</v>
      </c>
      <c xmlns="http://schemas.openxmlformats.org/spreadsheetml/2006/main" r="E27" s="23">
        <f>COUNTIF('4℃麵'!$S$5:$S$310,"V")</f>
        <v>0.0</v>
      </c>
      <c xmlns="http://schemas.openxmlformats.org/spreadsheetml/2006/main" r="F27" s="23">
        <f>COUNTIF('4℃其他'!$S$5:$S$322,"V")</f>
        <v>0.0</v>
      </c>
      <c xmlns="http://schemas.openxmlformats.org/spreadsheetml/2006/main" r="G27" s="23">
        <f>COUNTIF(冷凍品!$S$5:$S$322,"V")</f>
        <v>0.0</v>
      </c>
      <c xmlns="http://schemas.openxmlformats.org/spreadsheetml/2006/main" r="H27" s="39">
        <f t="shared" si="0"/>
        <v>0.0</v>
      </c>
      <c xmlns="http://schemas.openxmlformats.org/spreadsheetml/2006/main" r="I27" s="40">
        <f t="shared" si="1"/>
        <v>0.0</v>
      </c>
      <c xmlns="http://schemas.openxmlformats.org/spreadsheetml/2006/main" r="J27" s="28" t="str">
        <f t="shared" si="2"/>
        <v>⬜ 閒置確認</v>
      </c>
      <c xmlns="http://schemas.openxmlformats.org/spreadsheetml/2006/main" r="K27" s="41" t="str">
        <f t="shared" si="3"/>
        <v>目前無半成品應用，確認設備是否閒置或盤點未涵蓋</v>
      </c>
    </row>
    <row r="28" spans="2:11" ht="25.5" customHeight="1">
      <c r="B28" s="27" t="s">
        <v>103</v>
      </c>
      <c xmlns="http://schemas.openxmlformats.org/spreadsheetml/2006/main" r="C28" s="23">
        <f>COUNTIF('18℃'!$T$5:$T$319,"V")</f>
        <v>69.0</v>
      </c>
      <c xmlns="http://schemas.openxmlformats.org/spreadsheetml/2006/main" r="D28" s="23">
        <f>COUNTIF('4℃飯'!$T$5:$T$319,"V")</f>
        <v>56.0</v>
      </c>
      <c xmlns="http://schemas.openxmlformats.org/spreadsheetml/2006/main" r="E28" s="23">
        <f>COUNTIF('4℃麵'!$T$5:$T$310,"V")</f>
        <v>39.0</v>
      </c>
      <c xmlns="http://schemas.openxmlformats.org/spreadsheetml/2006/main" r="F28" s="23">
        <f>COUNTIF('4℃其他'!$T$5:$T$322,"V")</f>
        <v>7.0</v>
      </c>
      <c xmlns="http://schemas.openxmlformats.org/spreadsheetml/2006/main" r="G28" s="23">
        <f>COUNTIF(冷凍品!$T$5:$T$322,"V")</f>
        <v>0.0</v>
      </c>
      <c xmlns="http://schemas.openxmlformats.org/spreadsheetml/2006/main" r="H28" s="39">
        <f t="shared" si="0"/>
        <v>171.0</v>
      </c>
      <c xmlns="http://schemas.openxmlformats.org/spreadsheetml/2006/main" r="I28" s="40">
        <f t="shared" si="1"/>
        <v>0.319626168224299</v>
      </c>
      <c r="J28" s="23" t="s">
        <v>104</v>
      </c>
      <c r="K28" s="41" t="s">
        <v>105</v>
      </c>
    </row>
  </sheetData>
  <phoneticPr fontId="27" type="noConversion"/>
  <conditionalFormatting sqref="J17:J27">
    <cfRule type="expression" dxfId="7" priority="2">
      <formula>ISNUMBER(SEARCH("高依賴",$J17))</formula>
    </cfRule>
    <cfRule type="expression" dxfId="6" priority="3">
      <formula>ISNUMBER(SEARCH("中度關注",$J17))</formula>
    </cfRule>
    <cfRule type="expression" dxfId="5" priority="4">
      <formula>ISNUMBER(SEARCH("閒置",$J17))</formula>
    </cfRule>
    <cfRule type="expression" dxfId="4" priority="5">
      <formula>ISNUMBER(SEARCH("正常",$J17))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填寫說明</vt:lpstr>
      <vt:lpstr>18℃</vt:lpstr>
      <vt:lpstr>4℃飯</vt:lpstr>
      <vt:lpstr>4℃麵</vt:lpstr>
      <vt:lpstr>4℃其他</vt:lpstr>
      <vt:lpstr>冷凍品</vt:lpstr>
      <vt:lpstr>設備應用統計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莊子儀-食品研究所</cp:lastModifiedBy>
  <cp:revision>1</cp:revision>
  <dcterms:created xsi:type="dcterms:W3CDTF">2026-07-08T06:12:33Z</dcterms:created>
  <dcterms:modified xsi:type="dcterms:W3CDTF">2026-10-15T01:48:42Z</dcterms:modified>
  <dc:language>en-US</dc:language>
</cp:coreProperties>
</file>