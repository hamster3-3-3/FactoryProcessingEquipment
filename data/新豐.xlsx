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TSA17FSNEW\Public\食研所J槽\02.製管組\29.鮮食廠調理設備清單\調理設備\"/>
    </mc:Choice>
  </mc:AlternateContent>
  <bookViews>
    <workbookView xWindow="0" yWindow="0" windowWidth="20490" windowHeight="7590" tabRatio="707" activeTab="5"/>
  </bookViews>
  <sheets>
    <sheet name="總覽" sheetId="1" r:id="rId1"/>
    <sheet name="填寫說明" sheetId="2" r:id="rId2"/>
    <sheet name="18℃" sheetId="3" r:id="rId3"/>
    <sheet name="4℃飯" sheetId="4" r:id="rId4"/>
    <sheet name="4℃麵" sheetId="5" r:id="rId5"/>
    <sheet name="4℃其他" sheetId="6" r:id="rId6"/>
    <sheet name="冷凍品" sheetId="7" r:id="rId7"/>
    <sheet name="設備應用統計" sheetId="8" r:id="rId8"/>
  </sheets>
  <definedNames>
    <definedName name="_xlnm._FilterDatabase" localSheetId="2" hidden="1">'18℃'!$A$4:$X$304</definedName>
    <definedName name="_xlnm._FilterDatabase" localSheetId="5" hidden="1">'4℃其他'!$A$4:$Y$302</definedName>
    <definedName name="_xlnm._FilterDatabase" localSheetId="3" hidden="1">'4℃飯'!$A$4:$AA$302</definedName>
    <definedName name="_xlnm._FilterDatabase" localSheetId="4" hidden="1">'4℃麵'!$A$4:$AA$4</definedName>
    <definedName name="_xlnm._FilterDatabase" localSheetId="6" hidden="1">冷凍品!$A$4:$X$304</definedName>
  </definedNames>
  <calcPr calcId="162913"/>
</workbook>
</file>

<file path=xl/calcChain.xml><?xml version="1.0" encoding="utf-8"?>
<calcChain xmlns="http://schemas.openxmlformats.org/spreadsheetml/2006/main">
  <c r="U29" i="6" l="1"/>
  <c r="W29" i="6" s="1"/>
  <c r="U30" i="6"/>
  <c r="V30" i="6" s="1"/>
  <c r="U31" i="6"/>
  <c r="W31" i="6" s="1"/>
  <c r="W30" i="6" l="1"/>
  <c r="V29" i="6"/>
  <c r="V31" i="6"/>
  <c r="U9" i="5" l="1"/>
  <c r="V9" i="5" s="1"/>
  <c r="W9" i="5"/>
  <c r="U76" i="4" l="1"/>
  <c r="W76" i="4" s="1"/>
  <c r="V76" i="4"/>
  <c r="U25" i="4" l="1"/>
  <c r="V25" i="4" s="1"/>
  <c r="W25" i="4" l="1"/>
  <c r="E16" i="1" l="1"/>
  <c r="E15" i="1"/>
  <c r="E14" i="1"/>
  <c r="E13" i="1"/>
  <c r="E12" i="1"/>
  <c r="C16" i="1"/>
  <c r="C12" i="1"/>
  <c r="Z157" i="4" l="1"/>
  <c r="AA157" i="4" s="1"/>
  <c r="U157" i="4"/>
  <c r="W157" i="4" s="1"/>
  <c r="Z156" i="4"/>
  <c r="AA156" i="4" s="1"/>
  <c r="U156" i="4"/>
  <c r="V156" i="4" s="1"/>
  <c r="Z155" i="4"/>
  <c r="AA155" i="4" s="1"/>
  <c r="U155" i="4"/>
  <c r="W155" i="4" s="1"/>
  <c r="Z154" i="4"/>
  <c r="AA154" i="4" s="1"/>
  <c r="U154" i="4"/>
  <c r="W154" i="4" s="1"/>
  <c r="Z153" i="4"/>
  <c r="AA153" i="4" s="1"/>
  <c r="U153" i="4"/>
  <c r="W153" i="4" s="1"/>
  <c r="Z152" i="4"/>
  <c r="AA152" i="4" s="1"/>
  <c r="U152" i="4"/>
  <c r="W152" i="4" s="1"/>
  <c r="Z151" i="4"/>
  <c r="U151" i="4"/>
  <c r="W151" i="4" s="1"/>
  <c r="V153" i="4" l="1"/>
  <c r="V152" i="4"/>
  <c r="V154" i="4"/>
  <c r="W156" i="4"/>
  <c r="V151" i="4"/>
  <c r="V157" i="4"/>
  <c r="V155" i="4"/>
  <c r="Z65" i="6" l="1"/>
  <c r="AA65" i="6" s="1"/>
  <c r="U65" i="6"/>
  <c r="W65" i="6" s="1"/>
  <c r="Z64" i="6"/>
  <c r="AA64" i="6" s="1"/>
  <c r="U64" i="6"/>
  <c r="V64" i="6" s="1"/>
  <c r="Z63" i="6"/>
  <c r="U63" i="6"/>
  <c r="W63" i="6" s="1"/>
  <c r="Z62" i="6"/>
  <c r="AA62" i="6" s="1"/>
  <c r="U62" i="6"/>
  <c r="W62" i="6" s="1"/>
  <c r="Z61" i="6"/>
  <c r="AA61" i="6" s="1"/>
  <c r="U61" i="6"/>
  <c r="V61" i="6" s="1"/>
  <c r="Z60" i="6"/>
  <c r="AA60" i="6" s="1"/>
  <c r="U60" i="6"/>
  <c r="W60" i="6" s="1"/>
  <c r="Z59" i="6"/>
  <c r="U59" i="6"/>
  <c r="W59" i="6" s="1"/>
  <c r="Z58" i="6"/>
  <c r="AA58" i="6" s="1"/>
  <c r="U58" i="6"/>
  <c r="W58" i="6" s="1"/>
  <c r="Z57" i="6"/>
  <c r="AA57" i="6" s="1"/>
  <c r="U57" i="6"/>
  <c r="W57" i="6" s="1"/>
  <c r="Z56" i="6"/>
  <c r="U56" i="6"/>
  <c r="W56" i="6" s="1"/>
  <c r="Z50" i="6"/>
  <c r="AA50" i="6" s="1"/>
  <c r="U50" i="6"/>
  <c r="V50" i="6" s="1"/>
  <c r="Z49" i="6"/>
  <c r="AA49" i="6" s="1"/>
  <c r="U49" i="6"/>
  <c r="W49" i="6" s="1"/>
  <c r="Z48" i="6"/>
  <c r="AA48" i="6" s="1"/>
  <c r="U48" i="6"/>
  <c r="W48" i="6" s="1"/>
  <c r="Z47" i="6"/>
  <c r="U47" i="6"/>
  <c r="V47" i="6" s="1"/>
  <c r="V56" i="6" l="1"/>
  <c r="W61" i="6"/>
  <c r="V57" i="6"/>
  <c r="W64" i="6"/>
  <c r="V65" i="6"/>
  <c r="V63" i="6"/>
  <c r="V59" i="6"/>
  <c r="V62" i="6"/>
  <c r="V60" i="6"/>
  <c r="V58" i="6"/>
  <c r="V48" i="6"/>
  <c r="W47" i="6"/>
  <c r="V49" i="6"/>
  <c r="W50" i="6"/>
  <c r="Z6" i="6" l="1"/>
  <c r="AA6" i="6" s="1"/>
  <c r="Z7" i="6"/>
  <c r="AA7" i="6" s="1"/>
  <c r="Z8" i="6"/>
  <c r="AA8" i="6" s="1"/>
  <c r="Z9" i="6"/>
  <c r="AA9" i="6" s="1"/>
  <c r="Z10" i="6"/>
  <c r="Z11" i="6"/>
  <c r="AA11" i="6" s="1"/>
  <c r="Z12" i="6"/>
  <c r="AA12" i="6" s="1"/>
  <c r="Z13" i="6"/>
  <c r="AA13" i="6" s="1"/>
  <c r="Z14" i="6"/>
  <c r="AA14" i="6" s="1"/>
  <c r="Z15" i="6"/>
  <c r="AA15" i="6" s="1"/>
  <c r="Z16" i="6"/>
  <c r="AA16" i="6" s="1"/>
  <c r="Z17" i="6"/>
  <c r="Z18" i="6"/>
  <c r="AA18" i="6" s="1"/>
  <c r="Z19" i="6"/>
  <c r="AA19" i="6" s="1"/>
  <c r="Z20" i="6"/>
  <c r="AA20" i="6" s="1"/>
  <c r="Z21" i="6"/>
  <c r="AA21" i="6" s="1"/>
  <c r="Z22" i="6"/>
  <c r="AA22" i="6" s="1"/>
  <c r="Z23" i="6"/>
  <c r="Z24" i="6"/>
  <c r="AA24" i="6" s="1"/>
  <c r="Z25" i="6"/>
  <c r="AA25" i="6" s="1"/>
  <c r="Z26" i="6"/>
  <c r="AA26" i="6" s="1"/>
  <c r="Z27" i="6"/>
  <c r="AA27" i="6" s="1"/>
  <c r="Z28" i="6"/>
  <c r="AA28" i="6" s="1"/>
  <c r="Z31" i="6"/>
  <c r="AA31" i="6" s="1"/>
  <c r="Z32" i="6"/>
  <c r="Z33" i="6"/>
  <c r="AA33" i="6" s="1"/>
  <c r="Z34" i="6"/>
  <c r="AA34" i="6" s="1"/>
  <c r="Z35" i="6"/>
  <c r="AA35" i="6" s="1"/>
  <c r="Z36" i="6"/>
  <c r="AA36" i="6" s="1"/>
  <c r="Z37" i="6"/>
  <c r="AA37" i="6" s="1"/>
  <c r="Z38" i="6"/>
  <c r="AA38" i="6" s="1"/>
  <c r="Z39" i="6"/>
  <c r="Z40" i="6"/>
  <c r="AA40" i="6" s="1"/>
  <c r="Z41" i="6"/>
  <c r="AA41" i="6" s="1"/>
  <c r="Z42" i="6"/>
  <c r="AA42" i="6" s="1"/>
  <c r="Z43" i="6"/>
  <c r="AA43" i="6" s="1"/>
  <c r="Z44" i="6"/>
  <c r="AA44" i="6" s="1"/>
  <c r="Z45" i="6"/>
  <c r="AA45" i="6" s="1"/>
  <c r="Z46" i="6"/>
  <c r="AA46" i="6" s="1"/>
  <c r="Z66" i="6"/>
  <c r="Z67" i="6"/>
  <c r="AA67" i="6" s="1"/>
  <c r="Z68" i="6"/>
  <c r="AA68" i="6" s="1"/>
  <c r="Z69" i="6"/>
  <c r="AA69" i="6" s="1"/>
  <c r="Z70" i="6"/>
  <c r="Z71" i="6"/>
  <c r="AA71" i="6" s="1"/>
  <c r="Z72" i="6"/>
  <c r="AA72" i="6" s="1"/>
  <c r="Z73" i="6"/>
  <c r="AA73" i="6" s="1"/>
  <c r="Z74" i="6"/>
  <c r="Z75" i="6"/>
  <c r="AA75" i="6" s="1"/>
  <c r="Z76" i="6"/>
  <c r="AA76" i="6" s="1"/>
  <c r="Z77" i="6"/>
  <c r="AA77" i="6" s="1"/>
  <c r="Z78" i="6"/>
  <c r="AA78" i="6" s="1"/>
  <c r="Z79" i="6"/>
  <c r="Z80" i="6"/>
  <c r="Z81" i="6"/>
  <c r="Z82" i="6"/>
  <c r="AA82" i="6" s="1"/>
  <c r="Z83" i="6"/>
  <c r="AA83" i="6" s="1"/>
  <c r="Z84" i="6"/>
  <c r="AA84" i="6" s="1"/>
  <c r="Z85" i="6"/>
  <c r="AA85" i="6" s="1"/>
  <c r="Z86" i="6"/>
  <c r="AA86" i="6" s="1"/>
  <c r="Z87" i="6"/>
  <c r="Z88" i="6"/>
  <c r="AA88" i="6" s="1"/>
  <c r="Z89" i="6"/>
  <c r="AA89" i="6" s="1"/>
  <c r="Z90" i="6"/>
  <c r="AA90" i="6" s="1"/>
  <c r="Z91" i="6"/>
  <c r="Z92" i="6"/>
  <c r="AA92" i="6" s="1"/>
  <c r="Z93" i="6"/>
  <c r="AA93" i="6" s="1"/>
  <c r="Z94" i="6"/>
  <c r="AA94" i="6" s="1"/>
  <c r="Z95" i="6"/>
  <c r="AA95" i="6" s="1"/>
  <c r="Z96" i="6"/>
  <c r="Z97" i="6"/>
  <c r="AA97" i="6" s="1"/>
  <c r="Z98" i="6"/>
  <c r="Z99" i="6"/>
  <c r="AA99" i="6" s="1"/>
  <c r="Z100" i="6"/>
  <c r="AA100" i="6" s="1"/>
  <c r="Z101" i="6"/>
  <c r="AA101" i="6" s="1"/>
  <c r="Z102" i="6"/>
  <c r="AA102" i="6" s="1"/>
  <c r="Z103" i="6"/>
  <c r="AA103" i="6" s="1"/>
  <c r="Z104" i="6"/>
  <c r="Z105" i="6"/>
  <c r="AA105" i="6" s="1"/>
  <c r="Z106" i="6"/>
  <c r="AA106" i="6" s="1"/>
  <c r="Z107" i="6"/>
  <c r="AA107" i="6" s="1"/>
  <c r="Z108" i="6"/>
  <c r="AA108" i="6" s="1"/>
  <c r="Z109" i="6"/>
  <c r="AA109" i="6" s="1"/>
  <c r="Z110" i="6"/>
  <c r="AA110" i="6" s="1"/>
  <c r="Z111" i="6"/>
  <c r="AA111" i="6" s="1"/>
  <c r="Z112" i="6"/>
  <c r="Z113" i="6"/>
  <c r="AA113" i="6" s="1"/>
  <c r="Z114" i="6"/>
  <c r="AA114" i="6" s="1"/>
  <c r="Z115" i="6"/>
  <c r="AA115" i="6" s="1"/>
  <c r="Z116" i="6"/>
  <c r="Z117" i="6"/>
  <c r="AA117" i="6" s="1"/>
  <c r="Z118" i="6"/>
  <c r="AA118" i="6" s="1"/>
  <c r="Z119" i="6"/>
  <c r="AA119" i="6" s="1"/>
  <c r="Z120" i="6"/>
  <c r="AA120" i="6" s="1"/>
  <c r="Z121" i="6"/>
  <c r="AA121" i="6" s="1"/>
  <c r="Z122" i="6"/>
  <c r="AA122" i="6" s="1"/>
  <c r="Z123" i="6"/>
  <c r="AA123" i="6" s="1"/>
  <c r="Z124" i="6"/>
  <c r="Z125" i="6"/>
  <c r="AA125" i="6" s="1"/>
  <c r="Z126" i="6"/>
  <c r="AA126" i="6" s="1"/>
  <c r="Z127" i="6"/>
  <c r="AA127" i="6" s="1"/>
  <c r="Z128" i="6"/>
  <c r="AA128" i="6" s="1"/>
  <c r="Z129" i="6"/>
  <c r="AA129" i="6" s="1"/>
  <c r="Z130" i="6"/>
  <c r="Z131" i="6"/>
  <c r="AA131" i="6" s="1"/>
  <c r="Z132" i="6"/>
  <c r="AA132" i="6" s="1"/>
  <c r="Z133" i="6"/>
  <c r="Z134" i="6"/>
  <c r="AA134" i="6" s="1"/>
  <c r="Z135" i="6"/>
  <c r="AA135" i="6" s="1"/>
  <c r="Z136" i="6"/>
  <c r="AA136" i="6" s="1"/>
  <c r="Z137" i="6"/>
  <c r="AA137" i="6" s="1"/>
  <c r="Z138" i="6"/>
  <c r="AA138" i="6" s="1"/>
  <c r="Z139" i="6"/>
  <c r="AA139" i="6" s="1"/>
  <c r="Z140" i="6"/>
  <c r="Z141" i="6"/>
  <c r="AA141" i="6" s="1"/>
  <c r="Z142" i="6"/>
  <c r="AA142" i="6" s="1"/>
  <c r="Z143" i="6"/>
  <c r="AA143" i="6" s="1"/>
  <c r="Z144" i="6"/>
  <c r="AA144" i="6" s="1"/>
  <c r="Z145" i="6"/>
  <c r="Z146" i="6"/>
  <c r="AA146" i="6" s="1"/>
  <c r="Z147" i="6"/>
  <c r="AA147" i="6" s="1"/>
  <c r="Z148" i="6"/>
  <c r="AA148" i="6" s="1"/>
  <c r="Z149" i="6"/>
  <c r="AA149" i="6" s="1"/>
  <c r="Z150" i="6"/>
  <c r="AA150" i="6" s="1"/>
  <c r="Z151" i="6"/>
  <c r="AA151" i="6" s="1"/>
  <c r="Z152" i="6"/>
  <c r="AA152" i="6" s="1"/>
  <c r="Z153" i="6"/>
  <c r="AA153" i="6" s="1"/>
  <c r="Z154" i="6"/>
  <c r="Z155" i="6"/>
  <c r="AA155" i="6" s="1"/>
  <c r="Z156" i="6"/>
  <c r="AA156" i="6" s="1"/>
  <c r="Z157" i="6"/>
  <c r="AA157" i="6" s="1"/>
  <c r="Z158" i="6"/>
  <c r="Z159" i="6"/>
  <c r="AA159" i="6" s="1"/>
  <c r="Z160" i="6"/>
  <c r="AA160" i="6" s="1"/>
  <c r="Z161" i="6"/>
  <c r="AA161" i="6" s="1"/>
  <c r="Z162" i="6"/>
  <c r="AA162" i="6" s="1"/>
  <c r="Z163" i="6"/>
  <c r="AA163" i="6" s="1"/>
  <c r="Z164" i="6"/>
  <c r="Z165" i="6"/>
  <c r="AA165" i="6" s="1"/>
  <c r="Z166" i="6"/>
  <c r="AA166" i="6" s="1"/>
  <c r="Z167" i="6"/>
  <c r="AA167" i="6" s="1"/>
  <c r="Z168" i="6"/>
  <c r="Z169" i="6"/>
  <c r="AA169" i="6" s="1"/>
  <c r="Z170" i="6"/>
  <c r="AA170" i="6" s="1"/>
  <c r="Z171" i="6"/>
  <c r="Z172" i="6"/>
  <c r="AA172" i="6" s="1"/>
  <c r="Z173" i="6"/>
  <c r="AA173" i="6" s="1"/>
  <c r="Z174" i="6"/>
  <c r="Z175" i="6"/>
  <c r="Z176" i="6"/>
  <c r="Z177" i="6"/>
  <c r="Z178" i="6"/>
  <c r="Z179" i="6"/>
  <c r="Z180" i="6"/>
  <c r="Z181" i="6"/>
  <c r="Z182" i="6"/>
  <c r="Z183" i="6"/>
  <c r="Z184" i="6"/>
  <c r="Z185" i="6"/>
  <c r="AA185" i="6" s="1"/>
  <c r="Z186" i="6"/>
  <c r="AA186" i="6" s="1"/>
  <c r="Z187" i="6"/>
  <c r="AA187" i="6" s="1"/>
  <c r="Z188" i="6"/>
  <c r="Z189" i="6"/>
  <c r="AA189" i="6" s="1"/>
  <c r="Z190" i="6"/>
  <c r="AA190" i="6" s="1"/>
  <c r="Z191" i="6"/>
  <c r="AA191" i="6" s="1"/>
  <c r="Z192" i="6"/>
  <c r="AA192" i="6" s="1"/>
  <c r="Z193" i="6"/>
  <c r="AA193" i="6" s="1"/>
  <c r="Z194" i="6"/>
  <c r="AA194" i="6" s="1"/>
  <c r="Z195" i="6"/>
  <c r="Z196" i="6"/>
  <c r="AA196" i="6" s="1"/>
  <c r="Z197" i="6"/>
  <c r="AA197" i="6" s="1"/>
  <c r="Z198" i="6"/>
  <c r="AA198" i="6" s="1"/>
  <c r="Z199" i="6"/>
  <c r="AA199" i="6" s="1"/>
  <c r="Z200" i="6"/>
  <c r="AA200" i="6" s="1"/>
  <c r="Z201" i="6"/>
  <c r="AA201" i="6" s="1"/>
  <c r="Z202" i="6"/>
  <c r="AA202" i="6" s="1"/>
  <c r="Z203" i="6"/>
  <c r="Z204" i="6"/>
  <c r="AA204" i="6" s="1"/>
  <c r="Z205" i="6"/>
  <c r="AA205" i="6" s="1"/>
  <c r="Z206" i="6"/>
  <c r="AA206" i="6" s="1"/>
  <c r="Z207" i="6"/>
  <c r="Z208" i="6"/>
  <c r="AA208" i="6" s="1"/>
  <c r="Z209" i="6"/>
  <c r="AA209" i="6" s="1"/>
  <c r="Z210" i="6"/>
  <c r="AA210" i="6" s="1"/>
  <c r="Z211" i="6"/>
  <c r="AA211" i="6" s="1"/>
  <c r="Z212" i="6"/>
  <c r="Z213" i="6"/>
  <c r="AA213" i="6" s="1"/>
  <c r="Z214" i="6"/>
  <c r="AA214" i="6" s="1"/>
  <c r="Z215" i="6"/>
  <c r="Z216" i="6"/>
  <c r="AA216" i="6" s="1"/>
  <c r="Z217" i="6"/>
  <c r="AA217" i="6" s="1"/>
  <c r="Z218" i="6"/>
  <c r="AA218" i="6" s="1"/>
  <c r="Z219" i="6"/>
  <c r="AA219" i="6" s="1"/>
  <c r="Z220" i="6"/>
  <c r="Z221" i="6"/>
  <c r="AA221" i="6" s="1"/>
  <c r="Z222" i="6"/>
  <c r="AA222" i="6" s="1"/>
  <c r="Z223" i="6"/>
  <c r="AA223" i="6" s="1"/>
  <c r="Z224" i="6"/>
  <c r="Z225" i="6"/>
  <c r="AA225" i="6" s="1"/>
  <c r="Z226" i="6"/>
  <c r="AA226" i="6" s="1"/>
  <c r="Z227" i="6"/>
  <c r="AA227" i="6" s="1"/>
  <c r="Z228" i="6"/>
  <c r="AA228" i="6" s="1"/>
  <c r="Z229" i="6"/>
  <c r="AA229" i="6" s="1"/>
  <c r="Z230" i="6"/>
  <c r="Z231" i="6"/>
  <c r="AA231" i="6" s="1"/>
  <c r="Z232" i="6"/>
  <c r="AA232" i="6" s="1"/>
  <c r="Z233" i="6"/>
  <c r="AA233" i="6" s="1"/>
  <c r="Z234" i="6"/>
  <c r="Z235" i="6"/>
  <c r="AA235" i="6" s="1"/>
  <c r="Z236" i="6"/>
  <c r="AA236" i="6" s="1"/>
  <c r="Z237" i="6"/>
  <c r="AA237" i="6" s="1"/>
  <c r="Z238" i="6"/>
  <c r="AA238" i="6" s="1"/>
  <c r="Z239" i="6"/>
  <c r="AA239" i="6" s="1"/>
  <c r="Z240" i="6"/>
  <c r="AA240" i="6" s="1"/>
  <c r="Z241" i="6"/>
  <c r="AA241" i="6" s="1"/>
  <c r="Z242" i="6"/>
  <c r="AA242" i="6" s="1"/>
  <c r="Z243" i="6"/>
  <c r="AA243" i="6" s="1"/>
  <c r="Z244" i="6"/>
  <c r="AA244" i="6" s="1"/>
  <c r="Z245" i="6"/>
  <c r="AA245" i="6" s="1"/>
  <c r="Z246" i="6"/>
  <c r="AA246" i="6" s="1"/>
  <c r="Z247" i="6"/>
  <c r="AA247" i="6" s="1"/>
  <c r="Z248" i="6"/>
  <c r="AA248" i="6" s="1"/>
  <c r="Z249" i="6"/>
  <c r="AA249" i="6" s="1"/>
  <c r="Z250" i="6"/>
  <c r="AA250" i="6" s="1"/>
  <c r="Z251" i="6"/>
  <c r="AA251" i="6" s="1"/>
  <c r="Z252" i="6"/>
  <c r="AA252" i="6" s="1"/>
  <c r="Z253" i="6"/>
  <c r="AA253" i="6" s="1"/>
  <c r="Z254" i="6"/>
  <c r="AA254" i="6" s="1"/>
  <c r="Z255" i="6"/>
  <c r="AA255" i="6" s="1"/>
  <c r="Z256" i="6"/>
  <c r="AA256" i="6" s="1"/>
  <c r="Z257" i="6"/>
  <c r="AA257" i="6" s="1"/>
  <c r="Z258" i="6"/>
  <c r="AA258" i="6" s="1"/>
  <c r="Z259" i="6"/>
  <c r="AA259" i="6" s="1"/>
  <c r="Z260" i="6"/>
  <c r="AA260" i="6" s="1"/>
  <c r="Z261" i="6"/>
  <c r="AA261" i="6" s="1"/>
  <c r="Z262" i="6"/>
  <c r="AA262" i="6" s="1"/>
  <c r="Z263" i="6"/>
  <c r="AA263" i="6" s="1"/>
  <c r="Z264" i="6"/>
  <c r="AA264" i="6" s="1"/>
  <c r="Z265" i="6"/>
  <c r="AA265" i="6" s="1"/>
  <c r="Z266" i="6"/>
  <c r="AA266" i="6" s="1"/>
  <c r="Z267" i="6"/>
  <c r="AA267" i="6" s="1"/>
  <c r="Z268" i="6"/>
  <c r="AA268" i="6" s="1"/>
  <c r="Z269" i="6"/>
  <c r="AA269" i="6" s="1"/>
  <c r="Z270" i="6"/>
  <c r="AA270" i="6" s="1"/>
  <c r="Z271" i="6"/>
  <c r="AA271" i="6" s="1"/>
  <c r="Z272" i="6"/>
  <c r="AA272" i="6" s="1"/>
  <c r="Z273" i="6"/>
  <c r="AA273" i="6" s="1"/>
  <c r="Z274" i="6"/>
  <c r="AA274" i="6" s="1"/>
  <c r="Z275" i="6"/>
  <c r="AA275" i="6" s="1"/>
  <c r="Z276" i="6"/>
  <c r="AA276" i="6" s="1"/>
  <c r="Z277" i="6"/>
  <c r="AA277" i="6" s="1"/>
  <c r="Z278" i="6"/>
  <c r="AA278" i="6" s="1"/>
  <c r="Z279" i="6"/>
  <c r="AA279" i="6" s="1"/>
  <c r="Z280" i="6"/>
  <c r="AA280" i="6" s="1"/>
  <c r="Z281" i="6"/>
  <c r="AA281" i="6" s="1"/>
  <c r="Z282" i="6"/>
  <c r="AA282" i="6" s="1"/>
  <c r="Z283" i="6"/>
  <c r="AA283" i="6" s="1"/>
  <c r="Z284" i="6"/>
  <c r="AA284" i="6" s="1"/>
  <c r="Z285" i="6"/>
  <c r="AA285" i="6" s="1"/>
  <c r="Z286" i="6"/>
  <c r="AA286" i="6" s="1"/>
  <c r="Z287" i="6"/>
  <c r="AA287" i="6" s="1"/>
  <c r="Z288" i="6"/>
  <c r="AA288" i="6" s="1"/>
  <c r="Z289" i="6"/>
  <c r="AA289" i="6" s="1"/>
  <c r="Z290" i="6"/>
  <c r="AA290" i="6" s="1"/>
  <c r="Z291" i="6"/>
  <c r="AA291" i="6" s="1"/>
  <c r="Z6" i="5"/>
  <c r="AA6" i="5" s="1"/>
  <c r="Z7" i="5"/>
  <c r="AA7" i="5" s="1"/>
  <c r="Z8" i="5"/>
  <c r="AA8" i="5" s="1"/>
  <c r="Z10" i="5"/>
  <c r="Z11" i="5"/>
  <c r="AA11" i="5" s="1"/>
  <c r="Z12" i="5"/>
  <c r="AA12" i="5" s="1"/>
  <c r="Z13" i="5"/>
  <c r="AA13" i="5" s="1"/>
  <c r="Z14" i="5"/>
  <c r="Z15" i="5"/>
  <c r="AA15" i="5" s="1"/>
  <c r="Z16" i="5"/>
  <c r="AA16" i="5" s="1"/>
  <c r="Z17" i="5"/>
  <c r="AA17" i="5" s="1"/>
  <c r="Z18" i="5"/>
  <c r="AA18" i="5" s="1"/>
  <c r="Z19" i="5"/>
  <c r="AA19" i="5" s="1"/>
  <c r="Z20" i="5"/>
  <c r="AA20" i="5" s="1"/>
  <c r="Z21" i="5"/>
  <c r="Z22" i="5"/>
  <c r="AA22" i="5" s="1"/>
  <c r="Z23" i="5"/>
  <c r="AA23" i="5" s="1"/>
  <c r="Z24" i="5"/>
  <c r="AA24" i="5" s="1"/>
  <c r="Z25" i="5"/>
  <c r="AA25" i="5" s="1"/>
  <c r="Z26" i="5"/>
  <c r="AA26" i="5" s="1"/>
  <c r="Z27" i="5"/>
  <c r="AA27" i="5" s="1"/>
  <c r="Z28" i="5"/>
  <c r="AA28" i="5" s="1"/>
  <c r="Z29" i="5"/>
  <c r="AA29" i="5" s="1"/>
  <c r="Z30" i="5"/>
  <c r="AA30" i="5" s="1"/>
  <c r="Z31" i="5"/>
  <c r="AA31" i="5" s="1"/>
  <c r="Z32" i="5"/>
  <c r="AA32" i="5" s="1"/>
  <c r="Z33" i="5"/>
  <c r="AA33" i="5" s="1"/>
  <c r="Z34" i="5"/>
  <c r="AA34" i="5" s="1"/>
  <c r="Z35" i="5"/>
  <c r="AA35" i="5" s="1"/>
  <c r="Z36" i="5"/>
  <c r="AA36" i="5" s="1"/>
  <c r="Z37" i="5"/>
  <c r="AA37" i="5" s="1"/>
  <c r="Z38" i="5"/>
  <c r="AA38" i="5" s="1"/>
  <c r="Z39" i="5"/>
  <c r="AA39" i="5" s="1"/>
  <c r="Z40" i="5"/>
  <c r="AA40" i="5" s="1"/>
  <c r="Z41" i="5"/>
  <c r="AA41" i="5" s="1"/>
  <c r="Z42" i="5"/>
  <c r="AA42" i="5" s="1"/>
  <c r="Z43" i="5"/>
  <c r="AA43" i="5" s="1"/>
  <c r="Z44" i="5"/>
  <c r="AA44" i="5" s="1"/>
  <c r="Z45" i="5"/>
  <c r="AA45" i="5" s="1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6" i="4"/>
  <c r="AA6" i="4" s="1"/>
  <c r="Z7" i="4"/>
  <c r="AA7" i="4" s="1"/>
  <c r="Z8" i="4"/>
  <c r="Z9" i="4"/>
  <c r="Z10" i="4"/>
  <c r="Z11" i="4"/>
  <c r="Z12" i="4"/>
  <c r="AA12" i="4" s="1"/>
  <c r="Z13" i="4"/>
  <c r="AA13" i="4" s="1"/>
  <c r="Z14" i="4"/>
  <c r="AA14" i="4" s="1"/>
  <c r="Z15" i="4"/>
  <c r="AA15" i="4" s="1"/>
  <c r="Z16" i="4"/>
  <c r="AA16" i="4" s="1"/>
  <c r="Z17" i="4"/>
  <c r="AA17" i="4" s="1"/>
  <c r="Z18" i="4"/>
  <c r="AA18" i="4" s="1"/>
  <c r="Z19" i="4"/>
  <c r="Z20" i="4"/>
  <c r="AA20" i="4" s="1"/>
  <c r="Z21" i="4"/>
  <c r="AA21" i="4" s="1"/>
  <c r="Z22" i="4"/>
  <c r="AA22" i="4" s="1"/>
  <c r="Z23" i="4"/>
  <c r="AA23" i="4" s="1"/>
  <c r="Z24" i="4"/>
  <c r="AA24" i="4" s="1"/>
  <c r="Z26" i="4"/>
  <c r="Z27" i="4"/>
  <c r="AA27" i="4" s="1"/>
  <c r="Z28" i="4"/>
  <c r="AA28" i="4" s="1"/>
  <c r="Z29" i="4"/>
  <c r="AA29" i="4" s="1"/>
  <c r="Z30" i="4"/>
  <c r="Z31" i="4"/>
  <c r="AA31" i="4" s="1"/>
  <c r="Z32" i="4"/>
  <c r="AA32" i="4" s="1"/>
  <c r="Z33" i="4"/>
  <c r="Z34" i="4"/>
  <c r="AA34" i="4" s="1"/>
  <c r="Z35" i="4"/>
  <c r="AA35" i="4" s="1"/>
  <c r="Z36" i="4"/>
  <c r="Z37" i="4"/>
  <c r="AA37" i="4" s="1"/>
  <c r="Z38" i="4"/>
  <c r="AA38" i="4" s="1"/>
  <c r="Z39" i="4"/>
  <c r="AA39" i="4" s="1"/>
  <c r="Z40" i="4"/>
  <c r="AA40" i="4" s="1"/>
  <c r="Z41" i="4"/>
  <c r="AA41" i="4" s="1"/>
  <c r="Z42" i="4"/>
  <c r="Z43" i="4"/>
  <c r="AA43" i="4" s="1"/>
  <c r="Z44" i="4"/>
  <c r="AA44" i="4" s="1"/>
  <c r="Z45" i="4"/>
  <c r="AA45" i="4" s="1"/>
  <c r="Z46" i="4"/>
  <c r="AA46" i="4" s="1"/>
  <c r="Z47" i="4"/>
  <c r="Z48" i="4"/>
  <c r="AA48" i="4" s="1"/>
  <c r="Z49" i="4"/>
  <c r="AA49" i="4" s="1"/>
  <c r="Z50" i="4"/>
  <c r="AA50" i="4" s="1"/>
  <c r="Z51" i="4"/>
  <c r="AA51" i="4" s="1"/>
  <c r="Z52" i="4"/>
  <c r="AA52" i="4" s="1"/>
  <c r="Z53" i="4"/>
  <c r="AA53" i="4" s="1"/>
  <c r="Z54" i="4"/>
  <c r="Z55" i="4"/>
  <c r="AA55" i="4" s="1"/>
  <c r="Z56" i="4"/>
  <c r="AA56" i="4" s="1"/>
  <c r="Z57" i="4"/>
  <c r="AA57" i="4" s="1"/>
  <c r="Z58" i="4"/>
  <c r="AA58" i="4" s="1"/>
  <c r="Z59" i="4"/>
  <c r="AA59" i="4" s="1"/>
  <c r="Z60" i="4"/>
  <c r="Z61" i="4"/>
  <c r="AA61" i="4" s="1"/>
  <c r="Z62" i="4"/>
  <c r="AA62" i="4" s="1"/>
  <c r="Z63" i="4"/>
  <c r="AA63" i="4" s="1"/>
  <c r="Z64" i="4"/>
  <c r="Z65" i="4"/>
  <c r="Z66" i="4"/>
  <c r="AA66" i="4" s="1"/>
  <c r="Z67" i="4"/>
  <c r="AA67" i="4" s="1"/>
  <c r="Z68" i="4"/>
  <c r="AA68" i="4" s="1"/>
  <c r="Z69" i="4"/>
  <c r="AA69" i="4" s="1"/>
  <c r="Z70" i="4"/>
  <c r="Z71" i="4"/>
  <c r="AA71" i="4" s="1"/>
  <c r="Z72" i="4"/>
  <c r="AA72" i="4" s="1"/>
  <c r="Z73" i="4"/>
  <c r="AA73" i="4" s="1"/>
  <c r="Z74" i="4"/>
  <c r="AA74" i="4" s="1"/>
  <c r="Z75" i="4"/>
  <c r="AA75" i="4" s="1"/>
  <c r="Z77" i="4"/>
  <c r="Z78" i="4"/>
  <c r="Z79" i="4"/>
  <c r="AA79" i="4" s="1"/>
  <c r="Z80" i="4"/>
  <c r="AA80" i="4" s="1"/>
  <c r="Z81" i="4"/>
  <c r="AA81" i="4" s="1"/>
  <c r="Z82" i="4"/>
  <c r="AA82" i="4" s="1"/>
  <c r="Z83" i="4"/>
  <c r="AA83" i="4" s="1"/>
  <c r="Z84" i="4"/>
  <c r="AA84" i="4" s="1"/>
  <c r="Z85" i="4"/>
  <c r="Z86" i="4"/>
  <c r="AA86" i="4" s="1"/>
  <c r="Z87" i="4"/>
  <c r="AA87" i="4" s="1"/>
  <c r="Z88" i="4"/>
  <c r="AA88" i="4" s="1"/>
  <c r="Z89" i="4"/>
  <c r="AA89" i="4" s="1"/>
  <c r="Z90" i="4"/>
  <c r="AA90" i="4" s="1"/>
  <c r="Z91" i="4"/>
  <c r="AA91" i="4" s="1"/>
  <c r="Z92" i="4"/>
  <c r="Z93" i="4"/>
  <c r="AA93" i="4" s="1"/>
  <c r="Z94" i="4"/>
  <c r="AA94" i="4" s="1"/>
  <c r="Z95" i="4"/>
  <c r="AA95" i="4" s="1"/>
  <c r="Z96" i="4"/>
  <c r="AA96" i="4" s="1"/>
  <c r="Z97" i="4"/>
  <c r="AA97" i="4" s="1"/>
  <c r="Z98" i="4"/>
  <c r="AA98" i="4" s="1"/>
  <c r="Z99" i="4"/>
  <c r="Z100" i="4"/>
  <c r="AA100" i="4" s="1"/>
  <c r="Z101" i="4"/>
  <c r="AA101" i="4" s="1"/>
  <c r="Z102" i="4"/>
  <c r="AA102" i="4" s="1"/>
  <c r="Z103" i="4"/>
  <c r="AA103" i="4" s="1"/>
  <c r="Z104" i="4"/>
  <c r="AA104" i="4" s="1"/>
  <c r="Z105" i="4"/>
  <c r="AA105" i="4" s="1"/>
  <c r="Z106" i="4"/>
  <c r="Z107" i="4"/>
  <c r="AA107" i="4" s="1"/>
  <c r="Z108" i="4"/>
  <c r="AA108" i="4" s="1"/>
  <c r="Z109" i="4"/>
  <c r="AA109" i="4" s="1"/>
  <c r="Z110" i="4"/>
  <c r="AA110" i="4" s="1"/>
  <c r="Z111" i="4"/>
  <c r="Z112" i="4"/>
  <c r="AA112" i="4" s="1"/>
  <c r="Z113" i="4"/>
  <c r="AA113" i="4" s="1"/>
  <c r="Z114" i="4"/>
  <c r="AA114" i="4" s="1"/>
  <c r="Z115" i="4"/>
  <c r="Z116" i="4"/>
  <c r="AA116" i="4" s="1"/>
  <c r="Z117" i="4"/>
  <c r="AA117" i="4" s="1"/>
  <c r="Z118" i="4"/>
  <c r="AA118" i="4" s="1"/>
  <c r="Z119" i="4"/>
  <c r="AA119" i="4" s="1"/>
  <c r="Z120" i="4"/>
  <c r="AA120" i="4" s="1"/>
  <c r="Z121" i="4"/>
  <c r="AA121" i="4" s="1"/>
  <c r="Z122" i="4"/>
  <c r="Z123" i="4"/>
  <c r="AA123" i="4" s="1"/>
  <c r="Z124" i="4"/>
  <c r="AA124" i="4" s="1"/>
  <c r="Z125" i="4"/>
  <c r="Z126" i="4"/>
  <c r="AA126" i="4" s="1"/>
  <c r="Z127" i="4"/>
  <c r="AA127" i="4" s="1"/>
  <c r="Z128" i="4"/>
  <c r="AA128" i="4" s="1"/>
  <c r="Z129" i="4"/>
  <c r="AA129" i="4" s="1"/>
  <c r="Z130" i="4"/>
  <c r="AA130" i="4" s="1"/>
  <c r="Z131" i="4"/>
  <c r="AA131" i="4" s="1"/>
  <c r="Z132" i="4"/>
  <c r="AA132" i="4" s="1"/>
  <c r="Z133" i="4"/>
  <c r="AA133" i="4" s="1"/>
  <c r="Z134" i="4"/>
  <c r="Z135" i="4"/>
  <c r="AA135" i="4" s="1"/>
  <c r="Z136" i="4"/>
  <c r="AA136" i="4" s="1"/>
  <c r="Z137" i="4"/>
  <c r="AA137" i="4" s="1"/>
  <c r="Z138" i="4"/>
  <c r="AA138" i="4" s="1"/>
  <c r="Z139" i="4"/>
  <c r="AA139" i="4" s="1"/>
  <c r="Z140" i="4"/>
  <c r="AA140" i="4" s="1"/>
  <c r="Z141" i="4"/>
  <c r="Z142" i="4"/>
  <c r="AA142" i="4" s="1"/>
  <c r="Z143" i="4"/>
  <c r="AA143" i="4" s="1"/>
  <c r="Z144" i="4"/>
  <c r="AA144" i="4" s="1"/>
  <c r="Z145" i="4"/>
  <c r="AA145" i="4" s="1"/>
  <c r="Z146" i="4"/>
  <c r="AA146" i="4" s="1"/>
  <c r="Z147" i="4"/>
  <c r="AA147" i="4" s="1"/>
  <c r="Z148" i="4"/>
  <c r="AA148" i="4" s="1"/>
  <c r="Z149" i="4"/>
  <c r="Z150" i="4"/>
  <c r="AA150" i="4" s="1"/>
  <c r="Z166" i="4"/>
  <c r="Z167" i="4"/>
  <c r="AA167" i="4" s="1"/>
  <c r="Z168" i="4"/>
  <c r="AA168" i="4" s="1"/>
  <c r="Z169" i="4"/>
  <c r="AA169" i="4" s="1"/>
  <c r="Z170" i="4"/>
  <c r="AA170" i="4" s="1"/>
  <c r="Z171" i="4"/>
  <c r="AA171" i="4" s="1"/>
  <c r="Z172" i="4"/>
  <c r="AA172" i="4" s="1"/>
  <c r="Z173" i="4"/>
  <c r="AA173" i="4" s="1"/>
  <c r="Z174" i="4"/>
  <c r="AA174" i="4" s="1"/>
  <c r="Z175" i="4"/>
  <c r="AA175" i="4" s="1"/>
  <c r="Z176" i="4"/>
  <c r="AA176" i="4" s="1"/>
  <c r="Z177" i="4"/>
  <c r="AA177" i="4" s="1"/>
  <c r="Z178" i="4"/>
  <c r="AA178" i="4" s="1"/>
  <c r="Z179" i="4"/>
  <c r="AA179" i="4" s="1"/>
  <c r="Z180" i="4"/>
  <c r="AA180" i="4" s="1"/>
  <c r="Z181" i="4"/>
  <c r="AA181" i="4" s="1"/>
  <c r="Z182" i="4"/>
  <c r="AA182" i="4" s="1"/>
  <c r="Z183" i="4"/>
  <c r="AA183" i="4" s="1"/>
  <c r="Z184" i="4"/>
  <c r="AA184" i="4" s="1"/>
  <c r="Z185" i="4"/>
  <c r="AA185" i="4" s="1"/>
  <c r="Z186" i="4"/>
  <c r="AA186" i="4" s="1"/>
  <c r="Z187" i="4"/>
  <c r="AA187" i="4" s="1"/>
  <c r="Z188" i="4"/>
  <c r="AA188" i="4" s="1"/>
  <c r="Z189" i="4"/>
  <c r="AA189" i="4" s="1"/>
  <c r="Z190" i="4"/>
  <c r="AA190" i="4" s="1"/>
  <c r="Z191" i="4"/>
  <c r="AA191" i="4" s="1"/>
  <c r="Z192" i="4"/>
  <c r="AA192" i="4" s="1"/>
  <c r="Z193" i="4"/>
  <c r="AA193" i="4" s="1"/>
  <c r="Z194" i="4"/>
  <c r="AA194" i="4" s="1"/>
  <c r="Z195" i="4"/>
  <c r="AA195" i="4" s="1"/>
  <c r="Z196" i="4"/>
  <c r="AA196" i="4" s="1"/>
  <c r="Z197" i="4"/>
  <c r="AA197" i="4" s="1"/>
  <c r="Z198" i="4"/>
  <c r="AA198" i="4" s="1"/>
  <c r="Z199" i="4"/>
  <c r="AA199" i="4" s="1"/>
  <c r="Z200" i="4"/>
  <c r="AA200" i="4" s="1"/>
  <c r="Z201" i="4"/>
  <c r="AA201" i="4" s="1"/>
  <c r="Z202" i="4"/>
  <c r="AA202" i="4" s="1"/>
  <c r="Z203" i="4"/>
  <c r="AA203" i="4" s="1"/>
  <c r="Z204" i="4"/>
  <c r="AA204" i="4" s="1"/>
  <c r="Z205" i="4"/>
  <c r="AA205" i="4" s="1"/>
  <c r="Z206" i="4"/>
  <c r="AA206" i="4" s="1"/>
  <c r="Z207" i="4"/>
  <c r="AA207" i="4" s="1"/>
  <c r="Z208" i="4"/>
  <c r="AA208" i="4" s="1"/>
  <c r="Z209" i="4"/>
  <c r="AA209" i="4" s="1"/>
  <c r="Z210" i="4"/>
  <c r="AA210" i="4" s="1"/>
  <c r="Z211" i="4"/>
  <c r="AA211" i="4" s="1"/>
  <c r="Z212" i="4"/>
  <c r="AA212" i="4" s="1"/>
  <c r="Z213" i="4"/>
  <c r="AA213" i="4" s="1"/>
  <c r="Z214" i="4"/>
  <c r="AA214" i="4" s="1"/>
  <c r="Z215" i="4"/>
  <c r="AA215" i="4" s="1"/>
  <c r="Z216" i="4"/>
  <c r="AA216" i="4" s="1"/>
  <c r="Z217" i="4"/>
  <c r="AA217" i="4" s="1"/>
  <c r="Z218" i="4"/>
  <c r="AA218" i="4" s="1"/>
  <c r="Z219" i="4"/>
  <c r="AA219" i="4" s="1"/>
  <c r="Z220" i="4"/>
  <c r="AA220" i="4" s="1"/>
  <c r="Z221" i="4"/>
  <c r="AA221" i="4" s="1"/>
  <c r="Z222" i="4"/>
  <c r="AA222" i="4" s="1"/>
  <c r="Z223" i="4"/>
  <c r="AA223" i="4" s="1"/>
  <c r="Z224" i="4"/>
  <c r="AA224" i="4" s="1"/>
  <c r="Z225" i="4"/>
  <c r="AA225" i="4" s="1"/>
  <c r="Z226" i="4"/>
  <c r="AA226" i="4" s="1"/>
  <c r="Z227" i="4"/>
  <c r="AA227" i="4" s="1"/>
  <c r="Z228" i="4"/>
  <c r="AA228" i="4" s="1"/>
  <c r="Z229" i="4"/>
  <c r="AA229" i="4" s="1"/>
  <c r="Z230" i="4"/>
  <c r="AA230" i="4" s="1"/>
  <c r="Z231" i="4"/>
  <c r="AA231" i="4" s="1"/>
  <c r="Z232" i="4"/>
  <c r="AA232" i="4" s="1"/>
  <c r="Z233" i="4"/>
  <c r="AA233" i="4" s="1"/>
  <c r="Z234" i="4"/>
  <c r="AA234" i="4" s="1"/>
  <c r="Z235" i="4"/>
  <c r="AA235" i="4" s="1"/>
  <c r="AA8" i="4" l="1"/>
  <c r="AA78" i="4"/>
  <c r="AA65" i="4"/>
  <c r="AA10" i="4"/>
  <c r="AA9" i="4"/>
  <c r="AA183" i="6"/>
  <c r="AA182" i="6"/>
  <c r="AA180" i="6"/>
  <c r="AA177" i="6"/>
  <c r="AA175" i="6"/>
  <c r="AA181" i="6"/>
  <c r="AA178" i="6"/>
  <c r="AA176" i="6"/>
  <c r="U150" i="4"/>
  <c r="W150" i="4" s="1"/>
  <c r="U149" i="4"/>
  <c r="W149" i="4" s="1"/>
  <c r="V150" i="4" l="1"/>
  <c r="V149" i="4"/>
  <c r="U148" i="4" l="1"/>
  <c r="W148" i="4" s="1"/>
  <c r="U147" i="4"/>
  <c r="W147" i="4" s="1"/>
  <c r="U146" i="4"/>
  <c r="W146" i="4" s="1"/>
  <c r="U145" i="4"/>
  <c r="V145" i="4" s="1"/>
  <c r="U144" i="4"/>
  <c r="W144" i="4" s="1"/>
  <c r="U143" i="4"/>
  <c r="W143" i="4" s="1"/>
  <c r="U142" i="4"/>
  <c r="V142" i="4" s="1"/>
  <c r="U141" i="4"/>
  <c r="W141" i="4" s="1"/>
  <c r="V144" i="4" l="1"/>
  <c r="W142" i="4"/>
  <c r="V147" i="4"/>
  <c r="W145" i="4"/>
  <c r="V143" i="4"/>
  <c r="V148" i="4"/>
  <c r="V141" i="4"/>
  <c r="V146" i="4"/>
  <c r="U140" i="4" l="1"/>
  <c r="V140" i="4" s="1"/>
  <c r="U139" i="4"/>
  <c r="W139" i="4" s="1"/>
  <c r="U138" i="4"/>
  <c r="W138" i="4" s="1"/>
  <c r="U137" i="4"/>
  <c r="V137" i="4" s="1"/>
  <c r="U136" i="4"/>
  <c r="W136" i="4" s="1"/>
  <c r="U135" i="4"/>
  <c r="W135" i="4" s="1"/>
  <c r="U134" i="4"/>
  <c r="W134" i="4" s="1"/>
  <c r="V136" i="4" l="1"/>
  <c r="V138" i="4"/>
  <c r="V134" i="4"/>
  <c r="W137" i="4"/>
  <c r="V135" i="4"/>
  <c r="W140" i="4"/>
  <c r="V139" i="4"/>
  <c r="U27" i="5" l="1"/>
  <c r="W27" i="5" s="1"/>
  <c r="U26" i="5"/>
  <c r="V26" i="5" s="1"/>
  <c r="U25" i="5"/>
  <c r="W25" i="5" s="1"/>
  <c r="U24" i="5"/>
  <c r="W24" i="5" s="1"/>
  <c r="U23" i="5"/>
  <c r="W23" i="5" s="1"/>
  <c r="U22" i="5"/>
  <c r="W22" i="5" s="1"/>
  <c r="U21" i="5"/>
  <c r="W21" i="5" s="1"/>
  <c r="V23" i="5" l="1"/>
  <c r="V25" i="5"/>
  <c r="W26" i="5"/>
  <c r="V24" i="5"/>
  <c r="V22" i="5"/>
  <c r="V27" i="5"/>
  <c r="V21" i="5"/>
  <c r="U188" i="6"/>
  <c r="V188" i="6" s="1"/>
  <c r="U189" i="6"/>
  <c r="V189" i="6" s="1"/>
  <c r="U190" i="6"/>
  <c r="V190" i="6" s="1"/>
  <c r="U191" i="6"/>
  <c r="W191" i="6" s="1"/>
  <c r="U192" i="6"/>
  <c r="V192" i="6" s="1"/>
  <c r="U193" i="6"/>
  <c r="V193" i="6" s="1"/>
  <c r="U194" i="6"/>
  <c r="V194" i="6" s="1"/>
  <c r="V191" i="6" l="1"/>
  <c r="W193" i="6"/>
  <c r="W189" i="6"/>
  <c r="W192" i="6"/>
  <c r="W188" i="6"/>
  <c r="W194" i="6"/>
  <c r="W190" i="6"/>
  <c r="U183" i="6" l="1"/>
  <c r="V183" i="6" s="1"/>
  <c r="U182" i="6"/>
  <c r="W182" i="6" s="1"/>
  <c r="U181" i="6"/>
  <c r="W181" i="6" s="1"/>
  <c r="U180" i="6"/>
  <c r="W180" i="6" s="1"/>
  <c r="U179" i="6"/>
  <c r="W179" i="6" s="1"/>
  <c r="V179" i="6" l="1"/>
  <c r="W183" i="6"/>
  <c r="V182" i="6"/>
  <c r="V180" i="6"/>
  <c r="V181" i="6"/>
  <c r="U178" i="6" l="1"/>
  <c r="W178" i="6" s="1"/>
  <c r="U177" i="6"/>
  <c r="W177" i="6" s="1"/>
  <c r="U176" i="6"/>
  <c r="W176" i="6" s="1"/>
  <c r="U175" i="6"/>
  <c r="W175" i="6" s="1"/>
  <c r="U174" i="6"/>
  <c r="W174" i="6" s="1"/>
  <c r="V176" i="6" l="1"/>
  <c r="V174" i="6"/>
  <c r="V177" i="6"/>
  <c r="V175" i="6"/>
  <c r="V178" i="6"/>
  <c r="U115" i="4" l="1"/>
  <c r="W115" i="4" s="1"/>
  <c r="V115" i="4" l="1"/>
  <c r="G28" i="8"/>
  <c r="F28" i="8"/>
  <c r="E28" i="8"/>
  <c r="D28" i="8"/>
  <c r="C28" i="8"/>
  <c r="G27" i="8"/>
  <c r="F27" i="8"/>
  <c r="E27" i="8"/>
  <c r="D27" i="8"/>
  <c r="C27" i="8"/>
  <c r="G26" i="8"/>
  <c r="F26" i="8"/>
  <c r="E26" i="8"/>
  <c r="D26" i="8"/>
  <c r="C26" i="8"/>
  <c r="G25" i="8"/>
  <c r="F25" i="8"/>
  <c r="E25" i="8"/>
  <c r="D25" i="8"/>
  <c r="C25" i="8"/>
  <c r="G24" i="8"/>
  <c r="F24" i="8"/>
  <c r="E24" i="8"/>
  <c r="D24" i="8"/>
  <c r="C24" i="8"/>
  <c r="G23" i="8"/>
  <c r="F23" i="8"/>
  <c r="E23" i="8"/>
  <c r="D23" i="8"/>
  <c r="C23" i="8"/>
  <c r="G22" i="8"/>
  <c r="F22" i="8"/>
  <c r="E22" i="8"/>
  <c r="D22" i="8"/>
  <c r="C22" i="8"/>
  <c r="G21" i="8"/>
  <c r="F21" i="8"/>
  <c r="E21" i="8"/>
  <c r="D21" i="8"/>
  <c r="C21" i="8"/>
  <c r="G20" i="8"/>
  <c r="F20" i="8"/>
  <c r="E20" i="8"/>
  <c r="D20" i="8"/>
  <c r="C20" i="8"/>
  <c r="G19" i="8"/>
  <c r="F19" i="8"/>
  <c r="E19" i="8"/>
  <c r="D19" i="8"/>
  <c r="C19" i="8"/>
  <c r="G18" i="8"/>
  <c r="F18" i="8"/>
  <c r="E18" i="8"/>
  <c r="D18" i="8"/>
  <c r="C18" i="8"/>
  <c r="G17" i="8"/>
  <c r="F17" i="8"/>
  <c r="E17" i="8"/>
  <c r="D17" i="8"/>
  <c r="C17" i="8"/>
  <c r="G9" i="8"/>
  <c r="F9" i="8"/>
  <c r="E9" i="8"/>
  <c r="D9" i="8"/>
  <c r="C9" i="8"/>
  <c r="Y304" i="7"/>
  <c r="Z304" i="7" s="1"/>
  <c r="V304" i="7"/>
  <c r="U304" i="7"/>
  <c r="T304" i="7"/>
  <c r="Y303" i="7"/>
  <c r="Z303" i="7" s="1"/>
  <c r="V303" i="7"/>
  <c r="U303" i="7"/>
  <c r="T303" i="7"/>
  <c r="Y302" i="7"/>
  <c r="Z302" i="7" s="1"/>
  <c r="V302" i="7"/>
  <c r="U302" i="7"/>
  <c r="T302" i="7"/>
  <c r="Y301" i="7"/>
  <c r="Z301" i="7" s="1"/>
  <c r="V301" i="7"/>
  <c r="U301" i="7"/>
  <c r="T301" i="7"/>
  <c r="Y300" i="7"/>
  <c r="Z300" i="7" s="1"/>
  <c r="V300" i="7"/>
  <c r="U300" i="7"/>
  <c r="T300" i="7"/>
  <c r="Y299" i="7"/>
  <c r="Z299" i="7" s="1"/>
  <c r="V299" i="7"/>
  <c r="U299" i="7"/>
  <c r="T299" i="7"/>
  <c r="Y298" i="7"/>
  <c r="Z298" i="7" s="1"/>
  <c r="V298" i="7"/>
  <c r="U298" i="7"/>
  <c r="T298" i="7"/>
  <c r="Y297" i="7"/>
  <c r="Z297" i="7" s="1"/>
  <c r="V297" i="7"/>
  <c r="U297" i="7"/>
  <c r="T297" i="7"/>
  <c r="Y296" i="7"/>
  <c r="Z296" i="7" s="1"/>
  <c r="V296" i="7"/>
  <c r="U296" i="7"/>
  <c r="T296" i="7"/>
  <c r="Y295" i="7"/>
  <c r="Z295" i="7" s="1"/>
  <c r="V295" i="7"/>
  <c r="U295" i="7"/>
  <c r="T295" i="7"/>
  <c r="Y294" i="7"/>
  <c r="Z294" i="7" s="1"/>
  <c r="V294" i="7"/>
  <c r="U294" i="7"/>
  <c r="T294" i="7"/>
  <c r="Y293" i="7"/>
  <c r="Z293" i="7" s="1"/>
  <c r="V293" i="7"/>
  <c r="U293" i="7"/>
  <c r="T293" i="7"/>
  <c r="Y292" i="7"/>
  <c r="Z292" i="7" s="1"/>
  <c r="V292" i="7"/>
  <c r="U292" i="7"/>
  <c r="T292" i="7"/>
  <c r="Y291" i="7"/>
  <c r="Z291" i="7" s="1"/>
  <c r="V291" i="7"/>
  <c r="U291" i="7"/>
  <c r="T291" i="7"/>
  <c r="Y290" i="7"/>
  <c r="Z290" i="7" s="1"/>
  <c r="V290" i="7"/>
  <c r="U290" i="7"/>
  <c r="T290" i="7"/>
  <c r="Y289" i="7"/>
  <c r="Z289" i="7" s="1"/>
  <c r="V289" i="7"/>
  <c r="U289" i="7"/>
  <c r="T289" i="7"/>
  <c r="Y288" i="7"/>
  <c r="Z288" i="7" s="1"/>
  <c r="V288" i="7"/>
  <c r="U288" i="7"/>
  <c r="T288" i="7"/>
  <c r="Y287" i="7"/>
  <c r="Z287" i="7" s="1"/>
  <c r="V287" i="7"/>
  <c r="U287" i="7"/>
  <c r="T287" i="7"/>
  <c r="Y286" i="7"/>
  <c r="Z286" i="7" s="1"/>
  <c r="V286" i="7"/>
  <c r="U286" i="7"/>
  <c r="T286" i="7"/>
  <c r="Y285" i="7"/>
  <c r="Z285" i="7" s="1"/>
  <c r="V285" i="7"/>
  <c r="U285" i="7"/>
  <c r="T285" i="7"/>
  <c r="Y284" i="7"/>
  <c r="Z284" i="7" s="1"/>
  <c r="V284" i="7"/>
  <c r="U284" i="7"/>
  <c r="T284" i="7"/>
  <c r="Y283" i="7"/>
  <c r="Z283" i="7" s="1"/>
  <c r="V283" i="7"/>
  <c r="U283" i="7"/>
  <c r="T283" i="7"/>
  <c r="Y282" i="7"/>
  <c r="Z282" i="7" s="1"/>
  <c r="V282" i="7"/>
  <c r="U282" i="7"/>
  <c r="T282" i="7"/>
  <c r="Y281" i="7"/>
  <c r="Z281" i="7" s="1"/>
  <c r="V281" i="7"/>
  <c r="U281" i="7"/>
  <c r="T281" i="7"/>
  <c r="Y280" i="7"/>
  <c r="Z280" i="7" s="1"/>
  <c r="V280" i="7"/>
  <c r="U280" i="7"/>
  <c r="T280" i="7"/>
  <c r="Y279" i="7"/>
  <c r="Z279" i="7" s="1"/>
  <c r="V279" i="7"/>
  <c r="U279" i="7"/>
  <c r="T279" i="7"/>
  <c r="Y278" i="7"/>
  <c r="Z278" i="7" s="1"/>
  <c r="V278" i="7"/>
  <c r="U278" i="7"/>
  <c r="T278" i="7"/>
  <c r="Y277" i="7"/>
  <c r="Z277" i="7" s="1"/>
  <c r="V277" i="7"/>
  <c r="U277" i="7"/>
  <c r="T277" i="7"/>
  <c r="Y276" i="7"/>
  <c r="Z276" i="7" s="1"/>
  <c r="V276" i="7"/>
  <c r="U276" i="7"/>
  <c r="T276" i="7"/>
  <c r="Y275" i="7"/>
  <c r="Z275" i="7" s="1"/>
  <c r="V275" i="7"/>
  <c r="U275" i="7"/>
  <c r="T275" i="7"/>
  <c r="Y274" i="7"/>
  <c r="Z274" i="7" s="1"/>
  <c r="V274" i="7"/>
  <c r="U274" i="7"/>
  <c r="T274" i="7"/>
  <c r="Y273" i="7"/>
  <c r="Z273" i="7" s="1"/>
  <c r="V273" i="7"/>
  <c r="U273" i="7"/>
  <c r="T273" i="7"/>
  <c r="Y272" i="7"/>
  <c r="Z272" i="7" s="1"/>
  <c r="V272" i="7"/>
  <c r="U272" i="7"/>
  <c r="T272" i="7"/>
  <c r="Y271" i="7"/>
  <c r="Z271" i="7" s="1"/>
  <c r="V271" i="7"/>
  <c r="U271" i="7"/>
  <c r="T271" i="7"/>
  <c r="Y270" i="7"/>
  <c r="Z270" i="7" s="1"/>
  <c r="V270" i="7"/>
  <c r="U270" i="7"/>
  <c r="T270" i="7"/>
  <c r="Y269" i="7"/>
  <c r="Z269" i="7" s="1"/>
  <c r="V269" i="7"/>
  <c r="U269" i="7"/>
  <c r="T269" i="7"/>
  <c r="Y268" i="7"/>
  <c r="Z268" i="7" s="1"/>
  <c r="V268" i="7"/>
  <c r="U268" i="7"/>
  <c r="T268" i="7"/>
  <c r="Y267" i="7"/>
  <c r="Z267" i="7" s="1"/>
  <c r="V267" i="7"/>
  <c r="U267" i="7"/>
  <c r="T267" i="7"/>
  <c r="Y266" i="7"/>
  <c r="Z266" i="7" s="1"/>
  <c r="V266" i="7"/>
  <c r="U266" i="7"/>
  <c r="T266" i="7"/>
  <c r="Y265" i="7"/>
  <c r="Z265" i="7" s="1"/>
  <c r="V265" i="7"/>
  <c r="U265" i="7"/>
  <c r="T265" i="7"/>
  <c r="Y264" i="7"/>
  <c r="Z264" i="7" s="1"/>
  <c r="V264" i="7"/>
  <c r="U264" i="7"/>
  <c r="T264" i="7"/>
  <c r="Y263" i="7"/>
  <c r="Z263" i="7" s="1"/>
  <c r="V263" i="7"/>
  <c r="U263" i="7"/>
  <c r="T263" i="7"/>
  <c r="Y262" i="7"/>
  <c r="Z262" i="7" s="1"/>
  <c r="V262" i="7"/>
  <c r="U262" i="7"/>
  <c r="T262" i="7"/>
  <c r="Y261" i="7"/>
  <c r="Z261" i="7" s="1"/>
  <c r="V261" i="7"/>
  <c r="U261" i="7"/>
  <c r="T261" i="7"/>
  <c r="Y260" i="7"/>
  <c r="Z260" i="7" s="1"/>
  <c r="V260" i="7"/>
  <c r="U260" i="7"/>
  <c r="T260" i="7"/>
  <c r="Y259" i="7"/>
  <c r="Z259" i="7" s="1"/>
  <c r="V259" i="7"/>
  <c r="U259" i="7"/>
  <c r="T259" i="7"/>
  <c r="Y258" i="7"/>
  <c r="Z258" i="7" s="1"/>
  <c r="V258" i="7"/>
  <c r="U258" i="7"/>
  <c r="T258" i="7"/>
  <c r="Y257" i="7"/>
  <c r="Z257" i="7" s="1"/>
  <c r="V257" i="7"/>
  <c r="U257" i="7"/>
  <c r="T257" i="7"/>
  <c r="Y256" i="7"/>
  <c r="Z256" i="7" s="1"/>
  <c r="V256" i="7"/>
  <c r="U256" i="7"/>
  <c r="T256" i="7"/>
  <c r="Y255" i="7"/>
  <c r="Z255" i="7" s="1"/>
  <c r="V255" i="7"/>
  <c r="U255" i="7"/>
  <c r="T255" i="7"/>
  <c r="Y254" i="7"/>
  <c r="Z254" i="7" s="1"/>
  <c r="V254" i="7"/>
  <c r="U254" i="7"/>
  <c r="T254" i="7"/>
  <c r="Y253" i="7"/>
  <c r="Z253" i="7" s="1"/>
  <c r="V253" i="7"/>
  <c r="U253" i="7"/>
  <c r="T253" i="7"/>
  <c r="Y252" i="7"/>
  <c r="Z252" i="7" s="1"/>
  <c r="V252" i="7"/>
  <c r="U252" i="7"/>
  <c r="T252" i="7"/>
  <c r="Y251" i="7"/>
  <c r="Z251" i="7" s="1"/>
  <c r="V251" i="7"/>
  <c r="U251" i="7"/>
  <c r="T251" i="7"/>
  <c r="Y250" i="7"/>
  <c r="Z250" i="7" s="1"/>
  <c r="V250" i="7"/>
  <c r="U250" i="7"/>
  <c r="T250" i="7"/>
  <c r="Y249" i="7"/>
  <c r="Z249" i="7" s="1"/>
  <c r="V249" i="7"/>
  <c r="U249" i="7"/>
  <c r="T249" i="7"/>
  <c r="Y248" i="7"/>
  <c r="Z248" i="7" s="1"/>
  <c r="V248" i="7"/>
  <c r="U248" i="7"/>
  <c r="T248" i="7"/>
  <c r="Y247" i="7"/>
  <c r="Z247" i="7" s="1"/>
  <c r="V247" i="7"/>
  <c r="U247" i="7"/>
  <c r="T247" i="7"/>
  <c r="Y246" i="7"/>
  <c r="Z246" i="7" s="1"/>
  <c r="V246" i="7"/>
  <c r="U246" i="7"/>
  <c r="T246" i="7"/>
  <c r="Y245" i="7"/>
  <c r="Z245" i="7" s="1"/>
  <c r="V245" i="7"/>
  <c r="U245" i="7"/>
  <c r="T245" i="7"/>
  <c r="Y244" i="7"/>
  <c r="Z244" i="7" s="1"/>
  <c r="V244" i="7"/>
  <c r="U244" i="7"/>
  <c r="T244" i="7"/>
  <c r="Y243" i="7"/>
  <c r="Z243" i="7" s="1"/>
  <c r="V243" i="7"/>
  <c r="U243" i="7"/>
  <c r="T243" i="7"/>
  <c r="Y242" i="7"/>
  <c r="Z242" i="7" s="1"/>
  <c r="V242" i="7"/>
  <c r="U242" i="7"/>
  <c r="T242" i="7"/>
  <c r="Y241" i="7"/>
  <c r="Z241" i="7" s="1"/>
  <c r="V241" i="7"/>
  <c r="U241" i="7"/>
  <c r="T241" i="7"/>
  <c r="Y240" i="7"/>
  <c r="Z240" i="7" s="1"/>
  <c r="V240" i="7"/>
  <c r="U240" i="7"/>
  <c r="T240" i="7"/>
  <c r="Y239" i="7"/>
  <c r="Z239" i="7" s="1"/>
  <c r="V239" i="7"/>
  <c r="U239" i="7"/>
  <c r="T239" i="7"/>
  <c r="Y238" i="7"/>
  <c r="Z238" i="7" s="1"/>
  <c r="V238" i="7"/>
  <c r="U238" i="7"/>
  <c r="T238" i="7"/>
  <c r="Y237" i="7"/>
  <c r="Z237" i="7" s="1"/>
  <c r="V237" i="7"/>
  <c r="U237" i="7"/>
  <c r="T237" i="7"/>
  <c r="Y236" i="7"/>
  <c r="Z236" i="7" s="1"/>
  <c r="V236" i="7"/>
  <c r="U236" i="7"/>
  <c r="T236" i="7"/>
  <c r="Y235" i="7"/>
  <c r="Z235" i="7" s="1"/>
  <c r="V235" i="7"/>
  <c r="U235" i="7"/>
  <c r="T235" i="7"/>
  <c r="Y234" i="7"/>
  <c r="Z234" i="7" s="1"/>
  <c r="V234" i="7"/>
  <c r="U234" i="7"/>
  <c r="T234" i="7"/>
  <c r="Y233" i="7"/>
  <c r="Z233" i="7" s="1"/>
  <c r="V233" i="7"/>
  <c r="U233" i="7"/>
  <c r="T233" i="7"/>
  <c r="Y232" i="7"/>
  <c r="Z232" i="7" s="1"/>
  <c r="V232" i="7"/>
  <c r="U232" i="7"/>
  <c r="T232" i="7"/>
  <c r="Y231" i="7"/>
  <c r="Z231" i="7" s="1"/>
  <c r="V231" i="7"/>
  <c r="U231" i="7"/>
  <c r="T231" i="7"/>
  <c r="Y230" i="7"/>
  <c r="Z230" i="7" s="1"/>
  <c r="V230" i="7"/>
  <c r="U230" i="7"/>
  <c r="T230" i="7"/>
  <c r="Y229" i="7"/>
  <c r="Z229" i="7" s="1"/>
  <c r="V229" i="7"/>
  <c r="U229" i="7"/>
  <c r="T229" i="7"/>
  <c r="Y228" i="7"/>
  <c r="Z228" i="7" s="1"/>
  <c r="V228" i="7"/>
  <c r="U228" i="7"/>
  <c r="T228" i="7"/>
  <c r="Y227" i="7"/>
  <c r="Z227" i="7" s="1"/>
  <c r="V227" i="7"/>
  <c r="U227" i="7"/>
  <c r="T227" i="7"/>
  <c r="Y226" i="7"/>
  <c r="Z226" i="7" s="1"/>
  <c r="V226" i="7"/>
  <c r="U226" i="7"/>
  <c r="T226" i="7"/>
  <c r="Y225" i="7"/>
  <c r="Z225" i="7" s="1"/>
  <c r="V225" i="7"/>
  <c r="U225" i="7"/>
  <c r="T225" i="7"/>
  <c r="Y224" i="7"/>
  <c r="Z224" i="7" s="1"/>
  <c r="V224" i="7"/>
  <c r="U224" i="7"/>
  <c r="T224" i="7"/>
  <c r="Z223" i="7"/>
  <c r="Y223" i="7"/>
  <c r="V223" i="7"/>
  <c r="U223" i="7"/>
  <c r="T223" i="7"/>
  <c r="Y222" i="7"/>
  <c r="Z222" i="7" s="1"/>
  <c r="V222" i="7"/>
  <c r="U222" i="7"/>
  <c r="T222" i="7"/>
  <c r="Y221" i="7"/>
  <c r="Z221" i="7" s="1"/>
  <c r="V221" i="7"/>
  <c r="U221" i="7"/>
  <c r="T221" i="7"/>
  <c r="Y220" i="7"/>
  <c r="Z220" i="7" s="1"/>
  <c r="V220" i="7"/>
  <c r="U220" i="7"/>
  <c r="T220" i="7"/>
  <c r="Y219" i="7"/>
  <c r="Z219" i="7" s="1"/>
  <c r="V219" i="7"/>
  <c r="U219" i="7"/>
  <c r="T219" i="7"/>
  <c r="Y218" i="7"/>
  <c r="Z218" i="7" s="1"/>
  <c r="V218" i="7"/>
  <c r="U218" i="7"/>
  <c r="T218" i="7"/>
  <c r="Y217" i="7"/>
  <c r="Z217" i="7" s="1"/>
  <c r="V217" i="7"/>
  <c r="U217" i="7"/>
  <c r="T217" i="7"/>
  <c r="Y216" i="7"/>
  <c r="Z216" i="7" s="1"/>
  <c r="V216" i="7"/>
  <c r="U216" i="7"/>
  <c r="T216" i="7"/>
  <c r="Y215" i="7"/>
  <c r="Z215" i="7" s="1"/>
  <c r="V215" i="7"/>
  <c r="U215" i="7"/>
  <c r="T215" i="7"/>
  <c r="Y214" i="7"/>
  <c r="Z214" i="7" s="1"/>
  <c r="V214" i="7"/>
  <c r="U214" i="7"/>
  <c r="T214" i="7"/>
  <c r="Y213" i="7"/>
  <c r="Z213" i="7" s="1"/>
  <c r="V213" i="7"/>
  <c r="U213" i="7"/>
  <c r="T213" i="7"/>
  <c r="Y212" i="7"/>
  <c r="Z212" i="7" s="1"/>
  <c r="V212" i="7"/>
  <c r="U212" i="7"/>
  <c r="T212" i="7"/>
  <c r="Y211" i="7"/>
  <c r="Z211" i="7" s="1"/>
  <c r="V211" i="7"/>
  <c r="U211" i="7"/>
  <c r="T211" i="7"/>
  <c r="Y210" i="7"/>
  <c r="Z210" i="7" s="1"/>
  <c r="V210" i="7"/>
  <c r="U210" i="7"/>
  <c r="T210" i="7"/>
  <c r="Y209" i="7"/>
  <c r="Z209" i="7" s="1"/>
  <c r="V209" i="7"/>
  <c r="U209" i="7"/>
  <c r="T209" i="7"/>
  <c r="Y208" i="7"/>
  <c r="Z208" i="7" s="1"/>
  <c r="V208" i="7"/>
  <c r="U208" i="7"/>
  <c r="T208" i="7"/>
  <c r="Y207" i="7"/>
  <c r="Z207" i="7" s="1"/>
  <c r="V207" i="7"/>
  <c r="U207" i="7"/>
  <c r="T207" i="7"/>
  <c r="Y206" i="7"/>
  <c r="Z206" i="7" s="1"/>
  <c r="V206" i="7"/>
  <c r="U206" i="7"/>
  <c r="T206" i="7"/>
  <c r="Y205" i="7"/>
  <c r="Z205" i="7" s="1"/>
  <c r="V205" i="7"/>
  <c r="U205" i="7"/>
  <c r="T205" i="7"/>
  <c r="Y204" i="7"/>
  <c r="Z204" i="7" s="1"/>
  <c r="V204" i="7"/>
  <c r="U204" i="7"/>
  <c r="T204" i="7"/>
  <c r="Y203" i="7"/>
  <c r="Z203" i="7" s="1"/>
  <c r="V203" i="7"/>
  <c r="U203" i="7"/>
  <c r="T203" i="7"/>
  <c r="Y202" i="7"/>
  <c r="Z202" i="7" s="1"/>
  <c r="V202" i="7"/>
  <c r="U202" i="7"/>
  <c r="T202" i="7"/>
  <c r="Y201" i="7"/>
  <c r="Z201" i="7" s="1"/>
  <c r="V201" i="7"/>
  <c r="U201" i="7"/>
  <c r="T201" i="7"/>
  <c r="Y200" i="7"/>
  <c r="Z200" i="7" s="1"/>
  <c r="V200" i="7"/>
  <c r="U200" i="7"/>
  <c r="T200" i="7"/>
  <c r="Y199" i="7"/>
  <c r="Z199" i="7" s="1"/>
  <c r="V199" i="7"/>
  <c r="U199" i="7"/>
  <c r="T199" i="7"/>
  <c r="Y198" i="7"/>
  <c r="Z198" i="7" s="1"/>
  <c r="V198" i="7"/>
  <c r="U198" i="7"/>
  <c r="T198" i="7"/>
  <c r="Y197" i="7"/>
  <c r="Z197" i="7" s="1"/>
  <c r="V197" i="7"/>
  <c r="U197" i="7"/>
  <c r="T197" i="7"/>
  <c r="Y196" i="7"/>
  <c r="Z196" i="7" s="1"/>
  <c r="V196" i="7"/>
  <c r="U196" i="7"/>
  <c r="T196" i="7"/>
  <c r="Y195" i="7"/>
  <c r="Z195" i="7" s="1"/>
  <c r="V195" i="7"/>
  <c r="U195" i="7"/>
  <c r="T195" i="7"/>
  <c r="Y194" i="7"/>
  <c r="Z194" i="7" s="1"/>
  <c r="V194" i="7"/>
  <c r="U194" i="7"/>
  <c r="T194" i="7"/>
  <c r="Y193" i="7"/>
  <c r="Z193" i="7" s="1"/>
  <c r="V193" i="7"/>
  <c r="U193" i="7"/>
  <c r="T193" i="7"/>
  <c r="Y192" i="7"/>
  <c r="Z192" i="7" s="1"/>
  <c r="V192" i="7"/>
  <c r="U192" i="7"/>
  <c r="T192" i="7"/>
  <c r="Y191" i="7"/>
  <c r="Z191" i="7" s="1"/>
  <c r="V191" i="7"/>
  <c r="U191" i="7"/>
  <c r="T191" i="7"/>
  <c r="Y190" i="7"/>
  <c r="Z190" i="7" s="1"/>
  <c r="V190" i="7"/>
  <c r="U190" i="7"/>
  <c r="T190" i="7"/>
  <c r="Y189" i="7"/>
  <c r="Z189" i="7" s="1"/>
  <c r="V189" i="7"/>
  <c r="U189" i="7"/>
  <c r="T189" i="7"/>
  <c r="Y188" i="7"/>
  <c r="Z188" i="7" s="1"/>
  <c r="V188" i="7"/>
  <c r="U188" i="7"/>
  <c r="T188" i="7"/>
  <c r="Y187" i="7"/>
  <c r="Z187" i="7" s="1"/>
  <c r="V187" i="7"/>
  <c r="U187" i="7"/>
  <c r="T187" i="7"/>
  <c r="Y186" i="7"/>
  <c r="Z186" i="7" s="1"/>
  <c r="V186" i="7"/>
  <c r="U186" i="7"/>
  <c r="T186" i="7"/>
  <c r="Y185" i="7"/>
  <c r="Z185" i="7" s="1"/>
  <c r="V185" i="7"/>
  <c r="U185" i="7"/>
  <c r="T185" i="7"/>
  <c r="Y184" i="7"/>
  <c r="Z184" i="7" s="1"/>
  <c r="V184" i="7"/>
  <c r="U184" i="7"/>
  <c r="T184" i="7"/>
  <c r="Y183" i="7"/>
  <c r="Z183" i="7" s="1"/>
  <c r="V183" i="7"/>
  <c r="U183" i="7"/>
  <c r="T183" i="7"/>
  <c r="Y182" i="7"/>
  <c r="Z182" i="7" s="1"/>
  <c r="V182" i="7"/>
  <c r="U182" i="7"/>
  <c r="T182" i="7"/>
  <c r="Y181" i="7"/>
  <c r="Z181" i="7" s="1"/>
  <c r="V181" i="7"/>
  <c r="U181" i="7"/>
  <c r="T181" i="7"/>
  <c r="Y180" i="7"/>
  <c r="Z180" i="7" s="1"/>
  <c r="V180" i="7"/>
  <c r="U180" i="7"/>
  <c r="T180" i="7"/>
  <c r="Y179" i="7"/>
  <c r="Z179" i="7" s="1"/>
  <c r="V179" i="7"/>
  <c r="U179" i="7"/>
  <c r="T179" i="7"/>
  <c r="Y178" i="7"/>
  <c r="Z178" i="7" s="1"/>
  <c r="V178" i="7"/>
  <c r="U178" i="7"/>
  <c r="T178" i="7"/>
  <c r="Y177" i="7"/>
  <c r="Z177" i="7" s="1"/>
  <c r="V177" i="7"/>
  <c r="U177" i="7"/>
  <c r="T177" i="7"/>
  <c r="Y176" i="7"/>
  <c r="Z176" i="7" s="1"/>
  <c r="V176" i="7"/>
  <c r="U176" i="7"/>
  <c r="T176" i="7"/>
  <c r="Y175" i="7"/>
  <c r="Z175" i="7" s="1"/>
  <c r="V175" i="7"/>
  <c r="U175" i="7"/>
  <c r="T175" i="7"/>
  <c r="Y174" i="7"/>
  <c r="Z174" i="7" s="1"/>
  <c r="V174" i="7"/>
  <c r="U174" i="7"/>
  <c r="T174" i="7"/>
  <c r="Y173" i="7"/>
  <c r="Z173" i="7" s="1"/>
  <c r="V173" i="7"/>
  <c r="U173" i="7"/>
  <c r="T173" i="7"/>
  <c r="Y172" i="7"/>
  <c r="Z172" i="7" s="1"/>
  <c r="V172" i="7"/>
  <c r="U172" i="7"/>
  <c r="T172" i="7"/>
  <c r="Y171" i="7"/>
  <c r="Z171" i="7" s="1"/>
  <c r="V171" i="7"/>
  <c r="U171" i="7"/>
  <c r="T171" i="7"/>
  <c r="Y170" i="7"/>
  <c r="Z170" i="7" s="1"/>
  <c r="V170" i="7"/>
  <c r="U170" i="7"/>
  <c r="T170" i="7"/>
  <c r="Y169" i="7"/>
  <c r="Z169" i="7" s="1"/>
  <c r="V169" i="7"/>
  <c r="U169" i="7"/>
  <c r="T169" i="7"/>
  <c r="Y168" i="7"/>
  <c r="Z168" i="7" s="1"/>
  <c r="V168" i="7"/>
  <c r="U168" i="7"/>
  <c r="T168" i="7"/>
  <c r="Y167" i="7"/>
  <c r="Z167" i="7" s="1"/>
  <c r="V167" i="7"/>
  <c r="U167" i="7"/>
  <c r="T167" i="7"/>
  <c r="Y166" i="7"/>
  <c r="Z166" i="7" s="1"/>
  <c r="V166" i="7"/>
  <c r="U166" i="7"/>
  <c r="T166" i="7"/>
  <c r="Y165" i="7"/>
  <c r="Z165" i="7" s="1"/>
  <c r="V165" i="7"/>
  <c r="U165" i="7"/>
  <c r="T165" i="7"/>
  <c r="Y164" i="7"/>
  <c r="Z164" i="7" s="1"/>
  <c r="V164" i="7"/>
  <c r="U164" i="7"/>
  <c r="T164" i="7"/>
  <c r="Y163" i="7"/>
  <c r="Z163" i="7" s="1"/>
  <c r="V163" i="7"/>
  <c r="U163" i="7"/>
  <c r="T163" i="7"/>
  <c r="Y162" i="7"/>
  <c r="Z162" i="7" s="1"/>
  <c r="V162" i="7"/>
  <c r="U162" i="7"/>
  <c r="T162" i="7"/>
  <c r="Y161" i="7"/>
  <c r="Z161" i="7" s="1"/>
  <c r="V161" i="7"/>
  <c r="U161" i="7"/>
  <c r="T161" i="7"/>
  <c r="Y160" i="7"/>
  <c r="Z160" i="7" s="1"/>
  <c r="V160" i="7"/>
  <c r="U160" i="7"/>
  <c r="T160" i="7"/>
  <c r="Y159" i="7"/>
  <c r="Z159" i="7" s="1"/>
  <c r="V159" i="7"/>
  <c r="U159" i="7"/>
  <c r="T159" i="7"/>
  <c r="Y158" i="7"/>
  <c r="Z158" i="7" s="1"/>
  <c r="V158" i="7"/>
  <c r="U158" i="7"/>
  <c r="T158" i="7"/>
  <c r="Y157" i="7"/>
  <c r="Z157" i="7" s="1"/>
  <c r="V157" i="7"/>
  <c r="U157" i="7"/>
  <c r="T157" i="7"/>
  <c r="Y156" i="7"/>
  <c r="Z156" i="7" s="1"/>
  <c r="V156" i="7"/>
  <c r="U156" i="7"/>
  <c r="T156" i="7"/>
  <c r="Y155" i="7"/>
  <c r="Z155" i="7" s="1"/>
  <c r="V155" i="7"/>
  <c r="U155" i="7"/>
  <c r="T155" i="7"/>
  <c r="Y154" i="7"/>
  <c r="Z154" i="7" s="1"/>
  <c r="V154" i="7"/>
  <c r="U154" i="7"/>
  <c r="T154" i="7"/>
  <c r="Y153" i="7"/>
  <c r="Z153" i="7" s="1"/>
  <c r="V153" i="7"/>
  <c r="U153" i="7"/>
  <c r="T153" i="7"/>
  <c r="Y152" i="7"/>
  <c r="Z152" i="7" s="1"/>
  <c r="V152" i="7"/>
  <c r="U152" i="7"/>
  <c r="T152" i="7"/>
  <c r="Y151" i="7"/>
  <c r="Z151" i="7" s="1"/>
  <c r="V151" i="7"/>
  <c r="U151" i="7"/>
  <c r="T151" i="7"/>
  <c r="Y150" i="7"/>
  <c r="Z150" i="7" s="1"/>
  <c r="V150" i="7"/>
  <c r="U150" i="7"/>
  <c r="T150" i="7"/>
  <c r="Y149" i="7"/>
  <c r="Z149" i="7" s="1"/>
  <c r="V149" i="7"/>
  <c r="U149" i="7"/>
  <c r="T149" i="7"/>
  <c r="Y148" i="7"/>
  <c r="Z148" i="7" s="1"/>
  <c r="V148" i="7"/>
  <c r="U148" i="7"/>
  <c r="T148" i="7"/>
  <c r="Y147" i="7"/>
  <c r="Z147" i="7" s="1"/>
  <c r="V147" i="7"/>
  <c r="U147" i="7"/>
  <c r="T147" i="7"/>
  <c r="Y146" i="7"/>
  <c r="Z146" i="7" s="1"/>
  <c r="V146" i="7"/>
  <c r="U146" i="7"/>
  <c r="T146" i="7"/>
  <c r="Y145" i="7"/>
  <c r="Z145" i="7" s="1"/>
  <c r="V145" i="7"/>
  <c r="U145" i="7"/>
  <c r="T145" i="7"/>
  <c r="Y144" i="7"/>
  <c r="Z144" i="7" s="1"/>
  <c r="V144" i="7"/>
  <c r="U144" i="7"/>
  <c r="T144" i="7"/>
  <c r="Y143" i="7"/>
  <c r="Z143" i="7" s="1"/>
  <c r="V143" i="7"/>
  <c r="U143" i="7"/>
  <c r="T143" i="7"/>
  <c r="Y142" i="7"/>
  <c r="Z142" i="7" s="1"/>
  <c r="V142" i="7"/>
  <c r="U142" i="7"/>
  <c r="T142" i="7"/>
  <c r="Y141" i="7"/>
  <c r="Z141" i="7" s="1"/>
  <c r="V141" i="7"/>
  <c r="U141" i="7"/>
  <c r="T141" i="7"/>
  <c r="Y140" i="7"/>
  <c r="Z140" i="7" s="1"/>
  <c r="V140" i="7"/>
  <c r="U140" i="7"/>
  <c r="T140" i="7"/>
  <c r="Y139" i="7"/>
  <c r="Z139" i="7" s="1"/>
  <c r="V139" i="7"/>
  <c r="U139" i="7"/>
  <c r="T139" i="7"/>
  <c r="Y138" i="7"/>
  <c r="Z138" i="7" s="1"/>
  <c r="V138" i="7"/>
  <c r="U138" i="7"/>
  <c r="T138" i="7"/>
  <c r="Y137" i="7"/>
  <c r="Z137" i="7" s="1"/>
  <c r="V137" i="7"/>
  <c r="U137" i="7"/>
  <c r="T137" i="7"/>
  <c r="Y136" i="7"/>
  <c r="Z136" i="7" s="1"/>
  <c r="V136" i="7"/>
  <c r="U136" i="7"/>
  <c r="T136" i="7"/>
  <c r="Y135" i="7"/>
  <c r="Z135" i="7" s="1"/>
  <c r="V135" i="7"/>
  <c r="U135" i="7"/>
  <c r="T135" i="7"/>
  <c r="Y134" i="7"/>
  <c r="Z134" i="7" s="1"/>
  <c r="V134" i="7"/>
  <c r="U134" i="7"/>
  <c r="T134" i="7"/>
  <c r="Y133" i="7"/>
  <c r="Z133" i="7" s="1"/>
  <c r="V133" i="7"/>
  <c r="U133" i="7"/>
  <c r="T133" i="7"/>
  <c r="Y132" i="7"/>
  <c r="Z132" i="7" s="1"/>
  <c r="V132" i="7"/>
  <c r="U132" i="7"/>
  <c r="T132" i="7"/>
  <c r="Y131" i="7"/>
  <c r="Z131" i="7" s="1"/>
  <c r="V131" i="7"/>
  <c r="U131" i="7"/>
  <c r="T131" i="7"/>
  <c r="Y130" i="7"/>
  <c r="Z130" i="7" s="1"/>
  <c r="V130" i="7"/>
  <c r="U130" i="7"/>
  <c r="T130" i="7"/>
  <c r="Y129" i="7"/>
  <c r="Z129" i="7" s="1"/>
  <c r="V129" i="7"/>
  <c r="U129" i="7"/>
  <c r="T129" i="7"/>
  <c r="Y128" i="7"/>
  <c r="Z128" i="7" s="1"/>
  <c r="V128" i="7"/>
  <c r="U128" i="7"/>
  <c r="T128" i="7"/>
  <c r="Y127" i="7"/>
  <c r="Z127" i="7" s="1"/>
  <c r="V127" i="7"/>
  <c r="U127" i="7"/>
  <c r="T127" i="7"/>
  <c r="Y126" i="7"/>
  <c r="Z126" i="7" s="1"/>
  <c r="V126" i="7"/>
  <c r="U126" i="7"/>
  <c r="T126" i="7"/>
  <c r="Y125" i="7"/>
  <c r="Z125" i="7" s="1"/>
  <c r="V125" i="7"/>
  <c r="U125" i="7"/>
  <c r="T125" i="7"/>
  <c r="Y124" i="7"/>
  <c r="Z124" i="7" s="1"/>
  <c r="V124" i="7"/>
  <c r="U124" i="7"/>
  <c r="T124" i="7"/>
  <c r="Y123" i="7"/>
  <c r="Z123" i="7" s="1"/>
  <c r="V123" i="7"/>
  <c r="U123" i="7"/>
  <c r="T123" i="7"/>
  <c r="Y122" i="7"/>
  <c r="Z122" i="7" s="1"/>
  <c r="V122" i="7"/>
  <c r="U122" i="7"/>
  <c r="T122" i="7"/>
  <c r="Y121" i="7"/>
  <c r="Z121" i="7" s="1"/>
  <c r="V121" i="7"/>
  <c r="U121" i="7"/>
  <c r="T121" i="7"/>
  <c r="Y120" i="7"/>
  <c r="Z120" i="7" s="1"/>
  <c r="V120" i="7"/>
  <c r="U120" i="7"/>
  <c r="T120" i="7"/>
  <c r="Y119" i="7"/>
  <c r="Z119" i="7" s="1"/>
  <c r="V119" i="7"/>
  <c r="U119" i="7"/>
  <c r="T119" i="7"/>
  <c r="Y118" i="7"/>
  <c r="Z118" i="7" s="1"/>
  <c r="V118" i="7"/>
  <c r="U118" i="7"/>
  <c r="T118" i="7"/>
  <c r="Y117" i="7"/>
  <c r="Z117" i="7" s="1"/>
  <c r="V117" i="7"/>
  <c r="U117" i="7"/>
  <c r="T117" i="7"/>
  <c r="Y116" i="7"/>
  <c r="Z116" i="7" s="1"/>
  <c r="V116" i="7"/>
  <c r="U116" i="7"/>
  <c r="T116" i="7"/>
  <c r="Y115" i="7"/>
  <c r="Z115" i="7" s="1"/>
  <c r="V115" i="7"/>
  <c r="U115" i="7"/>
  <c r="T115" i="7"/>
  <c r="Y114" i="7"/>
  <c r="Z114" i="7" s="1"/>
  <c r="V114" i="7"/>
  <c r="U114" i="7"/>
  <c r="T114" i="7"/>
  <c r="Y113" i="7"/>
  <c r="Z113" i="7" s="1"/>
  <c r="V113" i="7"/>
  <c r="U113" i="7"/>
  <c r="T113" i="7"/>
  <c r="Y112" i="7"/>
  <c r="Z112" i="7" s="1"/>
  <c r="V112" i="7"/>
  <c r="U112" i="7"/>
  <c r="T112" i="7"/>
  <c r="Y111" i="7"/>
  <c r="Z111" i="7" s="1"/>
  <c r="V111" i="7"/>
  <c r="U111" i="7"/>
  <c r="T111" i="7"/>
  <c r="Y110" i="7"/>
  <c r="Z110" i="7" s="1"/>
  <c r="V110" i="7"/>
  <c r="U110" i="7"/>
  <c r="T110" i="7"/>
  <c r="Y109" i="7"/>
  <c r="Z109" i="7" s="1"/>
  <c r="V109" i="7"/>
  <c r="U109" i="7"/>
  <c r="T109" i="7"/>
  <c r="Y108" i="7"/>
  <c r="Z108" i="7" s="1"/>
  <c r="V108" i="7"/>
  <c r="U108" i="7"/>
  <c r="T108" i="7"/>
  <c r="Y107" i="7"/>
  <c r="Z107" i="7" s="1"/>
  <c r="V107" i="7"/>
  <c r="U107" i="7"/>
  <c r="T107" i="7"/>
  <c r="Y106" i="7"/>
  <c r="Z106" i="7" s="1"/>
  <c r="V106" i="7"/>
  <c r="U106" i="7"/>
  <c r="T106" i="7"/>
  <c r="Y105" i="7"/>
  <c r="Z105" i="7" s="1"/>
  <c r="V105" i="7"/>
  <c r="U105" i="7"/>
  <c r="T105" i="7"/>
  <c r="Y104" i="7"/>
  <c r="Z104" i="7" s="1"/>
  <c r="V104" i="7"/>
  <c r="U104" i="7"/>
  <c r="T104" i="7"/>
  <c r="Y103" i="7"/>
  <c r="Z103" i="7" s="1"/>
  <c r="V103" i="7"/>
  <c r="U103" i="7"/>
  <c r="T103" i="7"/>
  <c r="Y102" i="7"/>
  <c r="Z102" i="7" s="1"/>
  <c r="V102" i="7"/>
  <c r="U102" i="7"/>
  <c r="T102" i="7"/>
  <c r="Y101" i="7"/>
  <c r="Z101" i="7" s="1"/>
  <c r="V101" i="7"/>
  <c r="U101" i="7"/>
  <c r="T101" i="7"/>
  <c r="Y100" i="7"/>
  <c r="Z100" i="7" s="1"/>
  <c r="V100" i="7"/>
  <c r="U100" i="7"/>
  <c r="T100" i="7"/>
  <c r="Y99" i="7"/>
  <c r="Z99" i="7" s="1"/>
  <c r="V99" i="7"/>
  <c r="U99" i="7"/>
  <c r="T99" i="7"/>
  <c r="Y98" i="7"/>
  <c r="Z98" i="7" s="1"/>
  <c r="V98" i="7"/>
  <c r="U98" i="7"/>
  <c r="T98" i="7"/>
  <c r="Y97" i="7"/>
  <c r="Z97" i="7" s="1"/>
  <c r="V97" i="7"/>
  <c r="U97" i="7"/>
  <c r="T97" i="7"/>
  <c r="Y96" i="7"/>
  <c r="Z96" i="7" s="1"/>
  <c r="V96" i="7"/>
  <c r="U96" i="7"/>
  <c r="T96" i="7"/>
  <c r="Y95" i="7"/>
  <c r="Z95" i="7" s="1"/>
  <c r="V95" i="7"/>
  <c r="U95" i="7"/>
  <c r="T95" i="7"/>
  <c r="Y94" i="7"/>
  <c r="Z94" i="7" s="1"/>
  <c r="V94" i="7"/>
  <c r="U94" i="7"/>
  <c r="T94" i="7"/>
  <c r="Y93" i="7"/>
  <c r="Z93" i="7" s="1"/>
  <c r="V93" i="7"/>
  <c r="U93" i="7"/>
  <c r="T93" i="7"/>
  <c r="Y92" i="7"/>
  <c r="Z92" i="7" s="1"/>
  <c r="V92" i="7"/>
  <c r="U92" i="7"/>
  <c r="T92" i="7"/>
  <c r="Y91" i="7"/>
  <c r="Z91" i="7" s="1"/>
  <c r="V91" i="7"/>
  <c r="U91" i="7"/>
  <c r="T91" i="7"/>
  <c r="Y90" i="7"/>
  <c r="Z90" i="7" s="1"/>
  <c r="V90" i="7"/>
  <c r="U90" i="7"/>
  <c r="T90" i="7"/>
  <c r="Y89" i="7"/>
  <c r="Z89" i="7" s="1"/>
  <c r="V89" i="7"/>
  <c r="U89" i="7"/>
  <c r="T89" i="7"/>
  <c r="Y88" i="7"/>
  <c r="Z88" i="7" s="1"/>
  <c r="V88" i="7"/>
  <c r="U88" i="7"/>
  <c r="T88" i="7"/>
  <c r="Y87" i="7"/>
  <c r="Z87" i="7" s="1"/>
  <c r="V87" i="7"/>
  <c r="U87" i="7"/>
  <c r="T87" i="7"/>
  <c r="Y86" i="7"/>
  <c r="Z86" i="7" s="1"/>
  <c r="V86" i="7"/>
  <c r="U86" i="7"/>
  <c r="T86" i="7"/>
  <c r="Y85" i="7"/>
  <c r="Z85" i="7" s="1"/>
  <c r="V85" i="7"/>
  <c r="U85" i="7"/>
  <c r="T85" i="7"/>
  <c r="Z84" i="7"/>
  <c r="Y84" i="7"/>
  <c r="V84" i="7"/>
  <c r="U84" i="7"/>
  <c r="T84" i="7"/>
  <c r="Y83" i="7"/>
  <c r="Z83" i="7" s="1"/>
  <c r="V83" i="7"/>
  <c r="U83" i="7"/>
  <c r="T83" i="7"/>
  <c r="Y82" i="7"/>
  <c r="Z82" i="7" s="1"/>
  <c r="V82" i="7"/>
  <c r="U82" i="7"/>
  <c r="T82" i="7"/>
  <c r="Y81" i="7"/>
  <c r="Z81" i="7" s="1"/>
  <c r="V81" i="7"/>
  <c r="U81" i="7"/>
  <c r="T81" i="7"/>
  <c r="Y80" i="7"/>
  <c r="Z80" i="7" s="1"/>
  <c r="V80" i="7"/>
  <c r="U80" i="7"/>
  <c r="T80" i="7"/>
  <c r="Y79" i="7"/>
  <c r="Z79" i="7" s="1"/>
  <c r="V79" i="7"/>
  <c r="U79" i="7"/>
  <c r="T79" i="7"/>
  <c r="Y78" i="7"/>
  <c r="Z78" i="7" s="1"/>
  <c r="V78" i="7"/>
  <c r="U78" i="7"/>
  <c r="T78" i="7"/>
  <c r="Y77" i="7"/>
  <c r="Z77" i="7" s="1"/>
  <c r="V77" i="7"/>
  <c r="U77" i="7"/>
  <c r="T77" i="7"/>
  <c r="Y76" i="7"/>
  <c r="Z76" i="7" s="1"/>
  <c r="V76" i="7"/>
  <c r="U76" i="7"/>
  <c r="T76" i="7"/>
  <c r="Y75" i="7"/>
  <c r="Z75" i="7" s="1"/>
  <c r="V75" i="7"/>
  <c r="U75" i="7"/>
  <c r="T75" i="7"/>
  <c r="Y74" i="7"/>
  <c r="Z74" i="7" s="1"/>
  <c r="V74" i="7"/>
  <c r="U74" i="7"/>
  <c r="T74" i="7"/>
  <c r="Y73" i="7"/>
  <c r="Z73" i="7" s="1"/>
  <c r="V73" i="7"/>
  <c r="U73" i="7"/>
  <c r="T73" i="7"/>
  <c r="Y72" i="7"/>
  <c r="Z72" i="7" s="1"/>
  <c r="V72" i="7"/>
  <c r="U72" i="7"/>
  <c r="T72" i="7"/>
  <c r="Y71" i="7"/>
  <c r="Z71" i="7" s="1"/>
  <c r="V71" i="7"/>
  <c r="U71" i="7"/>
  <c r="T71" i="7"/>
  <c r="Y70" i="7"/>
  <c r="Z70" i="7" s="1"/>
  <c r="V70" i="7"/>
  <c r="U70" i="7"/>
  <c r="T70" i="7"/>
  <c r="Y69" i="7"/>
  <c r="Z69" i="7" s="1"/>
  <c r="V69" i="7"/>
  <c r="U69" i="7"/>
  <c r="T69" i="7"/>
  <c r="Y68" i="7"/>
  <c r="Z68" i="7" s="1"/>
  <c r="V68" i="7"/>
  <c r="U68" i="7"/>
  <c r="T68" i="7"/>
  <c r="Y67" i="7"/>
  <c r="Z67" i="7" s="1"/>
  <c r="V67" i="7"/>
  <c r="U67" i="7"/>
  <c r="T67" i="7"/>
  <c r="Y66" i="7"/>
  <c r="Z66" i="7" s="1"/>
  <c r="V66" i="7"/>
  <c r="U66" i="7"/>
  <c r="T66" i="7"/>
  <c r="Y65" i="7"/>
  <c r="Z65" i="7" s="1"/>
  <c r="V65" i="7"/>
  <c r="U65" i="7"/>
  <c r="T65" i="7"/>
  <c r="Y64" i="7"/>
  <c r="Z64" i="7" s="1"/>
  <c r="V64" i="7"/>
  <c r="U64" i="7"/>
  <c r="T64" i="7"/>
  <c r="Y63" i="7"/>
  <c r="Z63" i="7" s="1"/>
  <c r="V63" i="7"/>
  <c r="U63" i="7"/>
  <c r="T63" i="7"/>
  <c r="Y62" i="7"/>
  <c r="Z62" i="7" s="1"/>
  <c r="V62" i="7"/>
  <c r="U62" i="7"/>
  <c r="T62" i="7"/>
  <c r="Y61" i="7"/>
  <c r="Z61" i="7" s="1"/>
  <c r="V61" i="7"/>
  <c r="U61" i="7"/>
  <c r="T61" i="7"/>
  <c r="Y60" i="7"/>
  <c r="Z60" i="7" s="1"/>
  <c r="V60" i="7"/>
  <c r="U60" i="7"/>
  <c r="T60" i="7"/>
  <c r="Y59" i="7"/>
  <c r="Z59" i="7" s="1"/>
  <c r="V59" i="7"/>
  <c r="U59" i="7"/>
  <c r="T59" i="7"/>
  <c r="Y58" i="7"/>
  <c r="Z58" i="7" s="1"/>
  <c r="V58" i="7"/>
  <c r="U58" i="7"/>
  <c r="T58" i="7"/>
  <c r="Y57" i="7"/>
  <c r="Z57" i="7" s="1"/>
  <c r="V57" i="7"/>
  <c r="U57" i="7"/>
  <c r="T57" i="7"/>
  <c r="Y56" i="7"/>
  <c r="Z56" i="7" s="1"/>
  <c r="V56" i="7"/>
  <c r="U56" i="7"/>
  <c r="T56" i="7"/>
  <c r="Y55" i="7"/>
  <c r="Z55" i="7" s="1"/>
  <c r="V55" i="7"/>
  <c r="U55" i="7"/>
  <c r="T55" i="7"/>
  <c r="Y54" i="7"/>
  <c r="Z54" i="7" s="1"/>
  <c r="V54" i="7"/>
  <c r="U54" i="7"/>
  <c r="T54" i="7"/>
  <c r="Y53" i="7"/>
  <c r="Z53" i="7" s="1"/>
  <c r="V53" i="7"/>
  <c r="U53" i="7"/>
  <c r="T53" i="7"/>
  <c r="Y52" i="7"/>
  <c r="Z52" i="7" s="1"/>
  <c r="V52" i="7"/>
  <c r="U52" i="7"/>
  <c r="T52" i="7"/>
  <c r="Y51" i="7"/>
  <c r="Z51" i="7" s="1"/>
  <c r="V51" i="7"/>
  <c r="U51" i="7"/>
  <c r="T51" i="7"/>
  <c r="Y50" i="7"/>
  <c r="Z50" i="7" s="1"/>
  <c r="V50" i="7"/>
  <c r="U50" i="7"/>
  <c r="T50" i="7"/>
  <c r="Y49" i="7"/>
  <c r="Z49" i="7" s="1"/>
  <c r="V49" i="7"/>
  <c r="U49" i="7"/>
  <c r="T49" i="7"/>
  <c r="Y48" i="7"/>
  <c r="Z48" i="7" s="1"/>
  <c r="V48" i="7"/>
  <c r="U48" i="7"/>
  <c r="T48" i="7"/>
  <c r="Y47" i="7"/>
  <c r="Z47" i="7" s="1"/>
  <c r="V47" i="7"/>
  <c r="U47" i="7"/>
  <c r="T47" i="7"/>
  <c r="Y46" i="7"/>
  <c r="Z46" i="7" s="1"/>
  <c r="V46" i="7"/>
  <c r="U46" i="7"/>
  <c r="T46" i="7"/>
  <c r="Y45" i="7"/>
  <c r="Z45" i="7" s="1"/>
  <c r="V45" i="7"/>
  <c r="U45" i="7"/>
  <c r="T45" i="7"/>
  <c r="Y44" i="7"/>
  <c r="Z44" i="7" s="1"/>
  <c r="V44" i="7"/>
  <c r="U44" i="7"/>
  <c r="T44" i="7"/>
  <c r="Y43" i="7"/>
  <c r="Z43" i="7" s="1"/>
  <c r="V43" i="7"/>
  <c r="U43" i="7"/>
  <c r="T43" i="7"/>
  <c r="Y42" i="7"/>
  <c r="Z42" i="7" s="1"/>
  <c r="V42" i="7"/>
  <c r="U42" i="7"/>
  <c r="T42" i="7"/>
  <c r="Y41" i="7"/>
  <c r="Z41" i="7" s="1"/>
  <c r="V41" i="7"/>
  <c r="U41" i="7"/>
  <c r="T41" i="7"/>
  <c r="Y40" i="7"/>
  <c r="Z40" i="7" s="1"/>
  <c r="V40" i="7"/>
  <c r="U40" i="7"/>
  <c r="T40" i="7"/>
  <c r="Y39" i="7"/>
  <c r="Z39" i="7" s="1"/>
  <c r="V39" i="7"/>
  <c r="U39" i="7"/>
  <c r="T39" i="7"/>
  <c r="Y38" i="7"/>
  <c r="Z38" i="7" s="1"/>
  <c r="V38" i="7"/>
  <c r="U38" i="7"/>
  <c r="T38" i="7"/>
  <c r="Y37" i="7"/>
  <c r="Z37" i="7" s="1"/>
  <c r="V37" i="7"/>
  <c r="U37" i="7"/>
  <c r="T37" i="7"/>
  <c r="Y36" i="7"/>
  <c r="Z36" i="7" s="1"/>
  <c r="V36" i="7"/>
  <c r="U36" i="7"/>
  <c r="T36" i="7"/>
  <c r="Y35" i="7"/>
  <c r="Z35" i="7" s="1"/>
  <c r="V35" i="7"/>
  <c r="U35" i="7"/>
  <c r="T35" i="7"/>
  <c r="Y34" i="7"/>
  <c r="Z34" i="7" s="1"/>
  <c r="V34" i="7"/>
  <c r="U34" i="7"/>
  <c r="T34" i="7"/>
  <c r="Y33" i="7"/>
  <c r="Z33" i="7" s="1"/>
  <c r="V33" i="7"/>
  <c r="U33" i="7"/>
  <c r="T33" i="7"/>
  <c r="Y32" i="7"/>
  <c r="Z32" i="7" s="1"/>
  <c r="V32" i="7"/>
  <c r="U32" i="7"/>
  <c r="T32" i="7"/>
  <c r="Y31" i="7"/>
  <c r="Z31" i="7" s="1"/>
  <c r="V31" i="7"/>
  <c r="U31" i="7"/>
  <c r="T31" i="7"/>
  <c r="Y30" i="7"/>
  <c r="Z30" i="7" s="1"/>
  <c r="V30" i="7"/>
  <c r="U30" i="7"/>
  <c r="T30" i="7"/>
  <c r="Y29" i="7"/>
  <c r="Z29" i="7" s="1"/>
  <c r="V29" i="7"/>
  <c r="U29" i="7"/>
  <c r="T29" i="7"/>
  <c r="Y28" i="7"/>
  <c r="Z28" i="7" s="1"/>
  <c r="V28" i="7"/>
  <c r="U28" i="7"/>
  <c r="T28" i="7"/>
  <c r="Y27" i="7"/>
  <c r="Z27" i="7" s="1"/>
  <c r="V27" i="7"/>
  <c r="U27" i="7"/>
  <c r="T27" i="7"/>
  <c r="Y26" i="7"/>
  <c r="Z26" i="7" s="1"/>
  <c r="V26" i="7"/>
  <c r="U26" i="7"/>
  <c r="T26" i="7"/>
  <c r="Y25" i="7"/>
  <c r="Z25" i="7" s="1"/>
  <c r="V25" i="7"/>
  <c r="U25" i="7"/>
  <c r="T25" i="7"/>
  <c r="Y24" i="7"/>
  <c r="Z24" i="7" s="1"/>
  <c r="V24" i="7"/>
  <c r="U24" i="7"/>
  <c r="T24" i="7"/>
  <c r="Y23" i="7"/>
  <c r="Z23" i="7" s="1"/>
  <c r="V23" i="7"/>
  <c r="U23" i="7"/>
  <c r="T23" i="7"/>
  <c r="Y22" i="7"/>
  <c r="Z22" i="7" s="1"/>
  <c r="V22" i="7"/>
  <c r="U22" i="7"/>
  <c r="T22" i="7"/>
  <c r="Y21" i="7"/>
  <c r="Z21" i="7" s="1"/>
  <c r="V21" i="7"/>
  <c r="U21" i="7"/>
  <c r="T21" i="7"/>
  <c r="Y20" i="7"/>
  <c r="Z20" i="7" s="1"/>
  <c r="V20" i="7"/>
  <c r="U20" i="7"/>
  <c r="T20" i="7"/>
  <c r="Y19" i="7"/>
  <c r="Z19" i="7" s="1"/>
  <c r="V19" i="7"/>
  <c r="U19" i="7"/>
  <c r="T19" i="7"/>
  <c r="Y18" i="7"/>
  <c r="Z18" i="7" s="1"/>
  <c r="V18" i="7"/>
  <c r="U18" i="7"/>
  <c r="T18" i="7"/>
  <c r="Y17" i="7"/>
  <c r="Z17" i="7" s="1"/>
  <c r="V17" i="7"/>
  <c r="U17" i="7"/>
  <c r="T17" i="7"/>
  <c r="Y16" i="7"/>
  <c r="Z16" i="7" s="1"/>
  <c r="V16" i="7"/>
  <c r="U16" i="7"/>
  <c r="T16" i="7"/>
  <c r="Y15" i="7"/>
  <c r="Z15" i="7" s="1"/>
  <c r="V15" i="7"/>
  <c r="U15" i="7"/>
  <c r="T15" i="7"/>
  <c r="Y14" i="7"/>
  <c r="Z14" i="7" s="1"/>
  <c r="V14" i="7"/>
  <c r="U14" i="7"/>
  <c r="T14" i="7"/>
  <c r="Y13" i="7"/>
  <c r="Z13" i="7" s="1"/>
  <c r="V13" i="7"/>
  <c r="U13" i="7"/>
  <c r="T13" i="7"/>
  <c r="Y12" i="7"/>
  <c r="Z12" i="7" s="1"/>
  <c r="V12" i="7"/>
  <c r="U12" i="7"/>
  <c r="T12" i="7"/>
  <c r="Y11" i="7"/>
  <c r="Z11" i="7" s="1"/>
  <c r="V11" i="7"/>
  <c r="U11" i="7"/>
  <c r="T11" i="7"/>
  <c r="Y10" i="7"/>
  <c r="Z10" i="7" s="1"/>
  <c r="V10" i="7"/>
  <c r="U10" i="7"/>
  <c r="T10" i="7"/>
  <c r="Y9" i="7"/>
  <c r="Z9" i="7" s="1"/>
  <c r="T9" i="7"/>
  <c r="V9" i="7" s="1"/>
  <c r="Y8" i="7"/>
  <c r="Z8" i="7" s="1"/>
  <c r="T8" i="7"/>
  <c r="U8" i="7" s="1"/>
  <c r="Y7" i="7"/>
  <c r="Z7" i="7" s="1"/>
  <c r="T7" i="7"/>
  <c r="V7" i="7" s="1"/>
  <c r="Y6" i="7"/>
  <c r="Z6" i="7" s="1"/>
  <c r="T6" i="7"/>
  <c r="V6" i="7" s="1"/>
  <c r="Y5" i="7"/>
  <c r="Z5" i="7" s="1"/>
  <c r="T5" i="7"/>
  <c r="V5" i="7" s="1"/>
  <c r="Z301" i="6"/>
  <c r="AA301" i="6" s="1"/>
  <c r="W301" i="6"/>
  <c r="V301" i="6"/>
  <c r="U301" i="6"/>
  <c r="Z300" i="6"/>
  <c r="AA300" i="6" s="1"/>
  <c r="W300" i="6"/>
  <c r="V300" i="6"/>
  <c r="U300" i="6"/>
  <c r="Z299" i="6"/>
  <c r="AA299" i="6" s="1"/>
  <c r="W299" i="6"/>
  <c r="V299" i="6"/>
  <c r="U299" i="6"/>
  <c r="Z298" i="6"/>
  <c r="AA298" i="6" s="1"/>
  <c r="W298" i="6"/>
  <c r="V298" i="6"/>
  <c r="U298" i="6"/>
  <c r="Z297" i="6"/>
  <c r="AA297" i="6" s="1"/>
  <c r="W297" i="6"/>
  <c r="V297" i="6"/>
  <c r="U297" i="6"/>
  <c r="Z296" i="6"/>
  <c r="AA296" i="6" s="1"/>
  <c r="W296" i="6"/>
  <c r="V296" i="6"/>
  <c r="U296" i="6"/>
  <c r="Z295" i="6"/>
  <c r="AA295" i="6" s="1"/>
  <c r="W295" i="6"/>
  <c r="V295" i="6"/>
  <c r="U295" i="6"/>
  <c r="Z294" i="6"/>
  <c r="AA294" i="6" s="1"/>
  <c r="W294" i="6"/>
  <c r="V294" i="6"/>
  <c r="U294" i="6"/>
  <c r="Z293" i="6"/>
  <c r="AA293" i="6" s="1"/>
  <c r="W293" i="6"/>
  <c r="V293" i="6"/>
  <c r="U293" i="6"/>
  <c r="Z292" i="6"/>
  <c r="AA292" i="6" s="1"/>
  <c r="W292" i="6"/>
  <c r="V292" i="6"/>
  <c r="U292" i="6"/>
  <c r="W291" i="6"/>
  <c r="V291" i="6"/>
  <c r="U291" i="6"/>
  <c r="W290" i="6"/>
  <c r="V290" i="6"/>
  <c r="U290" i="6"/>
  <c r="W289" i="6"/>
  <c r="V289" i="6"/>
  <c r="U289" i="6"/>
  <c r="W288" i="6"/>
  <c r="V288" i="6"/>
  <c r="U288" i="6"/>
  <c r="W287" i="6"/>
  <c r="V287" i="6"/>
  <c r="U287" i="6"/>
  <c r="W286" i="6"/>
  <c r="V286" i="6"/>
  <c r="U286" i="6"/>
  <c r="W285" i="6"/>
  <c r="V285" i="6"/>
  <c r="U285" i="6"/>
  <c r="W284" i="6"/>
  <c r="V284" i="6"/>
  <c r="U284" i="6"/>
  <c r="W283" i="6"/>
  <c r="V283" i="6"/>
  <c r="U283" i="6"/>
  <c r="W282" i="6"/>
  <c r="V282" i="6"/>
  <c r="U282" i="6"/>
  <c r="W281" i="6"/>
  <c r="V281" i="6"/>
  <c r="U281" i="6"/>
  <c r="W280" i="6"/>
  <c r="V280" i="6"/>
  <c r="U280" i="6"/>
  <c r="W279" i="6"/>
  <c r="V279" i="6"/>
  <c r="U279" i="6"/>
  <c r="W278" i="6"/>
  <c r="V278" i="6"/>
  <c r="U278" i="6"/>
  <c r="W277" i="6"/>
  <c r="V277" i="6"/>
  <c r="U277" i="6"/>
  <c r="W276" i="6"/>
  <c r="V276" i="6"/>
  <c r="U276" i="6"/>
  <c r="W275" i="6"/>
  <c r="V275" i="6"/>
  <c r="U275" i="6"/>
  <c r="W274" i="6"/>
  <c r="V274" i="6"/>
  <c r="U274" i="6"/>
  <c r="W273" i="6"/>
  <c r="V273" i="6"/>
  <c r="U273" i="6"/>
  <c r="W272" i="6"/>
  <c r="V272" i="6"/>
  <c r="U272" i="6"/>
  <c r="W271" i="6"/>
  <c r="V271" i="6"/>
  <c r="U271" i="6"/>
  <c r="W270" i="6"/>
  <c r="V270" i="6"/>
  <c r="U270" i="6"/>
  <c r="W269" i="6"/>
  <c r="V269" i="6"/>
  <c r="U269" i="6"/>
  <c r="W268" i="6"/>
  <c r="V268" i="6"/>
  <c r="U268" i="6"/>
  <c r="W267" i="6"/>
  <c r="V267" i="6"/>
  <c r="U267" i="6"/>
  <c r="W266" i="6"/>
  <c r="V266" i="6"/>
  <c r="U266" i="6"/>
  <c r="W265" i="6"/>
  <c r="V265" i="6"/>
  <c r="U265" i="6"/>
  <c r="W264" i="6"/>
  <c r="V264" i="6"/>
  <c r="U264" i="6"/>
  <c r="W263" i="6"/>
  <c r="V263" i="6"/>
  <c r="U263" i="6"/>
  <c r="W262" i="6"/>
  <c r="V262" i="6"/>
  <c r="U262" i="6"/>
  <c r="W261" i="6"/>
  <c r="V261" i="6"/>
  <c r="U261" i="6"/>
  <c r="W260" i="6"/>
  <c r="V260" i="6"/>
  <c r="U260" i="6"/>
  <c r="W259" i="6"/>
  <c r="V259" i="6"/>
  <c r="U259" i="6"/>
  <c r="W258" i="6"/>
  <c r="V258" i="6"/>
  <c r="U258" i="6"/>
  <c r="W257" i="6"/>
  <c r="V257" i="6"/>
  <c r="U257" i="6"/>
  <c r="W256" i="6"/>
  <c r="V256" i="6"/>
  <c r="U256" i="6"/>
  <c r="W255" i="6"/>
  <c r="V255" i="6"/>
  <c r="U255" i="6"/>
  <c r="W254" i="6"/>
  <c r="V254" i="6"/>
  <c r="U254" i="6"/>
  <c r="W253" i="6"/>
  <c r="V253" i="6"/>
  <c r="U253" i="6"/>
  <c r="W252" i="6"/>
  <c r="V252" i="6"/>
  <c r="U252" i="6"/>
  <c r="W251" i="6"/>
  <c r="V251" i="6"/>
  <c r="U251" i="6"/>
  <c r="W250" i="6"/>
  <c r="V250" i="6"/>
  <c r="U250" i="6"/>
  <c r="W249" i="6"/>
  <c r="V249" i="6"/>
  <c r="U249" i="6"/>
  <c r="W248" i="6"/>
  <c r="V248" i="6"/>
  <c r="U248" i="6"/>
  <c r="W247" i="6"/>
  <c r="V247" i="6"/>
  <c r="U247" i="6"/>
  <c r="W246" i="6"/>
  <c r="V246" i="6"/>
  <c r="U246" i="6"/>
  <c r="W245" i="6"/>
  <c r="V245" i="6"/>
  <c r="U245" i="6"/>
  <c r="W244" i="6"/>
  <c r="V244" i="6"/>
  <c r="U244" i="6"/>
  <c r="W243" i="6"/>
  <c r="V243" i="6"/>
  <c r="U243" i="6"/>
  <c r="W242" i="6"/>
  <c r="V242" i="6"/>
  <c r="U242" i="6"/>
  <c r="W241" i="6"/>
  <c r="V241" i="6"/>
  <c r="U241" i="6"/>
  <c r="W240" i="6"/>
  <c r="V240" i="6"/>
  <c r="U240" i="6"/>
  <c r="U239" i="6"/>
  <c r="W239" i="6" s="1"/>
  <c r="U238" i="6"/>
  <c r="W238" i="6" s="1"/>
  <c r="U237" i="6"/>
  <c r="V237" i="6" s="1"/>
  <c r="U236" i="6"/>
  <c r="V236" i="6" s="1"/>
  <c r="U235" i="6"/>
  <c r="W235" i="6" s="1"/>
  <c r="U234" i="6"/>
  <c r="W234" i="6" s="1"/>
  <c r="U233" i="6"/>
  <c r="W233" i="6" s="1"/>
  <c r="U232" i="6"/>
  <c r="V232" i="6" s="1"/>
  <c r="U231" i="6"/>
  <c r="W231" i="6" s="1"/>
  <c r="U230" i="6"/>
  <c r="V230" i="6" s="1"/>
  <c r="U229" i="6"/>
  <c r="W229" i="6" s="1"/>
  <c r="U228" i="6"/>
  <c r="V228" i="6" s="1"/>
  <c r="U227" i="6"/>
  <c r="W227" i="6" s="1"/>
  <c r="U226" i="6"/>
  <c r="W226" i="6" s="1"/>
  <c r="U225" i="6"/>
  <c r="W225" i="6" s="1"/>
  <c r="U224" i="6"/>
  <c r="W224" i="6" s="1"/>
  <c r="U223" i="6"/>
  <c r="V223" i="6" s="1"/>
  <c r="U222" i="6"/>
  <c r="W222" i="6" s="1"/>
  <c r="U221" i="6"/>
  <c r="V221" i="6" s="1"/>
  <c r="U220" i="6"/>
  <c r="V220" i="6" s="1"/>
  <c r="U219" i="6"/>
  <c r="W219" i="6" s="1"/>
  <c r="U218" i="6"/>
  <c r="W218" i="6" s="1"/>
  <c r="U217" i="6"/>
  <c r="V217" i="6" s="1"/>
  <c r="U216" i="6"/>
  <c r="W216" i="6" s="1"/>
  <c r="U215" i="6"/>
  <c r="W215" i="6" s="1"/>
  <c r="U214" i="6"/>
  <c r="V214" i="6" s="1"/>
  <c r="U213" i="6"/>
  <c r="W213" i="6" s="1"/>
  <c r="U212" i="6"/>
  <c r="W212" i="6" s="1"/>
  <c r="U211" i="6"/>
  <c r="V211" i="6" s="1"/>
  <c r="U210" i="6"/>
  <c r="W210" i="6" s="1"/>
  <c r="U209" i="6"/>
  <c r="W209" i="6" s="1"/>
  <c r="U208" i="6"/>
  <c r="V208" i="6" s="1"/>
  <c r="U207" i="6"/>
  <c r="W207" i="6" s="1"/>
  <c r="U206" i="6"/>
  <c r="V206" i="6" s="1"/>
  <c r="U205" i="6"/>
  <c r="W205" i="6" s="1"/>
  <c r="U204" i="6"/>
  <c r="W204" i="6" s="1"/>
  <c r="U203" i="6"/>
  <c r="V203" i="6" s="1"/>
  <c r="U202" i="6"/>
  <c r="V202" i="6" s="1"/>
  <c r="U201" i="6"/>
  <c r="W201" i="6" s="1"/>
  <c r="U200" i="6"/>
  <c r="W200" i="6" s="1"/>
  <c r="U199" i="6"/>
  <c r="V199" i="6" s="1"/>
  <c r="U198" i="6"/>
  <c r="W198" i="6" s="1"/>
  <c r="U197" i="6"/>
  <c r="W197" i="6" s="1"/>
  <c r="U196" i="6"/>
  <c r="V196" i="6" s="1"/>
  <c r="U195" i="6"/>
  <c r="W195" i="6" s="1"/>
  <c r="U187" i="6"/>
  <c r="V187" i="6" s="1"/>
  <c r="U186" i="6"/>
  <c r="W186" i="6" s="1"/>
  <c r="U185" i="6"/>
  <c r="V185" i="6" s="1"/>
  <c r="U184" i="6"/>
  <c r="V184" i="6" s="1"/>
  <c r="U173" i="6"/>
  <c r="W173" i="6" s="1"/>
  <c r="U172" i="6"/>
  <c r="V172" i="6" s="1"/>
  <c r="U171" i="6"/>
  <c r="W171" i="6" s="1"/>
  <c r="U170" i="6"/>
  <c r="W170" i="6" s="1"/>
  <c r="U169" i="6"/>
  <c r="V169" i="6" s="1"/>
  <c r="U168" i="6"/>
  <c r="W168" i="6" s="1"/>
  <c r="U167" i="6"/>
  <c r="W167" i="6" s="1"/>
  <c r="U166" i="6"/>
  <c r="V166" i="6" s="1"/>
  <c r="U165" i="6"/>
  <c r="W165" i="6" s="1"/>
  <c r="U164" i="6"/>
  <c r="W164" i="6" s="1"/>
  <c r="U78" i="6"/>
  <c r="V78" i="6" s="1"/>
  <c r="U77" i="6"/>
  <c r="V77" i="6" s="1"/>
  <c r="U76" i="6"/>
  <c r="W76" i="6" s="1"/>
  <c r="U75" i="6"/>
  <c r="V75" i="6" s="1"/>
  <c r="U74" i="6"/>
  <c r="V74" i="6" s="1"/>
  <c r="U163" i="6"/>
  <c r="V163" i="6" s="1"/>
  <c r="U162" i="6"/>
  <c r="W162" i="6" s="1"/>
  <c r="U161" i="6"/>
  <c r="V161" i="6" s="1"/>
  <c r="U160" i="6"/>
  <c r="W160" i="6" s="1"/>
  <c r="U159" i="6"/>
  <c r="W159" i="6" s="1"/>
  <c r="U158" i="6"/>
  <c r="W158" i="6" s="1"/>
  <c r="U157" i="6"/>
  <c r="W157" i="6" s="1"/>
  <c r="U156" i="6"/>
  <c r="V156" i="6" s="1"/>
  <c r="U155" i="6"/>
  <c r="W155" i="6" s="1"/>
  <c r="U154" i="6"/>
  <c r="W154" i="6" s="1"/>
  <c r="U153" i="6"/>
  <c r="W153" i="6" s="1"/>
  <c r="U152" i="6"/>
  <c r="V152" i="6" s="1"/>
  <c r="U151" i="6"/>
  <c r="W151" i="6" s="1"/>
  <c r="U150" i="6"/>
  <c r="V150" i="6" s="1"/>
  <c r="U149" i="6"/>
  <c r="W149" i="6" s="1"/>
  <c r="U148" i="6"/>
  <c r="W148" i="6" s="1"/>
  <c r="U147" i="6"/>
  <c r="V147" i="6" s="1"/>
  <c r="U146" i="6"/>
  <c r="W146" i="6" s="1"/>
  <c r="U145" i="6"/>
  <c r="W145" i="6" s="1"/>
  <c r="U144" i="6"/>
  <c r="W144" i="6" s="1"/>
  <c r="U143" i="6"/>
  <c r="V143" i="6" s="1"/>
  <c r="U142" i="6"/>
  <c r="W142" i="6" s="1"/>
  <c r="U141" i="6"/>
  <c r="W141" i="6" s="1"/>
  <c r="U140" i="6"/>
  <c r="V140" i="6" s="1"/>
  <c r="U46" i="6"/>
  <c r="W46" i="6" s="1"/>
  <c r="U45" i="6"/>
  <c r="V45" i="6" s="1"/>
  <c r="U44" i="6"/>
  <c r="W44" i="6" s="1"/>
  <c r="U43" i="6"/>
  <c r="W43" i="6" s="1"/>
  <c r="U42" i="6"/>
  <c r="W42" i="6" s="1"/>
  <c r="U41" i="6"/>
  <c r="W41" i="6" s="1"/>
  <c r="U40" i="6"/>
  <c r="W40" i="6" s="1"/>
  <c r="U39" i="6"/>
  <c r="V39" i="6" s="1"/>
  <c r="U139" i="6"/>
  <c r="V139" i="6" s="1"/>
  <c r="U138" i="6"/>
  <c r="W138" i="6" s="1"/>
  <c r="U137" i="6"/>
  <c r="W137" i="6" s="1"/>
  <c r="U136" i="6"/>
  <c r="V136" i="6" s="1"/>
  <c r="U135" i="6"/>
  <c r="W135" i="6" s="1"/>
  <c r="U134" i="6"/>
  <c r="W134" i="6" s="1"/>
  <c r="U133" i="6"/>
  <c r="V133" i="6" s="1"/>
  <c r="U132" i="6"/>
  <c r="W132" i="6" s="1"/>
  <c r="U131" i="6"/>
  <c r="W131" i="6" s="1"/>
  <c r="U130" i="6"/>
  <c r="W130" i="6" s="1"/>
  <c r="U129" i="6"/>
  <c r="W129" i="6" s="1"/>
  <c r="U128" i="6"/>
  <c r="W128" i="6" s="1"/>
  <c r="U127" i="6"/>
  <c r="W127" i="6" s="1"/>
  <c r="U126" i="6"/>
  <c r="W126" i="6" s="1"/>
  <c r="U125" i="6"/>
  <c r="V125" i="6" s="1"/>
  <c r="U124" i="6"/>
  <c r="V124" i="6" s="1"/>
  <c r="U123" i="6"/>
  <c r="W123" i="6" s="1"/>
  <c r="U122" i="6"/>
  <c r="W122" i="6" s="1"/>
  <c r="U121" i="6"/>
  <c r="W121" i="6" s="1"/>
  <c r="U120" i="6"/>
  <c r="W120" i="6" s="1"/>
  <c r="U119" i="6"/>
  <c r="V119" i="6" s="1"/>
  <c r="U118" i="6"/>
  <c r="W118" i="6" s="1"/>
  <c r="U117" i="6"/>
  <c r="W117" i="6" s="1"/>
  <c r="U116" i="6"/>
  <c r="W116" i="6" s="1"/>
  <c r="U115" i="6"/>
  <c r="V115" i="6" s="1"/>
  <c r="U114" i="6"/>
  <c r="W114" i="6" s="1"/>
  <c r="U113" i="6"/>
  <c r="W113" i="6" s="1"/>
  <c r="U112" i="6"/>
  <c r="W112" i="6" s="1"/>
  <c r="U111" i="6"/>
  <c r="W111" i="6" s="1"/>
  <c r="U110" i="6"/>
  <c r="W110" i="6" s="1"/>
  <c r="U109" i="6"/>
  <c r="V109" i="6" s="1"/>
  <c r="U108" i="6"/>
  <c r="W108" i="6" s="1"/>
  <c r="U107" i="6"/>
  <c r="W107" i="6" s="1"/>
  <c r="U106" i="6"/>
  <c r="V106" i="6" s="1"/>
  <c r="U105" i="6"/>
  <c r="W105" i="6" s="1"/>
  <c r="U104" i="6"/>
  <c r="W104" i="6" s="1"/>
  <c r="U103" i="6"/>
  <c r="W103" i="6" s="1"/>
  <c r="U102" i="6"/>
  <c r="W102" i="6" s="1"/>
  <c r="U101" i="6"/>
  <c r="W101" i="6" s="1"/>
  <c r="U100" i="6"/>
  <c r="V100" i="6" s="1"/>
  <c r="U99" i="6"/>
  <c r="W99" i="6" s="1"/>
  <c r="U98" i="6"/>
  <c r="W98" i="6" s="1"/>
  <c r="U73" i="6"/>
  <c r="V73" i="6" s="1"/>
  <c r="U72" i="6"/>
  <c r="W72" i="6" s="1"/>
  <c r="U71" i="6"/>
  <c r="V71" i="6" s="1"/>
  <c r="U70" i="6"/>
  <c r="W70" i="6" s="1"/>
  <c r="U80" i="6"/>
  <c r="W80" i="6" s="1"/>
  <c r="U97" i="6"/>
  <c r="W97" i="6" s="1"/>
  <c r="U96" i="6"/>
  <c r="V96" i="6" s="1"/>
  <c r="U95" i="6"/>
  <c r="W95" i="6" s="1"/>
  <c r="U94" i="6"/>
  <c r="W94" i="6" s="1"/>
  <c r="U93" i="6"/>
  <c r="V93" i="6" s="1"/>
  <c r="U92" i="6"/>
  <c r="W92" i="6" s="1"/>
  <c r="U91" i="6"/>
  <c r="W91" i="6" s="1"/>
  <c r="U69" i="6"/>
  <c r="W69" i="6" s="1"/>
  <c r="U68" i="6"/>
  <c r="W68" i="6" s="1"/>
  <c r="U67" i="6"/>
  <c r="W67" i="6" s="1"/>
  <c r="U66" i="6"/>
  <c r="W66" i="6" s="1"/>
  <c r="U90" i="6"/>
  <c r="W90" i="6" s="1"/>
  <c r="U89" i="6"/>
  <c r="W89" i="6" s="1"/>
  <c r="U88" i="6"/>
  <c r="V88" i="6" s="1"/>
  <c r="U87" i="6"/>
  <c r="W87" i="6" s="1"/>
  <c r="U38" i="6"/>
  <c r="W38" i="6" s="1"/>
  <c r="U37" i="6"/>
  <c r="W37" i="6" s="1"/>
  <c r="U36" i="6"/>
  <c r="W36" i="6" s="1"/>
  <c r="U35" i="6"/>
  <c r="W35" i="6" s="1"/>
  <c r="U34" i="6"/>
  <c r="V34" i="6" s="1"/>
  <c r="U33" i="6"/>
  <c r="W33" i="6" s="1"/>
  <c r="U32" i="6"/>
  <c r="W32" i="6" s="1"/>
  <c r="U28" i="6"/>
  <c r="V28" i="6" s="1"/>
  <c r="U27" i="6"/>
  <c r="W27" i="6" s="1"/>
  <c r="U26" i="6"/>
  <c r="V26" i="6" s="1"/>
  <c r="U25" i="6"/>
  <c r="V25" i="6" s="1"/>
  <c r="U24" i="6"/>
  <c r="W24" i="6" s="1"/>
  <c r="U23" i="6"/>
  <c r="W23" i="6" s="1"/>
  <c r="U86" i="6"/>
  <c r="W86" i="6" s="1"/>
  <c r="U85" i="6"/>
  <c r="W85" i="6" s="1"/>
  <c r="U84" i="6"/>
  <c r="W84" i="6" s="1"/>
  <c r="U83" i="6"/>
  <c r="V83" i="6" s="1"/>
  <c r="U82" i="6"/>
  <c r="W82" i="6" s="1"/>
  <c r="U81" i="6"/>
  <c r="W81" i="6" s="1"/>
  <c r="U22" i="6"/>
  <c r="W22" i="6" s="1"/>
  <c r="U21" i="6"/>
  <c r="W21" i="6" s="1"/>
  <c r="U20" i="6"/>
  <c r="W20" i="6" s="1"/>
  <c r="U19" i="6"/>
  <c r="W19" i="6" s="1"/>
  <c r="U18" i="6"/>
  <c r="W18" i="6" s="1"/>
  <c r="U17" i="6"/>
  <c r="V17" i="6" s="1"/>
  <c r="U79" i="6"/>
  <c r="W79" i="6" s="1"/>
  <c r="U16" i="6"/>
  <c r="W16" i="6" s="1"/>
  <c r="U15" i="6"/>
  <c r="W15" i="6" s="1"/>
  <c r="U14" i="6"/>
  <c r="W14" i="6" s="1"/>
  <c r="U13" i="6"/>
  <c r="W13" i="6" s="1"/>
  <c r="U12" i="6"/>
  <c r="W12" i="6" s="1"/>
  <c r="U11" i="6"/>
  <c r="V11" i="6" s="1"/>
  <c r="U10" i="6"/>
  <c r="V10" i="6" s="1"/>
  <c r="U9" i="6"/>
  <c r="W9" i="6" s="1"/>
  <c r="U8" i="6"/>
  <c r="W8" i="6" s="1"/>
  <c r="U7" i="6"/>
  <c r="W7" i="6" s="1"/>
  <c r="U6" i="6"/>
  <c r="W6" i="6" s="1"/>
  <c r="Z5" i="6"/>
  <c r="U5" i="6"/>
  <c r="W5" i="6" s="1"/>
  <c r="Z305" i="5"/>
  <c r="AA305" i="5" s="1"/>
  <c r="W305" i="5"/>
  <c r="V305" i="5"/>
  <c r="U305" i="5"/>
  <c r="Z304" i="5"/>
  <c r="AA304" i="5" s="1"/>
  <c r="W304" i="5"/>
  <c r="V304" i="5"/>
  <c r="U304" i="5"/>
  <c r="Z303" i="5"/>
  <c r="AA303" i="5" s="1"/>
  <c r="W303" i="5"/>
  <c r="V303" i="5"/>
  <c r="U303" i="5"/>
  <c r="Z302" i="5"/>
  <c r="AA302" i="5" s="1"/>
  <c r="W302" i="5"/>
  <c r="V302" i="5"/>
  <c r="U302" i="5"/>
  <c r="Z301" i="5"/>
  <c r="AA301" i="5" s="1"/>
  <c r="W301" i="5"/>
  <c r="V301" i="5"/>
  <c r="U301" i="5"/>
  <c r="Z300" i="5"/>
  <c r="AA300" i="5" s="1"/>
  <c r="W300" i="5"/>
  <c r="V300" i="5"/>
  <c r="U300" i="5"/>
  <c r="Z299" i="5"/>
  <c r="AA299" i="5" s="1"/>
  <c r="W299" i="5"/>
  <c r="V299" i="5"/>
  <c r="U299" i="5"/>
  <c r="Z298" i="5"/>
  <c r="AA298" i="5" s="1"/>
  <c r="W298" i="5"/>
  <c r="V298" i="5"/>
  <c r="U298" i="5"/>
  <c r="Z297" i="5"/>
  <c r="AA297" i="5" s="1"/>
  <c r="W297" i="5"/>
  <c r="V297" i="5"/>
  <c r="U297" i="5"/>
  <c r="Z296" i="5"/>
  <c r="AA296" i="5" s="1"/>
  <c r="W296" i="5"/>
  <c r="V296" i="5"/>
  <c r="U296" i="5"/>
  <c r="Z295" i="5"/>
  <c r="AA295" i="5" s="1"/>
  <c r="W295" i="5"/>
  <c r="V295" i="5"/>
  <c r="U295" i="5"/>
  <c r="Z294" i="5"/>
  <c r="AA294" i="5" s="1"/>
  <c r="W294" i="5"/>
  <c r="V294" i="5"/>
  <c r="U294" i="5"/>
  <c r="Z293" i="5"/>
  <c r="AA293" i="5" s="1"/>
  <c r="W293" i="5"/>
  <c r="V293" i="5"/>
  <c r="U293" i="5"/>
  <c r="Z292" i="5"/>
  <c r="AA292" i="5" s="1"/>
  <c r="W292" i="5"/>
  <c r="V292" i="5"/>
  <c r="U292" i="5"/>
  <c r="Z291" i="5"/>
  <c r="AA291" i="5" s="1"/>
  <c r="W291" i="5"/>
  <c r="V291" i="5"/>
  <c r="U291" i="5"/>
  <c r="Z290" i="5"/>
  <c r="AA290" i="5" s="1"/>
  <c r="W290" i="5"/>
  <c r="V290" i="5"/>
  <c r="U290" i="5"/>
  <c r="Z289" i="5"/>
  <c r="AA289" i="5" s="1"/>
  <c r="W289" i="5"/>
  <c r="V289" i="5"/>
  <c r="U289" i="5"/>
  <c r="Z288" i="5"/>
  <c r="AA288" i="5" s="1"/>
  <c r="W288" i="5"/>
  <c r="V288" i="5"/>
  <c r="U288" i="5"/>
  <c r="Z287" i="5"/>
  <c r="AA287" i="5" s="1"/>
  <c r="W287" i="5"/>
  <c r="V287" i="5"/>
  <c r="U287" i="5"/>
  <c r="Z286" i="5"/>
  <c r="AA286" i="5" s="1"/>
  <c r="W286" i="5"/>
  <c r="V286" i="5"/>
  <c r="U286" i="5"/>
  <c r="Z285" i="5"/>
  <c r="AA285" i="5" s="1"/>
  <c r="W285" i="5"/>
  <c r="V285" i="5"/>
  <c r="U285" i="5"/>
  <c r="Z284" i="5"/>
  <c r="AA284" i="5" s="1"/>
  <c r="W284" i="5"/>
  <c r="V284" i="5"/>
  <c r="U284" i="5"/>
  <c r="Z283" i="5"/>
  <c r="AA283" i="5" s="1"/>
  <c r="W283" i="5"/>
  <c r="V283" i="5"/>
  <c r="U283" i="5"/>
  <c r="Z282" i="5"/>
  <c r="AA282" i="5" s="1"/>
  <c r="W282" i="5"/>
  <c r="V282" i="5"/>
  <c r="U282" i="5"/>
  <c r="Z281" i="5"/>
  <c r="AA281" i="5" s="1"/>
  <c r="W281" i="5"/>
  <c r="V281" i="5"/>
  <c r="U281" i="5"/>
  <c r="Z280" i="5"/>
  <c r="AA280" i="5" s="1"/>
  <c r="W280" i="5"/>
  <c r="V280" i="5"/>
  <c r="U280" i="5"/>
  <c r="Z279" i="5"/>
  <c r="AA279" i="5" s="1"/>
  <c r="W279" i="5"/>
  <c r="V279" i="5"/>
  <c r="U279" i="5"/>
  <c r="Z278" i="5"/>
  <c r="AA278" i="5" s="1"/>
  <c r="W278" i="5"/>
  <c r="V278" i="5"/>
  <c r="U278" i="5"/>
  <c r="Z277" i="5"/>
  <c r="AA277" i="5" s="1"/>
  <c r="W277" i="5"/>
  <c r="V277" i="5"/>
  <c r="U277" i="5"/>
  <c r="Z276" i="5"/>
  <c r="AA276" i="5" s="1"/>
  <c r="W276" i="5"/>
  <c r="V276" i="5"/>
  <c r="U276" i="5"/>
  <c r="Z275" i="5"/>
  <c r="AA275" i="5" s="1"/>
  <c r="W275" i="5"/>
  <c r="V275" i="5"/>
  <c r="U275" i="5"/>
  <c r="Z274" i="5"/>
  <c r="AA274" i="5" s="1"/>
  <c r="W274" i="5"/>
  <c r="V274" i="5"/>
  <c r="U274" i="5"/>
  <c r="Z273" i="5"/>
  <c r="AA273" i="5" s="1"/>
  <c r="W273" i="5"/>
  <c r="V273" i="5"/>
  <c r="U273" i="5"/>
  <c r="Z272" i="5"/>
  <c r="AA272" i="5" s="1"/>
  <c r="W272" i="5"/>
  <c r="V272" i="5"/>
  <c r="U272" i="5"/>
  <c r="Z271" i="5"/>
  <c r="AA271" i="5" s="1"/>
  <c r="W271" i="5"/>
  <c r="V271" i="5"/>
  <c r="U271" i="5"/>
  <c r="Z270" i="5"/>
  <c r="AA270" i="5" s="1"/>
  <c r="W270" i="5"/>
  <c r="V270" i="5"/>
  <c r="U270" i="5"/>
  <c r="Z269" i="5"/>
  <c r="AA269" i="5" s="1"/>
  <c r="W269" i="5"/>
  <c r="V269" i="5"/>
  <c r="U269" i="5"/>
  <c r="Z268" i="5"/>
  <c r="AA268" i="5" s="1"/>
  <c r="W268" i="5"/>
  <c r="V268" i="5"/>
  <c r="U268" i="5"/>
  <c r="Z267" i="5"/>
  <c r="AA267" i="5" s="1"/>
  <c r="W267" i="5"/>
  <c r="V267" i="5"/>
  <c r="U267" i="5"/>
  <c r="Z266" i="5"/>
  <c r="AA266" i="5" s="1"/>
  <c r="W266" i="5"/>
  <c r="V266" i="5"/>
  <c r="U266" i="5"/>
  <c r="Z265" i="5"/>
  <c r="AA265" i="5" s="1"/>
  <c r="W265" i="5"/>
  <c r="V265" i="5"/>
  <c r="U265" i="5"/>
  <c r="Z264" i="5"/>
  <c r="AA264" i="5" s="1"/>
  <c r="W264" i="5"/>
  <c r="V264" i="5"/>
  <c r="U264" i="5"/>
  <c r="Z263" i="5"/>
  <c r="AA263" i="5" s="1"/>
  <c r="W263" i="5"/>
  <c r="V263" i="5"/>
  <c r="U263" i="5"/>
  <c r="Z262" i="5"/>
  <c r="AA262" i="5" s="1"/>
  <c r="W262" i="5"/>
  <c r="V262" i="5"/>
  <c r="U262" i="5"/>
  <c r="Z261" i="5"/>
  <c r="AA261" i="5" s="1"/>
  <c r="W261" i="5"/>
  <c r="V261" i="5"/>
  <c r="U261" i="5"/>
  <c r="Z260" i="5"/>
  <c r="AA260" i="5" s="1"/>
  <c r="W260" i="5"/>
  <c r="V260" i="5"/>
  <c r="U260" i="5"/>
  <c r="Z259" i="5"/>
  <c r="AA259" i="5" s="1"/>
  <c r="W259" i="5"/>
  <c r="V259" i="5"/>
  <c r="U259" i="5"/>
  <c r="Z258" i="5"/>
  <c r="AA258" i="5" s="1"/>
  <c r="W258" i="5"/>
  <c r="V258" i="5"/>
  <c r="U258" i="5"/>
  <c r="Z257" i="5"/>
  <c r="AA257" i="5" s="1"/>
  <c r="W257" i="5"/>
  <c r="V257" i="5"/>
  <c r="U257" i="5"/>
  <c r="Z256" i="5"/>
  <c r="AA256" i="5" s="1"/>
  <c r="W256" i="5"/>
  <c r="V256" i="5"/>
  <c r="U256" i="5"/>
  <c r="Z255" i="5"/>
  <c r="AA255" i="5" s="1"/>
  <c r="W255" i="5"/>
  <c r="V255" i="5"/>
  <c r="U255" i="5"/>
  <c r="Z254" i="5"/>
  <c r="AA254" i="5" s="1"/>
  <c r="W254" i="5"/>
  <c r="V254" i="5"/>
  <c r="U254" i="5"/>
  <c r="Z253" i="5"/>
  <c r="AA253" i="5" s="1"/>
  <c r="W253" i="5"/>
  <c r="V253" i="5"/>
  <c r="U253" i="5"/>
  <c r="Z252" i="5"/>
  <c r="AA252" i="5" s="1"/>
  <c r="W252" i="5"/>
  <c r="V252" i="5"/>
  <c r="U252" i="5"/>
  <c r="Z251" i="5"/>
  <c r="AA251" i="5" s="1"/>
  <c r="W251" i="5"/>
  <c r="V251" i="5"/>
  <c r="U251" i="5"/>
  <c r="Z250" i="5"/>
  <c r="AA250" i="5" s="1"/>
  <c r="W250" i="5"/>
  <c r="V250" i="5"/>
  <c r="U250" i="5"/>
  <c r="Z249" i="5"/>
  <c r="AA249" i="5" s="1"/>
  <c r="W249" i="5"/>
  <c r="V249" i="5"/>
  <c r="U249" i="5"/>
  <c r="Z248" i="5"/>
  <c r="AA248" i="5" s="1"/>
  <c r="W248" i="5"/>
  <c r="V248" i="5"/>
  <c r="U248" i="5"/>
  <c r="Z247" i="5"/>
  <c r="AA247" i="5" s="1"/>
  <c r="W247" i="5"/>
  <c r="V247" i="5"/>
  <c r="U247" i="5"/>
  <c r="Z246" i="5"/>
  <c r="AA246" i="5" s="1"/>
  <c r="W246" i="5"/>
  <c r="V246" i="5"/>
  <c r="U246" i="5"/>
  <c r="Z245" i="5"/>
  <c r="AA245" i="5" s="1"/>
  <c r="W245" i="5"/>
  <c r="V245" i="5"/>
  <c r="U245" i="5"/>
  <c r="Z244" i="5"/>
  <c r="AA244" i="5" s="1"/>
  <c r="W244" i="5"/>
  <c r="V244" i="5"/>
  <c r="U244" i="5"/>
  <c r="Z243" i="5"/>
  <c r="AA243" i="5" s="1"/>
  <c r="W243" i="5"/>
  <c r="V243" i="5"/>
  <c r="U243" i="5"/>
  <c r="Z242" i="5"/>
  <c r="AA242" i="5" s="1"/>
  <c r="W242" i="5"/>
  <c r="V242" i="5"/>
  <c r="U242" i="5"/>
  <c r="Z241" i="5"/>
  <c r="AA241" i="5" s="1"/>
  <c r="W241" i="5"/>
  <c r="V241" i="5"/>
  <c r="U241" i="5"/>
  <c r="Z240" i="5"/>
  <c r="AA240" i="5" s="1"/>
  <c r="W240" i="5"/>
  <c r="V240" i="5"/>
  <c r="U240" i="5"/>
  <c r="Z239" i="5"/>
  <c r="AA239" i="5" s="1"/>
  <c r="W239" i="5"/>
  <c r="V239" i="5"/>
  <c r="U239" i="5"/>
  <c r="Z238" i="5"/>
  <c r="AA238" i="5" s="1"/>
  <c r="W238" i="5"/>
  <c r="V238" i="5"/>
  <c r="U238" i="5"/>
  <c r="Z237" i="5"/>
  <c r="AA237" i="5" s="1"/>
  <c r="W237" i="5"/>
  <c r="V237" i="5"/>
  <c r="U237" i="5"/>
  <c r="Z236" i="5"/>
  <c r="AA236" i="5" s="1"/>
  <c r="W236" i="5"/>
  <c r="V236" i="5"/>
  <c r="U236" i="5"/>
  <c r="Z235" i="5"/>
  <c r="AA235" i="5" s="1"/>
  <c r="W235" i="5"/>
  <c r="V235" i="5"/>
  <c r="U235" i="5"/>
  <c r="Z234" i="5"/>
  <c r="AA234" i="5" s="1"/>
  <c r="W234" i="5"/>
  <c r="V234" i="5"/>
  <c r="U234" i="5"/>
  <c r="Z233" i="5"/>
  <c r="AA233" i="5" s="1"/>
  <c r="W233" i="5"/>
  <c r="V233" i="5"/>
  <c r="U233" i="5"/>
  <c r="Z232" i="5"/>
  <c r="AA232" i="5" s="1"/>
  <c r="W232" i="5"/>
  <c r="V232" i="5"/>
  <c r="U232" i="5"/>
  <c r="Z231" i="5"/>
  <c r="AA231" i="5" s="1"/>
  <c r="W231" i="5"/>
  <c r="V231" i="5"/>
  <c r="U231" i="5"/>
  <c r="Z230" i="5"/>
  <c r="AA230" i="5" s="1"/>
  <c r="W230" i="5"/>
  <c r="V230" i="5"/>
  <c r="U230" i="5"/>
  <c r="Z229" i="5"/>
  <c r="AA229" i="5" s="1"/>
  <c r="W229" i="5"/>
  <c r="V229" i="5"/>
  <c r="U229" i="5"/>
  <c r="Z228" i="5"/>
  <c r="AA228" i="5" s="1"/>
  <c r="W228" i="5"/>
  <c r="V228" i="5"/>
  <c r="U228" i="5"/>
  <c r="Z227" i="5"/>
  <c r="AA227" i="5" s="1"/>
  <c r="W227" i="5"/>
  <c r="V227" i="5"/>
  <c r="U227" i="5"/>
  <c r="Z226" i="5"/>
  <c r="AA226" i="5" s="1"/>
  <c r="W226" i="5"/>
  <c r="V226" i="5"/>
  <c r="U226" i="5"/>
  <c r="Z225" i="5"/>
  <c r="AA225" i="5" s="1"/>
  <c r="W225" i="5"/>
  <c r="V225" i="5"/>
  <c r="U225" i="5"/>
  <c r="Z224" i="5"/>
  <c r="AA224" i="5" s="1"/>
  <c r="W224" i="5"/>
  <c r="V224" i="5"/>
  <c r="U224" i="5"/>
  <c r="Z223" i="5"/>
  <c r="AA223" i="5" s="1"/>
  <c r="W223" i="5"/>
  <c r="V223" i="5"/>
  <c r="U223" i="5"/>
  <c r="Z222" i="5"/>
  <c r="AA222" i="5" s="1"/>
  <c r="W222" i="5"/>
  <c r="V222" i="5"/>
  <c r="U222" i="5"/>
  <c r="Z221" i="5"/>
  <c r="AA221" i="5" s="1"/>
  <c r="W221" i="5"/>
  <c r="V221" i="5"/>
  <c r="U221" i="5"/>
  <c r="Z220" i="5"/>
  <c r="AA220" i="5" s="1"/>
  <c r="W220" i="5"/>
  <c r="V220" i="5"/>
  <c r="U220" i="5"/>
  <c r="Z219" i="5"/>
  <c r="AA219" i="5" s="1"/>
  <c r="W219" i="5"/>
  <c r="V219" i="5"/>
  <c r="U219" i="5"/>
  <c r="Z218" i="5"/>
  <c r="AA218" i="5" s="1"/>
  <c r="W218" i="5"/>
  <c r="V218" i="5"/>
  <c r="U218" i="5"/>
  <c r="Z217" i="5"/>
  <c r="AA217" i="5" s="1"/>
  <c r="W217" i="5"/>
  <c r="V217" i="5"/>
  <c r="U217" i="5"/>
  <c r="Z216" i="5"/>
  <c r="AA216" i="5" s="1"/>
  <c r="W216" i="5"/>
  <c r="V216" i="5"/>
  <c r="U216" i="5"/>
  <c r="Z215" i="5"/>
  <c r="AA215" i="5" s="1"/>
  <c r="W215" i="5"/>
  <c r="V215" i="5"/>
  <c r="U215" i="5"/>
  <c r="Z214" i="5"/>
  <c r="AA214" i="5" s="1"/>
  <c r="W214" i="5"/>
  <c r="V214" i="5"/>
  <c r="U214" i="5"/>
  <c r="Z213" i="5"/>
  <c r="AA213" i="5" s="1"/>
  <c r="W213" i="5"/>
  <c r="V213" i="5"/>
  <c r="U213" i="5"/>
  <c r="Z212" i="5"/>
  <c r="AA212" i="5" s="1"/>
  <c r="W212" i="5"/>
  <c r="V212" i="5"/>
  <c r="U212" i="5"/>
  <c r="Z211" i="5"/>
  <c r="AA211" i="5" s="1"/>
  <c r="W211" i="5"/>
  <c r="V211" i="5"/>
  <c r="U211" i="5"/>
  <c r="Z210" i="5"/>
  <c r="AA210" i="5" s="1"/>
  <c r="W210" i="5"/>
  <c r="V210" i="5"/>
  <c r="U210" i="5"/>
  <c r="Z209" i="5"/>
  <c r="AA209" i="5" s="1"/>
  <c r="W209" i="5"/>
  <c r="V209" i="5"/>
  <c r="U209" i="5"/>
  <c r="Z208" i="5"/>
  <c r="AA208" i="5" s="1"/>
  <c r="W208" i="5"/>
  <c r="V208" i="5"/>
  <c r="U208" i="5"/>
  <c r="Z207" i="5"/>
  <c r="AA207" i="5" s="1"/>
  <c r="W207" i="5"/>
  <c r="V207" i="5"/>
  <c r="U207" i="5"/>
  <c r="Z206" i="5"/>
  <c r="AA206" i="5" s="1"/>
  <c r="W206" i="5"/>
  <c r="V206" i="5"/>
  <c r="U206" i="5"/>
  <c r="Z205" i="5"/>
  <c r="AA205" i="5" s="1"/>
  <c r="W205" i="5"/>
  <c r="V205" i="5"/>
  <c r="U205" i="5"/>
  <c r="Z204" i="5"/>
  <c r="AA204" i="5" s="1"/>
  <c r="W204" i="5"/>
  <c r="V204" i="5"/>
  <c r="U204" i="5"/>
  <c r="Z203" i="5"/>
  <c r="AA203" i="5" s="1"/>
  <c r="W203" i="5"/>
  <c r="V203" i="5"/>
  <c r="U203" i="5"/>
  <c r="Z202" i="5"/>
  <c r="AA202" i="5" s="1"/>
  <c r="W202" i="5"/>
  <c r="V202" i="5"/>
  <c r="U202" i="5"/>
  <c r="Z201" i="5"/>
  <c r="AA201" i="5" s="1"/>
  <c r="W201" i="5"/>
  <c r="V201" i="5"/>
  <c r="U201" i="5"/>
  <c r="Z200" i="5"/>
  <c r="AA200" i="5" s="1"/>
  <c r="W200" i="5"/>
  <c r="V200" i="5"/>
  <c r="U200" i="5"/>
  <c r="Z199" i="5"/>
  <c r="AA199" i="5" s="1"/>
  <c r="W199" i="5"/>
  <c r="V199" i="5"/>
  <c r="U199" i="5"/>
  <c r="Z198" i="5"/>
  <c r="AA198" i="5" s="1"/>
  <c r="W198" i="5"/>
  <c r="V198" i="5"/>
  <c r="U198" i="5"/>
  <c r="Z197" i="5"/>
  <c r="AA197" i="5" s="1"/>
  <c r="W197" i="5"/>
  <c r="V197" i="5"/>
  <c r="U197" i="5"/>
  <c r="Z196" i="5"/>
  <c r="AA196" i="5" s="1"/>
  <c r="W196" i="5"/>
  <c r="V196" i="5"/>
  <c r="U196" i="5"/>
  <c r="Z195" i="5"/>
  <c r="AA195" i="5" s="1"/>
  <c r="W195" i="5"/>
  <c r="V195" i="5"/>
  <c r="U195" i="5"/>
  <c r="Z194" i="5"/>
  <c r="AA194" i="5" s="1"/>
  <c r="W194" i="5"/>
  <c r="V194" i="5"/>
  <c r="U194" i="5"/>
  <c r="Z193" i="5"/>
  <c r="AA193" i="5" s="1"/>
  <c r="W193" i="5"/>
  <c r="V193" i="5"/>
  <c r="U193" i="5"/>
  <c r="Z192" i="5"/>
  <c r="AA192" i="5" s="1"/>
  <c r="W192" i="5"/>
  <c r="V192" i="5"/>
  <c r="U192" i="5"/>
  <c r="Z191" i="5"/>
  <c r="AA191" i="5" s="1"/>
  <c r="W191" i="5"/>
  <c r="V191" i="5"/>
  <c r="U191" i="5"/>
  <c r="Z190" i="5"/>
  <c r="AA190" i="5" s="1"/>
  <c r="W190" i="5"/>
  <c r="V190" i="5"/>
  <c r="U190" i="5"/>
  <c r="Z189" i="5"/>
  <c r="AA189" i="5" s="1"/>
  <c r="W189" i="5"/>
  <c r="V189" i="5"/>
  <c r="U189" i="5"/>
  <c r="Z188" i="5"/>
  <c r="AA188" i="5" s="1"/>
  <c r="W188" i="5"/>
  <c r="V188" i="5"/>
  <c r="U188" i="5"/>
  <c r="Z187" i="5"/>
  <c r="AA187" i="5" s="1"/>
  <c r="W187" i="5"/>
  <c r="V187" i="5"/>
  <c r="U187" i="5"/>
  <c r="Z186" i="5"/>
  <c r="AA186" i="5" s="1"/>
  <c r="W186" i="5"/>
  <c r="V186" i="5"/>
  <c r="U186" i="5"/>
  <c r="Z185" i="5"/>
  <c r="AA185" i="5" s="1"/>
  <c r="W185" i="5"/>
  <c r="V185" i="5"/>
  <c r="U185" i="5"/>
  <c r="Z184" i="5"/>
  <c r="AA184" i="5" s="1"/>
  <c r="W184" i="5"/>
  <c r="V184" i="5"/>
  <c r="U184" i="5"/>
  <c r="Z183" i="5"/>
  <c r="AA183" i="5" s="1"/>
  <c r="W183" i="5"/>
  <c r="V183" i="5"/>
  <c r="U183" i="5"/>
  <c r="Z182" i="5"/>
  <c r="AA182" i="5" s="1"/>
  <c r="W182" i="5"/>
  <c r="V182" i="5"/>
  <c r="U182" i="5"/>
  <c r="Z181" i="5"/>
  <c r="AA181" i="5" s="1"/>
  <c r="W181" i="5"/>
  <c r="V181" i="5"/>
  <c r="U181" i="5"/>
  <c r="Z180" i="5"/>
  <c r="AA180" i="5" s="1"/>
  <c r="W180" i="5"/>
  <c r="V180" i="5"/>
  <c r="U180" i="5"/>
  <c r="Z179" i="5"/>
  <c r="AA179" i="5" s="1"/>
  <c r="W179" i="5"/>
  <c r="V179" i="5"/>
  <c r="U179" i="5"/>
  <c r="Z178" i="5"/>
  <c r="AA178" i="5" s="1"/>
  <c r="W178" i="5"/>
  <c r="V178" i="5"/>
  <c r="U178" i="5"/>
  <c r="Z177" i="5"/>
  <c r="AA177" i="5" s="1"/>
  <c r="W177" i="5"/>
  <c r="V177" i="5"/>
  <c r="U177" i="5"/>
  <c r="Z176" i="5"/>
  <c r="AA176" i="5" s="1"/>
  <c r="W176" i="5"/>
  <c r="V176" i="5"/>
  <c r="U176" i="5"/>
  <c r="Z175" i="5"/>
  <c r="AA175" i="5" s="1"/>
  <c r="W175" i="5"/>
  <c r="V175" i="5"/>
  <c r="U175" i="5"/>
  <c r="Z174" i="5"/>
  <c r="AA174" i="5" s="1"/>
  <c r="W174" i="5"/>
  <c r="V174" i="5"/>
  <c r="U174" i="5"/>
  <c r="Z173" i="5"/>
  <c r="AA173" i="5" s="1"/>
  <c r="W173" i="5"/>
  <c r="V173" i="5"/>
  <c r="U173" i="5"/>
  <c r="Z172" i="5"/>
  <c r="AA172" i="5" s="1"/>
  <c r="W172" i="5"/>
  <c r="V172" i="5"/>
  <c r="U172" i="5"/>
  <c r="Z171" i="5"/>
  <c r="AA171" i="5" s="1"/>
  <c r="W171" i="5"/>
  <c r="V171" i="5"/>
  <c r="U171" i="5"/>
  <c r="Z170" i="5"/>
  <c r="AA170" i="5" s="1"/>
  <c r="W170" i="5"/>
  <c r="V170" i="5"/>
  <c r="U170" i="5"/>
  <c r="Z169" i="5"/>
  <c r="AA169" i="5" s="1"/>
  <c r="W169" i="5"/>
  <c r="V169" i="5"/>
  <c r="U169" i="5"/>
  <c r="Z168" i="5"/>
  <c r="AA168" i="5" s="1"/>
  <c r="W168" i="5"/>
  <c r="V168" i="5"/>
  <c r="U168" i="5"/>
  <c r="Z167" i="5"/>
  <c r="AA167" i="5" s="1"/>
  <c r="W167" i="5"/>
  <c r="V167" i="5"/>
  <c r="U167" i="5"/>
  <c r="Z166" i="5"/>
  <c r="AA166" i="5" s="1"/>
  <c r="W166" i="5"/>
  <c r="V166" i="5"/>
  <c r="U166" i="5"/>
  <c r="Z165" i="5"/>
  <c r="AA165" i="5" s="1"/>
  <c r="W165" i="5"/>
  <c r="V165" i="5"/>
  <c r="U165" i="5"/>
  <c r="Z164" i="5"/>
  <c r="AA164" i="5" s="1"/>
  <c r="W164" i="5"/>
  <c r="V164" i="5"/>
  <c r="U164" i="5"/>
  <c r="Z163" i="5"/>
  <c r="AA163" i="5" s="1"/>
  <c r="W163" i="5"/>
  <c r="V163" i="5"/>
  <c r="U163" i="5"/>
  <c r="Z162" i="5"/>
  <c r="AA162" i="5" s="1"/>
  <c r="W162" i="5"/>
  <c r="V162" i="5"/>
  <c r="U162" i="5"/>
  <c r="Z161" i="5"/>
  <c r="AA161" i="5" s="1"/>
  <c r="W161" i="5"/>
  <c r="V161" i="5"/>
  <c r="U161" i="5"/>
  <c r="Z160" i="5"/>
  <c r="AA160" i="5" s="1"/>
  <c r="W160" i="5"/>
  <c r="V160" i="5"/>
  <c r="U160" i="5"/>
  <c r="Z159" i="5"/>
  <c r="AA159" i="5" s="1"/>
  <c r="W159" i="5"/>
  <c r="V159" i="5"/>
  <c r="U159" i="5"/>
  <c r="Z158" i="5"/>
  <c r="AA158" i="5" s="1"/>
  <c r="W158" i="5"/>
  <c r="V158" i="5"/>
  <c r="U158" i="5"/>
  <c r="Z157" i="5"/>
  <c r="AA157" i="5" s="1"/>
  <c r="W157" i="5"/>
  <c r="V157" i="5"/>
  <c r="U157" i="5"/>
  <c r="Z156" i="5"/>
  <c r="AA156" i="5" s="1"/>
  <c r="W156" i="5"/>
  <c r="V156" i="5"/>
  <c r="U156" i="5"/>
  <c r="Z155" i="5"/>
  <c r="AA155" i="5" s="1"/>
  <c r="W155" i="5"/>
  <c r="V155" i="5"/>
  <c r="U155" i="5"/>
  <c r="Z154" i="5"/>
  <c r="AA154" i="5" s="1"/>
  <c r="W154" i="5"/>
  <c r="V154" i="5"/>
  <c r="U154" i="5"/>
  <c r="Z153" i="5"/>
  <c r="AA153" i="5" s="1"/>
  <c r="W153" i="5"/>
  <c r="V153" i="5"/>
  <c r="U153" i="5"/>
  <c r="Z152" i="5"/>
  <c r="AA152" i="5" s="1"/>
  <c r="W152" i="5"/>
  <c r="V152" i="5"/>
  <c r="U152" i="5"/>
  <c r="Z151" i="5"/>
  <c r="AA151" i="5" s="1"/>
  <c r="W151" i="5"/>
  <c r="V151" i="5"/>
  <c r="U151" i="5"/>
  <c r="Z150" i="5"/>
  <c r="AA150" i="5" s="1"/>
  <c r="W150" i="5"/>
  <c r="V150" i="5"/>
  <c r="U150" i="5"/>
  <c r="Z149" i="5"/>
  <c r="AA149" i="5" s="1"/>
  <c r="W149" i="5"/>
  <c r="V149" i="5"/>
  <c r="U149" i="5"/>
  <c r="Z148" i="5"/>
  <c r="AA148" i="5" s="1"/>
  <c r="W148" i="5"/>
  <c r="V148" i="5"/>
  <c r="U148" i="5"/>
  <c r="Z147" i="5"/>
  <c r="AA147" i="5" s="1"/>
  <c r="W147" i="5"/>
  <c r="V147" i="5"/>
  <c r="U147" i="5"/>
  <c r="Z146" i="5"/>
  <c r="AA146" i="5" s="1"/>
  <c r="W146" i="5"/>
  <c r="V146" i="5"/>
  <c r="U146" i="5"/>
  <c r="Z145" i="5"/>
  <c r="AA145" i="5" s="1"/>
  <c r="W145" i="5"/>
  <c r="V145" i="5"/>
  <c r="U145" i="5"/>
  <c r="Z144" i="5"/>
  <c r="AA144" i="5" s="1"/>
  <c r="W144" i="5"/>
  <c r="V144" i="5"/>
  <c r="U144" i="5"/>
  <c r="Z143" i="5"/>
  <c r="AA143" i="5" s="1"/>
  <c r="W143" i="5"/>
  <c r="V143" i="5"/>
  <c r="U143" i="5"/>
  <c r="Z142" i="5"/>
  <c r="AA142" i="5" s="1"/>
  <c r="W142" i="5"/>
  <c r="V142" i="5"/>
  <c r="U142" i="5"/>
  <c r="Z141" i="5"/>
  <c r="AA141" i="5" s="1"/>
  <c r="W141" i="5"/>
  <c r="V141" i="5"/>
  <c r="U141" i="5"/>
  <c r="Z140" i="5"/>
  <c r="AA140" i="5" s="1"/>
  <c r="W140" i="5"/>
  <c r="V140" i="5"/>
  <c r="U140" i="5"/>
  <c r="Z139" i="5"/>
  <c r="AA139" i="5" s="1"/>
  <c r="W139" i="5"/>
  <c r="V139" i="5"/>
  <c r="U139" i="5"/>
  <c r="Z138" i="5"/>
  <c r="AA138" i="5" s="1"/>
  <c r="W138" i="5"/>
  <c r="V138" i="5"/>
  <c r="U138" i="5"/>
  <c r="Z137" i="5"/>
  <c r="AA137" i="5" s="1"/>
  <c r="W137" i="5"/>
  <c r="V137" i="5"/>
  <c r="U137" i="5"/>
  <c r="Z136" i="5"/>
  <c r="AA136" i="5" s="1"/>
  <c r="W136" i="5"/>
  <c r="V136" i="5"/>
  <c r="U136" i="5"/>
  <c r="Z135" i="5"/>
  <c r="AA135" i="5" s="1"/>
  <c r="W135" i="5"/>
  <c r="V135" i="5"/>
  <c r="U135" i="5"/>
  <c r="Z134" i="5"/>
  <c r="AA134" i="5" s="1"/>
  <c r="W134" i="5"/>
  <c r="V134" i="5"/>
  <c r="U134" i="5"/>
  <c r="Z133" i="5"/>
  <c r="AA133" i="5" s="1"/>
  <c r="W133" i="5"/>
  <c r="V133" i="5"/>
  <c r="U133" i="5"/>
  <c r="Z132" i="5"/>
  <c r="AA132" i="5" s="1"/>
  <c r="W132" i="5"/>
  <c r="V132" i="5"/>
  <c r="U132" i="5"/>
  <c r="Z131" i="5"/>
  <c r="AA131" i="5" s="1"/>
  <c r="W131" i="5"/>
  <c r="V131" i="5"/>
  <c r="U131" i="5"/>
  <c r="Z130" i="5"/>
  <c r="AA130" i="5" s="1"/>
  <c r="W130" i="5"/>
  <c r="V130" i="5"/>
  <c r="U130" i="5"/>
  <c r="Z129" i="5"/>
  <c r="AA129" i="5" s="1"/>
  <c r="W129" i="5"/>
  <c r="V129" i="5"/>
  <c r="U129" i="5"/>
  <c r="Z128" i="5"/>
  <c r="AA128" i="5" s="1"/>
  <c r="W128" i="5"/>
  <c r="V128" i="5"/>
  <c r="U128" i="5"/>
  <c r="Z127" i="5"/>
  <c r="AA127" i="5" s="1"/>
  <c r="W127" i="5"/>
  <c r="V127" i="5"/>
  <c r="U127" i="5"/>
  <c r="Z126" i="5"/>
  <c r="AA126" i="5" s="1"/>
  <c r="W126" i="5"/>
  <c r="V126" i="5"/>
  <c r="U126" i="5"/>
  <c r="Z125" i="5"/>
  <c r="AA125" i="5" s="1"/>
  <c r="W125" i="5"/>
  <c r="V125" i="5"/>
  <c r="U125" i="5"/>
  <c r="Z124" i="5"/>
  <c r="AA124" i="5" s="1"/>
  <c r="W124" i="5"/>
  <c r="V124" i="5"/>
  <c r="U124" i="5"/>
  <c r="Z123" i="5"/>
  <c r="AA123" i="5" s="1"/>
  <c r="W123" i="5"/>
  <c r="V123" i="5"/>
  <c r="U123" i="5"/>
  <c r="Z122" i="5"/>
  <c r="AA122" i="5" s="1"/>
  <c r="W122" i="5"/>
  <c r="V122" i="5"/>
  <c r="U122" i="5"/>
  <c r="Z121" i="5"/>
  <c r="AA121" i="5" s="1"/>
  <c r="W121" i="5"/>
  <c r="V121" i="5"/>
  <c r="U121" i="5"/>
  <c r="Z120" i="5"/>
  <c r="AA120" i="5" s="1"/>
  <c r="W120" i="5"/>
  <c r="V120" i="5"/>
  <c r="U120" i="5"/>
  <c r="Z119" i="5"/>
  <c r="AA119" i="5" s="1"/>
  <c r="W119" i="5"/>
  <c r="V119" i="5"/>
  <c r="U119" i="5"/>
  <c r="Z118" i="5"/>
  <c r="AA118" i="5" s="1"/>
  <c r="W118" i="5"/>
  <c r="V118" i="5"/>
  <c r="U118" i="5"/>
  <c r="Z117" i="5"/>
  <c r="AA117" i="5" s="1"/>
  <c r="W117" i="5"/>
  <c r="V117" i="5"/>
  <c r="U117" i="5"/>
  <c r="Z116" i="5"/>
  <c r="AA116" i="5" s="1"/>
  <c r="W116" i="5"/>
  <c r="V116" i="5"/>
  <c r="U116" i="5"/>
  <c r="Z115" i="5"/>
  <c r="AA115" i="5" s="1"/>
  <c r="W115" i="5"/>
  <c r="V115" i="5"/>
  <c r="U115" i="5"/>
  <c r="Z114" i="5"/>
  <c r="AA114" i="5" s="1"/>
  <c r="W114" i="5"/>
  <c r="V114" i="5"/>
  <c r="U114" i="5"/>
  <c r="Z113" i="5"/>
  <c r="AA113" i="5" s="1"/>
  <c r="W113" i="5"/>
  <c r="V113" i="5"/>
  <c r="U113" i="5"/>
  <c r="Z112" i="5"/>
  <c r="AA112" i="5" s="1"/>
  <c r="W112" i="5"/>
  <c r="V112" i="5"/>
  <c r="U112" i="5"/>
  <c r="Z111" i="5"/>
  <c r="AA111" i="5" s="1"/>
  <c r="W111" i="5"/>
  <c r="V111" i="5"/>
  <c r="U111" i="5"/>
  <c r="Z110" i="5"/>
  <c r="AA110" i="5" s="1"/>
  <c r="W110" i="5"/>
  <c r="V110" i="5"/>
  <c r="U110" i="5"/>
  <c r="Z109" i="5"/>
  <c r="AA109" i="5" s="1"/>
  <c r="W109" i="5"/>
  <c r="V109" i="5"/>
  <c r="U109" i="5"/>
  <c r="Z108" i="5"/>
  <c r="AA108" i="5" s="1"/>
  <c r="W108" i="5"/>
  <c r="V108" i="5"/>
  <c r="U108" i="5"/>
  <c r="Z107" i="5"/>
  <c r="AA107" i="5" s="1"/>
  <c r="W107" i="5"/>
  <c r="V107" i="5"/>
  <c r="U107" i="5"/>
  <c r="Z106" i="5"/>
  <c r="AA106" i="5" s="1"/>
  <c r="W106" i="5"/>
  <c r="V106" i="5"/>
  <c r="U106" i="5"/>
  <c r="Z105" i="5"/>
  <c r="AA105" i="5" s="1"/>
  <c r="W105" i="5"/>
  <c r="V105" i="5"/>
  <c r="U105" i="5"/>
  <c r="Z104" i="5"/>
  <c r="AA104" i="5" s="1"/>
  <c r="W104" i="5"/>
  <c r="V104" i="5"/>
  <c r="U104" i="5"/>
  <c r="Z103" i="5"/>
  <c r="AA103" i="5" s="1"/>
  <c r="W103" i="5"/>
  <c r="V103" i="5"/>
  <c r="U103" i="5"/>
  <c r="Z102" i="5"/>
  <c r="AA102" i="5" s="1"/>
  <c r="W102" i="5"/>
  <c r="V102" i="5"/>
  <c r="U102" i="5"/>
  <c r="Z101" i="5"/>
  <c r="AA101" i="5" s="1"/>
  <c r="W101" i="5"/>
  <c r="V101" i="5"/>
  <c r="U101" i="5"/>
  <c r="Z100" i="5"/>
  <c r="AA100" i="5" s="1"/>
  <c r="W100" i="5"/>
  <c r="V100" i="5"/>
  <c r="U100" i="5"/>
  <c r="Z99" i="5"/>
  <c r="AA99" i="5" s="1"/>
  <c r="W99" i="5"/>
  <c r="V99" i="5"/>
  <c r="U99" i="5"/>
  <c r="Z98" i="5"/>
  <c r="AA98" i="5" s="1"/>
  <c r="W98" i="5"/>
  <c r="V98" i="5"/>
  <c r="U98" i="5"/>
  <c r="Z97" i="5"/>
  <c r="AA97" i="5" s="1"/>
  <c r="W97" i="5"/>
  <c r="V97" i="5"/>
  <c r="U97" i="5"/>
  <c r="Z96" i="5"/>
  <c r="AA96" i="5" s="1"/>
  <c r="W96" i="5"/>
  <c r="V96" i="5"/>
  <c r="U96" i="5"/>
  <c r="Z95" i="5"/>
  <c r="AA95" i="5" s="1"/>
  <c r="W95" i="5"/>
  <c r="V95" i="5"/>
  <c r="U95" i="5"/>
  <c r="Z94" i="5"/>
  <c r="AA94" i="5" s="1"/>
  <c r="W94" i="5"/>
  <c r="V94" i="5"/>
  <c r="U94" i="5"/>
  <c r="Z93" i="5"/>
  <c r="AA93" i="5" s="1"/>
  <c r="W93" i="5"/>
  <c r="V93" i="5"/>
  <c r="U93" i="5"/>
  <c r="Z92" i="5"/>
  <c r="AA92" i="5" s="1"/>
  <c r="W92" i="5"/>
  <c r="V92" i="5"/>
  <c r="U92" i="5"/>
  <c r="Z91" i="5"/>
  <c r="AA91" i="5" s="1"/>
  <c r="W91" i="5"/>
  <c r="V91" i="5"/>
  <c r="U91" i="5"/>
  <c r="Z90" i="5"/>
  <c r="AA90" i="5" s="1"/>
  <c r="W90" i="5"/>
  <c r="V90" i="5"/>
  <c r="U90" i="5"/>
  <c r="Z89" i="5"/>
  <c r="AA89" i="5" s="1"/>
  <c r="W89" i="5"/>
  <c r="V89" i="5"/>
  <c r="U89" i="5"/>
  <c r="AA88" i="5"/>
  <c r="W88" i="5"/>
  <c r="V88" i="5"/>
  <c r="U88" i="5"/>
  <c r="AA87" i="5"/>
  <c r="W87" i="5"/>
  <c r="V87" i="5"/>
  <c r="U87" i="5"/>
  <c r="AA86" i="5"/>
  <c r="W86" i="5"/>
  <c r="V86" i="5"/>
  <c r="U86" i="5"/>
  <c r="AA85" i="5"/>
  <c r="W85" i="5"/>
  <c r="V85" i="5"/>
  <c r="U85" i="5"/>
  <c r="AA84" i="5"/>
  <c r="W84" i="5"/>
  <c r="V84" i="5"/>
  <c r="U84" i="5"/>
  <c r="AA83" i="5"/>
  <c r="W83" i="5"/>
  <c r="V83" i="5"/>
  <c r="U83" i="5"/>
  <c r="AA82" i="5"/>
  <c r="W82" i="5"/>
  <c r="V82" i="5"/>
  <c r="U82" i="5"/>
  <c r="AA81" i="5"/>
  <c r="W81" i="5"/>
  <c r="V81" i="5"/>
  <c r="U81" i="5"/>
  <c r="AA80" i="5"/>
  <c r="W80" i="5"/>
  <c r="V80" i="5"/>
  <c r="U80" i="5"/>
  <c r="AA79" i="5"/>
  <c r="W79" i="5"/>
  <c r="V79" i="5"/>
  <c r="U79" i="5"/>
  <c r="AA78" i="5"/>
  <c r="W78" i="5"/>
  <c r="V78" i="5"/>
  <c r="U78" i="5"/>
  <c r="AA77" i="5"/>
  <c r="W77" i="5"/>
  <c r="V77" i="5"/>
  <c r="U77" i="5"/>
  <c r="AA76" i="5"/>
  <c r="W76" i="5"/>
  <c r="V76" i="5"/>
  <c r="U76" i="5"/>
  <c r="AA75" i="5"/>
  <c r="W75" i="5"/>
  <c r="V75" i="5"/>
  <c r="U75" i="5"/>
  <c r="AA74" i="5"/>
  <c r="W74" i="5"/>
  <c r="V74" i="5"/>
  <c r="U74" i="5"/>
  <c r="AA73" i="5"/>
  <c r="W73" i="5"/>
  <c r="V73" i="5"/>
  <c r="U73" i="5"/>
  <c r="AA72" i="5"/>
  <c r="W72" i="5"/>
  <c r="V72" i="5"/>
  <c r="U72" i="5"/>
  <c r="AA71" i="5"/>
  <c r="W71" i="5"/>
  <c r="V71" i="5"/>
  <c r="U71" i="5"/>
  <c r="AA70" i="5"/>
  <c r="W70" i="5"/>
  <c r="V70" i="5"/>
  <c r="U70" i="5"/>
  <c r="AA69" i="5"/>
  <c r="W69" i="5"/>
  <c r="V69" i="5"/>
  <c r="U69" i="5"/>
  <c r="AA68" i="5"/>
  <c r="W68" i="5"/>
  <c r="V68" i="5"/>
  <c r="U68" i="5"/>
  <c r="AA67" i="5"/>
  <c r="W67" i="5"/>
  <c r="V67" i="5"/>
  <c r="U67" i="5"/>
  <c r="AA66" i="5"/>
  <c r="W66" i="5"/>
  <c r="V66" i="5"/>
  <c r="U66" i="5"/>
  <c r="AA65" i="5"/>
  <c r="W65" i="5"/>
  <c r="V65" i="5"/>
  <c r="U65" i="5"/>
  <c r="AA64" i="5"/>
  <c r="W64" i="5"/>
  <c r="V64" i="5"/>
  <c r="U64" i="5"/>
  <c r="AA63" i="5"/>
  <c r="W63" i="5"/>
  <c r="V63" i="5"/>
  <c r="U63" i="5"/>
  <c r="AA62" i="5"/>
  <c r="W62" i="5"/>
  <c r="V62" i="5"/>
  <c r="U62" i="5"/>
  <c r="AA61" i="5"/>
  <c r="W61" i="5"/>
  <c r="V61" i="5"/>
  <c r="U61" i="5"/>
  <c r="AA60" i="5"/>
  <c r="W60" i="5"/>
  <c r="V60" i="5"/>
  <c r="U60" i="5"/>
  <c r="AA59" i="5"/>
  <c r="W59" i="5"/>
  <c r="V59" i="5"/>
  <c r="U59" i="5"/>
  <c r="AA58" i="5"/>
  <c r="W58" i="5"/>
  <c r="V58" i="5"/>
  <c r="U58" i="5"/>
  <c r="AA57" i="5"/>
  <c r="W57" i="5"/>
  <c r="V57" i="5"/>
  <c r="U57" i="5"/>
  <c r="AA56" i="5"/>
  <c r="W56" i="5"/>
  <c r="V56" i="5"/>
  <c r="U56" i="5"/>
  <c r="AA55" i="5"/>
  <c r="W55" i="5"/>
  <c r="V55" i="5"/>
  <c r="U55" i="5"/>
  <c r="AA54" i="5"/>
  <c r="W54" i="5"/>
  <c r="V54" i="5"/>
  <c r="U54" i="5"/>
  <c r="AA53" i="5"/>
  <c r="W53" i="5"/>
  <c r="V53" i="5"/>
  <c r="U53" i="5"/>
  <c r="AA52" i="5"/>
  <c r="W52" i="5"/>
  <c r="V52" i="5"/>
  <c r="U52" i="5"/>
  <c r="AA51" i="5"/>
  <c r="W51" i="5"/>
  <c r="V51" i="5"/>
  <c r="U51" i="5"/>
  <c r="AA50" i="5"/>
  <c r="W50" i="5"/>
  <c r="V50" i="5"/>
  <c r="U50" i="5"/>
  <c r="AA49" i="5"/>
  <c r="W49" i="5"/>
  <c r="V49" i="5"/>
  <c r="U49" i="5"/>
  <c r="AA48" i="5"/>
  <c r="W48" i="5"/>
  <c r="V48" i="5"/>
  <c r="U48" i="5"/>
  <c r="AA47" i="5"/>
  <c r="W47" i="5"/>
  <c r="V47" i="5"/>
  <c r="U47" i="5"/>
  <c r="AA46" i="5"/>
  <c r="W46" i="5"/>
  <c r="V46" i="5"/>
  <c r="U46" i="5"/>
  <c r="W45" i="5"/>
  <c r="V45" i="5"/>
  <c r="U45" i="5"/>
  <c r="W44" i="5"/>
  <c r="V44" i="5"/>
  <c r="U44" i="5"/>
  <c r="W43" i="5"/>
  <c r="V43" i="5"/>
  <c r="U43" i="5"/>
  <c r="W42" i="5"/>
  <c r="V42" i="5"/>
  <c r="U42" i="5"/>
  <c r="W41" i="5"/>
  <c r="V41" i="5"/>
  <c r="U41" i="5"/>
  <c r="W40" i="5"/>
  <c r="V40" i="5"/>
  <c r="U40" i="5"/>
  <c r="W39" i="5"/>
  <c r="V39" i="5"/>
  <c r="U39" i="5"/>
  <c r="W38" i="5"/>
  <c r="V38" i="5"/>
  <c r="U38" i="5"/>
  <c r="W37" i="5"/>
  <c r="V37" i="5"/>
  <c r="U37" i="5"/>
  <c r="W36" i="5"/>
  <c r="V36" i="5"/>
  <c r="U36" i="5"/>
  <c r="W35" i="5"/>
  <c r="V35" i="5"/>
  <c r="U35" i="5"/>
  <c r="W34" i="5"/>
  <c r="V34" i="5"/>
  <c r="U34" i="5"/>
  <c r="W33" i="5"/>
  <c r="V33" i="5"/>
  <c r="U33" i="5"/>
  <c r="W32" i="5"/>
  <c r="V32" i="5"/>
  <c r="U32" i="5"/>
  <c r="W31" i="5"/>
  <c r="V31" i="5"/>
  <c r="U31" i="5"/>
  <c r="W30" i="5"/>
  <c r="V30" i="5"/>
  <c r="U30" i="5"/>
  <c r="W29" i="5"/>
  <c r="V29" i="5"/>
  <c r="U29" i="5"/>
  <c r="W28" i="5"/>
  <c r="V28" i="5"/>
  <c r="U28" i="5"/>
  <c r="U20" i="5"/>
  <c r="W20" i="5" s="1"/>
  <c r="U19" i="5"/>
  <c r="W19" i="5" s="1"/>
  <c r="U18" i="5"/>
  <c r="W18" i="5" s="1"/>
  <c r="U17" i="5"/>
  <c r="W17" i="5" s="1"/>
  <c r="U16" i="5"/>
  <c r="W16" i="5" s="1"/>
  <c r="U15" i="5"/>
  <c r="W15" i="5" s="1"/>
  <c r="U14" i="5"/>
  <c r="W14" i="5" s="1"/>
  <c r="U13" i="5"/>
  <c r="V13" i="5" s="1"/>
  <c r="U12" i="5"/>
  <c r="V12" i="5" s="1"/>
  <c r="U11" i="5"/>
  <c r="W11" i="5" s="1"/>
  <c r="U10" i="5"/>
  <c r="W10" i="5" s="1"/>
  <c r="U8" i="5"/>
  <c r="V8" i="5" s="1"/>
  <c r="U7" i="5"/>
  <c r="W7" i="5" s="1"/>
  <c r="U6" i="5"/>
  <c r="W6" i="5" s="1"/>
  <c r="Z5" i="5"/>
  <c r="U5" i="5"/>
  <c r="W5" i="5" s="1"/>
  <c r="Z302" i="4"/>
  <c r="AA302" i="4" s="1"/>
  <c r="W302" i="4"/>
  <c r="V302" i="4"/>
  <c r="U302" i="4"/>
  <c r="Z301" i="4"/>
  <c r="AA301" i="4" s="1"/>
  <c r="W301" i="4"/>
  <c r="V301" i="4"/>
  <c r="U301" i="4"/>
  <c r="Z300" i="4"/>
  <c r="AA300" i="4" s="1"/>
  <c r="W300" i="4"/>
  <c r="V300" i="4"/>
  <c r="U300" i="4"/>
  <c r="Z299" i="4"/>
  <c r="AA299" i="4" s="1"/>
  <c r="W299" i="4"/>
  <c r="V299" i="4"/>
  <c r="U299" i="4"/>
  <c r="Z298" i="4"/>
  <c r="AA298" i="4" s="1"/>
  <c r="W298" i="4"/>
  <c r="V298" i="4"/>
  <c r="U298" i="4"/>
  <c r="Z297" i="4"/>
  <c r="AA297" i="4" s="1"/>
  <c r="W297" i="4"/>
  <c r="V297" i="4"/>
  <c r="U297" i="4"/>
  <c r="Z296" i="4"/>
  <c r="AA296" i="4" s="1"/>
  <c r="W296" i="4"/>
  <c r="V296" i="4"/>
  <c r="U296" i="4"/>
  <c r="Z295" i="4"/>
  <c r="AA295" i="4" s="1"/>
  <c r="W295" i="4"/>
  <c r="V295" i="4"/>
  <c r="U295" i="4"/>
  <c r="Z294" i="4"/>
  <c r="AA294" i="4" s="1"/>
  <c r="W294" i="4"/>
  <c r="V294" i="4"/>
  <c r="U294" i="4"/>
  <c r="Z293" i="4"/>
  <c r="AA293" i="4" s="1"/>
  <c r="W293" i="4"/>
  <c r="V293" i="4"/>
  <c r="U293" i="4"/>
  <c r="Z292" i="4"/>
  <c r="AA292" i="4" s="1"/>
  <c r="W292" i="4"/>
  <c r="V292" i="4"/>
  <c r="U292" i="4"/>
  <c r="Z291" i="4"/>
  <c r="AA291" i="4" s="1"/>
  <c r="W291" i="4"/>
  <c r="V291" i="4"/>
  <c r="U291" i="4"/>
  <c r="Z290" i="4"/>
  <c r="AA290" i="4" s="1"/>
  <c r="W290" i="4"/>
  <c r="V290" i="4"/>
  <c r="U290" i="4"/>
  <c r="Z289" i="4"/>
  <c r="AA289" i="4" s="1"/>
  <c r="W289" i="4"/>
  <c r="V289" i="4"/>
  <c r="U289" i="4"/>
  <c r="Z288" i="4"/>
  <c r="AA288" i="4" s="1"/>
  <c r="W288" i="4"/>
  <c r="V288" i="4"/>
  <c r="U288" i="4"/>
  <c r="Z287" i="4"/>
  <c r="AA287" i="4" s="1"/>
  <c r="W287" i="4"/>
  <c r="V287" i="4"/>
  <c r="U287" i="4"/>
  <c r="Z286" i="4"/>
  <c r="AA286" i="4" s="1"/>
  <c r="W286" i="4"/>
  <c r="V286" i="4"/>
  <c r="U286" i="4"/>
  <c r="Z285" i="4"/>
  <c r="AA285" i="4" s="1"/>
  <c r="W285" i="4"/>
  <c r="V285" i="4"/>
  <c r="U285" i="4"/>
  <c r="Z284" i="4"/>
  <c r="AA284" i="4" s="1"/>
  <c r="W284" i="4"/>
  <c r="V284" i="4"/>
  <c r="U284" i="4"/>
  <c r="Z283" i="4"/>
  <c r="AA283" i="4" s="1"/>
  <c r="W283" i="4"/>
  <c r="V283" i="4"/>
  <c r="U283" i="4"/>
  <c r="Z282" i="4"/>
  <c r="AA282" i="4" s="1"/>
  <c r="W282" i="4"/>
  <c r="V282" i="4"/>
  <c r="U282" i="4"/>
  <c r="Z281" i="4"/>
  <c r="AA281" i="4" s="1"/>
  <c r="W281" i="4"/>
  <c r="V281" i="4"/>
  <c r="U281" i="4"/>
  <c r="Z280" i="4"/>
  <c r="AA280" i="4" s="1"/>
  <c r="W280" i="4"/>
  <c r="V280" i="4"/>
  <c r="U280" i="4"/>
  <c r="Z279" i="4"/>
  <c r="AA279" i="4" s="1"/>
  <c r="W279" i="4"/>
  <c r="V279" i="4"/>
  <c r="U279" i="4"/>
  <c r="Z278" i="4"/>
  <c r="AA278" i="4" s="1"/>
  <c r="W278" i="4"/>
  <c r="V278" i="4"/>
  <c r="U278" i="4"/>
  <c r="Z277" i="4"/>
  <c r="AA277" i="4" s="1"/>
  <c r="W277" i="4"/>
  <c r="V277" i="4"/>
  <c r="U277" i="4"/>
  <c r="Z276" i="4"/>
  <c r="AA276" i="4" s="1"/>
  <c r="W276" i="4"/>
  <c r="V276" i="4"/>
  <c r="U276" i="4"/>
  <c r="Z275" i="4"/>
  <c r="AA275" i="4" s="1"/>
  <c r="W275" i="4"/>
  <c r="V275" i="4"/>
  <c r="U275" i="4"/>
  <c r="Z274" i="4"/>
  <c r="AA274" i="4" s="1"/>
  <c r="W274" i="4"/>
  <c r="V274" i="4"/>
  <c r="U274" i="4"/>
  <c r="Z273" i="4"/>
  <c r="AA273" i="4" s="1"/>
  <c r="W273" i="4"/>
  <c r="V273" i="4"/>
  <c r="U273" i="4"/>
  <c r="Z272" i="4"/>
  <c r="AA272" i="4" s="1"/>
  <c r="W272" i="4"/>
  <c r="V272" i="4"/>
  <c r="U272" i="4"/>
  <c r="Z271" i="4"/>
  <c r="AA271" i="4" s="1"/>
  <c r="W271" i="4"/>
  <c r="V271" i="4"/>
  <c r="U271" i="4"/>
  <c r="Z270" i="4"/>
  <c r="AA270" i="4" s="1"/>
  <c r="W270" i="4"/>
  <c r="V270" i="4"/>
  <c r="U270" i="4"/>
  <c r="Z269" i="4"/>
  <c r="AA269" i="4" s="1"/>
  <c r="W269" i="4"/>
  <c r="V269" i="4"/>
  <c r="U269" i="4"/>
  <c r="Z268" i="4"/>
  <c r="AA268" i="4" s="1"/>
  <c r="W268" i="4"/>
  <c r="V268" i="4"/>
  <c r="U268" i="4"/>
  <c r="Z267" i="4"/>
  <c r="AA267" i="4" s="1"/>
  <c r="W267" i="4"/>
  <c r="V267" i="4"/>
  <c r="U267" i="4"/>
  <c r="Z266" i="4"/>
  <c r="AA266" i="4" s="1"/>
  <c r="W266" i="4"/>
  <c r="V266" i="4"/>
  <c r="U266" i="4"/>
  <c r="Z265" i="4"/>
  <c r="AA265" i="4" s="1"/>
  <c r="W265" i="4"/>
  <c r="V265" i="4"/>
  <c r="U265" i="4"/>
  <c r="Z264" i="4"/>
  <c r="AA264" i="4" s="1"/>
  <c r="W264" i="4"/>
  <c r="V264" i="4"/>
  <c r="U264" i="4"/>
  <c r="Z263" i="4"/>
  <c r="AA263" i="4" s="1"/>
  <c r="W263" i="4"/>
  <c r="V263" i="4"/>
  <c r="U263" i="4"/>
  <c r="Z262" i="4"/>
  <c r="AA262" i="4" s="1"/>
  <c r="W262" i="4"/>
  <c r="V262" i="4"/>
  <c r="U262" i="4"/>
  <c r="Z261" i="4"/>
  <c r="AA261" i="4" s="1"/>
  <c r="W261" i="4"/>
  <c r="V261" i="4"/>
  <c r="U261" i="4"/>
  <c r="Z260" i="4"/>
  <c r="AA260" i="4" s="1"/>
  <c r="W260" i="4"/>
  <c r="V260" i="4"/>
  <c r="U260" i="4"/>
  <c r="Z259" i="4"/>
  <c r="AA259" i="4" s="1"/>
  <c r="W259" i="4"/>
  <c r="V259" i="4"/>
  <c r="U259" i="4"/>
  <c r="Z258" i="4"/>
  <c r="AA258" i="4" s="1"/>
  <c r="W258" i="4"/>
  <c r="V258" i="4"/>
  <c r="U258" i="4"/>
  <c r="Z257" i="4"/>
  <c r="AA257" i="4" s="1"/>
  <c r="W257" i="4"/>
  <c r="V257" i="4"/>
  <c r="U257" i="4"/>
  <c r="Z256" i="4"/>
  <c r="AA256" i="4" s="1"/>
  <c r="W256" i="4"/>
  <c r="V256" i="4"/>
  <c r="U256" i="4"/>
  <c r="Z255" i="4"/>
  <c r="AA255" i="4" s="1"/>
  <c r="W255" i="4"/>
  <c r="V255" i="4"/>
  <c r="U255" i="4"/>
  <c r="Z254" i="4"/>
  <c r="AA254" i="4" s="1"/>
  <c r="W254" i="4"/>
  <c r="V254" i="4"/>
  <c r="U254" i="4"/>
  <c r="Z253" i="4"/>
  <c r="AA253" i="4" s="1"/>
  <c r="W253" i="4"/>
  <c r="V253" i="4"/>
  <c r="U253" i="4"/>
  <c r="Z252" i="4"/>
  <c r="AA252" i="4" s="1"/>
  <c r="W252" i="4"/>
  <c r="V252" i="4"/>
  <c r="U252" i="4"/>
  <c r="Z251" i="4"/>
  <c r="AA251" i="4" s="1"/>
  <c r="W251" i="4"/>
  <c r="V251" i="4"/>
  <c r="U251" i="4"/>
  <c r="Z250" i="4"/>
  <c r="AA250" i="4" s="1"/>
  <c r="W250" i="4"/>
  <c r="V250" i="4"/>
  <c r="U250" i="4"/>
  <c r="Z249" i="4"/>
  <c r="AA249" i="4" s="1"/>
  <c r="W249" i="4"/>
  <c r="V249" i="4"/>
  <c r="U249" i="4"/>
  <c r="Z248" i="4"/>
  <c r="AA248" i="4" s="1"/>
  <c r="W248" i="4"/>
  <c r="V248" i="4"/>
  <c r="U248" i="4"/>
  <c r="Z247" i="4"/>
  <c r="AA247" i="4" s="1"/>
  <c r="W247" i="4"/>
  <c r="V247" i="4"/>
  <c r="U247" i="4"/>
  <c r="Z246" i="4"/>
  <c r="AA246" i="4" s="1"/>
  <c r="W246" i="4"/>
  <c r="V246" i="4"/>
  <c r="U246" i="4"/>
  <c r="Z245" i="4"/>
  <c r="AA245" i="4" s="1"/>
  <c r="W245" i="4"/>
  <c r="V245" i="4"/>
  <c r="U245" i="4"/>
  <c r="Z244" i="4"/>
  <c r="AA244" i="4" s="1"/>
  <c r="W244" i="4"/>
  <c r="V244" i="4"/>
  <c r="U244" i="4"/>
  <c r="Z243" i="4"/>
  <c r="AA243" i="4" s="1"/>
  <c r="W243" i="4"/>
  <c r="V243" i="4"/>
  <c r="U243" i="4"/>
  <c r="Z242" i="4"/>
  <c r="AA242" i="4" s="1"/>
  <c r="W242" i="4"/>
  <c r="V242" i="4"/>
  <c r="U242" i="4"/>
  <c r="Z241" i="4"/>
  <c r="AA241" i="4" s="1"/>
  <c r="W241" i="4"/>
  <c r="V241" i="4"/>
  <c r="U241" i="4"/>
  <c r="Z240" i="4"/>
  <c r="AA240" i="4" s="1"/>
  <c r="W240" i="4"/>
  <c r="V240" i="4"/>
  <c r="U240" i="4"/>
  <c r="Z239" i="4"/>
  <c r="AA239" i="4" s="1"/>
  <c r="W239" i="4"/>
  <c r="V239" i="4"/>
  <c r="U239" i="4"/>
  <c r="Z238" i="4"/>
  <c r="AA238" i="4" s="1"/>
  <c r="W238" i="4"/>
  <c r="V238" i="4"/>
  <c r="U238" i="4"/>
  <c r="Z237" i="4"/>
  <c r="AA237" i="4" s="1"/>
  <c r="W237" i="4"/>
  <c r="V237" i="4"/>
  <c r="U237" i="4"/>
  <c r="Z236" i="4"/>
  <c r="AA236" i="4" s="1"/>
  <c r="W236" i="4"/>
  <c r="V236" i="4"/>
  <c r="U236" i="4"/>
  <c r="W235" i="4"/>
  <c r="V235" i="4"/>
  <c r="U235" i="4"/>
  <c r="W234" i="4"/>
  <c r="V234" i="4"/>
  <c r="U234" i="4"/>
  <c r="W233" i="4"/>
  <c r="V233" i="4"/>
  <c r="U233" i="4"/>
  <c r="W232" i="4"/>
  <c r="V232" i="4"/>
  <c r="U232" i="4"/>
  <c r="W231" i="4"/>
  <c r="V231" i="4"/>
  <c r="U231" i="4"/>
  <c r="W230" i="4"/>
  <c r="V230" i="4"/>
  <c r="U230" i="4"/>
  <c r="W229" i="4"/>
  <c r="V229" i="4"/>
  <c r="U229" i="4"/>
  <c r="W228" i="4"/>
  <c r="V228" i="4"/>
  <c r="U228" i="4"/>
  <c r="W227" i="4"/>
  <c r="V227" i="4"/>
  <c r="U227" i="4"/>
  <c r="W226" i="4"/>
  <c r="V226" i="4"/>
  <c r="U226" i="4"/>
  <c r="W225" i="4"/>
  <c r="V225" i="4"/>
  <c r="U225" i="4"/>
  <c r="W224" i="4"/>
  <c r="V224" i="4"/>
  <c r="U224" i="4"/>
  <c r="W223" i="4"/>
  <c r="V223" i="4"/>
  <c r="U223" i="4"/>
  <c r="W222" i="4"/>
  <c r="V222" i="4"/>
  <c r="U222" i="4"/>
  <c r="W221" i="4"/>
  <c r="V221" i="4"/>
  <c r="U221" i="4"/>
  <c r="W220" i="4"/>
  <c r="V220" i="4"/>
  <c r="U220" i="4"/>
  <c r="W219" i="4"/>
  <c r="V219" i="4"/>
  <c r="U219" i="4"/>
  <c r="W218" i="4"/>
  <c r="V218" i="4"/>
  <c r="U218" i="4"/>
  <c r="W217" i="4"/>
  <c r="V217" i="4"/>
  <c r="U217" i="4"/>
  <c r="W216" i="4"/>
  <c r="V216" i="4"/>
  <c r="U216" i="4"/>
  <c r="W215" i="4"/>
  <c r="V215" i="4"/>
  <c r="U215" i="4"/>
  <c r="W214" i="4"/>
  <c r="V214" i="4"/>
  <c r="U214" i="4"/>
  <c r="W213" i="4"/>
  <c r="V213" i="4"/>
  <c r="U213" i="4"/>
  <c r="W212" i="4"/>
  <c r="V212" i="4"/>
  <c r="U212" i="4"/>
  <c r="W211" i="4"/>
  <c r="V211" i="4"/>
  <c r="U211" i="4"/>
  <c r="W210" i="4"/>
  <c r="V210" i="4"/>
  <c r="U210" i="4"/>
  <c r="W209" i="4"/>
  <c r="V209" i="4"/>
  <c r="U209" i="4"/>
  <c r="W208" i="4"/>
  <c r="V208" i="4"/>
  <c r="U208" i="4"/>
  <c r="W207" i="4"/>
  <c r="V207" i="4"/>
  <c r="U207" i="4"/>
  <c r="W206" i="4"/>
  <c r="V206" i="4"/>
  <c r="U206" i="4"/>
  <c r="W205" i="4"/>
  <c r="V205" i="4"/>
  <c r="U205" i="4"/>
  <c r="W204" i="4"/>
  <c r="V204" i="4"/>
  <c r="U204" i="4"/>
  <c r="W203" i="4"/>
  <c r="V203" i="4"/>
  <c r="U203" i="4"/>
  <c r="W202" i="4"/>
  <c r="V202" i="4"/>
  <c r="U202" i="4"/>
  <c r="W201" i="4"/>
  <c r="V201" i="4"/>
  <c r="U201" i="4"/>
  <c r="W200" i="4"/>
  <c r="V200" i="4"/>
  <c r="U200" i="4"/>
  <c r="W199" i="4"/>
  <c r="V199" i="4"/>
  <c r="U199" i="4"/>
  <c r="W198" i="4"/>
  <c r="V198" i="4"/>
  <c r="U198" i="4"/>
  <c r="W197" i="4"/>
  <c r="V197" i="4"/>
  <c r="U197" i="4"/>
  <c r="W196" i="4"/>
  <c r="V196" i="4"/>
  <c r="U196" i="4"/>
  <c r="W195" i="4"/>
  <c r="V195" i="4"/>
  <c r="U195" i="4"/>
  <c r="W194" i="4"/>
  <c r="V194" i="4"/>
  <c r="U194" i="4"/>
  <c r="W193" i="4"/>
  <c r="V193" i="4"/>
  <c r="U193" i="4"/>
  <c r="W192" i="4"/>
  <c r="V192" i="4"/>
  <c r="U192" i="4"/>
  <c r="W191" i="4"/>
  <c r="V191" i="4"/>
  <c r="U191" i="4"/>
  <c r="W190" i="4"/>
  <c r="V190" i="4"/>
  <c r="U190" i="4"/>
  <c r="W189" i="4"/>
  <c r="V189" i="4"/>
  <c r="U189" i="4"/>
  <c r="W188" i="4"/>
  <c r="V188" i="4"/>
  <c r="U188" i="4"/>
  <c r="W187" i="4"/>
  <c r="V187" i="4"/>
  <c r="U187" i="4"/>
  <c r="W186" i="4"/>
  <c r="V186" i="4"/>
  <c r="U186" i="4"/>
  <c r="W185" i="4"/>
  <c r="V185" i="4"/>
  <c r="U185" i="4"/>
  <c r="W184" i="4"/>
  <c r="V184" i="4"/>
  <c r="U184" i="4"/>
  <c r="W183" i="4"/>
  <c r="V183" i="4"/>
  <c r="U183" i="4"/>
  <c r="W182" i="4"/>
  <c r="V182" i="4"/>
  <c r="U182" i="4"/>
  <c r="W181" i="4"/>
  <c r="V181" i="4"/>
  <c r="U181" i="4"/>
  <c r="W180" i="4"/>
  <c r="V180" i="4"/>
  <c r="U180" i="4"/>
  <c r="W179" i="4"/>
  <c r="V179" i="4"/>
  <c r="U179" i="4"/>
  <c r="W178" i="4"/>
  <c r="V178" i="4"/>
  <c r="U178" i="4"/>
  <c r="W177" i="4"/>
  <c r="V177" i="4"/>
  <c r="U177" i="4"/>
  <c r="W176" i="4"/>
  <c r="V176" i="4"/>
  <c r="U176" i="4"/>
  <c r="W175" i="4"/>
  <c r="V175" i="4"/>
  <c r="U175" i="4"/>
  <c r="W174" i="4"/>
  <c r="V174" i="4"/>
  <c r="U174" i="4"/>
  <c r="W173" i="4"/>
  <c r="V173" i="4"/>
  <c r="U173" i="4"/>
  <c r="W172" i="4"/>
  <c r="V172" i="4"/>
  <c r="U172" i="4"/>
  <c r="W171" i="4"/>
  <c r="V171" i="4"/>
  <c r="U171" i="4"/>
  <c r="W170" i="4"/>
  <c r="V170" i="4"/>
  <c r="U170" i="4"/>
  <c r="W169" i="4"/>
  <c r="V169" i="4"/>
  <c r="U169" i="4"/>
  <c r="U168" i="4"/>
  <c r="W168" i="4" s="1"/>
  <c r="U167" i="4"/>
  <c r="W167" i="4" s="1"/>
  <c r="U166" i="4"/>
  <c r="W166" i="4" s="1"/>
  <c r="U133" i="4"/>
  <c r="V133" i="4" s="1"/>
  <c r="W132" i="4"/>
  <c r="V132" i="4"/>
  <c r="U132" i="4"/>
  <c r="U131" i="4"/>
  <c r="W131" i="4" s="1"/>
  <c r="U130" i="4"/>
  <c r="V130" i="4" s="1"/>
  <c r="U129" i="4"/>
  <c r="V129" i="4" s="1"/>
  <c r="U128" i="4"/>
  <c r="W128" i="4" s="1"/>
  <c r="U127" i="4"/>
  <c r="W127" i="4" s="1"/>
  <c r="U126" i="4"/>
  <c r="W126" i="4" s="1"/>
  <c r="U125" i="4"/>
  <c r="W125" i="4" s="1"/>
  <c r="U124" i="4"/>
  <c r="W124" i="4" s="1"/>
  <c r="U123" i="4"/>
  <c r="W123" i="4" s="1"/>
  <c r="U122" i="4"/>
  <c r="W122" i="4" s="1"/>
  <c r="U121" i="4"/>
  <c r="W121" i="4" s="1"/>
  <c r="U120" i="4"/>
  <c r="W120" i="4" s="1"/>
  <c r="U119" i="4"/>
  <c r="W119" i="4" s="1"/>
  <c r="U118" i="4"/>
  <c r="W118" i="4" s="1"/>
  <c r="U117" i="4"/>
  <c r="W117" i="4" s="1"/>
  <c r="U116" i="4"/>
  <c r="W116" i="4" s="1"/>
  <c r="U114" i="4"/>
  <c r="W114" i="4" s="1"/>
  <c r="U113" i="4"/>
  <c r="W113" i="4" s="1"/>
  <c r="U112" i="4"/>
  <c r="W112" i="4" s="1"/>
  <c r="U111" i="4"/>
  <c r="V111" i="4" s="1"/>
  <c r="U110" i="4"/>
  <c r="V110" i="4" s="1"/>
  <c r="U109" i="4"/>
  <c r="V109" i="4" s="1"/>
  <c r="U108" i="4"/>
  <c r="V108" i="4" s="1"/>
  <c r="U107" i="4"/>
  <c r="W107" i="4" s="1"/>
  <c r="U106" i="4"/>
  <c r="W106" i="4" s="1"/>
  <c r="U105" i="4"/>
  <c r="V105" i="4" s="1"/>
  <c r="U104" i="4"/>
  <c r="W104" i="4" s="1"/>
  <c r="U103" i="4"/>
  <c r="W103" i="4" s="1"/>
  <c r="U102" i="4"/>
  <c r="W102" i="4" s="1"/>
  <c r="U101" i="4"/>
  <c r="W101" i="4" s="1"/>
  <c r="U100" i="4"/>
  <c r="W100" i="4" s="1"/>
  <c r="U99" i="4"/>
  <c r="V99" i="4" s="1"/>
  <c r="U98" i="4"/>
  <c r="W98" i="4" s="1"/>
  <c r="U97" i="4"/>
  <c r="V97" i="4" s="1"/>
  <c r="U96" i="4"/>
  <c r="W96" i="4" s="1"/>
  <c r="U95" i="4"/>
  <c r="W95" i="4" s="1"/>
  <c r="U94" i="4"/>
  <c r="V94" i="4" s="1"/>
  <c r="U93" i="4"/>
  <c r="W93" i="4" s="1"/>
  <c r="U92" i="4"/>
  <c r="W92" i="4" s="1"/>
  <c r="U91" i="4"/>
  <c r="W91" i="4" s="1"/>
  <c r="U90" i="4"/>
  <c r="V90" i="4" s="1"/>
  <c r="U89" i="4"/>
  <c r="V89" i="4" s="1"/>
  <c r="U88" i="4"/>
  <c r="W88" i="4" s="1"/>
  <c r="U87" i="4"/>
  <c r="V87" i="4" s="1"/>
  <c r="U86" i="4"/>
  <c r="V86" i="4" s="1"/>
  <c r="U85" i="4"/>
  <c r="W85" i="4" s="1"/>
  <c r="U84" i="4"/>
  <c r="V84" i="4" s="1"/>
  <c r="U83" i="4"/>
  <c r="W83" i="4" s="1"/>
  <c r="U82" i="4"/>
  <c r="W82" i="4" s="1"/>
  <c r="U81" i="4"/>
  <c r="W81" i="4" s="1"/>
  <c r="U80" i="4"/>
  <c r="W80" i="4" s="1"/>
  <c r="U79" i="4"/>
  <c r="V79" i="4" s="1"/>
  <c r="U78" i="4"/>
  <c r="V78" i="4" s="1"/>
  <c r="U77" i="4"/>
  <c r="W77" i="4" s="1"/>
  <c r="U75" i="4"/>
  <c r="W75" i="4" s="1"/>
  <c r="U74" i="4"/>
  <c r="W74" i="4" s="1"/>
  <c r="U73" i="4"/>
  <c r="W73" i="4" s="1"/>
  <c r="U72" i="4"/>
  <c r="V72" i="4" s="1"/>
  <c r="U71" i="4"/>
  <c r="W71" i="4" s="1"/>
  <c r="U70" i="4"/>
  <c r="W70" i="4" s="1"/>
  <c r="U69" i="4"/>
  <c r="V69" i="4" s="1"/>
  <c r="U68" i="4"/>
  <c r="W68" i="4" s="1"/>
  <c r="U67" i="4"/>
  <c r="W67" i="4" s="1"/>
  <c r="U66" i="4"/>
  <c r="W66" i="4" s="1"/>
  <c r="U65" i="4"/>
  <c r="W65" i="4" s="1"/>
  <c r="U64" i="4"/>
  <c r="W64" i="4" s="1"/>
  <c r="U63" i="4"/>
  <c r="V63" i="4" s="1"/>
  <c r="U62" i="4"/>
  <c r="W62" i="4" s="1"/>
  <c r="U61" i="4"/>
  <c r="W61" i="4" s="1"/>
  <c r="U60" i="4"/>
  <c r="W60" i="4" s="1"/>
  <c r="U59" i="4"/>
  <c r="W59" i="4" s="1"/>
  <c r="U58" i="4"/>
  <c r="W58" i="4" s="1"/>
  <c r="U57" i="4"/>
  <c r="W57" i="4" s="1"/>
  <c r="U56" i="4"/>
  <c r="W56" i="4" s="1"/>
  <c r="U55" i="4"/>
  <c r="W55" i="4" s="1"/>
  <c r="U54" i="4"/>
  <c r="V54" i="4" s="1"/>
  <c r="U53" i="4"/>
  <c r="W53" i="4" s="1"/>
  <c r="U52" i="4"/>
  <c r="W52" i="4" s="1"/>
  <c r="U51" i="4"/>
  <c r="V51" i="4" s="1"/>
  <c r="U50" i="4"/>
  <c r="W50" i="4" s="1"/>
  <c r="U49" i="4"/>
  <c r="W49" i="4" s="1"/>
  <c r="U48" i="4"/>
  <c r="W48" i="4" s="1"/>
  <c r="U47" i="4"/>
  <c r="W47" i="4" s="1"/>
  <c r="U46" i="4"/>
  <c r="W46" i="4" s="1"/>
  <c r="U45" i="4"/>
  <c r="W45" i="4" s="1"/>
  <c r="U44" i="4"/>
  <c r="V44" i="4" s="1"/>
  <c r="U43" i="4"/>
  <c r="W43" i="4" s="1"/>
  <c r="U42" i="4"/>
  <c r="W42" i="4" s="1"/>
  <c r="U41" i="4"/>
  <c r="W41" i="4" s="1"/>
  <c r="U40" i="4"/>
  <c r="W40" i="4" s="1"/>
  <c r="U39" i="4"/>
  <c r="V39" i="4" s="1"/>
  <c r="U38" i="4"/>
  <c r="W38" i="4" s="1"/>
  <c r="U37" i="4"/>
  <c r="W37" i="4" s="1"/>
  <c r="U36" i="4"/>
  <c r="V36" i="4" s="1"/>
  <c r="U35" i="4"/>
  <c r="V35" i="4" s="1"/>
  <c r="U34" i="4"/>
  <c r="W34" i="4" s="1"/>
  <c r="U33" i="4"/>
  <c r="W33" i="4" s="1"/>
  <c r="U32" i="4"/>
  <c r="W32" i="4" s="1"/>
  <c r="U31" i="4"/>
  <c r="W31" i="4" s="1"/>
  <c r="U30" i="4"/>
  <c r="V30" i="4" s="1"/>
  <c r="U29" i="4"/>
  <c r="V29" i="4" s="1"/>
  <c r="U28" i="4"/>
  <c r="W28" i="4" s="1"/>
  <c r="U27" i="4"/>
  <c r="V27" i="4" s="1"/>
  <c r="U26" i="4"/>
  <c r="V26" i="4" s="1"/>
  <c r="U24" i="4"/>
  <c r="V24" i="4" s="1"/>
  <c r="U23" i="4"/>
  <c r="V23" i="4" s="1"/>
  <c r="U22" i="4"/>
  <c r="W22" i="4" s="1"/>
  <c r="U21" i="4"/>
  <c r="W21" i="4" s="1"/>
  <c r="U20" i="4"/>
  <c r="W20" i="4" s="1"/>
  <c r="U19" i="4"/>
  <c r="W19" i="4" s="1"/>
  <c r="U18" i="4"/>
  <c r="W18" i="4" s="1"/>
  <c r="U17" i="4"/>
  <c r="W17" i="4" s="1"/>
  <c r="U16" i="4"/>
  <c r="W16" i="4" s="1"/>
  <c r="U15" i="4"/>
  <c r="W15" i="4" s="1"/>
  <c r="U14" i="4"/>
  <c r="W14" i="4" s="1"/>
  <c r="U13" i="4"/>
  <c r="W13" i="4" s="1"/>
  <c r="U12" i="4"/>
  <c r="W12" i="4" s="1"/>
  <c r="U11" i="4"/>
  <c r="V11" i="4" s="1"/>
  <c r="U10" i="4"/>
  <c r="W10" i="4" s="1"/>
  <c r="U9" i="4"/>
  <c r="V9" i="4" s="1"/>
  <c r="U8" i="4"/>
  <c r="W8" i="4" s="1"/>
  <c r="U7" i="4"/>
  <c r="V7" i="4" s="1"/>
  <c r="U6" i="4"/>
  <c r="W6" i="4" s="1"/>
  <c r="Z5" i="4"/>
  <c r="U5" i="4"/>
  <c r="W5" i="4" s="1"/>
  <c r="Y304" i="3"/>
  <c r="Z304" i="3" s="1"/>
  <c r="V304" i="3"/>
  <c r="U304" i="3"/>
  <c r="T304" i="3"/>
  <c r="Y303" i="3"/>
  <c r="Z303" i="3" s="1"/>
  <c r="V303" i="3"/>
  <c r="U303" i="3"/>
  <c r="T303" i="3"/>
  <c r="Y302" i="3"/>
  <c r="Z302" i="3" s="1"/>
  <c r="V302" i="3"/>
  <c r="U302" i="3"/>
  <c r="T302" i="3"/>
  <c r="Y301" i="3"/>
  <c r="Z301" i="3" s="1"/>
  <c r="V301" i="3"/>
  <c r="U301" i="3"/>
  <c r="T301" i="3"/>
  <c r="Y300" i="3"/>
  <c r="Z300" i="3" s="1"/>
  <c r="V300" i="3"/>
  <c r="U300" i="3"/>
  <c r="T300" i="3"/>
  <c r="Y299" i="3"/>
  <c r="Z299" i="3" s="1"/>
  <c r="V299" i="3"/>
  <c r="U299" i="3"/>
  <c r="T299" i="3"/>
  <c r="Y298" i="3"/>
  <c r="Z298" i="3" s="1"/>
  <c r="V298" i="3"/>
  <c r="U298" i="3"/>
  <c r="T298" i="3"/>
  <c r="Y297" i="3"/>
  <c r="Z297" i="3" s="1"/>
  <c r="V297" i="3"/>
  <c r="U297" i="3"/>
  <c r="T297" i="3"/>
  <c r="Y296" i="3"/>
  <c r="Z296" i="3" s="1"/>
  <c r="V296" i="3"/>
  <c r="U296" i="3"/>
  <c r="T296" i="3"/>
  <c r="Y295" i="3"/>
  <c r="Z295" i="3" s="1"/>
  <c r="V295" i="3"/>
  <c r="U295" i="3"/>
  <c r="T295" i="3"/>
  <c r="Y294" i="3"/>
  <c r="Z294" i="3" s="1"/>
  <c r="V294" i="3"/>
  <c r="U294" i="3"/>
  <c r="T294" i="3"/>
  <c r="Y293" i="3"/>
  <c r="Z293" i="3" s="1"/>
  <c r="V293" i="3"/>
  <c r="U293" i="3"/>
  <c r="T293" i="3"/>
  <c r="Y292" i="3"/>
  <c r="Z292" i="3" s="1"/>
  <c r="V292" i="3"/>
  <c r="U292" i="3"/>
  <c r="T292" i="3"/>
  <c r="Y291" i="3"/>
  <c r="Z291" i="3" s="1"/>
  <c r="V291" i="3"/>
  <c r="U291" i="3"/>
  <c r="T291" i="3"/>
  <c r="Y290" i="3"/>
  <c r="Z290" i="3" s="1"/>
  <c r="V290" i="3"/>
  <c r="U290" i="3"/>
  <c r="T290" i="3"/>
  <c r="Y289" i="3"/>
  <c r="Z289" i="3" s="1"/>
  <c r="V289" i="3"/>
  <c r="U289" i="3"/>
  <c r="T289" i="3"/>
  <c r="Y288" i="3"/>
  <c r="Z288" i="3" s="1"/>
  <c r="V288" i="3"/>
  <c r="U288" i="3"/>
  <c r="T288" i="3"/>
  <c r="Y287" i="3"/>
  <c r="Z287" i="3" s="1"/>
  <c r="V287" i="3"/>
  <c r="U287" i="3"/>
  <c r="T287" i="3"/>
  <c r="Y286" i="3"/>
  <c r="Z286" i="3" s="1"/>
  <c r="V286" i="3"/>
  <c r="U286" i="3"/>
  <c r="T286" i="3"/>
  <c r="Y285" i="3"/>
  <c r="Z285" i="3" s="1"/>
  <c r="V285" i="3"/>
  <c r="U285" i="3"/>
  <c r="T285" i="3"/>
  <c r="Y284" i="3"/>
  <c r="Z284" i="3" s="1"/>
  <c r="V284" i="3"/>
  <c r="U284" i="3"/>
  <c r="T284" i="3"/>
  <c r="Y283" i="3"/>
  <c r="Z283" i="3" s="1"/>
  <c r="V283" i="3"/>
  <c r="U283" i="3"/>
  <c r="T283" i="3"/>
  <c r="Y282" i="3"/>
  <c r="Z282" i="3" s="1"/>
  <c r="V282" i="3"/>
  <c r="U282" i="3"/>
  <c r="T282" i="3"/>
  <c r="Y281" i="3"/>
  <c r="Z281" i="3" s="1"/>
  <c r="V281" i="3"/>
  <c r="U281" i="3"/>
  <c r="T281" i="3"/>
  <c r="Y280" i="3"/>
  <c r="Z280" i="3" s="1"/>
  <c r="V280" i="3"/>
  <c r="U280" i="3"/>
  <c r="T280" i="3"/>
  <c r="Y279" i="3"/>
  <c r="Z279" i="3" s="1"/>
  <c r="V279" i="3"/>
  <c r="U279" i="3"/>
  <c r="T279" i="3"/>
  <c r="Y278" i="3"/>
  <c r="Z278" i="3" s="1"/>
  <c r="V278" i="3"/>
  <c r="U278" i="3"/>
  <c r="T278" i="3"/>
  <c r="Y277" i="3"/>
  <c r="Z277" i="3" s="1"/>
  <c r="V277" i="3"/>
  <c r="U277" i="3"/>
  <c r="T277" i="3"/>
  <c r="Y276" i="3"/>
  <c r="Z276" i="3" s="1"/>
  <c r="V276" i="3"/>
  <c r="U276" i="3"/>
  <c r="T276" i="3"/>
  <c r="Y275" i="3"/>
  <c r="Z275" i="3" s="1"/>
  <c r="V275" i="3"/>
  <c r="U275" i="3"/>
  <c r="T275" i="3"/>
  <c r="Y274" i="3"/>
  <c r="Z274" i="3" s="1"/>
  <c r="V274" i="3"/>
  <c r="U274" i="3"/>
  <c r="T274" i="3"/>
  <c r="Y273" i="3"/>
  <c r="Z273" i="3" s="1"/>
  <c r="V273" i="3"/>
  <c r="U273" i="3"/>
  <c r="T273" i="3"/>
  <c r="Y272" i="3"/>
  <c r="Z272" i="3" s="1"/>
  <c r="V272" i="3"/>
  <c r="U272" i="3"/>
  <c r="T272" i="3"/>
  <c r="Y271" i="3"/>
  <c r="Z271" i="3" s="1"/>
  <c r="V271" i="3"/>
  <c r="U271" i="3"/>
  <c r="T271" i="3"/>
  <c r="Y270" i="3"/>
  <c r="Z270" i="3" s="1"/>
  <c r="V270" i="3"/>
  <c r="U270" i="3"/>
  <c r="T270" i="3"/>
  <c r="Y269" i="3"/>
  <c r="Z269" i="3" s="1"/>
  <c r="V269" i="3"/>
  <c r="U269" i="3"/>
  <c r="T269" i="3"/>
  <c r="Y268" i="3"/>
  <c r="Z268" i="3" s="1"/>
  <c r="V268" i="3"/>
  <c r="U268" i="3"/>
  <c r="T268" i="3"/>
  <c r="Y267" i="3"/>
  <c r="Z267" i="3" s="1"/>
  <c r="V267" i="3"/>
  <c r="U267" i="3"/>
  <c r="T267" i="3"/>
  <c r="Y266" i="3"/>
  <c r="Z266" i="3" s="1"/>
  <c r="V266" i="3"/>
  <c r="U266" i="3"/>
  <c r="T266" i="3"/>
  <c r="Y265" i="3"/>
  <c r="Z265" i="3" s="1"/>
  <c r="V265" i="3"/>
  <c r="U265" i="3"/>
  <c r="T265" i="3"/>
  <c r="Y264" i="3"/>
  <c r="Z264" i="3" s="1"/>
  <c r="V264" i="3"/>
  <c r="U264" i="3"/>
  <c r="T264" i="3"/>
  <c r="Y263" i="3"/>
  <c r="Z263" i="3" s="1"/>
  <c r="V263" i="3"/>
  <c r="U263" i="3"/>
  <c r="T263" i="3"/>
  <c r="Y262" i="3"/>
  <c r="Z262" i="3" s="1"/>
  <c r="V262" i="3"/>
  <c r="U262" i="3"/>
  <c r="T262" i="3"/>
  <c r="Y261" i="3"/>
  <c r="Z261" i="3" s="1"/>
  <c r="V261" i="3"/>
  <c r="U261" i="3"/>
  <c r="T261" i="3"/>
  <c r="Y260" i="3"/>
  <c r="Z260" i="3" s="1"/>
  <c r="V260" i="3"/>
  <c r="U260" i="3"/>
  <c r="T260" i="3"/>
  <c r="Y259" i="3"/>
  <c r="Z259" i="3" s="1"/>
  <c r="V259" i="3"/>
  <c r="U259" i="3"/>
  <c r="T259" i="3"/>
  <c r="Y258" i="3"/>
  <c r="Z258" i="3" s="1"/>
  <c r="V258" i="3"/>
  <c r="U258" i="3"/>
  <c r="T258" i="3"/>
  <c r="Y257" i="3"/>
  <c r="Z257" i="3" s="1"/>
  <c r="V257" i="3"/>
  <c r="U257" i="3"/>
  <c r="T257" i="3"/>
  <c r="Y256" i="3"/>
  <c r="Z256" i="3" s="1"/>
  <c r="V256" i="3"/>
  <c r="U256" i="3"/>
  <c r="T256" i="3"/>
  <c r="Y255" i="3"/>
  <c r="Z255" i="3" s="1"/>
  <c r="V255" i="3"/>
  <c r="U255" i="3"/>
  <c r="T255" i="3"/>
  <c r="Y254" i="3"/>
  <c r="Z254" i="3" s="1"/>
  <c r="V254" i="3"/>
  <c r="U254" i="3"/>
  <c r="T254" i="3"/>
  <c r="Y253" i="3"/>
  <c r="Z253" i="3" s="1"/>
  <c r="V253" i="3"/>
  <c r="U253" i="3"/>
  <c r="T253" i="3"/>
  <c r="Y252" i="3"/>
  <c r="Z252" i="3" s="1"/>
  <c r="V252" i="3"/>
  <c r="U252" i="3"/>
  <c r="T252" i="3"/>
  <c r="Y251" i="3"/>
  <c r="Z251" i="3" s="1"/>
  <c r="V251" i="3"/>
  <c r="U251" i="3"/>
  <c r="T251" i="3"/>
  <c r="Y250" i="3"/>
  <c r="Z250" i="3" s="1"/>
  <c r="V250" i="3"/>
  <c r="U250" i="3"/>
  <c r="T250" i="3"/>
  <c r="Y249" i="3"/>
  <c r="Z249" i="3" s="1"/>
  <c r="V249" i="3"/>
  <c r="U249" i="3"/>
  <c r="T249" i="3"/>
  <c r="Y248" i="3"/>
  <c r="Z248" i="3" s="1"/>
  <c r="V248" i="3"/>
  <c r="U248" i="3"/>
  <c r="T248" i="3"/>
  <c r="Y247" i="3"/>
  <c r="Z247" i="3" s="1"/>
  <c r="V247" i="3"/>
  <c r="U247" i="3"/>
  <c r="T247" i="3"/>
  <c r="Y246" i="3"/>
  <c r="Z246" i="3" s="1"/>
  <c r="V246" i="3"/>
  <c r="U246" i="3"/>
  <c r="T246" i="3"/>
  <c r="Y245" i="3"/>
  <c r="Z245" i="3" s="1"/>
  <c r="V245" i="3"/>
  <c r="U245" i="3"/>
  <c r="T245" i="3"/>
  <c r="Y244" i="3"/>
  <c r="Z244" i="3" s="1"/>
  <c r="V244" i="3"/>
  <c r="U244" i="3"/>
  <c r="T244" i="3"/>
  <c r="Y243" i="3"/>
  <c r="Z243" i="3" s="1"/>
  <c r="V243" i="3"/>
  <c r="U243" i="3"/>
  <c r="T243" i="3"/>
  <c r="Y242" i="3"/>
  <c r="Z242" i="3" s="1"/>
  <c r="V242" i="3"/>
  <c r="U242" i="3"/>
  <c r="T242" i="3"/>
  <c r="Y241" i="3"/>
  <c r="Z241" i="3" s="1"/>
  <c r="V241" i="3"/>
  <c r="U241" i="3"/>
  <c r="T241" i="3"/>
  <c r="Y240" i="3"/>
  <c r="Z240" i="3" s="1"/>
  <c r="V240" i="3"/>
  <c r="U240" i="3"/>
  <c r="T240" i="3"/>
  <c r="Y239" i="3"/>
  <c r="Z239" i="3" s="1"/>
  <c r="V239" i="3"/>
  <c r="U239" i="3"/>
  <c r="T239" i="3"/>
  <c r="Y238" i="3"/>
  <c r="Z238" i="3" s="1"/>
  <c r="V238" i="3"/>
  <c r="U238" i="3"/>
  <c r="T238" i="3"/>
  <c r="Y237" i="3"/>
  <c r="Z237" i="3" s="1"/>
  <c r="V237" i="3"/>
  <c r="U237" i="3"/>
  <c r="T237" i="3"/>
  <c r="Y236" i="3"/>
  <c r="Z236" i="3" s="1"/>
  <c r="V236" i="3"/>
  <c r="U236" i="3"/>
  <c r="T236" i="3"/>
  <c r="Y235" i="3"/>
  <c r="Z235" i="3" s="1"/>
  <c r="V235" i="3"/>
  <c r="U235" i="3"/>
  <c r="T235" i="3"/>
  <c r="Y234" i="3"/>
  <c r="Z234" i="3" s="1"/>
  <c r="V234" i="3"/>
  <c r="U234" i="3"/>
  <c r="T234" i="3"/>
  <c r="Y233" i="3"/>
  <c r="Z233" i="3" s="1"/>
  <c r="V233" i="3"/>
  <c r="U233" i="3"/>
  <c r="T233" i="3"/>
  <c r="Y232" i="3"/>
  <c r="Z232" i="3" s="1"/>
  <c r="V232" i="3"/>
  <c r="U232" i="3"/>
  <c r="T232" i="3"/>
  <c r="Y231" i="3"/>
  <c r="Z231" i="3" s="1"/>
  <c r="V231" i="3"/>
  <c r="U231" i="3"/>
  <c r="T231" i="3"/>
  <c r="Y230" i="3"/>
  <c r="Z230" i="3" s="1"/>
  <c r="V230" i="3"/>
  <c r="U230" i="3"/>
  <c r="T230" i="3"/>
  <c r="Y229" i="3"/>
  <c r="Z229" i="3" s="1"/>
  <c r="V229" i="3"/>
  <c r="U229" i="3"/>
  <c r="T229" i="3"/>
  <c r="Y228" i="3"/>
  <c r="Z228" i="3" s="1"/>
  <c r="V228" i="3"/>
  <c r="U228" i="3"/>
  <c r="T228" i="3"/>
  <c r="Y227" i="3"/>
  <c r="Z227" i="3" s="1"/>
  <c r="V227" i="3"/>
  <c r="U227" i="3"/>
  <c r="T227" i="3"/>
  <c r="Y226" i="3"/>
  <c r="Z226" i="3" s="1"/>
  <c r="V226" i="3"/>
  <c r="U226" i="3"/>
  <c r="T226" i="3"/>
  <c r="Y225" i="3"/>
  <c r="Z225" i="3" s="1"/>
  <c r="V225" i="3"/>
  <c r="U225" i="3"/>
  <c r="T225" i="3"/>
  <c r="Y224" i="3"/>
  <c r="Z224" i="3" s="1"/>
  <c r="V224" i="3"/>
  <c r="U224" i="3"/>
  <c r="T224" i="3"/>
  <c r="Y223" i="3"/>
  <c r="Z223" i="3" s="1"/>
  <c r="V223" i="3"/>
  <c r="U223" i="3"/>
  <c r="T223" i="3"/>
  <c r="Y222" i="3"/>
  <c r="Z222" i="3" s="1"/>
  <c r="V222" i="3"/>
  <c r="U222" i="3"/>
  <c r="T222" i="3"/>
  <c r="Y221" i="3"/>
  <c r="Z221" i="3" s="1"/>
  <c r="V221" i="3"/>
  <c r="U221" i="3"/>
  <c r="T221" i="3"/>
  <c r="Y220" i="3"/>
  <c r="Z220" i="3" s="1"/>
  <c r="V220" i="3"/>
  <c r="U220" i="3"/>
  <c r="T220" i="3"/>
  <c r="Y219" i="3"/>
  <c r="Z219" i="3" s="1"/>
  <c r="V219" i="3"/>
  <c r="U219" i="3"/>
  <c r="T219" i="3"/>
  <c r="Y218" i="3"/>
  <c r="Z218" i="3" s="1"/>
  <c r="V218" i="3"/>
  <c r="U218" i="3"/>
  <c r="T218" i="3"/>
  <c r="Y217" i="3"/>
  <c r="Z217" i="3" s="1"/>
  <c r="V217" i="3"/>
  <c r="U217" i="3"/>
  <c r="T217" i="3"/>
  <c r="Y216" i="3"/>
  <c r="Z216" i="3" s="1"/>
  <c r="V216" i="3"/>
  <c r="U216" i="3"/>
  <c r="T216" i="3"/>
  <c r="Y215" i="3"/>
  <c r="Z215" i="3" s="1"/>
  <c r="V215" i="3"/>
  <c r="U215" i="3"/>
  <c r="T215" i="3"/>
  <c r="Y214" i="3"/>
  <c r="Z214" i="3" s="1"/>
  <c r="V214" i="3"/>
  <c r="U214" i="3"/>
  <c r="T214" i="3"/>
  <c r="Y213" i="3"/>
  <c r="Z213" i="3" s="1"/>
  <c r="V213" i="3"/>
  <c r="U213" i="3"/>
  <c r="T213" i="3"/>
  <c r="Y212" i="3"/>
  <c r="Z212" i="3" s="1"/>
  <c r="V212" i="3"/>
  <c r="U212" i="3"/>
  <c r="T212" i="3"/>
  <c r="Y211" i="3"/>
  <c r="Z211" i="3" s="1"/>
  <c r="V211" i="3"/>
  <c r="U211" i="3"/>
  <c r="T211" i="3"/>
  <c r="Y210" i="3"/>
  <c r="Z210" i="3" s="1"/>
  <c r="V210" i="3"/>
  <c r="U210" i="3"/>
  <c r="T210" i="3"/>
  <c r="Y209" i="3"/>
  <c r="Z209" i="3" s="1"/>
  <c r="V209" i="3"/>
  <c r="U209" i="3"/>
  <c r="T209" i="3"/>
  <c r="Y208" i="3"/>
  <c r="Z208" i="3" s="1"/>
  <c r="V208" i="3"/>
  <c r="U208" i="3"/>
  <c r="T208" i="3"/>
  <c r="Y207" i="3"/>
  <c r="Z207" i="3" s="1"/>
  <c r="V207" i="3"/>
  <c r="U207" i="3"/>
  <c r="T207" i="3"/>
  <c r="Y206" i="3"/>
  <c r="Z206" i="3" s="1"/>
  <c r="V206" i="3"/>
  <c r="U206" i="3"/>
  <c r="T206" i="3"/>
  <c r="Y205" i="3"/>
  <c r="Z205" i="3" s="1"/>
  <c r="V205" i="3"/>
  <c r="U205" i="3"/>
  <c r="T205" i="3"/>
  <c r="Y204" i="3"/>
  <c r="Z204" i="3" s="1"/>
  <c r="V204" i="3"/>
  <c r="U204" i="3"/>
  <c r="T204" i="3"/>
  <c r="Y203" i="3"/>
  <c r="Z203" i="3" s="1"/>
  <c r="V203" i="3"/>
  <c r="U203" i="3"/>
  <c r="T203" i="3"/>
  <c r="Y202" i="3"/>
  <c r="Z202" i="3" s="1"/>
  <c r="V202" i="3"/>
  <c r="U202" i="3"/>
  <c r="T202" i="3"/>
  <c r="Y201" i="3"/>
  <c r="Z201" i="3" s="1"/>
  <c r="V201" i="3"/>
  <c r="U201" i="3"/>
  <c r="T201" i="3"/>
  <c r="Y200" i="3"/>
  <c r="Z200" i="3" s="1"/>
  <c r="V200" i="3"/>
  <c r="U200" i="3"/>
  <c r="T200" i="3"/>
  <c r="Y199" i="3"/>
  <c r="Z199" i="3" s="1"/>
  <c r="V199" i="3"/>
  <c r="U199" i="3"/>
  <c r="T199" i="3"/>
  <c r="Y198" i="3"/>
  <c r="Z198" i="3" s="1"/>
  <c r="V198" i="3"/>
  <c r="U198" i="3"/>
  <c r="T198" i="3"/>
  <c r="Y197" i="3"/>
  <c r="Z197" i="3" s="1"/>
  <c r="V197" i="3"/>
  <c r="U197" i="3"/>
  <c r="T197" i="3"/>
  <c r="Y196" i="3"/>
  <c r="Z196" i="3" s="1"/>
  <c r="V196" i="3"/>
  <c r="U196" i="3"/>
  <c r="T196" i="3"/>
  <c r="Y195" i="3"/>
  <c r="Z195" i="3" s="1"/>
  <c r="V195" i="3"/>
  <c r="U195" i="3"/>
  <c r="T195" i="3"/>
  <c r="Y194" i="3"/>
  <c r="Z194" i="3" s="1"/>
  <c r="V194" i="3"/>
  <c r="U194" i="3"/>
  <c r="T194" i="3"/>
  <c r="Y193" i="3"/>
  <c r="Z193" i="3" s="1"/>
  <c r="V193" i="3"/>
  <c r="U193" i="3"/>
  <c r="T193" i="3"/>
  <c r="Y192" i="3"/>
  <c r="Z192" i="3" s="1"/>
  <c r="V192" i="3"/>
  <c r="U192" i="3"/>
  <c r="T192" i="3"/>
  <c r="Y191" i="3"/>
  <c r="Z191" i="3" s="1"/>
  <c r="V191" i="3"/>
  <c r="U191" i="3"/>
  <c r="T191" i="3"/>
  <c r="Y190" i="3"/>
  <c r="Z190" i="3" s="1"/>
  <c r="V190" i="3"/>
  <c r="U190" i="3"/>
  <c r="T190" i="3"/>
  <c r="Y189" i="3"/>
  <c r="Z189" i="3" s="1"/>
  <c r="V189" i="3"/>
  <c r="U189" i="3"/>
  <c r="T189" i="3"/>
  <c r="Y188" i="3"/>
  <c r="Z188" i="3" s="1"/>
  <c r="V188" i="3"/>
  <c r="U188" i="3"/>
  <c r="T188" i="3"/>
  <c r="Y187" i="3"/>
  <c r="Z187" i="3" s="1"/>
  <c r="V187" i="3"/>
  <c r="U187" i="3"/>
  <c r="T187" i="3"/>
  <c r="Y186" i="3"/>
  <c r="Z186" i="3" s="1"/>
  <c r="V186" i="3"/>
  <c r="U186" i="3"/>
  <c r="T186" i="3"/>
  <c r="Y185" i="3"/>
  <c r="Z185" i="3" s="1"/>
  <c r="V185" i="3"/>
  <c r="U185" i="3"/>
  <c r="T185" i="3"/>
  <c r="Y184" i="3"/>
  <c r="Z184" i="3" s="1"/>
  <c r="V184" i="3"/>
  <c r="U184" i="3"/>
  <c r="T184" i="3"/>
  <c r="Y183" i="3"/>
  <c r="Z183" i="3" s="1"/>
  <c r="V183" i="3"/>
  <c r="U183" i="3"/>
  <c r="T183" i="3"/>
  <c r="Y182" i="3"/>
  <c r="Z182" i="3" s="1"/>
  <c r="V182" i="3"/>
  <c r="U182" i="3"/>
  <c r="T182" i="3"/>
  <c r="Y181" i="3"/>
  <c r="Z181" i="3" s="1"/>
  <c r="V181" i="3"/>
  <c r="U181" i="3"/>
  <c r="T181" i="3"/>
  <c r="Y180" i="3"/>
  <c r="Z180" i="3" s="1"/>
  <c r="V180" i="3"/>
  <c r="U180" i="3"/>
  <c r="T180" i="3"/>
  <c r="Y179" i="3"/>
  <c r="Z179" i="3" s="1"/>
  <c r="V179" i="3"/>
  <c r="U179" i="3"/>
  <c r="T179" i="3"/>
  <c r="Y178" i="3"/>
  <c r="Z178" i="3" s="1"/>
  <c r="V178" i="3"/>
  <c r="U178" i="3"/>
  <c r="T178" i="3"/>
  <c r="Y177" i="3"/>
  <c r="Z177" i="3" s="1"/>
  <c r="V177" i="3"/>
  <c r="U177" i="3"/>
  <c r="T177" i="3"/>
  <c r="Y176" i="3"/>
  <c r="Z176" i="3" s="1"/>
  <c r="V176" i="3"/>
  <c r="U176" i="3"/>
  <c r="T176" i="3"/>
  <c r="Y175" i="3"/>
  <c r="Z175" i="3" s="1"/>
  <c r="V175" i="3"/>
  <c r="U175" i="3"/>
  <c r="T175" i="3"/>
  <c r="Y174" i="3"/>
  <c r="Z174" i="3" s="1"/>
  <c r="V174" i="3"/>
  <c r="U174" i="3"/>
  <c r="T174" i="3"/>
  <c r="Y173" i="3"/>
  <c r="Z173" i="3" s="1"/>
  <c r="V173" i="3"/>
  <c r="U173" i="3"/>
  <c r="T173" i="3"/>
  <c r="Y172" i="3"/>
  <c r="Z172" i="3" s="1"/>
  <c r="V172" i="3"/>
  <c r="U172" i="3"/>
  <c r="T172" i="3"/>
  <c r="Y171" i="3"/>
  <c r="Z171" i="3" s="1"/>
  <c r="V171" i="3"/>
  <c r="U171" i="3"/>
  <c r="T171" i="3"/>
  <c r="Y170" i="3"/>
  <c r="Z170" i="3" s="1"/>
  <c r="V170" i="3"/>
  <c r="U170" i="3"/>
  <c r="T170" i="3"/>
  <c r="Y169" i="3"/>
  <c r="Z169" i="3" s="1"/>
  <c r="V169" i="3"/>
  <c r="U169" i="3"/>
  <c r="T169" i="3"/>
  <c r="Y168" i="3"/>
  <c r="Z168" i="3" s="1"/>
  <c r="V168" i="3"/>
  <c r="U168" i="3"/>
  <c r="T168" i="3"/>
  <c r="Y167" i="3"/>
  <c r="Z167" i="3" s="1"/>
  <c r="V167" i="3"/>
  <c r="U167" i="3"/>
  <c r="T167" i="3"/>
  <c r="Y166" i="3"/>
  <c r="Z166" i="3" s="1"/>
  <c r="V166" i="3"/>
  <c r="U166" i="3"/>
  <c r="T166" i="3"/>
  <c r="Y165" i="3"/>
  <c r="Z165" i="3" s="1"/>
  <c r="V165" i="3"/>
  <c r="U165" i="3"/>
  <c r="T165" i="3"/>
  <c r="Y164" i="3"/>
  <c r="Z164" i="3" s="1"/>
  <c r="V164" i="3"/>
  <c r="U164" i="3"/>
  <c r="T164" i="3"/>
  <c r="Y163" i="3"/>
  <c r="Z163" i="3" s="1"/>
  <c r="V163" i="3"/>
  <c r="U163" i="3"/>
  <c r="T163" i="3"/>
  <c r="Y162" i="3"/>
  <c r="Z162" i="3" s="1"/>
  <c r="V162" i="3"/>
  <c r="U162" i="3"/>
  <c r="T162" i="3"/>
  <c r="Y161" i="3"/>
  <c r="Z161" i="3" s="1"/>
  <c r="V161" i="3"/>
  <c r="U161" i="3"/>
  <c r="T161" i="3"/>
  <c r="Y160" i="3"/>
  <c r="Z160" i="3" s="1"/>
  <c r="V160" i="3"/>
  <c r="U160" i="3"/>
  <c r="T160" i="3"/>
  <c r="Y159" i="3"/>
  <c r="Z159" i="3" s="1"/>
  <c r="V159" i="3"/>
  <c r="U159" i="3"/>
  <c r="T159" i="3"/>
  <c r="Y158" i="3"/>
  <c r="Z158" i="3" s="1"/>
  <c r="V158" i="3"/>
  <c r="U158" i="3"/>
  <c r="T158" i="3"/>
  <c r="Y157" i="3"/>
  <c r="Z157" i="3" s="1"/>
  <c r="V157" i="3"/>
  <c r="U157" i="3"/>
  <c r="T157" i="3"/>
  <c r="Y156" i="3"/>
  <c r="Z156" i="3" s="1"/>
  <c r="V156" i="3"/>
  <c r="U156" i="3"/>
  <c r="T156" i="3"/>
  <c r="Y155" i="3"/>
  <c r="Z155" i="3" s="1"/>
  <c r="V155" i="3"/>
  <c r="U155" i="3"/>
  <c r="T155" i="3"/>
  <c r="Y154" i="3"/>
  <c r="Z154" i="3" s="1"/>
  <c r="V154" i="3"/>
  <c r="U154" i="3"/>
  <c r="T154" i="3"/>
  <c r="Y153" i="3"/>
  <c r="Z153" i="3" s="1"/>
  <c r="V153" i="3"/>
  <c r="U153" i="3"/>
  <c r="T153" i="3"/>
  <c r="Y152" i="3"/>
  <c r="Z152" i="3" s="1"/>
  <c r="V152" i="3"/>
  <c r="U152" i="3"/>
  <c r="T152" i="3"/>
  <c r="Y151" i="3"/>
  <c r="Z151" i="3" s="1"/>
  <c r="V151" i="3"/>
  <c r="U151" i="3"/>
  <c r="T151" i="3"/>
  <c r="Y150" i="3"/>
  <c r="Z150" i="3" s="1"/>
  <c r="V150" i="3"/>
  <c r="U150" i="3"/>
  <c r="T150" i="3"/>
  <c r="Y149" i="3"/>
  <c r="Z149" i="3" s="1"/>
  <c r="V149" i="3"/>
  <c r="U149" i="3"/>
  <c r="T149" i="3"/>
  <c r="Y148" i="3"/>
  <c r="Z148" i="3" s="1"/>
  <c r="V148" i="3"/>
  <c r="U148" i="3"/>
  <c r="T148" i="3"/>
  <c r="Y147" i="3"/>
  <c r="Z147" i="3" s="1"/>
  <c r="V147" i="3"/>
  <c r="U147" i="3"/>
  <c r="T147" i="3"/>
  <c r="Y146" i="3"/>
  <c r="Z146" i="3" s="1"/>
  <c r="V146" i="3"/>
  <c r="U146" i="3"/>
  <c r="T146" i="3"/>
  <c r="Y145" i="3"/>
  <c r="Z145" i="3" s="1"/>
  <c r="V145" i="3"/>
  <c r="U145" i="3"/>
  <c r="T145" i="3"/>
  <c r="Y144" i="3"/>
  <c r="Z144" i="3" s="1"/>
  <c r="V144" i="3"/>
  <c r="U144" i="3"/>
  <c r="T144" i="3"/>
  <c r="Y143" i="3"/>
  <c r="Z143" i="3" s="1"/>
  <c r="V143" i="3"/>
  <c r="U143" i="3"/>
  <c r="T143" i="3"/>
  <c r="Y142" i="3"/>
  <c r="Z142" i="3" s="1"/>
  <c r="V142" i="3"/>
  <c r="U142" i="3"/>
  <c r="T142" i="3"/>
  <c r="Y141" i="3"/>
  <c r="Z141" i="3" s="1"/>
  <c r="V141" i="3"/>
  <c r="U141" i="3"/>
  <c r="T141" i="3"/>
  <c r="Y140" i="3"/>
  <c r="Z140" i="3" s="1"/>
  <c r="V140" i="3"/>
  <c r="U140" i="3"/>
  <c r="T140" i="3"/>
  <c r="Y139" i="3"/>
  <c r="Z139" i="3" s="1"/>
  <c r="V139" i="3"/>
  <c r="U139" i="3"/>
  <c r="T139" i="3"/>
  <c r="Y138" i="3"/>
  <c r="Z138" i="3" s="1"/>
  <c r="V138" i="3"/>
  <c r="U138" i="3"/>
  <c r="T138" i="3"/>
  <c r="Y137" i="3"/>
  <c r="Z137" i="3" s="1"/>
  <c r="V137" i="3"/>
  <c r="U137" i="3"/>
  <c r="T137" i="3"/>
  <c r="Y136" i="3"/>
  <c r="Z136" i="3" s="1"/>
  <c r="V136" i="3"/>
  <c r="U136" i="3"/>
  <c r="T136" i="3"/>
  <c r="Y135" i="3"/>
  <c r="Z135" i="3" s="1"/>
  <c r="V135" i="3"/>
  <c r="U135" i="3"/>
  <c r="T135" i="3"/>
  <c r="Y134" i="3"/>
  <c r="Z134" i="3" s="1"/>
  <c r="V134" i="3"/>
  <c r="U134" i="3"/>
  <c r="T134" i="3"/>
  <c r="Y133" i="3"/>
  <c r="Z133" i="3" s="1"/>
  <c r="V133" i="3"/>
  <c r="U133" i="3"/>
  <c r="T133" i="3"/>
  <c r="Y132" i="3"/>
  <c r="Z132" i="3" s="1"/>
  <c r="V132" i="3"/>
  <c r="U132" i="3"/>
  <c r="T132" i="3"/>
  <c r="Y131" i="3"/>
  <c r="Z131" i="3" s="1"/>
  <c r="V131" i="3"/>
  <c r="U131" i="3"/>
  <c r="T131" i="3"/>
  <c r="Y130" i="3"/>
  <c r="Z130" i="3" s="1"/>
  <c r="V130" i="3"/>
  <c r="U130" i="3"/>
  <c r="T130" i="3"/>
  <c r="Y129" i="3"/>
  <c r="Z129" i="3" s="1"/>
  <c r="V129" i="3"/>
  <c r="U129" i="3"/>
  <c r="T129" i="3"/>
  <c r="Y128" i="3"/>
  <c r="Z128" i="3" s="1"/>
  <c r="V128" i="3"/>
  <c r="U128" i="3"/>
  <c r="T128" i="3"/>
  <c r="Y127" i="3"/>
  <c r="Z127" i="3" s="1"/>
  <c r="V127" i="3"/>
  <c r="U127" i="3"/>
  <c r="T127" i="3"/>
  <c r="Y126" i="3"/>
  <c r="Z126" i="3" s="1"/>
  <c r="V126" i="3"/>
  <c r="U126" i="3"/>
  <c r="T126" i="3"/>
  <c r="Y125" i="3"/>
  <c r="Z125" i="3" s="1"/>
  <c r="V125" i="3"/>
  <c r="U125" i="3"/>
  <c r="T125" i="3"/>
  <c r="Y124" i="3"/>
  <c r="Z124" i="3" s="1"/>
  <c r="V124" i="3"/>
  <c r="U124" i="3"/>
  <c r="T124" i="3"/>
  <c r="Y123" i="3"/>
  <c r="Z123" i="3" s="1"/>
  <c r="V123" i="3"/>
  <c r="U123" i="3"/>
  <c r="T123" i="3"/>
  <c r="Y122" i="3"/>
  <c r="Z122" i="3" s="1"/>
  <c r="V122" i="3"/>
  <c r="U122" i="3"/>
  <c r="T122" i="3"/>
  <c r="Y121" i="3"/>
  <c r="Z121" i="3" s="1"/>
  <c r="V121" i="3"/>
  <c r="U121" i="3"/>
  <c r="T121" i="3"/>
  <c r="Y120" i="3"/>
  <c r="Z120" i="3" s="1"/>
  <c r="V120" i="3"/>
  <c r="U120" i="3"/>
  <c r="T120" i="3"/>
  <c r="Y119" i="3"/>
  <c r="Z119" i="3" s="1"/>
  <c r="V119" i="3"/>
  <c r="U119" i="3"/>
  <c r="T119" i="3"/>
  <c r="Y118" i="3"/>
  <c r="Z118" i="3" s="1"/>
  <c r="V118" i="3"/>
  <c r="U118" i="3"/>
  <c r="T118" i="3"/>
  <c r="Y117" i="3"/>
  <c r="Z117" i="3" s="1"/>
  <c r="V117" i="3"/>
  <c r="U117" i="3"/>
  <c r="T117" i="3"/>
  <c r="Y116" i="3"/>
  <c r="Z116" i="3" s="1"/>
  <c r="V116" i="3"/>
  <c r="U116" i="3"/>
  <c r="T116" i="3"/>
  <c r="Y115" i="3"/>
  <c r="Z115" i="3" s="1"/>
  <c r="V115" i="3"/>
  <c r="U115" i="3"/>
  <c r="T115" i="3"/>
  <c r="Y114" i="3"/>
  <c r="Z114" i="3" s="1"/>
  <c r="V114" i="3"/>
  <c r="U114" i="3"/>
  <c r="T114" i="3"/>
  <c r="Y113" i="3"/>
  <c r="Z113" i="3" s="1"/>
  <c r="V113" i="3"/>
  <c r="U113" i="3"/>
  <c r="T113" i="3"/>
  <c r="Y112" i="3"/>
  <c r="Z112" i="3" s="1"/>
  <c r="V112" i="3"/>
  <c r="U112" i="3"/>
  <c r="T112" i="3"/>
  <c r="Y111" i="3"/>
  <c r="Z111" i="3" s="1"/>
  <c r="V111" i="3"/>
  <c r="U111" i="3"/>
  <c r="T111" i="3"/>
  <c r="Y110" i="3"/>
  <c r="Z110" i="3" s="1"/>
  <c r="V110" i="3"/>
  <c r="U110" i="3"/>
  <c r="T110" i="3"/>
  <c r="Y109" i="3"/>
  <c r="Z109" i="3" s="1"/>
  <c r="V109" i="3"/>
  <c r="U109" i="3"/>
  <c r="T109" i="3"/>
  <c r="Y108" i="3"/>
  <c r="Z108" i="3" s="1"/>
  <c r="V108" i="3"/>
  <c r="U108" i="3"/>
  <c r="T108" i="3"/>
  <c r="Y107" i="3"/>
  <c r="Z107" i="3" s="1"/>
  <c r="V107" i="3"/>
  <c r="U107" i="3"/>
  <c r="T107" i="3"/>
  <c r="Y106" i="3"/>
  <c r="Z106" i="3" s="1"/>
  <c r="V106" i="3"/>
  <c r="U106" i="3"/>
  <c r="T106" i="3"/>
  <c r="Y105" i="3"/>
  <c r="Z105" i="3" s="1"/>
  <c r="V105" i="3"/>
  <c r="U105" i="3"/>
  <c r="T105" i="3"/>
  <c r="Y104" i="3"/>
  <c r="Z104" i="3" s="1"/>
  <c r="V104" i="3"/>
  <c r="U104" i="3"/>
  <c r="T104" i="3"/>
  <c r="Y103" i="3"/>
  <c r="Z103" i="3" s="1"/>
  <c r="V103" i="3"/>
  <c r="U103" i="3"/>
  <c r="T103" i="3"/>
  <c r="Y102" i="3"/>
  <c r="Z102" i="3" s="1"/>
  <c r="V102" i="3"/>
  <c r="U102" i="3"/>
  <c r="T102" i="3"/>
  <c r="Y101" i="3"/>
  <c r="Z101" i="3" s="1"/>
  <c r="V101" i="3"/>
  <c r="U101" i="3"/>
  <c r="T101" i="3"/>
  <c r="Y100" i="3"/>
  <c r="Z100" i="3" s="1"/>
  <c r="V100" i="3"/>
  <c r="U100" i="3"/>
  <c r="T100" i="3"/>
  <c r="Y99" i="3"/>
  <c r="Z99" i="3" s="1"/>
  <c r="V99" i="3"/>
  <c r="U99" i="3"/>
  <c r="T99" i="3"/>
  <c r="Y98" i="3"/>
  <c r="Z98" i="3" s="1"/>
  <c r="V98" i="3"/>
  <c r="U98" i="3"/>
  <c r="T98" i="3"/>
  <c r="Y97" i="3"/>
  <c r="Z97" i="3" s="1"/>
  <c r="V97" i="3"/>
  <c r="U97" i="3"/>
  <c r="T97" i="3"/>
  <c r="Y96" i="3"/>
  <c r="Z96" i="3" s="1"/>
  <c r="V96" i="3"/>
  <c r="U96" i="3"/>
  <c r="T96" i="3"/>
  <c r="Y95" i="3"/>
  <c r="Z95" i="3" s="1"/>
  <c r="V95" i="3"/>
  <c r="U95" i="3"/>
  <c r="T95" i="3"/>
  <c r="Y94" i="3"/>
  <c r="Z94" i="3" s="1"/>
  <c r="V94" i="3"/>
  <c r="U94" i="3"/>
  <c r="T94" i="3"/>
  <c r="Y93" i="3"/>
  <c r="Z93" i="3" s="1"/>
  <c r="V93" i="3"/>
  <c r="U93" i="3"/>
  <c r="T93" i="3"/>
  <c r="Y92" i="3"/>
  <c r="Z92" i="3" s="1"/>
  <c r="V92" i="3"/>
  <c r="U92" i="3"/>
  <c r="T92" i="3"/>
  <c r="Y91" i="3"/>
  <c r="Z91" i="3" s="1"/>
  <c r="V91" i="3"/>
  <c r="U91" i="3"/>
  <c r="T91" i="3"/>
  <c r="Y90" i="3"/>
  <c r="Z90" i="3" s="1"/>
  <c r="V90" i="3"/>
  <c r="U90" i="3"/>
  <c r="T90" i="3"/>
  <c r="Y89" i="3"/>
  <c r="Z89" i="3" s="1"/>
  <c r="V89" i="3"/>
  <c r="U89" i="3"/>
  <c r="T89" i="3"/>
  <c r="Y88" i="3"/>
  <c r="Z88" i="3" s="1"/>
  <c r="V88" i="3"/>
  <c r="U88" i="3"/>
  <c r="T88" i="3"/>
  <c r="Y87" i="3"/>
  <c r="Z87" i="3" s="1"/>
  <c r="V87" i="3"/>
  <c r="U87" i="3"/>
  <c r="T87" i="3"/>
  <c r="Y86" i="3"/>
  <c r="Z86" i="3" s="1"/>
  <c r="V86" i="3"/>
  <c r="U86" i="3"/>
  <c r="T86" i="3"/>
  <c r="Y85" i="3"/>
  <c r="Z85" i="3" s="1"/>
  <c r="V85" i="3"/>
  <c r="U85" i="3"/>
  <c r="T85" i="3"/>
  <c r="Y84" i="3"/>
  <c r="Z84" i="3" s="1"/>
  <c r="V84" i="3"/>
  <c r="U84" i="3"/>
  <c r="T84" i="3"/>
  <c r="Y83" i="3"/>
  <c r="Z83" i="3" s="1"/>
  <c r="V83" i="3"/>
  <c r="U83" i="3"/>
  <c r="T83" i="3"/>
  <c r="Y82" i="3"/>
  <c r="Z82" i="3" s="1"/>
  <c r="V82" i="3"/>
  <c r="U82" i="3"/>
  <c r="T82" i="3"/>
  <c r="Y81" i="3"/>
  <c r="Z81" i="3" s="1"/>
  <c r="V81" i="3"/>
  <c r="U81" i="3"/>
  <c r="T81" i="3"/>
  <c r="Y80" i="3"/>
  <c r="Z80" i="3" s="1"/>
  <c r="V80" i="3"/>
  <c r="U80" i="3"/>
  <c r="T80" i="3"/>
  <c r="Y79" i="3"/>
  <c r="Z79" i="3" s="1"/>
  <c r="V79" i="3"/>
  <c r="U79" i="3"/>
  <c r="T79" i="3"/>
  <c r="Y78" i="3"/>
  <c r="Z78" i="3" s="1"/>
  <c r="V78" i="3"/>
  <c r="U78" i="3"/>
  <c r="T78" i="3"/>
  <c r="Y77" i="3"/>
  <c r="Z77" i="3" s="1"/>
  <c r="V77" i="3"/>
  <c r="U77" i="3"/>
  <c r="T77" i="3"/>
  <c r="Y76" i="3"/>
  <c r="Z76" i="3" s="1"/>
  <c r="V76" i="3"/>
  <c r="U76" i="3"/>
  <c r="T76" i="3"/>
  <c r="Y75" i="3"/>
  <c r="Z75" i="3" s="1"/>
  <c r="V75" i="3"/>
  <c r="U75" i="3"/>
  <c r="T75" i="3"/>
  <c r="Y74" i="3"/>
  <c r="Z74" i="3" s="1"/>
  <c r="V74" i="3"/>
  <c r="U74" i="3"/>
  <c r="T74" i="3"/>
  <c r="Y73" i="3"/>
  <c r="Z73" i="3" s="1"/>
  <c r="V73" i="3"/>
  <c r="U73" i="3"/>
  <c r="T73" i="3"/>
  <c r="Y72" i="3"/>
  <c r="Z72" i="3" s="1"/>
  <c r="V72" i="3"/>
  <c r="U72" i="3"/>
  <c r="T72" i="3"/>
  <c r="Y71" i="3"/>
  <c r="Z71" i="3" s="1"/>
  <c r="V71" i="3"/>
  <c r="U71" i="3"/>
  <c r="T71" i="3"/>
  <c r="Y70" i="3"/>
  <c r="Z70" i="3" s="1"/>
  <c r="V70" i="3"/>
  <c r="U70" i="3"/>
  <c r="T70" i="3"/>
  <c r="Y69" i="3"/>
  <c r="Z69" i="3" s="1"/>
  <c r="V69" i="3"/>
  <c r="U69" i="3"/>
  <c r="T69" i="3"/>
  <c r="Y68" i="3"/>
  <c r="Z68" i="3" s="1"/>
  <c r="V68" i="3"/>
  <c r="U68" i="3"/>
  <c r="T68" i="3"/>
  <c r="Y67" i="3"/>
  <c r="Z67" i="3" s="1"/>
  <c r="V67" i="3"/>
  <c r="U67" i="3"/>
  <c r="T67" i="3"/>
  <c r="Y66" i="3"/>
  <c r="Z66" i="3" s="1"/>
  <c r="V66" i="3"/>
  <c r="U66" i="3"/>
  <c r="T66" i="3"/>
  <c r="Y65" i="3"/>
  <c r="Z65" i="3" s="1"/>
  <c r="V65" i="3"/>
  <c r="U65" i="3"/>
  <c r="T65" i="3"/>
  <c r="Y64" i="3"/>
  <c r="Z64" i="3" s="1"/>
  <c r="V64" i="3"/>
  <c r="U64" i="3"/>
  <c r="T64" i="3"/>
  <c r="Y63" i="3"/>
  <c r="Z63" i="3" s="1"/>
  <c r="V63" i="3"/>
  <c r="U63" i="3"/>
  <c r="T63" i="3"/>
  <c r="Y62" i="3"/>
  <c r="Z62" i="3" s="1"/>
  <c r="V62" i="3"/>
  <c r="U62" i="3"/>
  <c r="T62" i="3"/>
  <c r="Y61" i="3"/>
  <c r="Z61" i="3" s="1"/>
  <c r="V61" i="3"/>
  <c r="U61" i="3"/>
  <c r="T61" i="3"/>
  <c r="Y60" i="3"/>
  <c r="Z60" i="3" s="1"/>
  <c r="V60" i="3"/>
  <c r="U60" i="3"/>
  <c r="T60" i="3"/>
  <c r="Y59" i="3"/>
  <c r="Z59" i="3" s="1"/>
  <c r="V59" i="3"/>
  <c r="U59" i="3"/>
  <c r="T59" i="3"/>
  <c r="Y58" i="3"/>
  <c r="Z58" i="3" s="1"/>
  <c r="V58" i="3"/>
  <c r="U58" i="3"/>
  <c r="T58" i="3"/>
  <c r="Y57" i="3"/>
  <c r="Z57" i="3" s="1"/>
  <c r="V57" i="3"/>
  <c r="U57" i="3"/>
  <c r="T57" i="3"/>
  <c r="Y56" i="3"/>
  <c r="Z56" i="3" s="1"/>
  <c r="V56" i="3"/>
  <c r="U56" i="3"/>
  <c r="T56" i="3"/>
  <c r="Y55" i="3"/>
  <c r="Z55" i="3" s="1"/>
  <c r="V55" i="3"/>
  <c r="U55" i="3"/>
  <c r="T55" i="3"/>
  <c r="Y54" i="3"/>
  <c r="Z54" i="3" s="1"/>
  <c r="V54" i="3"/>
  <c r="U54" i="3"/>
  <c r="T54" i="3"/>
  <c r="Y53" i="3"/>
  <c r="Z53" i="3" s="1"/>
  <c r="V53" i="3"/>
  <c r="U53" i="3"/>
  <c r="T53" i="3"/>
  <c r="Y52" i="3"/>
  <c r="Z52" i="3" s="1"/>
  <c r="V52" i="3"/>
  <c r="U52" i="3"/>
  <c r="T52" i="3"/>
  <c r="Y51" i="3"/>
  <c r="Z51" i="3" s="1"/>
  <c r="V51" i="3"/>
  <c r="U51" i="3"/>
  <c r="T51" i="3"/>
  <c r="Y50" i="3"/>
  <c r="Z50" i="3" s="1"/>
  <c r="V50" i="3"/>
  <c r="U50" i="3"/>
  <c r="T50" i="3"/>
  <c r="Y49" i="3"/>
  <c r="Z49" i="3" s="1"/>
  <c r="V49" i="3"/>
  <c r="U49" i="3"/>
  <c r="T49" i="3"/>
  <c r="Y48" i="3"/>
  <c r="Z48" i="3" s="1"/>
  <c r="V48" i="3"/>
  <c r="U48" i="3"/>
  <c r="T48" i="3"/>
  <c r="Y47" i="3"/>
  <c r="Z47" i="3" s="1"/>
  <c r="V47" i="3"/>
  <c r="U47" i="3"/>
  <c r="T47" i="3"/>
  <c r="Y46" i="3"/>
  <c r="Z46" i="3" s="1"/>
  <c r="V46" i="3"/>
  <c r="U46" i="3"/>
  <c r="T46" i="3"/>
  <c r="Y45" i="3"/>
  <c r="Z45" i="3" s="1"/>
  <c r="V45" i="3"/>
  <c r="U45" i="3"/>
  <c r="T45" i="3"/>
  <c r="Y44" i="3"/>
  <c r="Z44" i="3" s="1"/>
  <c r="V44" i="3"/>
  <c r="U44" i="3"/>
  <c r="T44" i="3"/>
  <c r="Y43" i="3"/>
  <c r="Z43" i="3" s="1"/>
  <c r="V43" i="3"/>
  <c r="U43" i="3"/>
  <c r="T43" i="3"/>
  <c r="Y42" i="3"/>
  <c r="Z42" i="3" s="1"/>
  <c r="V42" i="3"/>
  <c r="U42" i="3"/>
  <c r="T42" i="3"/>
  <c r="Y41" i="3"/>
  <c r="Z41" i="3" s="1"/>
  <c r="V41" i="3"/>
  <c r="U41" i="3"/>
  <c r="T41" i="3"/>
  <c r="Y40" i="3"/>
  <c r="Z40" i="3" s="1"/>
  <c r="V40" i="3"/>
  <c r="U40" i="3"/>
  <c r="T40" i="3"/>
  <c r="Y39" i="3"/>
  <c r="Z39" i="3" s="1"/>
  <c r="V39" i="3"/>
  <c r="U39" i="3"/>
  <c r="T39" i="3"/>
  <c r="Y38" i="3"/>
  <c r="Z38" i="3" s="1"/>
  <c r="V38" i="3"/>
  <c r="U38" i="3"/>
  <c r="T38" i="3"/>
  <c r="Y37" i="3"/>
  <c r="Z37" i="3" s="1"/>
  <c r="V37" i="3"/>
  <c r="U37" i="3"/>
  <c r="T37" i="3"/>
  <c r="Y36" i="3"/>
  <c r="Z36" i="3" s="1"/>
  <c r="V36" i="3"/>
  <c r="U36" i="3"/>
  <c r="T36" i="3"/>
  <c r="Y35" i="3"/>
  <c r="Z35" i="3" s="1"/>
  <c r="V35" i="3"/>
  <c r="U35" i="3"/>
  <c r="T35" i="3"/>
  <c r="Y34" i="3"/>
  <c r="Z34" i="3" s="1"/>
  <c r="V34" i="3"/>
  <c r="U34" i="3"/>
  <c r="T34" i="3"/>
  <c r="Y33" i="3"/>
  <c r="Z33" i="3" s="1"/>
  <c r="V33" i="3"/>
  <c r="U33" i="3"/>
  <c r="T33" i="3"/>
  <c r="Y32" i="3"/>
  <c r="Z32" i="3" s="1"/>
  <c r="V32" i="3"/>
  <c r="U32" i="3"/>
  <c r="T32" i="3"/>
  <c r="Y31" i="3"/>
  <c r="Z31" i="3" s="1"/>
  <c r="V31" i="3"/>
  <c r="U31" i="3"/>
  <c r="T31" i="3"/>
  <c r="Y30" i="3"/>
  <c r="Z30" i="3" s="1"/>
  <c r="V30" i="3"/>
  <c r="U30" i="3"/>
  <c r="T30" i="3"/>
  <c r="Y29" i="3"/>
  <c r="Z29" i="3" s="1"/>
  <c r="V29" i="3"/>
  <c r="U29" i="3"/>
  <c r="T29" i="3"/>
  <c r="Y28" i="3"/>
  <c r="Z28" i="3" s="1"/>
  <c r="V28" i="3"/>
  <c r="U28" i="3"/>
  <c r="T28" i="3"/>
  <c r="Y27" i="3"/>
  <c r="Z27" i="3" s="1"/>
  <c r="V27" i="3"/>
  <c r="U27" i="3"/>
  <c r="T27" i="3"/>
  <c r="Y26" i="3"/>
  <c r="Z26" i="3" s="1"/>
  <c r="V26" i="3"/>
  <c r="U26" i="3"/>
  <c r="T26" i="3"/>
  <c r="Y25" i="3"/>
  <c r="Z25" i="3" s="1"/>
  <c r="V25" i="3"/>
  <c r="U25" i="3"/>
  <c r="T25" i="3"/>
  <c r="Y24" i="3"/>
  <c r="Z24" i="3" s="1"/>
  <c r="V24" i="3"/>
  <c r="U24" i="3"/>
  <c r="T24" i="3"/>
  <c r="Y23" i="3"/>
  <c r="Z23" i="3" s="1"/>
  <c r="V23" i="3"/>
  <c r="U23" i="3"/>
  <c r="T23" i="3"/>
  <c r="Y22" i="3"/>
  <c r="Z22" i="3" s="1"/>
  <c r="V22" i="3"/>
  <c r="U22" i="3"/>
  <c r="T22" i="3"/>
  <c r="Y21" i="3"/>
  <c r="Z21" i="3" s="1"/>
  <c r="V21" i="3"/>
  <c r="U21" i="3"/>
  <c r="T21" i="3"/>
  <c r="Y20" i="3"/>
  <c r="Z20" i="3" s="1"/>
  <c r="V20" i="3"/>
  <c r="U20" i="3"/>
  <c r="T20" i="3"/>
  <c r="Y19" i="3"/>
  <c r="Z19" i="3" s="1"/>
  <c r="V19" i="3"/>
  <c r="U19" i="3"/>
  <c r="T19" i="3"/>
  <c r="Y18" i="3"/>
  <c r="Z18" i="3" s="1"/>
  <c r="V18" i="3"/>
  <c r="U18" i="3"/>
  <c r="T18" i="3"/>
  <c r="Y17" i="3"/>
  <c r="Z17" i="3" s="1"/>
  <c r="V17" i="3"/>
  <c r="U17" i="3"/>
  <c r="T17" i="3"/>
  <c r="Y16" i="3"/>
  <c r="Z16" i="3" s="1"/>
  <c r="V16" i="3"/>
  <c r="U16" i="3"/>
  <c r="T16" i="3"/>
  <c r="Y15" i="3"/>
  <c r="Z15" i="3" s="1"/>
  <c r="V15" i="3"/>
  <c r="U15" i="3"/>
  <c r="T15" i="3"/>
  <c r="Y14" i="3"/>
  <c r="Z14" i="3" s="1"/>
  <c r="V14" i="3"/>
  <c r="U14" i="3"/>
  <c r="T14" i="3"/>
  <c r="Y13" i="3"/>
  <c r="Z13" i="3" s="1"/>
  <c r="V13" i="3"/>
  <c r="U13" i="3"/>
  <c r="T13" i="3"/>
  <c r="Y12" i="3"/>
  <c r="Z12" i="3" s="1"/>
  <c r="V12" i="3"/>
  <c r="U12" i="3"/>
  <c r="T12" i="3"/>
  <c r="Y11" i="3"/>
  <c r="Z11" i="3" s="1"/>
  <c r="V11" i="3"/>
  <c r="U11" i="3"/>
  <c r="T11" i="3"/>
  <c r="Y10" i="3"/>
  <c r="Z10" i="3" s="1"/>
  <c r="T10" i="3"/>
  <c r="V10" i="3" s="1"/>
  <c r="Y9" i="3"/>
  <c r="T9" i="3"/>
  <c r="V9" i="3" s="1"/>
  <c r="Y8" i="3"/>
  <c r="Z8" i="3" s="1"/>
  <c r="T8" i="3"/>
  <c r="V8" i="3" s="1"/>
  <c r="Y7" i="3"/>
  <c r="Z7" i="3" s="1"/>
  <c r="T7" i="3"/>
  <c r="V7" i="3" s="1"/>
  <c r="Y6" i="3"/>
  <c r="Z6" i="3" s="1"/>
  <c r="T6" i="3"/>
  <c r="V6" i="3" s="1"/>
  <c r="Y5" i="3"/>
  <c r="Z5" i="3" s="1"/>
  <c r="T5" i="3"/>
  <c r="V5" i="3" s="1"/>
  <c r="F5" i="1"/>
  <c r="AA5" i="5" l="1"/>
  <c r="AA10" i="5"/>
  <c r="D51" i="1" s="1"/>
  <c r="AA14" i="5"/>
  <c r="AA21" i="5"/>
  <c r="D38" i="1" s="1"/>
  <c r="V204" i="6"/>
  <c r="V166" i="4"/>
  <c r="V167" i="4"/>
  <c r="V168" i="4"/>
  <c r="AA151" i="4"/>
  <c r="AA19" i="4"/>
  <c r="AA70" i="4"/>
  <c r="AA111" i="4"/>
  <c r="AA33" i="4"/>
  <c r="AA99" i="4"/>
  <c r="AA134" i="4"/>
  <c r="AA106" i="4"/>
  <c r="AA30" i="4"/>
  <c r="AA60" i="4"/>
  <c r="AA92" i="4"/>
  <c r="AA141" i="4"/>
  <c r="AA11" i="4"/>
  <c r="AA122" i="4"/>
  <c r="AA149" i="4"/>
  <c r="AA115" i="4"/>
  <c r="AA26" i="4"/>
  <c r="AA125" i="4"/>
  <c r="AA54" i="4"/>
  <c r="AA85" i="4"/>
  <c r="AA77" i="4"/>
  <c r="AA42" i="4"/>
  <c r="AA36" i="4"/>
  <c r="AA47" i="4"/>
  <c r="AA64" i="4"/>
  <c r="W208" i="6"/>
  <c r="W187" i="6"/>
  <c r="W211" i="6"/>
  <c r="V205" i="6"/>
  <c r="W221" i="6"/>
  <c r="V216" i="6"/>
  <c r="W232" i="6"/>
  <c r="W172" i="6"/>
  <c r="W223" i="6"/>
  <c r="W166" i="6"/>
  <c r="W202" i="6"/>
  <c r="W236" i="6"/>
  <c r="W214" i="6"/>
  <c r="W199" i="6"/>
  <c r="V207" i="6"/>
  <c r="V219" i="6"/>
  <c r="AA5" i="6"/>
  <c r="AA47" i="6"/>
  <c r="AA17" i="6"/>
  <c r="AA32" i="6"/>
  <c r="AA39" i="6"/>
  <c r="AA23" i="6"/>
  <c r="AA10" i="6"/>
  <c r="W196" i="6"/>
  <c r="W220" i="6"/>
  <c r="V234" i="6"/>
  <c r="V238" i="6"/>
  <c r="W237" i="6"/>
  <c r="V235" i="6"/>
  <c r="V239" i="6"/>
  <c r="V233" i="6"/>
  <c r="V231" i="6"/>
  <c r="W230" i="6"/>
  <c r="W228" i="6"/>
  <c r="V224" i="6"/>
  <c r="V226" i="6"/>
  <c r="V225" i="6"/>
  <c r="V229" i="6"/>
  <c r="V227" i="6"/>
  <c r="V222" i="6"/>
  <c r="W217" i="6"/>
  <c r="V215" i="6"/>
  <c r="V218" i="6"/>
  <c r="V212" i="6"/>
  <c r="V213" i="6"/>
  <c r="V210" i="6"/>
  <c r="V209" i="6"/>
  <c r="W203" i="6"/>
  <c r="W206" i="6"/>
  <c r="V197" i="6"/>
  <c r="V200" i="6"/>
  <c r="V195" i="6"/>
  <c r="V198" i="6"/>
  <c r="V201" i="6"/>
  <c r="W184" i="6"/>
  <c r="W185" i="6"/>
  <c r="V186" i="6"/>
  <c r="V173" i="6"/>
  <c r="V171" i="6"/>
  <c r="W169" i="6"/>
  <c r="V170" i="6"/>
  <c r="V168" i="6"/>
  <c r="V19" i="5"/>
  <c r="V16" i="5"/>
  <c r="V14" i="5"/>
  <c r="V17" i="5"/>
  <c r="V20" i="5"/>
  <c r="V15" i="5"/>
  <c r="V18" i="5"/>
  <c r="W129" i="4"/>
  <c r="V126" i="4"/>
  <c r="W130" i="4"/>
  <c r="W133" i="4"/>
  <c r="V125" i="4"/>
  <c r="V128" i="4"/>
  <c r="V131" i="4"/>
  <c r="V127" i="4"/>
  <c r="V164" i="6"/>
  <c r="V167" i="6"/>
  <c r="V165" i="6"/>
  <c r="V122" i="4"/>
  <c r="V123" i="4"/>
  <c r="V124" i="4"/>
  <c r="V119" i="4"/>
  <c r="V120" i="4"/>
  <c r="V121" i="4"/>
  <c r="V118" i="4"/>
  <c r="V117" i="4"/>
  <c r="V116" i="4"/>
  <c r="V7" i="5"/>
  <c r="W87" i="4"/>
  <c r="W84" i="4"/>
  <c r="W89" i="4"/>
  <c r="W90" i="4"/>
  <c r="V81" i="4"/>
  <c r="V146" i="6"/>
  <c r="W115" i="6"/>
  <c r="W152" i="6"/>
  <c r="V13" i="6"/>
  <c r="W75" i="6"/>
  <c r="H24" i="8"/>
  <c r="W74" i="6"/>
  <c r="W143" i="6"/>
  <c r="W93" i="6"/>
  <c r="W124" i="6"/>
  <c r="V155" i="6"/>
  <c r="W133" i="6"/>
  <c r="W77" i="6"/>
  <c r="W140" i="6"/>
  <c r="W161" i="6"/>
  <c r="W106" i="6"/>
  <c r="W83" i="6"/>
  <c r="W73" i="6"/>
  <c r="V114" i="4"/>
  <c r="V112" i="4"/>
  <c r="W111" i="4"/>
  <c r="V113" i="4"/>
  <c r="V68" i="4"/>
  <c r="V17" i="4"/>
  <c r="W29" i="4"/>
  <c r="W23" i="4"/>
  <c r="V65" i="4"/>
  <c r="W97" i="4"/>
  <c r="V71" i="4"/>
  <c r="AA5" i="4"/>
  <c r="V33" i="6"/>
  <c r="W136" i="6"/>
  <c r="V44" i="6"/>
  <c r="W78" i="6"/>
  <c r="V86" i="6"/>
  <c r="V66" i="6"/>
  <c r="W96" i="6"/>
  <c r="W100" i="6"/>
  <c r="W109" i="6"/>
  <c r="W139" i="6"/>
  <c r="V16" i="6"/>
  <c r="W28" i="6"/>
  <c r="V19" i="6"/>
  <c r="V127" i="6"/>
  <c r="V36" i="6"/>
  <c r="V89" i="6"/>
  <c r="V137" i="6"/>
  <c r="V118" i="6"/>
  <c r="V22" i="6"/>
  <c r="W25" i="6"/>
  <c r="V69" i="6"/>
  <c r="V70" i="6"/>
  <c r="V103" i="6"/>
  <c r="V112" i="6"/>
  <c r="V121" i="6"/>
  <c r="V130" i="6"/>
  <c r="V134" i="6"/>
  <c r="V41" i="6"/>
  <c r="V149" i="6"/>
  <c r="V158" i="6"/>
  <c r="V79" i="6"/>
  <c r="W13" i="5"/>
  <c r="V11" i="5"/>
  <c r="W108" i="4"/>
  <c r="V104" i="4"/>
  <c r="V101" i="4"/>
  <c r="W94" i="4"/>
  <c r="W86" i="4"/>
  <c r="W78" i="4"/>
  <c r="V74" i="4"/>
  <c r="V41" i="4"/>
  <c r="V38" i="4"/>
  <c r="V32" i="4"/>
  <c r="W26" i="4"/>
  <c r="V20" i="4"/>
  <c r="V106" i="4"/>
  <c r="W109" i="4"/>
  <c r="V107" i="4"/>
  <c r="W110" i="4"/>
  <c r="V76" i="6"/>
  <c r="V159" i="6"/>
  <c r="V162" i="6"/>
  <c r="V160" i="6"/>
  <c r="W163" i="6"/>
  <c r="W156" i="6"/>
  <c r="V154" i="6"/>
  <c r="V157" i="6"/>
  <c r="V153" i="6"/>
  <c r="W150" i="6"/>
  <c r="V145" i="6"/>
  <c r="V148" i="6"/>
  <c r="V151" i="6"/>
  <c r="W147" i="6"/>
  <c r="V141" i="6"/>
  <c r="V142" i="6"/>
  <c r="V144" i="6"/>
  <c r="V42" i="6"/>
  <c r="W39" i="6"/>
  <c r="W45" i="6"/>
  <c r="V40" i="6"/>
  <c r="V43" i="6"/>
  <c r="V46" i="6"/>
  <c r="V135" i="6"/>
  <c r="V138" i="6"/>
  <c r="W105" i="4"/>
  <c r="V102" i="4"/>
  <c r="V100" i="4"/>
  <c r="V103" i="4"/>
  <c r="W99" i="4"/>
  <c r="V131" i="6"/>
  <c r="V132" i="6"/>
  <c r="V128" i="6"/>
  <c r="W125" i="6"/>
  <c r="V126" i="6"/>
  <c r="V129" i="6"/>
  <c r="V122" i="6"/>
  <c r="W119" i="6"/>
  <c r="V116" i="6"/>
  <c r="V117" i="6"/>
  <c r="V120" i="6"/>
  <c r="V123" i="6"/>
  <c r="V114" i="6"/>
  <c r="V113" i="6"/>
  <c r="V104" i="6"/>
  <c r="V107" i="6"/>
  <c r="V105" i="6"/>
  <c r="V108" i="6"/>
  <c r="V111" i="6"/>
  <c r="V110" i="6"/>
  <c r="V101" i="6"/>
  <c r="V98" i="6"/>
  <c r="V99" i="6"/>
  <c r="V102" i="6"/>
  <c r="W8" i="5"/>
  <c r="W12" i="5"/>
  <c r="V10" i="5"/>
  <c r="V98" i="4"/>
  <c r="V96" i="4"/>
  <c r="V93" i="4"/>
  <c r="V92" i="4"/>
  <c r="V95" i="4"/>
  <c r="W71" i="6"/>
  <c r="V72" i="6"/>
  <c r="V85" i="4"/>
  <c r="V88" i="4"/>
  <c r="V91" i="4"/>
  <c r="V80" i="6"/>
  <c r="V82" i="4"/>
  <c r="W79" i="4"/>
  <c r="V77" i="4"/>
  <c r="V80" i="4"/>
  <c r="V83" i="4"/>
  <c r="W72" i="4"/>
  <c r="V75" i="4"/>
  <c r="V70" i="4"/>
  <c r="V73" i="4"/>
  <c r="W69" i="4"/>
  <c r="V66" i="4"/>
  <c r="V64" i="4"/>
  <c r="V67" i="4"/>
  <c r="V62" i="4"/>
  <c r="V60" i="4"/>
  <c r="W63" i="4"/>
  <c r="V61" i="4"/>
  <c r="V56" i="4"/>
  <c r="V59" i="4"/>
  <c r="V57" i="4"/>
  <c r="W54" i="4"/>
  <c r="V55" i="4"/>
  <c r="V58" i="4"/>
  <c r="V47" i="4"/>
  <c r="V50" i="4"/>
  <c r="V53" i="4"/>
  <c r="V48" i="4"/>
  <c r="W51" i="4"/>
  <c r="V49" i="4"/>
  <c r="V52" i="4"/>
  <c r="W44" i="4"/>
  <c r="V42" i="4"/>
  <c r="V45" i="4"/>
  <c r="V43" i="4"/>
  <c r="V46" i="4"/>
  <c r="W39" i="4"/>
  <c r="W36" i="4"/>
  <c r="V37" i="4"/>
  <c r="V40" i="4"/>
  <c r="W35" i="4"/>
  <c r="V33" i="4"/>
  <c r="V34" i="4"/>
  <c r="W30" i="4"/>
  <c r="V31" i="4"/>
  <c r="W27" i="4"/>
  <c r="V28" i="4"/>
  <c r="V97" i="6"/>
  <c r="V91" i="6"/>
  <c r="V92" i="6"/>
  <c r="V95" i="6"/>
  <c r="V94" i="6"/>
  <c r="V67" i="6"/>
  <c r="V68" i="6"/>
  <c r="W24" i="4"/>
  <c r="V21" i="4"/>
  <c r="V19" i="4"/>
  <c r="V22" i="4"/>
  <c r="W88" i="6"/>
  <c r="V87" i="6"/>
  <c r="V90" i="6"/>
  <c r="V32" i="6"/>
  <c r="V35" i="6"/>
  <c r="V38" i="6"/>
  <c r="V37" i="6"/>
  <c r="W34" i="6"/>
  <c r="W26" i="6"/>
  <c r="V24" i="6"/>
  <c r="V27" i="6"/>
  <c r="V23" i="6"/>
  <c r="V81" i="6"/>
  <c r="V82" i="6"/>
  <c r="V85" i="6"/>
  <c r="V84" i="6"/>
  <c r="V6" i="5"/>
  <c r="V5" i="5"/>
  <c r="D56" i="1"/>
  <c r="V20" i="6"/>
  <c r="W17" i="6"/>
  <c r="V18" i="6"/>
  <c r="V21" i="6"/>
  <c r="V16" i="4"/>
  <c r="V18" i="4"/>
  <c r="W11" i="6"/>
  <c r="V12" i="6"/>
  <c r="V15" i="6"/>
  <c r="W10" i="6"/>
  <c r="V14" i="6"/>
  <c r="V5" i="6"/>
  <c r="V8" i="6"/>
  <c r="V9" i="6"/>
  <c r="V7" i="6"/>
  <c r="V6" i="6"/>
  <c r="H20" i="8"/>
  <c r="H21" i="8"/>
  <c r="H25" i="8"/>
  <c r="K25" i="8" s="1"/>
  <c r="U6" i="7"/>
  <c r="H18" i="8"/>
  <c r="U9" i="7"/>
  <c r="G11" i="8" s="1"/>
  <c r="V8" i="7"/>
  <c r="U7" i="7"/>
  <c r="F16" i="1"/>
  <c r="F13" i="1"/>
  <c r="U5" i="7"/>
  <c r="G13" i="8" s="1"/>
  <c r="F89" i="1"/>
  <c r="F38" i="1"/>
  <c r="F113" i="1"/>
  <c r="F66" i="1"/>
  <c r="F61" i="1"/>
  <c r="F30" i="1"/>
  <c r="F41" i="1"/>
  <c r="F49" i="1"/>
  <c r="F64" i="1"/>
  <c r="F22" i="1"/>
  <c r="F33" i="1"/>
  <c r="F54" i="1"/>
  <c r="F72" i="1"/>
  <c r="F69" i="1"/>
  <c r="F25" i="1"/>
  <c r="F46" i="1"/>
  <c r="V5" i="4"/>
  <c r="W9" i="4"/>
  <c r="H28" i="8"/>
  <c r="H26" i="8"/>
  <c r="W7" i="4"/>
  <c r="H22" i="8"/>
  <c r="V10" i="4"/>
  <c r="V13" i="4"/>
  <c r="H19" i="8"/>
  <c r="W11" i="4"/>
  <c r="H17" i="8"/>
  <c r="V15" i="4"/>
  <c r="V6" i="4"/>
  <c r="V8" i="4"/>
  <c r="V12" i="4"/>
  <c r="V14" i="4"/>
  <c r="H9" i="8"/>
  <c r="H23" i="8"/>
  <c r="U7" i="3"/>
  <c r="U5" i="3"/>
  <c r="U9" i="3"/>
  <c r="Z9" i="3"/>
  <c r="B37" i="1" s="1"/>
  <c r="F15" i="1"/>
  <c r="U6" i="3"/>
  <c r="U8" i="3"/>
  <c r="U10" i="3"/>
  <c r="E17" i="1"/>
  <c r="D22" i="1"/>
  <c r="F28" i="1"/>
  <c r="F36" i="1"/>
  <c r="F44" i="1"/>
  <c r="F52" i="1"/>
  <c r="F57" i="1"/>
  <c r="F119" i="1"/>
  <c r="F111" i="1"/>
  <c r="F103" i="1"/>
  <c r="F95" i="1"/>
  <c r="F87" i="1"/>
  <c r="F79" i="1"/>
  <c r="F71" i="1"/>
  <c r="F63" i="1"/>
  <c r="F114" i="1"/>
  <c r="F106" i="1"/>
  <c r="F98" i="1"/>
  <c r="F90" i="1"/>
  <c r="F82" i="1"/>
  <c r="F117" i="1"/>
  <c r="F109" i="1"/>
  <c r="F101" i="1"/>
  <c r="F93" i="1"/>
  <c r="F85" i="1"/>
  <c r="F77" i="1"/>
  <c r="F120" i="1"/>
  <c r="F112" i="1"/>
  <c r="F104" i="1"/>
  <c r="F96" i="1"/>
  <c r="F88" i="1"/>
  <c r="F80" i="1"/>
  <c r="F115" i="1"/>
  <c r="F107" i="1"/>
  <c r="F99" i="1"/>
  <c r="F91" i="1"/>
  <c r="F83" i="1"/>
  <c r="F75" i="1"/>
  <c r="F67" i="1"/>
  <c r="F59" i="1"/>
  <c r="F118" i="1"/>
  <c r="F110" i="1"/>
  <c r="F102" i="1"/>
  <c r="F94" i="1"/>
  <c r="F86" i="1"/>
  <c r="F78" i="1"/>
  <c r="F70" i="1"/>
  <c r="F116" i="1"/>
  <c r="F108" i="1"/>
  <c r="F100" i="1"/>
  <c r="F92" i="1"/>
  <c r="F84" i="1"/>
  <c r="F27" i="1"/>
  <c r="F35" i="1"/>
  <c r="F43" i="1"/>
  <c r="F51" i="1"/>
  <c r="F56" i="1"/>
  <c r="F76" i="1"/>
  <c r="D65" i="1"/>
  <c r="F24" i="1"/>
  <c r="F32" i="1"/>
  <c r="F40" i="1"/>
  <c r="F48" i="1"/>
  <c r="F58" i="1"/>
  <c r="F60" i="1"/>
  <c r="F62" i="1"/>
  <c r="F81" i="1"/>
  <c r="F105" i="1"/>
  <c r="B76" i="1"/>
  <c r="F21" i="1"/>
  <c r="F29" i="1"/>
  <c r="F37" i="1"/>
  <c r="F45" i="1"/>
  <c r="F53" i="1"/>
  <c r="F73" i="1"/>
  <c r="F14" i="1"/>
  <c r="F26" i="1"/>
  <c r="F34" i="1"/>
  <c r="B38" i="1"/>
  <c r="F42" i="1"/>
  <c r="F50" i="1"/>
  <c r="D63" i="1"/>
  <c r="F65" i="1"/>
  <c r="B109" i="1"/>
  <c r="F121" i="1"/>
  <c r="F12" i="1"/>
  <c r="F23" i="1"/>
  <c r="F31" i="1"/>
  <c r="D33" i="1"/>
  <c r="F39" i="1"/>
  <c r="F47" i="1"/>
  <c r="B51" i="1"/>
  <c r="F55" i="1"/>
  <c r="F68" i="1"/>
  <c r="F74" i="1"/>
  <c r="F97" i="1"/>
  <c r="B118" i="1"/>
  <c r="B110" i="1"/>
  <c r="B102" i="1"/>
  <c r="B95" i="1"/>
  <c r="B87" i="1"/>
  <c r="B79" i="1"/>
  <c r="B103" i="1"/>
  <c r="B111" i="1"/>
  <c r="B119" i="1"/>
  <c r="H27" i="8"/>
  <c r="J27" i="8" s="1"/>
  <c r="D73" i="1" l="1"/>
  <c r="D97" i="1"/>
  <c r="D42" i="1"/>
  <c r="D31" i="1"/>
  <c r="D110" i="1"/>
  <c r="D118" i="1"/>
  <c r="D41" i="1"/>
  <c r="D111" i="1"/>
  <c r="D87" i="1"/>
  <c r="D28" i="1"/>
  <c r="D80" i="1"/>
  <c r="D77" i="1"/>
  <c r="C14" i="1"/>
  <c r="D85" i="1"/>
  <c r="D40" i="1"/>
  <c r="D78" i="1"/>
  <c r="D107" i="1"/>
  <c r="D109" i="1"/>
  <c r="D37" i="1"/>
  <c r="D79" i="1"/>
  <c r="D53" i="1"/>
  <c r="D74" i="1"/>
  <c r="D49" i="1"/>
  <c r="D68" i="1"/>
  <c r="D23" i="1"/>
  <c r="D64" i="1"/>
  <c r="D93" i="1"/>
  <c r="D95" i="1"/>
  <c r="D81" i="1"/>
  <c r="D45" i="1"/>
  <c r="D30" i="1"/>
  <c r="D35" i="1"/>
  <c r="D75" i="1"/>
  <c r="D34" i="1"/>
  <c r="D72" i="1"/>
  <c r="D101" i="1"/>
  <c r="D103" i="1"/>
  <c r="D89" i="1"/>
  <c r="D115" i="1"/>
  <c r="D26" i="1"/>
  <c r="D25" i="1"/>
  <c r="D52" i="1"/>
  <c r="D55" i="1"/>
  <c r="D96" i="1"/>
  <c r="D82" i="1"/>
  <c r="D76" i="1"/>
  <c r="D113" i="1"/>
  <c r="D29" i="1"/>
  <c r="D99" i="1"/>
  <c r="D57" i="1"/>
  <c r="D70" i="1"/>
  <c r="D104" i="1"/>
  <c r="D90" i="1"/>
  <c r="D84" i="1"/>
  <c r="D121" i="1"/>
  <c r="D119" i="1"/>
  <c r="D44" i="1"/>
  <c r="D112" i="1"/>
  <c r="D98" i="1"/>
  <c r="D92" i="1"/>
  <c r="D21" i="1"/>
  <c r="D54" i="1"/>
  <c r="D62" i="1"/>
  <c r="D88" i="1"/>
  <c r="D47" i="1"/>
  <c r="D59" i="1"/>
  <c r="D86" i="1"/>
  <c r="D120" i="1"/>
  <c r="D106" i="1"/>
  <c r="D100" i="1"/>
  <c r="D67" i="1"/>
  <c r="D48" i="1"/>
  <c r="D105" i="1"/>
  <c r="D66" i="1"/>
  <c r="D39" i="1"/>
  <c r="D94" i="1"/>
  <c r="D61" i="1"/>
  <c r="D114" i="1"/>
  <c r="D108" i="1"/>
  <c r="D60" i="1"/>
  <c r="D46" i="1"/>
  <c r="D58" i="1"/>
  <c r="D117" i="1"/>
  <c r="D83" i="1"/>
  <c r="D36" i="1"/>
  <c r="D50" i="1"/>
  <c r="D102" i="1"/>
  <c r="D69" i="1"/>
  <c r="D71" i="1"/>
  <c r="D116" i="1"/>
  <c r="D91" i="1"/>
  <c r="B88" i="1"/>
  <c r="B92" i="1"/>
  <c r="B75" i="1"/>
  <c r="B28" i="1"/>
  <c r="B58" i="1"/>
  <c r="B49" i="1"/>
  <c r="B96" i="1"/>
  <c r="B100" i="1"/>
  <c r="B83" i="1"/>
  <c r="B30" i="1"/>
  <c r="B68" i="1"/>
  <c r="B120" i="1"/>
  <c r="B41" i="1"/>
  <c r="B39" i="1"/>
  <c r="B73" i="1"/>
  <c r="B66" i="1"/>
  <c r="B81" i="1"/>
  <c r="B43" i="1"/>
  <c r="B74" i="1"/>
  <c r="B22" i="1"/>
  <c r="B115" i="1"/>
  <c r="B114" i="1"/>
  <c r="B82" i="1"/>
  <c r="B54" i="1"/>
  <c r="B52" i="1"/>
  <c r="B67" i="1"/>
  <c r="B89" i="1"/>
  <c r="B97" i="1"/>
  <c r="B107" i="1"/>
  <c r="B90" i="1"/>
  <c r="B105" i="1"/>
  <c r="B34" i="1"/>
  <c r="B84" i="1"/>
  <c r="B27" i="1"/>
  <c r="B113" i="1"/>
  <c r="B98" i="1"/>
  <c r="B78" i="1"/>
  <c r="B65" i="1"/>
  <c r="B56" i="1"/>
  <c r="D32" i="1"/>
  <c r="D43" i="1"/>
  <c r="B50" i="1"/>
  <c r="B24" i="1"/>
  <c r="E13" i="8"/>
  <c r="E11" i="8"/>
  <c r="E12" i="8"/>
  <c r="E10" i="8"/>
  <c r="D27" i="1"/>
  <c r="D24" i="1"/>
  <c r="J25" i="8"/>
  <c r="D11" i="8"/>
  <c r="B117" i="1"/>
  <c r="B72" i="1"/>
  <c r="B40" i="1"/>
  <c r="B93" i="1"/>
  <c r="B85" i="1"/>
  <c r="C13" i="8"/>
  <c r="B25" i="1"/>
  <c r="B36" i="1"/>
  <c r="B47" i="1"/>
  <c r="B69" i="1"/>
  <c r="B80" i="1"/>
  <c r="B61" i="1"/>
  <c r="B31" i="1"/>
  <c r="B26" i="1"/>
  <c r="B64" i="1"/>
  <c r="B48" i="1"/>
  <c r="B60" i="1"/>
  <c r="B106" i="1"/>
  <c r="B63" i="1"/>
  <c r="B108" i="1"/>
  <c r="B86" i="1"/>
  <c r="B91" i="1"/>
  <c r="B46" i="1"/>
  <c r="B59" i="1"/>
  <c r="B33" i="1"/>
  <c r="B77" i="1"/>
  <c r="B57" i="1"/>
  <c r="B44" i="1"/>
  <c r="B55" i="1"/>
  <c r="B21" i="1"/>
  <c r="B104" i="1"/>
  <c r="B121" i="1"/>
  <c r="B112" i="1"/>
  <c r="B71" i="1"/>
  <c r="B116" i="1"/>
  <c r="B94" i="1"/>
  <c r="B99" i="1"/>
  <c r="B35" i="1"/>
  <c r="B23" i="1"/>
  <c r="B70" i="1"/>
  <c r="B32" i="1"/>
  <c r="B42" i="1"/>
  <c r="B45" i="1"/>
  <c r="B53" i="1"/>
  <c r="B62" i="1"/>
  <c r="I18" i="8"/>
  <c r="J18" i="8" s="1"/>
  <c r="I24" i="8"/>
  <c r="J24" i="8" s="1"/>
  <c r="G12" i="8"/>
  <c r="I26" i="8"/>
  <c r="J26" i="8" s="1"/>
  <c r="G10" i="8"/>
  <c r="I20" i="8"/>
  <c r="I21" i="8"/>
  <c r="K21" i="8" s="1"/>
  <c r="I22" i="8"/>
  <c r="K22" i="8" s="1"/>
  <c r="I25" i="8"/>
  <c r="I23" i="8"/>
  <c r="J23" i="8" s="1"/>
  <c r="I17" i="8"/>
  <c r="J17" i="8" s="1"/>
  <c r="I28" i="8"/>
  <c r="K26" i="8"/>
  <c r="I19" i="8"/>
  <c r="J19" i="8" s="1"/>
  <c r="C10" i="8"/>
  <c r="C12" i="8"/>
  <c r="C11" i="8"/>
  <c r="B101" i="1"/>
  <c r="B29" i="1"/>
  <c r="D12" i="8"/>
  <c r="D10" i="8"/>
  <c r="D13" i="8"/>
  <c r="I27" i="8"/>
  <c r="K20" i="8" l="1"/>
  <c r="J20" i="8"/>
  <c r="J21" i="8"/>
  <c r="K24" i="8"/>
  <c r="K23" i="8"/>
  <c r="K18" i="8"/>
  <c r="K17" i="8"/>
  <c r="J22" i="8"/>
  <c r="K27" i="8"/>
  <c r="K19" i="8"/>
  <c r="Z302" i="6"/>
  <c r="AA302" i="6" s="1"/>
  <c r="W302" i="6"/>
  <c r="V302" i="6"/>
  <c r="U302" i="6"/>
  <c r="Z55" i="6"/>
  <c r="AA55" i="6" s="1"/>
  <c r="U55" i="6"/>
  <c r="V55" i="6" s="1"/>
  <c r="Z54" i="6"/>
  <c r="AA54" i="6" s="1"/>
  <c r="U54" i="6"/>
  <c r="W54" i="6" s="1"/>
  <c r="Z53" i="6"/>
  <c r="AA53" i="6" s="1"/>
  <c r="U53" i="6"/>
  <c r="W53" i="6" s="1"/>
  <c r="Z52" i="6"/>
  <c r="AA52" i="6" s="1"/>
  <c r="U52" i="6"/>
  <c r="V52" i="6" s="1"/>
  <c r="Z51" i="6"/>
  <c r="AA51" i="6" s="1"/>
  <c r="V51" i="6"/>
  <c r="U51" i="6"/>
  <c r="W51" i="6" s="1"/>
  <c r="Z165" i="4"/>
  <c r="AA165" i="4" s="1"/>
  <c r="W165" i="4"/>
  <c r="V165" i="4"/>
  <c r="U165" i="4"/>
  <c r="Z164" i="4"/>
  <c r="AA164" i="4" s="1"/>
  <c r="W164" i="4"/>
  <c r="V164" i="4"/>
  <c r="U164" i="4"/>
  <c r="Z163" i="4"/>
  <c r="AA163" i="4" s="1"/>
  <c r="W163" i="4"/>
  <c r="V163" i="4"/>
  <c r="U163" i="4"/>
  <c r="Z162" i="4"/>
  <c r="AA162" i="4" s="1"/>
  <c r="W162" i="4"/>
  <c r="V162" i="4"/>
  <c r="U162" i="4"/>
  <c r="Z161" i="4"/>
  <c r="AA161" i="4" s="1"/>
  <c r="W161" i="4"/>
  <c r="V161" i="4"/>
  <c r="U161" i="4"/>
  <c r="Z160" i="4"/>
  <c r="AA160" i="4" s="1"/>
  <c r="W160" i="4"/>
  <c r="V160" i="4"/>
  <c r="U160" i="4"/>
  <c r="Z159" i="4"/>
  <c r="AA159" i="4" s="1"/>
  <c r="W159" i="4"/>
  <c r="V159" i="4"/>
  <c r="U159" i="4"/>
  <c r="Z158" i="4"/>
  <c r="AA158" i="4" s="1"/>
  <c r="W158" i="4"/>
  <c r="V158" i="4"/>
  <c r="U158" i="4"/>
  <c r="C32" i="2"/>
  <c r="C31" i="2"/>
  <c r="C30" i="2"/>
  <c r="C27" i="2"/>
  <c r="C26" i="2"/>
  <c r="F321" i="1"/>
  <c r="D321" i="1"/>
  <c r="B321" i="1"/>
  <c r="F320" i="1"/>
  <c r="D320" i="1"/>
  <c r="B320" i="1"/>
  <c r="F319" i="1"/>
  <c r="D319" i="1"/>
  <c r="B319" i="1"/>
  <c r="F318" i="1"/>
  <c r="D318" i="1"/>
  <c r="B318" i="1"/>
  <c r="F317" i="1"/>
  <c r="D317" i="1"/>
  <c r="B317" i="1"/>
  <c r="F316" i="1"/>
  <c r="D316" i="1"/>
  <c r="B316" i="1"/>
  <c r="F315" i="1"/>
  <c r="D315" i="1"/>
  <c r="B315" i="1"/>
  <c r="F314" i="1"/>
  <c r="D314" i="1"/>
  <c r="B314" i="1"/>
  <c r="F313" i="1"/>
  <c r="D313" i="1"/>
  <c r="B313" i="1"/>
  <c r="F312" i="1"/>
  <c r="D312" i="1"/>
  <c r="B312" i="1"/>
  <c r="F311" i="1"/>
  <c r="D311" i="1"/>
  <c r="B311" i="1"/>
  <c r="F310" i="1"/>
  <c r="D310" i="1"/>
  <c r="B310" i="1"/>
  <c r="F309" i="1"/>
  <c r="D309" i="1"/>
  <c r="B309" i="1"/>
  <c r="F308" i="1"/>
  <c r="D308" i="1"/>
  <c r="B308" i="1"/>
  <c r="F307" i="1"/>
  <c r="D307" i="1"/>
  <c r="B307" i="1"/>
  <c r="F306" i="1"/>
  <c r="D306" i="1"/>
  <c r="B306" i="1"/>
  <c r="F305" i="1"/>
  <c r="D305" i="1"/>
  <c r="B305" i="1"/>
  <c r="F304" i="1"/>
  <c r="D304" i="1"/>
  <c r="B304" i="1"/>
  <c r="F303" i="1"/>
  <c r="D303" i="1"/>
  <c r="B303" i="1"/>
  <c r="F302" i="1"/>
  <c r="D302" i="1"/>
  <c r="B302" i="1"/>
  <c r="F301" i="1"/>
  <c r="D301" i="1"/>
  <c r="B301" i="1"/>
  <c r="F300" i="1"/>
  <c r="D300" i="1"/>
  <c r="B300" i="1"/>
  <c r="F299" i="1"/>
  <c r="D299" i="1"/>
  <c r="B299" i="1"/>
  <c r="F298" i="1"/>
  <c r="D298" i="1"/>
  <c r="B298" i="1"/>
  <c r="F297" i="1"/>
  <c r="D297" i="1"/>
  <c r="B297" i="1"/>
  <c r="F296" i="1"/>
  <c r="D296" i="1"/>
  <c r="B296" i="1"/>
  <c r="F295" i="1"/>
  <c r="D295" i="1"/>
  <c r="B295" i="1"/>
  <c r="F294" i="1"/>
  <c r="D294" i="1"/>
  <c r="B294" i="1"/>
  <c r="F293" i="1"/>
  <c r="D293" i="1"/>
  <c r="B293" i="1"/>
  <c r="F292" i="1"/>
  <c r="D292" i="1"/>
  <c r="B292" i="1"/>
  <c r="F291" i="1"/>
  <c r="D291" i="1"/>
  <c r="B291" i="1"/>
  <c r="F290" i="1"/>
  <c r="D290" i="1"/>
  <c r="B290" i="1"/>
  <c r="F289" i="1"/>
  <c r="D289" i="1"/>
  <c r="B289" i="1"/>
  <c r="F288" i="1"/>
  <c r="D288" i="1"/>
  <c r="B288" i="1"/>
  <c r="F287" i="1"/>
  <c r="D287" i="1"/>
  <c r="B287" i="1"/>
  <c r="F286" i="1"/>
  <c r="D286" i="1"/>
  <c r="B286" i="1"/>
  <c r="F285" i="1"/>
  <c r="D285" i="1"/>
  <c r="B285" i="1"/>
  <c r="F284" i="1"/>
  <c r="D284" i="1"/>
  <c r="B284" i="1"/>
  <c r="F283" i="1"/>
  <c r="D283" i="1"/>
  <c r="B283" i="1"/>
  <c r="F282" i="1"/>
  <c r="D282" i="1"/>
  <c r="B282" i="1"/>
  <c r="F281" i="1"/>
  <c r="D281" i="1"/>
  <c r="B281" i="1"/>
  <c r="F280" i="1"/>
  <c r="D280" i="1"/>
  <c r="B280" i="1"/>
  <c r="F279" i="1"/>
  <c r="D279" i="1"/>
  <c r="B279" i="1"/>
  <c r="F278" i="1"/>
  <c r="D278" i="1"/>
  <c r="B278" i="1"/>
  <c r="F277" i="1"/>
  <c r="D277" i="1"/>
  <c r="B277" i="1"/>
  <c r="F276" i="1"/>
  <c r="D276" i="1"/>
  <c r="B276" i="1"/>
  <c r="F275" i="1"/>
  <c r="D275" i="1"/>
  <c r="B275" i="1"/>
  <c r="F274" i="1"/>
  <c r="D274" i="1"/>
  <c r="B274" i="1"/>
  <c r="F273" i="1"/>
  <c r="D273" i="1"/>
  <c r="B273" i="1"/>
  <c r="F272" i="1"/>
  <c r="D272" i="1"/>
  <c r="B272" i="1"/>
  <c r="F271" i="1"/>
  <c r="D271" i="1"/>
  <c r="B271" i="1"/>
  <c r="F270" i="1"/>
  <c r="D270" i="1"/>
  <c r="B270" i="1"/>
  <c r="F269" i="1"/>
  <c r="D269" i="1"/>
  <c r="B269" i="1"/>
  <c r="F268" i="1"/>
  <c r="D268" i="1"/>
  <c r="B268" i="1"/>
  <c r="F267" i="1"/>
  <c r="D267" i="1"/>
  <c r="B267" i="1"/>
  <c r="F266" i="1"/>
  <c r="D266" i="1"/>
  <c r="B266" i="1"/>
  <c r="F265" i="1"/>
  <c r="D265" i="1"/>
  <c r="B265" i="1"/>
  <c r="F264" i="1"/>
  <c r="D264" i="1"/>
  <c r="B264" i="1"/>
  <c r="F263" i="1"/>
  <c r="D263" i="1"/>
  <c r="B263" i="1"/>
  <c r="F262" i="1"/>
  <c r="D262" i="1"/>
  <c r="B262" i="1"/>
  <c r="F261" i="1"/>
  <c r="D261" i="1"/>
  <c r="B261" i="1"/>
  <c r="F260" i="1"/>
  <c r="D260" i="1"/>
  <c r="B260" i="1"/>
  <c r="F259" i="1"/>
  <c r="D259" i="1"/>
  <c r="B259" i="1"/>
  <c r="F258" i="1"/>
  <c r="D258" i="1"/>
  <c r="B258" i="1"/>
  <c r="F257" i="1"/>
  <c r="D257" i="1"/>
  <c r="B257" i="1"/>
  <c r="F256" i="1"/>
  <c r="D256" i="1"/>
  <c r="B256" i="1"/>
  <c r="F255" i="1"/>
  <c r="D255" i="1"/>
  <c r="B255" i="1"/>
  <c r="F254" i="1"/>
  <c r="D254" i="1"/>
  <c r="B254" i="1"/>
  <c r="F253" i="1"/>
  <c r="D253" i="1"/>
  <c r="B253" i="1"/>
  <c r="F252" i="1"/>
  <c r="D252" i="1"/>
  <c r="B252" i="1"/>
  <c r="F251" i="1"/>
  <c r="D251" i="1"/>
  <c r="B251" i="1"/>
  <c r="F250" i="1"/>
  <c r="D250" i="1"/>
  <c r="B250" i="1"/>
  <c r="F249" i="1"/>
  <c r="D249" i="1"/>
  <c r="B249" i="1"/>
  <c r="F248" i="1"/>
  <c r="D248" i="1"/>
  <c r="B248" i="1"/>
  <c r="F247" i="1"/>
  <c r="D247" i="1"/>
  <c r="B247" i="1"/>
  <c r="F246" i="1"/>
  <c r="D246" i="1"/>
  <c r="B246" i="1"/>
  <c r="F245" i="1"/>
  <c r="D245" i="1"/>
  <c r="B245" i="1"/>
  <c r="F244" i="1"/>
  <c r="D244" i="1"/>
  <c r="B244" i="1"/>
  <c r="F243" i="1"/>
  <c r="D243" i="1"/>
  <c r="B243" i="1"/>
  <c r="F242" i="1"/>
  <c r="D242" i="1"/>
  <c r="B242" i="1"/>
  <c r="F241" i="1"/>
  <c r="D241" i="1"/>
  <c r="B241" i="1"/>
  <c r="F240" i="1"/>
  <c r="D240" i="1"/>
  <c r="B240" i="1"/>
  <c r="F239" i="1"/>
  <c r="D239" i="1"/>
  <c r="B239" i="1"/>
  <c r="F238" i="1"/>
  <c r="D238" i="1"/>
  <c r="B238" i="1"/>
  <c r="F237" i="1"/>
  <c r="D237" i="1"/>
  <c r="B237" i="1"/>
  <c r="F236" i="1"/>
  <c r="D236" i="1"/>
  <c r="B236" i="1"/>
  <c r="F235" i="1"/>
  <c r="D235" i="1"/>
  <c r="B235" i="1"/>
  <c r="F234" i="1"/>
  <c r="D234" i="1"/>
  <c r="B234" i="1"/>
  <c r="F233" i="1"/>
  <c r="D233" i="1"/>
  <c r="B233" i="1"/>
  <c r="F232" i="1"/>
  <c r="D232" i="1"/>
  <c r="B232" i="1"/>
  <c r="F231" i="1"/>
  <c r="D231" i="1"/>
  <c r="B231" i="1"/>
  <c r="F230" i="1"/>
  <c r="D230" i="1"/>
  <c r="B230" i="1"/>
  <c r="F229" i="1"/>
  <c r="D229" i="1"/>
  <c r="B229" i="1"/>
  <c r="F228" i="1"/>
  <c r="D228" i="1"/>
  <c r="B228" i="1"/>
  <c r="F227" i="1"/>
  <c r="D227" i="1"/>
  <c r="B227" i="1"/>
  <c r="F226" i="1"/>
  <c r="D226" i="1"/>
  <c r="B226" i="1"/>
  <c r="F225" i="1"/>
  <c r="D225" i="1"/>
  <c r="B225" i="1"/>
  <c r="F224" i="1"/>
  <c r="D224" i="1"/>
  <c r="B224" i="1"/>
  <c r="F223" i="1"/>
  <c r="D223" i="1"/>
  <c r="B223" i="1"/>
  <c r="F222" i="1"/>
  <c r="D222" i="1"/>
  <c r="B222" i="1"/>
  <c r="F221" i="1"/>
  <c r="D221" i="1"/>
  <c r="B221" i="1"/>
  <c r="F220" i="1"/>
  <c r="D220" i="1"/>
  <c r="B220" i="1"/>
  <c r="F219" i="1"/>
  <c r="D219" i="1"/>
  <c r="B219" i="1"/>
  <c r="F218" i="1"/>
  <c r="D218" i="1"/>
  <c r="B218" i="1"/>
  <c r="F217" i="1"/>
  <c r="D217" i="1"/>
  <c r="B217" i="1"/>
  <c r="F216" i="1"/>
  <c r="D216" i="1"/>
  <c r="B216" i="1"/>
  <c r="F215" i="1"/>
  <c r="D215" i="1"/>
  <c r="B215" i="1"/>
  <c r="F214" i="1"/>
  <c r="D214" i="1"/>
  <c r="B214" i="1"/>
  <c r="F213" i="1"/>
  <c r="D213" i="1"/>
  <c r="B213" i="1"/>
  <c r="F212" i="1"/>
  <c r="D212" i="1"/>
  <c r="B212" i="1"/>
  <c r="F211" i="1"/>
  <c r="D211" i="1"/>
  <c r="B211" i="1"/>
  <c r="F210" i="1"/>
  <c r="D210" i="1"/>
  <c r="B210" i="1"/>
  <c r="F209" i="1"/>
  <c r="D209" i="1"/>
  <c r="B209" i="1"/>
  <c r="F208" i="1"/>
  <c r="D208" i="1"/>
  <c r="B208" i="1"/>
  <c r="F207" i="1"/>
  <c r="D207" i="1"/>
  <c r="B207" i="1"/>
  <c r="F206" i="1"/>
  <c r="D206" i="1"/>
  <c r="B206" i="1"/>
  <c r="F205" i="1"/>
  <c r="D205" i="1"/>
  <c r="B205" i="1"/>
  <c r="F204" i="1"/>
  <c r="D204" i="1"/>
  <c r="B204" i="1"/>
  <c r="F203" i="1"/>
  <c r="D203" i="1"/>
  <c r="B203" i="1"/>
  <c r="F202" i="1"/>
  <c r="D202" i="1"/>
  <c r="B202" i="1"/>
  <c r="F201" i="1"/>
  <c r="D201" i="1"/>
  <c r="B201" i="1"/>
  <c r="F200" i="1"/>
  <c r="D200" i="1"/>
  <c r="B200" i="1"/>
  <c r="F199" i="1"/>
  <c r="D199" i="1"/>
  <c r="B199" i="1"/>
  <c r="F198" i="1"/>
  <c r="D198" i="1"/>
  <c r="B198" i="1"/>
  <c r="F197" i="1"/>
  <c r="D197" i="1"/>
  <c r="B197" i="1"/>
  <c r="F196" i="1"/>
  <c r="D196" i="1"/>
  <c r="B196" i="1"/>
  <c r="F195" i="1"/>
  <c r="D195" i="1"/>
  <c r="B195" i="1"/>
  <c r="F194" i="1"/>
  <c r="D194" i="1"/>
  <c r="B194" i="1"/>
  <c r="F193" i="1"/>
  <c r="D193" i="1"/>
  <c r="B193" i="1"/>
  <c r="F192" i="1"/>
  <c r="D192" i="1"/>
  <c r="B192" i="1"/>
  <c r="F191" i="1"/>
  <c r="D191" i="1"/>
  <c r="B191" i="1"/>
  <c r="F190" i="1"/>
  <c r="D190" i="1"/>
  <c r="B190" i="1"/>
  <c r="F189" i="1"/>
  <c r="D189" i="1"/>
  <c r="B189" i="1"/>
  <c r="F188" i="1"/>
  <c r="D188" i="1"/>
  <c r="B188" i="1"/>
  <c r="F187" i="1"/>
  <c r="D187" i="1"/>
  <c r="B187" i="1"/>
  <c r="F186" i="1"/>
  <c r="D186" i="1"/>
  <c r="B186" i="1"/>
  <c r="F185" i="1"/>
  <c r="D185" i="1"/>
  <c r="B185" i="1"/>
  <c r="F184" i="1"/>
  <c r="D184" i="1"/>
  <c r="B184" i="1"/>
  <c r="F183" i="1"/>
  <c r="D183" i="1"/>
  <c r="B183" i="1"/>
  <c r="F182" i="1"/>
  <c r="D182" i="1"/>
  <c r="B182" i="1"/>
  <c r="F181" i="1"/>
  <c r="D181" i="1"/>
  <c r="B181" i="1"/>
  <c r="F180" i="1"/>
  <c r="D180" i="1"/>
  <c r="B180" i="1"/>
  <c r="F179" i="1"/>
  <c r="D179" i="1"/>
  <c r="B179" i="1"/>
  <c r="F178" i="1"/>
  <c r="D178" i="1"/>
  <c r="B178" i="1"/>
  <c r="F177" i="1"/>
  <c r="D177" i="1"/>
  <c r="B177" i="1"/>
  <c r="F176" i="1"/>
  <c r="D176" i="1"/>
  <c r="B176" i="1"/>
  <c r="F175" i="1"/>
  <c r="D175" i="1"/>
  <c r="B175" i="1"/>
  <c r="F174" i="1"/>
  <c r="D174" i="1"/>
  <c r="B174" i="1"/>
  <c r="F173" i="1"/>
  <c r="D173" i="1"/>
  <c r="B173" i="1"/>
  <c r="F172" i="1"/>
  <c r="D172" i="1"/>
  <c r="B172" i="1"/>
  <c r="F171" i="1"/>
  <c r="D171" i="1"/>
  <c r="B171" i="1"/>
  <c r="F170" i="1"/>
  <c r="D170" i="1"/>
  <c r="B170" i="1"/>
  <c r="F169" i="1"/>
  <c r="D169" i="1"/>
  <c r="B169" i="1"/>
  <c r="F168" i="1"/>
  <c r="D168" i="1"/>
  <c r="B168" i="1"/>
  <c r="F167" i="1"/>
  <c r="D167" i="1"/>
  <c r="B167" i="1"/>
  <c r="F166" i="1"/>
  <c r="D166" i="1"/>
  <c r="B166" i="1"/>
  <c r="F165" i="1"/>
  <c r="D165" i="1"/>
  <c r="B165" i="1"/>
  <c r="F164" i="1"/>
  <c r="D164" i="1"/>
  <c r="B164" i="1"/>
  <c r="F163" i="1"/>
  <c r="D163" i="1"/>
  <c r="B163" i="1"/>
  <c r="F162" i="1"/>
  <c r="D162" i="1"/>
  <c r="B162" i="1"/>
  <c r="F161" i="1"/>
  <c r="D161" i="1"/>
  <c r="B161" i="1"/>
  <c r="F160" i="1"/>
  <c r="D160" i="1"/>
  <c r="B160" i="1"/>
  <c r="F159" i="1"/>
  <c r="D159" i="1"/>
  <c r="B159" i="1"/>
  <c r="F158" i="1"/>
  <c r="D158" i="1"/>
  <c r="B158" i="1"/>
  <c r="F157" i="1"/>
  <c r="D157" i="1"/>
  <c r="B157" i="1"/>
  <c r="F156" i="1"/>
  <c r="D156" i="1"/>
  <c r="B156" i="1"/>
  <c r="F155" i="1"/>
  <c r="D155" i="1"/>
  <c r="B155" i="1"/>
  <c r="F154" i="1"/>
  <c r="D154" i="1"/>
  <c r="B154" i="1"/>
  <c r="F153" i="1"/>
  <c r="D153" i="1"/>
  <c r="B153" i="1"/>
  <c r="F152" i="1"/>
  <c r="D152" i="1"/>
  <c r="B152" i="1"/>
  <c r="F151" i="1"/>
  <c r="D151" i="1"/>
  <c r="B151" i="1"/>
  <c r="F150" i="1"/>
  <c r="D150" i="1"/>
  <c r="B150" i="1"/>
  <c r="F149" i="1"/>
  <c r="D149" i="1"/>
  <c r="B149" i="1"/>
  <c r="F148" i="1"/>
  <c r="D148" i="1"/>
  <c r="B148" i="1"/>
  <c r="F147" i="1"/>
  <c r="D147" i="1"/>
  <c r="B147" i="1"/>
  <c r="F146" i="1"/>
  <c r="D146" i="1"/>
  <c r="B146" i="1"/>
  <c r="F145" i="1"/>
  <c r="D145" i="1"/>
  <c r="B145" i="1"/>
  <c r="F144" i="1"/>
  <c r="D144" i="1"/>
  <c r="B144" i="1"/>
  <c r="F143" i="1"/>
  <c r="D143" i="1"/>
  <c r="B143" i="1"/>
  <c r="F142" i="1"/>
  <c r="D142" i="1"/>
  <c r="B142" i="1"/>
  <c r="F141" i="1"/>
  <c r="D141" i="1"/>
  <c r="B141" i="1"/>
  <c r="F140" i="1"/>
  <c r="D140" i="1"/>
  <c r="B140" i="1"/>
  <c r="F139" i="1"/>
  <c r="D139" i="1"/>
  <c r="B139" i="1"/>
  <c r="F138" i="1"/>
  <c r="D138" i="1"/>
  <c r="B138" i="1"/>
  <c r="F137" i="1"/>
  <c r="D137" i="1"/>
  <c r="B137" i="1"/>
  <c r="F136" i="1"/>
  <c r="D136" i="1"/>
  <c r="B136" i="1"/>
  <c r="F135" i="1"/>
  <c r="D135" i="1"/>
  <c r="B135" i="1"/>
  <c r="F134" i="1"/>
  <c r="D134" i="1"/>
  <c r="B134" i="1"/>
  <c r="F133" i="1"/>
  <c r="D133" i="1"/>
  <c r="B133" i="1"/>
  <c r="F132" i="1"/>
  <c r="D132" i="1"/>
  <c r="B132" i="1"/>
  <c r="F131" i="1"/>
  <c r="D131" i="1"/>
  <c r="B131" i="1"/>
  <c r="F130" i="1"/>
  <c r="D130" i="1"/>
  <c r="B130" i="1"/>
  <c r="F129" i="1"/>
  <c r="D129" i="1"/>
  <c r="B129" i="1"/>
  <c r="F128" i="1"/>
  <c r="D128" i="1"/>
  <c r="B128" i="1"/>
  <c r="F127" i="1"/>
  <c r="D127" i="1"/>
  <c r="B127" i="1"/>
  <c r="F126" i="1"/>
  <c r="D126" i="1"/>
  <c r="B126" i="1"/>
  <c r="F125" i="1"/>
  <c r="D125" i="1"/>
  <c r="B125" i="1"/>
  <c r="F124" i="1"/>
  <c r="D124" i="1"/>
  <c r="B124" i="1"/>
  <c r="F123" i="1"/>
  <c r="D123" i="1"/>
  <c r="B123" i="1"/>
  <c r="F122" i="1"/>
  <c r="D122" i="1"/>
  <c r="B122" i="1"/>
  <c r="AA166" i="4" l="1"/>
  <c r="C316" i="1" s="1"/>
  <c r="C22" i="1"/>
  <c r="C73" i="1"/>
  <c r="W55" i="6"/>
  <c r="C28" i="2"/>
  <c r="C29" i="2"/>
  <c r="V54" i="6"/>
  <c r="W52" i="6"/>
  <c r="V53" i="6"/>
  <c r="AA59" i="6"/>
  <c r="AA154" i="6"/>
  <c r="AA130" i="6"/>
  <c r="AA230" i="6"/>
  <c r="AA215" i="6"/>
  <c r="AA145" i="6"/>
  <c r="AA66" i="6"/>
  <c r="AA158" i="6"/>
  <c r="AA70" i="6"/>
  <c r="AA212" i="6"/>
  <c r="AA203" i="6"/>
  <c r="AA224" i="6"/>
  <c r="AA220" i="6"/>
  <c r="AA140" i="6"/>
  <c r="AA171" i="6"/>
  <c r="AA98" i="6"/>
  <c r="AA184" i="6"/>
  <c r="AA80" i="6"/>
  <c r="AA74" i="6"/>
  <c r="AA168" i="6"/>
  <c r="AA79" i="6"/>
  <c r="AA195" i="6"/>
  <c r="AA174" i="6"/>
  <c r="AA164" i="6"/>
  <c r="AA112" i="6"/>
  <c r="AA234" i="6"/>
  <c r="AA91" i="6"/>
  <c r="AA104" i="6"/>
  <c r="AA179" i="6"/>
  <c r="AA63" i="6"/>
  <c r="AA124" i="6"/>
  <c r="AA87" i="6"/>
  <c r="AA56" i="6"/>
  <c r="AA207" i="6"/>
  <c r="AA133" i="6"/>
  <c r="AA116" i="6"/>
  <c r="AA188" i="6"/>
  <c r="AA96" i="6"/>
  <c r="AA81" i="6"/>
  <c r="F6" i="1"/>
  <c r="F8" i="1"/>
  <c r="F7" i="1"/>
  <c r="F11" i="8" l="1"/>
  <c r="H11" i="8" s="1"/>
  <c r="F13" i="8"/>
  <c r="H13" i="8" s="1"/>
  <c r="E22" i="1"/>
  <c r="C71" i="1"/>
  <c r="C24" i="1"/>
  <c r="C225" i="1"/>
  <c r="C91" i="1"/>
  <c r="C45" i="1"/>
  <c r="C90" i="1"/>
  <c r="C246" i="1"/>
  <c r="C111" i="1"/>
  <c r="C58" i="1"/>
  <c r="C53" i="1"/>
  <c r="C181" i="1"/>
  <c r="C118" i="1"/>
  <c r="C29" i="1"/>
  <c r="C63" i="1"/>
  <c r="C193" i="1"/>
  <c r="C96" i="1"/>
  <c r="C67" i="1"/>
  <c r="C88" i="1"/>
  <c r="C153" i="1"/>
  <c r="C249" i="1"/>
  <c r="C30" i="1"/>
  <c r="C93" i="1"/>
  <c r="C171" i="1"/>
  <c r="C35" i="1"/>
  <c r="C104" i="1"/>
  <c r="C13" i="1"/>
  <c r="C251" i="1"/>
  <c r="C258" i="1"/>
  <c r="C121" i="1"/>
  <c r="C79" i="1"/>
  <c r="C254" i="1"/>
  <c r="C270" i="1"/>
  <c r="C38" i="1"/>
  <c r="C26" i="1"/>
  <c r="C115" i="1"/>
  <c r="C110" i="1"/>
  <c r="C40" i="1"/>
  <c r="C315" i="1"/>
  <c r="C184" i="1"/>
  <c r="C57" i="1"/>
  <c r="C86" i="1"/>
  <c r="C68" i="1"/>
  <c r="C28" i="1"/>
  <c r="C262" i="1"/>
  <c r="C162" i="1"/>
  <c r="C218" i="1"/>
  <c r="C25" i="1"/>
  <c r="C39" i="1"/>
  <c r="C78" i="1"/>
  <c r="C82" i="1"/>
  <c r="C41" i="1"/>
  <c r="C36" i="1"/>
  <c r="C120" i="1"/>
  <c r="C259" i="1"/>
  <c r="C143" i="1"/>
  <c r="C180" i="1"/>
  <c r="C208" i="1"/>
  <c r="C221" i="1"/>
  <c r="C257" i="1"/>
  <c r="C98" i="1"/>
  <c r="C112" i="1"/>
  <c r="C92" i="1"/>
  <c r="C81" i="1"/>
  <c r="C265" i="1"/>
  <c r="C144" i="1"/>
  <c r="C215" i="1"/>
  <c r="C48" i="1"/>
  <c r="C80" i="1"/>
  <c r="C107" i="1"/>
  <c r="C37" i="1"/>
  <c r="C128" i="1"/>
  <c r="C196" i="1"/>
  <c r="C65" i="1"/>
  <c r="C72" i="1"/>
  <c r="C34" i="1"/>
  <c r="C52" i="1"/>
  <c r="C94" i="1"/>
  <c r="C51" i="1"/>
  <c r="C49" i="1"/>
  <c r="C109" i="1"/>
  <c r="C55" i="1"/>
  <c r="C256" i="1"/>
  <c r="C155" i="1"/>
  <c r="C198" i="1"/>
  <c r="C220" i="1"/>
  <c r="C224" i="1"/>
  <c r="C60" i="1"/>
  <c r="C273" i="1"/>
  <c r="C23" i="1"/>
  <c r="C43" i="1"/>
  <c r="C282" i="1"/>
  <c r="C207" i="1"/>
  <c r="C61" i="1"/>
  <c r="C42" i="1"/>
  <c r="C301" i="1"/>
  <c r="C229" i="1"/>
  <c r="C187" i="1"/>
  <c r="C287" i="1"/>
  <c r="C205" i="1"/>
  <c r="C89" i="1"/>
  <c r="C313" i="1"/>
  <c r="C217" i="1"/>
  <c r="C255" i="1"/>
  <c r="C119" i="1"/>
  <c r="C33" i="1"/>
  <c r="C54" i="1"/>
  <c r="C56" i="1"/>
  <c r="C298" i="1"/>
  <c r="C261" i="1"/>
  <c r="C241" i="1"/>
  <c r="C174" i="1"/>
  <c r="C199" i="1"/>
  <c r="C290" i="1"/>
  <c r="C189" i="1"/>
  <c r="C31" i="1"/>
  <c r="C83" i="1"/>
  <c r="C130" i="1"/>
  <c r="C106" i="1"/>
  <c r="C97" i="1"/>
  <c r="C85" i="1"/>
  <c r="C47" i="1"/>
  <c r="C156" i="1"/>
  <c r="C108" i="1"/>
  <c r="C116" i="1"/>
  <c r="C95" i="1"/>
  <c r="C113" i="1"/>
  <c r="C69" i="1"/>
  <c r="C77" i="1"/>
  <c r="C59" i="1"/>
  <c r="C105" i="1"/>
  <c r="C101" i="1"/>
  <c r="C32" i="1"/>
  <c r="C44" i="1"/>
  <c r="C50" i="1"/>
  <c r="C295" i="1"/>
  <c r="C279" i="1"/>
  <c r="C244" i="1"/>
  <c r="C192" i="1"/>
  <c r="C211" i="1"/>
  <c r="C293" i="1"/>
  <c r="C260" i="1"/>
  <c r="C99" i="1"/>
  <c r="C74" i="1"/>
  <c r="C75" i="1"/>
  <c r="C27" i="1"/>
  <c r="C87" i="1"/>
  <c r="C103" i="1"/>
  <c r="C76" i="1"/>
  <c r="C62" i="1"/>
  <c r="C100" i="1"/>
  <c r="C66" i="1"/>
  <c r="C292" i="1"/>
  <c r="C285" i="1"/>
  <c r="C247" i="1"/>
  <c r="C210" i="1"/>
  <c r="C223" i="1"/>
  <c r="C296" i="1"/>
  <c r="C289" i="1"/>
  <c r="C253" i="1"/>
  <c r="C291" i="1"/>
  <c r="C288" i="1"/>
  <c r="C167" i="1"/>
  <c r="C142" i="1"/>
  <c r="C250" i="1"/>
  <c r="C213" i="1"/>
  <c r="C232" i="1"/>
  <c r="C228" i="1"/>
  <c r="C238" i="1"/>
  <c r="C222" i="1"/>
  <c r="C235" i="1"/>
  <c r="C227" i="1"/>
  <c r="C263" i="1"/>
  <c r="C299" i="1"/>
  <c r="C286" i="1"/>
  <c r="C123" i="1"/>
  <c r="C129" i="1"/>
  <c r="C294" i="1"/>
  <c r="C179" i="1"/>
  <c r="C154" i="1"/>
  <c r="C131" i="1"/>
  <c r="C231" i="1"/>
  <c r="C125" i="1"/>
  <c r="C243" i="1"/>
  <c r="C122" i="1"/>
  <c r="C240" i="1"/>
  <c r="C194" i="1"/>
  <c r="C230" i="1"/>
  <c r="C266" i="1"/>
  <c r="C302" i="1"/>
  <c r="C283" i="1"/>
  <c r="C141" i="1"/>
  <c r="C147" i="1"/>
  <c r="C297" i="1"/>
  <c r="C191" i="1"/>
  <c r="C166" i="1"/>
  <c r="C140" i="1"/>
  <c r="C252" i="1"/>
  <c r="C134" i="1"/>
  <c r="C264" i="1"/>
  <c r="C137" i="1"/>
  <c r="C267" i="1"/>
  <c r="C197" i="1"/>
  <c r="C233" i="1"/>
  <c r="C269" i="1"/>
  <c r="C305" i="1"/>
  <c r="C280" i="1"/>
  <c r="C159" i="1"/>
  <c r="C165" i="1"/>
  <c r="C300" i="1"/>
  <c r="C132" i="1"/>
  <c r="C178" i="1"/>
  <c r="C152" i="1"/>
  <c r="C276" i="1"/>
  <c r="C149" i="1"/>
  <c r="C127" i="1"/>
  <c r="C146" i="1"/>
  <c r="C124" i="1"/>
  <c r="C200" i="1"/>
  <c r="C236" i="1"/>
  <c r="C272" i="1"/>
  <c r="C308" i="1"/>
  <c r="C277" i="1"/>
  <c r="C177" i="1"/>
  <c r="C183" i="1"/>
  <c r="C303" i="1"/>
  <c r="C150" i="1"/>
  <c r="C190" i="1"/>
  <c r="C164" i="1"/>
  <c r="C133" i="1"/>
  <c r="C158" i="1"/>
  <c r="C139" i="1"/>
  <c r="C161" i="1"/>
  <c r="C136" i="1"/>
  <c r="C203" i="1"/>
  <c r="C239" i="1"/>
  <c r="C275" i="1"/>
  <c r="C311" i="1"/>
  <c r="C21" i="1"/>
  <c r="C114" i="1"/>
  <c r="C310" i="1"/>
  <c r="C274" i="1"/>
  <c r="C195" i="1"/>
  <c r="C201" i="1"/>
  <c r="C306" i="1"/>
  <c r="C168" i="1"/>
  <c r="C202" i="1"/>
  <c r="C170" i="1"/>
  <c r="C145" i="1"/>
  <c r="C176" i="1"/>
  <c r="C151" i="1"/>
  <c r="C173" i="1"/>
  <c r="C148" i="1"/>
  <c r="C206" i="1"/>
  <c r="C242" i="1"/>
  <c r="C278" i="1"/>
  <c r="C314" i="1"/>
  <c r="C64" i="1"/>
  <c r="C84" i="1"/>
  <c r="C70" i="1"/>
  <c r="C307" i="1"/>
  <c r="C271" i="1"/>
  <c r="C216" i="1"/>
  <c r="C219" i="1"/>
  <c r="C309" i="1"/>
  <c r="C186" i="1"/>
  <c r="C214" i="1"/>
  <c r="C182" i="1"/>
  <c r="C157" i="1"/>
  <c r="C188" i="1"/>
  <c r="C163" i="1"/>
  <c r="C185" i="1"/>
  <c r="C160" i="1"/>
  <c r="C209" i="1"/>
  <c r="C245" i="1"/>
  <c r="C281" i="1"/>
  <c r="C317" i="1"/>
  <c r="C117" i="1"/>
  <c r="C46" i="1"/>
  <c r="C102" i="1"/>
  <c r="C304" i="1"/>
  <c r="C268" i="1"/>
  <c r="C234" i="1"/>
  <c r="C237" i="1"/>
  <c r="C312" i="1"/>
  <c r="C204" i="1"/>
  <c r="C226" i="1"/>
  <c r="C126" i="1"/>
  <c r="C169" i="1"/>
  <c r="C138" i="1"/>
  <c r="C175" i="1"/>
  <c r="C135" i="1"/>
  <c r="C172" i="1"/>
  <c r="C212" i="1"/>
  <c r="C248" i="1"/>
  <c r="C284" i="1"/>
  <c r="F10" i="8"/>
  <c r="H10" i="8" s="1"/>
  <c r="E152" i="1"/>
  <c r="E227" i="1"/>
  <c r="E218" i="1"/>
  <c r="E302" i="1"/>
  <c r="E259" i="1"/>
  <c r="E181" i="1"/>
  <c r="E143" i="1"/>
  <c r="E252" i="1"/>
  <c r="E244" i="1"/>
  <c r="E137" i="1"/>
  <c r="E281" i="1"/>
  <c r="E186" i="1"/>
  <c r="E287" i="1"/>
  <c r="E156" i="1"/>
  <c r="E238" i="1"/>
  <c r="E159" i="1"/>
  <c r="E303" i="1"/>
  <c r="E94" i="1"/>
  <c r="E95" i="1"/>
  <c r="E87" i="1"/>
  <c r="E99" i="1"/>
  <c r="E38" i="1"/>
  <c r="E89" i="1"/>
  <c r="E92" i="1"/>
  <c r="E47" i="1"/>
  <c r="F12" i="8"/>
  <c r="H12" i="8" s="1"/>
  <c r="E212" i="1"/>
  <c r="E129" i="1"/>
  <c r="E254" i="1"/>
  <c r="E127" i="1"/>
  <c r="E271" i="1"/>
  <c r="E217" i="1"/>
  <c r="E203" i="1"/>
  <c r="E276" i="1"/>
  <c r="E268" i="1"/>
  <c r="E149" i="1"/>
  <c r="E293" i="1"/>
  <c r="E222" i="1"/>
  <c r="E299" i="1"/>
  <c r="E192" i="1"/>
  <c r="E250" i="1"/>
  <c r="E171" i="1"/>
  <c r="E315" i="1"/>
  <c r="E33" i="1"/>
  <c r="E91" i="1"/>
  <c r="E118" i="1"/>
  <c r="E71" i="1"/>
  <c r="E50" i="1"/>
  <c r="E34" i="1"/>
  <c r="E90" i="1"/>
  <c r="E101" i="1"/>
  <c r="E223" i="1"/>
  <c r="E124" i="1"/>
  <c r="E251" i="1"/>
  <c r="E267" i="1"/>
  <c r="E27" i="1"/>
  <c r="E49" i="1"/>
  <c r="E242" i="1"/>
  <c r="E180" i="1"/>
  <c r="E289" i="1"/>
  <c r="E135" i="1"/>
  <c r="E85" i="1"/>
  <c r="E107" i="1"/>
  <c r="E128" i="1"/>
  <c r="E306" i="1"/>
  <c r="E162" i="1"/>
  <c r="E291" i="1"/>
  <c r="E64" i="1"/>
  <c r="E266" i="1"/>
  <c r="E136" i="1"/>
  <c r="E304" i="1"/>
  <c r="E311" i="1"/>
  <c r="E262" i="1"/>
  <c r="E183" i="1"/>
  <c r="E106" i="1"/>
  <c r="E45" i="1"/>
  <c r="E98" i="1"/>
  <c r="E21" i="1"/>
  <c r="E75" i="1"/>
  <c r="E146" i="1"/>
  <c r="E234" i="1"/>
  <c r="E245" i="1"/>
  <c r="E202" i="1"/>
  <c r="E66" i="1"/>
  <c r="E62" i="1"/>
  <c r="E158" i="1"/>
  <c r="E258" i="1"/>
  <c r="E257" i="1"/>
  <c r="E214" i="1"/>
  <c r="E104" i="1"/>
  <c r="E51" i="1"/>
  <c r="E194" i="1"/>
  <c r="E228" i="1"/>
  <c r="E147" i="1"/>
  <c r="E105" i="1"/>
  <c r="E216" i="1"/>
  <c r="E189" i="1"/>
  <c r="E133" i="1"/>
  <c r="E264" i="1"/>
  <c r="E263" i="1"/>
  <c r="E279" i="1"/>
  <c r="E113" i="1"/>
  <c r="E100" i="1"/>
  <c r="E247" i="1"/>
  <c r="E125" i="1"/>
  <c r="E275" i="1"/>
  <c r="E42" i="1"/>
  <c r="E70" i="1"/>
  <c r="E139" i="1"/>
  <c r="E288" i="1"/>
  <c r="E270" i="1"/>
  <c r="E26" i="1"/>
  <c r="E272" i="1"/>
  <c r="E249" i="1"/>
  <c r="E290" i="1"/>
  <c r="E151" i="1"/>
  <c r="E295" i="1"/>
  <c r="E253" i="1"/>
  <c r="E160" i="1"/>
  <c r="E300" i="1"/>
  <c r="E141" i="1"/>
  <c r="E173" i="1"/>
  <c r="E317" i="1"/>
  <c r="E294" i="1"/>
  <c r="E148" i="1"/>
  <c r="E130" i="1"/>
  <c r="E274" i="1"/>
  <c r="E195" i="1"/>
  <c r="E32" i="1"/>
  <c r="E23" i="1"/>
  <c r="E67" i="1"/>
  <c r="E48" i="1"/>
  <c r="E96" i="1"/>
  <c r="E86" i="1"/>
  <c r="E112" i="1"/>
  <c r="C15" i="1"/>
  <c r="E41" i="1"/>
  <c r="E296" i="1"/>
  <c r="E261" i="1"/>
  <c r="E314" i="1"/>
  <c r="E163" i="1"/>
  <c r="E307" i="1"/>
  <c r="E277" i="1"/>
  <c r="E196" i="1"/>
  <c r="E312" i="1"/>
  <c r="E213" i="1"/>
  <c r="E185" i="1"/>
  <c r="E145" i="1"/>
  <c r="E131" i="1"/>
  <c r="E172" i="1"/>
  <c r="E142" i="1"/>
  <c r="E286" i="1"/>
  <c r="E207" i="1"/>
  <c r="E80" i="1"/>
  <c r="E35" i="1"/>
  <c r="E72" i="1"/>
  <c r="E74" i="1"/>
  <c r="E56" i="1"/>
  <c r="E73" i="1"/>
  <c r="E76" i="1"/>
  <c r="E63" i="1"/>
  <c r="E78" i="1"/>
  <c r="E282" i="1"/>
  <c r="E308" i="1"/>
  <c r="E240" i="1"/>
  <c r="E153" i="1"/>
  <c r="E29" i="1"/>
  <c r="E36" i="1"/>
  <c r="E77" i="1"/>
  <c r="E235" i="1"/>
  <c r="E184" i="1"/>
  <c r="E201" i="1"/>
  <c r="E84" i="1"/>
  <c r="E31" i="1"/>
  <c r="E278" i="1"/>
  <c r="E208" i="1"/>
  <c r="E226" i="1"/>
  <c r="E40" i="1"/>
  <c r="E30" i="1"/>
  <c r="E230" i="1"/>
  <c r="E144" i="1"/>
  <c r="E265" i="1"/>
  <c r="E123" i="1"/>
  <c r="E102" i="1"/>
  <c r="E155" i="1"/>
  <c r="F4" i="1"/>
  <c r="E177" i="1"/>
  <c r="E229" i="1"/>
  <c r="E305" i="1"/>
  <c r="E44" i="1"/>
  <c r="E126" i="1"/>
  <c r="E134" i="1"/>
  <c r="E164" i="1"/>
  <c r="E220" i="1"/>
  <c r="E285" i="1"/>
  <c r="E157" i="1"/>
  <c r="E232" i="1"/>
  <c r="E154" i="1"/>
  <c r="E298" i="1"/>
  <c r="E219" i="1"/>
  <c r="E61" i="1"/>
  <c r="E120" i="1"/>
  <c r="E25" i="1"/>
  <c r="E109" i="1"/>
  <c r="E83" i="1"/>
  <c r="E24" i="1"/>
  <c r="E37" i="1"/>
  <c r="E46" i="1"/>
  <c r="E174" i="1"/>
  <c r="E297" i="1"/>
  <c r="E170" i="1"/>
  <c r="E187" i="1"/>
  <c r="E188" i="1"/>
  <c r="E313" i="1"/>
  <c r="E292" i="1"/>
  <c r="E200" i="1"/>
  <c r="E132" i="1"/>
  <c r="E209" i="1"/>
  <c r="E193" i="1"/>
  <c r="E191" i="1"/>
  <c r="E256" i="1"/>
  <c r="E166" i="1"/>
  <c r="E310" i="1"/>
  <c r="E231" i="1"/>
  <c r="E65" i="1"/>
  <c r="E68" i="1"/>
  <c r="E111" i="1"/>
  <c r="E97" i="1"/>
  <c r="E114" i="1"/>
  <c r="E54" i="1"/>
  <c r="E117" i="1"/>
  <c r="E121" i="1"/>
  <c r="E88" i="1"/>
  <c r="E179" i="1"/>
  <c r="E169" i="1"/>
  <c r="E269" i="1"/>
  <c r="E225" i="1"/>
  <c r="E116" i="1"/>
  <c r="E115" i="1"/>
  <c r="E236" i="1"/>
  <c r="E283" i="1"/>
  <c r="E161" i="1"/>
  <c r="E79" i="1"/>
  <c r="E273" i="1"/>
  <c r="E175" i="1"/>
  <c r="E301" i="1"/>
  <c r="E176" i="1"/>
  <c r="E197" i="1"/>
  <c r="E167" i="1"/>
  <c r="E82" i="1"/>
  <c r="E198" i="1"/>
  <c r="E309" i="1"/>
  <c r="E182" i="1"/>
  <c r="E199" i="1"/>
  <c r="E248" i="1"/>
  <c r="E138" i="1"/>
  <c r="E165" i="1"/>
  <c r="E224" i="1"/>
  <c r="E168" i="1"/>
  <c r="E221" i="1"/>
  <c r="E205" i="1"/>
  <c r="E215" i="1"/>
  <c r="E280" i="1"/>
  <c r="E178" i="1"/>
  <c r="E140" i="1"/>
  <c r="E243" i="1"/>
  <c r="E53" i="1"/>
  <c r="E60" i="1"/>
  <c r="E93" i="1"/>
  <c r="E110" i="1"/>
  <c r="E43" i="1"/>
  <c r="E57" i="1"/>
  <c r="E58" i="1"/>
  <c r="E108" i="1"/>
  <c r="E59" i="1"/>
  <c r="E246" i="1"/>
  <c r="E122" i="1"/>
  <c r="E206" i="1"/>
  <c r="E211" i="1"/>
  <c r="E284" i="1"/>
  <c r="E210" i="1"/>
  <c r="E237" i="1"/>
  <c r="E260" i="1"/>
  <c r="E204" i="1"/>
  <c r="E233" i="1"/>
  <c r="E241" i="1"/>
  <c r="E239" i="1"/>
  <c r="E316" i="1"/>
  <c r="E190" i="1"/>
  <c r="E150" i="1"/>
  <c r="E255" i="1"/>
  <c r="E52" i="1"/>
  <c r="E69" i="1"/>
  <c r="E55" i="1"/>
  <c r="E28" i="1"/>
  <c r="E119" i="1"/>
  <c r="E39" i="1"/>
  <c r="E103" i="1"/>
  <c r="E81" i="1"/>
  <c r="C17" i="1" l="1"/>
  <c r="D16" i="1"/>
  <c r="D14" i="1"/>
  <c r="D13" i="1"/>
  <c r="D12" i="1"/>
  <c r="D15" i="1"/>
</calcChain>
</file>

<file path=xl/sharedStrings.xml><?xml version="1.0" encoding="utf-8"?>
<sst xmlns="http://schemas.openxmlformats.org/spreadsheetml/2006/main" count="4101" uniqueCount="765">
  <si>
    <t>商品半成品與調理設備應用盤點｜總覽目錄</t>
  </si>
  <si>
    <t>盤點基本資訊（黃底請填寫）</t>
  </si>
  <si>
    <t>本廠總體統計（自動計算）</t>
  </si>
  <si>
    <t>盤點工廠</t>
  </si>
  <si>
    <t>生產總品項數</t>
  </si>
  <si>
    <t>盤點日期</t>
  </si>
  <si>
    <t>半成品總筆數</t>
  </si>
  <si>
    <t>盤點負責人</t>
  </si>
  <si>
    <r>
      <rPr>
        <b/>
        <sz val="10"/>
        <color rgb="FF444441"/>
        <rFont val="Noto Sans CJK SC"/>
        <family val="2"/>
      </rPr>
      <t>資料缺漏</t>
    </r>
    <r>
      <rPr>
        <b/>
        <sz val="10"/>
        <color rgb="FF444441"/>
        <rFont val="微軟正黑體"/>
        <family val="2"/>
        <charset val="136"/>
      </rPr>
      <t>/</t>
    </r>
    <r>
      <rPr>
        <b/>
        <sz val="10"/>
        <color rgb="FF444441"/>
        <rFont val="Noto Sans CJK SC"/>
        <family val="2"/>
      </rPr>
      <t>矛盾筆數</t>
    </r>
  </si>
  <si>
    <t>單一設備依賴筆數</t>
  </si>
  <si>
    <t>免調理半成品筆數</t>
  </si>
  <si>
    <t>商品分類分布</t>
  </si>
  <si>
    <t>分類</t>
  </si>
  <si>
    <t>品項數</t>
  </si>
  <si>
    <t>品項佔比</t>
  </si>
  <si>
    <t>半成品筆數</t>
  </si>
  <si>
    <t>半成品佔比</t>
  </si>
  <si>
    <t>18℃</t>
  </si>
  <si>
    <r>
      <rPr>
        <sz val="10"/>
        <color rgb="FF444441"/>
        <rFont val="微軟正黑體"/>
        <family val="2"/>
        <charset val="136"/>
      </rPr>
      <t>4℃</t>
    </r>
    <r>
      <rPr>
        <sz val="10"/>
        <color rgb="FF444441"/>
        <rFont val="Noto Sans CJK SC"/>
        <family val="2"/>
      </rPr>
      <t>飯</t>
    </r>
  </si>
  <si>
    <r>
      <rPr>
        <sz val="10"/>
        <color rgb="FF444441"/>
        <rFont val="微軟正黑體"/>
        <family val="2"/>
        <charset val="136"/>
      </rPr>
      <t>4℃</t>
    </r>
    <r>
      <rPr>
        <sz val="10"/>
        <color rgb="FF444441"/>
        <rFont val="Noto Sans CJK SC"/>
        <family val="2"/>
      </rPr>
      <t>麵</t>
    </r>
  </si>
  <si>
    <r>
      <rPr>
        <sz val="10"/>
        <color rgb="FF444441"/>
        <rFont val="微軟正黑體"/>
        <family val="2"/>
        <charset val="136"/>
      </rPr>
      <t>4℃</t>
    </r>
    <r>
      <rPr>
        <sz val="10"/>
        <color rgb="FF444441"/>
        <rFont val="Noto Sans CJK SC"/>
        <family val="2"/>
      </rPr>
      <t>其他</t>
    </r>
  </si>
  <si>
    <t>冷凍品</t>
  </si>
  <si>
    <t>合計</t>
  </si>
  <si>
    <t>商品目錄（自動列出各分頁不重複品項，勿手動修改）</t>
  </si>
  <si>
    <r>
      <rPr>
        <b/>
        <sz val="11"/>
        <color rgb="FFFFFFFF"/>
        <rFont val="微軟正黑體"/>
        <family val="2"/>
        <charset val="136"/>
      </rPr>
      <t>4℃</t>
    </r>
    <r>
      <rPr>
        <b/>
        <sz val="11"/>
        <color rgb="FFFFFFFF"/>
        <rFont val="Noto Sans CJK SC"/>
        <family val="2"/>
      </rPr>
      <t>飯</t>
    </r>
  </si>
  <si>
    <r>
      <rPr>
        <b/>
        <sz val="11"/>
        <color rgb="FFFFFFFF"/>
        <rFont val="微軟正黑體"/>
        <family val="2"/>
        <charset val="136"/>
      </rPr>
      <t>4℃</t>
    </r>
    <r>
      <rPr>
        <b/>
        <sz val="11"/>
        <color rgb="FFFFFFFF"/>
        <rFont val="Noto Sans CJK SC"/>
        <family val="2"/>
      </rPr>
      <t>麵</t>
    </r>
  </si>
  <si>
    <r>
      <rPr>
        <b/>
        <sz val="11"/>
        <color rgb="FFFFFFFF"/>
        <rFont val="微軟正黑體"/>
        <family val="2"/>
        <charset val="136"/>
      </rPr>
      <t>4℃</t>
    </r>
    <r>
      <rPr>
        <b/>
        <sz val="11"/>
        <color rgb="FFFFFFFF"/>
        <rFont val="Noto Sans CJK SC"/>
        <family val="2"/>
      </rPr>
      <t>其他</t>
    </r>
  </si>
  <si>
    <t>商品半成品與調理設備應用展開一覽表｜填寫說明</t>
  </si>
  <si>
    <t>目的</t>
  </si>
  <si>
    <t>盤點本廠商品之半成品組成，及各半成品應用之熱調理設備，據以掌握設備應用狀態（初步以「應用半成品數」衡量），並透過風險示警提前辨識設備依賴集中與資料缺漏。本檔為單一工廠使用，每廠一檔。</t>
  </si>
  <si>
    <t>工作表結構</t>
  </si>
  <si>
    <t>分頁歸類原則</t>
  </si>
  <si>
    <t>風險示警邏輯</t>
  </si>
  <si>
    <t>⚠ 資料缺漏（紅）</t>
  </si>
  <si>
    <t>⚠ 勾選矛盾（紅）</t>
  </si>
  <si>
    <t>同時勾選「無使用調理設備」與任一設備欄 → 邏輯矛盾，請擇一修正。</t>
  </si>
  <si>
    <t>▲ 單一設備依賴（黃）</t>
  </si>
  <si>
    <t>○ 免調理（灰藍）</t>
  </si>
  <si>
    <t>已確認不使用任何調理設備之半成品，不列入設備風險評估。</t>
  </si>
  <si>
    <t>設備依賴集中（統計分頁）</t>
  </si>
  <si>
    <t>資料來源建議</t>
  </si>
  <si>
    <t>半成品組成依本廠指示書（規格書）版本填寫，請於「備註」欄註記指示書編號與版本日期，以利追溯與稽核。</t>
  </si>
  <si>
    <r>
      <rPr>
        <b/>
        <sz val="18"/>
        <color rgb="FFFFFFFF"/>
        <rFont val="Noto Sans CJK SC"/>
        <family val="2"/>
      </rPr>
      <t>商品半成品與調理設備應用展開一覽表｜</t>
    </r>
    <r>
      <rPr>
        <b/>
        <sz val="18"/>
        <color rgb="FFFFFFFF"/>
        <rFont val="微軟正黑體"/>
        <family val="2"/>
        <charset val="136"/>
      </rPr>
      <t>18℃</t>
    </r>
  </si>
  <si>
    <t>商品資訊</t>
  </si>
  <si>
    <r>
      <rPr>
        <b/>
        <sz val="12"/>
        <color rgb="FF444441"/>
        <rFont val="Noto Sans CJK SC"/>
        <family val="2"/>
      </rPr>
      <t>熱調理區（使用者填「</t>
    </r>
    <r>
      <rPr>
        <b/>
        <sz val="12"/>
        <color rgb="FF444441"/>
        <rFont val="微軟正黑體"/>
        <family val="2"/>
        <charset val="136"/>
      </rPr>
      <t>V</t>
    </r>
    <r>
      <rPr>
        <b/>
        <sz val="12"/>
        <color rgb="FF444441"/>
        <rFont val="Noto Sans CJK SC"/>
        <family val="2"/>
      </rPr>
      <t>」；免調理者勾最右欄）</t>
    </r>
  </si>
  <si>
    <t>自動計算與風險檢核（勿手動修改）</t>
  </si>
  <si>
    <t>建檔資訊（手填）</t>
  </si>
  <si>
    <t>工廠</t>
  </si>
  <si>
    <r>
      <rPr>
        <b/>
        <sz val="12"/>
        <color rgb="FFFFFFFF"/>
        <rFont val="Noto Sans CJK SC"/>
        <family val="2"/>
      </rPr>
      <t xml:space="preserve">商品分類
</t>
    </r>
    <r>
      <rPr>
        <b/>
        <sz val="12"/>
        <color rgb="FFFFFFFF"/>
        <rFont val="微軟正黑體"/>
        <family val="2"/>
        <charset val="136"/>
      </rPr>
      <t>(</t>
    </r>
    <r>
      <rPr>
        <b/>
        <sz val="12"/>
        <color rgb="FFFFFFFF"/>
        <rFont val="Noto Sans CJK SC"/>
        <family val="2"/>
      </rPr>
      <t>細分品類</t>
    </r>
    <r>
      <rPr>
        <b/>
        <sz val="12"/>
        <color rgb="FFFFFFFF"/>
        <rFont val="微軟正黑體"/>
        <family val="2"/>
        <charset val="136"/>
      </rPr>
      <t>)</t>
    </r>
  </si>
  <si>
    <t>商品名稱</t>
  </si>
  <si>
    <t>半成品名稱</t>
  </si>
  <si>
    <t>單位用量</t>
  </si>
  <si>
    <r>
      <rPr>
        <b/>
        <sz val="12"/>
        <color rgb="FFFFFFFF"/>
        <rFont val="Noto Sans CJK SC"/>
        <family val="2"/>
      </rPr>
      <t xml:space="preserve">製程率
</t>
    </r>
    <r>
      <rPr>
        <b/>
        <sz val="12"/>
        <color rgb="FFFFFFFF"/>
        <rFont val="微軟正黑體"/>
        <family val="2"/>
        <charset val="136"/>
      </rPr>
      <t>(</t>
    </r>
    <r>
      <rPr>
        <b/>
        <sz val="12"/>
        <color rgb="FFFFFFFF"/>
        <rFont val="Noto Sans CJK SC"/>
        <family val="2"/>
      </rPr>
      <t>填數字</t>
    </r>
    <r>
      <rPr>
        <b/>
        <sz val="12"/>
        <color rgb="FFFFFFFF"/>
        <rFont val="微軟正黑體"/>
        <family val="2"/>
        <charset val="136"/>
      </rPr>
      <t>)</t>
    </r>
  </si>
  <si>
    <t>炊飯</t>
  </si>
  <si>
    <t>煮麵</t>
  </si>
  <si>
    <t>烤箱</t>
  </si>
  <si>
    <t>炙燒</t>
  </si>
  <si>
    <t>蒸箱</t>
  </si>
  <si>
    <t>油炸機</t>
  </si>
  <si>
    <t>二重釜</t>
  </si>
  <si>
    <r>
      <rPr>
        <b/>
        <sz val="11"/>
        <color rgb="FFFFFFFF"/>
        <rFont val="Noto Sans CJK SC"/>
        <family val="2"/>
      </rPr>
      <t xml:space="preserve">平釜
</t>
    </r>
    <r>
      <rPr>
        <b/>
        <sz val="11"/>
        <color rgb="FFFFFFFF"/>
        <rFont val="微軟正黑體"/>
        <family val="2"/>
        <charset val="136"/>
      </rPr>
      <t>(</t>
    </r>
    <r>
      <rPr>
        <b/>
        <sz val="11"/>
        <color rgb="FFFFFFFF"/>
        <rFont val="Noto Sans CJK SC"/>
        <family val="2"/>
      </rPr>
      <t>日</t>
    </r>
    <r>
      <rPr>
        <b/>
        <sz val="11"/>
        <color rgb="FFFFFFFF"/>
        <rFont val="微軟正黑體"/>
        <family val="2"/>
        <charset val="136"/>
      </rPr>
      <t>)</t>
    </r>
  </si>
  <si>
    <r>
      <rPr>
        <b/>
        <sz val="11"/>
        <color rgb="FFFFFFFF"/>
        <rFont val="Noto Sans CJK SC"/>
        <family val="2"/>
      </rPr>
      <t xml:space="preserve">平釜
</t>
    </r>
    <r>
      <rPr>
        <b/>
        <sz val="11"/>
        <color rgb="FFFFFFFF"/>
        <rFont val="微軟正黑體"/>
        <family val="2"/>
        <charset val="136"/>
      </rPr>
      <t>(</t>
    </r>
    <r>
      <rPr>
        <b/>
        <sz val="11"/>
        <color rgb="FFFFFFFF"/>
        <rFont val="Noto Sans CJK SC"/>
        <family val="2"/>
      </rPr>
      <t>台</t>
    </r>
    <r>
      <rPr>
        <b/>
        <sz val="11"/>
        <color rgb="FFFFFFFF"/>
        <rFont val="微軟正黑體"/>
        <family val="2"/>
        <charset val="136"/>
      </rPr>
      <t>)</t>
    </r>
  </si>
  <si>
    <t>蛋皮機</t>
  </si>
  <si>
    <t>壓力鍋</t>
  </si>
  <si>
    <t>無使用
調理設備</t>
  </si>
  <si>
    <t>使用
設備數</t>
  </si>
  <si>
    <t>檢核結果</t>
  </si>
  <si>
    <t>風險說明</t>
  </si>
  <si>
    <r>
      <rPr>
        <b/>
        <sz val="12"/>
        <color rgb="FFFFFFFF"/>
        <rFont val="Noto Sans CJK SC"/>
        <family val="2"/>
      </rPr>
      <t xml:space="preserve">備註
</t>
    </r>
    <r>
      <rPr>
        <b/>
        <sz val="12"/>
        <color rgb="FFFFFFFF"/>
        <rFont val="微軟正黑體"/>
        <family val="2"/>
        <charset val="136"/>
      </rPr>
      <t>(</t>
    </r>
    <r>
      <rPr>
        <b/>
        <sz val="12"/>
        <color rgb="FFFFFFFF"/>
        <rFont val="Noto Sans CJK SC"/>
        <family val="2"/>
      </rPr>
      <t>指示書編號</t>
    </r>
    <r>
      <rPr>
        <b/>
        <sz val="12"/>
        <color rgb="FFFFFFFF"/>
        <rFont val="微軟正黑體"/>
        <family val="2"/>
        <charset val="136"/>
      </rPr>
      <t>/</t>
    </r>
    <r>
      <rPr>
        <b/>
        <sz val="12"/>
        <color rgb="FFFFFFFF"/>
        <rFont val="Noto Sans CJK SC"/>
        <family val="2"/>
      </rPr>
      <t>版本</t>
    </r>
    <r>
      <rPr>
        <b/>
        <sz val="12"/>
        <color rgb="FFFFFFFF"/>
        <rFont val="微軟正黑體"/>
        <family val="2"/>
        <charset val="136"/>
      </rPr>
      <t>)</t>
    </r>
  </si>
  <si>
    <t>建檔人員</t>
  </si>
  <si>
    <r>
      <rPr>
        <sz val="8"/>
        <color rgb="FF808080"/>
        <rFont val="Noto Sans CJK SC"/>
        <family val="2"/>
      </rPr>
      <t>系統用</t>
    </r>
    <r>
      <rPr>
        <sz val="8"/>
        <color rgb="FF808080"/>
        <rFont val="微軟正黑體"/>
        <family val="2"/>
        <charset val="136"/>
      </rPr>
      <t>Y</t>
    </r>
  </si>
  <si>
    <r>
      <rPr>
        <sz val="8"/>
        <color rgb="FF808080"/>
        <rFont val="Noto Sans CJK SC"/>
        <family val="2"/>
      </rPr>
      <t>系統用</t>
    </r>
    <r>
      <rPr>
        <sz val="8"/>
        <color rgb="FF808080"/>
        <rFont val="微軟正黑體"/>
        <family val="2"/>
        <charset val="136"/>
      </rPr>
      <t>Z</t>
    </r>
  </si>
  <si>
    <t>數值</t>
  </si>
  <si>
    <t>單位</t>
  </si>
  <si>
    <t>V</t>
  </si>
  <si>
    <t>個</t>
  </si>
  <si>
    <r>
      <rPr>
        <b/>
        <sz val="18"/>
        <color rgb="FFFFFFFF"/>
        <rFont val="Noto Sans CJK SC"/>
        <family val="2"/>
      </rPr>
      <t>商品半成品與調理設備應用展開一覽表｜</t>
    </r>
    <r>
      <rPr>
        <b/>
        <sz val="18"/>
        <color rgb="FFFFFFFF"/>
        <rFont val="微軟正黑體"/>
        <family val="2"/>
        <charset val="136"/>
      </rPr>
      <t>4℃</t>
    </r>
    <r>
      <rPr>
        <b/>
        <sz val="18"/>
        <color rgb="FFFFFFFF"/>
        <rFont val="Noto Sans CJK SC"/>
        <family val="2"/>
      </rPr>
      <t>麵</t>
    </r>
  </si>
  <si>
    <r>
      <rPr>
        <b/>
        <sz val="18"/>
        <color rgb="FFFFFFFF"/>
        <rFont val="Noto Sans CJK SC"/>
        <family val="2"/>
      </rPr>
      <t>商品半成品與調理設備應用展開一覽表｜</t>
    </r>
    <r>
      <rPr>
        <b/>
        <sz val="18"/>
        <color rgb="FFFFFFFF"/>
        <rFont val="微軟正黑體"/>
        <family val="2"/>
        <charset val="136"/>
      </rPr>
      <t>4℃</t>
    </r>
    <r>
      <rPr>
        <b/>
        <sz val="18"/>
        <color rgb="FFFFFFFF"/>
        <rFont val="Noto Sans CJK SC"/>
        <family val="2"/>
      </rPr>
      <t>其他</t>
    </r>
  </si>
  <si>
    <t>商品半成品與調理設備應用展開一覽表｜冷凍品</t>
  </si>
  <si>
    <t>設備應用統計與風險示警（自動跨分頁彙總，僅藍字參數可調整）</t>
  </si>
  <si>
    <t>風險門檻參數</t>
  </si>
  <si>
    <t>高依賴門檻（佔比 ≥）</t>
  </si>
  <si>
    <r>
      <rPr>
        <sz val="9"/>
        <color rgb="FF808080"/>
        <rFont val="Noto Sans CJK SC"/>
        <family val="2"/>
      </rPr>
      <t>應用半成品數佔全部（五分頁合計）比重達此值 → 高依賴</t>
    </r>
    <r>
      <rPr>
        <sz val="9"/>
        <color rgb="FF808080"/>
        <rFont val="微軟正黑體"/>
        <family val="2"/>
        <charset val="136"/>
      </rPr>
      <t>(</t>
    </r>
    <r>
      <rPr>
        <sz val="9"/>
        <color rgb="FF808080"/>
        <rFont val="Noto Sans CJK SC"/>
        <family val="2"/>
      </rPr>
      <t>紅</t>
    </r>
    <r>
      <rPr>
        <sz val="9"/>
        <color rgb="FF808080"/>
        <rFont val="微軟正黑體"/>
        <family val="2"/>
        <charset val="136"/>
      </rPr>
      <t>)</t>
    </r>
  </si>
  <si>
    <t>中度關注門檻（佔比 ≥）</t>
  </si>
  <si>
    <r>
      <rPr>
        <sz val="9"/>
        <color rgb="FF808080"/>
        <rFont val="Noto Sans CJK SC"/>
        <family val="2"/>
      </rPr>
      <t>達此值 → 中度關注</t>
    </r>
    <r>
      <rPr>
        <sz val="9"/>
        <color rgb="FF808080"/>
        <rFont val="微軟正黑體"/>
        <family val="2"/>
        <charset val="136"/>
      </rPr>
      <t>(</t>
    </r>
    <r>
      <rPr>
        <sz val="9"/>
        <color rgb="FF808080"/>
        <rFont val="Noto Sans CJK SC"/>
        <family val="2"/>
      </rPr>
      <t>黃</t>
    </r>
    <r>
      <rPr>
        <sz val="9"/>
        <color rgb="FF808080"/>
        <rFont val="微軟正黑體"/>
        <family val="2"/>
        <charset val="136"/>
      </rPr>
      <t>)</t>
    </r>
  </si>
  <si>
    <t>低使用門檻（半成品數 ≤）</t>
  </si>
  <si>
    <r>
      <rPr>
        <sz val="9"/>
        <color rgb="FF808080"/>
        <rFont val="Noto Sans CJK SC"/>
        <family val="2"/>
      </rPr>
      <t>應用數為此值以下 → 閒置確認</t>
    </r>
    <r>
      <rPr>
        <sz val="9"/>
        <color rgb="FF808080"/>
        <rFont val="微軟正黑體"/>
        <family val="2"/>
        <charset val="136"/>
      </rPr>
      <t>(</t>
    </r>
    <r>
      <rPr>
        <sz val="9"/>
        <color rgb="FF808080"/>
        <rFont val="Noto Sans CJK SC"/>
        <family val="2"/>
      </rPr>
      <t>灰</t>
    </r>
    <r>
      <rPr>
        <sz val="9"/>
        <color rgb="FF808080"/>
        <rFont val="微軟正黑體"/>
        <family val="2"/>
        <charset val="136"/>
      </rPr>
      <t>)</t>
    </r>
  </si>
  <si>
    <t>各分頁半成品筆數與資料品質</t>
  </si>
  <si>
    <r>
      <rPr>
        <b/>
        <sz val="10"/>
        <color rgb="FFFFFFFF"/>
        <rFont val="微軟正黑體"/>
        <family val="2"/>
        <charset val="136"/>
      </rPr>
      <t>4℃</t>
    </r>
    <r>
      <rPr>
        <b/>
        <sz val="10"/>
        <color rgb="FFFFFFFF"/>
        <rFont val="Noto Sans CJK SC"/>
        <family val="2"/>
      </rPr>
      <t>飯</t>
    </r>
  </si>
  <si>
    <r>
      <rPr>
        <b/>
        <sz val="10"/>
        <color rgb="FFFFFFFF"/>
        <rFont val="微軟正黑體"/>
        <family val="2"/>
        <charset val="136"/>
      </rPr>
      <t>4℃</t>
    </r>
    <r>
      <rPr>
        <b/>
        <sz val="10"/>
        <color rgb="FFFFFFFF"/>
        <rFont val="Noto Sans CJK SC"/>
        <family val="2"/>
      </rPr>
      <t>麵</t>
    </r>
  </si>
  <si>
    <r>
      <rPr>
        <b/>
        <sz val="10"/>
        <color rgb="FFFFFFFF"/>
        <rFont val="微軟正黑體"/>
        <family val="2"/>
        <charset val="136"/>
      </rPr>
      <t>4℃</t>
    </r>
    <r>
      <rPr>
        <b/>
        <sz val="10"/>
        <color rgb="FFFFFFFF"/>
        <rFont val="Noto Sans CJK SC"/>
        <family val="2"/>
      </rPr>
      <t>其他</t>
    </r>
  </si>
  <si>
    <t>資料缺漏筆數</t>
  </si>
  <si>
    <t>勾選矛盾筆數</t>
  </si>
  <si>
    <t>免調理筆數</t>
  </si>
  <si>
    <r>
      <rPr>
        <b/>
        <sz val="11"/>
        <color rgb="FF444441"/>
        <rFont val="Noto Sans CJK SC"/>
        <family val="2"/>
      </rPr>
      <t xml:space="preserve">設備 </t>
    </r>
    <r>
      <rPr>
        <b/>
        <sz val="11"/>
        <color rgb="FF444441"/>
        <rFont val="微軟正黑體"/>
        <family val="2"/>
        <charset val="136"/>
      </rPr>
      <t xml:space="preserve">× </t>
    </r>
    <r>
      <rPr>
        <b/>
        <sz val="11"/>
        <color rgb="FF444441"/>
        <rFont val="Noto Sans CJK SC"/>
        <family val="2"/>
      </rPr>
      <t>分類 應用半成品數交叉統計與風險示警</t>
    </r>
  </si>
  <si>
    <t>設備名稱</t>
  </si>
  <si>
    <t>佔全部比重</t>
  </si>
  <si>
    <t>風險等級</t>
  </si>
  <si>
    <r>
      <rPr>
        <b/>
        <sz val="10"/>
        <color rgb="FFFFFFFF"/>
        <rFont val="Noto Sans CJK SC"/>
        <family val="2"/>
      </rPr>
      <t xml:space="preserve">風險說明 </t>
    </r>
    <r>
      <rPr>
        <b/>
        <sz val="10"/>
        <color rgb="FFFFFFFF"/>
        <rFont val="微軟正黑體"/>
        <family val="2"/>
        <charset val="136"/>
      </rPr>
      <t xml:space="preserve">/ </t>
    </r>
    <r>
      <rPr>
        <b/>
        <sz val="10"/>
        <color rgb="FFFFFFFF"/>
        <rFont val="Noto Sans CJK SC"/>
        <family val="2"/>
      </rPr>
      <t>建議行動</t>
    </r>
  </si>
  <si>
    <r>
      <rPr>
        <sz val="10"/>
        <color rgb="FF444441"/>
        <rFont val="Noto Sans CJK SC"/>
        <family val="2"/>
      </rPr>
      <t>平釜</t>
    </r>
    <r>
      <rPr>
        <sz val="10"/>
        <color rgb="FF444441"/>
        <rFont val="微軟正黑體"/>
        <family val="2"/>
        <charset val="136"/>
      </rPr>
      <t>(</t>
    </r>
    <r>
      <rPr>
        <sz val="10"/>
        <color rgb="FF444441"/>
        <rFont val="Noto Sans CJK SC"/>
        <family val="2"/>
      </rPr>
      <t>日</t>
    </r>
    <r>
      <rPr>
        <sz val="10"/>
        <color rgb="FF444441"/>
        <rFont val="微軟正黑體"/>
        <family val="2"/>
        <charset val="136"/>
      </rPr>
      <t>)</t>
    </r>
  </si>
  <si>
    <r>
      <rPr>
        <sz val="10"/>
        <color rgb="FF444441"/>
        <rFont val="Noto Sans CJK SC"/>
        <family val="2"/>
      </rPr>
      <t>平釜</t>
    </r>
    <r>
      <rPr>
        <sz val="10"/>
        <color rgb="FF444441"/>
        <rFont val="微軟正黑體"/>
        <family val="2"/>
        <charset val="136"/>
      </rPr>
      <t>(</t>
    </r>
    <r>
      <rPr>
        <sz val="10"/>
        <color rgb="FF444441"/>
        <rFont val="Noto Sans CJK SC"/>
        <family val="2"/>
      </rPr>
      <t>台</t>
    </r>
    <r>
      <rPr>
        <sz val="10"/>
        <color rgb="FF444441"/>
        <rFont val="微軟正黑體"/>
        <family val="2"/>
        <charset val="136"/>
      </rPr>
      <t>)</t>
    </r>
  </si>
  <si>
    <t>無使用調理設備</t>
  </si>
  <si>
    <t>—</t>
  </si>
  <si>
    <r>
      <rPr>
        <sz val="9"/>
        <color rgb="FF444441"/>
        <rFont val="Noto Sans CJK SC"/>
        <family val="2"/>
      </rPr>
      <t>免調理半成品（外購</t>
    </r>
    <r>
      <rPr>
        <sz val="9"/>
        <color rgb="FF444441"/>
        <rFont val="微軟正黑體"/>
        <family val="2"/>
        <charset val="136"/>
      </rPr>
      <t>/</t>
    </r>
    <r>
      <rPr>
        <sz val="9"/>
        <color rgb="FF444441"/>
        <rFont val="Noto Sans CJK SC"/>
        <family val="2"/>
      </rPr>
      <t>僅切配等），不列入設備風險評估</t>
    </r>
  </si>
  <si>
    <t>填寫字體規範「微軟正黑體」，字體大小「10」號</t>
    <phoneticPr fontId="27" type="noConversion"/>
  </si>
  <si>
    <t>商品依販售溫層與品類歸入對應分頁；同一商品的所有半成品填在同一分頁。分頁內的「商品分類」欄可再填細分品類（如飯糰、壽司、便當、涼麵、甜點等）。</t>
    <phoneticPr fontId="27" type="noConversion"/>
  </si>
  <si>
    <t>填寫規則 1</t>
  </si>
  <si>
    <t>填寫規則 2</t>
  </si>
  <si>
    <t>每一列代表「一個商品 × 一項半成品」。同一商品有 3 項半成品即填 3 列，且每列的工廠、商品名稱都要填（勿留空、勿合併儲存格），統計公式才能正確計算。</t>
  </si>
  <si>
    <t>填寫規則 3</t>
  </si>
  <si>
    <t>填寫規則 4</t>
  </si>
  <si>
    <t>單位用量分兩欄：「數值」填數字、「單位」下拉選公克或個。製程率直接填數字（如 92），系統自動顯示為 92%。尚未確認者可先留白，不影響設備統計。</t>
  </si>
  <si>
    <t>填寫規則 5</t>
  </si>
  <si>
    <t>填寫規則 6</t>
    <phoneticPr fontId="27" type="noConversion"/>
  </si>
  <si>
    <t>門檻可於「設備應用統計」C3:C5 藍字儲存格調整。檢核結果共五種狀態：</t>
  </si>
  <si>
    <t>半成品已填名稱，但 11 個設備欄與「無使用調理設備」皆未勾選 → 須補填，或確認為免調理並勾選「無使用調理設備」。</t>
  </si>
  <si>
    <t>半成品僅使用 1 台設備 → 該設備故障或排修時無替代製程，須確認備援方案。</t>
  </si>
  <si>
    <r>
      <t>應用半成品數 ÷ 全部半成品數（五分頁合計）</t>
    </r>
    <r>
      <rPr>
        <sz val="10"/>
        <color rgb="FF444441"/>
        <rFont val="Noto Sans CJK SC"/>
        <family val="2"/>
      </rPr>
      <t>≥</t>
    </r>
    <r>
      <rPr>
        <sz val="10"/>
        <color rgb="FF444441"/>
        <rFont val="微軟正黑體"/>
        <family val="2"/>
        <charset val="136"/>
      </rPr>
      <t xml:space="preserve"> 30% → 高依賴（紅）；</t>
    </r>
    <r>
      <rPr>
        <sz val="10"/>
        <color rgb="FF444441"/>
        <rFont val="Noto Sans CJK SC"/>
        <family val="2"/>
      </rPr>
      <t>≥</t>
    </r>
    <r>
      <rPr>
        <sz val="10"/>
        <color rgb="FF444441"/>
        <rFont val="微軟正黑體"/>
        <family val="2"/>
        <charset val="136"/>
      </rPr>
      <t xml:space="preserve"> 15% → 中度關注（黃）；= 0 → 閒置確認（灰）；其餘正常（綠）。</t>
    </r>
  </si>
  <si>
    <t>厚蛋時蔬握沙拉</t>
    <phoneticPr fontId="27" type="noConversion"/>
  </si>
  <si>
    <t>墨西哥餅皮-蕃茄(8英吋)新</t>
  </si>
  <si>
    <t>肯瓊醬(115.04)</t>
  </si>
  <si>
    <t>電解消毒三色高麗菜絲</t>
  </si>
  <si>
    <t>電解消毒切段美生菜2-3cm</t>
  </si>
  <si>
    <t>莎莎烤雞麵沙拉</t>
    <phoneticPr fontId="27" type="noConversion"/>
  </si>
  <si>
    <t>辣番茄莎莎醬(115.06)</t>
  </si>
  <si>
    <t>香雞蛋堡</t>
    <phoneticPr fontId="27" type="noConversion"/>
  </si>
  <si>
    <t>全熟香雞堡CL(全)</t>
  </si>
  <si>
    <t>烤太陽蛋(112年)</t>
  </si>
  <si>
    <t>拌法式芥末沙拉醬(112年)</t>
  </si>
  <si>
    <t>剝皮辣椒雞湯</t>
    <phoneticPr fontId="27" type="noConversion"/>
  </si>
  <si>
    <t>蒸剝皮辣椒雞湯(112年)</t>
  </si>
  <si>
    <t>四吋芝麻漢堡</t>
  </si>
  <si>
    <t>潔淨切達芝士片</t>
  </si>
  <si>
    <t>酸黃瓜碎(新)</t>
  </si>
  <si>
    <t>烤牛肉餅(CL)</t>
  </si>
  <si>
    <t>111年自製茄汁醬</t>
  </si>
  <si>
    <t>青檸烤雞握沙拉</t>
    <phoneticPr fontId="27" type="noConversion"/>
  </si>
  <si>
    <t>自製醬燒醬汁(109.05)</t>
  </si>
  <si>
    <t>台式麻醬涼麵</t>
    <phoneticPr fontId="27" type="noConversion"/>
  </si>
  <si>
    <t>2024台式醬油包</t>
  </si>
  <si>
    <t>火腿起司蛋三明治</t>
    <phoneticPr fontId="27" type="noConversion"/>
  </si>
  <si>
    <t>福比(自動)去皮CL白土司15mm</t>
  </si>
  <si>
    <t>對切烤三明治蛋皮(113.04)</t>
  </si>
  <si>
    <t>奶油霜(火腿起司)</t>
  </si>
  <si>
    <t>潔淨高鈣芝士片</t>
  </si>
  <si>
    <t>青醬優格雞肉握沙拉</t>
    <phoneticPr fontId="27" type="noConversion"/>
  </si>
  <si>
    <t>蒸紫米薏仁</t>
  </si>
  <si>
    <t>蒸基礎風味雞肉絲</t>
  </si>
  <si>
    <t>蔥鹽雞肉麵沙拉</t>
    <phoneticPr fontId="27" type="noConversion"/>
  </si>
  <si>
    <t>煮單色彎管麵(沙拉用)</t>
  </si>
  <si>
    <t>豬肉起司堡</t>
    <phoneticPr fontId="27" type="noConversion"/>
  </si>
  <si>
    <t>烤豬肉餅(CL)</t>
  </si>
  <si>
    <t>豬肉起司蛋堡</t>
    <phoneticPr fontId="27" type="noConversion"/>
  </si>
  <si>
    <t>烤厚蛋片(新加玻)</t>
  </si>
  <si>
    <t>美式雞腿堡</t>
    <phoneticPr fontId="27" type="noConversion"/>
  </si>
  <si>
    <t>義美4吋芝麻漢堡</t>
  </si>
  <si>
    <t>美式沙拉醬(114.07)</t>
  </si>
  <si>
    <t>炸原味雞腿排</t>
  </si>
  <si>
    <t>紐奧良風味烤雞鮮蔬三明治</t>
    <phoneticPr fontId="27" type="noConversion"/>
  </si>
  <si>
    <t>去皮Q土司15mm</t>
  </si>
  <si>
    <t>烤卜蜂紐奧良腿排(減鈉版)</t>
  </si>
  <si>
    <t>紐奧良抹醬(113.04)</t>
  </si>
  <si>
    <t>電解消毒十字切美生菜</t>
  </si>
  <si>
    <t>厚豆腐蛋白蕈菇豬肉堡</t>
    <phoneticPr fontId="27" type="noConversion"/>
  </si>
  <si>
    <t>烤豆腐蛋白片</t>
  </si>
  <si>
    <t>炒洋菇片(114.10)</t>
  </si>
  <si>
    <t>經典火腿玉米蛋三明治</t>
    <phoneticPr fontId="27" type="noConversion"/>
  </si>
  <si>
    <t>福比(自動)去皮CL白土司12mm</t>
  </si>
  <si>
    <t>烤玉米蛋(114年)</t>
  </si>
  <si>
    <t>雞蛋沙拉三明治</t>
    <phoneticPr fontId="27" type="noConversion"/>
  </si>
  <si>
    <t>雞蛋沙拉C1</t>
  </si>
  <si>
    <t>蒸香菇雞湯</t>
  </si>
  <si>
    <t>三角對切潔淨切達芝士片</t>
  </si>
  <si>
    <t>黃金魚堡(114年)</t>
  </si>
  <si>
    <t>炸魚排</t>
  </si>
  <si>
    <t>塔塔醬(115.01)</t>
  </si>
  <si>
    <t>鰹魚烏龍冷麵</t>
  </si>
  <si>
    <t>(V)電解消毒小黃瓜絲</t>
  </si>
  <si>
    <t>F-2026日式烏龍醬汁</t>
  </si>
  <si>
    <t>肉鬆火腿三明治(115年)</t>
  </si>
  <si>
    <t>去皮Q土司14mm</t>
  </si>
  <si>
    <t>電解消毒美生菜(三明治用)</t>
  </si>
  <si>
    <t>切新重煙燻火腿0.9mm</t>
  </si>
  <si>
    <t>拌肉鬆(114.01)</t>
  </si>
  <si>
    <t>拌總匯雞蛋沙拉CL(115年)</t>
  </si>
  <si>
    <t>醬燒烤雞三明治(115年)</t>
  </si>
  <si>
    <t>自製醬燒醬汁(109.03)</t>
  </si>
  <si>
    <t>10切烤法式棒腿排CL</t>
  </si>
  <si>
    <t>32切烤法式棒腿排CL</t>
  </si>
  <si>
    <t>好多蛋三明治</t>
  </si>
  <si>
    <t>拌芥末雞蛋沙拉(115.03)</t>
  </si>
  <si>
    <t>溏心蛋整顆切片</t>
  </si>
  <si>
    <t>茄汁沙拉醬(108年版)</t>
  </si>
  <si>
    <t>拌總匯鮪魚沙拉CL(115年)</t>
  </si>
  <si>
    <t>經典總匯三明治(115年)</t>
  </si>
  <si>
    <t>鮪魚起司溏心蛋三明治(115年)</t>
  </si>
  <si>
    <t>鮪魚沙拉(115.05)</t>
  </si>
  <si>
    <t>榛果摩卡脆脆三明治</t>
  </si>
  <si>
    <t>福比(自動)去皮CL白土司14mm</t>
  </si>
  <si>
    <t>混拌可可醬</t>
  </si>
  <si>
    <t>咖啡奶霜</t>
  </si>
  <si>
    <t>茄汁厚起司三明治</t>
  </si>
  <si>
    <t>去皮Q土司10mm</t>
  </si>
  <si>
    <t>瘋狂奶油起司(115年)</t>
  </si>
  <si>
    <t>切三明治火腿B5"1mm</t>
  </si>
  <si>
    <t>烤紅醬土司(115年)</t>
  </si>
  <si>
    <t>新摩佐起司片(75片)106年</t>
  </si>
  <si>
    <t>紅切達起司片(84片)106年</t>
  </si>
  <si>
    <t>地瓜瓜握沙拉</t>
  </si>
  <si>
    <t>胡麻沙拉醬(114.07)</t>
  </si>
  <si>
    <t>(V)電解消毒紫高麗菜絲</t>
  </si>
  <si>
    <t>調製地瓜泥</t>
  </si>
  <si>
    <t>起司芋見肉鬆三明治</t>
  </si>
  <si>
    <t>炒肉鬆餡料(115.06)</t>
  </si>
  <si>
    <t>115年自製芋頭餡</t>
  </si>
  <si>
    <t>五彩鮮蔬三明治</t>
  </si>
  <si>
    <t>去皮小麥胚芽豆渣吐司-12mm</t>
  </si>
  <si>
    <t>核桃碎</t>
  </si>
  <si>
    <t>電解消毒牛蕃茄切片(中)(個)</t>
  </si>
  <si>
    <t>金黃玉米蛋三明治</t>
  </si>
  <si>
    <t>拌玉米雞蛋沙拉</t>
  </si>
  <si>
    <t>烤綠巨人玉米蛋</t>
  </si>
  <si>
    <t>水果聖代三明治</t>
  </si>
  <si>
    <t>去皮巧克力土司12mm</t>
  </si>
  <si>
    <t>鐵觀音奶霜</t>
  </si>
  <si>
    <t>6切電解消毒去皮奇異果</t>
  </si>
  <si>
    <t>5切水蜜桃</t>
  </si>
  <si>
    <t>瀝水橘子肉瓣</t>
  </si>
  <si>
    <t>瀝水鳳梨角</t>
  </si>
  <si>
    <t>元氣起司鱈魚堡</t>
  </si>
  <si>
    <t>4吋水刀玉米粉漢堡</t>
  </si>
  <si>
    <t>炸挾鱈魚排</t>
  </si>
  <si>
    <t>起司馬泥</t>
  </si>
  <si>
    <t>V</t>
    <phoneticPr fontId="27" type="noConversion"/>
  </si>
  <si>
    <t>V</t>
    <phoneticPr fontId="27" type="noConversion"/>
  </si>
  <si>
    <t>V</t>
    <phoneticPr fontId="27" type="noConversion"/>
  </si>
  <si>
    <t>V</t>
    <phoneticPr fontId="27" type="noConversion"/>
  </si>
  <si>
    <t>V</t>
    <phoneticPr fontId="27" type="noConversion"/>
  </si>
  <si>
    <t>V</t>
    <phoneticPr fontId="27" type="noConversion"/>
  </si>
  <si>
    <t>V</t>
    <phoneticPr fontId="27" type="noConversion"/>
  </si>
  <si>
    <t>V</t>
    <phoneticPr fontId="27" type="noConversion"/>
  </si>
  <si>
    <t>V</t>
    <phoneticPr fontId="27" type="noConversion"/>
  </si>
  <si>
    <t>V</t>
    <phoneticPr fontId="27" type="noConversion"/>
  </si>
  <si>
    <t>V</t>
    <phoneticPr fontId="27" type="noConversion"/>
  </si>
  <si>
    <t>V</t>
    <phoneticPr fontId="27" type="noConversion"/>
  </si>
  <si>
    <t>V</t>
    <phoneticPr fontId="27" type="noConversion"/>
  </si>
  <si>
    <t>V</t>
    <phoneticPr fontId="27" type="noConversion"/>
  </si>
  <si>
    <t>V</t>
    <phoneticPr fontId="27" type="noConversion"/>
  </si>
  <si>
    <t>V</t>
    <phoneticPr fontId="27" type="noConversion"/>
  </si>
  <si>
    <t>V</t>
    <phoneticPr fontId="27" type="noConversion"/>
  </si>
  <si>
    <t>V</t>
    <phoneticPr fontId="27" type="noConversion"/>
  </si>
  <si>
    <t>V</t>
    <phoneticPr fontId="27" type="noConversion"/>
  </si>
  <si>
    <t>V</t>
    <phoneticPr fontId="27" type="noConversion"/>
  </si>
  <si>
    <t>V</t>
    <phoneticPr fontId="27" type="noConversion"/>
  </si>
  <si>
    <t>新豐</t>
  </si>
  <si>
    <t>2022台式麻醬包</t>
  </si>
  <si>
    <t>沙拉</t>
    <phoneticPr fontId="27" type="noConversion"/>
  </si>
  <si>
    <t>V</t>
    <phoneticPr fontId="27" type="noConversion"/>
  </si>
  <si>
    <r>
      <rPr>
        <b/>
        <sz val="12"/>
        <color rgb="FFFFFFFF"/>
        <rFont val="細明體"/>
        <family val="3"/>
        <charset val="136"/>
      </rPr>
      <t xml:space="preserve">備註
</t>
    </r>
    <r>
      <rPr>
        <b/>
        <sz val="12"/>
        <color rgb="FFFFFFFF"/>
        <rFont val="微軟正黑體"/>
        <family val="2"/>
        <charset val="136"/>
      </rPr>
      <t>(</t>
    </r>
    <r>
      <rPr>
        <b/>
        <sz val="12"/>
        <color rgb="FFFFFFFF"/>
        <rFont val="細明體"/>
        <family val="3"/>
        <charset val="136"/>
      </rPr>
      <t>指示書編號</t>
    </r>
    <r>
      <rPr>
        <b/>
        <sz val="12"/>
        <color rgb="FFFFFFFF"/>
        <rFont val="微軟正黑體"/>
        <family val="2"/>
        <charset val="136"/>
      </rPr>
      <t>/</t>
    </r>
    <r>
      <rPr>
        <b/>
        <sz val="12"/>
        <color rgb="FFFFFFFF"/>
        <rFont val="細明體"/>
        <family val="3"/>
        <charset val="136"/>
      </rPr>
      <t>版本</t>
    </r>
    <r>
      <rPr>
        <b/>
        <sz val="12"/>
        <color rgb="FFFFFFFF"/>
        <rFont val="微軟正黑體"/>
        <family val="2"/>
        <charset val="136"/>
      </rPr>
      <t>)</t>
    </r>
    <phoneticPr fontId="27" type="noConversion"/>
  </si>
  <si>
    <t>調理麵包</t>
    <phoneticPr fontId="27" type="noConversion"/>
  </si>
  <si>
    <t>V</t>
    <phoneticPr fontId="27" type="noConversion"/>
  </si>
  <si>
    <t>小吃</t>
    <phoneticPr fontId="27" type="noConversion"/>
  </si>
  <si>
    <t>1120809香雞蛋堡.確認版(16)切換蜂蜜芥末醬、法式芥末籽醬</t>
    <phoneticPr fontId="27" type="noConversion"/>
  </si>
  <si>
    <t>1121122剝皮辣椒雞湯.確認版(7)修改貼標順序</t>
    <phoneticPr fontId="27" type="noConversion"/>
  </si>
  <si>
    <t>三明治</t>
    <phoneticPr fontId="27" type="noConversion"/>
  </si>
  <si>
    <t>三明治</t>
    <phoneticPr fontId="27" type="noConversion"/>
  </si>
  <si>
    <t>1130417火腿起司蛋三明治.確認版(15)去化包材</t>
    <phoneticPr fontId="27" type="noConversion"/>
  </si>
  <si>
    <t>F-台式特級沙拉醬</t>
    <phoneticPr fontId="27" type="noConversion"/>
  </si>
  <si>
    <t>V</t>
    <phoneticPr fontId="27" type="noConversion"/>
  </si>
  <si>
    <t>V</t>
    <phoneticPr fontId="27" type="noConversion"/>
  </si>
  <si>
    <t>V</t>
    <phoneticPr fontId="27" type="noConversion"/>
  </si>
  <si>
    <t>28切素食厚蛋條</t>
  </si>
  <si>
    <t>V</t>
    <phoneticPr fontId="27" type="noConversion"/>
  </si>
  <si>
    <t>1150520厚蛋時蔬握沙拉.確認版(4)-切換原味墨西哥餅皮、美生菜</t>
  </si>
  <si>
    <t>1150610莎莎烤雞麵沙拉.確認版(3)-新增水煮蛋警語</t>
    <phoneticPr fontId="27" type="noConversion"/>
  </si>
  <si>
    <t>V</t>
    <phoneticPr fontId="27" type="noConversion"/>
  </si>
  <si>
    <t>沙拉</t>
    <phoneticPr fontId="27" type="noConversion"/>
  </si>
  <si>
    <t>沙拉</t>
    <phoneticPr fontId="27" type="noConversion"/>
  </si>
  <si>
    <t>V</t>
    <phoneticPr fontId="27" type="noConversion"/>
  </si>
  <si>
    <t>V</t>
    <phoneticPr fontId="27" type="noConversion"/>
  </si>
  <si>
    <t>沙拉</t>
    <phoneticPr fontId="27" type="noConversion"/>
  </si>
  <si>
    <t>調理麵包</t>
    <phoneticPr fontId="27" type="noConversion"/>
  </si>
  <si>
    <t>1081106 豬肉起司堡.確認版(20)拉除國產豬</t>
    <phoneticPr fontId="27" type="noConversion"/>
  </si>
  <si>
    <t>1081023豬肉起司蛋堡.確認版(28)新增硫化物警語 (1)</t>
    <phoneticPr fontId="27" type="noConversion"/>
  </si>
  <si>
    <t>1140709美式雞腿堡.確認版(5)修改沙拉醬</t>
    <phoneticPr fontId="27" type="noConversion"/>
  </si>
  <si>
    <t>三明治</t>
    <phoneticPr fontId="27" type="noConversion"/>
  </si>
  <si>
    <t>三明治</t>
    <phoneticPr fontId="27" type="noConversion"/>
  </si>
  <si>
    <t>1140709紐奧良風味烤雞鮮蔬三明治.確認版(19)切換沙拉醬</t>
    <phoneticPr fontId="27" type="noConversion"/>
  </si>
  <si>
    <t>調理麵包</t>
    <phoneticPr fontId="27" type="noConversion"/>
  </si>
  <si>
    <t>調理麵包</t>
    <phoneticPr fontId="27" type="noConversion"/>
  </si>
  <si>
    <t>1141008厚豆腐蛋白蕈菇豬肉堡.確認版(2)新增微波條碼</t>
    <phoneticPr fontId="27" type="noConversion"/>
  </si>
  <si>
    <t>三明治</t>
    <phoneticPr fontId="27" type="noConversion"/>
  </si>
  <si>
    <t>1140917經典火腿玉米蛋三明治.確認版(8)切換沙拉醬</t>
    <phoneticPr fontId="27" type="noConversion"/>
  </si>
  <si>
    <t>V</t>
    <phoneticPr fontId="27" type="noConversion"/>
  </si>
  <si>
    <t>1141029雞蛋沙拉三明治.確認版(5)WBC包材</t>
    <phoneticPr fontId="27" type="noConversion"/>
  </si>
  <si>
    <t>V</t>
    <phoneticPr fontId="27" type="noConversion"/>
  </si>
  <si>
    <t>V</t>
    <phoneticPr fontId="27" type="noConversion"/>
  </si>
  <si>
    <t>小吃</t>
    <phoneticPr fontId="27" type="noConversion"/>
  </si>
  <si>
    <t>香菇雞燉湯</t>
    <phoneticPr fontId="27" type="noConversion"/>
  </si>
  <si>
    <t>調理麵包</t>
    <phoneticPr fontId="27" type="noConversion"/>
  </si>
  <si>
    <t>1150318黃金魚堡.確認版(4)切換沙拉醬</t>
    <phoneticPr fontId="27" type="noConversion"/>
  </si>
  <si>
    <t>V</t>
    <phoneticPr fontId="27" type="noConversion"/>
  </si>
  <si>
    <t>三明治</t>
    <phoneticPr fontId="27" type="noConversion"/>
  </si>
  <si>
    <t>肉鬆火腿三明治(115年)</t>
    <phoneticPr fontId="27" type="noConversion"/>
  </si>
  <si>
    <t>1150429肉鬆火腿三明治.確認版(5)切換沙拉醬</t>
    <phoneticPr fontId="27" type="noConversion"/>
  </si>
  <si>
    <t>V</t>
    <phoneticPr fontId="27" type="noConversion"/>
  </si>
  <si>
    <t>1150429醬燒烤雞三明治.確認版(5)切換沙拉醬</t>
    <phoneticPr fontId="27" type="noConversion"/>
  </si>
  <si>
    <t>V</t>
    <phoneticPr fontId="27" type="noConversion"/>
  </si>
  <si>
    <t>1150429好多蛋三明治.確認版(7)切換沙拉醬</t>
    <phoneticPr fontId="27" type="noConversion"/>
  </si>
  <si>
    <t>好多蛋三明治</t>
    <phoneticPr fontId="27" type="noConversion"/>
  </si>
  <si>
    <t>V</t>
    <phoneticPr fontId="27" type="noConversion"/>
  </si>
  <si>
    <t>1150506經典總匯三明治.確認版(5)切換沙拉醬</t>
    <phoneticPr fontId="27" type="noConversion"/>
  </si>
  <si>
    <t>V</t>
    <phoneticPr fontId="27" type="noConversion"/>
  </si>
  <si>
    <t>V</t>
    <phoneticPr fontId="27" type="noConversion"/>
  </si>
  <si>
    <t>1150506鮪魚起司溏心蛋三明治.確認版(5)切換沙拉醬</t>
    <phoneticPr fontId="27" type="noConversion"/>
  </si>
  <si>
    <t>1150520榛果摩卡脆脆三明治.確認版(1)</t>
    <phoneticPr fontId="27" type="noConversion"/>
  </si>
  <si>
    <t>V</t>
    <phoneticPr fontId="27" type="noConversion"/>
  </si>
  <si>
    <t>1150513茄汁厚起司三明治.確認版(3)切換億霖沙拉醬</t>
    <phoneticPr fontId="27" type="noConversion"/>
  </si>
  <si>
    <t>V</t>
    <phoneticPr fontId="27" type="noConversion"/>
  </si>
  <si>
    <t>V</t>
    <phoneticPr fontId="27" type="noConversion"/>
  </si>
  <si>
    <t>沙拉</t>
    <phoneticPr fontId="27" type="noConversion"/>
  </si>
  <si>
    <t>沙拉</t>
    <phoneticPr fontId="27" type="noConversion"/>
  </si>
  <si>
    <t>V</t>
    <phoneticPr fontId="27" type="noConversion"/>
  </si>
  <si>
    <t>1150610起司芋見肉鬆三明治.確認版(3)切換億霖沙拉醬</t>
    <phoneticPr fontId="27" type="noConversion"/>
  </si>
  <si>
    <t>V</t>
    <phoneticPr fontId="27" type="noConversion"/>
  </si>
  <si>
    <t>1150624五彩鮮蔬三明治.確認版(4)更換億霖沙拉醬</t>
    <phoneticPr fontId="27" type="noConversion"/>
  </si>
  <si>
    <t>V</t>
    <phoneticPr fontId="27" type="noConversion"/>
  </si>
  <si>
    <t>V</t>
    <phoneticPr fontId="27" type="noConversion"/>
  </si>
  <si>
    <t>V</t>
    <phoneticPr fontId="27" type="noConversion"/>
  </si>
  <si>
    <t>1150715金黃玉米蛋三明治.確認版(2)切換沙拉醬</t>
    <phoneticPr fontId="27" type="noConversion"/>
  </si>
  <si>
    <t>V</t>
    <phoneticPr fontId="27" type="noConversion"/>
  </si>
  <si>
    <t>水果聖代三明治</t>
    <phoneticPr fontId="27" type="noConversion"/>
  </si>
  <si>
    <t>1150708水果聖代三明治.確認版(1)</t>
    <phoneticPr fontId="27" type="noConversion"/>
  </si>
  <si>
    <t>調理麵包</t>
    <phoneticPr fontId="27" type="noConversion"/>
  </si>
  <si>
    <t>元氣起司鱈魚堡</t>
    <phoneticPr fontId="27" type="noConversion"/>
  </si>
  <si>
    <t>1150708元氣起司鱈魚堡.確認版(2)拉除透氣貼標</t>
    <phoneticPr fontId="27" type="noConversion"/>
  </si>
  <si>
    <t>V</t>
    <phoneticPr fontId="27" type="noConversion"/>
  </si>
  <si>
    <t>V</t>
    <phoneticPr fontId="27" type="noConversion"/>
  </si>
  <si>
    <t>王安淇</t>
    <phoneticPr fontId="27" type="noConversion"/>
  </si>
  <si>
    <t>V</t>
    <phoneticPr fontId="27" type="noConversion"/>
  </si>
  <si>
    <t>1150520厚蛋時蔬握沙拉.確認版(4)-切換原味墨西哥餅皮、美生菜</t>
    <phoneticPr fontId="27" type="noConversion"/>
  </si>
  <si>
    <t>塔塔醬</t>
    <phoneticPr fontId="27" type="noConversion"/>
  </si>
  <si>
    <t>1150601香菇雞燉湯.確認版(3)更新貼標示意圖</t>
    <phoneticPr fontId="27" type="noConversion"/>
  </si>
  <si>
    <t>V</t>
    <phoneticPr fontId="27" type="noConversion"/>
  </si>
  <si>
    <t>V</t>
    <phoneticPr fontId="27" type="noConversion"/>
  </si>
  <si>
    <t>王安淇</t>
    <phoneticPr fontId="27" type="noConversion"/>
  </si>
  <si>
    <t>公克</t>
  </si>
  <si>
    <t>莊子儀</t>
    <phoneticPr fontId="27" type="noConversion"/>
  </si>
  <si>
    <t>紅豆黑糖麻糬三明治</t>
  </si>
  <si>
    <t>去皮白土司12mm</t>
  </si>
  <si>
    <t>紅豆奶霜</t>
  </si>
  <si>
    <t>黑糖蜜</t>
  </si>
  <si>
    <t>草大福皮-原味(9*9)</t>
  </si>
  <si>
    <t>1150909紅豆黑糖麻糬三明治.試產版(2)</t>
  </si>
  <si>
    <t>川燙青花菜</t>
  </si>
  <si>
    <t>小吃</t>
    <phoneticPr fontId="27" type="noConversion"/>
  </si>
  <si>
    <t>泰式炒河粉</t>
    <phoneticPr fontId="27" type="noConversion"/>
  </si>
  <si>
    <t>炒泰式河粉</t>
  </si>
  <si>
    <t>河粉湯凍</t>
  </si>
  <si>
    <t>炒豆干</t>
  </si>
  <si>
    <t>川燙韭菜綠豆芽</t>
  </si>
  <si>
    <t>河粉-炒蛋</t>
  </si>
  <si>
    <t>炒蝦仁(9號)</t>
  </si>
  <si>
    <t>花生角</t>
  </si>
  <si>
    <t>1150729泰式炒河粉.確認版(1).xlsx</t>
  </si>
  <si>
    <t>莊子儀</t>
    <phoneticPr fontId="27" type="noConversion"/>
  </si>
  <si>
    <t>去皮白吐司12mm</t>
  </si>
  <si>
    <t>打發QQ綠奶霜</t>
  </si>
  <si>
    <t>打發QQ泰奶</t>
  </si>
  <si>
    <t>雙泰奶QQ三明治</t>
    <phoneticPr fontId="27" type="noConversion"/>
  </si>
  <si>
    <t>1150722雙泰奶QQ三明治.確認版(1)</t>
  </si>
  <si>
    <t>1150722雙泰奶QQ三明治.確認版(2)</t>
  </si>
  <si>
    <t>1150722雙泰奶QQ三明治.確認版(3)</t>
  </si>
  <si>
    <t>1150729超HOT雞腿堡.確認版(1)</t>
  </si>
  <si>
    <t>超HOT沙拉醬</t>
  </si>
  <si>
    <t>炸超HOT雞腿排</t>
  </si>
  <si>
    <t>超HOT雞腿堡</t>
  </si>
  <si>
    <t>調理麵包</t>
    <phoneticPr fontId="27" type="noConversion"/>
  </si>
  <si>
    <t>1150729超HOT雞腿堡.確認版(2)</t>
  </si>
  <si>
    <t>1150729超HOT雞腿堡.確認版(3)</t>
  </si>
  <si>
    <t>墨西哥餅皮8吋</t>
  </si>
  <si>
    <t>混和三色高麗菜絲</t>
  </si>
  <si>
    <t>清洗切段美生菜</t>
  </si>
  <si>
    <t>厚蛋時蔬握沙拉(切換墨西哥餅皮-原味(8英吋)新+美生菜版)</t>
  </si>
  <si>
    <t>1150520厚蛋時蔬握沙拉.確認版(6)切換台達蛋液</t>
  </si>
  <si>
    <t>厚蛋時蔬握沙拉(區)(切換墨西哥餅皮-原味(8英吋)新+美生菜版)</t>
  </si>
  <si>
    <t>1150520厚蛋時蔬握沙拉(區).確認版(4)-切換原味墨西哥餅皮、美生菜.xlsx</t>
  </si>
  <si>
    <t>益活雞力能量堡</t>
    <phoneticPr fontId="27" type="noConversion"/>
  </si>
  <si>
    <t>馬芬堡</t>
  </si>
  <si>
    <t>3切烤義式雞胸肉</t>
  </si>
  <si>
    <t>烤12切豆腐</t>
  </si>
  <si>
    <t>1150819益活雞力能量堡.試產版(3)更換肉排</t>
  </si>
  <si>
    <t>去皮小麥胚芽豆渣吐司-13mm</t>
  </si>
  <si>
    <t>F-全素沙拉醬</t>
  </si>
  <si>
    <t>12切清洗牛蕃茄</t>
  </si>
  <si>
    <t>清洗牛蕃茄切片(中)</t>
  </si>
  <si>
    <t>F-2024全素千島醬</t>
  </si>
  <si>
    <t>清洗十字切美生菜</t>
  </si>
  <si>
    <t>清洗切段廣東A</t>
  </si>
  <si>
    <t>好多菜三明治</t>
  </si>
  <si>
    <t>1150715好多菜三明治.試產版(2).xlsx</t>
  </si>
  <si>
    <t>嫩烤魚排佐花椰菜義大利麵</t>
    <phoneticPr fontId="27" type="noConversion"/>
  </si>
  <si>
    <t>煮1.4mm義大利麵</t>
  </si>
  <si>
    <t>1150826嫩烤魚排佐花椰菜義大利麵.確認版(1) - A01.xlsx</t>
    <phoneticPr fontId="27" type="noConversion"/>
  </si>
  <si>
    <t>煮蒜辣義大利麵湯凍</t>
  </si>
  <si>
    <t>川燙白花菜</t>
  </si>
  <si>
    <t>烤南瓜片</t>
  </si>
  <si>
    <t>烤醃漬鯰魚片</t>
  </si>
  <si>
    <t>洋香菜葉 KU</t>
  </si>
  <si>
    <t>陽光地瓜總匯三明治</t>
  </si>
  <si>
    <t>F-台式特級沙拉醬</t>
  </si>
  <si>
    <t>切抓皺火腿0.9mm</t>
  </si>
  <si>
    <t>蒸地瓜泥(烤)</t>
  </si>
  <si>
    <t>清洗小黃瓜絲</t>
  </si>
  <si>
    <t>1150916輕乳酪巧克力三明治.試產版(2)修正表裡頁物料名稱.xlsx</t>
  </si>
  <si>
    <t>1150930陽光地瓜總匯三明治.試產版(2)拉除連結.xlsx</t>
  </si>
  <si>
    <t>去皮白土司15mm</t>
  </si>
  <si>
    <t>112年巧克力卡士達</t>
  </si>
  <si>
    <t>112年原味起司</t>
  </si>
  <si>
    <t>巧克力風味晶片</t>
  </si>
  <si>
    <t>輕乳酪巧克力三明治</t>
    <phoneticPr fontId="27" type="noConversion"/>
  </si>
  <si>
    <t>1151014煙燻風味捲捲腸堡.試產版(5)新增捲捲腸色卡圖.xlsx</t>
  </si>
  <si>
    <t>四吋無芝麻堡</t>
  </si>
  <si>
    <t>解凍捲捲腸</t>
  </si>
  <si>
    <t>濾水德國酸菜</t>
  </si>
  <si>
    <t>自製煙燻醬</t>
  </si>
  <si>
    <t>煙燻風味捲捲腸堡</t>
    <phoneticPr fontId="27" type="noConversion"/>
  </si>
  <si>
    <t>調理麵包</t>
    <phoneticPr fontId="27" type="noConversion"/>
  </si>
  <si>
    <t>1151014藍莓優格三明治.試產版(3)甜點廠果醬版本.xlsx</t>
    <phoneticPr fontId="27" type="noConversion"/>
  </si>
  <si>
    <t>三明治-藍莓果醬</t>
  </si>
  <si>
    <t>藍莓優格奶油霜(114.10)</t>
  </si>
  <si>
    <t>藍莓優格三明治</t>
    <phoneticPr fontId="27" type="noConversion"/>
  </si>
  <si>
    <t>去皮白土司14mm</t>
  </si>
  <si>
    <t>(V)炒素鬆</t>
  </si>
  <si>
    <t>古早味香鬆起司三明治</t>
    <phoneticPr fontId="27" type="noConversion"/>
  </si>
  <si>
    <t>1151028古早味香鬆起司三明治.試產版(4)香鬆組裝圖修正.xlsx</t>
    <phoneticPr fontId="27" type="noConversion"/>
  </si>
  <si>
    <t>巧克力肉鬆三明治</t>
    <phoneticPr fontId="27" type="noConversion"/>
  </si>
  <si>
    <t>卡拉特可可超愛餡</t>
  </si>
  <si>
    <t>炒肉鬆餡料</t>
  </si>
  <si>
    <t>1150902巧克力肉鬆三明治.試產版(2).xlsx</t>
  </si>
  <si>
    <t>季節調理麵</t>
    <phoneticPr fontId="27" type="noConversion"/>
  </si>
  <si>
    <t>熱食義麵</t>
    <phoneticPr fontId="27" type="noConversion"/>
  </si>
  <si>
    <t>調理麵包</t>
  </si>
  <si>
    <t>經典雙牛起司堡</t>
  </si>
  <si>
    <t>1130110經典雙牛起司堡.確認版(9)FF14改包、修改步留</t>
  </si>
  <si>
    <t>莊子儀</t>
  </si>
  <si>
    <t>解凍馬芬堡</t>
  </si>
  <si>
    <t>黃金魚堡(114年)</t>
    <phoneticPr fontId="27" type="noConversion"/>
  </si>
  <si>
    <t>祥美4吋無芝麻漢堡</t>
  </si>
  <si>
    <t>解凍三明治火腿2mm</t>
    <phoneticPr fontId="27" type="noConversion"/>
  </si>
  <si>
    <t>蒸厚切火腿</t>
  </si>
  <si>
    <t>好多蛋三明治</t>
    <phoneticPr fontId="27" type="noConversion"/>
  </si>
  <si>
    <t>鮪魚起司溏心蛋三明治(115年)</t>
    <phoneticPr fontId="27" type="noConversion"/>
  </si>
  <si>
    <t>茄汁厚起司三明治</t>
    <phoneticPr fontId="27" type="noConversion"/>
  </si>
  <si>
    <t>五彩鮮蔬三明治</t>
    <phoneticPr fontId="27" type="noConversion"/>
  </si>
  <si>
    <t>金黃玉米蛋三明治</t>
    <phoneticPr fontId="27" type="noConversion"/>
  </si>
  <si>
    <t>煮熊本蕎麥生麵(角#18)</t>
  </si>
  <si>
    <t>蒸手撕雞</t>
  </si>
  <si>
    <t>川燙木耳紅K絲</t>
  </si>
  <si>
    <t>油炒敏豆段</t>
  </si>
  <si>
    <t>清洗小黃瓜圓片</t>
  </si>
  <si>
    <t>彩蔬纖麥麵沙拉(區)</t>
    <phoneticPr fontId="27" type="noConversion"/>
  </si>
  <si>
    <t>沙拉</t>
    <phoneticPr fontId="27" type="noConversion"/>
  </si>
  <si>
    <t>1151028彩蔬纖麥麵沙拉(區).試產版(1).xlsx</t>
  </si>
  <si>
    <t>焙煎小麥堡</t>
  </si>
  <si>
    <t>解凍圓形火腿</t>
  </si>
  <si>
    <t>摩佐起司片</t>
  </si>
  <si>
    <t>熔岩起司火腿堡</t>
    <phoneticPr fontId="27" type="noConversion"/>
  </si>
  <si>
    <t>1151125熔岩起司火腿堡.試產版(1).xlsx</t>
  </si>
  <si>
    <t>烤蛋白片</t>
  </si>
  <si>
    <t>(v)烤金霸薯餅</t>
  </si>
  <si>
    <t>自製茄汁醬(115)</t>
  </si>
  <si>
    <t>對切-紅切達起司片</t>
  </si>
  <si>
    <t>雙蛋白薯餅起司堡</t>
  </si>
  <si>
    <t>1151118雙蛋白薯餅起司堡.試產版(1).xlsx</t>
  </si>
  <si>
    <t>狀態</t>
    <phoneticPr fontId="27" type="noConversion"/>
  </si>
  <si>
    <t>架上</t>
  </si>
  <si>
    <t>下架</t>
  </si>
  <si>
    <t>待上架</t>
  </si>
  <si>
    <t>「總覽」可點商品名稱跳至明細；五個溫層分頁填寫半成品與設備。「設備應用統計」自動彙總，僅藍字門檻可調整。</t>
  </si>
  <si>
    <t>有使用調理設備時，在該設備欄下拉選「V」。完全不經調理時，僅於「無使用調理設備」選「V」，不可同時勾選。</t>
  </si>
  <si>
    <t>每列須填「建檔人員」，作為資料追溯窗口。「備註」請註記指示書編號與版本日期，依各分頁欄名填寫。</t>
  </si>
  <si>
    <t>最右側「系統用」隱藏欄自動計算商品目錄與品項數，請勿貼上數值或手動修改。</t>
  </si>
  <si>
    <t>自動資料檢查</t>
  </si>
  <si>
    <t>以下以已填商品或半成品的資料列檢查。數量按明細列計，同一商品可有多列。</t>
  </si>
  <si>
    <t>狀態未填（列）</t>
  </si>
  <si>
    <t>半成品名稱未填（列）</t>
  </si>
  <si>
    <t>設備未勾選（列）</t>
  </si>
  <si>
    <t>設備勾選矛盾（列）</t>
  </si>
  <si>
    <t>建檔人員未填（列）</t>
  </si>
  <si>
    <t>工廠不符或未填（列）</t>
  </si>
  <si>
    <t>用量有值但單位未填（列）</t>
  </si>
  <si>
    <t>狀態判定基準</t>
  </si>
  <si>
    <t>本次已確認狀態依2026/10/14訂單與逐項確認結果。未上市商品保留待上架。後續更新需先確認訂單日期。</t>
  </si>
  <si>
    <t>篩選與色彩</t>
  </si>
  <si>
    <t>狀態欄可篩選架上、下架、待上架。橘色表示狀態漏填或同商品不一致；淡黃表示建檔人員或單位待補。</t>
  </si>
  <si>
    <t>批次更新同一商品</t>
  </si>
  <si>
    <t>先用商品名稱篩選，選取該商品可見的狀態儲存格，按 Alt+; 僅選可見儲存格，輸入狀態後按 Ctrl+Enter。</t>
  </si>
  <si>
    <t>新增商品或半成品</t>
  </si>
  <si>
    <t>請在現有表格範圍內插入整列，再複製相鄰整列的格式、公式與選單，清除輸入資料後填寫新內容。</t>
  </si>
  <si>
    <t>保留未確認內容</t>
  </si>
  <si>
    <t>未有依據的建檔人員、用量與單位不代填。未設狀態欄的分頁不納入狀態漏填檢查，既有「-」保留待確認。</t>
  </si>
  <si>
    <r>
      <rPr>
        <b/>
        <sz val="18"/>
        <color rgb="FFFFFFFF"/>
        <rFont val="微軟正黑體"/>
        <family val="2"/>
        <charset val="136"/>
      </rPr>
      <t>商品半成品與調理設備應用展開一覽表｜</t>
    </r>
    <r>
      <rPr>
        <b/>
        <sz val="18"/>
        <color rgb="FFFFFFFF"/>
        <rFont val="Times New Roman"/>
        <family val="1"/>
      </rPr>
      <t>4</t>
    </r>
    <r>
      <rPr>
        <b/>
        <sz val="18"/>
        <color rgb="FFFFFFFF"/>
        <rFont val="微軟正黑體"/>
        <family val="2"/>
        <charset val="136"/>
      </rPr>
      <t>℃飯</t>
    </r>
  </si>
  <si>
    <r>
      <rPr>
        <b/>
        <sz val="12"/>
        <color rgb="FF444441"/>
        <rFont val="微軟正黑體"/>
        <family val="2"/>
        <charset val="136"/>
      </rPr>
      <t>商品資訊</t>
    </r>
  </si>
  <si>
    <r>
      <rPr>
        <b/>
        <sz val="12"/>
        <color rgb="FF444441"/>
        <rFont val="微軟正黑體"/>
        <family val="2"/>
        <charset val="136"/>
      </rPr>
      <t>熱調理區（使用者填「</t>
    </r>
    <r>
      <rPr>
        <b/>
        <sz val="12"/>
        <color rgb="FF444441"/>
        <rFont val="Times New Roman"/>
        <family val="1"/>
      </rPr>
      <t>V</t>
    </r>
    <r>
      <rPr>
        <b/>
        <sz val="12"/>
        <color rgb="FF444441"/>
        <rFont val="微軟正黑體"/>
        <family val="2"/>
        <charset val="136"/>
      </rPr>
      <t>」；免調理者勾最右欄）</t>
    </r>
  </si>
  <si>
    <r>
      <rPr>
        <b/>
        <sz val="12"/>
        <color rgb="FF444441"/>
        <rFont val="微軟正黑體"/>
        <family val="2"/>
        <charset val="136"/>
      </rPr>
      <t>自動計算與風險檢核（勿手動修改）</t>
    </r>
  </si>
  <si>
    <r>
      <rPr>
        <b/>
        <sz val="12"/>
        <color rgb="FF444441"/>
        <rFont val="微軟正黑體"/>
        <family val="2"/>
        <charset val="136"/>
      </rPr>
      <t>建檔資訊（手填）</t>
    </r>
  </si>
  <si>
    <r>
      <rPr>
        <b/>
        <sz val="12"/>
        <color rgb="FFFFFFFF"/>
        <rFont val="微軟正黑體"/>
        <family val="2"/>
        <charset val="136"/>
      </rPr>
      <t>狀態</t>
    </r>
    <phoneticPr fontId="27" type="noConversion"/>
  </si>
  <si>
    <r>
      <rPr>
        <b/>
        <sz val="12"/>
        <color rgb="FFFFFFFF"/>
        <rFont val="微軟正黑體"/>
        <family val="2"/>
        <charset val="136"/>
      </rPr>
      <t>工廠</t>
    </r>
  </si>
  <si>
    <r>
      <rPr>
        <b/>
        <sz val="12"/>
        <color rgb="FFFFFFFF"/>
        <rFont val="微軟正黑體"/>
        <family val="2"/>
        <charset val="136"/>
      </rPr>
      <t xml:space="preserve">商品分類
</t>
    </r>
    <r>
      <rPr>
        <b/>
        <sz val="12"/>
        <color rgb="FFFFFFFF"/>
        <rFont val="Times New Roman"/>
        <family val="1"/>
      </rPr>
      <t>(</t>
    </r>
    <r>
      <rPr>
        <b/>
        <sz val="12"/>
        <color rgb="FFFFFFFF"/>
        <rFont val="微軟正黑體"/>
        <family val="2"/>
        <charset val="136"/>
      </rPr>
      <t>細分品類</t>
    </r>
    <r>
      <rPr>
        <b/>
        <sz val="12"/>
        <color rgb="FFFFFFFF"/>
        <rFont val="Times New Roman"/>
        <family val="1"/>
      </rPr>
      <t>)</t>
    </r>
  </si>
  <si>
    <r>
      <rPr>
        <b/>
        <sz val="12"/>
        <color rgb="FFFFFFFF"/>
        <rFont val="微軟正黑體"/>
        <family val="2"/>
        <charset val="136"/>
      </rPr>
      <t>商品名稱</t>
    </r>
  </si>
  <si>
    <r>
      <rPr>
        <b/>
        <sz val="12"/>
        <color rgb="FFFFFFFF"/>
        <rFont val="微軟正黑體"/>
        <family val="2"/>
        <charset val="136"/>
      </rPr>
      <t>半成品名稱</t>
    </r>
  </si>
  <si>
    <r>
      <rPr>
        <b/>
        <sz val="12"/>
        <color rgb="FFFFFFFF"/>
        <rFont val="微軟正黑體"/>
        <family val="2"/>
        <charset val="136"/>
      </rPr>
      <t>單位用量</t>
    </r>
  </si>
  <si>
    <r>
      <rPr>
        <b/>
        <sz val="12"/>
        <color rgb="FFFFFFFF"/>
        <rFont val="微軟正黑體"/>
        <family val="2"/>
        <charset val="136"/>
      </rPr>
      <t xml:space="preserve">製程率
</t>
    </r>
    <r>
      <rPr>
        <b/>
        <sz val="12"/>
        <color rgb="FFFFFFFF"/>
        <rFont val="Times New Roman"/>
        <family val="1"/>
      </rPr>
      <t>(</t>
    </r>
    <r>
      <rPr>
        <b/>
        <sz val="12"/>
        <color rgb="FFFFFFFF"/>
        <rFont val="微軟正黑體"/>
        <family val="2"/>
        <charset val="136"/>
      </rPr>
      <t>填數字</t>
    </r>
    <r>
      <rPr>
        <b/>
        <sz val="12"/>
        <color rgb="FFFFFFFF"/>
        <rFont val="Times New Roman"/>
        <family val="1"/>
      </rPr>
      <t>)</t>
    </r>
  </si>
  <si>
    <r>
      <rPr>
        <b/>
        <sz val="11"/>
        <color rgb="FFFFFFFF"/>
        <rFont val="微軟正黑體"/>
        <family val="2"/>
        <charset val="136"/>
      </rPr>
      <t>炊飯</t>
    </r>
  </si>
  <si>
    <r>
      <rPr>
        <b/>
        <sz val="11"/>
        <color rgb="FFFFFFFF"/>
        <rFont val="微軟正黑體"/>
        <family val="2"/>
        <charset val="136"/>
      </rPr>
      <t>煮麵</t>
    </r>
  </si>
  <si>
    <r>
      <rPr>
        <b/>
        <sz val="11"/>
        <color rgb="FFFFFFFF"/>
        <rFont val="微軟正黑體"/>
        <family val="2"/>
        <charset val="136"/>
      </rPr>
      <t>烤箱</t>
    </r>
  </si>
  <si>
    <r>
      <rPr>
        <b/>
        <sz val="11"/>
        <color rgb="FFFFFFFF"/>
        <rFont val="微軟正黑體"/>
        <family val="2"/>
        <charset val="136"/>
      </rPr>
      <t>炙燒</t>
    </r>
  </si>
  <si>
    <r>
      <rPr>
        <b/>
        <sz val="11"/>
        <color rgb="FFFFFFFF"/>
        <rFont val="微軟正黑體"/>
        <family val="2"/>
        <charset val="136"/>
      </rPr>
      <t>蒸箱</t>
    </r>
  </si>
  <si>
    <r>
      <rPr>
        <b/>
        <sz val="11"/>
        <color rgb="FFFFFFFF"/>
        <rFont val="微軟正黑體"/>
        <family val="2"/>
        <charset val="136"/>
      </rPr>
      <t>油炸機</t>
    </r>
  </si>
  <si>
    <r>
      <rPr>
        <b/>
        <sz val="11"/>
        <color rgb="FFFFFFFF"/>
        <rFont val="微軟正黑體"/>
        <family val="2"/>
        <charset val="136"/>
      </rPr>
      <t>二重釜</t>
    </r>
  </si>
  <si>
    <r>
      <rPr>
        <b/>
        <sz val="11"/>
        <color rgb="FFFFFFFF"/>
        <rFont val="微軟正黑體"/>
        <family val="2"/>
        <charset val="136"/>
      </rPr>
      <t xml:space="preserve">平釜
</t>
    </r>
    <r>
      <rPr>
        <b/>
        <sz val="11"/>
        <color rgb="FFFFFFFF"/>
        <rFont val="Times New Roman"/>
        <family val="1"/>
      </rPr>
      <t>(</t>
    </r>
    <r>
      <rPr>
        <b/>
        <sz val="11"/>
        <color rgb="FFFFFFFF"/>
        <rFont val="微軟正黑體"/>
        <family val="2"/>
        <charset val="136"/>
      </rPr>
      <t>日</t>
    </r>
    <r>
      <rPr>
        <b/>
        <sz val="11"/>
        <color rgb="FFFFFFFF"/>
        <rFont val="Times New Roman"/>
        <family val="1"/>
      </rPr>
      <t>)</t>
    </r>
  </si>
  <si>
    <r>
      <rPr>
        <b/>
        <sz val="11"/>
        <color rgb="FFFFFFFF"/>
        <rFont val="微軟正黑體"/>
        <family val="2"/>
        <charset val="136"/>
      </rPr>
      <t xml:space="preserve">平釜
</t>
    </r>
    <r>
      <rPr>
        <b/>
        <sz val="11"/>
        <color rgb="FFFFFFFF"/>
        <rFont val="Times New Roman"/>
        <family val="1"/>
      </rPr>
      <t>(</t>
    </r>
    <r>
      <rPr>
        <b/>
        <sz val="11"/>
        <color rgb="FFFFFFFF"/>
        <rFont val="微軟正黑體"/>
        <family val="2"/>
        <charset val="136"/>
      </rPr>
      <t>台</t>
    </r>
    <r>
      <rPr>
        <b/>
        <sz val="11"/>
        <color rgb="FFFFFFFF"/>
        <rFont val="Times New Roman"/>
        <family val="1"/>
      </rPr>
      <t>)</t>
    </r>
  </si>
  <si>
    <r>
      <rPr>
        <b/>
        <sz val="11"/>
        <color rgb="FFFFFFFF"/>
        <rFont val="微軟正黑體"/>
        <family val="2"/>
        <charset val="136"/>
      </rPr>
      <t>蛋皮機</t>
    </r>
  </si>
  <si>
    <r>
      <rPr>
        <b/>
        <sz val="11"/>
        <color rgb="FFFFFFFF"/>
        <rFont val="微軟正黑體"/>
        <family val="2"/>
        <charset val="136"/>
      </rPr>
      <t>壓力鍋</t>
    </r>
  </si>
  <si>
    <r>
      <rPr>
        <b/>
        <sz val="10"/>
        <color rgb="FFFFFFFF"/>
        <rFont val="微軟正黑體"/>
        <family val="2"/>
        <charset val="136"/>
      </rPr>
      <t>無使用
調理設備</t>
    </r>
  </si>
  <si>
    <r>
      <rPr>
        <b/>
        <sz val="12"/>
        <color rgb="FFFFFFFF"/>
        <rFont val="微軟正黑體"/>
        <family val="2"/>
        <charset val="136"/>
      </rPr>
      <t>使用
設備數</t>
    </r>
  </si>
  <si>
    <r>
      <rPr>
        <b/>
        <sz val="12"/>
        <color rgb="FFFFFFFF"/>
        <rFont val="微軟正黑體"/>
        <family val="2"/>
        <charset val="136"/>
      </rPr>
      <t>檢核結果</t>
    </r>
  </si>
  <si>
    <r>
      <rPr>
        <b/>
        <sz val="12"/>
        <color rgb="FFFFFFFF"/>
        <rFont val="微軟正黑體"/>
        <family val="2"/>
        <charset val="136"/>
      </rPr>
      <t>風險說明</t>
    </r>
  </si>
  <si>
    <r>
      <rPr>
        <b/>
        <sz val="12"/>
        <color rgb="FFFFFFFF"/>
        <rFont val="微軟正黑體"/>
        <family val="2"/>
        <charset val="136"/>
      </rPr>
      <t xml:space="preserve">備註
</t>
    </r>
    <r>
      <rPr>
        <b/>
        <sz val="12"/>
        <color rgb="FFFFFFFF"/>
        <rFont val="Times New Roman"/>
        <family val="1"/>
      </rPr>
      <t>(</t>
    </r>
    <r>
      <rPr>
        <b/>
        <sz val="12"/>
        <color rgb="FFFFFFFF"/>
        <rFont val="微軟正黑體"/>
        <family val="2"/>
        <charset val="136"/>
      </rPr>
      <t>指示書編號</t>
    </r>
    <r>
      <rPr>
        <b/>
        <sz val="12"/>
        <color rgb="FFFFFFFF"/>
        <rFont val="Times New Roman"/>
        <family val="1"/>
      </rPr>
      <t>/</t>
    </r>
    <r>
      <rPr>
        <b/>
        <sz val="12"/>
        <color rgb="FFFFFFFF"/>
        <rFont val="微軟正黑體"/>
        <family val="2"/>
        <charset val="136"/>
      </rPr>
      <t>版本</t>
    </r>
    <r>
      <rPr>
        <b/>
        <sz val="12"/>
        <color rgb="FFFFFFFF"/>
        <rFont val="Times New Roman"/>
        <family val="1"/>
      </rPr>
      <t>)</t>
    </r>
  </si>
  <si>
    <r>
      <rPr>
        <b/>
        <sz val="12"/>
        <color rgb="FFFFFFFF"/>
        <rFont val="微軟正黑體"/>
        <family val="2"/>
        <charset val="136"/>
      </rPr>
      <t>建檔人員</t>
    </r>
  </si>
  <si>
    <r>
      <rPr>
        <sz val="8"/>
        <color rgb="FF808080"/>
        <rFont val="微軟正黑體"/>
        <family val="2"/>
        <charset val="136"/>
      </rPr>
      <t>系統用</t>
    </r>
    <r>
      <rPr>
        <sz val="8"/>
        <color rgb="FF808080"/>
        <rFont val="Times New Roman"/>
        <family val="1"/>
      </rPr>
      <t>Y</t>
    </r>
  </si>
  <si>
    <r>
      <rPr>
        <sz val="8"/>
        <color rgb="FF808080"/>
        <rFont val="微軟正黑體"/>
        <family val="2"/>
        <charset val="136"/>
      </rPr>
      <t>系統用</t>
    </r>
    <r>
      <rPr>
        <sz val="8"/>
        <color rgb="FF808080"/>
        <rFont val="Times New Roman"/>
        <family val="1"/>
      </rPr>
      <t>Z</t>
    </r>
  </si>
  <si>
    <r>
      <rPr>
        <b/>
        <sz val="10"/>
        <color rgb="FFFFFFFF"/>
        <rFont val="微軟正黑體"/>
        <family val="2"/>
        <charset val="136"/>
      </rPr>
      <t>數值</t>
    </r>
  </si>
  <si>
    <r>
      <rPr>
        <b/>
        <sz val="10"/>
        <color rgb="FFFFFFFF"/>
        <rFont val="微軟正黑體"/>
        <family val="2"/>
        <charset val="136"/>
      </rPr>
      <t>單位</t>
    </r>
  </si>
  <si>
    <r>
      <rPr>
        <sz val="10"/>
        <color rgb="FF444441"/>
        <rFont val="微軟正黑體"/>
        <family val="2"/>
        <charset val="136"/>
      </rPr>
      <t>架上</t>
    </r>
  </si>
  <si>
    <r>
      <rPr>
        <sz val="10"/>
        <color rgb="FF444441"/>
        <rFont val="微軟正黑體"/>
        <family val="2"/>
        <charset val="136"/>
      </rPr>
      <t>新豐</t>
    </r>
  </si>
  <si>
    <r>
      <rPr>
        <sz val="10"/>
        <color rgb="FF444441"/>
        <rFont val="微軟正黑體"/>
        <family val="2"/>
        <charset val="136"/>
      </rPr>
      <t>主食</t>
    </r>
    <phoneticPr fontId="27" type="noConversion"/>
  </si>
  <si>
    <r>
      <rPr>
        <sz val="10"/>
        <color rgb="FF444441"/>
        <rFont val="微軟正黑體"/>
        <family val="2"/>
        <charset val="136"/>
      </rPr>
      <t>鐵板滑蛋炸豬排丼</t>
    </r>
    <phoneticPr fontId="27" type="noConversion"/>
  </si>
  <si>
    <r>
      <rPr>
        <sz val="10"/>
        <color rgb="FF444441"/>
        <rFont val="微軟正黑體"/>
        <family val="2"/>
        <charset val="136"/>
      </rPr>
      <t>冷藏便當飯</t>
    </r>
    <r>
      <rPr>
        <sz val="10"/>
        <color rgb="FF444441"/>
        <rFont val="Times New Roman"/>
        <family val="1"/>
      </rPr>
      <t>(109</t>
    </r>
    <r>
      <rPr>
        <sz val="10"/>
        <color rgb="FF444441"/>
        <rFont val="微軟正黑體"/>
        <family val="2"/>
        <charset val="136"/>
      </rPr>
      <t>年</t>
    </r>
    <r>
      <rPr>
        <sz val="10"/>
        <color rgb="FF444441"/>
        <rFont val="Times New Roman"/>
        <family val="1"/>
      </rPr>
      <t>)</t>
    </r>
  </si>
  <si>
    <r>
      <rPr>
        <sz val="10"/>
        <color rgb="FF444441"/>
        <rFont val="微軟正黑體"/>
        <family val="2"/>
        <charset val="136"/>
      </rPr>
      <t>公克</t>
    </r>
  </si>
  <si>
    <r>
      <t>1120718</t>
    </r>
    <r>
      <rPr>
        <sz val="10"/>
        <color rgb="FF444441"/>
        <rFont val="微軟正黑體"/>
        <family val="2"/>
        <charset val="136"/>
      </rPr>
      <t>鐵板滑蛋炸豬排丼</t>
    </r>
    <r>
      <rPr>
        <sz val="10"/>
        <color rgb="FF444441"/>
        <rFont val="Times New Roman"/>
        <family val="1"/>
      </rPr>
      <t>.</t>
    </r>
    <r>
      <rPr>
        <sz val="10"/>
        <color rgb="FF444441"/>
        <rFont val="微軟正黑體"/>
        <family val="2"/>
        <charset val="136"/>
      </rPr>
      <t>確認版</t>
    </r>
    <r>
      <rPr>
        <sz val="10"/>
        <color rgb="FF444441"/>
        <rFont val="Times New Roman"/>
        <family val="1"/>
      </rPr>
      <t>(11)-G06-</t>
    </r>
    <r>
      <rPr>
        <sz val="10"/>
        <color rgb="FF444441"/>
        <rFont val="微軟正黑體"/>
        <family val="2"/>
        <charset val="136"/>
      </rPr>
      <t>食研所製成率校正、封膜設計變更</t>
    </r>
    <phoneticPr fontId="27" type="noConversion"/>
  </si>
  <si>
    <r>
      <rPr>
        <sz val="10"/>
        <color rgb="FF444441"/>
        <rFont val="微軟正黑體"/>
        <family val="2"/>
        <charset val="136"/>
      </rPr>
      <t>王安淇</t>
    </r>
    <phoneticPr fontId="27" type="noConversion"/>
  </si>
  <si>
    <r>
      <rPr>
        <sz val="10"/>
        <color rgb="FF444441"/>
        <rFont val="微軟正黑體"/>
        <family val="2"/>
        <charset val="136"/>
      </rPr>
      <t>丼飯</t>
    </r>
    <r>
      <rPr>
        <sz val="10"/>
        <color rgb="FF444441"/>
        <rFont val="Times New Roman"/>
        <family val="1"/>
      </rPr>
      <t>-</t>
    </r>
    <r>
      <rPr>
        <sz val="10"/>
        <color rgb="FF444441"/>
        <rFont val="微軟正黑體"/>
        <family val="2"/>
        <charset val="136"/>
      </rPr>
      <t>柴魚湯凍</t>
    </r>
    <r>
      <rPr>
        <sz val="10"/>
        <color rgb="FF444441"/>
        <rFont val="Times New Roman"/>
        <family val="1"/>
      </rPr>
      <t>(111</t>
    </r>
    <r>
      <rPr>
        <sz val="10"/>
        <color rgb="FF444441"/>
        <rFont val="微軟正黑體"/>
        <family val="2"/>
        <charset val="136"/>
      </rPr>
      <t>年</t>
    </r>
    <r>
      <rPr>
        <sz val="10"/>
        <color rgb="FF444441"/>
        <rFont val="Times New Roman"/>
        <family val="1"/>
      </rPr>
      <t>)</t>
    </r>
  </si>
  <si>
    <r>
      <rPr>
        <sz val="10"/>
        <color rgb="FF444441"/>
        <rFont val="微軟正黑體"/>
        <family val="2"/>
        <charset val="136"/>
      </rPr>
      <t>烤日式豬排洋蔥蛋</t>
    </r>
    <r>
      <rPr>
        <sz val="10"/>
        <color rgb="FF444441"/>
        <rFont val="Times New Roman"/>
        <family val="1"/>
      </rPr>
      <t>(112</t>
    </r>
    <r>
      <rPr>
        <sz val="10"/>
        <color rgb="FF444441"/>
        <rFont val="微軟正黑體"/>
        <family val="2"/>
        <charset val="136"/>
      </rPr>
      <t>年</t>
    </r>
    <r>
      <rPr>
        <sz val="10"/>
        <color rgb="FF444441"/>
        <rFont val="Times New Roman"/>
        <family val="1"/>
      </rPr>
      <t>)</t>
    </r>
  </si>
  <si>
    <r>
      <rPr>
        <sz val="10"/>
        <color rgb="FF444441"/>
        <rFont val="微軟正黑體"/>
        <family val="2"/>
        <charset val="136"/>
      </rPr>
      <t>個</t>
    </r>
  </si>
  <si>
    <r>
      <rPr>
        <sz val="10"/>
        <color rgb="FF444441"/>
        <rFont val="微軟正黑體"/>
        <family val="2"/>
        <charset val="136"/>
      </rPr>
      <t>丼飯</t>
    </r>
    <r>
      <rPr>
        <sz val="10"/>
        <color rgb="FF444441"/>
        <rFont val="Times New Roman"/>
        <family val="1"/>
      </rPr>
      <t>-</t>
    </r>
    <r>
      <rPr>
        <sz val="10"/>
        <color rgb="FF444441"/>
        <rFont val="微軟正黑體"/>
        <family val="2"/>
        <charset val="136"/>
      </rPr>
      <t>滑蛋</t>
    </r>
    <r>
      <rPr>
        <sz val="10"/>
        <color rgb="FF444441"/>
        <rFont val="Times New Roman"/>
        <family val="1"/>
      </rPr>
      <t>(112</t>
    </r>
    <r>
      <rPr>
        <sz val="10"/>
        <color rgb="FF444441"/>
        <rFont val="微軟正黑體"/>
        <family val="2"/>
        <charset val="136"/>
      </rPr>
      <t>年</t>
    </r>
    <r>
      <rPr>
        <sz val="10"/>
        <color rgb="FF444441"/>
        <rFont val="Times New Roman"/>
        <family val="1"/>
      </rPr>
      <t>)</t>
    </r>
  </si>
  <si>
    <r>
      <rPr>
        <sz val="10"/>
        <color rgb="FF444441"/>
        <rFont val="微軟正黑體"/>
        <family val="2"/>
        <charset val="136"/>
      </rPr>
      <t>清洗蔥花</t>
    </r>
  </si>
  <si>
    <r>
      <rPr>
        <sz val="10"/>
        <color rgb="FF444441"/>
        <rFont val="微軟正黑體"/>
        <family val="2"/>
        <charset val="136"/>
      </rPr>
      <t>殺菌七味唐辛子</t>
    </r>
    <r>
      <rPr>
        <sz val="10"/>
        <color rgb="FF444441"/>
        <rFont val="Times New Roman"/>
        <family val="1"/>
      </rPr>
      <t xml:space="preserve">(B0702AW6161) </t>
    </r>
  </si>
  <si>
    <r>
      <rPr>
        <sz val="10"/>
        <color rgb="FF444441"/>
        <rFont val="微軟正黑體"/>
        <family val="2"/>
        <charset val="136"/>
      </rPr>
      <t>炙烤醬香燒豚飯</t>
    </r>
    <phoneticPr fontId="27" type="noConversion"/>
  </si>
  <si>
    <r>
      <rPr>
        <sz val="10"/>
        <color rgb="FF444441"/>
        <rFont val="微軟正黑體"/>
        <family val="2"/>
        <charset val="136"/>
      </rPr>
      <t>新低溫飯</t>
    </r>
  </si>
  <si>
    <r>
      <t>1150617</t>
    </r>
    <r>
      <rPr>
        <sz val="10"/>
        <color rgb="FF444441"/>
        <rFont val="微軟正黑體"/>
        <family val="2"/>
        <charset val="136"/>
      </rPr>
      <t>炙烤醬香燒豚飯</t>
    </r>
    <r>
      <rPr>
        <sz val="10"/>
        <color rgb="FF444441"/>
        <rFont val="Times New Roman"/>
        <family val="1"/>
      </rPr>
      <t>.</t>
    </r>
    <r>
      <rPr>
        <sz val="10"/>
        <color rgb="FF444441"/>
        <rFont val="微軟正黑體"/>
        <family val="2"/>
        <charset val="136"/>
      </rPr>
      <t>確認版</t>
    </r>
    <r>
      <rPr>
        <sz val="10"/>
        <color rgb="FF444441"/>
        <rFont val="Times New Roman"/>
        <family val="1"/>
      </rPr>
      <t>(1)</t>
    </r>
    <phoneticPr fontId="27" type="noConversion"/>
  </si>
  <si>
    <r>
      <rPr>
        <sz val="10"/>
        <color rgb="FF444441"/>
        <rFont val="微軟正黑體"/>
        <family val="2"/>
        <charset val="136"/>
      </rPr>
      <t>蒜味燒豚醬</t>
    </r>
    <r>
      <rPr>
        <sz val="10"/>
        <color rgb="FF444441"/>
        <rFont val="Times New Roman"/>
        <family val="1"/>
      </rPr>
      <t>(115</t>
    </r>
    <r>
      <rPr>
        <sz val="10"/>
        <color rgb="FF444441"/>
        <rFont val="微軟正黑體"/>
        <family val="2"/>
        <charset val="136"/>
      </rPr>
      <t>年</t>
    </r>
    <r>
      <rPr>
        <sz val="10"/>
        <color rgb="FF444441"/>
        <rFont val="Times New Roman"/>
        <family val="1"/>
      </rPr>
      <t>)</t>
    </r>
  </si>
  <si>
    <r>
      <rPr>
        <sz val="10"/>
        <color rgb="FF444441"/>
        <rFont val="微軟正黑體"/>
        <family val="2"/>
        <charset val="136"/>
      </rPr>
      <t>切</t>
    </r>
    <r>
      <rPr>
        <sz val="10"/>
        <color rgb="FF444441"/>
        <rFont val="Times New Roman"/>
        <family val="1"/>
      </rPr>
      <t>-</t>
    </r>
    <r>
      <rPr>
        <sz val="10"/>
        <color rgb="FF444441"/>
        <rFont val="微軟正黑體"/>
        <family val="2"/>
        <charset val="136"/>
      </rPr>
      <t>炙燒炭火燒肉片</t>
    </r>
  </si>
  <si>
    <r>
      <rPr>
        <sz val="10"/>
        <color rgb="FF444441"/>
        <rFont val="微軟正黑體"/>
        <family val="2"/>
        <charset val="136"/>
      </rPr>
      <t>甘口燒肉醬</t>
    </r>
  </si>
  <si>
    <r>
      <rPr>
        <sz val="10"/>
        <color rgb="FF444441"/>
        <rFont val="微軟正黑體"/>
        <family val="2"/>
        <charset val="136"/>
      </rPr>
      <t>瀝汁</t>
    </r>
    <r>
      <rPr>
        <sz val="10"/>
        <color rgb="FF444441"/>
        <rFont val="Times New Roman"/>
        <family val="1"/>
      </rPr>
      <t>-</t>
    </r>
    <r>
      <rPr>
        <sz val="10"/>
        <color rgb="FF444441"/>
        <rFont val="微軟正黑體"/>
        <family val="2"/>
        <charset val="136"/>
      </rPr>
      <t>韓國首爾泡菜</t>
    </r>
  </si>
  <si>
    <r>
      <rPr>
        <sz val="10"/>
        <color rgb="FF444441"/>
        <rFont val="微軟正黑體"/>
        <family val="2"/>
        <charset val="136"/>
      </rPr>
      <t>蒜蒜醬</t>
    </r>
  </si>
  <si>
    <r>
      <rPr>
        <sz val="10"/>
        <color rgb="FF444441"/>
        <rFont val="微軟正黑體"/>
        <family val="2"/>
        <charset val="136"/>
      </rPr>
      <t>金香炒麻仁</t>
    </r>
    <r>
      <rPr>
        <sz val="10"/>
        <color rgb="FF444441"/>
        <rFont val="Times New Roman"/>
        <family val="1"/>
      </rPr>
      <t>(</t>
    </r>
    <r>
      <rPr>
        <sz val="10"/>
        <color rgb="FF444441"/>
        <rFont val="微軟正黑體"/>
        <family val="2"/>
        <charset val="136"/>
      </rPr>
      <t>熟</t>
    </r>
    <r>
      <rPr>
        <sz val="10"/>
        <color rgb="FF444441"/>
        <rFont val="Times New Roman"/>
        <family val="1"/>
      </rPr>
      <t>)</t>
    </r>
  </si>
  <si>
    <r>
      <rPr>
        <sz val="10"/>
        <color rgb="FF444441"/>
        <rFont val="微軟正黑體"/>
        <family val="2"/>
        <charset val="136"/>
      </rPr>
      <t>下架</t>
    </r>
  </si>
  <si>
    <r>
      <rPr>
        <sz val="10"/>
        <color rgb="FF444441"/>
        <rFont val="微軟正黑體"/>
        <family val="2"/>
        <charset val="136"/>
      </rPr>
      <t>壹號醬雞豚雙拼</t>
    </r>
    <phoneticPr fontId="27" type="noConversion"/>
  </si>
  <si>
    <r>
      <rPr>
        <sz val="10"/>
        <color rgb="FF444441"/>
        <rFont val="微軟正黑體"/>
        <family val="2"/>
        <charset val="136"/>
      </rPr>
      <t>新豐</t>
    </r>
    <r>
      <rPr>
        <sz val="10"/>
        <color rgb="FF444441"/>
        <rFont val="Times New Roman"/>
        <family val="1"/>
      </rPr>
      <t>_2025.08.13_</t>
    </r>
    <r>
      <rPr>
        <sz val="10"/>
        <color rgb="FF444441"/>
        <rFont val="微軟正黑體"/>
        <family val="2"/>
        <charset val="136"/>
      </rPr>
      <t>壹號醬雞豚雙拼</t>
    </r>
    <r>
      <rPr>
        <sz val="10"/>
        <color rgb="FF444441"/>
        <rFont val="Times New Roman"/>
        <family val="1"/>
      </rPr>
      <t>_2026.01</t>
    </r>
    <r>
      <rPr>
        <sz val="10"/>
        <color rgb="FF444441"/>
        <rFont val="微軟正黑體"/>
        <family val="2"/>
        <charset val="136"/>
      </rPr>
      <t>校正</t>
    </r>
    <r>
      <rPr>
        <sz val="10"/>
        <color rgb="FF444441"/>
        <rFont val="Times New Roman"/>
        <family val="1"/>
      </rPr>
      <t>.xlsx</t>
    </r>
  </si>
  <si>
    <r>
      <rPr>
        <sz val="10"/>
        <color rgb="FF444441"/>
        <rFont val="微軟正黑體"/>
        <family val="2"/>
        <charset val="136"/>
      </rPr>
      <t>莊子儀</t>
    </r>
    <phoneticPr fontId="27" type="noConversion"/>
  </si>
  <si>
    <r>
      <rPr>
        <sz val="10"/>
        <color rgb="FF444441"/>
        <rFont val="微軟正黑體"/>
        <family val="2"/>
        <charset val="136"/>
      </rPr>
      <t>碳香燒肉醬</t>
    </r>
  </si>
  <si>
    <r>
      <rPr>
        <sz val="10"/>
        <color rgb="FF444441"/>
        <rFont val="微軟正黑體"/>
        <family val="2"/>
        <charset val="136"/>
      </rPr>
      <t>切</t>
    </r>
    <r>
      <rPr>
        <sz val="10"/>
        <color rgb="FF444441"/>
        <rFont val="Times New Roman"/>
        <family val="1"/>
      </rPr>
      <t>-</t>
    </r>
    <r>
      <rPr>
        <sz val="10"/>
        <color rgb="FF444441"/>
        <rFont val="微軟正黑體"/>
        <family val="2"/>
        <charset val="136"/>
      </rPr>
      <t>究極燒肉片</t>
    </r>
  </si>
  <si>
    <r>
      <t>4</t>
    </r>
    <r>
      <rPr>
        <sz val="10"/>
        <color rgb="FF444441"/>
        <rFont val="微軟正黑體"/>
        <family val="2"/>
        <charset val="136"/>
      </rPr>
      <t>切</t>
    </r>
    <r>
      <rPr>
        <sz val="10"/>
        <color rgb="FF444441"/>
        <rFont val="Times New Roman"/>
        <family val="1"/>
      </rPr>
      <t>-</t>
    </r>
    <r>
      <rPr>
        <sz val="10"/>
        <color rgb="FF444441"/>
        <rFont val="微軟正黑體"/>
        <family val="2"/>
        <charset val="136"/>
      </rPr>
      <t>烤醃漬雞腿排</t>
    </r>
    <r>
      <rPr>
        <sz val="10"/>
        <color rgb="FF444441"/>
        <rFont val="Times New Roman"/>
        <family val="1"/>
      </rPr>
      <t>50g</t>
    </r>
  </si>
  <si>
    <r>
      <rPr>
        <sz val="10"/>
        <color rgb="FF444441"/>
        <rFont val="微軟正黑體"/>
        <family val="2"/>
        <charset val="136"/>
      </rPr>
      <t>自製鹽蔥</t>
    </r>
    <r>
      <rPr>
        <sz val="10"/>
        <color rgb="FF444441"/>
        <rFont val="Times New Roman"/>
        <family val="1"/>
      </rPr>
      <t>(114</t>
    </r>
    <r>
      <rPr>
        <sz val="10"/>
        <color rgb="FF444441"/>
        <rFont val="微軟正黑體"/>
        <family val="2"/>
        <charset val="136"/>
      </rPr>
      <t>年</t>
    </r>
    <r>
      <rPr>
        <sz val="10"/>
        <color rgb="FF444441"/>
        <rFont val="Times New Roman"/>
        <family val="1"/>
      </rPr>
      <t>)</t>
    </r>
  </si>
  <si>
    <r>
      <rPr>
        <sz val="10"/>
        <color rgb="FF444441"/>
        <rFont val="微軟正黑體"/>
        <family val="2"/>
        <charset val="136"/>
      </rPr>
      <t>殺菌七味唐辛子</t>
    </r>
    <r>
      <rPr>
        <sz val="10"/>
        <color rgb="FF444441"/>
        <rFont val="Times New Roman"/>
        <family val="1"/>
      </rPr>
      <t>(B0702AW6161)</t>
    </r>
  </si>
  <si>
    <r>
      <rPr>
        <sz val="10"/>
        <color rgb="FF444441"/>
        <rFont val="微軟正黑體"/>
        <family val="2"/>
        <charset val="136"/>
      </rPr>
      <t>香辣醬蒜味香腸蛋炒飯</t>
    </r>
    <phoneticPr fontId="27" type="noConversion"/>
  </si>
  <si>
    <r>
      <rPr>
        <sz val="10"/>
        <color rgb="FF444441"/>
        <rFont val="微軟正黑體"/>
        <family val="2"/>
        <charset val="136"/>
      </rPr>
      <t>鼎泰豐</t>
    </r>
    <r>
      <rPr>
        <sz val="10"/>
        <color rgb="FF444441"/>
        <rFont val="Times New Roman"/>
        <family val="1"/>
      </rPr>
      <t>-</t>
    </r>
    <r>
      <rPr>
        <sz val="10"/>
        <color rgb="FF444441"/>
        <rFont val="微軟正黑體"/>
        <family val="2"/>
        <charset val="136"/>
      </rPr>
      <t>黃金蛋炒飯</t>
    </r>
    <r>
      <rPr>
        <sz val="10"/>
        <color rgb="FF444441"/>
        <rFont val="Times New Roman"/>
        <family val="1"/>
      </rPr>
      <t>(112</t>
    </r>
    <r>
      <rPr>
        <sz val="10"/>
        <color rgb="FF444441"/>
        <rFont val="微軟正黑體"/>
        <family val="2"/>
        <charset val="136"/>
      </rPr>
      <t>年</t>
    </r>
    <r>
      <rPr>
        <sz val="10"/>
        <color rgb="FF444441"/>
        <rFont val="Times New Roman"/>
        <family val="1"/>
      </rPr>
      <t>)</t>
    </r>
  </si>
  <si>
    <r>
      <t>1131120</t>
    </r>
    <r>
      <rPr>
        <sz val="10"/>
        <color rgb="FF444441"/>
        <rFont val="微軟正黑體"/>
        <family val="2"/>
        <charset val="136"/>
      </rPr>
      <t>二配香辣醬蒜味香腸蛋炒飯</t>
    </r>
    <r>
      <rPr>
        <sz val="10"/>
        <color rgb="FF444441"/>
        <rFont val="Times New Roman"/>
        <family val="1"/>
      </rPr>
      <t>.</t>
    </r>
    <r>
      <rPr>
        <sz val="10"/>
        <color rgb="FF444441"/>
        <rFont val="微軟正黑體"/>
        <family val="2"/>
        <charset val="136"/>
      </rPr>
      <t>確認版</t>
    </r>
    <r>
      <rPr>
        <sz val="10"/>
        <color rgb="FF444441"/>
        <rFont val="Times New Roman"/>
        <family val="1"/>
      </rPr>
      <t>(2)</t>
    </r>
    <r>
      <rPr>
        <sz val="10"/>
        <color rgb="FF444441"/>
        <rFont val="微軟正黑體"/>
        <family val="2"/>
        <charset val="136"/>
      </rPr>
      <t>切換二配</t>
    </r>
    <phoneticPr fontId="27" type="noConversion"/>
  </si>
  <si>
    <r>
      <rPr>
        <sz val="10"/>
        <color rgb="FF444441"/>
        <rFont val="微軟正黑體"/>
        <family val="2"/>
        <charset val="136"/>
      </rPr>
      <t>油亮蒜味香腸片</t>
    </r>
  </si>
  <si>
    <r>
      <rPr>
        <sz val="10"/>
        <color rgb="FF444441"/>
        <rFont val="微軟正黑體"/>
        <family val="2"/>
        <charset val="136"/>
      </rPr>
      <t>蒸鼎泰豐香辣醬</t>
    </r>
  </si>
  <si>
    <r>
      <rPr>
        <sz val="10"/>
        <color rgb="FF444441"/>
        <rFont val="微軟正黑體"/>
        <family val="2"/>
        <charset val="136"/>
      </rPr>
      <t>藤椒雞丁炒飯</t>
    </r>
    <phoneticPr fontId="27" type="noConversion"/>
  </si>
  <si>
    <r>
      <rPr>
        <sz val="10"/>
        <color rgb="FF444441"/>
        <rFont val="微軟正黑體"/>
        <family val="2"/>
        <charset val="136"/>
      </rPr>
      <t>藤椒油炒飯</t>
    </r>
  </si>
  <si>
    <r>
      <t>1150609</t>
    </r>
    <r>
      <rPr>
        <sz val="10"/>
        <color rgb="FF444441"/>
        <rFont val="微軟正黑體"/>
        <family val="2"/>
        <charset val="136"/>
      </rPr>
      <t>二配藤椒雞丁炒飯</t>
    </r>
    <r>
      <rPr>
        <sz val="10"/>
        <color rgb="FF444441"/>
        <rFont val="Times New Roman"/>
        <family val="1"/>
      </rPr>
      <t>.</t>
    </r>
    <r>
      <rPr>
        <sz val="10"/>
        <color rgb="FF444441"/>
        <rFont val="微軟正黑體"/>
        <family val="2"/>
        <charset val="136"/>
      </rPr>
      <t>確認版</t>
    </r>
    <r>
      <rPr>
        <sz val="10"/>
        <color rgb="FF444441"/>
        <rFont val="Times New Roman"/>
        <family val="1"/>
      </rPr>
      <t>(2)</t>
    </r>
    <r>
      <rPr>
        <sz val="10"/>
        <color rgb="FF444441"/>
        <rFont val="微軟正黑體"/>
        <family val="2"/>
        <charset val="136"/>
      </rPr>
      <t>新增雞丁大小良品規範</t>
    </r>
    <phoneticPr fontId="27" type="noConversion"/>
  </si>
  <si>
    <r>
      <rPr>
        <sz val="10"/>
        <color rgb="FF444441"/>
        <rFont val="微軟正黑體"/>
        <family val="2"/>
        <charset val="136"/>
      </rPr>
      <t>烤藤椒雞丁</t>
    </r>
  </si>
  <si>
    <r>
      <rPr>
        <sz val="10"/>
        <color rgb="FF444441"/>
        <rFont val="微軟正黑體"/>
        <family val="2"/>
        <charset val="136"/>
      </rPr>
      <t>ㄠ麻子藤椒油</t>
    </r>
  </si>
  <si>
    <r>
      <rPr>
        <sz val="10"/>
        <color rgb="FF444441"/>
        <rFont val="微軟正黑體"/>
        <family val="2"/>
        <charset val="136"/>
      </rPr>
      <t>川味麻婆燒豆腐燴飯</t>
    </r>
    <phoneticPr fontId="27" type="noConversion"/>
  </si>
  <si>
    <r>
      <t>1130110</t>
    </r>
    <r>
      <rPr>
        <sz val="10"/>
        <color rgb="FF444441"/>
        <rFont val="微軟正黑體"/>
        <family val="2"/>
        <charset val="136"/>
      </rPr>
      <t>二配川味麻婆燒豆腐燴飯</t>
    </r>
    <r>
      <rPr>
        <sz val="10"/>
        <color rgb="FF444441"/>
        <rFont val="Times New Roman"/>
        <family val="1"/>
      </rPr>
      <t>.</t>
    </r>
    <r>
      <rPr>
        <sz val="10"/>
        <color rgb="FF444441"/>
        <rFont val="微軟正黑體"/>
        <family val="2"/>
        <charset val="136"/>
      </rPr>
      <t>確認版</t>
    </r>
    <r>
      <rPr>
        <sz val="10"/>
        <color rgb="FF444441"/>
        <rFont val="Times New Roman"/>
        <family val="1"/>
      </rPr>
      <t>(13)</t>
    </r>
    <r>
      <rPr>
        <sz val="10"/>
        <color rgb="FF444441"/>
        <rFont val="微軟正黑體"/>
        <family val="2"/>
        <charset val="136"/>
      </rPr>
      <t>設計移除國產豬及蔥花</t>
    </r>
    <phoneticPr fontId="27" type="noConversion"/>
  </si>
  <si>
    <r>
      <rPr>
        <sz val="10"/>
        <color rgb="FF444441"/>
        <rFont val="微軟正黑體"/>
        <family val="2"/>
        <charset val="136"/>
      </rPr>
      <t>鼎泰豐</t>
    </r>
    <r>
      <rPr>
        <sz val="10"/>
        <color rgb="FF444441"/>
        <rFont val="Times New Roman"/>
        <family val="1"/>
      </rPr>
      <t>-</t>
    </r>
    <r>
      <rPr>
        <sz val="10"/>
        <color rgb="FF444441"/>
        <rFont val="微軟正黑體"/>
        <family val="2"/>
        <charset val="136"/>
      </rPr>
      <t>煮麻婆豆腐</t>
    </r>
    <r>
      <rPr>
        <sz val="10"/>
        <color rgb="FF444441"/>
        <rFont val="Times New Roman"/>
        <family val="1"/>
      </rPr>
      <t>(113</t>
    </r>
    <r>
      <rPr>
        <sz val="10"/>
        <color rgb="FF444441"/>
        <rFont val="微軟正黑體"/>
        <family val="2"/>
        <charset val="136"/>
      </rPr>
      <t>年</t>
    </r>
    <r>
      <rPr>
        <sz val="10"/>
        <color rgb="FF444441"/>
        <rFont val="Times New Roman"/>
        <family val="1"/>
      </rPr>
      <t>)</t>
    </r>
  </si>
  <si>
    <r>
      <rPr>
        <sz val="10"/>
        <color rgb="FF444441"/>
        <rFont val="微軟正黑體"/>
        <family val="2"/>
        <charset val="136"/>
      </rPr>
      <t>鼎泰豐</t>
    </r>
    <r>
      <rPr>
        <sz val="10"/>
        <color rgb="FF444441"/>
        <rFont val="Times New Roman"/>
        <family val="1"/>
      </rPr>
      <t>-</t>
    </r>
    <r>
      <rPr>
        <sz val="10"/>
        <color rgb="FF444441"/>
        <rFont val="微軟正黑體"/>
        <family val="2"/>
        <charset val="136"/>
      </rPr>
      <t>麻婆豆腐燴汁</t>
    </r>
    <r>
      <rPr>
        <sz val="10"/>
        <color rgb="FF444441"/>
        <rFont val="Times New Roman"/>
        <family val="1"/>
      </rPr>
      <t>(113</t>
    </r>
    <r>
      <rPr>
        <sz val="10"/>
        <color rgb="FF444441"/>
        <rFont val="微軟正黑體"/>
        <family val="2"/>
        <charset val="136"/>
      </rPr>
      <t>年</t>
    </r>
    <r>
      <rPr>
        <sz val="10"/>
        <color rgb="FF444441"/>
        <rFont val="Times New Roman"/>
        <family val="1"/>
      </rPr>
      <t>)</t>
    </r>
  </si>
  <si>
    <r>
      <rPr>
        <sz val="10"/>
        <color rgb="FF444441"/>
        <rFont val="微軟正黑體"/>
        <family val="2"/>
        <charset val="136"/>
      </rPr>
      <t>金咖哩濃厚辛口咖哩飯</t>
    </r>
    <phoneticPr fontId="27" type="noConversion"/>
  </si>
  <si>
    <r>
      <t>1141111</t>
    </r>
    <r>
      <rPr>
        <sz val="10"/>
        <color rgb="FF444441"/>
        <rFont val="微軟正黑體"/>
        <family val="2"/>
        <charset val="136"/>
      </rPr>
      <t>二配金咖哩濃厚辛口咖哩飯</t>
    </r>
    <r>
      <rPr>
        <sz val="10"/>
        <color rgb="FF444441"/>
        <rFont val="Times New Roman"/>
        <family val="1"/>
      </rPr>
      <t>.</t>
    </r>
    <r>
      <rPr>
        <sz val="10"/>
        <color rgb="FF444441"/>
        <rFont val="微軟正黑體"/>
        <family val="2"/>
        <charset val="136"/>
      </rPr>
      <t>確認版</t>
    </r>
    <r>
      <rPr>
        <sz val="10"/>
        <color rgb="FF444441"/>
        <rFont val="Times New Roman"/>
        <family val="1"/>
      </rPr>
      <t>(3)</t>
    </r>
    <r>
      <rPr>
        <sz val="10"/>
        <color rgb="FF444441"/>
        <rFont val="微軟正黑體"/>
        <family val="2"/>
        <charset val="136"/>
      </rPr>
      <t>設計切換無國產豬</t>
    </r>
    <phoneticPr fontId="27" type="noConversion"/>
  </si>
  <si>
    <r>
      <rPr>
        <sz val="10"/>
        <color rgb="FF444441"/>
        <rFont val="微軟正黑體"/>
        <family val="2"/>
        <charset val="136"/>
      </rPr>
      <t>濃辛辣咖哩醬</t>
    </r>
    <r>
      <rPr>
        <sz val="10"/>
        <color rgb="FF444441"/>
        <rFont val="Times New Roman"/>
        <family val="1"/>
      </rPr>
      <t>(114</t>
    </r>
    <r>
      <rPr>
        <sz val="10"/>
        <color rgb="FF444441"/>
        <rFont val="微軟正黑體"/>
        <family val="2"/>
        <charset val="136"/>
      </rPr>
      <t>年</t>
    </r>
    <r>
      <rPr>
        <sz val="10"/>
        <color rgb="FF444441"/>
        <rFont val="Times New Roman"/>
        <family val="1"/>
      </rPr>
      <t>)</t>
    </r>
  </si>
  <si>
    <r>
      <rPr>
        <sz val="10"/>
        <color rgb="FF444441"/>
        <rFont val="微軟正黑體"/>
        <family val="2"/>
        <charset val="136"/>
      </rPr>
      <t>辛口咖哩豬肉</t>
    </r>
    <r>
      <rPr>
        <sz val="10"/>
        <color rgb="FF444441"/>
        <rFont val="Times New Roman"/>
        <family val="1"/>
      </rPr>
      <t>(114</t>
    </r>
    <r>
      <rPr>
        <sz val="10"/>
        <color rgb="FF444441"/>
        <rFont val="微軟正黑體"/>
        <family val="2"/>
        <charset val="136"/>
      </rPr>
      <t>年</t>
    </r>
    <r>
      <rPr>
        <sz val="10"/>
        <color rgb="FF444441"/>
        <rFont val="Times New Roman"/>
        <family val="1"/>
      </rPr>
      <t>)</t>
    </r>
  </si>
  <si>
    <r>
      <rPr>
        <sz val="10"/>
        <color rgb="FF444441"/>
        <rFont val="微軟正黑體"/>
        <family val="2"/>
        <charset val="136"/>
      </rPr>
      <t>煮咖哩紅蘿蔔丁</t>
    </r>
  </si>
  <si>
    <r>
      <rPr>
        <sz val="10"/>
        <color rgb="FF444441"/>
        <rFont val="微軟正黑體"/>
        <family val="2"/>
        <charset val="136"/>
      </rPr>
      <t>煮焦糖馬鈴薯丁</t>
    </r>
  </si>
  <si>
    <r>
      <rPr>
        <sz val="10"/>
        <color rgb="FF444441"/>
        <rFont val="微軟正黑體"/>
        <family val="2"/>
        <charset val="136"/>
      </rPr>
      <t>辛口咖哩辣油</t>
    </r>
  </si>
  <si>
    <r>
      <rPr>
        <sz val="10"/>
        <color rgb="FF444441"/>
        <rFont val="微軟正黑體"/>
        <family val="2"/>
        <charset val="136"/>
      </rPr>
      <t>金咖哩果香甘口咖哩飯</t>
    </r>
    <phoneticPr fontId="27" type="noConversion"/>
  </si>
  <si>
    <r>
      <t>1141111</t>
    </r>
    <r>
      <rPr>
        <sz val="10"/>
        <color rgb="FF444441"/>
        <rFont val="微軟正黑體"/>
        <family val="2"/>
        <charset val="136"/>
      </rPr>
      <t>二配金咖哩果香甘口咖哩飯</t>
    </r>
    <r>
      <rPr>
        <sz val="10"/>
        <color rgb="FF444441"/>
        <rFont val="Times New Roman"/>
        <family val="1"/>
      </rPr>
      <t>.</t>
    </r>
    <r>
      <rPr>
        <sz val="10"/>
        <color rgb="FF444441"/>
        <rFont val="微軟正黑體"/>
        <family val="2"/>
        <charset val="136"/>
      </rPr>
      <t>確認版</t>
    </r>
    <r>
      <rPr>
        <sz val="10"/>
        <color rgb="FF444441"/>
        <rFont val="Times New Roman"/>
        <family val="1"/>
      </rPr>
      <t>(2)-B01-</t>
    </r>
    <r>
      <rPr>
        <sz val="10"/>
        <color rgb="FF444441"/>
        <rFont val="微軟正黑體"/>
        <family val="2"/>
        <charset val="136"/>
      </rPr>
      <t>修正貼標示意圖</t>
    </r>
    <phoneticPr fontId="27" type="noConversion"/>
  </si>
  <si>
    <r>
      <rPr>
        <sz val="10"/>
        <color rgb="FF444441"/>
        <rFont val="微軟正黑體"/>
        <family val="2"/>
        <charset val="136"/>
      </rPr>
      <t>果香甘口咖哩醬</t>
    </r>
    <r>
      <rPr>
        <sz val="10"/>
        <color rgb="FF444441"/>
        <rFont val="Times New Roman"/>
        <family val="1"/>
      </rPr>
      <t>(114</t>
    </r>
    <r>
      <rPr>
        <sz val="10"/>
        <color rgb="FF444441"/>
        <rFont val="微軟正黑體"/>
        <family val="2"/>
        <charset val="136"/>
      </rPr>
      <t>年</t>
    </r>
    <r>
      <rPr>
        <sz val="10"/>
        <color rgb="FF444441"/>
        <rFont val="Times New Roman"/>
        <family val="1"/>
      </rPr>
      <t>)</t>
    </r>
  </si>
  <si>
    <r>
      <rPr>
        <sz val="10"/>
        <color rgb="FF444441"/>
        <rFont val="微軟正黑體"/>
        <family val="2"/>
        <charset val="136"/>
      </rPr>
      <t>蒸果香甘口咖哩腿丁</t>
    </r>
  </si>
  <si>
    <r>
      <rPr>
        <sz val="10"/>
        <color rgb="FF444441"/>
        <rFont val="微軟正黑體"/>
        <family val="2"/>
        <charset val="136"/>
      </rPr>
      <t>煮焦糖紅蘿蔔丁</t>
    </r>
  </si>
  <si>
    <r>
      <rPr>
        <sz val="10"/>
        <color rgb="FF444441"/>
        <rFont val="微軟正黑體"/>
        <family val="2"/>
        <charset val="136"/>
      </rPr>
      <t>港式香滑嫩蛋牛肉燴飯</t>
    </r>
    <phoneticPr fontId="27" type="noConversion"/>
  </si>
  <si>
    <r>
      <t>1140708</t>
    </r>
    <r>
      <rPr>
        <sz val="10"/>
        <color rgb="FF444441"/>
        <rFont val="微軟正黑體"/>
        <family val="2"/>
        <charset val="136"/>
      </rPr>
      <t>二配港式香滑嫩蛋牛肉燴飯</t>
    </r>
    <r>
      <rPr>
        <sz val="10"/>
        <color rgb="FF444441"/>
        <rFont val="Times New Roman"/>
        <family val="1"/>
      </rPr>
      <t>.</t>
    </r>
    <r>
      <rPr>
        <sz val="10"/>
        <color rgb="FF444441"/>
        <rFont val="微軟正黑體"/>
        <family val="2"/>
        <charset val="136"/>
      </rPr>
      <t>確認版</t>
    </r>
    <r>
      <rPr>
        <sz val="10"/>
        <color rgb="FF444441"/>
        <rFont val="Times New Roman"/>
        <family val="1"/>
      </rPr>
      <t>(8)-F06-</t>
    </r>
    <r>
      <rPr>
        <sz val="10"/>
        <color rgb="FF444441"/>
        <rFont val="微軟正黑體"/>
        <family val="2"/>
        <charset val="136"/>
      </rPr>
      <t>切回青江菜、食研所第五波製成率校正</t>
    </r>
    <phoneticPr fontId="27" type="noConversion"/>
  </si>
  <si>
    <r>
      <rPr>
        <sz val="10"/>
        <color rgb="FF444441"/>
        <rFont val="微軟正黑體"/>
        <family val="2"/>
        <charset val="136"/>
      </rPr>
      <t>香滑嫩蛋牛肉</t>
    </r>
    <r>
      <rPr>
        <sz val="10"/>
        <color rgb="FF444441"/>
        <rFont val="Times New Roman"/>
        <family val="1"/>
      </rPr>
      <t>-</t>
    </r>
    <r>
      <rPr>
        <sz val="10"/>
        <color rgb="FF444441"/>
        <rFont val="微軟正黑體"/>
        <family val="2"/>
        <charset val="136"/>
      </rPr>
      <t>燴汁</t>
    </r>
    <r>
      <rPr>
        <sz val="10"/>
        <color rgb="FF444441"/>
        <rFont val="Times New Roman"/>
        <family val="1"/>
      </rPr>
      <t>(112</t>
    </r>
    <r>
      <rPr>
        <sz val="10"/>
        <color rgb="FF444441"/>
        <rFont val="微軟正黑體"/>
        <family val="2"/>
        <charset val="136"/>
      </rPr>
      <t>年版</t>
    </r>
    <r>
      <rPr>
        <sz val="10"/>
        <color rgb="FF444441"/>
        <rFont val="Times New Roman"/>
        <family val="1"/>
      </rPr>
      <t>)</t>
    </r>
  </si>
  <si>
    <r>
      <rPr>
        <sz val="10"/>
        <color rgb="FF444441"/>
        <rFont val="微軟正黑體"/>
        <family val="2"/>
        <charset val="136"/>
      </rPr>
      <t>財神蠔油</t>
    </r>
  </si>
  <si>
    <r>
      <rPr>
        <sz val="10"/>
        <color rgb="FF444441"/>
        <rFont val="微軟正黑體"/>
        <family val="2"/>
        <charset val="136"/>
      </rPr>
      <t>燴飯</t>
    </r>
    <r>
      <rPr>
        <sz val="10"/>
        <color rgb="FF444441"/>
        <rFont val="Times New Roman"/>
        <family val="1"/>
      </rPr>
      <t>-</t>
    </r>
    <r>
      <rPr>
        <sz val="10"/>
        <color rgb="FF444441"/>
        <rFont val="微軟正黑體"/>
        <family val="2"/>
        <charset val="136"/>
      </rPr>
      <t>滑蛋</t>
    </r>
    <r>
      <rPr>
        <sz val="10"/>
        <color rgb="FF444441"/>
        <rFont val="Times New Roman"/>
        <family val="1"/>
      </rPr>
      <t>(112</t>
    </r>
    <r>
      <rPr>
        <sz val="10"/>
        <color rgb="FF444441"/>
        <rFont val="微軟正黑體"/>
        <family val="2"/>
        <charset val="136"/>
      </rPr>
      <t>年</t>
    </r>
    <r>
      <rPr>
        <sz val="10"/>
        <color rgb="FF444441"/>
        <rFont val="Times New Roman"/>
        <family val="1"/>
      </rPr>
      <t>)</t>
    </r>
  </si>
  <si>
    <r>
      <rPr>
        <sz val="10"/>
        <color rgb="FF444441"/>
        <rFont val="微軟正黑體"/>
        <family val="2"/>
        <charset val="136"/>
      </rPr>
      <t>川燙切片青江菜</t>
    </r>
  </si>
  <si>
    <r>
      <rPr>
        <sz val="10"/>
        <color rgb="FF444441"/>
        <rFont val="微軟正黑體"/>
        <family val="2"/>
        <charset val="136"/>
      </rPr>
      <t>川燙醃嫩化巴拉圭牛肉切片</t>
    </r>
  </si>
  <si>
    <r>
      <rPr>
        <sz val="10"/>
        <color rgb="FF444441"/>
        <rFont val="微軟正黑體"/>
        <family val="2"/>
        <charset val="136"/>
      </rPr>
      <t>川燙辣椒圓片</t>
    </r>
  </si>
  <si>
    <r>
      <rPr>
        <sz val="10"/>
        <color rgb="FF444441"/>
        <rFont val="微軟正黑體"/>
        <family val="2"/>
        <charset val="136"/>
      </rPr>
      <t>泰式綠咖哩雞</t>
    </r>
    <phoneticPr fontId="27" type="noConversion"/>
  </si>
  <si>
    <r>
      <t>1141028</t>
    </r>
    <r>
      <rPr>
        <sz val="10"/>
        <color rgb="FF444441"/>
        <rFont val="微軟正黑體"/>
        <family val="2"/>
        <charset val="136"/>
      </rPr>
      <t>二配泰式綠咖哩雞</t>
    </r>
    <r>
      <rPr>
        <sz val="10"/>
        <color rgb="FF444441"/>
        <rFont val="Times New Roman"/>
        <family val="1"/>
      </rPr>
      <t>.</t>
    </r>
    <r>
      <rPr>
        <sz val="10"/>
        <color rgb="FF444441"/>
        <rFont val="微軟正黑體"/>
        <family val="2"/>
        <charset val="136"/>
      </rPr>
      <t>確認版</t>
    </r>
    <r>
      <rPr>
        <sz val="10"/>
        <color rgb="FF444441"/>
        <rFont val="Times New Roman"/>
        <family val="1"/>
      </rPr>
      <t>(4)-C02-</t>
    </r>
    <r>
      <rPr>
        <sz val="10"/>
        <color rgb="FF444441"/>
        <rFont val="微軟正黑體"/>
        <family val="2"/>
        <charset val="136"/>
      </rPr>
      <t>修正貼標示意圖</t>
    </r>
    <phoneticPr fontId="27" type="noConversion"/>
  </si>
  <si>
    <r>
      <rPr>
        <sz val="10"/>
        <color rgb="FF444441"/>
        <rFont val="微軟正黑體"/>
        <family val="2"/>
        <charset val="136"/>
      </rPr>
      <t>泰式椰香綠咖哩醬</t>
    </r>
  </si>
  <si>
    <r>
      <rPr>
        <sz val="10"/>
        <color rgb="FF444441"/>
        <rFont val="微軟正黑體"/>
        <family val="2"/>
        <charset val="136"/>
      </rPr>
      <t>椰奶淋醬</t>
    </r>
  </si>
  <si>
    <r>
      <rPr>
        <sz val="10"/>
        <color rgb="FF444441"/>
        <rFont val="微軟正黑體"/>
        <family val="2"/>
        <charset val="136"/>
      </rPr>
      <t>炒綠咖哩腿肉片</t>
    </r>
  </si>
  <si>
    <r>
      <rPr>
        <sz val="10"/>
        <color rgb="FF444441"/>
        <rFont val="微軟正黑體"/>
        <family val="2"/>
        <charset val="136"/>
      </rPr>
      <t>川燙青刀豆丁</t>
    </r>
  </si>
  <si>
    <r>
      <rPr>
        <sz val="10"/>
        <color rgb="FF444441"/>
        <rFont val="微軟正黑體"/>
        <family val="2"/>
        <charset val="136"/>
      </rPr>
      <t>打拋風味豬肉飯</t>
    </r>
    <phoneticPr fontId="27" type="noConversion"/>
  </si>
  <si>
    <r>
      <t>1150519</t>
    </r>
    <r>
      <rPr>
        <sz val="10"/>
        <color rgb="FF444441"/>
        <rFont val="微軟正黑體"/>
        <family val="2"/>
        <charset val="136"/>
      </rPr>
      <t>二配打拋風味豬肉飯</t>
    </r>
    <r>
      <rPr>
        <sz val="10"/>
        <color rgb="FF444441"/>
        <rFont val="Times New Roman"/>
        <family val="1"/>
      </rPr>
      <t>.</t>
    </r>
    <r>
      <rPr>
        <sz val="10"/>
        <color rgb="FF444441"/>
        <rFont val="微軟正黑體"/>
        <family val="2"/>
        <charset val="136"/>
      </rPr>
      <t>確認版</t>
    </r>
    <r>
      <rPr>
        <sz val="10"/>
        <color rgb="FF444441"/>
        <rFont val="Times New Roman"/>
        <family val="1"/>
      </rPr>
      <t>(1)</t>
    </r>
    <phoneticPr fontId="27" type="noConversion"/>
  </si>
  <si>
    <r>
      <rPr>
        <sz val="10"/>
        <color rgb="FF444441"/>
        <rFont val="微軟正黑體"/>
        <family val="2"/>
        <charset val="136"/>
      </rPr>
      <t>炒打拋肉醬</t>
    </r>
  </si>
  <si>
    <r>
      <rPr>
        <sz val="10"/>
        <color rgb="FF444441"/>
        <rFont val="微軟正黑體"/>
        <family val="2"/>
        <charset val="136"/>
      </rPr>
      <t>打拋豬</t>
    </r>
    <r>
      <rPr>
        <sz val="10"/>
        <color rgb="FF444441"/>
        <rFont val="Times New Roman"/>
        <family val="1"/>
      </rPr>
      <t>-</t>
    </r>
    <r>
      <rPr>
        <sz val="10"/>
        <color rgb="FF444441"/>
        <rFont val="微軟正黑體"/>
        <family val="2"/>
        <charset val="136"/>
      </rPr>
      <t>烤太陽蛋</t>
    </r>
  </si>
  <si>
    <r>
      <rPr>
        <sz val="10"/>
        <color rgb="FF444441"/>
        <rFont val="微軟正黑體"/>
        <family val="2"/>
        <charset val="136"/>
      </rPr>
      <t>厚香料優格咖哩雞排飯</t>
    </r>
    <phoneticPr fontId="27" type="noConversion"/>
  </si>
  <si>
    <r>
      <t>1150526</t>
    </r>
    <r>
      <rPr>
        <sz val="10"/>
        <color rgb="FF444441"/>
        <rFont val="微軟正黑體"/>
        <family val="2"/>
        <charset val="136"/>
      </rPr>
      <t>二配厚香料優格咖哩雞排飯</t>
    </r>
    <r>
      <rPr>
        <sz val="10"/>
        <color rgb="FF444441"/>
        <rFont val="Times New Roman"/>
        <family val="1"/>
      </rPr>
      <t>.</t>
    </r>
    <r>
      <rPr>
        <sz val="10"/>
        <color rgb="FF444441"/>
        <rFont val="微軟正黑體"/>
        <family val="2"/>
        <charset val="136"/>
      </rPr>
      <t>確認版</t>
    </r>
    <r>
      <rPr>
        <sz val="10"/>
        <color rgb="FF444441"/>
        <rFont val="Times New Roman"/>
        <family val="1"/>
      </rPr>
      <t>(1)</t>
    </r>
    <phoneticPr fontId="27" type="noConversion"/>
  </si>
  <si>
    <r>
      <rPr>
        <sz val="10"/>
        <color rgb="FF444441"/>
        <rFont val="微軟正黑體"/>
        <family val="2"/>
        <charset val="136"/>
      </rPr>
      <t>厚咖哩香料雞油</t>
    </r>
  </si>
  <si>
    <r>
      <rPr>
        <sz val="10"/>
        <color rgb="FF444441"/>
        <rFont val="微軟正黑體"/>
        <family val="2"/>
        <charset val="136"/>
      </rPr>
      <t>香料優格咖哩</t>
    </r>
    <r>
      <rPr>
        <sz val="10"/>
        <color rgb="FF444441"/>
        <rFont val="Times New Roman"/>
        <family val="1"/>
      </rPr>
      <t>(115</t>
    </r>
    <r>
      <rPr>
        <sz val="10"/>
        <color rgb="FF444441"/>
        <rFont val="微軟正黑體"/>
        <family val="2"/>
        <charset val="136"/>
      </rPr>
      <t>年</t>
    </r>
    <r>
      <rPr>
        <sz val="10"/>
        <color rgb="FF444441"/>
        <rFont val="Times New Roman"/>
        <family val="1"/>
      </rPr>
      <t>)</t>
    </r>
  </si>
  <si>
    <r>
      <t>5</t>
    </r>
    <r>
      <rPr>
        <sz val="10"/>
        <color rgb="FF444441"/>
        <rFont val="微軟正黑體"/>
        <family val="2"/>
        <charset val="136"/>
      </rPr>
      <t>切</t>
    </r>
    <r>
      <rPr>
        <sz val="10"/>
        <color rgb="FF444441"/>
        <rFont val="Times New Roman"/>
        <family val="1"/>
      </rPr>
      <t>-</t>
    </r>
    <r>
      <rPr>
        <sz val="10"/>
        <color rgb="FF444441"/>
        <rFont val="微軟正黑體"/>
        <family val="2"/>
        <charset val="136"/>
      </rPr>
      <t>咖哩炸雞排</t>
    </r>
  </si>
  <si>
    <r>
      <rPr>
        <sz val="10"/>
        <color rgb="FF444441"/>
        <rFont val="微軟正黑體"/>
        <family val="2"/>
        <charset val="136"/>
      </rPr>
      <t>歐姆蛋紅蘿蔔塊</t>
    </r>
  </si>
  <si>
    <r>
      <rPr>
        <sz val="10"/>
        <color rgb="FF444441"/>
        <rFont val="微軟正黑體"/>
        <family val="2"/>
        <charset val="136"/>
      </rPr>
      <t>洋香菜葉</t>
    </r>
    <r>
      <rPr>
        <sz val="10"/>
        <color rgb="FF444441"/>
        <rFont val="Times New Roman"/>
        <family val="1"/>
      </rPr>
      <t>KU</t>
    </r>
  </si>
  <si>
    <r>
      <rPr>
        <sz val="10"/>
        <color rgb="FF444441"/>
        <rFont val="微軟正黑體"/>
        <family val="2"/>
        <charset val="136"/>
      </rPr>
      <t>玉米濃湯焗烤飯</t>
    </r>
    <phoneticPr fontId="27" type="noConversion"/>
  </si>
  <si>
    <r>
      <t>1150707</t>
    </r>
    <r>
      <rPr>
        <sz val="10"/>
        <color rgb="FF444441"/>
        <rFont val="微軟正黑體"/>
        <family val="2"/>
        <charset val="136"/>
      </rPr>
      <t>二配玉米濃湯焗烤飯</t>
    </r>
    <r>
      <rPr>
        <sz val="10"/>
        <color rgb="FF444441"/>
        <rFont val="Times New Roman"/>
        <family val="1"/>
      </rPr>
      <t>.</t>
    </r>
    <r>
      <rPr>
        <sz val="10"/>
        <color rgb="FF444441"/>
        <rFont val="微軟正黑體"/>
        <family val="2"/>
        <charset val="136"/>
      </rPr>
      <t>確認版</t>
    </r>
    <r>
      <rPr>
        <sz val="10"/>
        <color rgb="FF444441"/>
        <rFont val="Times New Roman"/>
        <family val="1"/>
      </rPr>
      <t>(2)-</t>
    </r>
    <r>
      <rPr>
        <sz val="10"/>
        <color rgb="FF444441"/>
        <rFont val="微軟正黑體"/>
        <family val="2"/>
        <charset val="136"/>
      </rPr>
      <t>變更商代</t>
    </r>
    <r>
      <rPr>
        <sz val="10"/>
        <color rgb="FF444441"/>
        <rFont val="Times New Roman"/>
        <family val="1"/>
      </rPr>
      <t>.xlsx</t>
    </r>
  </si>
  <si>
    <r>
      <rPr>
        <sz val="10"/>
        <color rgb="FF444441"/>
        <rFont val="微軟正黑體"/>
        <family val="2"/>
        <charset val="136"/>
      </rPr>
      <t>玉米濃湯醬</t>
    </r>
  </si>
  <si>
    <r>
      <rPr>
        <sz val="10"/>
        <color rgb="FF444441"/>
        <rFont val="微軟正黑體"/>
        <family val="2"/>
        <charset val="136"/>
      </rPr>
      <t>焗烤起司片</t>
    </r>
    <r>
      <rPr>
        <sz val="10"/>
        <color rgb="FF444441"/>
        <rFont val="Times New Roman"/>
        <family val="1"/>
      </rPr>
      <t>(115</t>
    </r>
    <r>
      <rPr>
        <sz val="10"/>
        <color rgb="FF444441"/>
        <rFont val="微軟正黑體"/>
        <family val="2"/>
        <charset val="136"/>
      </rPr>
      <t>年</t>
    </r>
    <r>
      <rPr>
        <sz val="10"/>
        <color rgb="FF444441"/>
        <rFont val="Times New Roman"/>
        <family val="1"/>
      </rPr>
      <t>)</t>
    </r>
  </si>
  <si>
    <r>
      <rPr>
        <sz val="10"/>
        <color rgb="FF444441"/>
        <rFont val="微軟正黑體"/>
        <family val="2"/>
        <charset val="136"/>
      </rPr>
      <t>炒奶香玉米</t>
    </r>
  </si>
  <si>
    <r>
      <rPr>
        <sz val="10"/>
        <color rgb="FF444441"/>
        <rFont val="微軟正黑體"/>
        <family val="2"/>
        <charset val="136"/>
      </rPr>
      <t>炒火腿丁</t>
    </r>
  </si>
  <si>
    <r>
      <rPr>
        <sz val="10"/>
        <color rgb="FF444441"/>
        <rFont val="微軟正黑體"/>
        <family val="2"/>
        <charset val="136"/>
      </rPr>
      <t>美味蟹煲</t>
    </r>
    <phoneticPr fontId="27" type="noConversion"/>
  </si>
  <si>
    <r>
      <t>1150714</t>
    </r>
    <r>
      <rPr>
        <sz val="10"/>
        <color rgb="FF444441"/>
        <rFont val="微軟正黑體"/>
        <family val="2"/>
        <charset val="136"/>
      </rPr>
      <t>二配美味蟹煲</t>
    </r>
    <r>
      <rPr>
        <sz val="10"/>
        <color rgb="FF444441"/>
        <rFont val="Times New Roman"/>
        <family val="1"/>
      </rPr>
      <t>.</t>
    </r>
    <r>
      <rPr>
        <sz val="10"/>
        <color rgb="FF444441"/>
        <rFont val="微軟正黑體"/>
        <family val="2"/>
        <charset val="136"/>
      </rPr>
      <t>確認版</t>
    </r>
    <r>
      <rPr>
        <sz val="10"/>
        <color rgb="FF444441"/>
        <rFont val="Times New Roman"/>
        <family val="1"/>
      </rPr>
      <t>(1)</t>
    </r>
    <phoneticPr fontId="27" type="noConversion"/>
  </si>
  <si>
    <r>
      <rPr>
        <sz val="10"/>
        <color rgb="FF444441"/>
        <rFont val="微軟正黑體"/>
        <family val="2"/>
        <charset val="136"/>
      </rPr>
      <t>蟹粉燴汁</t>
    </r>
    <r>
      <rPr>
        <sz val="10"/>
        <color rgb="FF444441"/>
        <rFont val="Times New Roman"/>
        <family val="1"/>
      </rPr>
      <t>(115</t>
    </r>
    <r>
      <rPr>
        <sz val="10"/>
        <color rgb="FF444441"/>
        <rFont val="微軟正黑體"/>
        <family val="2"/>
        <charset val="136"/>
      </rPr>
      <t>年</t>
    </r>
    <r>
      <rPr>
        <sz val="10"/>
        <color rgb="FF444441"/>
        <rFont val="Times New Roman"/>
        <family val="1"/>
      </rPr>
      <t>)</t>
    </r>
  </si>
  <si>
    <r>
      <t>180</t>
    </r>
    <r>
      <rPr>
        <sz val="10"/>
        <color rgb="FF444441"/>
        <rFont val="微軟正黑體"/>
        <family val="2"/>
        <charset val="136"/>
      </rPr>
      <t>切</t>
    </r>
    <r>
      <rPr>
        <sz val="10"/>
        <color rgb="FF444441"/>
        <rFont val="Times New Roman"/>
        <family val="1"/>
      </rPr>
      <t>-</t>
    </r>
    <r>
      <rPr>
        <sz val="10"/>
        <color rgb="FF444441"/>
        <rFont val="微軟正黑體"/>
        <family val="2"/>
        <charset val="136"/>
      </rPr>
      <t>蒸家常豆腐</t>
    </r>
  </si>
  <si>
    <r>
      <rPr>
        <sz val="10"/>
        <color rgb="FF444441"/>
        <rFont val="微軟正黑體"/>
        <family val="2"/>
        <charset val="136"/>
      </rPr>
      <t>蒸珍珍蟹味絲</t>
    </r>
    <r>
      <rPr>
        <sz val="10"/>
        <color rgb="FF444441"/>
        <rFont val="Times New Roman"/>
        <family val="1"/>
      </rPr>
      <t>CL</t>
    </r>
  </si>
  <si>
    <r>
      <rPr>
        <sz val="10"/>
        <color rgb="FF444441"/>
        <rFont val="微軟正黑體"/>
        <family val="2"/>
        <charset val="136"/>
      </rPr>
      <t>切</t>
    </r>
    <r>
      <rPr>
        <sz val="10"/>
        <color rgb="FF444441"/>
        <rFont val="Times New Roman"/>
        <family val="1"/>
      </rPr>
      <t>-</t>
    </r>
    <r>
      <rPr>
        <sz val="10"/>
        <color rgb="FF444441"/>
        <rFont val="微軟正黑體"/>
        <family val="2"/>
        <charset val="136"/>
      </rPr>
      <t>解凍蟹味條</t>
    </r>
  </si>
  <si>
    <r>
      <rPr>
        <sz val="10"/>
        <color rgb="FF444441"/>
        <rFont val="微軟正黑體"/>
        <family val="2"/>
        <charset val="136"/>
      </rPr>
      <t>烤鹹蛋黃碎</t>
    </r>
  </si>
  <si>
    <r>
      <rPr>
        <sz val="10"/>
        <color rgb="FF444441"/>
        <rFont val="微軟正黑體"/>
        <family val="2"/>
        <charset val="136"/>
      </rPr>
      <t>蒸紅雪蟹肉</t>
    </r>
  </si>
  <si>
    <r>
      <rPr>
        <sz val="10"/>
        <color rgb="FF444441"/>
        <rFont val="微軟正黑體"/>
        <family val="2"/>
        <charset val="136"/>
      </rPr>
      <t>清洗青蔥絲</t>
    </r>
  </si>
  <si>
    <r>
      <rPr>
        <sz val="10"/>
        <color rgb="FF444441"/>
        <rFont val="微軟正黑體"/>
        <family val="2"/>
        <charset val="136"/>
      </rPr>
      <t>韓式泡菜豬肉豆腐丼飯</t>
    </r>
    <phoneticPr fontId="27" type="noConversion"/>
  </si>
  <si>
    <r>
      <t>1150325</t>
    </r>
    <r>
      <rPr>
        <sz val="10"/>
        <color rgb="FF444441"/>
        <rFont val="微軟正黑體"/>
        <family val="2"/>
        <charset val="136"/>
      </rPr>
      <t>韓式泡菜豬肉豆腐丼飯</t>
    </r>
    <r>
      <rPr>
        <sz val="10"/>
        <color rgb="FF444441"/>
        <rFont val="Times New Roman"/>
        <family val="1"/>
      </rPr>
      <t>.</t>
    </r>
    <r>
      <rPr>
        <sz val="10"/>
        <color rgb="FF444441"/>
        <rFont val="微軟正黑體"/>
        <family val="2"/>
        <charset val="136"/>
      </rPr>
      <t>確認版</t>
    </r>
    <r>
      <rPr>
        <sz val="10"/>
        <color rgb="FF444441"/>
        <rFont val="Times New Roman"/>
        <family val="1"/>
      </rPr>
      <t>(1)</t>
    </r>
    <phoneticPr fontId="27" type="noConversion"/>
  </si>
  <si>
    <r>
      <rPr>
        <sz val="10"/>
        <color rgb="FF444441"/>
        <rFont val="微軟正黑體"/>
        <family val="2"/>
        <charset val="136"/>
      </rPr>
      <t>韓式湯凍</t>
    </r>
    <r>
      <rPr>
        <sz val="10"/>
        <color rgb="FF444441"/>
        <rFont val="Times New Roman"/>
        <family val="1"/>
      </rPr>
      <t>(115</t>
    </r>
    <r>
      <rPr>
        <sz val="10"/>
        <color rgb="FF444441"/>
        <rFont val="微軟正黑體"/>
        <family val="2"/>
        <charset val="136"/>
      </rPr>
      <t>年</t>
    </r>
    <r>
      <rPr>
        <sz val="10"/>
        <color rgb="FF444441"/>
        <rFont val="Times New Roman"/>
        <family val="1"/>
      </rPr>
      <t>)</t>
    </r>
  </si>
  <si>
    <r>
      <rPr>
        <sz val="10"/>
        <color rgb="FF444441"/>
        <rFont val="微軟正黑體"/>
        <family val="2"/>
        <charset val="136"/>
      </rPr>
      <t>韓式泡菜豬肉豆腐丼飯</t>
    </r>
  </si>
  <si>
    <r>
      <rPr>
        <sz val="10"/>
        <color rgb="FF444441"/>
        <rFont val="微軟正黑體"/>
        <family val="2"/>
        <charset val="136"/>
      </rPr>
      <t>三角對切潔淨切達芝士片</t>
    </r>
  </si>
  <si>
    <r>
      <rPr>
        <sz val="10"/>
        <color rgb="FF444441"/>
        <rFont val="微軟正黑體"/>
        <family val="2"/>
        <charset val="136"/>
      </rPr>
      <t>炒韓式燒肉</t>
    </r>
    <r>
      <rPr>
        <sz val="10"/>
        <color rgb="FF444441"/>
        <rFont val="Times New Roman"/>
        <family val="1"/>
      </rPr>
      <t>(115</t>
    </r>
    <r>
      <rPr>
        <sz val="10"/>
        <color rgb="FF444441"/>
        <rFont val="微軟正黑體"/>
        <family val="2"/>
        <charset val="136"/>
      </rPr>
      <t>年</t>
    </r>
    <r>
      <rPr>
        <sz val="10"/>
        <color rgb="FF444441"/>
        <rFont val="Times New Roman"/>
        <family val="1"/>
      </rPr>
      <t>)</t>
    </r>
  </si>
  <si>
    <r>
      <rPr>
        <sz val="10"/>
        <color rgb="FF444441"/>
        <rFont val="微軟正黑體"/>
        <family val="2"/>
        <charset val="136"/>
      </rPr>
      <t>瀝汁</t>
    </r>
    <r>
      <rPr>
        <sz val="10"/>
        <color rgb="FF444441"/>
        <rFont val="Times New Roman"/>
        <family val="1"/>
      </rPr>
      <t>-</t>
    </r>
    <r>
      <rPr>
        <sz val="10"/>
        <color rgb="FF444441"/>
        <rFont val="微軟正黑體"/>
        <family val="2"/>
        <charset val="136"/>
      </rPr>
      <t>切絲泡菜</t>
    </r>
  </si>
  <si>
    <r>
      <rPr>
        <sz val="10"/>
        <color rgb="FF444441"/>
        <rFont val="微軟正黑體"/>
        <family val="2"/>
        <charset val="136"/>
      </rPr>
      <t>日式炙烤親子丼</t>
    </r>
    <phoneticPr fontId="27" type="noConversion"/>
  </si>
  <si>
    <r>
      <t>1150513</t>
    </r>
    <r>
      <rPr>
        <sz val="10"/>
        <color rgb="FF444441"/>
        <rFont val="微軟正黑體"/>
        <family val="2"/>
        <charset val="136"/>
      </rPr>
      <t>日式炙烤親子丼</t>
    </r>
    <r>
      <rPr>
        <sz val="10"/>
        <color rgb="FF444441"/>
        <rFont val="Times New Roman"/>
        <family val="1"/>
      </rPr>
      <t>.</t>
    </r>
    <r>
      <rPr>
        <sz val="10"/>
        <color rgb="FF444441"/>
        <rFont val="微軟正黑體"/>
        <family val="2"/>
        <charset val="136"/>
      </rPr>
      <t>確認版</t>
    </r>
    <r>
      <rPr>
        <sz val="10"/>
        <color rgb="FF444441"/>
        <rFont val="Times New Roman"/>
        <family val="1"/>
      </rPr>
      <t>(1)</t>
    </r>
    <phoneticPr fontId="27" type="noConversion"/>
  </si>
  <si>
    <r>
      <rPr>
        <sz val="10"/>
        <color rgb="FF444441"/>
        <rFont val="微軟正黑體"/>
        <family val="2"/>
        <charset val="136"/>
      </rPr>
      <t>日式炙烤親子丼</t>
    </r>
  </si>
  <si>
    <r>
      <rPr>
        <sz val="10"/>
        <color rgb="FF444441"/>
        <rFont val="微軟正黑體"/>
        <family val="2"/>
        <charset val="136"/>
      </rPr>
      <t>親子柴魚風味醬汁</t>
    </r>
    <r>
      <rPr>
        <sz val="10"/>
        <color rgb="FF444441"/>
        <rFont val="Times New Roman"/>
        <family val="1"/>
      </rPr>
      <t>(114</t>
    </r>
    <r>
      <rPr>
        <sz val="10"/>
        <color rgb="FF444441"/>
        <rFont val="微軟正黑體"/>
        <family val="2"/>
        <charset val="136"/>
      </rPr>
      <t>年</t>
    </r>
    <r>
      <rPr>
        <sz val="10"/>
        <color rgb="FF444441"/>
        <rFont val="Times New Roman"/>
        <family val="1"/>
      </rPr>
      <t>)</t>
    </r>
  </si>
  <si>
    <r>
      <rPr>
        <sz val="10"/>
        <color rgb="FF444441"/>
        <rFont val="微軟正黑體"/>
        <family val="2"/>
        <charset val="136"/>
      </rPr>
      <t>日式炙烤親子丼</t>
    </r>
    <phoneticPr fontId="27" type="noConversion"/>
  </si>
  <si>
    <r>
      <rPr>
        <sz val="10"/>
        <color rgb="FF444441"/>
        <rFont val="微軟正黑體"/>
        <family val="2"/>
        <charset val="136"/>
      </rPr>
      <t>烤洋蔥蛋</t>
    </r>
    <r>
      <rPr>
        <sz val="10"/>
        <color rgb="FF444441"/>
        <rFont val="Times New Roman"/>
        <family val="1"/>
      </rPr>
      <t>(115</t>
    </r>
    <r>
      <rPr>
        <sz val="10"/>
        <color rgb="FF444441"/>
        <rFont val="微軟正黑體"/>
        <family val="2"/>
        <charset val="136"/>
      </rPr>
      <t>年</t>
    </r>
    <r>
      <rPr>
        <sz val="10"/>
        <color rgb="FF444441"/>
        <rFont val="Times New Roman"/>
        <family val="1"/>
      </rPr>
      <t>)</t>
    </r>
  </si>
  <si>
    <r>
      <rPr>
        <sz val="10"/>
        <color rgb="FF444441"/>
        <rFont val="微軟正黑體"/>
        <family val="2"/>
        <charset val="136"/>
      </rPr>
      <t>親子丼</t>
    </r>
    <r>
      <rPr>
        <sz val="10"/>
        <color rgb="FF444441"/>
        <rFont val="Times New Roman"/>
        <family val="1"/>
      </rPr>
      <t>-</t>
    </r>
    <r>
      <rPr>
        <sz val="10"/>
        <color rgb="FF444441"/>
        <rFont val="微軟正黑體"/>
        <family val="2"/>
        <charset val="136"/>
      </rPr>
      <t>滑蛋</t>
    </r>
    <r>
      <rPr>
        <sz val="10"/>
        <color rgb="FF444441"/>
        <rFont val="Times New Roman"/>
        <family val="1"/>
      </rPr>
      <t>(115</t>
    </r>
    <r>
      <rPr>
        <sz val="10"/>
        <color rgb="FF444441"/>
        <rFont val="微軟正黑體"/>
        <family val="2"/>
        <charset val="136"/>
      </rPr>
      <t>年</t>
    </r>
    <r>
      <rPr>
        <sz val="10"/>
        <color rgb="FF444441"/>
        <rFont val="Times New Roman"/>
        <family val="1"/>
      </rPr>
      <t>)</t>
    </r>
  </si>
  <si>
    <r>
      <rPr>
        <sz val="10"/>
        <color rgb="FF444441"/>
        <rFont val="微軟正黑體"/>
        <family val="2"/>
        <charset val="136"/>
      </rPr>
      <t>炙烤雞腿丁</t>
    </r>
    <r>
      <rPr>
        <sz val="10"/>
        <color rgb="FF444441"/>
        <rFont val="Times New Roman"/>
        <family val="1"/>
      </rPr>
      <t>(113</t>
    </r>
    <r>
      <rPr>
        <sz val="10"/>
        <color rgb="FF444441"/>
        <rFont val="微軟正黑體"/>
        <family val="2"/>
        <charset val="136"/>
      </rPr>
      <t>年</t>
    </r>
    <r>
      <rPr>
        <sz val="10"/>
        <color rgb="FF444441"/>
        <rFont val="Times New Roman"/>
        <family val="1"/>
      </rPr>
      <t>)</t>
    </r>
  </si>
  <si>
    <r>
      <rPr>
        <sz val="10"/>
        <color rgb="FF444441"/>
        <rFont val="微軟正黑體"/>
        <family val="2"/>
        <charset val="136"/>
      </rPr>
      <t>爆炒雞丁飯</t>
    </r>
    <phoneticPr fontId="27" type="noConversion"/>
  </si>
  <si>
    <r>
      <t>(</t>
    </r>
    <r>
      <rPr>
        <sz val="10"/>
        <color rgb="FF444441"/>
        <rFont val="微軟正黑體"/>
        <family val="2"/>
        <charset val="136"/>
      </rPr>
      <t>更新</t>
    </r>
    <r>
      <rPr>
        <sz val="10"/>
        <color rgb="FF444441"/>
        <rFont val="Times New Roman"/>
        <family val="1"/>
      </rPr>
      <t>)1150429</t>
    </r>
    <r>
      <rPr>
        <sz val="10"/>
        <color rgb="FF444441"/>
        <rFont val="微軟正黑體"/>
        <family val="2"/>
        <charset val="136"/>
      </rPr>
      <t>爆炒雞丁飯</t>
    </r>
    <r>
      <rPr>
        <sz val="10"/>
        <color rgb="FF444441"/>
        <rFont val="Times New Roman"/>
        <family val="1"/>
      </rPr>
      <t>.</t>
    </r>
    <r>
      <rPr>
        <sz val="10"/>
        <color rgb="FF444441"/>
        <rFont val="微軟正黑體"/>
        <family val="2"/>
        <charset val="136"/>
      </rPr>
      <t>確認版</t>
    </r>
    <r>
      <rPr>
        <sz val="10"/>
        <color rgb="FF444441"/>
        <rFont val="Times New Roman"/>
        <family val="1"/>
      </rPr>
      <t>(2)</t>
    </r>
    <r>
      <rPr>
        <sz val="10"/>
        <color rgb="FF444441"/>
        <rFont val="微軟正黑體"/>
        <family val="2"/>
        <charset val="136"/>
      </rPr>
      <t>修改上市日、配次、商代、高麗菜製程</t>
    </r>
    <r>
      <rPr>
        <sz val="10"/>
        <color rgb="FF444441"/>
        <rFont val="Times New Roman"/>
        <family val="1"/>
      </rPr>
      <t>.xlsx</t>
    </r>
  </si>
  <si>
    <r>
      <rPr>
        <sz val="10"/>
        <color rgb="FF444441"/>
        <rFont val="微軟正黑體"/>
        <family val="2"/>
        <charset val="136"/>
      </rPr>
      <t>爆炒雞丁飯</t>
    </r>
  </si>
  <si>
    <r>
      <rPr>
        <sz val="10"/>
        <color rgb="FF444441"/>
        <rFont val="微軟正黑體"/>
        <family val="2"/>
        <charset val="136"/>
      </rPr>
      <t>大埔鐵板醬汁</t>
    </r>
  </si>
  <si>
    <r>
      <rPr>
        <sz val="10"/>
        <color rgb="FF444441"/>
        <rFont val="微軟正黑體"/>
        <family val="2"/>
        <charset val="136"/>
      </rPr>
      <t>炒鐵板雞肉</t>
    </r>
  </si>
  <si>
    <r>
      <rPr>
        <sz val="10"/>
        <color rgb="FF444441"/>
        <rFont val="微軟正黑體"/>
        <family val="2"/>
        <charset val="136"/>
      </rPr>
      <t>炒大埔高麗菜</t>
    </r>
  </si>
  <si>
    <r>
      <rPr>
        <sz val="10"/>
        <color rgb="FF444441"/>
        <rFont val="微軟正黑體"/>
        <family val="2"/>
        <charset val="136"/>
      </rPr>
      <t>蒜頭酥</t>
    </r>
  </si>
  <si>
    <r>
      <rPr>
        <sz val="10"/>
        <color rgb="FF444441"/>
        <rFont val="微軟正黑體"/>
        <family val="2"/>
        <charset val="136"/>
      </rPr>
      <t>炒辣椒圓片</t>
    </r>
    <r>
      <rPr>
        <sz val="10"/>
        <color rgb="FF444441"/>
        <rFont val="Times New Roman"/>
        <family val="1"/>
      </rPr>
      <t>(111</t>
    </r>
    <r>
      <rPr>
        <sz val="10"/>
        <color rgb="FF444441"/>
        <rFont val="微軟正黑體"/>
        <family val="2"/>
        <charset val="136"/>
      </rPr>
      <t>年</t>
    </r>
    <r>
      <rPr>
        <sz val="10"/>
        <color rgb="FF444441"/>
        <rFont val="Times New Roman"/>
        <family val="1"/>
      </rPr>
      <t>)</t>
    </r>
  </si>
  <si>
    <r>
      <rPr>
        <sz val="10"/>
        <color rgb="FF444441"/>
        <rFont val="微軟正黑體"/>
        <family val="2"/>
        <charset val="136"/>
      </rPr>
      <t>炒蔥蒜</t>
    </r>
  </si>
  <si>
    <r>
      <rPr>
        <sz val="10"/>
        <color rgb="FF444441"/>
        <rFont val="微軟正黑體"/>
        <family val="2"/>
        <charset val="136"/>
      </rPr>
      <t>泰式檸檬魚飯</t>
    </r>
    <phoneticPr fontId="27" type="noConversion"/>
  </si>
  <si>
    <r>
      <t>1150721</t>
    </r>
    <r>
      <rPr>
        <sz val="10"/>
        <color rgb="FF444441"/>
        <rFont val="微軟正黑體"/>
        <family val="2"/>
        <charset val="136"/>
      </rPr>
      <t>二配泰式檸檬魚飯</t>
    </r>
    <r>
      <rPr>
        <sz val="10"/>
        <color rgb="FF444441"/>
        <rFont val="Times New Roman"/>
        <family val="1"/>
      </rPr>
      <t>.</t>
    </r>
    <r>
      <rPr>
        <sz val="10"/>
        <color rgb="FF444441"/>
        <rFont val="微軟正黑體"/>
        <family val="2"/>
        <charset val="136"/>
      </rPr>
      <t>確認版</t>
    </r>
    <r>
      <rPr>
        <sz val="10"/>
        <color rgb="FF444441"/>
        <rFont val="Times New Roman"/>
        <family val="1"/>
      </rPr>
      <t>(1)</t>
    </r>
    <phoneticPr fontId="27" type="noConversion"/>
  </si>
  <si>
    <r>
      <rPr>
        <sz val="10"/>
        <color rgb="FF444441"/>
        <rFont val="微軟正黑體"/>
        <family val="2"/>
        <charset val="136"/>
      </rPr>
      <t>泰式檸檬魚醬</t>
    </r>
  </si>
  <si>
    <r>
      <rPr>
        <sz val="10"/>
        <color rgb="FF444441"/>
        <rFont val="微軟正黑體"/>
        <family val="2"/>
        <charset val="136"/>
      </rPr>
      <t>烤香茅鯰魚片</t>
    </r>
  </si>
  <si>
    <r>
      <rPr>
        <sz val="10"/>
        <color rgb="FF444441"/>
        <rFont val="微軟正黑體"/>
        <family val="2"/>
        <charset val="136"/>
      </rPr>
      <t>蒸</t>
    </r>
    <r>
      <rPr>
        <sz val="10"/>
        <color rgb="FF444441"/>
        <rFont val="Times New Roman"/>
        <family val="1"/>
      </rPr>
      <t>-800</t>
    </r>
    <r>
      <rPr>
        <sz val="10"/>
        <color rgb="FF444441"/>
        <rFont val="微軟正黑體"/>
        <family val="2"/>
        <charset val="136"/>
      </rPr>
      <t>切板豆腐</t>
    </r>
  </si>
  <si>
    <r>
      <rPr>
        <sz val="10"/>
        <color rgb="FF444441"/>
        <rFont val="微軟正黑體"/>
        <family val="2"/>
        <charset val="136"/>
      </rPr>
      <t>炒蒜頭辣椒醬</t>
    </r>
  </si>
  <si>
    <r>
      <rPr>
        <sz val="10"/>
        <color rgb="FF444441"/>
        <rFont val="微軟正黑體"/>
        <family val="2"/>
        <charset val="136"/>
      </rPr>
      <t>香菇雞粥</t>
    </r>
    <phoneticPr fontId="27" type="noConversion"/>
  </si>
  <si>
    <r>
      <rPr>
        <sz val="10"/>
        <color rgb="FF444441"/>
        <rFont val="微軟正黑體"/>
        <family val="2"/>
        <charset val="136"/>
      </rPr>
      <t>粥</t>
    </r>
  </si>
  <si>
    <r>
      <t>1150527</t>
    </r>
    <r>
      <rPr>
        <sz val="10"/>
        <color rgb="FF444441"/>
        <rFont val="微軟正黑體"/>
        <family val="2"/>
        <charset val="136"/>
      </rPr>
      <t>香菇雞粥</t>
    </r>
    <r>
      <rPr>
        <sz val="10"/>
        <color rgb="FF444441"/>
        <rFont val="Times New Roman"/>
        <family val="1"/>
      </rPr>
      <t>.</t>
    </r>
    <r>
      <rPr>
        <sz val="10"/>
        <color rgb="FF444441"/>
        <rFont val="微軟正黑體"/>
        <family val="2"/>
        <charset val="136"/>
      </rPr>
      <t>確認版</t>
    </r>
    <r>
      <rPr>
        <sz val="10"/>
        <color rgb="FF444441"/>
        <rFont val="Times New Roman"/>
        <family val="1"/>
      </rPr>
      <t>(5)</t>
    </r>
    <r>
      <rPr>
        <sz val="10"/>
        <color rgb="FF444441"/>
        <rFont val="微軟正黑體"/>
        <family val="2"/>
        <charset val="136"/>
      </rPr>
      <t>修改廠價、粥體配方鹽糖度</t>
    </r>
    <phoneticPr fontId="27" type="noConversion"/>
  </si>
  <si>
    <r>
      <rPr>
        <sz val="10"/>
        <color rgb="FF444441"/>
        <rFont val="微軟正黑體"/>
        <family val="2"/>
        <charset val="136"/>
      </rPr>
      <t>煮香菇丁</t>
    </r>
  </si>
  <si>
    <r>
      <rPr>
        <sz val="10"/>
        <color rgb="FF444441"/>
        <rFont val="微軟正黑體"/>
        <family val="2"/>
        <charset val="136"/>
      </rPr>
      <t>炒雞絞肉</t>
    </r>
  </si>
  <si>
    <r>
      <rPr>
        <sz val="10"/>
        <color rgb="FF444441"/>
        <rFont val="微軟正黑體"/>
        <family val="2"/>
        <charset val="136"/>
      </rPr>
      <t>炒腿肉丁</t>
    </r>
  </si>
  <si>
    <r>
      <rPr>
        <sz val="10"/>
        <color rgb="FF444441"/>
        <rFont val="微軟正黑體"/>
        <family val="2"/>
        <charset val="136"/>
      </rPr>
      <t>便當</t>
    </r>
    <phoneticPr fontId="27" type="noConversion"/>
  </si>
  <si>
    <r>
      <rPr>
        <sz val="10"/>
        <color theme="1"/>
        <rFont val="微軟正黑體"/>
        <family val="2"/>
        <charset val="136"/>
      </rPr>
      <t>柚見極炙烤牛</t>
    </r>
    <phoneticPr fontId="27" type="noConversion"/>
  </si>
  <si>
    <r>
      <t>1150819</t>
    </r>
    <r>
      <rPr>
        <sz val="10"/>
        <color rgb="FF444441"/>
        <rFont val="微軟正黑體"/>
        <family val="2"/>
        <charset val="136"/>
      </rPr>
      <t>柚見極炙烤牛</t>
    </r>
    <r>
      <rPr>
        <sz val="10"/>
        <color rgb="FF444441"/>
        <rFont val="Times New Roman"/>
        <family val="1"/>
      </rPr>
      <t>.</t>
    </r>
    <r>
      <rPr>
        <sz val="10"/>
        <color rgb="FF444441"/>
        <rFont val="微軟正黑體"/>
        <family val="2"/>
        <charset val="136"/>
      </rPr>
      <t>確認版</t>
    </r>
    <r>
      <rPr>
        <sz val="10"/>
        <color rgb="FF444441"/>
        <rFont val="Times New Roman"/>
        <family val="1"/>
      </rPr>
      <t>(4)</t>
    </r>
    <r>
      <rPr>
        <sz val="10"/>
        <color rgb="FF444441"/>
        <rFont val="微軟正黑體"/>
        <family val="2"/>
        <charset val="136"/>
      </rPr>
      <t>修正包裝指示書</t>
    </r>
    <r>
      <rPr>
        <sz val="10"/>
        <color rgb="FF444441"/>
        <rFont val="Times New Roman"/>
        <family val="1"/>
      </rPr>
      <t>(</t>
    </r>
    <r>
      <rPr>
        <sz val="10"/>
        <color rgb="FF444441"/>
        <rFont val="微軟正黑體"/>
        <family val="2"/>
        <charset val="136"/>
      </rPr>
      <t>裏</t>
    </r>
    <r>
      <rPr>
        <sz val="10"/>
        <color rgb="FF444441"/>
        <rFont val="Times New Roman"/>
        <family val="1"/>
      </rPr>
      <t>)</t>
    </r>
  </si>
  <si>
    <r>
      <rPr>
        <sz val="10"/>
        <color rgb="FF444441"/>
        <rFont val="微軟正黑體"/>
        <family val="2"/>
        <charset val="136"/>
      </rPr>
      <t>日式烤洋蔥絲</t>
    </r>
    <r>
      <rPr>
        <sz val="10"/>
        <color rgb="FF444441"/>
        <rFont val="Times New Roman"/>
        <family val="1"/>
      </rPr>
      <t>(114</t>
    </r>
    <r>
      <rPr>
        <sz val="10"/>
        <color rgb="FF444441"/>
        <rFont val="微軟正黑體"/>
        <family val="2"/>
        <charset val="136"/>
      </rPr>
      <t>年</t>
    </r>
    <r>
      <rPr>
        <sz val="10"/>
        <color rgb="FF444441"/>
        <rFont val="Times New Roman"/>
        <family val="1"/>
      </rPr>
      <t>)</t>
    </r>
  </si>
  <si>
    <r>
      <rPr>
        <sz val="10"/>
        <color rgb="FF444441"/>
        <rFont val="微軟正黑體"/>
        <family val="2"/>
        <charset val="136"/>
      </rPr>
      <t>日式牛培根</t>
    </r>
    <r>
      <rPr>
        <sz val="10"/>
        <color rgb="FF444441"/>
        <rFont val="Times New Roman"/>
        <family val="1"/>
      </rPr>
      <t>(115</t>
    </r>
    <r>
      <rPr>
        <sz val="10"/>
        <color rgb="FF444441"/>
        <rFont val="微軟正黑體"/>
        <family val="2"/>
        <charset val="136"/>
      </rPr>
      <t>年</t>
    </r>
    <r>
      <rPr>
        <sz val="10"/>
        <color rgb="FF444441"/>
        <rFont val="Times New Roman"/>
        <family val="1"/>
      </rPr>
      <t>)</t>
    </r>
  </si>
  <si>
    <r>
      <rPr>
        <sz val="10"/>
        <color rgb="FF444441"/>
        <rFont val="微軟正黑體"/>
        <family val="2"/>
        <charset val="136"/>
      </rPr>
      <t>切</t>
    </r>
    <r>
      <rPr>
        <sz val="10"/>
        <color rgb="FF444441"/>
        <rFont val="Times New Roman"/>
        <family val="1"/>
      </rPr>
      <t>-</t>
    </r>
    <r>
      <rPr>
        <sz val="10"/>
        <color rgb="FF444441"/>
        <rFont val="微軟正黑體"/>
        <family val="2"/>
        <charset val="136"/>
      </rPr>
      <t>鹽烤牛肉</t>
    </r>
    <r>
      <rPr>
        <sz val="10"/>
        <color rgb="FF444441"/>
        <rFont val="Times New Roman"/>
        <family val="1"/>
      </rPr>
      <t>(115</t>
    </r>
    <r>
      <rPr>
        <sz val="10"/>
        <color rgb="FF444441"/>
        <rFont val="微軟正黑體"/>
        <family val="2"/>
        <charset val="136"/>
      </rPr>
      <t>年</t>
    </r>
    <r>
      <rPr>
        <sz val="10"/>
        <color rgb="FF444441"/>
        <rFont val="Times New Roman"/>
        <family val="1"/>
      </rPr>
      <t>)</t>
    </r>
  </si>
  <si>
    <r>
      <rPr>
        <sz val="10"/>
        <color rgb="FF444441"/>
        <rFont val="微軟正黑體"/>
        <family val="2"/>
        <charset val="136"/>
      </rPr>
      <t>日式柚醋醬</t>
    </r>
    <r>
      <rPr>
        <sz val="10"/>
        <color rgb="FF444441"/>
        <rFont val="Times New Roman"/>
        <family val="1"/>
      </rPr>
      <t>(115</t>
    </r>
    <r>
      <rPr>
        <sz val="10"/>
        <color rgb="FF444441"/>
        <rFont val="微軟正黑體"/>
        <family val="2"/>
        <charset val="136"/>
      </rPr>
      <t>年</t>
    </r>
    <r>
      <rPr>
        <sz val="10"/>
        <color rgb="FF444441"/>
        <rFont val="Times New Roman"/>
        <family val="1"/>
      </rPr>
      <t>)</t>
    </r>
  </si>
  <si>
    <r>
      <rPr>
        <sz val="10"/>
        <color rgb="FF444441"/>
        <rFont val="微軟正黑體"/>
        <family val="2"/>
        <charset val="136"/>
      </rPr>
      <t>叉燒蛋炒飯</t>
    </r>
  </si>
  <si>
    <r>
      <t>1150901</t>
    </r>
    <r>
      <rPr>
        <sz val="10"/>
        <color rgb="FF444441"/>
        <rFont val="微軟正黑體"/>
        <family val="2"/>
        <charset val="136"/>
      </rPr>
      <t>二配叉燒蛋炒飯</t>
    </r>
    <r>
      <rPr>
        <sz val="10"/>
        <color rgb="FF444441"/>
        <rFont val="Times New Roman"/>
        <family val="1"/>
      </rPr>
      <t>.</t>
    </r>
    <r>
      <rPr>
        <sz val="10"/>
        <color rgb="FF444441"/>
        <rFont val="微軟正黑體"/>
        <family val="2"/>
        <charset val="136"/>
      </rPr>
      <t>試產版</t>
    </r>
    <r>
      <rPr>
        <sz val="10"/>
        <color rgb="FF444441"/>
        <rFont val="Times New Roman"/>
        <family val="1"/>
      </rPr>
      <t>(2)</t>
    </r>
    <r>
      <rPr>
        <sz val="10"/>
        <color rgb="FF444441"/>
        <rFont val="微軟正黑體"/>
        <family val="2"/>
        <charset val="136"/>
      </rPr>
      <t>指示書修正</t>
    </r>
  </si>
  <si>
    <r>
      <rPr>
        <sz val="10"/>
        <color rgb="FF444441"/>
        <rFont val="微軟正黑體"/>
        <family val="2"/>
        <charset val="136"/>
      </rPr>
      <t>油亮台式叉燒丁</t>
    </r>
  </si>
  <si>
    <r>
      <rPr>
        <sz val="10"/>
        <color rgb="FF444441"/>
        <rFont val="微軟正黑體"/>
        <family val="2"/>
        <charset val="136"/>
      </rPr>
      <t>水煮毛豆仁</t>
    </r>
    <r>
      <rPr>
        <sz val="10"/>
        <color rgb="FF444441"/>
        <rFont val="Times New Roman"/>
        <family val="1"/>
      </rPr>
      <t>(111</t>
    </r>
    <r>
      <rPr>
        <sz val="10"/>
        <color rgb="FF444441"/>
        <rFont val="微軟正黑體"/>
        <family val="2"/>
        <charset val="136"/>
      </rPr>
      <t>年</t>
    </r>
    <r>
      <rPr>
        <sz val="10"/>
        <color rgb="FF444441"/>
        <rFont val="Times New Roman"/>
        <family val="1"/>
      </rPr>
      <t>)</t>
    </r>
  </si>
  <si>
    <r>
      <rPr>
        <sz val="10"/>
        <color rgb="FF444441"/>
        <rFont val="微軟正黑體"/>
        <family val="2"/>
        <charset val="136"/>
      </rPr>
      <t>金沙醬牛豚雙饗飯</t>
    </r>
  </si>
  <si>
    <r>
      <t>1150826</t>
    </r>
    <r>
      <rPr>
        <sz val="10"/>
        <color rgb="FF444441"/>
        <rFont val="微軟正黑體"/>
        <family val="2"/>
        <charset val="136"/>
      </rPr>
      <t>金沙醬牛豚雙饗飯</t>
    </r>
    <r>
      <rPr>
        <sz val="10"/>
        <color rgb="FF444441"/>
        <rFont val="Times New Roman"/>
        <family val="1"/>
      </rPr>
      <t>.</t>
    </r>
    <r>
      <rPr>
        <sz val="10"/>
        <color rgb="FF444441"/>
        <rFont val="微軟正黑體"/>
        <family val="2"/>
        <charset val="136"/>
      </rPr>
      <t>試產版</t>
    </r>
    <r>
      <rPr>
        <sz val="10"/>
        <color rgb="FF444441"/>
        <rFont val="Times New Roman"/>
        <family val="1"/>
      </rPr>
      <t>(2)</t>
    </r>
    <r>
      <rPr>
        <sz val="10"/>
        <color rgb="FF444441"/>
        <rFont val="微軟正黑體"/>
        <family val="2"/>
        <charset val="136"/>
      </rPr>
      <t>指示書修正</t>
    </r>
  </si>
  <si>
    <r>
      <rPr>
        <sz val="10"/>
        <color rgb="FF444441"/>
        <rFont val="微軟正黑體"/>
        <family val="2"/>
        <charset val="136"/>
      </rPr>
      <t>煮鹹蛋黃醬</t>
    </r>
  </si>
  <si>
    <r>
      <rPr>
        <sz val="10"/>
        <color rgb="FF444441"/>
        <rFont val="微軟正黑體"/>
        <family val="2"/>
        <charset val="136"/>
      </rPr>
      <t>切烤大口黃梔子蛋皮</t>
    </r>
  </si>
  <si>
    <r>
      <rPr>
        <sz val="10"/>
        <color rgb="FF444441"/>
        <rFont val="微軟正黑體"/>
        <family val="2"/>
        <charset val="136"/>
      </rPr>
      <t>川燙青花菜</t>
    </r>
  </si>
  <si>
    <r>
      <rPr>
        <sz val="10"/>
        <color rgb="FF444441"/>
        <rFont val="微軟正黑體"/>
        <family val="2"/>
        <charset val="136"/>
      </rPr>
      <t>切</t>
    </r>
    <r>
      <rPr>
        <sz val="10"/>
        <color rgb="FF444441"/>
        <rFont val="Times New Roman"/>
        <family val="1"/>
      </rPr>
      <t>-</t>
    </r>
    <r>
      <rPr>
        <sz val="10"/>
        <color rgb="FF444441"/>
        <rFont val="微軟正黑體"/>
        <family val="2"/>
        <charset val="136"/>
      </rPr>
      <t>屋馬風味燒肉片</t>
    </r>
  </si>
  <si>
    <r>
      <rPr>
        <sz val="10"/>
        <color rgb="FF444441"/>
        <rFont val="微軟正黑體"/>
        <family val="2"/>
        <charset val="136"/>
      </rPr>
      <t>開丼</t>
    </r>
    <r>
      <rPr>
        <sz val="10"/>
        <color rgb="FF444441"/>
        <rFont val="Times New Roman"/>
        <family val="1"/>
      </rPr>
      <t>-</t>
    </r>
    <r>
      <rPr>
        <sz val="10"/>
        <color rgb="FF444441"/>
        <rFont val="微軟正黑體"/>
        <family val="2"/>
        <charset val="136"/>
      </rPr>
      <t>炒碳香牛五花</t>
    </r>
  </si>
  <si>
    <r>
      <rPr>
        <sz val="10"/>
        <color rgb="FF444441"/>
        <rFont val="微軟正黑體"/>
        <family val="2"/>
        <charset val="136"/>
      </rPr>
      <t>自製壹號醬</t>
    </r>
  </si>
  <si>
    <r>
      <rPr>
        <sz val="10"/>
        <color rgb="FF444441"/>
        <rFont val="微軟正黑體"/>
        <family val="2"/>
        <charset val="136"/>
      </rPr>
      <t>港式滑蛋牛肉燴飯</t>
    </r>
    <phoneticPr fontId="27" type="noConversion"/>
  </si>
  <si>
    <r>
      <t>1150922</t>
    </r>
    <r>
      <rPr>
        <sz val="10"/>
        <color rgb="FF444441"/>
        <rFont val="微軟正黑體"/>
        <family val="2"/>
        <charset val="136"/>
      </rPr>
      <t>二配港式滑蛋牛肉燴飯</t>
    </r>
    <r>
      <rPr>
        <sz val="10"/>
        <color rgb="FF444441"/>
        <rFont val="Times New Roman"/>
        <family val="1"/>
      </rPr>
      <t>.</t>
    </r>
    <r>
      <rPr>
        <sz val="10"/>
        <color rgb="FF444441"/>
        <rFont val="微軟正黑體"/>
        <family val="2"/>
        <charset val="136"/>
      </rPr>
      <t>試產版</t>
    </r>
    <r>
      <rPr>
        <sz val="10"/>
        <color rgb="FF444441"/>
        <rFont val="Times New Roman"/>
        <family val="1"/>
      </rPr>
      <t>(1).xlsx</t>
    </r>
  </si>
  <si>
    <r>
      <rPr>
        <sz val="10"/>
        <color rgb="FF444441"/>
        <rFont val="微軟正黑體"/>
        <family val="2"/>
        <charset val="136"/>
      </rPr>
      <t>香滑嫩蛋牛肉</t>
    </r>
    <r>
      <rPr>
        <sz val="10"/>
        <color rgb="FF444441"/>
        <rFont val="Times New Roman"/>
        <family val="1"/>
      </rPr>
      <t>-</t>
    </r>
    <r>
      <rPr>
        <sz val="10"/>
        <color rgb="FF444441"/>
        <rFont val="微軟正黑體"/>
        <family val="2"/>
        <charset val="136"/>
      </rPr>
      <t>燴汁</t>
    </r>
    <r>
      <rPr>
        <sz val="10"/>
        <color rgb="FF444441"/>
        <rFont val="Times New Roman"/>
        <family val="1"/>
      </rPr>
      <t>(115</t>
    </r>
    <r>
      <rPr>
        <sz val="10"/>
        <color rgb="FF444441"/>
        <rFont val="微軟正黑體"/>
        <family val="2"/>
        <charset val="136"/>
      </rPr>
      <t>年</t>
    </r>
    <r>
      <rPr>
        <sz val="10"/>
        <color rgb="FF444441"/>
        <rFont val="Times New Roman"/>
        <family val="1"/>
      </rPr>
      <t>)</t>
    </r>
  </si>
  <si>
    <r>
      <rPr>
        <sz val="10"/>
        <color rgb="FF444441"/>
        <rFont val="微軟正黑體"/>
        <family val="2"/>
        <charset val="136"/>
      </rPr>
      <t>滑牛</t>
    </r>
    <r>
      <rPr>
        <sz val="10"/>
        <color rgb="FF444441"/>
        <rFont val="Times New Roman"/>
        <family val="1"/>
      </rPr>
      <t>-</t>
    </r>
    <r>
      <rPr>
        <sz val="10"/>
        <color rgb="FF444441"/>
        <rFont val="微軟正黑體"/>
        <family val="2"/>
        <charset val="136"/>
      </rPr>
      <t>煮滑蛋</t>
    </r>
  </si>
  <si>
    <r>
      <rPr>
        <sz val="10"/>
        <color rgb="FF444441"/>
        <rFont val="微軟正黑體"/>
        <family val="2"/>
        <charset val="136"/>
      </rPr>
      <t>燴飯</t>
    </r>
    <r>
      <rPr>
        <sz val="10"/>
        <color rgb="FF444441"/>
        <rFont val="Times New Roman"/>
        <family val="1"/>
      </rPr>
      <t>-</t>
    </r>
    <r>
      <rPr>
        <sz val="10"/>
        <color rgb="FF444441"/>
        <rFont val="微軟正黑體"/>
        <family val="2"/>
        <charset val="136"/>
      </rPr>
      <t>油炒青江菜</t>
    </r>
  </si>
  <si>
    <r>
      <rPr>
        <sz val="10"/>
        <color rgb="FF444441"/>
        <rFont val="微軟正黑體"/>
        <family val="2"/>
        <charset val="136"/>
      </rPr>
      <t>炒蠔油牛肉片</t>
    </r>
  </si>
  <si>
    <r>
      <rPr>
        <sz val="10"/>
        <color rgb="FF444441"/>
        <rFont val="微軟正黑體"/>
        <family val="2"/>
        <charset val="136"/>
      </rPr>
      <t>炒辣椒圓片</t>
    </r>
  </si>
  <si>
    <r>
      <rPr>
        <sz val="10"/>
        <color rgb="FF444441"/>
        <rFont val="微軟正黑體"/>
        <family val="2"/>
        <charset val="136"/>
      </rPr>
      <t>熊本麥味噌炸豬排丼飯</t>
    </r>
    <phoneticPr fontId="27" type="noConversion"/>
  </si>
  <si>
    <r>
      <t>1150930</t>
    </r>
    <r>
      <rPr>
        <sz val="10"/>
        <color rgb="FF444441"/>
        <rFont val="微軟正黑體"/>
        <family val="2"/>
        <charset val="136"/>
      </rPr>
      <t>熊本麥味噌炸豬排丼飯</t>
    </r>
    <r>
      <rPr>
        <sz val="10"/>
        <color rgb="FF444441"/>
        <rFont val="Times New Roman"/>
        <family val="1"/>
      </rPr>
      <t>.</t>
    </r>
    <r>
      <rPr>
        <sz val="10"/>
        <color rgb="FF444441"/>
        <rFont val="微軟正黑體"/>
        <family val="2"/>
        <charset val="136"/>
      </rPr>
      <t>試產版</t>
    </r>
    <r>
      <rPr>
        <sz val="10"/>
        <color rgb="FF444441"/>
        <rFont val="Times New Roman"/>
        <family val="1"/>
      </rPr>
      <t>(5)</t>
    </r>
    <r>
      <rPr>
        <sz val="10"/>
        <color rgb="FF444441"/>
        <rFont val="微軟正黑體"/>
        <family val="2"/>
        <charset val="136"/>
      </rPr>
      <t>修正組裝頁敘述</t>
    </r>
    <r>
      <rPr>
        <sz val="10"/>
        <color rgb="FF444441"/>
        <rFont val="Times New Roman"/>
        <family val="1"/>
      </rPr>
      <t>.xlsx</t>
    </r>
    <phoneticPr fontId="27" type="noConversion"/>
  </si>
  <si>
    <r>
      <rPr>
        <sz val="10"/>
        <color rgb="FF444441"/>
        <rFont val="微軟正黑體"/>
        <family val="2"/>
        <charset val="136"/>
      </rPr>
      <t>麥味噌湯凍</t>
    </r>
  </si>
  <si>
    <r>
      <rPr>
        <sz val="10"/>
        <color rgb="FF444441"/>
        <rFont val="微軟正黑體"/>
        <family val="2"/>
        <charset val="136"/>
      </rPr>
      <t>烤黑胡椒洋蔥絲</t>
    </r>
  </si>
  <si>
    <r>
      <t>8</t>
    </r>
    <r>
      <rPr>
        <sz val="10"/>
        <color rgb="FF444441"/>
        <rFont val="微軟正黑體"/>
        <family val="2"/>
        <charset val="136"/>
      </rPr>
      <t>切</t>
    </r>
    <r>
      <rPr>
        <sz val="10"/>
        <color rgb="FF444441"/>
        <rFont val="Times New Roman"/>
        <family val="1"/>
      </rPr>
      <t>-</t>
    </r>
    <r>
      <rPr>
        <sz val="10"/>
        <color rgb="FF444441"/>
        <rFont val="微軟正黑體"/>
        <family val="2"/>
        <charset val="136"/>
      </rPr>
      <t>炸日式里肌豬排</t>
    </r>
    <r>
      <rPr>
        <sz val="10"/>
        <color rgb="FF444441"/>
        <rFont val="Times New Roman"/>
        <family val="1"/>
      </rPr>
      <t>(</t>
    </r>
    <r>
      <rPr>
        <sz val="10"/>
        <color rgb="FF444441"/>
        <rFont val="微軟正黑體"/>
        <family val="2"/>
        <charset val="136"/>
      </rPr>
      <t>進口</t>
    </r>
    <r>
      <rPr>
        <sz val="10"/>
        <color rgb="FF444441"/>
        <rFont val="Times New Roman"/>
        <family val="1"/>
      </rPr>
      <t>)</t>
    </r>
  </si>
  <si>
    <r>
      <rPr>
        <sz val="10"/>
        <color rgb="FF444441"/>
        <rFont val="微軟正黑體"/>
        <family val="2"/>
        <charset val="136"/>
      </rPr>
      <t>烤</t>
    </r>
    <r>
      <rPr>
        <sz val="10"/>
        <color rgb="FF444441"/>
        <rFont val="Times New Roman"/>
        <family val="1"/>
      </rPr>
      <t>12</t>
    </r>
    <r>
      <rPr>
        <sz val="10"/>
        <color rgb="FF444441"/>
        <rFont val="微軟正黑體"/>
        <family val="2"/>
        <charset val="136"/>
      </rPr>
      <t>切豆腐</t>
    </r>
  </si>
  <si>
    <r>
      <rPr>
        <sz val="10"/>
        <color rgb="FF444441"/>
        <rFont val="微軟正黑體"/>
        <family val="2"/>
        <charset val="136"/>
      </rPr>
      <t>細切海苔</t>
    </r>
    <r>
      <rPr>
        <sz val="10"/>
        <color rgb="FF444441"/>
        <rFont val="Times New Roman"/>
        <family val="1"/>
      </rPr>
      <t xml:space="preserve"> (2mm*5cm)</t>
    </r>
  </si>
  <si>
    <r>
      <t>1150930</t>
    </r>
    <r>
      <rPr>
        <sz val="10"/>
        <color rgb="FF444441"/>
        <rFont val="微軟正黑體"/>
        <family val="2"/>
        <charset val="136"/>
      </rPr>
      <t>熊本麥味噌炸豬排丼飯</t>
    </r>
    <r>
      <rPr>
        <sz val="10"/>
        <color rgb="FF444441"/>
        <rFont val="Times New Roman"/>
        <family val="1"/>
      </rPr>
      <t>.</t>
    </r>
    <r>
      <rPr>
        <sz val="10"/>
        <color rgb="FF444441"/>
        <rFont val="微軟正黑體"/>
        <family val="2"/>
        <charset val="136"/>
      </rPr>
      <t>試產版</t>
    </r>
    <r>
      <rPr>
        <sz val="10"/>
        <color rgb="FF444441"/>
        <rFont val="Times New Roman"/>
        <family val="1"/>
      </rPr>
      <t>(6)</t>
    </r>
    <r>
      <rPr>
        <sz val="10"/>
        <color rgb="FF444441"/>
        <rFont val="微軟正黑體"/>
        <family val="2"/>
        <charset val="136"/>
      </rPr>
      <t>修正組裝頁敘述</t>
    </r>
    <r>
      <rPr>
        <sz val="10"/>
        <color rgb="FF444441"/>
        <rFont val="Times New Roman"/>
        <family val="1"/>
      </rPr>
      <t>.xlsx</t>
    </r>
  </si>
  <si>
    <r>
      <rPr>
        <sz val="10"/>
        <color rgb="FF444441"/>
        <rFont val="微軟正黑體"/>
        <family val="2"/>
        <charset val="136"/>
      </rPr>
      <t>川燙紅蘿蔔花</t>
    </r>
  </si>
  <si>
    <r>
      <t>1150930</t>
    </r>
    <r>
      <rPr>
        <sz val="10"/>
        <color rgb="FF444441"/>
        <rFont val="微軟正黑體"/>
        <family val="2"/>
        <charset val="136"/>
      </rPr>
      <t>熊本麥味噌炸豬排丼飯</t>
    </r>
    <r>
      <rPr>
        <sz val="10"/>
        <color rgb="FF444441"/>
        <rFont val="Times New Roman"/>
        <family val="1"/>
      </rPr>
      <t>.</t>
    </r>
    <r>
      <rPr>
        <sz val="10"/>
        <color rgb="FF444441"/>
        <rFont val="微軟正黑體"/>
        <family val="2"/>
        <charset val="136"/>
      </rPr>
      <t>試產版</t>
    </r>
    <r>
      <rPr>
        <sz val="10"/>
        <color rgb="FF444441"/>
        <rFont val="Times New Roman"/>
        <family val="1"/>
      </rPr>
      <t>(7)</t>
    </r>
    <r>
      <rPr>
        <sz val="10"/>
        <color rgb="FF444441"/>
        <rFont val="微軟正黑體"/>
        <family val="2"/>
        <charset val="136"/>
      </rPr>
      <t>修正組裝頁敘述</t>
    </r>
    <r>
      <rPr>
        <sz val="10"/>
        <color rgb="FF444441"/>
        <rFont val="Times New Roman"/>
        <family val="1"/>
      </rPr>
      <t>.xlsx</t>
    </r>
  </si>
  <si>
    <r>
      <rPr>
        <sz val="10"/>
        <color rgb="FF444441"/>
        <rFont val="微軟正黑體"/>
        <family val="2"/>
        <charset val="136"/>
      </rPr>
      <t>排骨蛋炒飯</t>
    </r>
    <phoneticPr fontId="27" type="noConversion"/>
  </si>
  <si>
    <r>
      <rPr>
        <sz val="10"/>
        <color rgb="FF444441"/>
        <rFont val="微軟正黑體"/>
        <family val="2"/>
        <charset val="136"/>
      </rPr>
      <t>排骨蛋炒飯</t>
    </r>
  </si>
  <si>
    <r>
      <t>1150805</t>
    </r>
    <r>
      <rPr>
        <sz val="10"/>
        <color rgb="FF444441"/>
        <rFont val="微軟正黑體"/>
        <family val="2"/>
        <charset val="136"/>
      </rPr>
      <t>二配排骨蛋炒飯</t>
    </r>
    <r>
      <rPr>
        <sz val="10"/>
        <color rgb="FF444441"/>
        <rFont val="Times New Roman"/>
        <family val="1"/>
      </rPr>
      <t>.</t>
    </r>
    <r>
      <rPr>
        <sz val="10"/>
        <color rgb="FF444441"/>
        <rFont val="微軟正黑體"/>
        <family val="2"/>
        <charset val="136"/>
      </rPr>
      <t>試產版</t>
    </r>
    <r>
      <rPr>
        <sz val="10"/>
        <color rgb="FF444441"/>
        <rFont val="Times New Roman"/>
        <family val="1"/>
      </rPr>
      <t>(2)-</t>
    </r>
    <r>
      <rPr>
        <sz val="10"/>
        <color rgb="FF444441"/>
        <rFont val="微軟正黑體"/>
        <family val="2"/>
        <charset val="136"/>
      </rPr>
      <t>指示書修正</t>
    </r>
    <r>
      <rPr>
        <sz val="10"/>
        <color rgb="FF444441"/>
        <rFont val="Times New Roman"/>
        <family val="1"/>
      </rPr>
      <t>.xlsx</t>
    </r>
  </si>
  <si>
    <r>
      <t>4</t>
    </r>
    <r>
      <rPr>
        <sz val="10"/>
        <color rgb="FF444441"/>
        <rFont val="微軟正黑體"/>
        <family val="2"/>
        <charset val="136"/>
      </rPr>
      <t>切</t>
    </r>
    <r>
      <rPr>
        <sz val="10"/>
        <color rgb="FF444441"/>
        <rFont val="Times New Roman"/>
        <family val="1"/>
      </rPr>
      <t>-</t>
    </r>
    <r>
      <rPr>
        <sz val="10"/>
        <color rgb="FF444441"/>
        <rFont val="微軟正黑體"/>
        <family val="2"/>
        <charset val="136"/>
      </rPr>
      <t>炸台式豬排</t>
    </r>
  </si>
  <si>
    <r>
      <rPr>
        <sz val="10"/>
        <color rgb="FF444441"/>
        <rFont val="微軟正黑體"/>
        <family val="2"/>
        <charset val="136"/>
      </rPr>
      <t>待上架</t>
    </r>
  </si>
  <si>
    <r>
      <rPr>
        <sz val="10"/>
        <color rgb="FF444441"/>
        <rFont val="微軟正黑體"/>
        <family val="2"/>
        <charset val="136"/>
      </rPr>
      <t>青辣椒檸檬炭香漢堡排飯</t>
    </r>
  </si>
  <si>
    <r>
      <t>1151028</t>
    </r>
    <r>
      <rPr>
        <sz val="10"/>
        <color rgb="FF444441"/>
        <rFont val="微軟正黑體"/>
        <family val="2"/>
        <charset val="136"/>
      </rPr>
      <t>青辣椒檸檬炭香漢堡排飯</t>
    </r>
    <r>
      <rPr>
        <sz val="10"/>
        <color rgb="FF444441"/>
        <rFont val="Times New Roman"/>
        <family val="1"/>
      </rPr>
      <t>.</t>
    </r>
    <r>
      <rPr>
        <sz val="10"/>
        <color rgb="FF444441"/>
        <rFont val="微軟正黑體"/>
        <family val="2"/>
        <charset val="136"/>
      </rPr>
      <t>試產版</t>
    </r>
    <r>
      <rPr>
        <sz val="10"/>
        <color rgb="FF444441"/>
        <rFont val="Times New Roman"/>
        <family val="1"/>
      </rPr>
      <t>(2)-</t>
    </r>
    <r>
      <rPr>
        <sz val="10"/>
        <color rgb="FF444441"/>
        <rFont val="微軟正黑體"/>
        <family val="2"/>
        <charset val="136"/>
      </rPr>
      <t>指示書修正</t>
    </r>
    <r>
      <rPr>
        <sz val="10"/>
        <color rgb="FF444441"/>
        <rFont val="Times New Roman"/>
        <family val="1"/>
      </rPr>
      <t>.xlsx</t>
    </r>
  </si>
  <si>
    <r>
      <rPr>
        <sz val="10"/>
        <color rgb="FF444441"/>
        <rFont val="微軟正黑體"/>
        <family val="2"/>
        <charset val="136"/>
      </rPr>
      <t>調味紫薯泥</t>
    </r>
  </si>
  <si>
    <r>
      <rPr>
        <sz val="10"/>
        <color rgb="FF444441"/>
        <rFont val="微軟正黑體"/>
        <family val="2"/>
        <charset val="136"/>
      </rPr>
      <t>瀝水</t>
    </r>
    <r>
      <rPr>
        <sz val="10"/>
        <color rgb="FF444441"/>
        <rFont val="Times New Roman"/>
        <family val="1"/>
      </rPr>
      <t>-</t>
    </r>
    <r>
      <rPr>
        <sz val="10"/>
        <color rgb="FF444441"/>
        <rFont val="微軟正黑體"/>
        <family val="2"/>
        <charset val="136"/>
      </rPr>
      <t>糖醋白菜</t>
    </r>
  </si>
  <si>
    <r>
      <rPr>
        <sz val="10"/>
        <color rgb="FF444441"/>
        <rFont val="微軟正黑體"/>
        <family val="2"/>
        <charset val="136"/>
      </rPr>
      <t>烤漢堡排肉</t>
    </r>
    <r>
      <rPr>
        <sz val="10"/>
        <color rgb="FF444441"/>
        <rFont val="Times New Roman"/>
        <family val="1"/>
      </rPr>
      <t>(115</t>
    </r>
    <r>
      <rPr>
        <sz val="10"/>
        <color rgb="FF444441"/>
        <rFont val="微軟正黑體"/>
        <family val="2"/>
        <charset val="136"/>
      </rPr>
      <t>年</t>
    </r>
    <r>
      <rPr>
        <sz val="10"/>
        <color rgb="FF444441"/>
        <rFont val="Times New Roman"/>
        <family val="1"/>
      </rPr>
      <t>)</t>
    </r>
  </si>
  <si>
    <r>
      <rPr>
        <sz val="10"/>
        <color rgb="FF444441"/>
        <rFont val="微軟正黑體"/>
        <family val="2"/>
        <charset val="136"/>
      </rPr>
      <t>檸檬青辣醬</t>
    </r>
  </si>
  <si>
    <r>
      <rPr>
        <sz val="10"/>
        <color rgb="FF444441"/>
        <rFont val="微軟正黑體"/>
        <family val="2"/>
        <charset val="136"/>
      </rPr>
      <t>針辣椒絲</t>
    </r>
  </si>
  <si>
    <r>
      <rPr>
        <sz val="10"/>
        <color rgb="FF444441"/>
        <rFont val="微軟正黑體"/>
        <family val="2"/>
        <charset val="136"/>
      </rPr>
      <t>主食</t>
    </r>
  </si>
  <si>
    <r>
      <rPr>
        <sz val="10"/>
        <color rgb="FF444441"/>
        <rFont val="微軟正黑體"/>
        <family val="2"/>
        <charset val="136"/>
      </rPr>
      <t>韓式泡菜海陸豆腐丼飯</t>
    </r>
  </si>
  <si>
    <r>
      <t>1151111</t>
    </r>
    <r>
      <rPr>
        <sz val="10"/>
        <color rgb="FF444441"/>
        <rFont val="微軟正黑體"/>
        <family val="2"/>
        <charset val="136"/>
      </rPr>
      <t>韓式泡菜海陸豆腐丼飯</t>
    </r>
    <r>
      <rPr>
        <sz val="10"/>
        <color rgb="FF444441"/>
        <rFont val="Times New Roman"/>
        <family val="1"/>
      </rPr>
      <t>.</t>
    </r>
    <r>
      <rPr>
        <sz val="10"/>
        <color rgb="FF444441"/>
        <rFont val="微軟正黑體"/>
        <family val="2"/>
        <charset val="136"/>
      </rPr>
      <t>試產版</t>
    </r>
    <r>
      <rPr>
        <sz val="10"/>
        <color rgb="FF444441"/>
        <rFont val="Times New Roman"/>
        <family val="1"/>
      </rPr>
      <t>(1).xlsx</t>
    </r>
  </si>
  <si>
    <r>
      <rPr>
        <sz val="10"/>
        <color rgb="FF444441"/>
        <rFont val="微軟正黑體"/>
        <family val="2"/>
        <charset val="136"/>
      </rPr>
      <t>莊子儀</t>
    </r>
  </si>
  <si>
    <r>
      <rPr>
        <sz val="10"/>
        <color rgb="FF444441"/>
        <rFont val="微軟正黑體"/>
        <family val="2"/>
        <charset val="136"/>
      </rPr>
      <t>韓式湯凍</t>
    </r>
    <r>
      <rPr>
        <sz val="10"/>
        <color rgb="FF444441"/>
        <rFont val="Times New Roman"/>
        <family val="1"/>
      </rPr>
      <t>(115.09)</t>
    </r>
  </si>
  <si>
    <r>
      <rPr>
        <sz val="10"/>
        <color rgb="FF444441"/>
        <rFont val="微軟正黑體"/>
        <family val="2"/>
        <charset val="136"/>
      </rPr>
      <t>煮海帶芽</t>
    </r>
    <r>
      <rPr>
        <sz val="10"/>
        <color rgb="FF444441"/>
        <rFont val="Times New Roman"/>
        <family val="1"/>
      </rPr>
      <t>(</t>
    </r>
    <r>
      <rPr>
        <sz val="10"/>
        <color rgb="FF444441"/>
        <rFont val="微軟正黑體"/>
        <family val="2"/>
        <charset val="136"/>
      </rPr>
      <t>厚</t>
    </r>
    <r>
      <rPr>
        <sz val="10"/>
        <color rgb="FF444441"/>
        <rFont val="Times New Roman"/>
        <family val="1"/>
      </rPr>
      <t>)(114</t>
    </r>
    <r>
      <rPr>
        <sz val="10"/>
        <color rgb="FF444441"/>
        <rFont val="微軟正黑體"/>
        <family val="2"/>
        <charset val="136"/>
      </rPr>
      <t>年</t>
    </r>
    <r>
      <rPr>
        <sz val="10"/>
        <color rgb="FF444441"/>
        <rFont val="Times New Roman"/>
        <family val="1"/>
      </rPr>
      <t>)</t>
    </r>
  </si>
  <si>
    <r>
      <rPr>
        <sz val="10"/>
        <color rgb="FF444441"/>
        <rFont val="微軟正黑體"/>
        <family val="2"/>
        <charset val="136"/>
      </rPr>
      <t>油煮蛤蜊</t>
    </r>
    <r>
      <rPr>
        <sz val="10"/>
        <color rgb="FF444441"/>
        <rFont val="Times New Roman"/>
        <family val="1"/>
      </rPr>
      <t>-</t>
    </r>
    <r>
      <rPr>
        <sz val="10"/>
        <color rgb="FF444441"/>
        <rFont val="微軟正黑體"/>
        <family val="2"/>
        <charset val="136"/>
      </rPr>
      <t>肉</t>
    </r>
  </si>
  <si>
    <r>
      <rPr>
        <sz val="10"/>
        <color rgb="FF444441"/>
        <rFont val="微軟正黑體"/>
        <family val="2"/>
        <charset val="136"/>
      </rPr>
      <t>鮭魚蛋炒飯</t>
    </r>
  </si>
  <si>
    <r>
      <rPr>
        <sz val="10"/>
        <color rgb="FF444441"/>
        <rFont val="微軟正黑體"/>
        <family val="2"/>
        <charset val="136"/>
      </rPr>
      <t>鮭魚蛋炒飯</t>
    </r>
    <r>
      <rPr>
        <sz val="10"/>
        <color rgb="FF444441"/>
        <rFont val="Times New Roman"/>
        <family val="1"/>
      </rPr>
      <t>(115</t>
    </r>
    <r>
      <rPr>
        <sz val="10"/>
        <color rgb="FF444441"/>
        <rFont val="微軟正黑體"/>
        <family val="2"/>
        <charset val="136"/>
      </rPr>
      <t>年</t>
    </r>
    <r>
      <rPr>
        <sz val="10"/>
        <color rgb="FF444441"/>
        <rFont val="Times New Roman"/>
        <family val="1"/>
      </rPr>
      <t>)</t>
    </r>
  </si>
  <si>
    <r>
      <t>1151117</t>
    </r>
    <r>
      <rPr>
        <sz val="10"/>
        <color rgb="FF444441"/>
        <rFont val="微軟正黑體"/>
        <family val="2"/>
        <charset val="136"/>
      </rPr>
      <t>二配鮭魚蛋炒飯</t>
    </r>
    <r>
      <rPr>
        <sz val="10"/>
        <color rgb="FF444441"/>
        <rFont val="Times New Roman"/>
        <family val="1"/>
      </rPr>
      <t>.</t>
    </r>
    <r>
      <rPr>
        <sz val="10"/>
        <color rgb="FF444441"/>
        <rFont val="微軟正黑體"/>
        <family val="2"/>
        <charset val="136"/>
      </rPr>
      <t>試產版</t>
    </r>
    <r>
      <rPr>
        <sz val="10"/>
        <color rgb="FF444441"/>
        <rFont val="Times New Roman"/>
        <family val="1"/>
      </rPr>
      <t>(1).xlsx</t>
    </r>
  </si>
  <si>
    <r>
      <rPr>
        <sz val="10"/>
        <color rgb="FF444441"/>
        <rFont val="微軟正黑體"/>
        <family val="2"/>
        <charset val="136"/>
      </rPr>
      <t>解凍</t>
    </r>
    <r>
      <rPr>
        <sz val="10"/>
        <color rgb="FF444441"/>
        <rFont val="Times New Roman"/>
        <family val="1"/>
      </rPr>
      <t>-</t>
    </r>
    <r>
      <rPr>
        <sz val="10"/>
        <color rgb="FF444441"/>
        <rFont val="微軟正黑體"/>
        <family val="2"/>
        <charset val="136"/>
      </rPr>
      <t>新冷凍銀鮭碎肉</t>
    </r>
  </si>
  <si>
    <r>
      <rPr>
        <sz val="10"/>
        <color rgb="FF444441"/>
        <rFont val="微軟正黑體"/>
        <family val="2"/>
        <charset val="136"/>
      </rPr>
      <t>味島香鬆</t>
    </r>
    <r>
      <rPr>
        <sz val="10"/>
        <color rgb="FF444441"/>
        <rFont val="Times New Roman"/>
        <family val="1"/>
      </rPr>
      <t>-</t>
    </r>
    <r>
      <rPr>
        <sz val="10"/>
        <color rgb="FF444441"/>
        <rFont val="微軟正黑體"/>
        <family val="2"/>
        <charset val="136"/>
      </rPr>
      <t>山葵香味</t>
    </r>
  </si>
  <si>
    <t>煮中華冷麵(111年)</t>
  </si>
  <si>
    <t>清洗細切胡蘿蔔絲</t>
  </si>
  <si>
    <t>小黃瓜絲</t>
  </si>
  <si>
    <t>1150422台式麻醬涼麵.確認版(8)- F06 - 切回小黃瓜.xlsx</t>
  </si>
  <si>
    <t>鰹魚烏龍冷麵</t>
    <phoneticPr fontId="27" type="noConversion"/>
  </si>
  <si>
    <t>烏龍冷麵(113年)</t>
  </si>
  <si>
    <t>解凍玉子蛋絲</t>
  </si>
  <si>
    <t>1150429鰹魚烏龍冷麵.確認版(1).xlsx</t>
  </si>
  <si>
    <t>拌辣番茄莎莎醬1.4細麵</t>
  </si>
  <si>
    <t>清洗細切雙色蘿蔔絲</t>
  </si>
  <si>
    <t>清洗紫洋蔥絲</t>
  </si>
  <si>
    <t>四切白煮蛋</t>
  </si>
  <si>
    <t>8切烤紐奧良腿排</t>
  </si>
  <si>
    <t>清洗對切整葉廣東A</t>
  </si>
  <si>
    <t>混合雙色清洗高麗菜絲(113.07)</t>
  </si>
  <si>
    <t>青檸沙拉醬(115.06)</t>
  </si>
  <si>
    <t>4切烤法式腿排(113.07)</t>
  </si>
  <si>
    <t>1130320青檸烤雞握沙拉.確認版(10)-醬汁使用澱粉、新增良品圖.xlsx</t>
  </si>
  <si>
    <t>菠菜墨西哥餅皮</t>
  </si>
  <si>
    <t>台式特級沙拉醬</t>
  </si>
  <si>
    <t>清洗高麗菜絲(葉)</t>
  </si>
  <si>
    <t>清洗細切黃蘿蔔絲</t>
  </si>
  <si>
    <t>36切蛋白條(111.06)</t>
  </si>
  <si>
    <t>青醬優格</t>
  </si>
  <si>
    <t>1110622青醬優格雞肉握沙拉.確認版(10)-切換金黃胡蘿蔔.xlsx</t>
  </si>
  <si>
    <t>混合蔥鹽蔬菜絲</t>
  </si>
  <si>
    <t>清洗切段甜脆</t>
  </si>
  <si>
    <t>四切烤薄漿清肉排</t>
  </si>
  <si>
    <t>F-鹽蔥醬</t>
  </si>
  <si>
    <t>1150513蔥鹽雞肉麵沙拉.確認版(3)-新增水煮蛋警語.xlsx</t>
  </si>
  <si>
    <t>地瓜瓜握沙拉</t>
    <phoneticPr fontId="27" type="noConversion"/>
  </si>
  <si>
    <t>清洗切段廣東A1cm</t>
  </si>
  <si>
    <t>清洗紫高麗菜絲</t>
  </si>
  <si>
    <t>炒素鬆</t>
  </si>
  <si>
    <t>熟化帶皮黃肉地瓜滾刀7-13g</t>
  </si>
  <si>
    <t>1150603地瓜瓜握沙拉.確認版(2)-切換廣東A.xlsx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</si>
</sst>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0.0%"/>
    <numFmt numFmtId="177" formatCode="0.0\%"/>
    <numFmt numFmtId="178" formatCode="m&quot;月&quot;d&quot;日&quot;"/>
  </numFmts>
  <fonts count="68">
    <font>
      <sz val="11"/>
      <color theme="1"/>
      <name val="Calibri"/>
      <family val="2"/>
      <charset val="1"/>
    </font>
    <font>
      <sz val="12"/>
      <color theme="1"/>
      <name val="新細明體"/>
      <family val="2"/>
      <charset val="136"/>
      <scheme val="minor"/>
    </font>
    <font>
      <b/>
      <sz val="18"/>
      <color rgb="FFFFFFFF"/>
      <name val="Noto Sans CJK SC"/>
      <family val="2"/>
    </font>
    <font>
      <b/>
      <sz val="12"/>
      <color rgb="FF444441"/>
      <name val="Noto Sans CJK SC"/>
      <family val="2"/>
    </font>
    <font>
      <b/>
      <sz val="10"/>
      <color rgb="FF444441"/>
      <name val="Noto Sans CJK SC"/>
      <family val="2"/>
    </font>
    <font>
      <sz val="10"/>
      <color rgb="FF444441"/>
      <name val="微軟正黑體"/>
      <family val="2"/>
      <charset val="136"/>
    </font>
    <font>
      <b/>
      <sz val="11"/>
      <color rgb="FF444441"/>
      <name val="微軟正黑體"/>
      <family val="2"/>
      <charset val="136"/>
    </font>
    <font>
      <b/>
      <sz val="10"/>
      <color rgb="FF444441"/>
      <name val="微軟正黑體"/>
      <family val="2"/>
      <charset val="136"/>
    </font>
    <font>
      <b/>
      <sz val="10"/>
      <color rgb="FFFFFFFF"/>
      <name val="Noto Sans CJK SC"/>
      <family val="2"/>
    </font>
    <font>
      <sz val="10"/>
      <color rgb="FF444441"/>
      <name val="Noto Sans CJK SC"/>
      <family val="2"/>
    </font>
    <font>
      <b/>
      <sz val="11"/>
      <color rgb="FFFFFFFF"/>
      <name val="微軟正黑體"/>
      <family val="2"/>
      <charset val="136"/>
    </font>
    <font>
      <b/>
      <sz val="11"/>
      <color rgb="FFFFFFFF"/>
      <name val="Noto Sans CJK SC"/>
      <family val="2"/>
    </font>
    <font>
      <b/>
      <sz val="9"/>
      <color rgb="FF808080"/>
      <name val="Noto Sans CJK SC"/>
      <family val="2"/>
    </font>
    <font>
      <sz val="9"/>
      <color rgb="FF444441"/>
      <name val="微軟正黑體"/>
      <family val="2"/>
      <charset val="136"/>
    </font>
    <font>
      <b/>
      <sz val="18"/>
      <color rgb="FFFFFFFF"/>
      <name val="微軟正黑體"/>
      <family val="2"/>
      <charset val="136"/>
    </font>
    <font>
      <b/>
      <sz val="12"/>
      <color rgb="FF444441"/>
      <name val="微軟正黑體"/>
      <family val="2"/>
      <charset val="136"/>
    </font>
    <font>
      <b/>
      <sz val="12"/>
      <color rgb="FFFFFFFF"/>
      <name val="Noto Sans CJK SC"/>
      <family val="2"/>
    </font>
    <font>
      <b/>
      <sz val="12"/>
      <color rgb="FFFFFFFF"/>
      <name val="微軟正黑體"/>
      <family val="2"/>
      <charset val="136"/>
    </font>
    <font>
      <sz val="8"/>
      <color rgb="FF808080"/>
      <name val="Noto Sans CJK SC"/>
      <family val="2"/>
    </font>
    <font>
      <sz val="8"/>
      <color rgb="FF808080"/>
      <name val="微軟正黑體"/>
      <family val="2"/>
      <charset val="136"/>
    </font>
    <font>
      <b/>
      <sz val="14"/>
      <color rgb="FF2E7D32"/>
      <name val="Noto Sans CJK SC"/>
      <family val="2"/>
    </font>
    <font>
      <b/>
      <sz val="10"/>
      <color rgb="FF0000FF"/>
      <name val="微軟正黑體"/>
      <family val="2"/>
      <charset val="136"/>
    </font>
    <font>
      <sz val="9"/>
      <color rgb="FF808080"/>
      <name val="Noto Sans CJK SC"/>
      <family val="2"/>
    </font>
    <font>
      <sz val="9"/>
      <color rgb="FF808080"/>
      <name val="微軟正黑體"/>
      <family val="2"/>
      <charset val="136"/>
    </font>
    <font>
      <b/>
      <sz val="11"/>
      <color rgb="FF444441"/>
      <name val="Noto Sans CJK SC"/>
      <family val="2"/>
    </font>
    <font>
      <b/>
      <sz val="10"/>
      <color rgb="FFFFFFFF"/>
      <name val="微軟正黑體"/>
      <family val="2"/>
      <charset val="136"/>
    </font>
    <font>
      <sz val="9"/>
      <color rgb="FF444441"/>
      <name val="Noto Sans CJK SC"/>
      <family val="2"/>
    </font>
    <font>
      <sz val="9"/>
      <name val="細明體"/>
      <family val="3"/>
      <charset val="136"/>
    </font>
    <font>
      <b/>
      <sz val="16"/>
      <color rgb="FF2E7D32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2"/>
      <color rgb="FFFFFFFF"/>
      <name val="細明體"/>
      <family val="3"/>
      <charset val="136"/>
    </font>
    <font>
      <sz val="11"/>
      <name val="ＭＳ Ｐゴシック"/>
      <family val="2"/>
    </font>
    <font>
      <sz val="10"/>
      <color rgb="FFFF0000"/>
      <name val="微軟正黑體"/>
      <family val="2"/>
      <charset val="136"/>
    </font>
    <font>
      <sz val="10"/>
      <color theme="1"/>
      <name val="微軟正黑體"/>
      <family val="2"/>
    </font>
    <font>
      <b/>
      <sz val="10"/>
      <color theme="1"/>
      <name val="微軟正黑體"/>
      <family val="2"/>
    </font>
    <font>
      <sz val="11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2"/>
      <color indexed="19"/>
      <name val="新細明體"/>
      <family val="1"/>
      <charset val="136"/>
    </font>
    <font>
      <sz val="14"/>
      <name val="ＭＳ 明朝"/>
      <family val="3"/>
      <charset val="128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10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62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name val="ＭＳ Ｐ????"/>
      <family val="2"/>
    </font>
    <font>
      <sz val="12"/>
      <color theme="1"/>
      <name val="新細明體"/>
      <family val="2"/>
      <scheme val="minor"/>
    </font>
    <font>
      <sz val="10"/>
      <color theme="1"/>
      <name val="微軟正黑體"/>
      <family val="2"/>
      <charset val="136"/>
    </font>
    <font>
      <b/>
      <sz val="18"/>
      <color rgb="FFFFFFFF"/>
      <name val="Times New Roman"/>
      <family val="1"/>
    </font>
    <font>
      <sz val="11"/>
      <color theme="1"/>
      <name val="Times New Roman"/>
      <family val="1"/>
    </font>
    <font>
      <b/>
      <sz val="12"/>
      <color rgb="FF444441"/>
      <name val="Times New Roman"/>
      <family val="1"/>
    </font>
    <font>
      <b/>
      <sz val="12"/>
      <color rgb="FFFFFFFF"/>
      <name val="Times New Roman"/>
      <family val="1"/>
    </font>
    <font>
      <b/>
      <sz val="11"/>
      <color rgb="FFFFFFFF"/>
      <name val="Times New Roman"/>
      <family val="1"/>
    </font>
    <font>
      <b/>
      <sz val="10"/>
      <color rgb="FFFFFFFF"/>
      <name val="Times New Roman"/>
      <family val="1"/>
    </font>
    <font>
      <sz val="8"/>
      <color rgb="FF808080"/>
      <name val="Times New Roman"/>
      <family val="1"/>
    </font>
    <font>
      <sz val="10"/>
      <color rgb="FF444441"/>
      <name val="Times New Roman"/>
      <family val="1"/>
    </font>
    <font>
      <sz val="9"/>
      <color rgb="FF444441"/>
      <name val="Times New Roman"/>
      <family val="1"/>
    </font>
    <font>
      <sz val="10"/>
      <color theme="1"/>
      <name val="Times New Roman"/>
      <family val="1"/>
    </font>
  </fonts>
  <fills count="31">
    <fill>
      <patternFill patternType="none"/>
    </fill>
    <fill>
      <patternFill patternType="gray125"/>
    </fill>
    <fill>
      <patternFill patternType="solid">
        <fgColor rgb="FF00A44A"/>
        <bgColor rgb="FF2E7D32"/>
      </patternFill>
    </fill>
    <fill>
      <patternFill patternType="solid">
        <fgColor rgb="FFFAEEDA"/>
        <bgColor rgb="FFFDECEA"/>
      </patternFill>
    </fill>
    <fill>
      <patternFill patternType="solid">
        <fgColor rgb="FFFFFFCC"/>
        <bgColor rgb="FFFAEEDA"/>
      </patternFill>
    </fill>
    <fill>
      <patternFill patternType="solid">
        <fgColor rgb="FF444441"/>
        <bgColor rgb="FF333399"/>
      </patternFill>
    </fill>
    <fill>
      <patternFill patternType="solid">
        <fgColor rgb="FF1F77B4"/>
        <bgColor rgb="FF1F5FA8"/>
      </patternFill>
    </fill>
    <fill>
      <patternFill patternType="solid">
        <fgColor rgb="FFE07B00"/>
        <bgColor rgb="FFFF9900"/>
      </patternFill>
    </fill>
    <fill>
      <patternFill patternType="solid">
        <fgColor rgb="FF7B4FA6"/>
        <bgColor rgb="FF8064A2"/>
      </patternFill>
    </fill>
    <fill>
      <patternFill patternType="solid">
        <fgColor rgb="FF2A9DB0"/>
        <bgColor rgb="FF4BACC6"/>
      </patternFill>
    </fill>
    <fill>
      <patternFill patternType="solid">
        <fgColor rgb="FF808080"/>
        <bgColor rgb="FF878787"/>
      </patternFill>
    </fill>
    <fill>
      <patternFill patternType="solid">
        <fgColor rgb="FFEAF6F1"/>
        <bgColor rgb="FFEDEDED"/>
      </patternFill>
    </fill>
    <fill>
      <patternFill patternType="solid">
        <fgColor rgb="FFEDEDED"/>
        <bgColor rgb="FFEAF6F1"/>
      </patternFill>
    </fill>
    <fill>
      <patternFill patternType="solid">
        <fgColor rgb="FFE7EEF5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</fills>
  <borders count="1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6664">
    <xf numFmtId="0" fontId="0" fillId="0" borderId="0"/>
    <xf numFmtId="0" fontId="31" fillId="0" borderId="0"/>
    <xf numFmtId="0" fontId="4" fillId="3" borderId="1" xfId="0" applyFont="1" applyFill="1" applyBorder="1" applyAlignment="1">
      <alignment horizontal="center" vertical="center" wrapText="1"/>
    </xf>
    <xf numFmtId="0" fontId="35" fillId="0" borderId="0"/>
    <xf numFmtId="38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1" fillId="0" borderId="0"/>
    <xf numFmtId="0" fontId="35" fillId="0" borderId="0"/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0" borderId="0">
      <alignment vertical="center"/>
    </xf>
    <xf numFmtId="0" fontId="31" fillId="0" borderId="0"/>
    <xf numFmtId="0" fontId="31" fillId="0" borderId="0"/>
    <xf numFmtId="0" fontId="3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8" fillId="0" borderId="0">
      <alignment vertical="center"/>
    </xf>
    <xf numFmtId="0" fontId="38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8" fillId="0" borderId="0">
      <alignment vertical="center"/>
    </xf>
    <xf numFmtId="0" fontId="38" fillId="0" borderId="0">
      <alignment vertical="center"/>
    </xf>
    <xf numFmtId="0" fontId="31" fillId="0" borderId="0"/>
    <xf numFmtId="0" fontId="35" fillId="0" borderId="0"/>
    <xf numFmtId="0" fontId="35" fillId="0" borderId="0"/>
    <xf numFmtId="0" fontId="38" fillId="0" borderId="0">
      <alignment vertical="center"/>
    </xf>
    <xf numFmtId="0" fontId="35" fillId="0" borderId="0"/>
    <xf numFmtId="43" fontId="39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38" fontId="31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0" borderId="0"/>
    <xf numFmtId="0" fontId="41" fillId="0" borderId="0"/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9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9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5" fillId="0" borderId="10" applyNumberFormat="0" applyFill="0" applyAlignment="0" applyProtection="0">
      <alignment vertical="center"/>
    </xf>
    <xf numFmtId="0" fontId="45" fillId="0" borderId="10" applyNumberFormat="0" applyFill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48" fillId="0" borderId="13" applyNumberFormat="0" applyFill="0" applyAlignment="0" applyProtection="0">
      <alignment vertical="center"/>
    </xf>
    <xf numFmtId="0" fontId="48" fillId="0" borderId="13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3" fillId="29" borderId="16" applyNumberFormat="0" applyAlignment="0" applyProtection="0">
      <alignment vertical="center"/>
    </xf>
    <xf numFmtId="0" fontId="53" fillId="29" borderId="16" applyNumberFormat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38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38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5" fillId="0" borderId="0"/>
    <xf numFmtId="38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9" fillId="0" borderId="0" applyFont="0" applyFill="0" applyBorder="0" applyAlignment="0" applyProtection="0"/>
    <xf numFmtId="38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16" borderId="11" applyNumberFormat="0" applyFont="0" applyAlignment="0" applyProtection="0">
      <alignment vertical="center"/>
    </xf>
    <xf numFmtId="0" fontId="31" fillId="0" borderId="0"/>
    <xf numFmtId="0" fontId="35" fillId="0" borderId="0"/>
    <xf numFmtId="0" fontId="35" fillId="0" borderId="0"/>
    <xf numFmtId="0" fontId="31" fillId="0" borderId="0"/>
    <xf numFmtId="0" fontId="3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1" fillId="0" borderId="0"/>
    <xf numFmtId="38" fontId="35" fillId="0" borderId="0" applyFont="0" applyFill="0" applyBorder="0" applyAlignment="0" applyProtection="0"/>
    <xf numFmtId="0" fontId="31" fillId="0" borderId="0"/>
    <xf numFmtId="9" fontId="35" fillId="0" borderId="0" applyFont="0" applyFill="0" applyBorder="0" applyAlignment="0" applyProtection="0"/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5" fillId="0" borderId="0"/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31" fillId="0" borderId="0"/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5" fillId="0" borderId="0"/>
    <xf numFmtId="0" fontId="36" fillId="0" borderId="0">
      <alignment vertical="center"/>
    </xf>
    <xf numFmtId="0" fontId="31" fillId="0" borderId="0"/>
    <xf numFmtId="0" fontId="35" fillId="0" borderId="0"/>
    <xf numFmtId="0" fontId="1" fillId="0" borderId="0">
      <alignment vertical="center"/>
    </xf>
    <xf numFmtId="0" fontId="1" fillId="0" borderId="0">
      <alignment vertical="center"/>
    </xf>
    <xf numFmtId="0" fontId="35" fillId="0" borderId="0"/>
    <xf numFmtId="0" fontId="55" fillId="0" borderId="0"/>
    <xf numFmtId="0" fontId="1" fillId="0" borderId="0">
      <alignment vertical="center"/>
    </xf>
    <xf numFmtId="0" fontId="1" fillId="0" borderId="0">
      <alignment vertical="center"/>
    </xf>
    <xf numFmtId="0" fontId="31" fillId="0" borderId="0"/>
    <xf numFmtId="0" fontId="31" fillId="0" borderId="0"/>
    <xf numFmtId="0" fontId="55" fillId="0" borderId="0"/>
    <xf numFmtId="0" fontId="1" fillId="0" borderId="0">
      <alignment vertical="center"/>
    </xf>
    <xf numFmtId="0" fontId="35" fillId="0" borderId="0"/>
    <xf numFmtId="0" fontId="35" fillId="0" borderId="0"/>
    <xf numFmtId="0" fontId="5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31" fillId="0" borderId="0"/>
    <xf numFmtId="0" fontId="35" fillId="0" borderId="0"/>
    <xf numFmtId="0" fontId="31" fillId="0" borderId="0"/>
    <xf numFmtId="0" fontId="5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5" fillId="0" borderId="0"/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5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5" fillId="0" borderId="0"/>
    <xf numFmtId="0" fontId="35" fillId="0" borderId="0"/>
    <xf numFmtId="0" fontId="3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/>
    <xf numFmtId="0" fontId="5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1" fillId="0" borderId="0"/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31" fillId="0" borderId="0"/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5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/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1" fillId="0" borderId="0"/>
    <xf numFmtId="0" fontId="31" fillId="0" borderId="0"/>
    <xf numFmtId="0" fontId="35" fillId="0" borderId="0"/>
    <xf numFmtId="0" fontId="31" fillId="0" borderId="0"/>
    <xf numFmtId="0" fontId="55" fillId="0" borderId="0"/>
    <xf numFmtId="0" fontId="31" fillId="0" borderId="0"/>
    <xf numFmtId="0" fontId="35" fillId="0" borderId="0"/>
    <xf numFmtId="0" fontId="55" fillId="0" borderId="0"/>
    <xf numFmtId="0" fontId="31" fillId="0" borderId="0"/>
    <xf numFmtId="0" fontId="35" fillId="0" borderId="0"/>
    <xf numFmtId="0" fontId="5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1" fillId="0" borderId="0"/>
    <xf numFmtId="0" fontId="35" fillId="0" borderId="0"/>
    <xf numFmtId="0" fontId="31" fillId="0" borderId="0"/>
    <xf numFmtId="0" fontId="31" fillId="0" borderId="0"/>
    <xf numFmtId="0" fontId="55" fillId="0" borderId="0"/>
    <xf numFmtId="0" fontId="31" fillId="0" borderId="0"/>
    <xf numFmtId="0" fontId="5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35" fillId="0" borderId="0"/>
    <xf numFmtId="0" fontId="35" fillId="0" borderId="0"/>
    <xf numFmtId="0" fontId="1" fillId="0" borderId="0">
      <alignment vertical="center"/>
    </xf>
    <xf numFmtId="0" fontId="5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35" fillId="0" borderId="0"/>
    <xf numFmtId="0" fontId="35" fillId="0" borderId="0"/>
    <xf numFmtId="0" fontId="55" fillId="0" borderId="0"/>
    <xf numFmtId="0" fontId="35" fillId="0" borderId="0"/>
    <xf numFmtId="0" fontId="1" fillId="0" borderId="0">
      <alignment vertical="center"/>
    </xf>
    <xf numFmtId="0" fontId="5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5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35" fillId="0" borderId="0"/>
    <xf numFmtId="0" fontId="35" fillId="0" borderId="0"/>
    <xf numFmtId="0" fontId="31" fillId="0" borderId="0"/>
    <xf numFmtId="0" fontId="31" fillId="0" borderId="0"/>
    <xf numFmtId="0" fontId="55" fillId="0" borderId="0"/>
    <xf numFmtId="0" fontId="39" fillId="0" borderId="0"/>
    <xf numFmtId="0" fontId="39" fillId="0" borderId="0"/>
    <xf numFmtId="0" fontId="31" fillId="0" borderId="0"/>
    <xf numFmtId="0" fontId="35" fillId="0" borderId="0"/>
    <xf numFmtId="0" fontId="31" fillId="0" borderId="0"/>
    <xf numFmtId="0" fontId="31" fillId="0" borderId="0"/>
    <xf numFmtId="0" fontId="55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55" fillId="0" borderId="0"/>
    <xf numFmtId="0" fontId="35" fillId="0" borderId="0"/>
    <xf numFmtId="0" fontId="31" fillId="0" borderId="0"/>
    <xf numFmtId="0" fontId="55" fillId="0" borderId="0"/>
    <xf numFmtId="0" fontId="55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55" fillId="0" borderId="0"/>
    <xf numFmtId="0" fontId="31" fillId="0" borderId="0"/>
    <xf numFmtId="0" fontId="55" fillId="0" borderId="0"/>
    <xf numFmtId="0" fontId="35" fillId="0" borderId="0"/>
    <xf numFmtId="0" fontId="35" fillId="0" borderId="0"/>
    <xf numFmtId="0" fontId="35" fillId="0" borderId="0"/>
    <xf numFmtId="0" fontId="55" fillId="0" borderId="0"/>
    <xf numFmtId="0" fontId="55" fillId="0" borderId="0"/>
    <xf numFmtId="0" fontId="35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1" fillId="0" borderId="0"/>
    <xf numFmtId="0" fontId="31" fillId="0" borderId="0"/>
    <xf numFmtId="0" fontId="55" fillId="0" borderId="0"/>
    <xf numFmtId="0" fontId="3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5" fillId="0" borderId="0"/>
    <xf numFmtId="0" fontId="31" fillId="0" borderId="0"/>
    <xf numFmtId="0" fontId="35" fillId="0" borderId="0"/>
    <xf numFmtId="0" fontId="31" fillId="0" borderId="0"/>
    <xf numFmtId="0" fontId="31" fillId="0" borderId="0"/>
    <xf numFmtId="0" fontId="55" fillId="0" borderId="0"/>
    <xf numFmtId="0" fontId="31" fillId="0" borderId="0"/>
    <xf numFmtId="0" fontId="31" fillId="0" borderId="0"/>
    <xf numFmtId="0" fontId="35" fillId="0" borderId="0"/>
    <xf numFmtId="0" fontId="31" fillId="0" borderId="0"/>
    <xf numFmtId="0" fontId="31" fillId="0" borderId="0"/>
    <xf numFmtId="0" fontId="55" fillId="0" borderId="0"/>
    <xf numFmtId="0" fontId="35" fillId="0" borderId="0"/>
    <xf numFmtId="0" fontId="55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1" fillId="0" borderId="0"/>
    <xf numFmtId="0" fontId="31" fillId="0" borderId="0"/>
    <xf numFmtId="0" fontId="55" fillId="0" borderId="0"/>
    <xf numFmtId="0" fontId="31" fillId="0" borderId="0"/>
    <xf numFmtId="0" fontId="35" fillId="0" borderId="0"/>
    <xf numFmtId="0" fontId="31" fillId="0" borderId="0"/>
    <xf numFmtId="0" fontId="31" fillId="0" borderId="0"/>
    <xf numFmtId="0" fontId="55" fillId="0" borderId="0"/>
    <xf numFmtId="0" fontId="31" fillId="0" borderId="0"/>
    <xf numFmtId="0" fontId="31" fillId="0" borderId="0"/>
    <xf numFmtId="0" fontId="35" fillId="0" borderId="0"/>
    <xf numFmtId="0" fontId="31" fillId="0" borderId="0"/>
    <xf numFmtId="0" fontId="31" fillId="0" borderId="0"/>
    <xf numFmtId="0" fontId="55" fillId="0" borderId="0"/>
    <xf numFmtId="0" fontId="55" fillId="0" borderId="0"/>
    <xf numFmtId="0" fontId="31" fillId="0" borderId="0"/>
    <xf numFmtId="0" fontId="31" fillId="0" borderId="0"/>
    <xf numFmtId="0" fontId="35" fillId="0" borderId="0"/>
    <xf numFmtId="0" fontId="31" fillId="0" borderId="0"/>
    <xf numFmtId="0" fontId="31" fillId="0" borderId="0"/>
    <xf numFmtId="0" fontId="55" fillId="0" borderId="0"/>
    <xf numFmtId="0" fontId="31" fillId="0" borderId="0"/>
    <xf numFmtId="0" fontId="55" fillId="0" borderId="0"/>
    <xf numFmtId="0" fontId="55" fillId="0" borderId="0"/>
    <xf numFmtId="0" fontId="55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55" fillId="0" borderId="0"/>
    <xf numFmtId="0" fontId="35" fillId="0" borderId="0"/>
    <xf numFmtId="0" fontId="31" fillId="0" borderId="0"/>
    <xf numFmtId="0" fontId="31" fillId="0" borderId="0"/>
    <xf numFmtId="0" fontId="55" fillId="0" borderId="0"/>
    <xf numFmtId="0" fontId="55" fillId="0" borderId="0"/>
    <xf numFmtId="0" fontId="31" fillId="0" borderId="0"/>
    <xf numFmtId="0" fontId="55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55" fillId="0" borderId="0"/>
    <xf numFmtId="0" fontId="35" fillId="0" borderId="0"/>
    <xf numFmtId="0" fontId="31" fillId="0" borderId="0"/>
    <xf numFmtId="0" fontId="31" fillId="0" borderId="0"/>
    <xf numFmtId="0" fontId="55" fillId="0" borderId="0"/>
    <xf numFmtId="0" fontId="55" fillId="0" borderId="0"/>
    <xf numFmtId="0" fontId="31" fillId="0" borderId="0"/>
    <xf numFmtId="0" fontId="55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55" fillId="0" borderId="0"/>
    <xf numFmtId="0" fontId="35" fillId="0" borderId="0"/>
    <xf numFmtId="0" fontId="31" fillId="0" borderId="0"/>
    <xf numFmtId="0" fontId="31" fillId="0" borderId="0"/>
    <xf numFmtId="0" fontId="55" fillId="0" borderId="0"/>
    <xf numFmtId="0" fontId="55" fillId="0" borderId="0"/>
    <xf numFmtId="0" fontId="31" fillId="0" borderId="0"/>
    <xf numFmtId="0" fontId="55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55" fillId="0" borderId="0"/>
    <xf numFmtId="0" fontId="35" fillId="0" borderId="0"/>
    <xf numFmtId="0" fontId="31" fillId="0" borderId="0"/>
    <xf numFmtId="0" fontId="31" fillId="0" borderId="0"/>
    <xf numFmtId="0" fontId="55" fillId="0" borderId="0"/>
    <xf numFmtId="0" fontId="55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1" fillId="0" borderId="0"/>
    <xf numFmtId="0" fontId="31" fillId="0" borderId="0"/>
    <xf numFmtId="0" fontId="55" fillId="0" borderId="0"/>
    <xf numFmtId="0" fontId="31" fillId="0" borderId="0"/>
    <xf numFmtId="0" fontId="35" fillId="0" borderId="0"/>
    <xf numFmtId="0" fontId="35" fillId="0" borderId="0"/>
    <xf numFmtId="0" fontId="55" fillId="0" borderId="0"/>
    <xf numFmtId="0" fontId="35" fillId="0" borderId="0"/>
    <xf numFmtId="0" fontId="31" fillId="0" borderId="0"/>
    <xf numFmtId="0" fontId="55" fillId="0" borderId="0"/>
    <xf numFmtId="0" fontId="31" fillId="0" borderId="0"/>
    <xf numFmtId="0" fontId="31" fillId="0" borderId="0"/>
    <xf numFmtId="0" fontId="35" fillId="0" borderId="0"/>
    <xf numFmtId="0" fontId="31" fillId="0" borderId="0"/>
    <xf numFmtId="0" fontId="31" fillId="0" borderId="0"/>
    <xf numFmtId="0" fontId="55" fillId="0" borderId="0"/>
    <xf numFmtId="0" fontId="35" fillId="0" borderId="0"/>
    <xf numFmtId="0" fontId="55" fillId="0" borderId="0"/>
    <xf numFmtId="0" fontId="31" fillId="0" borderId="0"/>
    <xf numFmtId="0" fontId="31" fillId="0" borderId="0"/>
    <xf numFmtId="0" fontId="35" fillId="0" borderId="0"/>
    <xf numFmtId="0" fontId="31" fillId="0" borderId="0"/>
    <xf numFmtId="0" fontId="31" fillId="0" borderId="0"/>
    <xf numFmtId="0" fontId="55" fillId="0" borderId="0"/>
    <xf numFmtId="0" fontId="31" fillId="0" borderId="0"/>
    <xf numFmtId="0" fontId="55" fillId="0" borderId="0"/>
    <xf numFmtId="0" fontId="31" fillId="0" borderId="0"/>
    <xf numFmtId="0" fontId="35" fillId="0" borderId="0"/>
    <xf numFmtId="0" fontId="31" fillId="0" borderId="0"/>
    <xf numFmtId="0" fontId="31" fillId="0" borderId="0"/>
    <xf numFmtId="0" fontId="5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5" fillId="0" borderId="0"/>
    <xf numFmtId="0" fontId="31" fillId="0" borderId="0"/>
    <xf numFmtId="0" fontId="56" fillId="0" borderId="0"/>
    <xf numFmtId="0" fontId="31" fillId="0" borderId="0"/>
    <xf numFmtId="0" fontId="31" fillId="0" borderId="0"/>
    <xf numFmtId="0" fontId="39" fillId="0" borderId="0"/>
    <xf numFmtId="0" fontId="55" fillId="0" borderId="0"/>
    <xf numFmtId="0" fontId="31" fillId="0" borderId="0"/>
    <xf numFmtId="0" fontId="39" fillId="0" borderId="0"/>
    <xf numFmtId="0" fontId="31" fillId="0" borderId="0"/>
    <xf numFmtId="0" fontId="55" fillId="0" borderId="0"/>
    <xf numFmtId="0" fontId="31" fillId="0" borderId="0"/>
    <xf numFmtId="0" fontId="31" fillId="0" borderId="0"/>
    <xf numFmtId="0" fontId="35" fillId="0" borderId="0"/>
    <xf numFmtId="0" fontId="31" fillId="0" borderId="0"/>
    <xf numFmtId="0" fontId="31" fillId="0" borderId="0"/>
    <xf numFmtId="0" fontId="55" fillId="0" borderId="0"/>
    <xf numFmtId="0" fontId="55" fillId="0" borderId="0"/>
    <xf numFmtId="0" fontId="31" fillId="0" borderId="0"/>
    <xf numFmtId="0" fontId="39" fillId="0" borderId="0"/>
    <xf numFmtId="0" fontId="55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55" fillId="0" borderId="0"/>
    <xf numFmtId="0" fontId="35" fillId="0" borderId="0"/>
    <xf numFmtId="0" fontId="31" fillId="0" borderId="0"/>
    <xf numFmtId="0" fontId="31" fillId="0" borderId="0"/>
    <xf numFmtId="0" fontId="55" fillId="0" borderId="0"/>
    <xf numFmtId="0" fontId="55" fillId="0" borderId="0"/>
    <xf numFmtId="0" fontId="39" fillId="0" borderId="0"/>
    <xf numFmtId="0" fontId="35" fillId="0" borderId="0"/>
    <xf numFmtId="0" fontId="31" fillId="0" borderId="0"/>
    <xf numFmtId="0" fontId="55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55" fillId="0" borderId="0"/>
    <xf numFmtId="0" fontId="35" fillId="0" borderId="0"/>
    <xf numFmtId="0" fontId="31" fillId="0" borderId="0"/>
    <xf numFmtId="0" fontId="31" fillId="0" borderId="0"/>
    <xf numFmtId="0" fontId="55" fillId="0" borderId="0"/>
    <xf numFmtId="0" fontId="3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8" fillId="0" borderId="0">
      <alignment vertical="center"/>
    </xf>
    <xf numFmtId="0" fontId="38" fillId="0" borderId="0">
      <alignment vertical="center"/>
    </xf>
    <xf numFmtId="0" fontId="55" fillId="0" borderId="0"/>
    <xf numFmtId="0" fontId="31" fillId="0" borderId="0"/>
    <xf numFmtId="0" fontId="55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55" fillId="0" borderId="0"/>
    <xf numFmtId="0" fontId="35" fillId="0" borderId="0"/>
    <xf numFmtId="0" fontId="31" fillId="0" borderId="0"/>
    <xf numFmtId="0" fontId="31" fillId="0" borderId="0"/>
    <xf numFmtId="0" fontId="55" fillId="0" borderId="0"/>
    <xf numFmtId="0" fontId="55" fillId="0" borderId="0"/>
    <xf numFmtId="0" fontId="31" fillId="0" borderId="0"/>
    <xf numFmtId="0" fontId="55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55" fillId="0" borderId="0"/>
    <xf numFmtId="0" fontId="35" fillId="0" borderId="0"/>
    <xf numFmtId="0" fontId="31" fillId="0" borderId="0"/>
    <xf numFmtId="0" fontId="31" fillId="0" borderId="0"/>
    <xf numFmtId="0" fontId="55" fillId="0" borderId="0"/>
    <xf numFmtId="0" fontId="55" fillId="0" borderId="0"/>
    <xf numFmtId="0" fontId="31" fillId="0" borderId="0"/>
    <xf numFmtId="0" fontId="55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55" fillId="0" borderId="0"/>
    <xf numFmtId="0" fontId="35" fillId="0" borderId="0"/>
    <xf numFmtId="0" fontId="31" fillId="0" borderId="0"/>
    <xf numFmtId="0" fontId="31" fillId="0" borderId="0"/>
    <xf numFmtId="0" fontId="55" fillId="0" borderId="0"/>
    <xf numFmtId="0" fontId="55" fillId="0" borderId="0"/>
    <xf numFmtId="0" fontId="31" fillId="0" borderId="0"/>
    <xf numFmtId="0" fontId="55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55" fillId="0" borderId="0"/>
    <xf numFmtId="0" fontId="35" fillId="0" borderId="0"/>
    <xf numFmtId="0" fontId="31" fillId="0" borderId="0"/>
    <xf numFmtId="0" fontId="31" fillId="0" borderId="0"/>
    <xf numFmtId="0" fontId="55" fillId="0" borderId="0"/>
    <xf numFmtId="0" fontId="55" fillId="0" borderId="0"/>
    <xf numFmtId="0" fontId="31" fillId="0" borderId="0"/>
    <xf numFmtId="0" fontId="55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55" fillId="0" borderId="0"/>
    <xf numFmtId="0" fontId="35" fillId="0" borderId="0"/>
    <xf numFmtId="0" fontId="31" fillId="0" borderId="0"/>
    <xf numFmtId="0" fontId="31" fillId="0" borderId="0"/>
    <xf numFmtId="0" fontId="55" fillId="0" borderId="0"/>
    <xf numFmtId="0" fontId="55" fillId="0" borderId="0"/>
    <xf numFmtId="0" fontId="31" fillId="0" borderId="0"/>
    <xf numFmtId="0" fontId="55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55" fillId="0" borderId="0"/>
    <xf numFmtId="0" fontId="35" fillId="0" borderId="0"/>
    <xf numFmtId="0" fontId="31" fillId="0" borderId="0"/>
    <xf numFmtId="0" fontId="31" fillId="0" borderId="0"/>
    <xf numFmtId="0" fontId="55" fillId="0" borderId="0"/>
    <xf numFmtId="0" fontId="55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>
      <alignment vertical="center"/>
    </xf>
    <xf numFmtId="0" fontId="38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0" fontId="36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8" fillId="0" borderId="0">
      <alignment vertical="center"/>
    </xf>
    <xf numFmtId="0" fontId="38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1" fillId="0" borderId="0"/>
    <xf numFmtId="0" fontId="31" fillId="0" borderId="0"/>
    <xf numFmtId="0" fontId="35" fillId="0" borderId="0"/>
    <xf numFmtId="0" fontId="55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1" fillId="0" borderId="0"/>
    <xf numFmtId="0" fontId="31" fillId="0" borderId="0"/>
    <xf numFmtId="0" fontId="55" fillId="0" borderId="0"/>
    <xf numFmtId="0" fontId="31" fillId="0" borderId="0"/>
    <xf numFmtId="0" fontId="35" fillId="0" borderId="0"/>
    <xf numFmtId="0" fontId="35" fillId="0" borderId="0"/>
    <xf numFmtId="0" fontId="55" fillId="0" borderId="0"/>
    <xf numFmtId="0" fontId="35" fillId="0" borderId="0"/>
    <xf numFmtId="0" fontId="31" fillId="0" borderId="0"/>
    <xf numFmtId="0" fontId="55" fillId="0" borderId="0"/>
    <xf numFmtId="0" fontId="31" fillId="0" borderId="0"/>
    <xf numFmtId="0" fontId="31" fillId="0" borderId="0"/>
    <xf numFmtId="0" fontId="35" fillId="0" borderId="0"/>
    <xf numFmtId="0" fontId="31" fillId="0" borderId="0"/>
    <xf numFmtId="0" fontId="31" fillId="0" borderId="0"/>
    <xf numFmtId="0" fontId="55" fillId="0" borderId="0"/>
    <xf numFmtId="0" fontId="35" fillId="0" borderId="0"/>
    <xf numFmtId="0" fontId="55" fillId="0" borderId="0"/>
    <xf numFmtId="0" fontId="31" fillId="0" borderId="0"/>
    <xf numFmtId="0" fontId="35" fillId="0" borderId="0"/>
    <xf numFmtId="0" fontId="31" fillId="0" borderId="0"/>
    <xf numFmtId="0" fontId="31" fillId="0" borderId="0"/>
    <xf numFmtId="0" fontId="5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5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1" fillId="0" borderId="0"/>
    <xf numFmtId="0" fontId="31" fillId="0" borderId="0"/>
    <xf numFmtId="0" fontId="55" fillId="0" borderId="0"/>
    <xf numFmtId="0" fontId="31" fillId="0" borderId="0"/>
    <xf numFmtId="0" fontId="35" fillId="0" borderId="0"/>
    <xf numFmtId="0" fontId="31" fillId="0" borderId="0"/>
    <xf numFmtId="0" fontId="31" fillId="0" borderId="0"/>
    <xf numFmtId="0" fontId="55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55" fillId="0" borderId="0"/>
    <xf numFmtId="0" fontId="31" fillId="0" borderId="0"/>
    <xf numFmtId="0" fontId="55" fillId="0" borderId="0"/>
    <xf numFmtId="0" fontId="31" fillId="0" borderId="0"/>
    <xf numFmtId="0" fontId="39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9" fillId="0" borderId="0"/>
    <xf numFmtId="0" fontId="39" fillId="0" borderId="0"/>
    <xf numFmtId="0" fontId="36" fillId="0" borderId="0">
      <alignment vertical="center"/>
    </xf>
    <xf numFmtId="0" fontId="3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55" fillId="0" borderId="0"/>
    <xf numFmtId="0" fontId="35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55" fillId="0" borderId="0"/>
    <xf numFmtId="0" fontId="3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55" fillId="0" borderId="0"/>
    <xf numFmtId="0" fontId="38" fillId="0" borderId="0">
      <alignment vertical="center"/>
    </xf>
    <xf numFmtId="0" fontId="38" fillId="0" borderId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5" fillId="0" borderId="0"/>
    <xf numFmtId="0" fontId="36" fillId="0" borderId="0">
      <alignment vertical="center"/>
    </xf>
    <xf numFmtId="0" fontId="31" fillId="0" borderId="0"/>
    <xf numFmtId="0" fontId="35" fillId="0" borderId="0"/>
    <xf numFmtId="0" fontId="35" fillId="0" borderId="0"/>
    <xf numFmtId="0" fontId="55" fillId="0" borderId="0"/>
    <xf numFmtId="0" fontId="39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9" fillId="0" borderId="0"/>
    <xf numFmtId="0" fontId="39" fillId="0" borderId="0"/>
    <xf numFmtId="0" fontId="36" fillId="0" borderId="0">
      <alignment vertical="center"/>
    </xf>
    <xf numFmtId="0" fontId="35" fillId="0" borderId="0"/>
    <xf numFmtId="0" fontId="31" fillId="0" borderId="0"/>
    <xf numFmtId="0" fontId="31" fillId="0" borderId="0"/>
    <xf numFmtId="0" fontId="35" fillId="0" borderId="0"/>
    <xf numFmtId="0" fontId="31" fillId="0" borderId="0"/>
    <xf numFmtId="0" fontId="31" fillId="0" borderId="0"/>
    <xf numFmtId="0" fontId="55" fillId="0" borderId="0"/>
    <xf numFmtId="0" fontId="31" fillId="0" borderId="0"/>
    <xf numFmtId="0" fontId="35" fillId="0" borderId="0"/>
    <xf numFmtId="0" fontId="35" fillId="0" borderId="0"/>
    <xf numFmtId="0" fontId="31" fillId="0" borderId="0"/>
    <xf numFmtId="0" fontId="31" fillId="0" borderId="0"/>
    <xf numFmtId="0" fontId="31" fillId="0" borderId="0"/>
    <xf numFmtId="0" fontId="55" fillId="0" borderId="0"/>
    <xf numFmtId="0" fontId="35" fillId="0" borderId="0"/>
    <xf numFmtId="0" fontId="31" fillId="0" borderId="0"/>
    <xf numFmtId="0" fontId="35" fillId="0" borderId="0"/>
    <xf numFmtId="0" fontId="3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5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55" fillId="0" borderId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8" fillId="0" borderId="0" applyFont="0" applyFill="0" applyBorder="0" applyAlignment="0" applyProtection="0">
      <alignment vertical="center"/>
    </xf>
    <xf numFmtId="43" fontId="38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8" fillId="0" borderId="0" applyFont="0" applyFill="0" applyBorder="0" applyAlignment="0" applyProtection="0">
      <alignment vertical="center"/>
    </xf>
    <xf numFmtId="43" fontId="38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/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5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38" fontId="35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1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38" fontId="35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0" fontId="41" fillId="0" borderId="0"/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9" fontId="3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55" fillId="0" borderId="0"/>
    <xf numFmtId="9" fontId="3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55" fillId="0" borderId="0"/>
    <xf numFmtId="0" fontId="55" fillId="0" borderId="0"/>
    <xf numFmtId="9" fontId="39" fillId="0" borderId="0" applyFont="0" applyFill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55" fillId="0" borderId="0"/>
    <xf numFmtId="9" fontId="31" fillId="0" borderId="0" applyFont="0" applyFill="0" applyBorder="0" applyAlignment="0" applyProtection="0"/>
    <xf numFmtId="0" fontId="55" fillId="0" borderId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55" fillId="0" borderId="0"/>
    <xf numFmtId="9" fontId="35" fillId="0" borderId="0" applyFont="0" applyFill="0" applyBorder="0" applyAlignment="0" applyProtection="0"/>
    <xf numFmtId="0" fontId="55" fillId="0" borderId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55" fillId="0" borderId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55" fillId="0" borderId="0"/>
    <xf numFmtId="9" fontId="35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55" fillId="0" borderId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55" fillId="0" borderId="0"/>
    <xf numFmtId="9" fontId="35" fillId="0" borderId="0" applyFont="0" applyFill="0" applyBorder="0" applyAlignment="0" applyProtection="0"/>
    <xf numFmtId="0" fontId="55" fillId="0" borderId="0"/>
    <xf numFmtId="9" fontId="36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55" fillId="0" borderId="0"/>
    <xf numFmtId="9" fontId="36" fillId="0" borderId="0" applyFont="0" applyFill="0" applyBorder="0" applyAlignment="0" applyProtection="0">
      <alignment vertical="center"/>
    </xf>
    <xf numFmtId="0" fontId="55" fillId="0" borderId="0"/>
    <xf numFmtId="9" fontId="39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9" fillId="0" borderId="0" applyFont="0" applyFill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0" fontId="55" fillId="0" borderId="0"/>
    <xf numFmtId="9" fontId="39" fillId="0" borderId="0" applyFont="0" applyFill="0" applyBorder="0" applyAlignment="0" applyProtection="0">
      <alignment vertical="center"/>
    </xf>
    <xf numFmtId="0" fontId="55" fillId="0" borderId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55" fillId="0" borderId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55" fillId="0" borderId="0"/>
    <xf numFmtId="9" fontId="39" fillId="0" borderId="0" applyFont="0" applyFill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0" fontId="55" fillId="0" borderId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9" fillId="0" borderId="0" applyFont="0" applyFill="0" applyBorder="0" applyAlignment="0" applyProtection="0">
      <alignment vertical="center"/>
    </xf>
    <xf numFmtId="0" fontId="55" fillId="0" borderId="0"/>
    <xf numFmtId="0" fontId="55" fillId="0" borderId="0"/>
    <xf numFmtId="9" fontId="3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55" fillId="0" borderId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55" fillId="0" borderId="0"/>
    <xf numFmtId="9" fontId="31" fillId="0" borderId="0" applyFont="0" applyFill="0" applyBorder="0" applyAlignment="0" applyProtection="0"/>
    <xf numFmtId="0" fontId="55" fillId="0" borderId="0"/>
    <xf numFmtId="9" fontId="36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0" fontId="55" fillId="0" borderId="0"/>
    <xf numFmtId="9" fontId="35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55" fillId="0" borderId="0"/>
    <xf numFmtId="9" fontId="35" fillId="0" borderId="0" applyFont="0" applyFill="0" applyBorder="0" applyAlignment="0" applyProtection="0"/>
    <xf numFmtId="0" fontId="55" fillId="0" borderId="0"/>
    <xf numFmtId="9" fontId="3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0" fontId="55" fillId="0" borderId="0"/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0" fontId="55" fillId="0" borderId="0"/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0" fontId="55" fillId="0" borderId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55" fillId="0" borderId="0"/>
    <xf numFmtId="9" fontId="36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55" fillId="0" borderId="0"/>
    <xf numFmtId="9" fontId="3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55" fillId="0" borderId="0"/>
    <xf numFmtId="9" fontId="31" fillId="0" borderId="0" applyFont="0" applyFill="0" applyBorder="0" applyAlignment="0" applyProtection="0"/>
    <xf numFmtId="9" fontId="39" fillId="0" borderId="0" applyFont="0" applyFill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0" fontId="55" fillId="0" borderId="0"/>
    <xf numFmtId="9" fontId="39" fillId="0" borderId="0" applyFont="0" applyFill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/>
    <xf numFmtId="0" fontId="55" fillId="0" borderId="0"/>
    <xf numFmtId="9" fontId="39" fillId="0" borderId="0" applyFont="0" applyFill="0" applyBorder="0" applyAlignment="0" applyProtection="0">
      <alignment vertical="center"/>
    </xf>
    <xf numFmtId="0" fontId="55" fillId="0" borderId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55" fillId="0" borderId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55" fillId="0" borderId="0"/>
    <xf numFmtId="9" fontId="31" fillId="0" borderId="0" applyFont="0" applyFill="0" applyBorder="0" applyAlignment="0" applyProtection="0"/>
    <xf numFmtId="9" fontId="39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9" fillId="0" borderId="0" applyFont="0" applyFill="0" applyBorder="0" applyAlignment="0" applyProtection="0">
      <alignment vertical="center"/>
    </xf>
    <xf numFmtId="0" fontId="55" fillId="0" borderId="0"/>
    <xf numFmtId="9" fontId="3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55" fillId="0" borderId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55" fillId="0" borderId="0"/>
    <xf numFmtId="9" fontId="3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55" fillId="0" borderId="0"/>
    <xf numFmtId="9" fontId="3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55" fillId="0" borderId="0"/>
    <xf numFmtId="9" fontId="35" fillId="0" borderId="0" applyFont="0" applyFill="0" applyBorder="0" applyAlignment="0" applyProtection="0"/>
    <xf numFmtId="0" fontId="55" fillId="0" borderId="0"/>
    <xf numFmtId="9" fontId="31" fillId="0" borderId="0" applyFont="0" applyFill="0" applyBorder="0" applyAlignment="0" applyProtection="0"/>
    <xf numFmtId="0" fontId="55" fillId="0" borderId="0"/>
    <xf numFmtId="9" fontId="31" fillId="0" borderId="0" applyFont="0" applyFill="0" applyBorder="0" applyAlignment="0" applyProtection="0"/>
    <xf numFmtId="0" fontId="55" fillId="0" borderId="0"/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55" fillId="0" borderId="0"/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55" fillId="0" borderId="0"/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55" fillId="0" borderId="0"/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55" fillId="0" borderId="0"/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55" fillId="0" borderId="0"/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55" fillId="0" borderId="0"/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55" fillId="0" borderId="0"/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55" fillId="0" borderId="0"/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55" fillId="0" borderId="0"/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55" fillId="0" borderId="0"/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55" fillId="0" borderId="0"/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55" fillId="0" borderId="0"/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55" fillId="0" borderId="0"/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55" fillId="0" borderId="0"/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55" fillId="0" borderId="0"/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55" fillId="0" borderId="0"/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55" fillId="0" borderId="0"/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55" fillId="0" borderId="0"/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55" fillId="0" borderId="0"/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55" fillId="0" borderId="0"/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55" fillId="0" borderId="0"/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55" fillId="0" borderId="0"/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55" fillId="0" borderId="0"/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55" fillId="0" borderId="0"/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55" fillId="0" borderId="0"/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55" fillId="0" borderId="0"/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55" fillId="0" borderId="0"/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55" fillId="0" borderId="0"/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55" fillId="0" borderId="0"/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55" fillId="0" borderId="0"/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55" fillId="0" borderId="0"/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55" fillId="0" borderId="0"/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55" fillId="0" borderId="0"/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55" fillId="0" borderId="0"/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55" fillId="0" borderId="0"/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55" fillId="0" borderId="0"/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55" fillId="0" borderId="0"/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55" fillId="0" borderId="0"/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55" fillId="0" borderId="0"/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55" fillId="0" borderId="0"/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55" fillId="0" borderId="0"/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55" fillId="0" borderId="0"/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55" fillId="0" borderId="0"/>
    <xf numFmtId="0" fontId="44" fillId="24" borderId="9" applyNumberFormat="0" applyAlignment="0" applyProtection="0">
      <alignment vertical="center"/>
    </xf>
    <xf numFmtId="0" fontId="44" fillId="24" borderId="9" applyNumberFormat="0" applyAlignment="0" applyProtection="0">
      <alignment vertical="center"/>
    </xf>
    <xf numFmtId="0" fontId="55" fillId="0" borderId="0"/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0" fontId="55" fillId="0" borderId="0"/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0" fontId="55" fillId="0" borderId="0"/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0" fontId="55" fillId="0" borderId="0"/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4" fontId="38" fillId="0" borderId="0" applyFont="0" applyFill="0" applyBorder="0" applyAlignment="0" applyProtection="0">
      <alignment vertical="center"/>
    </xf>
    <xf numFmtId="44" fontId="38" fillId="0" borderId="0" applyFont="0" applyFill="0" applyBorder="0" applyAlignment="0" applyProtection="0">
      <alignment vertical="center"/>
    </xf>
    <xf numFmtId="0" fontId="55" fillId="0" borderId="0"/>
    <xf numFmtId="44" fontId="38" fillId="0" borderId="0" applyFont="0" applyFill="0" applyBorder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55" fillId="0" borderId="0"/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1" fillId="16" borderId="11" applyNumberFormat="0" applyFont="0" applyAlignment="0" applyProtection="0">
      <alignment vertical="center"/>
    </xf>
    <xf numFmtId="0" fontId="31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35" fillId="16" borderId="11" applyNumberFormat="0" applyFont="0" applyAlignment="0" applyProtection="0">
      <alignment vertical="center"/>
    </xf>
    <xf numFmtId="0" fontId="55" fillId="0" borderId="0"/>
    <xf numFmtId="0" fontId="55" fillId="0" borderId="0"/>
    <xf numFmtId="0" fontId="39" fillId="0" borderId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55" fillId="0" borderId="0"/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55" fillId="0" borderId="0"/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5" fillId="0" borderId="0"/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5" fillId="0" borderId="0"/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5" fillId="0" borderId="0"/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5" fillId="0" borderId="0"/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5" fillId="0" borderId="0"/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5" fillId="0" borderId="0"/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5" fillId="0" borderId="0"/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5" fillId="0" borderId="0"/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5" fillId="0" borderId="0"/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5" fillId="0" borderId="0"/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5" fillId="0" borderId="0"/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5" fillId="0" borderId="0"/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5" fillId="0" borderId="0"/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5" fillId="0" borderId="0"/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5" fillId="0" borderId="0"/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5" fillId="0" borderId="0"/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5" fillId="0" borderId="0"/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5" fillId="0" borderId="0"/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5" fillId="0" borderId="0"/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5" fillId="0" borderId="0"/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5" fillId="0" borderId="0"/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5" fillId="0" borderId="0"/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5" fillId="0" borderId="0"/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5" fillId="0" borderId="0"/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5" fillId="0" borderId="0"/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5" fillId="0" borderId="0"/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5" fillId="0" borderId="0"/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5" fillId="0" borderId="0"/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5" fillId="0" borderId="0"/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5" fillId="0" borderId="0"/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5" fillId="0" borderId="0"/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5" fillId="0" borderId="0"/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5" fillId="0" borderId="0"/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5" fillId="0" borderId="0"/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5" fillId="0" borderId="0"/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5" fillId="0" borderId="0"/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5" fillId="0" borderId="0"/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5" fillId="0" borderId="0"/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5" fillId="0" borderId="0"/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5" fillId="0" borderId="0"/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5" fillId="0" borderId="0"/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5" fillId="0" borderId="0"/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5" fillId="0" borderId="0"/>
    <xf numFmtId="0" fontId="51" fillId="19" borderId="9" applyNumberFormat="0" applyAlignment="0" applyProtection="0">
      <alignment vertical="center"/>
    </xf>
    <xf numFmtId="0" fontId="51" fillId="19" borderId="9" applyNumberFormat="0" applyAlignment="0" applyProtection="0">
      <alignment vertical="center"/>
    </xf>
    <xf numFmtId="0" fontId="55" fillId="0" borderId="0"/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5" fillId="0" borderId="0"/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5" fillId="0" borderId="0"/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5" fillId="0" borderId="0"/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5" fillId="0" borderId="0"/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5" fillId="0" borderId="0"/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5" fillId="0" borderId="0"/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5" fillId="0" borderId="0"/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5" fillId="0" borderId="0"/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5" fillId="0" borderId="0"/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5" fillId="0" borderId="0"/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5" fillId="0" borderId="0"/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5" fillId="0" borderId="0"/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5" fillId="0" borderId="0"/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5" fillId="0" borderId="0"/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5" fillId="0" borderId="0"/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5" fillId="0" borderId="0"/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5" fillId="0" borderId="0"/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5" fillId="0" borderId="0"/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5" fillId="0" borderId="0"/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2" fillId="24" borderId="15" applyNumberFormat="0" applyAlignment="0" applyProtection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4" fillId="30" borderId="0" applyNumberFormat="0" applyBorder="0" applyAlignment="0" applyProtection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92">
    <xf numFmtId="0" fontId="0" fillId="0" borderId="0" xfId="0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76" fontId="5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 vertical="center"/>
    </xf>
    <xf numFmtId="0" fontId="4" fillId="0" borderId="0" xfId="0" applyFont="1"/>
    <xf numFmtId="0" fontId="18" fillId="0" borderId="0" xfId="0" applyFont="1"/>
    <xf numFmtId="0" fontId="8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0" fillId="0" borderId="0" xfId="0"/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20" fillId="0" borderId="0" xfId="0" applyFont="1"/>
    <xf numFmtId="0" fontId="9" fillId="0" borderId="0" xfId="0" applyFont="1"/>
    <xf numFmtId="176" fontId="21" fillId="4" borderId="1" xfId="0" applyNumberFormat="1" applyFont="1" applyFill="1" applyBorder="1"/>
    <xf numFmtId="0" fontId="22" fillId="0" borderId="0" xfId="0" applyFont="1"/>
    <xf numFmtId="1" fontId="21" fillId="4" borderId="1" xfId="0" applyNumberFormat="1" applyFont="1" applyFill="1" applyBorder="1"/>
    <xf numFmtId="0" fontId="24" fillId="0" borderId="0" xfId="0" applyFont="1"/>
    <xf numFmtId="0" fontId="25" fillId="5" borderId="1" xfId="0" applyFont="1" applyFill="1" applyBorder="1" applyAlignment="1">
      <alignment horizontal="center"/>
    </xf>
    <xf numFmtId="0" fontId="4" fillId="0" borderId="1" xfId="0" applyFont="1" applyBorder="1"/>
    <xf numFmtId="0" fontId="8" fillId="2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 wrapText="1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178" fontId="5" fillId="4" borderId="1" xfId="0" applyNumberFormat="1" applyFont="1" applyFill="1" applyBorder="1" applyAlignment="1">
      <alignment horizontal="left" vertical="center"/>
    </xf>
    <xf numFmtId="0" fontId="2" fillId="7" borderId="0" xfId="0" applyFont="1" applyFill="1" applyBorder="1" applyAlignment="1">
      <alignment horizontal="centerContinuous" vertical="center"/>
    </xf>
    <xf numFmtId="0" fontId="2" fillId="9" borderId="0" xfId="0" applyFont="1" applyFill="1" applyBorder="1" applyAlignment="1">
      <alignment horizontal="centerContinuous" vertical="center"/>
    </xf>
    <xf numFmtId="0" fontId="2" fillId="2" borderId="0" xfId="0" applyFont="1" applyFill="1" applyBorder="1" applyAlignment="1">
      <alignment horizontal="centerContinuous" vertical="center"/>
    </xf>
    <xf numFmtId="0" fontId="2" fillId="6" borderId="0" xfId="0" applyFont="1" applyFill="1" applyBorder="1" applyAlignment="1">
      <alignment horizontal="centerContinuous" vertical="center"/>
    </xf>
    <xf numFmtId="177" fontId="32" fillId="0" borderId="1" xfId="0" applyNumberFormat="1" applyFont="1" applyBorder="1" applyAlignment="1">
      <alignment horizontal="center" vertical="center"/>
    </xf>
    <xf numFmtId="1" fontId="33" fillId="0" borderId="0" xfId="2" applyNumberFormat="1" applyFont="1" applyFill="1" applyBorder="1" applyAlignment="1">
      <alignment vertical="center" wrapText="1"/>
    </xf>
    <xf numFmtId="0" fontId="34" fillId="13" borderId="0" xfId="2" applyNumberFormat="1" applyFont="1" applyFill="1" applyBorder="1" applyAlignment="1">
      <alignment vertical="center"/>
    </xf>
    <xf numFmtId="0" fontId="34" fillId="13" borderId="0" xfId="2" applyNumberFormat="1" applyFont="1" applyFill="1" applyBorder="1" applyAlignment="1">
      <alignment vertical="center" wrapText="1"/>
    </xf>
    <xf numFmtId="0" fontId="33" fillId="0" borderId="0" xfId="2" applyNumberFormat="1" applyFont="1" applyFill="1" applyBorder="1" applyAlignment="1">
      <alignment vertical="center"/>
    </xf>
    <xf numFmtId="0" fontId="33" fillId="0" borderId="0" xfId="2" applyNumberFormat="1" applyFont="1" applyFill="1" applyBorder="1" applyAlignment="1">
      <alignment vertical="center" wrapText="1"/>
    </xf>
    <xf numFmtId="0" fontId="65" fillId="0" borderId="17" xfId="0" applyFont="1" applyBorder="1" applyAlignment="1">
      <alignment horizontal="left" vertical="center"/>
    </xf>
    <xf numFmtId="177" fontId="65" fillId="0" borderId="1" xfId="0" applyNumberFormat="1" applyFont="1" applyFill="1" applyBorder="1" applyAlignment="1">
      <alignment horizontal="center" vertical="center"/>
    </xf>
    <xf numFmtId="0" fontId="65" fillId="11" borderId="1" xfId="0" applyFont="1" applyFill="1" applyBorder="1" applyAlignment="1">
      <alignment horizontal="center" vertical="center"/>
    </xf>
    <xf numFmtId="0" fontId="66" fillId="0" borderId="1" xfId="0" applyFont="1" applyBorder="1" applyAlignment="1">
      <alignment horizontal="left" vertical="center"/>
    </xf>
    <xf numFmtId="0" fontId="65" fillId="0" borderId="5" xfId="0" applyFont="1" applyBorder="1" applyAlignment="1">
      <alignment horizontal="left" vertical="center"/>
    </xf>
    <xf numFmtId="0" fontId="58" fillId="2" borderId="0" xfId="0" applyFont="1" applyFill="1" applyBorder="1" applyAlignment="1">
      <alignment horizontal="centerContinuous" vertical="center"/>
    </xf>
    <xf numFmtId="0" fontId="65" fillId="0" borderId="1" xfId="0" applyFont="1" applyBorder="1" applyAlignment="1">
      <alignment horizontal="center" vertical="center"/>
    </xf>
    <xf numFmtId="0" fontId="65" fillId="0" borderId="4" xfId="0" applyFont="1" applyBorder="1" applyAlignment="1">
      <alignment horizontal="left" vertical="center"/>
    </xf>
    <xf numFmtId="0" fontId="63" fillId="5" borderId="1" xfId="0" applyFont="1" applyFill="1" applyBorder="1" applyAlignment="1">
      <alignment horizontal="center" vertical="center"/>
    </xf>
    <xf numFmtId="0" fontId="67" fillId="0" borderId="5" xfId="0" applyFont="1" applyBorder="1"/>
    <xf numFmtId="0" fontId="65" fillId="0" borderId="3" xfId="0" applyFont="1" applyBorder="1" applyAlignment="1">
      <alignment horizontal="left" vertical="center"/>
    </xf>
    <xf numFmtId="0" fontId="65" fillId="0" borderId="2" xfId="0" applyFont="1" applyBorder="1" applyAlignment="1">
      <alignment horizontal="center" vertical="center"/>
    </xf>
    <xf numFmtId="0" fontId="65" fillId="0" borderId="1" xfId="0" applyFont="1" applyFill="1" applyBorder="1" applyAlignment="1">
      <alignment horizontal="left" vertical="center"/>
    </xf>
    <xf numFmtId="0" fontId="65" fillId="12" borderId="1" xfId="0" applyFont="1" applyFill="1" applyBorder="1" applyAlignment="1">
      <alignment horizontal="center" vertical="center"/>
    </xf>
    <xf numFmtId="177" fontId="65" fillId="0" borderId="1" xfId="0" applyNumberFormat="1" applyFont="1" applyBorder="1" applyAlignment="1">
      <alignment horizontal="center" vertical="center"/>
    </xf>
    <xf numFmtId="0" fontId="65" fillId="0" borderId="1" xfId="0" applyFont="1" applyBorder="1" applyAlignment="1">
      <alignment horizontal="left" vertical="center"/>
    </xf>
    <xf numFmtId="0" fontId="64" fillId="0" borderId="0" xfId="0" applyFont="1"/>
    <xf numFmtId="0" fontId="59" fillId="0" borderId="0" xfId="0" applyFont="1"/>
    <xf numFmtId="0" fontId="16" fillId="5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61" fillId="5" borderId="1" xfId="0" applyFont="1" applyFill="1" applyBorder="1" applyAlignment="1">
      <alignment horizontal="center" vertical="center" wrapText="1"/>
    </xf>
    <xf numFmtId="0" fontId="60" fillId="3" borderId="1" xfId="0" applyFont="1" applyFill="1" applyBorder="1" applyAlignment="1">
      <alignment horizontal="center" vertical="center"/>
    </xf>
    <xf numFmtId="0" fontId="62" fillId="2" borderId="1" xfId="0" applyFont="1" applyFill="1" applyBorder="1" applyAlignment="1">
      <alignment horizontal="center" vertical="center" wrapText="1"/>
    </xf>
    <xf numFmtId="0" fontId="63" fillId="10" borderId="1" xfId="0" applyFont="1" applyFill="1" applyBorder="1" applyAlignment="1">
      <alignment horizontal="center" vertical="center" wrapText="1"/>
    </xf>
    <xf numFmtId="0" fontId="61" fillId="5" borderId="1" xfId="0" applyFont="1" applyFill="1" applyBorder="1" applyAlignment="1">
      <alignment horizontal="center" vertical="center"/>
    </xf>
    <xf numFmtId="0" fontId="60" fillId="3" borderId="6" xfId="0" applyFont="1" applyFill="1" applyBorder="1" applyAlignment="1">
      <alignment horizontal="center" vertical="center"/>
    </xf>
    <xf numFmtId="0" fontId="60" fillId="3" borderId="7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 wrapText="1"/>
    </xf>
    <xf numFmtId="0" fontId="2" fillId="8" borderId="0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</cellXfs>
  <cellStyles count="16663">
    <cellStyle name="20% - 輔色1 2" xfId="8"/>
    <cellStyle name="20% - 輔色1 2 2" xfId="1151"/>
    <cellStyle name="20% - 輔色1 2 3" xfId="1152"/>
    <cellStyle name="20% - 輔色1 3" xfId="9"/>
    <cellStyle name="20% - 輔色1 3 2" xfId="1153"/>
    <cellStyle name="20% - 輔色2 2" xfId="10"/>
    <cellStyle name="20% - 輔色2 2 2" xfId="1154"/>
    <cellStyle name="20% - 輔色2 2 3" xfId="1155"/>
    <cellStyle name="20% - 輔色2 3" xfId="11"/>
    <cellStyle name="20% - 輔色2 3 2" xfId="1156"/>
    <cellStyle name="20% - 輔色3 2" xfId="12"/>
    <cellStyle name="20% - 輔色3 2 2" xfId="1157"/>
    <cellStyle name="20% - 輔色3 2 3" xfId="1158"/>
    <cellStyle name="20% - 輔色3 3" xfId="13"/>
    <cellStyle name="20% - 輔色3 3 2" xfId="1159"/>
    <cellStyle name="20% - 輔色4 2" xfId="14"/>
    <cellStyle name="20% - 輔色4 2 2" xfId="1160"/>
    <cellStyle name="20% - 輔色4 2 3" xfId="1161"/>
    <cellStyle name="20% - 輔色4 3" xfId="15"/>
    <cellStyle name="20% - 輔色4 3 2" xfId="1162"/>
    <cellStyle name="20% - 輔色5 2" xfId="16"/>
    <cellStyle name="20% - 輔色5 2 2" xfId="1163"/>
    <cellStyle name="20% - 輔色5 2 3" xfId="1164"/>
    <cellStyle name="20% - 輔色5 3" xfId="17"/>
    <cellStyle name="20% - 輔色5 3 2" xfId="1165"/>
    <cellStyle name="20% - 輔色6 2" xfId="18"/>
    <cellStyle name="20% - 輔色6 2 2" xfId="1166"/>
    <cellStyle name="20% - 輔色6 2 3" xfId="1167"/>
    <cellStyle name="20% - 輔色6 3" xfId="19"/>
    <cellStyle name="20% - 輔色6 3 2" xfId="1168"/>
    <cellStyle name="40% - 輔色1 2" xfId="20"/>
    <cellStyle name="40% - 輔色1 2 2" xfId="1169"/>
    <cellStyle name="40% - 輔色1 2 3" xfId="1170"/>
    <cellStyle name="40% - 輔色1 3" xfId="21"/>
    <cellStyle name="40% - 輔色1 3 2" xfId="1171"/>
    <cellStyle name="40% - 輔色2 2" xfId="22"/>
    <cellStyle name="40% - 輔色2 2 2" xfId="1172"/>
    <cellStyle name="40% - 輔色2 2 3" xfId="1173"/>
    <cellStyle name="40% - 輔色2 3" xfId="23"/>
    <cellStyle name="40% - 輔色2 3 2" xfId="1174"/>
    <cellStyle name="40% - 輔色3 2" xfId="24"/>
    <cellStyle name="40% - 輔色3 2 2" xfId="1175"/>
    <cellStyle name="40% - 輔色3 2 3" xfId="1176"/>
    <cellStyle name="40% - 輔色3 3" xfId="25"/>
    <cellStyle name="40% - 輔色3 3 2" xfId="1177"/>
    <cellStyle name="40% - 輔色4 2" xfId="26"/>
    <cellStyle name="40% - 輔色4 2 2" xfId="1178"/>
    <cellStyle name="40% - 輔色4 2 3" xfId="1179"/>
    <cellStyle name="40% - 輔色4 3" xfId="27"/>
    <cellStyle name="40% - 輔色4 3 2" xfId="1180"/>
    <cellStyle name="40% - 輔色5 2" xfId="28"/>
    <cellStyle name="40% - 輔色5 2 2" xfId="1181"/>
    <cellStyle name="40% - 輔色5 2 3" xfId="1182"/>
    <cellStyle name="40% - 輔色5 3" xfId="29"/>
    <cellStyle name="40% - 輔色5 3 2" xfId="1183"/>
    <cellStyle name="40% - 輔色6 2" xfId="30"/>
    <cellStyle name="40% - 輔色6 2 2" xfId="1184"/>
    <cellStyle name="40% - 輔色6 2 3" xfId="1185"/>
    <cellStyle name="40% - 輔色6 3" xfId="31"/>
    <cellStyle name="40% - 輔色6 3 2" xfId="1186"/>
    <cellStyle name="60% - 輔色1 2" xfId="32"/>
    <cellStyle name="60% - 輔色1 3" xfId="33"/>
    <cellStyle name="60% - 輔色2 2" xfId="34"/>
    <cellStyle name="60% - 輔色2 3" xfId="35"/>
    <cellStyle name="60% - 輔色3 2" xfId="36"/>
    <cellStyle name="60% - 輔色3 3" xfId="37"/>
    <cellStyle name="60% - 輔色4 2" xfId="38"/>
    <cellStyle name="60% - 輔色4 3" xfId="39"/>
    <cellStyle name="60% - 輔色5 2" xfId="40"/>
    <cellStyle name="60% - 輔色5 3" xfId="41"/>
    <cellStyle name="60% - 輔色6 2" xfId="42"/>
    <cellStyle name="60% - 輔色6 3" xfId="43"/>
    <cellStyle name="一般" xfId="0" builtinId="0"/>
    <cellStyle name="一般 10" xfId="44"/>
    <cellStyle name="一般 11" xfId="1106"/>
    <cellStyle name="一般 11 10" xfId="1187"/>
    <cellStyle name="一般 11 10 10" xfId="1188"/>
    <cellStyle name="一般 11 10 10 2" xfId="11081"/>
    <cellStyle name="一般 11 10 11" xfId="11080"/>
    <cellStyle name="一般 11 10 2" xfId="1189"/>
    <cellStyle name="一般 11 10 2 2" xfId="1190"/>
    <cellStyle name="一般 11 10 2 2 2" xfId="1191"/>
    <cellStyle name="一般 11 10 2 2 2 2" xfId="1192"/>
    <cellStyle name="一般 11 10 2 2 2 2 2" xfId="1193"/>
    <cellStyle name="一般 11 10 2 2 2 2 2 2" xfId="11086"/>
    <cellStyle name="一般 11 10 2 2 2 2 3" xfId="11085"/>
    <cellStyle name="一般 11 10 2 2 2 3" xfId="1194"/>
    <cellStyle name="一般 11 10 2 2 2 3 2" xfId="11087"/>
    <cellStyle name="一般 11 10 2 2 2 4" xfId="11084"/>
    <cellStyle name="一般 11 10 2 2 2_包裝指示書(裏)" xfId="1195"/>
    <cellStyle name="一般 11 10 2 2 3" xfId="1196"/>
    <cellStyle name="一般 11 10 2 2 3 2" xfId="1197"/>
    <cellStyle name="一般 11 10 2 2 3 2 2" xfId="11089"/>
    <cellStyle name="一般 11 10 2 2 3 3" xfId="11088"/>
    <cellStyle name="一般 11 10 2 2 4" xfId="1198"/>
    <cellStyle name="一般 11 10 2 2 4 2" xfId="11090"/>
    <cellStyle name="一般 11 10 2 2 5" xfId="1199"/>
    <cellStyle name="一般 11 10 2 2 5 2" xfId="11091"/>
    <cellStyle name="一般 11 10 2 2 6" xfId="11083"/>
    <cellStyle name="一般 11 10 2 2_包裝指示書(裏)" xfId="1200"/>
    <cellStyle name="一般 11 10 2 3" xfId="1201"/>
    <cellStyle name="一般 11 10 2 3 2" xfId="1202"/>
    <cellStyle name="一般 11 10 2 3 2 2" xfId="1203"/>
    <cellStyle name="一般 11 10 2 3 2 2 2" xfId="11094"/>
    <cellStyle name="一般 11 10 2 3 2 3" xfId="11093"/>
    <cellStyle name="一般 11 10 2 3 3" xfId="1204"/>
    <cellStyle name="一般 11 10 2 3 3 2" xfId="11095"/>
    <cellStyle name="一般 11 10 2 3 4" xfId="1205"/>
    <cellStyle name="一般 11 10 2 3 4 2" xfId="11096"/>
    <cellStyle name="一般 11 10 2 3 5" xfId="1206"/>
    <cellStyle name="一般 11 10 2 3 5 2" xfId="11097"/>
    <cellStyle name="一般 11 10 2 3 6" xfId="11092"/>
    <cellStyle name="一般 11 10 2 3_包裝指示書(裏)" xfId="1207"/>
    <cellStyle name="一般 11 10 2 4" xfId="1208"/>
    <cellStyle name="一般 11 10 2 4 2" xfId="1209"/>
    <cellStyle name="一般 11 10 2 4 2 2" xfId="11099"/>
    <cellStyle name="一般 11 10 2 4 3" xfId="11098"/>
    <cellStyle name="一般 11 10 2 5" xfId="1210"/>
    <cellStyle name="一般 11 10 2 5 2" xfId="1211"/>
    <cellStyle name="一般 11 10 2 5 2 2" xfId="11101"/>
    <cellStyle name="一般 11 10 2 5 3" xfId="11100"/>
    <cellStyle name="一般 11 10 2 6" xfId="1212"/>
    <cellStyle name="一般 11 10 2 6 2" xfId="1213"/>
    <cellStyle name="一般 11 10 2 6 2 2" xfId="11103"/>
    <cellStyle name="一般 11 10 2 6 3" xfId="11102"/>
    <cellStyle name="一般 11 10 2 7" xfId="1214"/>
    <cellStyle name="一般 11 10 2 7 2" xfId="1215"/>
    <cellStyle name="一般 11 10 2 7 2 2" xfId="11105"/>
    <cellStyle name="一般 11 10 2 7 3" xfId="11104"/>
    <cellStyle name="一般 11 10 2 8" xfId="1216"/>
    <cellStyle name="一般 11 10 2 8 2" xfId="11106"/>
    <cellStyle name="一般 11 10 2 9" xfId="11082"/>
    <cellStyle name="一般 11 10 2_包裝指示書(裏)" xfId="1217"/>
    <cellStyle name="一般 11 10 3" xfId="1218"/>
    <cellStyle name="一般 11 10 3 2" xfId="1219"/>
    <cellStyle name="一般 11 10 3 2 2" xfId="1220"/>
    <cellStyle name="一般 11 10 3 2 2 2" xfId="1221"/>
    <cellStyle name="一般 11 10 3 2 2 2 2" xfId="11110"/>
    <cellStyle name="一般 11 10 3 2 2 3" xfId="11109"/>
    <cellStyle name="一般 11 10 3 2 3" xfId="1222"/>
    <cellStyle name="一般 11 10 3 2 3 2" xfId="11111"/>
    <cellStyle name="一般 11 10 3 2 4" xfId="11108"/>
    <cellStyle name="一般 11 10 3 2_包裝指示書(裏)" xfId="1223"/>
    <cellStyle name="一般 11 10 3 3" xfId="1224"/>
    <cellStyle name="一般 11 10 3 3 2" xfId="1225"/>
    <cellStyle name="一般 11 10 3 3 2 2" xfId="11113"/>
    <cellStyle name="一般 11 10 3 3 3" xfId="11112"/>
    <cellStyle name="一般 11 10 3 4" xfId="1226"/>
    <cellStyle name="一般 11 10 3 4 2" xfId="1227"/>
    <cellStyle name="一般 11 10 3 4 2 2" xfId="11115"/>
    <cellStyle name="一般 11 10 3 4 3" xfId="11114"/>
    <cellStyle name="一般 11 10 3 5" xfId="1228"/>
    <cellStyle name="一般 11 10 3 5 2" xfId="1229"/>
    <cellStyle name="一般 11 10 3 5 2 2" xfId="11117"/>
    <cellStyle name="一般 11 10 3 5 3" xfId="11116"/>
    <cellStyle name="一般 11 10 3 6" xfId="1230"/>
    <cellStyle name="一般 11 10 3 6 2" xfId="1231"/>
    <cellStyle name="一般 11 10 3 6 2 2" xfId="11119"/>
    <cellStyle name="一般 11 10 3 6 3" xfId="11118"/>
    <cellStyle name="一般 11 10 3 7" xfId="1232"/>
    <cellStyle name="一般 11 10 3 7 2" xfId="1233"/>
    <cellStyle name="一般 11 10 3 7 2 2" xfId="11121"/>
    <cellStyle name="一般 11 10 3 7 3" xfId="11120"/>
    <cellStyle name="一般 11 10 3 8" xfId="1234"/>
    <cellStyle name="一般 11 10 3 8 2" xfId="11122"/>
    <cellStyle name="一般 11 10 3 9" xfId="11107"/>
    <cellStyle name="一般 11 10 3_包裝指示書(裏)" xfId="1235"/>
    <cellStyle name="一般 11 10 4" xfId="1236"/>
    <cellStyle name="一般 11 10 4 2" xfId="1237"/>
    <cellStyle name="一般 11 10 4 2 2" xfId="1238"/>
    <cellStyle name="一般 11 10 4 2 2 2" xfId="1239"/>
    <cellStyle name="一般 11 10 4 2 2 2 2" xfId="11126"/>
    <cellStyle name="一般 11 10 4 2 2 3" xfId="11125"/>
    <cellStyle name="一般 11 10 4 2 3" xfId="1240"/>
    <cellStyle name="一般 11 10 4 2 3 2" xfId="11127"/>
    <cellStyle name="一般 11 10 4 2 4" xfId="11124"/>
    <cellStyle name="一般 11 10 4 2_包裝指示書(裏)" xfId="1241"/>
    <cellStyle name="一般 11 10 4 3" xfId="1242"/>
    <cellStyle name="一般 11 10 4 3 2" xfId="1243"/>
    <cellStyle name="一般 11 10 4 3 2 2" xfId="11129"/>
    <cellStyle name="一般 11 10 4 3 3" xfId="11128"/>
    <cellStyle name="一般 11 10 4 4" xfId="1244"/>
    <cellStyle name="一般 11 10 4 4 2" xfId="1245"/>
    <cellStyle name="一般 11 10 4 4 2 2" xfId="11131"/>
    <cellStyle name="一般 11 10 4 4 3" xfId="11130"/>
    <cellStyle name="一般 11 10 4 5" xfId="1246"/>
    <cellStyle name="一般 11 10 4 5 2" xfId="11132"/>
    <cellStyle name="一般 11 10 4 6" xfId="11123"/>
    <cellStyle name="一般 11 10 4_包裝指示書(裏)" xfId="1247"/>
    <cellStyle name="一般 11 10 5" xfId="1248"/>
    <cellStyle name="一般 11 10 5 2" xfId="1249"/>
    <cellStyle name="一般 11 10 5 2 2" xfId="1250"/>
    <cellStyle name="一般 11 10 5 2 2 2" xfId="11135"/>
    <cellStyle name="一般 11 10 5 2 3" xfId="11134"/>
    <cellStyle name="一般 11 10 5 3" xfId="1251"/>
    <cellStyle name="一般 11 10 5 3 2" xfId="1252"/>
    <cellStyle name="一般 11 10 5 3 2 2" xfId="11137"/>
    <cellStyle name="一般 11 10 5 3 3" xfId="11136"/>
    <cellStyle name="一般 11 10 5 4" xfId="1253"/>
    <cellStyle name="一般 11 10 5 4 2" xfId="1254"/>
    <cellStyle name="一般 11 10 5 4 2 2" xfId="11139"/>
    <cellStyle name="一般 11 10 5 4 3" xfId="11138"/>
    <cellStyle name="一般 11 10 5 5" xfId="1255"/>
    <cellStyle name="一般 11 10 5 5 2" xfId="11140"/>
    <cellStyle name="一般 11 10 5 6" xfId="11133"/>
    <cellStyle name="一般 11 10 5_包裝指示書(裏)" xfId="1256"/>
    <cellStyle name="一般 11 10 6" xfId="1257"/>
    <cellStyle name="一般 11 10 6 2" xfId="1258"/>
    <cellStyle name="一般 11 10 6 2 2" xfId="1259"/>
    <cellStyle name="一般 11 10 6 2 2 2" xfId="11143"/>
    <cellStyle name="一般 11 10 6 2 3" xfId="11142"/>
    <cellStyle name="一般 11 10 6 3" xfId="1260"/>
    <cellStyle name="一般 11 10 6 3 2" xfId="11144"/>
    <cellStyle name="一般 11 10 6 4" xfId="11141"/>
    <cellStyle name="一般 11 10 6_包裝指示書(裏)" xfId="1261"/>
    <cellStyle name="一般 11 10 7" xfId="1262"/>
    <cellStyle name="一般 11 10 7 2" xfId="1263"/>
    <cellStyle name="一般 11 10 7 2 2" xfId="11146"/>
    <cellStyle name="一般 11 10 7 3" xfId="11145"/>
    <cellStyle name="一般 11 10 8" xfId="1264"/>
    <cellStyle name="一般 11 10 8 2" xfId="1265"/>
    <cellStyle name="一般 11 10 8 2 2" xfId="11148"/>
    <cellStyle name="一般 11 10 8 3" xfId="11147"/>
    <cellStyle name="一般 11 10 9" xfId="1266"/>
    <cellStyle name="一般 11 10 9 2" xfId="1267"/>
    <cellStyle name="一般 11 10 9 2 2" xfId="11150"/>
    <cellStyle name="一般 11 10 9 3" xfId="11149"/>
    <cellStyle name="一般 11 10_包裝指示書(裏)" xfId="1268"/>
    <cellStyle name="一般 11 11" xfId="1269"/>
    <cellStyle name="一般 11 11 10" xfId="11151"/>
    <cellStyle name="一般 11 11 2" xfId="1270"/>
    <cellStyle name="一般 11 11 2 2" xfId="1271"/>
    <cellStyle name="一般 11 11 2 2 2" xfId="1272"/>
    <cellStyle name="一般 11 11 2 2 2 2" xfId="1273"/>
    <cellStyle name="一般 11 11 2 2 2 2 2" xfId="11155"/>
    <cellStyle name="一般 11 11 2 2 2 3" xfId="11154"/>
    <cellStyle name="一般 11 11 2 2 3" xfId="1274"/>
    <cellStyle name="一般 11 11 2 2 3 2" xfId="11156"/>
    <cellStyle name="一般 11 11 2 2 4" xfId="11153"/>
    <cellStyle name="一般 11 11 2 2_包裝指示書(裏)" xfId="1275"/>
    <cellStyle name="一般 11 11 2 3" xfId="1276"/>
    <cellStyle name="一般 11 11 2 3 2" xfId="1277"/>
    <cellStyle name="一般 11 11 2 3 2 2" xfId="11158"/>
    <cellStyle name="一般 11 11 2 3 3" xfId="11157"/>
    <cellStyle name="一般 11 11 2 4" xfId="1278"/>
    <cellStyle name="一般 11 11 2 4 2" xfId="1279"/>
    <cellStyle name="一般 11 11 2 4 2 2" xfId="11160"/>
    <cellStyle name="一般 11 11 2 4 3" xfId="11159"/>
    <cellStyle name="一般 11 11 2 5" xfId="1280"/>
    <cellStyle name="一般 11 11 2 5 2" xfId="1281"/>
    <cellStyle name="一般 11 11 2 5 2 2" xfId="11162"/>
    <cellStyle name="一般 11 11 2 5 3" xfId="11161"/>
    <cellStyle name="一般 11 11 2 6" xfId="1282"/>
    <cellStyle name="一般 11 11 2 6 2" xfId="1283"/>
    <cellStyle name="一般 11 11 2 6 2 2" xfId="11164"/>
    <cellStyle name="一般 11 11 2 6 3" xfId="11163"/>
    <cellStyle name="一般 11 11 2 7" xfId="1284"/>
    <cellStyle name="一般 11 11 2 7 2" xfId="1285"/>
    <cellStyle name="一般 11 11 2 7 2 2" xfId="11166"/>
    <cellStyle name="一般 11 11 2 7 3" xfId="11165"/>
    <cellStyle name="一般 11 11 2 8" xfId="1286"/>
    <cellStyle name="一般 11 11 2 8 2" xfId="11167"/>
    <cellStyle name="一般 11 11 2 9" xfId="11152"/>
    <cellStyle name="一般 11 11 2_包裝指示書(裏)" xfId="1287"/>
    <cellStyle name="一般 11 11 3" xfId="1288"/>
    <cellStyle name="一般 11 11 3 2" xfId="1289"/>
    <cellStyle name="一般 11 11 3 2 2" xfId="1290"/>
    <cellStyle name="一般 11 11 3 2 2 2" xfId="11170"/>
    <cellStyle name="一般 11 11 3 2 3" xfId="11169"/>
    <cellStyle name="一般 11 11 3 3" xfId="1291"/>
    <cellStyle name="一般 11 11 3 3 2" xfId="11171"/>
    <cellStyle name="一般 11 11 3 4" xfId="1292"/>
    <cellStyle name="一般 11 11 3 4 2" xfId="11172"/>
    <cellStyle name="一般 11 11 3 5" xfId="1293"/>
    <cellStyle name="一般 11 11 3 5 2" xfId="11173"/>
    <cellStyle name="一般 11 11 3 6" xfId="11168"/>
    <cellStyle name="一般 11 11 3_包裝指示書(裏)" xfId="1294"/>
    <cellStyle name="一般 11 11 4" xfId="1295"/>
    <cellStyle name="一般 11 11 4 2" xfId="1296"/>
    <cellStyle name="一般 11 11 4 2 2" xfId="11175"/>
    <cellStyle name="一般 11 11 4 3" xfId="11174"/>
    <cellStyle name="一般 11 11 5" xfId="1297"/>
    <cellStyle name="一般 11 11 5 2" xfId="1298"/>
    <cellStyle name="一般 11 11 5 2 2" xfId="11177"/>
    <cellStyle name="一般 11 11 5 3" xfId="11176"/>
    <cellStyle name="一般 11 11 6" xfId="1299"/>
    <cellStyle name="一般 11 11 6 2" xfId="1300"/>
    <cellStyle name="一般 11 11 6 2 2" xfId="11179"/>
    <cellStyle name="一般 11 11 6 3" xfId="11178"/>
    <cellStyle name="一般 11 11 7" xfId="1301"/>
    <cellStyle name="一般 11 11 7 2" xfId="1302"/>
    <cellStyle name="一般 11 11 7 2 2" xfId="11181"/>
    <cellStyle name="一般 11 11 7 3" xfId="11180"/>
    <cellStyle name="一般 11 11 8" xfId="1303"/>
    <cellStyle name="一般 11 11 8 2" xfId="1304"/>
    <cellStyle name="一般 11 11 8 2 2" xfId="11183"/>
    <cellStyle name="一般 11 11 8 3" xfId="11182"/>
    <cellStyle name="一般 11 11 9" xfId="1305"/>
    <cellStyle name="一般 11 11 9 2" xfId="11184"/>
    <cellStyle name="一般 11 11_包裝指示書(裏)" xfId="1306"/>
    <cellStyle name="一般 11 12" xfId="1307"/>
    <cellStyle name="一般 11 12 2" xfId="1308"/>
    <cellStyle name="一般 11 12 2 2" xfId="1309"/>
    <cellStyle name="一般 11 12 2 2 2" xfId="1310"/>
    <cellStyle name="一般 11 12 2 2 2 2" xfId="1311"/>
    <cellStyle name="一般 11 12 2 2 2 2 2" xfId="11189"/>
    <cellStyle name="一般 11 12 2 2 2 3" xfId="11188"/>
    <cellStyle name="一般 11 12 2 2 3" xfId="1312"/>
    <cellStyle name="一般 11 12 2 2 3 2" xfId="11190"/>
    <cellStyle name="一般 11 12 2 2 4" xfId="11187"/>
    <cellStyle name="一般 11 12 2 2_包裝指示書(裏)" xfId="1313"/>
    <cellStyle name="一般 11 12 2 3" xfId="1314"/>
    <cellStyle name="一般 11 12 2 3 2" xfId="1315"/>
    <cellStyle name="一般 11 12 2 3 2 2" xfId="11192"/>
    <cellStyle name="一般 11 12 2 3 3" xfId="11191"/>
    <cellStyle name="一般 11 12 2 4" xfId="1316"/>
    <cellStyle name="一般 11 12 2 4 2" xfId="11193"/>
    <cellStyle name="一般 11 12 2 5" xfId="11186"/>
    <cellStyle name="一般 11 12 2_包裝指示書(裏)" xfId="1317"/>
    <cellStyle name="一般 11 12 3" xfId="1318"/>
    <cellStyle name="一般 11 12 3 2" xfId="1319"/>
    <cellStyle name="一般 11 12 3 2 2" xfId="1320"/>
    <cellStyle name="一般 11 12 3 2 2 2" xfId="11196"/>
    <cellStyle name="一般 11 12 3 2 3" xfId="11195"/>
    <cellStyle name="一般 11 12 3 3" xfId="1321"/>
    <cellStyle name="一般 11 12 3 3 2" xfId="11197"/>
    <cellStyle name="一般 11 12 3 4" xfId="11194"/>
    <cellStyle name="一般 11 12 3_包裝指示書(裏)" xfId="1322"/>
    <cellStyle name="一般 11 12 4" xfId="1323"/>
    <cellStyle name="一般 11 12 4 2" xfId="1324"/>
    <cellStyle name="一般 11 12 4 2 2" xfId="11199"/>
    <cellStyle name="一般 11 12 4 3" xfId="11198"/>
    <cellStyle name="一般 11 12 5" xfId="1325"/>
    <cellStyle name="一般 11 12 5 2" xfId="1326"/>
    <cellStyle name="一般 11 12 5 2 2" xfId="11201"/>
    <cellStyle name="一般 11 12 5 3" xfId="11200"/>
    <cellStyle name="一般 11 12 6" xfId="1327"/>
    <cellStyle name="一般 11 12 6 2" xfId="1328"/>
    <cellStyle name="一般 11 12 6 2 2" xfId="11203"/>
    <cellStyle name="一般 11 12 6 3" xfId="11202"/>
    <cellStyle name="一般 11 12 7" xfId="1329"/>
    <cellStyle name="一般 11 12 7 2" xfId="1330"/>
    <cellStyle name="一般 11 12 7 2 2" xfId="11205"/>
    <cellStyle name="一般 11 12 7 3" xfId="11204"/>
    <cellStyle name="一般 11 12 8" xfId="1331"/>
    <cellStyle name="一般 11 12 8 2" xfId="11206"/>
    <cellStyle name="一般 11 12 9" xfId="11185"/>
    <cellStyle name="一般 11 12_包裝指示書(裏)" xfId="1332"/>
    <cellStyle name="一般 11 13" xfId="1333"/>
    <cellStyle name="一般 11 13 2" xfId="1334"/>
    <cellStyle name="一般 11 13 2 2" xfId="1335"/>
    <cellStyle name="一般 11 13 2 2 2" xfId="1336"/>
    <cellStyle name="一般 11 13 2 2 2 2" xfId="1337"/>
    <cellStyle name="一般 11 13 2 2 2 2 2" xfId="11211"/>
    <cellStyle name="一般 11 13 2 2 2 3" xfId="11210"/>
    <cellStyle name="一般 11 13 2 2 3" xfId="1338"/>
    <cellStyle name="一般 11 13 2 2 3 2" xfId="11212"/>
    <cellStyle name="一般 11 13 2 2 4" xfId="11209"/>
    <cellStyle name="一般 11 13 2 2_包裝指示書(裏)" xfId="1339"/>
    <cellStyle name="一般 11 13 2 3" xfId="1340"/>
    <cellStyle name="一般 11 13 2 3 2" xfId="1341"/>
    <cellStyle name="一般 11 13 2 3 2 2" xfId="11214"/>
    <cellStyle name="一般 11 13 2 3 3" xfId="11213"/>
    <cellStyle name="一般 11 13 2 4" xfId="1342"/>
    <cellStyle name="一般 11 13 2 4 2" xfId="11215"/>
    <cellStyle name="一般 11 13 2 5" xfId="11208"/>
    <cellStyle name="一般 11 13 2_包裝指示書(裏)" xfId="1343"/>
    <cellStyle name="一般 11 13 3" xfId="1344"/>
    <cellStyle name="一般 11 13 3 2" xfId="1345"/>
    <cellStyle name="一般 11 13 3 2 2" xfId="1346"/>
    <cellStyle name="一般 11 13 3 2 2 2" xfId="11218"/>
    <cellStyle name="一般 11 13 3 2 3" xfId="11217"/>
    <cellStyle name="一般 11 13 3 3" xfId="1347"/>
    <cellStyle name="一般 11 13 3 3 2" xfId="11219"/>
    <cellStyle name="一般 11 13 3 4" xfId="11216"/>
    <cellStyle name="一般 11 13 3_包裝指示書(裏)" xfId="1348"/>
    <cellStyle name="一般 11 13 4" xfId="1349"/>
    <cellStyle name="一般 11 13 4 2" xfId="1350"/>
    <cellStyle name="一般 11 13 4 2 2" xfId="11221"/>
    <cellStyle name="一般 11 13 4 3" xfId="11220"/>
    <cellStyle name="一般 11 13 5" xfId="1351"/>
    <cellStyle name="一般 11 13 5 2" xfId="1352"/>
    <cellStyle name="一般 11 13 5 2 2" xfId="11223"/>
    <cellStyle name="一般 11 13 5 3" xfId="11222"/>
    <cellStyle name="一般 11 13 6" xfId="1353"/>
    <cellStyle name="一般 11 13 6 2" xfId="11224"/>
    <cellStyle name="一般 11 13 7" xfId="11207"/>
    <cellStyle name="一般 11 13_包裝指示書(裏)" xfId="1354"/>
    <cellStyle name="一般 11 14" xfId="1355"/>
    <cellStyle name="一般 11 14 2" xfId="1356"/>
    <cellStyle name="一般 11 14 2 2" xfId="1357"/>
    <cellStyle name="一般 11 14 2 2 2" xfId="1358"/>
    <cellStyle name="一般 11 14 2 2 2 2" xfId="11228"/>
    <cellStyle name="一般 11 14 2 2 3" xfId="11227"/>
    <cellStyle name="一般 11 14 2 3" xfId="1359"/>
    <cellStyle name="一般 11 14 2 3 2" xfId="1360"/>
    <cellStyle name="一般 11 14 2 3 2 2" xfId="11230"/>
    <cellStyle name="一般 11 14 2 3 3" xfId="11229"/>
    <cellStyle name="一般 11 14 2 4" xfId="1361"/>
    <cellStyle name="一般 11 14 2 4 2" xfId="11231"/>
    <cellStyle name="一般 11 14 2 5" xfId="11226"/>
    <cellStyle name="一般 11 14 2_包裝指示書(裏)" xfId="1362"/>
    <cellStyle name="一般 11 14 3" xfId="1363"/>
    <cellStyle name="一般 11 14 3 2" xfId="1364"/>
    <cellStyle name="一般 11 14 3 2 2" xfId="1365"/>
    <cellStyle name="一般 11 14 3 2 2 2" xfId="11234"/>
    <cellStyle name="一般 11 14 3 2 3" xfId="11233"/>
    <cellStyle name="一般 11 14 3 3" xfId="1366"/>
    <cellStyle name="一般 11 14 3 3 2" xfId="11235"/>
    <cellStyle name="一般 11 14 3 4" xfId="11232"/>
    <cellStyle name="一般 11 14 3_包裝指示書(裏)" xfId="1367"/>
    <cellStyle name="一般 11 14 4" xfId="1368"/>
    <cellStyle name="一般 11 14 4 2" xfId="1369"/>
    <cellStyle name="一般 11 14 4 2 2" xfId="11237"/>
    <cellStyle name="一般 11 14 4 3" xfId="11236"/>
    <cellStyle name="一般 11 14 5" xfId="1370"/>
    <cellStyle name="一般 11 14 5 2" xfId="1371"/>
    <cellStyle name="一般 11 14 5 2 2" xfId="11239"/>
    <cellStyle name="一般 11 14 5 3" xfId="11238"/>
    <cellStyle name="一般 11 14 6" xfId="1372"/>
    <cellStyle name="一般 11 14 6 2" xfId="11240"/>
    <cellStyle name="一般 11 14 7" xfId="11225"/>
    <cellStyle name="一般 11 14_包裝指示書(裏)" xfId="1373"/>
    <cellStyle name="一般 11 15" xfId="1374"/>
    <cellStyle name="一般 11 15 2" xfId="1375"/>
    <cellStyle name="一般 11 15 2 2" xfId="1376"/>
    <cellStyle name="一般 11 15 2 2 2" xfId="1377"/>
    <cellStyle name="一般 11 15 2 2 2 2" xfId="11244"/>
    <cellStyle name="一般 11 15 2 2 3" xfId="11243"/>
    <cellStyle name="一般 11 15 2 3" xfId="1378"/>
    <cellStyle name="一般 11 15 2 3 2" xfId="1379"/>
    <cellStyle name="一般 11 15 2 3 2 2" xfId="11246"/>
    <cellStyle name="一般 11 15 2 3 3" xfId="11245"/>
    <cellStyle name="一般 11 15 2 4" xfId="1380"/>
    <cellStyle name="一般 11 15 2 4 2" xfId="11247"/>
    <cellStyle name="一般 11 15 2 5" xfId="11242"/>
    <cellStyle name="一般 11 15 2_包裝指示書(裏)" xfId="1381"/>
    <cellStyle name="一般 11 15 3" xfId="1382"/>
    <cellStyle name="一般 11 15 3 2" xfId="1383"/>
    <cellStyle name="一般 11 15 3 2 2" xfId="11249"/>
    <cellStyle name="一般 11 15 3 3" xfId="11248"/>
    <cellStyle name="一般 11 15 4" xfId="1384"/>
    <cellStyle name="一般 11 15 4 2" xfId="1385"/>
    <cellStyle name="一般 11 15 4 2 2" xfId="11251"/>
    <cellStyle name="一般 11 15 4 3" xfId="11250"/>
    <cellStyle name="一般 11 15 5" xfId="1386"/>
    <cellStyle name="一般 11 15 5 2" xfId="11252"/>
    <cellStyle name="一般 11 15 6" xfId="11241"/>
    <cellStyle name="一般 11 15_包裝指示書(裏)" xfId="1387"/>
    <cellStyle name="一般 11 16" xfId="1388"/>
    <cellStyle name="一般 11 16 2" xfId="1389"/>
    <cellStyle name="一般 11 16 2 2" xfId="1390"/>
    <cellStyle name="一般 11 16 2 2 2" xfId="11255"/>
    <cellStyle name="一般 11 16 2 3" xfId="11254"/>
    <cellStyle name="一般 11 16 3" xfId="1391"/>
    <cellStyle name="一般 11 16 3 2" xfId="1392"/>
    <cellStyle name="一般 11 16 3 2 2" xfId="11257"/>
    <cellStyle name="一般 11 16 3 3" xfId="11256"/>
    <cellStyle name="一般 11 16 4" xfId="1393"/>
    <cellStyle name="一般 11 16 4 2" xfId="11258"/>
    <cellStyle name="一般 11 16 5" xfId="11253"/>
    <cellStyle name="一般 11 16_包裝指示書(裏)" xfId="1394"/>
    <cellStyle name="一般 11 17" xfId="1395"/>
    <cellStyle name="一般 11 17 2" xfId="1396"/>
    <cellStyle name="一般 11 17 2 2" xfId="11260"/>
    <cellStyle name="一般 11 17 3" xfId="1397"/>
    <cellStyle name="一般 11 17 3 2" xfId="11261"/>
    <cellStyle name="一般 11 17 4" xfId="11259"/>
    <cellStyle name="一般 11 18" xfId="1398"/>
    <cellStyle name="一般 11 18 2" xfId="1399"/>
    <cellStyle name="一般 11 18 2 2" xfId="11263"/>
    <cellStyle name="一般 11 18 3" xfId="11262"/>
    <cellStyle name="一般 11 19" xfId="1400"/>
    <cellStyle name="一般 11 19 2" xfId="1401"/>
    <cellStyle name="一般 11 19 2 2" xfId="11265"/>
    <cellStyle name="一般 11 19 3" xfId="11264"/>
    <cellStyle name="一般 11 2" xfId="1144"/>
    <cellStyle name="一般 11 2 10" xfId="1402"/>
    <cellStyle name="一般 11 2 10 2" xfId="1403"/>
    <cellStyle name="一般 11 2 10 2 2" xfId="1404"/>
    <cellStyle name="一般 11 2 10 2 2 2" xfId="1405"/>
    <cellStyle name="一般 11 2 10 2 2 2 2" xfId="11269"/>
    <cellStyle name="一般 11 2 10 2 2 3" xfId="11268"/>
    <cellStyle name="一般 11 2 10 2 3" xfId="1406"/>
    <cellStyle name="一般 11 2 10 2 3 2" xfId="1407"/>
    <cellStyle name="一般 11 2 10 2 3 2 2" xfId="11271"/>
    <cellStyle name="一般 11 2 10 2 3 3" xfId="11270"/>
    <cellStyle name="一般 11 2 10 2 4" xfId="1408"/>
    <cellStyle name="一般 11 2 10 2 4 2" xfId="11272"/>
    <cellStyle name="一般 11 2 10 2 5" xfId="11267"/>
    <cellStyle name="一般 11 2 10 2_包裝指示書(裏)" xfId="1409"/>
    <cellStyle name="一般 11 2 10 3" xfId="1410"/>
    <cellStyle name="一般 11 2 10 3 2" xfId="1411"/>
    <cellStyle name="一般 11 2 10 3 2 2" xfId="11274"/>
    <cellStyle name="一般 11 2 10 3 3" xfId="11273"/>
    <cellStyle name="一般 11 2 10 4" xfId="1412"/>
    <cellStyle name="一般 11 2 10 4 2" xfId="1413"/>
    <cellStyle name="一般 11 2 10 4 2 2" xfId="11276"/>
    <cellStyle name="一般 11 2 10 4 3" xfId="11275"/>
    <cellStyle name="一般 11 2 10 5" xfId="1414"/>
    <cellStyle name="一般 11 2 10 5 2" xfId="11277"/>
    <cellStyle name="一般 11 2 10 6" xfId="11266"/>
    <cellStyle name="一般 11 2 10_包裝指示書(裏)" xfId="1415"/>
    <cellStyle name="一般 11 2 11" xfId="1416"/>
    <cellStyle name="一般 11 2 11 2" xfId="1417"/>
    <cellStyle name="一般 11 2 11 2 2" xfId="1418"/>
    <cellStyle name="一般 11 2 11 2 2 2" xfId="1419"/>
    <cellStyle name="一般 11 2 11 2 2 2 2" xfId="11281"/>
    <cellStyle name="一般 11 2 11 2 2 3" xfId="11280"/>
    <cellStyle name="一般 11 2 11 2 3" xfId="1420"/>
    <cellStyle name="一般 11 2 11 2 3 2" xfId="1421"/>
    <cellStyle name="一般 11 2 11 2 3 2 2" xfId="11283"/>
    <cellStyle name="一般 11 2 11 2 3 3" xfId="11282"/>
    <cellStyle name="一般 11 2 11 2 4" xfId="1422"/>
    <cellStyle name="一般 11 2 11 2 4 2" xfId="11284"/>
    <cellStyle name="一般 11 2 11 2 5" xfId="11279"/>
    <cellStyle name="一般 11 2 11 2_包裝指示書(裏)" xfId="1423"/>
    <cellStyle name="一般 11 2 11 3" xfId="1424"/>
    <cellStyle name="一般 11 2 11 3 2" xfId="1425"/>
    <cellStyle name="一般 11 2 11 3 2 2" xfId="11286"/>
    <cellStyle name="一般 11 2 11 3 3" xfId="11285"/>
    <cellStyle name="一般 11 2 11 4" xfId="1426"/>
    <cellStyle name="一般 11 2 11 4 2" xfId="1427"/>
    <cellStyle name="一般 11 2 11 4 2 2" xfId="11288"/>
    <cellStyle name="一般 11 2 11 4 3" xfId="11287"/>
    <cellStyle name="一般 11 2 11 5" xfId="1428"/>
    <cellStyle name="一般 11 2 11 5 2" xfId="11289"/>
    <cellStyle name="一般 11 2 11 6" xfId="11278"/>
    <cellStyle name="一般 11 2 11_包裝指示書(裏)" xfId="1429"/>
    <cellStyle name="一般 11 2 12" xfId="1430"/>
    <cellStyle name="一般 11 2 12 2" xfId="1431"/>
    <cellStyle name="一般 11 2 12 2 2" xfId="11291"/>
    <cellStyle name="一般 11 2 12 3" xfId="11290"/>
    <cellStyle name="一般 11 2 13" xfId="1432"/>
    <cellStyle name="一般 11 2 13 2" xfId="1433"/>
    <cellStyle name="一般 11 2 13 2 2" xfId="11293"/>
    <cellStyle name="一般 11 2 13 3" xfId="11292"/>
    <cellStyle name="一般 11 2 14" xfId="1434"/>
    <cellStyle name="一般 11 2 14 2" xfId="1435"/>
    <cellStyle name="一般 11 2 14 2 2" xfId="11295"/>
    <cellStyle name="一般 11 2 14 3" xfId="11294"/>
    <cellStyle name="一般 11 2 15" xfId="1436"/>
    <cellStyle name="一般 11 2 15 2" xfId="11296"/>
    <cellStyle name="一般 11 2 16" xfId="11078"/>
    <cellStyle name="一般 11 2 2" xfId="1138"/>
    <cellStyle name="一般 11 2 2 10" xfId="1437"/>
    <cellStyle name="一般 11 2 2 2" xfId="1438"/>
    <cellStyle name="一般 11 2 2 2 10" xfId="11297"/>
    <cellStyle name="一般 11 2 2 2 2" xfId="1439"/>
    <cellStyle name="一般 11 2 2 2 2 2" xfId="1440"/>
    <cellStyle name="一般 11 2 2 2 2 3" xfId="1441"/>
    <cellStyle name="一般 11 2 2 2 2 3 2" xfId="1442"/>
    <cellStyle name="一般 11 2 2 2 2 3 2 2" xfId="1443"/>
    <cellStyle name="一般 11 2 2 2 2 3 2 2 2" xfId="11301"/>
    <cellStyle name="一般 11 2 2 2 2 3 2 3" xfId="11300"/>
    <cellStyle name="一般 11 2 2 2 2 3 3" xfId="1444"/>
    <cellStyle name="一般 11 2 2 2 2 3 3 2" xfId="11302"/>
    <cellStyle name="一般 11 2 2 2 2 3 4" xfId="11299"/>
    <cellStyle name="一般 11 2 2 2 2 3_包裝指示書(裏)" xfId="1445"/>
    <cellStyle name="一般 11 2 2 2 2 4" xfId="1446"/>
    <cellStyle name="一般 11 2 2 2 2 4 2" xfId="1447"/>
    <cellStyle name="一般 11 2 2 2 2 4 2 2" xfId="11304"/>
    <cellStyle name="一般 11 2 2 2 2 4 3" xfId="11303"/>
    <cellStyle name="一般 11 2 2 2 2 5" xfId="1448"/>
    <cellStyle name="一般 11 2 2 2 2 5 2" xfId="11305"/>
    <cellStyle name="一般 11 2 2 2 2 6" xfId="11298"/>
    <cellStyle name="一般 11 2 2 2 2_包裝指示書(裏)" xfId="1449"/>
    <cellStyle name="一般 11 2 2 2 3" xfId="1450"/>
    <cellStyle name="一般 11 2 2 2 3 2" xfId="1451"/>
    <cellStyle name="一般 11 2 2 2 3 3" xfId="1452"/>
    <cellStyle name="一般 11 2 2 2 3 3 2" xfId="11306"/>
    <cellStyle name="一般 11 2 2 2 3 4" xfId="1453"/>
    <cellStyle name="一般 11 2 2 2 3 4 2" xfId="11307"/>
    <cellStyle name="一般 11 2 2 2 3_包裝指示書(裏)" xfId="1454"/>
    <cellStyle name="一般 11 2 2 2 4" xfId="1455"/>
    <cellStyle name="一般 11 2 2 2 4 2" xfId="1456"/>
    <cellStyle name="一般 11 2 2 2 4 2 2" xfId="11308"/>
    <cellStyle name="一般 11 2 2 2 4 3" xfId="1457"/>
    <cellStyle name="一般 11 2 2 2 4 3 2" xfId="11309"/>
    <cellStyle name="一般 11 2 2 2 4 4" xfId="1458"/>
    <cellStyle name="一般 11 2 2 2 4 4 2" xfId="11310"/>
    <cellStyle name="一般 11 2 2 2 5" xfId="1459"/>
    <cellStyle name="一般 11 2 2 2 6" xfId="1460"/>
    <cellStyle name="一般 11 2 2 2 6 2" xfId="1461"/>
    <cellStyle name="一般 11 2 2 2 6 2 2" xfId="1462"/>
    <cellStyle name="一般 11 2 2 2 6 2 2 2" xfId="11313"/>
    <cellStyle name="一般 11 2 2 2 6 2 3" xfId="11312"/>
    <cellStyle name="一般 11 2 2 2 6 3" xfId="1463"/>
    <cellStyle name="一般 11 2 2 2 6 3 2" xfId="1464"/>
    <cellStyle name="一般 11 2 2 2 6 3 2 2" xfId="11315"/>
    <cellStyle name="一般 11 2 2 2 6 3 3" xfId="11314"/>
    <cellStyle name="一般 11 2 2 2 6 4" xfId="1465"/>
    <cellStyle name="一般 11 2 2 2 6 4 2" xfId="11316"/>
    <cellStyle name="一般 11 2 2 2 6 5" xfId="11311"/>
    <cellStyle name="一般 11 2 2 2 6_包裝指示書(裏)" xfId="1466"/>
    <cellStyle name="一般 11 2 2 2 7" xfId="1467"/>
    <cellStyle name="一般 11 2 2 2 7 2" xfId="1468"/>
    <cellStyle name="一般 11 2 2 2 7 2 2" xfId="11318"/>
    <cellStyle name="一般 11 2 2 2 7 3" xfId="11317"/>
    <cellStyle name="一般 11 2 2 2 8" xfId="1469"/>
    <cellStyle name="一般 11 2 2 2 8 2" xfId="1470"/>
    <cellStyle name="一般 11 2 2 2 8 2 2" xfId="11320"/>
    <cellStyle name="一般 11 2 2 2 8 3" xfId="11319"/>
    <cellStyle name="一般 11 2 2 2 9" xfId="1471"/>
    <cellStyle name="一般 11 2 2 2 9 2" xfId="11321"/>
    <cellStyle name="一般 11 2 2 2_包裝指示書(裏)" xfId="1472"/>
    <cellStyle name="一般 11 2 2 3" xfId="1473"/>
    <cellStyle name="一般 11 2 2 3 2" xfId="1474"/>
    <cellStyle name="一般 11 2 2 3 2 2" xfId="1475"/>
    <cellStyle name="一般 11 2 2 3 2 2 2" xfId="1476"/>
    <cellStyle name="一般 11 2 2 3 2 2 2 2" xfId="11324"/>
    <cellStyle name="一般 11 2 2 3 2 2 3" xfId="11323"/>
    <cellStyle name="一般 11 2 2 3 2 3" xfId="1477"/>
    <cellStyle name="一般 11 2 2 3 2 3 2" xfId="11325"/>
    <cellStyle name="一般 11 2 2 3 2 4" xfId="11322"/>
    <cellStyle name="一般 11 2 2 3 2_包裝指示書(裏)" xfId="1478"/>
    <cellStyle name="一般 11 2 2 3 3" xfId="1479"/>
    <cellStyle name="一般 11 2 2 3 3 2" xfId="1480"/>
    <cellStyle name="一般 11 2 2 3 3 2 2" xfId="11327"/>
    <cellStyle name="一般 11 2 2 3 3 3" xfId="11326"/>
    <cellStyle name="一般 11 2 2 3 4" xfId="1481"/>
    <cellStyle name="一般 11 2 2 3 4 2" xfId="1482"/>
    <cellStyle name="一般 11 2 2 3 4 2 2" xfId="11329"/>
    <cellStyle name="一般 11 2 2 3 4 3" xfId="11328"/>
    <cellStyle name="一般 11 2 2 3 5" xfId="1483"/>
    <cellStyle name="一般 11 2 2 3 5 2" xfId="11330"/>
    <cellStyle name="一般 11 2 2 3_包裝指示書(裏)" xfId="1484"/>
    <cellStyle name="一般 11 2 2 4" xfId="1140"/>
    <cellStyle name="一般 11 2 2 4 2" xfId="1485"/>
    <cellStyle name="一般 11 2 2 4 2 2" xfId="1486"/>
    <cellStyle name="一般 11 2 2 4 2 2 2" xfId="1487"/>
    <cellStyle name="一般 11 2 2 4 2 2 2 2" xfId="1488"/>
    <cellStyle name="一般 11 2 2 4 2 2 2 2 2" xfId="11334"/>
    <cellStyle name="一般 11 2 2 4 2 2 2 3" xfId="11333"/>
    <cellStyle name="一般 11 2 2 4 2 2 3" xfId="1489"/>
    <cellStyle name="一般 11 2 2 4 2 2 3 2" xfId="11335"/>
    <cellStyle name="一般 11 2 2 4 2 2 4" xfId="11332"/>
    <cellStyle name="一般 11 2 2 4 2 2_包裝指示書(裏)" xfId="1490"/>
    <cellStyle name="一般 11 2 2 4 2 3" xfId="1491"/>
    <cellStyle name="一般 11 2 2 4 2 3 2" xfId="1492"/>
    <cellStyle name="一般 11 2 2 4 2 3 2 2" xfId="11337"/>
    <cellStyle name="一般 11 2 2 4 2 3 3" xfId="11336"/>
    <cellStyle name="一般 11 2 2 4 2 4" xfId="1493"/>
    <cellStyle name="一般 11 2 2 4 2 4 2" xfId="1494"/>
    <cellStyle name="一般 11 2 2 4 2 4 2 2" xfId="11339"/>
    <cellStyle name="一般 11 2 2 4 2 4 3" xfId="11338"/>
    <cellStyle name="一般 11 2 2 4 2 5" xfId="1495"/>
    <cellStyle name="一般 11 2 2 4 2 5 2" xfId="1496"/>
    <cellStyle name="一般 11 2 2 4 2 5 2 2" xfId="11341"/>
    <cellStyle name="一般 11 2 2 4 2 5 3" xfId="11340"/>
    <cellStyle name="一般 11 2 2 4 2 6" xfId="1497"/>
    <cellStyle name="一般 11 2 2 4 2 6 2" xfId="1498"/>
    <cellStyle name="一般 11 2 2 4 2 6 2 2" xfId="11343"/>
    <cellStyle name="一般 11 2 2 4 2 6 3" xfId="11342"/>
    <cellStyle name="一般 11 2 2 4 2 7" xfId="1499"/>
    <cellStyle name="一般 11 2 2 4 2 7 2" xfId="1500"/>
    <cellStyle name="一般 11 2 2 4 2 7 2 2" xfId="11345"/>
    <cellStyle name="一般 11 2 2 4 2 7 3" xfId="11344"/>
    <cellStyle name="一般 11 2 2 4 2 8" xfId="1501"/>
    <cellStyle name="一般 11 2 2 4 2 8 2" xfId="11346"/>
    <cellStyle name="一般 11 2 2 4 2 9" xfId="11331"/>
    <cellStyle name="一般 11 2 2 4 2_包裝指示書(裏)" xfId="1502"/>
    <cellStyle name="一般 11 2 2 4 3" xfId="1503"/>
    <cellStyle name="一般 11 2 2 4 3 2" xfId="1504"/>
    <cellStyle name="一般 11 2 2 4 3 3" xfId="1505"/>
    <cellStyle name="一般 11 2 2 4 3 3 2" xfId="11348"/>
    <cellStyle name="一般 11 2 2 4 3 4" xfId="1506"/>
    <cellStyle name="一般 11 2 2 4 3 4 2" xfId="11349"/>
    <cellStyle name="一般 11 2 2 4 3 5" xfId="1507"/>
    <cellStyle name="一般 11 2 2 4 3 5 2" xfId="11350"/>
    <cellStyle name="一般 11 2 2 4 3 6" xfId="11347"/>
    <cellStyle name="一般 11 2 2 4 3_包裝指示書(裏)" xfId="1508"/>
    <cellStyle name="一般 11 2 2 4 4" xfId="1509"/>
    <cellStyle name="一般 11 2 2 4 4 2" xfId="1510"/>
    <cellStyle name="一般 11 2 2 4 5" xfId="1511"/>
    <cellStyle name="一般 11 2 2 4 5 2" xfId="1512"/>
    <cellStyle name="一般 11 2 2 4 5 2 2" xfId="11352"/>
    <cellStyle name="一般 11 2 2 4 5 3" xfId="11351"/>
    <cellStyle name="一般 11 2 2 4 6" xfId="1513"/>
    <cellStyle name="一般 11 2 2 4 6 2" xfId="1514"/>
    <cellStyle name="一般 11 2 2 4 6 2 2" xfId="11354"/>
    <cellStyle name="一般 11 2 2 4 6 3" xfId="11353"/>
    <cellStyle name="一般 11 2 2 4 7" xfId="1515"/>
    <cellStyle name="一般 11 2 2 4 7 2" xfId="11355"/>
    <cellStyle name="一般 11 2 2 4_包裝指示書(裏)" xfId="1516"/>
    <cellStyle name="一般 11 2 2 5" xfId="1517"/>
    <cellStyle name="一般 11 2 2 5 10" xfId="1518"/>
    <cellStyle name="一般 11 2 2 5 10 2" xfId="11357"/>
    <cellStyle name="一般 11 2 2 5 11" xfId="11356"/>
    <cellStyle name="一般 11 2 2 5 2" xfId="1519"/>
    <cellStyle name="一般 11 2 2 5 2 2" xfId="1520"/>
    <cellStyle name="一般 11 2 2 5 2 2 2" xfId="1521"/>
    <cellStyle name="一般 11 2 2 5 2 2 2 2" xfId="1522"/>
    <cellStyle name="一般 11 2 2 5 2 2 2 2 2" xfId="11361"/>
    <cellStyle name="一般 11 2 2 5 2 2 2 3" xfId="11360"/>
    <cellStyle name="一般 11 2 2 5 2 2 3" xfId="1523"/>
    <cellStyle name="一般 11 2 2 5 2 2 3 2" xfId="11362"/>
    <cellStyle name="一般 11 2 2 5 2 2 4" xfId="11359"/>
    <cellStyle name="一般 11 2 2 5 2 2_包裝指示書(裏)" xfId="1524"/>
    <cellStyle name="一般 11 2 2 5 2 3" xfId="1525"/>
    <cellStyle name="一般 11 2 2 5 2 3 2" xfId="1526"/>
    <cellStyle name="一般 11 2 2 5 2 3 2 2" xfId="11364"/>
    <cellStyle name="一般 11 2 2 5 2 3 3" xfId="11363"/>
    <cellStyle name="一般 11 2 2 5 2 4" xfId="1527"/>
    <cellStyle name="一般 11 2 2 5 2 4 2" xfId="1528"/>
    <cellStyle name="一般 11 2 2 5 2 4 2 2" xfId="11366"/>
    <cellStyle name="一般 11 2 2 5 2 4 3" xfId="11365"/>
    <cellStyle name="一般 11 2 2 5 2 5" xfId="1529"/>
    <cellStyle name="一般 11 2 2 5 2 5 2" xfId="1530"/>
    <cellStyle name="一般 11 2 2 5 2 5 2 2" xfId="11368"/>
    <cellStyle name="一般 11 2 2 5 2 5 3" xfId="11367"/>
    <cellStyle name="一般 11 2 2 5 2 6" xfId="1531"/>
    <cellStyle name="一般 11 2 2 5 2 6 2" xfId="1532"/>
    <cellStyle name="一般 11 2 2 5 2 6 2 2" xfId="11370"/>
    <cellStyle name="一般 11 2 2 5 2 6 3" xfId="11369"/>
    <cellStyle name="一般 11 2 2 5 2 7" xfId="1533"/>
    <cellStyle name="一般 11 2 2 5 2 7 2" xfId="1534"/>
    <cellStyle name="一般 11 2 2 5 2 7 2 2" xfId="11372"/>
    <cellStyle name="一般 11 2 2 5 2 7 3" xfId="11371"/>
    <cellStyle name="一般 11 2 2 5 2 8" xfId="1535"/>
    <cellStyle name="一般 11 2 2 5 2 8 2" xfId="11373"/>
    <cellStyle name="一般 11 2 2 5 2 9" xfId="11358"/>
    <cellStyle name="一般 11 2 2 5 2_包裝指示書(裏)" xfId="1536"/>
    <cellStyle name="一般 11 2 2 5 3" xfId="1537"/>
    <cellStyle name="一般 11 2 2 5 3 2" xfId="1538"/>
    <cellStyle name="一般 11 2 2 5 3 2 2" xfId="11375"/>
    <cellStyle name="一般 11 2 2 5 3 3" xfId="1539"/>
    <cellStyle name="一般 11 2 2 5 3 3 2" xfId="11376"/>
    <cellStyle name="一般 11 2 2 5 3 4" xfId="1540"/>
    <cellStyle name="一般 11 2 2 5 3 4 2" xfId="11377"/>
    <cellStyle name="一般 11 2 2 5 3 5" xfId="1541"/>
    <cellStyle name="一般 11 2 2 5 3 5 2" xfId="11378"/>
    <cellStyle name="一般 11 2 2 5 3 6" xfId="1542"/>
    <cellStyle name="一般 11 2 2 5 3 7" xfId="11374"/>
    <cellStyle name="一般 11 2 2 5 4" xfId="1543"/>
    <cellStyle name="一般 11 2 2 5 4 2" xfId="1544"/>
    <cellStyle name="一般 11 2 2 5 4 2 2" xfId="11380"/>
    <cellStyle name="一般 11 2 2 5 4 3" xfId="11379"/>
    <cellStyle name="一般 11 2 2 5 5" xfId="1545"/>
    <cellStyle name="一般 11 2 2 5 5 2" xfId="1546"/>
    <cellStyle name="一般 11 2 2 5 5 2 2" xfId="11382"/>
    <cellStyle name="一般 11 2 2 5 5 3" xfId="11381"/>
    <cellStyle name="一般 11 2 2 5 6" xfId="1547"/>
    <cellStyle name="一般 11 2 2 5 6 2" xfId="1548"/>
    <cellStyle name="一般 11 2 2 5 6 2 2" xfId="11384"/>
    <cellStyle name="一般 11 2 2 5 6 3" xfId="11383"/>
    <cellStyle name="一般 11 2 2 5 7" xfId="1549"/>
    <cellStyle name="一般 11 2 2 5 7 2" xfId="1550"/>
    <cellStyle name="一般 11 2 2 5 7 2 2" xfId="11386"/>
    <cellStyle name="一般 11 2 2 5 7 3" xfId="11385"/>
    <cellStyle name="一般 11 2 2 5 8" xfId="1551"/>
    <cellStyle name="一般 11 2 2 5 8 2" xfId="11387"/>
    <cellStyle name="一般 11 2 2 5 9" xfId="1552"/>
    <cellStyle name="一般 11 2 2 5_包裝指示書(裏)" xfId="1553"/>
    <cellStyle name="一般 11 2 2 6" xfId="1554"/>
    <cellStyle name="一般 11 2 2 6 2" xfId="1555"/>
    <cellStyle name="一般 11 2 2 6 3" xfId="1556"/>
    <cellStyle name="一般 11 2 2 6 3 2" xfId="1557"/>
    <cellStyle name="一般 11 2 2 6 3 2 2" xfId="11389"/>
    <cellStyle name="一般 11 2 2 6 3 3" xfId="11388"/>
    <cellStyle name="一般 11 2 2 6 4" xfId="1558"/>
    <cellStyle name="一般 11 2 2 6_包裝指示書(裏)" xfId="1559"/>
    <cellStyle name="一般 11 2 2 7" xfId="1560"/>
    <cellStyle name="一般 11 2 2 7 2" xfId="1561"/>
    <cellStyle name="一般 11 2 2 7 2 2" xfId="11391"/>
    <cellStyle name="一般 11 2 2 7 3" xfId="11390"/>
    <cellStyle name="一般 11 2 2 8" xfId="1562"/>
    <cellStyle name="一般 11 2 2 9" xfId="1563"/>
    <cellStyle name="一般 11 2 2_包裝指示書(裏)" xfId="1564"/>
    <cellStyle name="一般 11 2 3" xfId="1565"/>
    <cellStyle name="一般 11 2 3 2" xfId="1566"/>
    <cellStyle name="一般 11 2 3 2 2" xfId="1567"/>
    <cellStyle name="一般 11 2 3 2_包裝指示書(裏)" xfId="1568"/>
    <cellStyle name="一般 11 2 3 3" xfId="1569"/>
    <cellStyle name="一般 11 2 3 3 2" xfId="1570"/>
    <cellStyle name="一般 11 2 3 3 2 2" xfId="1571"/>
    <cellStyle name="一般 11 2 3 3 2 2 2" xfId="11395"/>
    <cellStyle name="一般 11 2 3 3 2 3" xfId="11394"/>
    <cellStyle name="一般 11 2 3 3 3" xfId="1572"/>
    <cellStyle name="一般 11 2 3 3 3 2" xfId="11396"/>
    <cellStyle name="一般 11 2 3 3 4" xfId="11393"/>
    <cellStyle name="一般 11 2 3 3_包裝指示書(裏)" xfId="1573"/>
    <cellStyle name="一般 11 2 3 4" xfId="1574"/>
    <cellStyle name="一般 11 2 3 4 2" xfId="1575"/>
    <cellStyle name="一般 11 2 3 4 2 2" xfId="11398"/>
    <cellStyle name="一般 11 2 3 4 3" xfId="11397"/>
    <cellStyle name="一般 11 2 3 5" xfId="1576"/>
    <cellStyle name="一般 11 2 3 5 2" xfId="1577"/>
    <cellStyle name="一般 11 2 3 5 2 2" xfId="11400"/>
    <cellStyle name="一般 11 2 3 5 3" xfId="11399"/>
    <cellStyle name="一般 11 2 3 6" xfId="1578"/>
    <cellStyle name="一般 11 2 3 6 2" xfId="11401"/>
    <cellStyle name="一般 11 2 3 7" xfId="11392"/>
    <cellStyle name="一般 11 2 3_包裝指示書(裏)" xfId="1579"/>
    <cellStyle name="一般 11 2 4" xfId="1149"/>
    <cellStyle name="一般 11 2 4 2" xfId="1580"/>
    <cellStyle name="一般 11 2 4 2 2" xfId="1581"/>
    <cellStyle name="一般 11 2 4 2 2 2" xfId="1582"/>
    <cellStyle name="一般 11 2 4 2 2 2 2" xfId="1583"/>
    <cellStyle name="一般 11 2 4 2 2 2 2 2" xfId="11404"/>
    <cellStyle name="一般 11 2 4 2 2 2 3" xfId="11403"/>
    <cellStyle name="一般 11 2 4 2 2 3" xfId="1584"/>
    <cellStyle name="一般 11 2 4 2 2 3 2" xfId="1585"/>
    <cellStyle name="一般 11 2 4 2 2 3 2 2" xfId="11406"/>
    <cellStyle name="一般 11 2 4 2 2 3 3" xfId="11405"/>
    <cellStyle name="一般 11 2 4 2 2 4" xfId="1586"/>
    <cellStyle name="一般 11 2 4 2 2 4 2" xfId="11407"/>
    <cellStyle name="一般 11 2 4 2 2 5" xfId="11402"/>
    <cellStyle name="一般 11 2 4 2 2_包裝指示書(裏)" xfId="1587"/>
    <cellStyle name="一般 11 2 4 2 3" xfId="1588"/>
    <cellStyle name="一般 11 2 4 2 4" xfId="1589"/>
    <cellStyle name="一般 11 2 4 2 5" xfId="1590"/>
    <cellStyle name="一般 11 2 4 2_包裝指示書(裏)" xfId="1591"/>
    <cellStyle name="一般 11 2 4 3" xfId="1592"/>
    <cellStyle name="一般 11 2 4 3 2" xfId="1593"/>
    <cellStyle name="一般 11 2 4 3 2 2" xfId="1594"/>
    <cellStyle name="一般 11 2 4 3 2 2 2" xfId="1595"/>
    <cellStyle name="一般 11 2 4 3 2 2 2 2" xfId="11411"/>
    <cellStyle name="一般 11 2 4 3 2 2 3" xfId="11410"/>
    <cellStyle name="一般 11 2 4 3 2 3" xfId="1596"/>
    <cellStyle name="一般 11 2 4 3 2 3 2" xfId="1597"/>
    <cellStyle name="一般 11 2 4 3 2 3 2 2" xfId="11413"/>
    <cellStyle name="一般 11 2 4 3 2 3 3" xfId="11412"/>
    <cellStyle name="一般 11 2 4 3 2 4" xfId="1598"/>
    <cellStyle name="一般 11 2 4 3 2 4 2" xfId="11414"/>
    <cellStyle name="一般 11 2 4 3 2 5" xfId="11409"/>
    <cellStyle name="一般 11 2 4 3 2_包裝指示書(裏)" xfId="1599"/>
    <cellStyle name="一般 11 2 4 3 3" xfId="1600"/>
    <cellStyle name="一般 11 2 4 3 3 2" xfId="1601"/>
    <cellStyle name="一般 11 2 4 3 3 2 2" xfId="11416"/>
    <cellStyle name="一般 11 2 4 3 3 3" xfId="11415"/>
    <cellStyle name="一般 11 2 4 3 4" xfId="1602"/>
    <cellStyle name="一般 11 2 4 3 4 2" xfId="1603"/>
    <cellStyle name="一般 11 2 4 3 4 2 2" xfId="11418"/>
    <cellStyle name="一般 11 2 4 3 4 3" xfId="11417"/>
    <cellStyle name="一般 11 2 4 3 5" xfId="1604"/>
    <cellStyle name="一般 11 2 4 3 5 2" xfId="11419"/>
    <cellStyle name="一般 11 2 4 3 6" xfId="11408"/>
    <cellStyle name="一般 11 2 4 3_包裝指示書(裏)" xfId="1605"/>
    <cellStyle name="一般 11 2 4 4" xfId="1606"/>
    <cellStyle name="一般 11 2 4 4 2" xfId="1607"/>
    <cellStyle name="一般 11 2 4 4 2 2" xfId="1608"/>
    <cellStyle name="一般 11 2 4 4 2 2 2" xfId="1609"/>
    <cellStyle name="一般 11 2 4 4 2 2 2 2" xfId="11423"/>
    <cellStyle name="一般 11 2 4 4 2 2 3" xfId="11422"/>
    <cellStyle name="一般 11 2 4 4 2 3" xfId="1610"/>
    <cellStyle name="一般 11 2 4 4 2 3 2" xfId="1611"/>
    <cellStyle name="一般 11 2 4 4 2 3 2 2" xfId="11425"/>
    <cellStyle name="一般 11 2 4 4 2 3 3" xfId="11424"/>
    <cellStyle name="一般 11 2 4 4 2 4" xfId="1612"/>
    <cellStyle name="一般 11 2 4 4 2 4 2" xfId="11426"/>
    <cellStyle name="一般 11 2 4 4 2 5" xfId="11421"/>
    <cellStyle name="一般 11 2 4 4 2_包裝指示書(裏)" xfId="1613"/>
    <cellStyle name="一般 11 2 4 4 3" xfId="1614"/>
    <cellStyle name="一般 11 2 4 4 3 2" xfId="1615"/>
    <cellStyle name="一般 11 2 4 4 3 2 2" xfId="11428"/>
    <cellStyle name="一般 11 2 4 4 3 3" xfId="11427"/>
    <cellStyle name="一般 11 2 4 4 4" xfId="1616"/>
    <cellStyle name="一般 11 2 4 4 4 2" xfId="1617"/>
    <cellStyle name="一般 11 2 4 4 4 2 2" xfId="11430"/>
    <cellStyle name="一般 11 2 4 4 4 3" xfId="11429"/>
    <cellStyle name="一般 11 2 4 4 5" xfId="1618"/>
    <cellStyle name="一般 11 2 4 4 5 2" xfId="11431"/>
    <cellStyle name="一般 11 2 4 4 6" xfId="11420"/>
    <cellStyle name="一般 11 2 4 4_包裝指示書(裏)" xfId="1619"/>
    <cellStyle name="一般 11 2 4 5" xfId="1620"/>
    <cellStyle name="一般 11 2 4 5 2" xfId="1621"/>
    <cellStyle name="一般 11 2 4 5 2 2" xfId="1622"/>
    <cellStyle name="一般 11 2 4 5 2 2 2" xfId="1623"/>
    <cellStyle name="一般 11 2 4 5 2 2 2 2" xfId="11435"/>
    <cellStyle name="一般 11 2 4 5 2 2 3" xfId="11434"/>
    <cellStyle name="一般 11 2 4 5 2 3" xfId="1624"/>
    <cellStyle name="一般 11 2 4 5 2 3 2" xfId="1625"/>
    <cellStyle name="一般 11 2 4 5 2 3 2 2" xfId="11437"/>
    <cellStyle name="一般 11 2 4 5 2 3 3" xfId="11436"/>
    <cellStyle name="一般 11 2 4 5 2 4" xfId="1626"/>
    <cellStyle name="一般 11 2 4 5 2 4 2" xfId="11438"/>
    <cellStyle name="一般 11 2 4 5 2 5" xfId="11433"/>
    <cellStyle name="一般 11 2 4 5 2_包裝指示書(裏)" xfId="1627"/>
    <cellStyle name="一般 11 2 4 5 3" xfId="1628"/>
    <cellStyle name="一般 11 2 4 5 3 2" xfId="1629"/>
    <cellStyle name="一般 11 2 4 5 3 2 2" xfId="11440"/>
    <cellStyle name="一般 11 2 4 5 3 3" xfId="11439"/>
    <cellStyle name="一般 11 2 4 5 4" xfId="1630"/>
    <cellStyle name="一般 11 2 4 5 4 2" xfId="1631"/>
    <cellStyle name="一般 11 2 4 5 4 2 2" xfId="11442"/>
    <cellStyle name="一般 11 2 4 5 4 3" xfId="11441"/>
    <cellStyle name="一般 11 2 4 5 5" xfId="1632"/>
    <cellStyle name="一般 11 2 4 5 5 2" xfId="11443"/>
    <cellStyle name="一般 11 2 4 5 6" xfId="11432"/>
    <cellStyle name="一般 11 2 4 5_包裝指示書(裏)" xfId="1633"/>
    <cellStyle name="一般 11 2 4 6" xfId="1634"/>
    <cellStyle name="一般 11 2 4 7" xfId="1635"/>
    <cellStyle name="一般 11 2 4 8" xfId="1636"/>
    <cellStyle name="一般 11 2 4_包裝指示書(裏)" xfId="1637"/>
    <cellStyle name="一般 11 2 5" xfId="1638"/>
    <cellStyle name="一般 11 2 5 10" xfId="11444"/>
    <cellStyle name="一般 11 2 5 2" xfId="1639"/>
    <cellStyle name="一般 11 2 5 2 2" xfId="1640"/>
    <cellStyle name="一般 11 2 5 2 2 2" xfId="1641"/>
    <cellStyle name="一般 11 2 5 2 2 2 2" xfId="1642"/>
    <cellStyle name="一般 11 2 5 2 2 2 2 2" xfId="11448"/>
    <cellStyle name="一般 11 2 5 2 2 2 3" xfId="11447"/>
    <cellStyle name="一般 11 2 5 2 2 3" xfId="1643"/>
    <cellStyle name="一般 11 2 5 2 2 3 2" xfId="11449"/>
    <cellStyle name="一般 11 2 5 2 2 4" xfId="11446"/>
    <cellStyle name="一般 11 2 5 2 2_包裝指示書(裏)" xfId="1644"/>
    <cellStyle name="一般 11 2 5 2 3" xfId="1645"/>
    <cellStyle name="一般 11 2 5 2 3 2" xfId="1646"/>
    <cellStyle name="一般 11 2 5 2 3 2 2" xfId="11451"/>
    <cellStyle name="一般 11 2 5 2 3 3" xfId="11450"/>
    <cellStyle name="一般 11 2 5 2 4" xfId="1647"/>
    <cellStyle name="一般 11 2 5 2 4 2" xfId="1648"/>
    <cellStyle name="一般 11 2 5 2 4 2 2" xfId="11453"/>
    <cellStyle name="一般 11 2 5 2 4 3" xfId="11452"/>
    <cellStyle name="一般 11 2 5 2 5" xfId="1649"/>
    <cellStyle name="一般 11 2 5 2 5 2" xfId="1650"/>
    <cellStyle name="一般 11 2 5 2 5 2 2" xfId="11455"/>
    <cellStyle name="一般 11 2 5 2 5 3" xfId="11454"/>
    <cellStyle name="一般 11 2 5 2 6" xfId="1651"/>
    <cellStyle name="一般 11 2 5 2 6 2" xfId="1652"/>
    <cellStyle name="一般 11 2 5 2 6 2 2" xfId="11457"/>
    <cellStyle name="一般 11 2 5 2 6 3" xfId="11456"/>
    <cellStyle name="一般 11 2 5 2 7" xfId="1653"/>
    <cellStyle name="一般 11 2 5 2 7 2" xfId="1654"/>
    <cellStyle name="一般 11 2 5 2 7 2 2" xfId="11459"/>
    <cellStyle name="一般 11 2 5 2 7 3" xfId="11458"/>
    <cellStyle name="一般 11 2 5 2 8" xfId="1655"/>
    <cellStyle name="一般 11 2 5 2 8 2" xfId="11460"/>
    <cellStyle name="一般 11 2 5 2 9" xfId="11445"/>
    <cellStyle name="一般 11 2 5 2_包裝指示書(裏)" xfId="1656"/>
    <cellStyle name="一般 11 2 5 3" xfId="1657"/>
    <cellStyle name="一般 11 2 5 3 2" xfId="1658"/>
    <cellStyle name="一般 11 2 5 3 2 2" xfId="1659"/>
    <cellStyle name="一般 11 2 5 3 2 2 2" xfId="11463"/>
    <cellStyle name="一般 11 2 5 3 2 3" xfId="11462"/>
    <cellStyle name="一般 11 2 5 3 3" xfId="1660"/>
    <cellStyle name="一般 11 2 5 3 3 2" xfId="11464"/>
    <cellStyle name="一般 11 2 5 3 4" xfId="1661"/>
    <cellStyle name="一般 11 2 5 3 4 2" xfId="11465"/>
    <cellStyle name="一般 11 2 5 3 5" xfId="1662"/>
    <cellStyle name="一般 11 2 5 3 5 2" xfId="11466"/>
    <cellStyle name="一般 11 2 5 3 6" xfId="11461"/>
    <cellStyle name="一般 11 2 5 3_包裝指示書(裏)" xfId="1663"/>
    <cellStyle name="一般 11 2 5 4" xfId="1664"/>
    <cellStyle name="一般 11 2 5 4 2" xfId="1665"/>
    <cellStyle name="一般 11 2 5 4 2 2" xfId="11468"/>
    <cellStyle name="一般 11 2 5 4 3" xfId="11467"/>
    <cellStyle name="一般 11 2 5 5" xfId="1666"/>
    <cellStyle name="一般 11 2 5 5 2" xfId="1667"/>
    <cellStyle name="一般 11 2 5 5 2 2" xfId="11470"/>
    <cellStyle name="一般 11 2 5 5 3" xfId="11469"/>
    <cellStyle name="一般 11 2 5 6" xfId="1668"/>
    <cellStyle name="一般 11 2 5 6 2" xfId="1669"/>
    <cellStyle name="一般 11 2 5 6 2 2" xfId="11472"/>
    <cellStyle name="一般 11 2 5 6 3" xfId="11471"/>
    <cellStyle name="一般 11 2 5 7" xfId="1670"/>
    <cellStyle name="一般 11 2 5 7 2" xfId="1671"/>
    <cellStyle name="一般 11 2 5 7 2 2" xfId="11474"/>
    <cellStyle name="一般 11 2 5 7 3" xfId="11473"/>
    <cellStyle name="一般 11 2 5 8" xfId="1672"/>
    <cellStyle name="一般 11 2 5 8 2" xfId="1673"/>
    <cellStyle name="一般 11 2 5 8 2 2" xfId="11476"/>
    <cellStyle name="一般 11 2 5 8 3" xfId="11475"/>
    <cellStyle name="一般 11 2 5 9" xfId="1674"/>
    <cellStyle name="一般 11 2 5 9 2" xfId="11477"/>
    <cellStyle name="一般 11 2 5_包裝指示書(裏)" xfId="1675"/>
    <cellStyle name="一般 11 2 6" xfId="1676"/>
    <cellStyle name="一般 11 2 6 2" xfId="1677"/>
    <cellStyle name="一般 11 2 6 2 2" xfId="1678"/>
    <cellStyle name="一般 11 2 6 2 2 2" xfId="1679"/>
    <cellStyle name="一般 11 2 6 2 2 2 2" xfId="1680"/>
    <cellStyle name="一般 11 2 6 2 2 2 2 2" xfId="11482"/>
    <cellStyle name="一般 11 2 6 2 2 2 3" xfId="11481"/>
    <cellStyle name="一般 11 2 6 2 2 3" xfId="1681"/>
    <cellStyle name="一般 11 2 6 2 2 3 2" xfId="11483"/>
    <cellStyle name="一般 11 2 6 2 2 4" xfId="11480"/>
    <cellStyle name="一般 11 2 6 2 2_包裝指示書(裏)" xfId="1682"/>
    <cellStyle name="一般 11 2 6 2 3" xfId="1683"/>
    <cellStyle name="一般 11 2 6 2 3 2" xfId="1684"/>
    <cellStyle name="一般 11 2 6 2 3 2 2" xfId="11485"/>
    <cellStyle name="一般 11 2 6 2 3 3" xfId="11484"/>
    <cellStyle name="一般 11 2 6 2 4" xfId="1685"/>
    <cellStyle name="一般 11 2 6 2 4 2" xfId="11486"/>
    <cellStyle name="一般 11 2 6 2 5" xfId="1686"/>
    <cellStyle name="一般 11 2 6 2 5 2" xfId="11487"/>
    <cellStyle name="一般 11 2 6 2 6" xfId="11479"/>
    <cellStyle name="一般 11 2 6 2_包裝指示書(裏)" xfId="1687"/>
    <cellStyle name="一般 11 2 6 3" xfId="1688"/>
    <cellStyle name="一般 11 2 6 3 2" xfId="1689"/>
    <cellStyle name="一般 11 2 6 3 2 2" xfId="1690"/>
    <cellStyle name="一般 11 2 6 3 2 2 2" xfId="11490"/>
    <cellStyle name="一般 11 2 6 3 2 3" xfId="11489"/>
    <cellStyle name="一般 11 2 6 3 3" xfId="1691"/>
    <cellStyle name="一般 11 2 6 3 3 2" xfId="11491"/>
    <cellStyle name="一般 11 2 6 3 4" xfId="1692"/>
    <cellStyle name="一般 11 2 6 3 4 2" xfId="11492"/>
    <cellStyle name="一般 11 2 6 3 5" xfId="1693"/>
    <cellStyle name="一般 11 2 6 3 5 2" xfId="11493"/>
    <cellStyle name="一般 11 2 6 3 6" xfId="11488"/>
    <cellStyle name="一般 11 2 6 3_包裝指示書(裏)" xfId="1694"/>
    <cellStyle name="一般 11 2 6 4" xfId="1695"/>
    <cellStyle name="一般 11 2 6 4 2" xfId="1696"/>
    <cellStyle name="一般 11 2 6 4 2 2" xfId="11495"/>
    <cellStyle name="一般 11 2 6 4 3" xfId="11494"/>
    <cellStyle name="一般 11 2 6 5" xfId="1697"/>
    <cellStyle name="一般 11 2 6 5 2" xfId="1698"/>
    <cellStyle name="一般 11 2 6 5 2 2" xfId="11497"/>
    <cellStyle name="一般 11 2 6 5 3" xfId="11496"/>
    <cellStyle name="一般 11 2 6 6" xfId="1699"/>
    <cellStyle name="一般 11 2 6 6 2" xfId="1700"/>
    <cellStyle name="一般 11 2 6 6 2 2" xfId="11499"/>
    <cellStyle name="一般 11 2 6 6 3" xfId="11498"/>
    <cellStyle name="一般 11 2 6 7" xfId="1701"/>
    <cellStyle name="一般 11 2 6 7 2" xfId="1702"/>
    <cellStyle name="一般 11 2 6 7 2 2" xfId="11501"/>
    <cellStyle name="一般 11 2 6 7 3" xfId="11500"/>
    <cellStyle name="一般 11 2 6 8" xfId="1703"/>
    <cellStyle name="一般 11 2 6 8 2" xfId="11502"/>
    <cellStyle name="一般 11 2 6 9" xfId="11478"/>
    <cellStyle name="一般 11 2 6_包裝指示書(裏)" xfId="1704"/>
    <cellStyle name="一般 11 2 7" xfId="1705"/>
    <cellStyle name="一般 11 2 7 2" xfId="1706"/>
    <cellStyle name="一般 11 2 7 2 2" xfId="1707"/>
    <cellStyle name="一般 11 2 7 2 2 2" xfId="1708"/>
    <cellStyle name="一般 11 2 7 2 2 2 2" xfId="1709"/>
    <cellStyle name="一般 11 2 7 2 2 2 2 2" xfId="11507"/>
    <cellStyle name="一般 11 2 7 2 2 2 3" xfId="11506"/>
    <cellStyle name="一般 11 2 7 2 2 3" xfId="1710"/>
    <cellStyle name="一般 11 2 7 2 2 3 2" xfId="11508"/>
    <cellStyle name="一般 11 2 7 2 2 4" xfId="11505"/>
    <cellStyle name="一般 11 2 7 2 2_包裝指示書(裏)" xfId="1711"/>
    <cellStyle name="一般 11 2 7 2 3" xfId="1712"/>
    <cellStyle name="一般 11 2 7 2 3 2" xfId="1713"/>
    <cellStyle name="一般 11 2 7 2 3 2 2" xfId="11510"/>
    <cellStyle name="一般 11 2 7 2 3 3" xfId="11509"/>
    <cellStyle name="一般 11 2 7 2 4" xfId="1714"/>
    <cellStyle name="一般 11 2 7 2 4 2" xfId="11511"/>
    <cellStyle name="一般 11 2 7 2 5" xfId="1715"/>
    <cellStyle name="一般 11 2 7 2 5 2" xfId="11512"/>
    <cellStyle name="一般 11 2 7 2 6" xfId="11504"/>
    <cellStyle name="一般 11 2 7 2_包裝指示書(裏)" xfId="1716"/>
    <cellStyle name="一般 11 2 7 3" xfId="1717"/>
    <cellStyle name="一般 11 2 7 3 2" xfId="1718"/>
    <cellStyle name="一般 11 2 7 3 2 2" xfId="1719"/>
    <cellStyle name="一般 11 2 7 3 2 2 2" xfId="11515"/>
    <cellStyle name="一般 11 2 7 3 2 3" xfId="11514"/>
    <cellStyle name="一般 11 2 7 3 3" xfId="1720"/>
    <cellStyle name="一般 11 2 7 3 3 2" xfId="11516"/>
    <cellStyle name="一般 11 2 7 3 4" xfId="1721"/>
    <cellStyle name="一般 11 2 7 3 4 2" xfId="11517"/>
    <cellStyle name="一般 11 2 7 3 5" xfId="1722"/>
    <cellStyle name="一般 11 2 7 3 5 2" xfId="11518"/>
    <cellStyle name="一般 11 2 7 3 6" xfId="11513"/>
    <cellStyle name="一般 11 2 7 3_包裝指示書(裏)" xfId="1723"/>
    <cellStyle name="一般 11 2 7 4" xfId="1724"/>
    <cellStyle name="一般 11 2 7 4 2" xfId="1725"/>
    <cellStyle name="一般 11 2 7 4 2 2" xfId="11520"/>
    <cellStyle name="一般 11 2 7 4 3" xfId="11519"/>
    <cellStyle name="一般 11 2 7 5" xfId="1726"/>
    <cellStyle name="一般 11 2 7 5 2" xfId="1727"/>
    <cellStyle name="一般 11 2 7 5 2 2" xfId="11522"/>
    <cellStyle name="一般 11 2 7 5 3" xfId="11521"/>
    <cellStyle name="一般 11 2 7 6" xfId="1728"/>
    <cellStyle name="一般 11 2 7 6 2" xfId="1729"/>
    <cellStyle name="一般 11 2 7 6 2 2" xfId="11524"/>
    <cellStyle name="一般 11 2 7 6 3" xfId="11523"/>
    <cellStyle name="一般 11 2 7 7" xfId="1730"/>
    <cellStyle name="一般 11 2 7 7 2" xfId="1731"/>
    <cellStyle name="一般 11 2 7 7 2 2" xfId="11526"/>
    <cellStyle name="一般 11 2 7 7 3" xfId="11525"/>
    <cellStyle name="一般 11 2 7 8" xfId="1732"/>
    <cellStyle name="一般 11 2 7 8 2" xfId="11527"/>
    <cellStyle name="一般 11 2 7 9" xfId="11503"/>
    <cellStyle name="一般 11 2 7_包裝指示書(裏)" xfId="1733"/>
    <cellStyle name="一般 11 2 8" xfId="1734"/>
    <cellStyle name="一般 11 2 8 2" xfId="1735"/>
    <cellStyle name="一般 11 2 8 2 2" xfId="1736"/>
    <cellStyle name="一般 11 2 8 2 2 2" xfId="1737"/>
    <cellStyle name="一般 11 2 8 2 2 2 2" xfId="1738"/>
    <cellStyle name="一般 11 2 8 2 2 2 2 2" xfId="11532"/>
    <cellStyle name="一般 11 2 8 2 2 2 3" xfId="11531"/>
    <cellStyle name="一般 11 2 8 2 2 3" xfId="1739"/>
    <cellStyle name="一般 11 2 8 2 2 3 2" xfId="11533"/>
    <cellStyle name="一般 11 2 8 2 2 4" xfId="11530"/>
    <cellStyle name="一般 11 2 8 2 2_包裝指示書(裏)" xfId="1740"/>
    <cellStyle name="一般 11 2 8 2 3" xfId="1741"/>
    <cellStyle name="一般 11 2 8 2 3 2" xfId="1742"/>
    <cellStyle name="一般 11 2 8 2 3 2 2" xfId="11535"/>
    <cellStyle name="一般 11 2 8 2 3 3" xfId="11534"/>
    <cellStyle name="一般 11 2 8 2 4" xfId="1743"/>
    <cellStyle name="一般 11 2 8 2 4 2" xfId="11536"/>
    <cellStyle name="一般 11 2 8 2 5" xfId="11529"/>
    <cellStyle name="一般 11 2 8 2_包裝指示書(裏)" xfId="1744"/>
    <cellStyle name="一般 11 2 8 3" xfId="1745"/>
    <cellStyle name="一般 11 2 8 3 2" xfId="1746"/>
    <cellStyle name="一般 11 2 8 3 2 2" xfId="1747"/>
    <cellStyle name="一般 11 2 8 3 2 2 2" xfId="11539"/>
    <cellStyle name="一般 11 2 8 3 2 3" xfId="11538"/>
    <cellStyle name="一般 11 2 8 3 3" xfId="1748"/>
    <cellStyle name="一般 11 2 8 3 3 2" xfId="11540"/>
    <cellStyle name="一般 11 2 8 3 4" xfId="11537"/>
    <cellStyle name="一般 11 2 8 3_包裝指示書(裏)" xfId="1749"/>
    <cellStyle name="一般 11 2 8 4" xfId="1750"/>
    <cellStyle name="一般 11 2 8 4 2" xfId="1751"/>
    <cellStyle name="一般 11 2 8 4 2 2" xfId="11542"/>
    <cellStyle name="一般 11 2 8 4 3" xfId="11541"/>
    <cellStyle name="一般 11 2 8 5" xfId="1752"/>
    <cellStyle name="一般 11 2 8 5 2" xfId="1753"/>
    <cellStyle name="一般 11 2 8 5 2 2" xfId="11544"/>
    <cellStyle name="一般 11 2 8 5 3" xfId="11543"/>
    <cellStyle name="一般 11 2 8 6" xfId="1754"/>
    <cellStyle name="一般 11 2 8 6 2" xfId="11545"/>
    <cellStyle name="一般 11 2 8 7" xfId="11528"/>
    <cellStyle name="一般 11 2 8_包裝指示書(裏)" xfId="1755"/>
    <cellStyle name="一般 11 2 9" xfId="1756"/>
    <cellStyle name="一般 11 2 9 2" xfId="1757"/>
    <cellStyle name="一般 11 2 9 2 2" xfId="1758"/>
    <cellStyle name="一般 11 2 9 2 2 2" xfId="1759"/>
    <cellStyle name="一般 11 2 9 2 2 2 2" xfId="1760"/>
    <cellStyle name="一般 11 2 9 2 2 2 2 2" xfId="11550"/>
    <cellStyle name="一般 11 2 9 2 2 2 3" xfId="11549"/>
    <cellStyle name="一般 11 2 9 2 2 3" xfId="1761"/>
    <cellStyle name="一般 11 2 9 2 2 3 2" xfId="11551"/>
    <cellStyle name="一般 11 2 9 2 2 4" xfId="11548"/>
    <cellStyle name="一般 11 2 9 2 2_包裝指示書(裏)" xfId="1762"/>
    <cellStyle name="一般 11 2 9 2 3" xfId="1763"/>
    <cellStyle name="一般 11 2 9 2 3 2" xfId="1764"/>
    <cellStyle name="一般 11 2 9 2 3 2 2" xfId="11553"/>
    <cellStyle name="一般 11 2 9 2 3 3" xfId="11552"/>
    <cellStyle name="一般 11 2 9 2 4" xfId="1765"/>
    <cellStyle name="一般 11 2 9 2 4 2" xfId="11554"/>
    <cellStyle name="一般 11 2 9 2 5" xfId="11547"/>
    <cellStyle name="一般 11 2 9 2_包裝指示書(裏)" xfId="1766"/>
    <cellStyle name="一般 11 2 9 3" xfId="1767"/>
    <cellStyle name="一般 11 2 9 3 2" xfId="1768"/>
    <cellStyle name="一般 11 2 9 3 2 2" xfId="1769"/>
    <cellStyle name="一般 11 2 9 3 2 2 2" xfId="11557"/>
    <cellStyle name="一般 11 2 9 3 2 3" xfId="11556"/>
    <cellStyle name="一般 11 2 9 3 3" xfId="1770"/>
    <cellStyle name="一般 11 2 9 3 3 2" xfId="11558"/>
    <cellStyle name="一般 11 2 9 3 4" xfId="11555"/>
    <cellStyle name="一般 11 2 9 3_包裝指示書(裏)" xfId="1771"/>
    <cellStyle name="一般 11 2 9 4" xfId="1772"/>
    <cellStyle name="一般 11 2 9 4 2" xfId="1773"/>
    <cellStyle name="一般 11 2 9 4 2 2" xfId="11560"/>
    <cellStyle name="一般 11 2 9 4 3" xfId="11559"/>
    <cellStyle name="一般 11 2 9 5" xfId="1774"/>
    <cellStyle name="一般 11 2 9 5 2" xfId="1775"/>
    <cellStyle name="一般 11 2 9 5 2 2" xfId="11562"/>
    <cellStyle name="一般 11 2 9 5 3" xfId="11561"/>
    <cellStyle name="一般 11 2 9 6" xfId="1776"/>
    <cellStyle name="一般 11 2 9 6 2" xfId="11563"/>
    <cellStyle name="一般 11 2 9 7" xfId="11546"/>
    <cellStyle name="一般 11 2 9_包裝指示書(裏)" xfId="1777"/>
    <cellStyle name="一般 11 2_包裝指示書(裏)" xfId="1778"/>
    <cellStyle name="一般 11 20" xfId="1779"/>
    <cellStyle name="一般 11 20 2" xfId="1780"/>
    <cellStyle name="一般 11 20 2 2" xfId="11565"/>
    <cellStyle name="一般 11 20 3" xfId="11564"/>
    <cellStyle name="一般 11 21" xfId="1781"/>
    <cellStyle name="一般 11 21 2" xfId="11566"/>
    <cellStyle name="一般 11 22" xfId="11074"/>
    <cellStyle name="一般 11 3" xfId="1782"/>
    <cellStyle name="一般 11 3 10" xfId="1783"/>
    <cellStyle name="一般 11 3 10 2" xfId="1784"/>
    <cellStyle name="一般 11 3 10 2 2" xfId="1785"/>
    <cellStyle name="一般 11 3 10 2 2 2" xfId="1786"/>
    <cellStyle name="一般 11 3 10 2 2 2 2" xfId="11571"/>
    <cellStyle name="一般 11 3 10 2 2 3" xfId="11570"/>
    <cellStyle name="一般 11 3 10 2 3" xfId="1787"/>
    <cellStyle name="一般 11 3 10 2 3 2" xfId="1788"/>
    <cellStyle name="一般 11 3 10 2 3 2 2" xfId="11573"/>
    <cellStyle name="一般 11 3 10 2 3 3" xfId="11572"/>
    <cellStyle name="一般 11 3 10 2 4" xfId="1789"/>
    <cellStyle name="一般 11 3 10 2 4 2" xfId="11574"/>
    <cellStyle name="一般 11 3 10 2 5" xfId="11569"/>
    <cellStyle name="一般 11 3 10 2_包裝指示書(裏)" xfId="1790"/>
    <cellStyle name="一般 11 3 10 3" xfId="1791"/>
    <cellStyle name="一般 11 3 10 3 2" xfId="1792"/>
    <cellStyle name="一般 11 3 10 3 2 2" xfId="1793"/>
    <cellStyle name="一般 11 3 10 3 2 2 2" xfId="11577"/>
    <cellStyle name="一般 11 3 10 3 2 3" xfId="11576"/>
    <cellStyle name="一般 11 3 10 3 3" xfId="1794"/>
    <cellStyle name="一般 11 3 10 3 3 2" xfId="11578"/>
    <cellStyle name="一般 11 3 10 3 4" xfId="11575"/>
    <cellStyle name="一般 11 3 10 3_包裝指示書(裏)" xfId="1795"/>
    <cellStyle name="一般 11 3 10 4" xfId="1796"/>
    <cellStyle name="一般 11 3 10 4 2" xfId="1797"/>
    <cellStyle name="一般 11 3 10 4 2 2" xfId="11580"/>
    <cellStyle name="一般 11 3 10 4 3" xfId="11579"/>
    <cellStyle name="一般 11 3 10 5" xfId="1798"/>
    <cellStyle name="一般 11 3 10 5 2" xfId="1799"/>
    <cellStyle name="一般 11 3 10 5 2 2" xfId="11582"/>
    <cellStyle name="一般 11 3 10 5 3" xfId="11581"/>
    <cellStyle name="一般 11 3 10 6" xfId="1800"/>
    <cellStyle name="一般 11 3 10 6 2" xfId="11583"/>
    <cellStyle name="一般 11 3 10 7" xfId="11568"/>
    <cellStyle name="一般 11 3 10_包裝指示書(裏)" xfId="1801"/>
    <cellStyle name="一般 11 3 11" xfId="1802"/>
    <cellStyle name="一般 11 3 11 2" xfId="1803"/>
    <cellStyle name="一般 11 3 11 2 2" xfId="1804"/>
    <cellStyle name="一般 11 3 11 2 2 2" xfId="1805"/>
    <cellStyle name="一般 11 3 11 2 2 2 2" xfId="11587"/>
    <cellStyle name="一般 11 3 11 2 2 3" xfId="11586"/>
    <cellStyle name="一般 11 3 11 2 3" xfId="1806"/>
    <cellStyle name="一般 11 3 11 2 3 2" xfId="1807"/>
    <cellStyle name="一般 11 3 11 2 3 2 2" xfId="11589"/>
    <cellStyle name="一般 11 3 11 2 3 3" xfId="11588"/>
    <cellStyle name="一般 11 3 11 2 4" xfId="1808"/>
    <cellStyle name="一般 11 3 11 2 4 2" xfId="11590"/>
    <cellStyle name="一般 11 3 11 2 5" xfId="11585"/>
    <cellStyle name="一般 11 3 11 2_包裝指示書(裏)" xfId="1809"/>
    <cellStyle name="一般 11 3 11 3" xfId="1810"/>
    <cellStyle name="一般 11 3 11 3 2" xfId="1811"/>
    <cellStyle name="一般 11 3 11 3 2 2" xfId="11592"/>
    <cellStyle name="一般 11 3 11 3 3" xfId="11591"/>
    <cellStyle name="一般 11 3 11 4" xfId="1812"/>
    <cellStyle name="一般 11 3 11 4 2" xfId="1813"/>
    <cellStyle name="一般 11 3 11 4 2 2" xfId="11594"/>
    <cellStyle name="一般 11 3 11 4 3" xfId="11593"/>
    <cellStyle name="一般 11 3 11 5" xfId="1814"/>
    <cellStyle name="一般 11 3 11 5 2" xfId="11595"/>
    <cellStyle name="一般 11 3 11 6" xfId="11584"/>
    <cellStyle name="一般 11 3 11_包裝指示書(裏)" xfId="1815"/>
    <cellStyle name="一般 11 3 12" xfId="1816"/>
    <cellStyle name="一般 11 3 12 2" xfId="1817"/>
    <cellStyle name="一般 11 3 12 2 2" xfId="1818"/>
    <cellStyle name="一般 11 3 12 2 2 2" xfId="1819"/>
    <cellStyle name="一般 11 3 12 2 2 2 2" xfId="11599"/>
    <cellStyle name="一般 11 3 12 2 2 3" xfId="11598"/>
    <cellStyle name="一般 11 3 12 2 3" xfId="1820"/>
    <cellStyle name="一般 11 3 12 2 3 2" xfId="1821"/>
    <cellStyle name="一般 11 3 12 2 3 2 2" xfId="11601"/>
    <cellStyle name="一般 11 3 12 2 3 3" xfId="11600"/>
    <cellStyle name="一般 11 3 12 2 4" xfId="1822"/>
    <cellStyle name="一般 11 3 12 2 4 2" xfId="11602"/>
    <cellStyle name="一般 11 3 12 2 5" xfId="11597"/>
    <cellStyle name="一般 11 3 12 2_包裝指示書(裏)" xfId="1823"/>
    <cellStyle name="一般 11 3 12 3" xfId="1824"/>
    <cellStyle name="一般 11 3 12 3 2" xfId="1825"/>
    <cellStyle name="一般 11 3 12 3 2 2" xfId="11604"/>
    <cellStyle name="一般 11 3 12 3 3" xfId="11603"/>
    <cellStyle name="一般 11 3 12 4" xfId="1826"/>
    <cellStyle name="一般 11 3 12 4 2" xfId="1827"/>
    <cellStyle name="一般 11 3 12 4 2 2" xfId="11606"/>
    <cellStyle name="一般 11 3 12 4 3" xfId="11605"/>
    <cellStyle name="一般 11 3 12 5" xfId="1828"/>
    <cellStyle name="一般 11 3 12 5 2" xfId="11607"/>
    <cellStyle name="一般 11 3 12 6" xfId="11596"/>
    <cellStyle name="一般 11 3 12_包裝指示書(裏)" xfId="1829"/>
    <cellStyle name="一般 11 3 13" xfId="1830"/>
    <cellStyle name="一般 11 3 13 2" xfId="1831"/>
    <cellStyle name="一般 11 3 13 2 2" xfId="1832"/>
    <cellStyle name="一般 11 3 13 2 2 2" xfId="11610"/>
    <cellStyle name="一般 11 3 13 2 3" xfId="11609"/>
    <cellStyle name="一般 11 3 13 3" xfId="1833"/>
    <cellStyle name="一般 11 3 13 3 2" xfId="1834"/>
    <cellStyle name="一般 11 3 13 3 2 2" xfId="11612"/>
    <cellStyle name="一般 11 3 13 3 3" xfId="11611"/>
    <cellStyle name="一般 11 3 13 4" xfId="1835"/>
    <cellStyle name="一般 11 3 13 4 2" xfId="11613"/>
    <cellStyle name="一般 11 3 13 5" xfId="11608"/>
    <cellStyle name="一般 11 3 13_包裝指示書(裏)" xfId="1836"/>
    <cellStyle name="一般 11 3 14" xfId="1837"/>
    <cellStyle name="一般 11 3 14 2" xfId="1838"/>
    <cellStyle name="一般 11 3 14 2 2" xfId="11615"/>
    <cellStyle name="一般 11 3 14 3" xfId="11614"/>
    <cellStyle name="一般 11 3 15" xfId="1839"/>
    <cellStyle name="一般 11 3 15 2" xfId="1840"/>
    <cellStyle name="一般 11 3 15 2 2" xfId="11617"/>
    <cellStyle name="一般 11 3 15 3" xfId="11616"/>
    <cellStyle name="一般 11 3 16" xfId="1841"/>
    <cellStyle name="一般 11 3 16 2" xfId="1842"/>
    <cellStyle name="一般 11 3 16 2 2" xfId="11619"/>
    <cellStyle name="一般 11 3 16 3" xfId="11618"/>
    <cellStyle name="一般 11 3 17" xfId="1843"/>
    <cellStyle name="一般 11 3 17 2" xfId="11620"/>
    <cellStyle name="一般 11 3 18" xfId="11567"/>
    <cellStyle name="一般 11 3 2" xfId="1844"/>
    <cellStyle name="一般 11 3 2 10" xfId="1845"/>
    <cellStyle name="一般 11 3 2 10 2" xfId="1846"/>
    <cellStyle name="一般 11 3 2 10 2 2" xfId="1847"/>
    <cellStyle name="一般 11 3 2 10 2 2 2" xfId="1848"/>
    <cellStyle name="一般 11 3 2 10 2 2 2 2" xfId="11625"/>
    <cellStyle name="一般 11 3 2 10 2 2 3" xfId="11624"/>
    <cellStyle name="一般 11 3 2 10 2 3" xfId="1849"/>
    <cellStyle name="一般 11 3 2 10 2 3 2" xfId="1850"/>
    <cellStyle name="一般 11 3 2 10 2 3 2 2" xfId="11627"/>
    <cellStyle name="一般 11 3 2 10 2 3 3" xfId="11626"/>
    <cellStyle name="一般 11 3 2 10 2 4" xfId="1851"/>
    <cellStyle name="一般 11 3 2 10 2 4 2" xfId="11628"/>
    <cellStyle name="一般 11 3 2 10 2 5" xfId="11623"/>
    <cellStyle name="一般 11 3 2 10 2_包裝指示書(裏)" xfId="1852"/>
    <cellStyle name="一般 11 3 2 10 3" xfId="1853"/>
    <cellStyle name="一般 11 3 2 10 3 2" xfId="1854"/>
    <cellStyle name="一般 11 3 2 10 3 2 2" xfId="11630"/>
    <cellStyle name="一般 11 3 2 10 3 3" xfId="11629"/>
    <cellStyle name="一般 11 3 2 10 4" xfId="1855"/>
    <cellStyle name="一般 11 3 2 10 4 2" xfId="1856"/>
    <cellStyle name="一般 11 3 2 10 4 2 2" xfId="11632"/>
    <cellStyle name="一般 11 3 2 10 4 3" xfId="11631"/>
    <cellStyle name="一般 11 3 2 10 5" xfId="1857"/>
    <cellStyle name="一般 11 3 2 10 5 2" xfId="11633"/>
    <cellStyle name="一般 11 3 2 10 6" xfId="11622"/>
    <cellStyle name="一般 11 3 2 10_包裝指示書(裏)" xfId="1858"/>
    <cellStyle name="一般 11 3 2 11" xfId="1859"/>
    <cellStyle name="一般 11 3 2 11 2" xfId="1860"/>
    <cellStyle name="一般 11 3 2 11 2 2" xfId="1861"/>
    <cellStyle name="一般 11 3 2 11 2 2 2" xfId="1862"/>
    <cellStyle name="一般 11 3 2 11 2 2 2 2" xfId="11637"/>
    <cellStyle name="一般 11 3 2 11 2 2 3" xfId="11636"/>
    <cellStyle name="一般 11 3 2 11 2 3" xfId="1863"/>
    <cellStyle name="一般 11 3 2 11 2 3 2" xfId="1864"/>
    <cellStyle name="一般 11 3 2 11 2 3 2 2" xfId="11639"/>
    <cellStyle name="一般 11 3 2 11 2 3 3" xfId="11638"/>
    <cellStyle name="一般 11 3 2 11 2 4" xfId="1865"/>
    <cellStyle name="一般 11 3 2 11 2 4 2" xfId="11640"/>
    <cellStyle name="一般 11 3 2 11 2 5" xfId="11635"/>
    <cellStyle name="一般 11 3 2 11 2_包裝指示書(裏)" xfId="1866"/>
    <cellStyle name="一般 11 3 2 11 3" xfId="1867"/>
    <cellStyle name="一般 11 3 2 11 3 2" xfId="1868"/>
    <cellStyle name="一般 11 3 2 11 3 2 2" xfId="11642"/>
    <cellStyle name="一般 11 3 2 11 3 3" xfId="11641"/>
    <cellStyle name="一般 11 3 2 11 4" xfId="1869"/>
    <cellStyle name="一般 11 3 2 11 4 2" xfId="1870"/>
    <cellStyle name="一般 11 3 2 11 4 2 2" xfId="11644"/>
    <cellStyle name="一般 11 3 2 11 4 3" xfId="11643"/>
    <cellStyle name="一般 11 3 2 11 5" xfId="1871"/>
    <cellStyle name="一般 11 3 2 11 5 2" xfId="11645"/>
    <cellStyle name="一般 11 3 2 11 6" xfId="11634"/>
    <cellStyle name="一般 11 3 2 11_包裝指示書(裏)" xfId="1872"/>
    <cellStyle name="一般 11 3 2 12" xfId="1873"/>
    <cellStyle name="一般 11 3 2 12 2" xfId="1874"/>
    <cellStyle name="一般 11 3 2 12 2 2" xfId="1875"/>
    <cellStyle name="一般 11 3 2 12 2 2 2" xfId="11648"/>
    <cellStyle name="一般 11 3 2 12 2 3" xfId="11647"/>
    <cellStyle name="一般 11 3 2 12 3" xfId="1876"/>
    <cellStyle name="一般 11 3 2 12 3 2" xfId="1877"/>
    <cellStyle name="一般 11 3 2 12 3 2 2" xfId="11650"/>
    <cellStyle name="一般 11 3 2 12 3 3" xfId="11649"/>
    <cellStyle name="一般 11 3 2 12 4" xfId="1878"/>
    <cellStyle name="一般 11 3 2 12 4 2" xfId="11651"/>
    <cellStyle name="一般 11 3 2 12 5" xfId="11646"/>
    <cellStyle name="一般 11 3 2 12_包裝指示書(裏)" xfId="1879"/>
    <cellStyle name="一般 11 3 2 13" xfId="1880"/>
    <cellStyle name="一般 11 3 2 13 2" xfId="1881"/>
    <cellStyle name="一般 11 3 2 13 2 2" xfId="1882"/>
    <cellStyle name="一般 11 3 2 13 2 2 2" xfId="11654"/>
    <cellStyle name="一般 11 3 2 13 2 3" xfId="11653"/>
    <cellStyle name="一般 11 3 2 13 3" xfId="1883"/>
    <cellStyle name="一般 11 3 2 13 3 2" xfId="11655"/>
    <cellStyle name="一般 11 3 2 13 4" xfId="11652"/>
    <cellStyle name="一般 11 3 2 13_包裝指示書(裏)" xfId="1884"/>
    <cellStyle name="一般 11 3 2 14" xfId="1885"/>
    <cellStyle name="一般 11 3 2 14 2" xfId="1886"/>
    <cellStyle name="一般 11 3 2 14 2 2" xfId="11657"/>
    <cellStyle name="一般 11 3 2 14 3" xfId="11656"/>
    <cellStyle name="一般 11 3 2 15" xfId="1887"/>
    <cellStyle name="一般 11 3 2 15 2" xfId="1888"/>
    <cellStyle name="一般 11 3 2 15 2 2" xfId="11659"/>
    <cellStyle name="一般 11 3 2 15 3" xfId="11658"/>
    <cellStyle name="一般 11 3 2 16" xfId="1889"/>
    <cellStyle name="一般 11 3 2 16 2" xfId="11660"/>
    <cellStyle name="一般 11 3 2 17" xfId="11621"/>
    <cellStyle name="一般 11 3 2 2" xfId="1890"/>
    <cellStyle name="一般 11 3 2 2 10" xfId="1891"/>
    <cellStyle name="一般 11 3 2 2 10 2" xfId="1892"/>
    <cellStyle name="一般 11 3 2 2 10 2 2" xfId="1893"/>
    <cellStyle name="一般 11 3 2 2 10 2 2 2" xfId="1894"/>
    <cellStyle name="一般 11 3 2 2 10 2 2 2 2" xfId="11665"/>
    <cellStyle name="一般 11 3 2 2 10 2 2 3" xfId="11664"/>
    <cellStyle name="一般 11 3 2 2 10 2 3" xfId="1895"/>
    <cellStyle name="一般 11 3 2 2 10 2 3 2" xfId="1896"/>
    <cellStyle name="一般 11 3 2 2 10 2 3 2 2" xfId="11667"/>
    <cellStyle name="一般 11 3 2 2 10 2 3 3" xfId="11666"/>
    <cellStyle name="一般 11 3 2 2 10 2 4" xfId="1897"/>
    <cellStyle name="一般 11 3 2 2 10 2 4 2" xfId="11668"/>
    <cellStyle name="一般 11 3 2 2 10 2 5" xfId="11663"/>
    <cellStyle name="一般 11 3 2 2 10 2_包裝指示書(裏)" xfId="1898"/>
    <cellStyle name="一般 11 3 2 2 10 3" xfId="1899"/>
    <cellStyle name="一般 11 3 2 2 10 3 2" xfId="1900"/>
    <cellStyle name="一般 11 3 2 2 10 3 2 2" xfId="11670"/>
    <cellStyle name="一般 11 3 2 2 10 3 3" xfId="11669"/>
    <cellStyle name="一般 11 3 2 2 10 4" xfId="1901"/>
    <cellStyle name="一般 11 3 2 2 10 4 2" xfId="1902"/>
    <cellStyle name="一般 11 3 2 2 10 4 2 2" xfId="11672"/>
    <cellStyle name="一般 11 3 2 2 10 4 3" xfId="11671"/>
    <cellStyle name="一般 11 3 2 2 10 5" xfId="1903"/>
    <cellStyle name="一般 11 3 2 2 10 5 2" xfId="11673"/>
    <cellStyle name="一般 11 3 2 2 10 6" xfId="11662"/>
    <cellStyle name="一般 11 3 2 2 10_包裝指示書(裏)" xfId="1904"/>
    <cellStyle name="一般 11 3 2 2 11" xfId="1905"/>
    <cellStyle name="一般 11 3 2 2 11 2" xfId="1906"/>
    <cellStyle name="一般 11 3 2 2 11 2 2" xfId="1907"/>
    <cellStyle name="一般 11 3 2 2 11 2 2 2" xfId="11676"/>
    <cellStyle name="一般 11 3 2 2 11 2 3" xfId="11675"/>
    <cellStyle name="一般 11 3 2 2 11 3" xfId="1908"/>
    <cellStyle name="一般 11 3 2 2 11 3 2" xfId="1909"/>
    <cellStyle name="一般 11 3 2 2 11 3 2 2" xfId="11678"/>
    <cellStyle name="一般 11 3 2 2 11 3 3" xfId="11677"/>
    <cellStyle name="一般 11 3 2 2 11 4" xfId="1910"/>
    <cellStyle name="一般 11 3 2 2 11 4 2" xfId="11679"/>
    <cellStyle name="一般 11 3 2 2 11 5" xfId="11674"/>
    <cellStyle name="一般 11 3 2 2 11_包裝指示書(裏)" xfId="1911"/>
    <cellStyle name="一般 11 3 2 2 12" xfId="1912"/>
    <cellStyle name="一般 11 3 2 2 12 2" xfId="1913"/>
    <cellStyle name="一般 11 3 2 2 12 2 2" xfId="1914"/>
    <cellStyle name="一般 11 3 2 2 12 2 2 2" xfId="11682"/>
    <cellStyle name="一般 11 3 2 2 12 2 3" xfId="11681"/>
    <cellStyle name="一般 11 3 2 2 12 3" xfId="1915"/>
    <cellStyle name="一般 11 3 2 2 12 3 2" xfId="11683"/>
    <cellStyle name="一般 11 3 2 2 12 4" xfId="11680"/>
    <cellStyle name="一般 11 3 2 2 12_包裝指示書(裏)" xfId="1916"/>
    <cellStyle name="一般 11 3 2 2 13" xfId="1917"/>
    <cellStyle name="一般 11 3 2 2 13 2" xfId="1918"/>
    <cellStyle name="一般 11 3 2 2 13 2 2" xfId="11685"/>
    <cellStyle name="一般 11 3 2 2 13 3" xfId="11684"/>
    <cellStyle name="一般 11 3 2 2 14" xfId="1919"/>
    <cellStyle name="一般 11 3 2 2 14 2" xfId="11686"/>
    <cellStyle name="一般 11 3 2 2 15" xfId="1920"/>
    <cellStyle name="一般 11 3 2 2 15 2" xfId="11687"/>
    <cellStyle name="一般 11 3 2 2 16" xfId="11661"/>
    <cellStyle name="一般 11 3 2 2 2" xfId="1921"/>
    <cellStyle name="一般 11 3 2 2 2 10" xfId="11688"/>
    <cellStyle name="一般 11 3 2 2 2 2" xfId="1922"/>
    <cellStyle name="一般 11 3 2 2 2 2 2" xfId="1923"/>
    <cellStyle name="一般 11 3 2 2 2 2 2 2" xfId="1924"/>
    <cellStyle name="一般 11 3 2 2 2 2 2 2 2" xfId="1925"/>
    <cellStyle name="一般 11 3 2 2 2 2 2 2 2 2" xfId="11692"/>
    <cellStyle name="一般 11 3 2 2 2 2 2 2 3" xfId="11691"/>
    <cellStyle name="一般 11 3 2 2 2 2 2 3" xfId="1926"/>
    <cellStyle name="一般 11 3 2 2 2 2 2 3 2" xfId="11693"/>
    <cellStyle name="一般 11 3 2 2 2 2 2 4" xfId="11690"/>
    <cellStyle name="一般 11 3 2 2 2 2 2_包裝指示書(裏)" xfId="1927"/>
    <cellStyle name="一般 11 3 2 2 2 2 3" xfId="1928"/>
    <cellStyle name="一般 11 3 2 2 2 2 3 2" xfId="1929"/>
    <cellStyle name="一般 11 3 2 2 2 2 3 2 2" xfId="11695"/>
    <cellStyle name="一般 11 3 2 2 2 2 3 3" xfId="11694"/>
    <cellStyle name="一般 11 3 2 2 2 2 4" xfId="1930"/>
    <cellStyle name="一般 11 3 2 2 2 2 4 2" xfId="1931"/>
    <cellStyle name="一般 11 3 2 2 2 2 4 2 2" xfId="11697"/>
    <cellStyle name="一般 11 3 2 2 2 2 4 3" xfId="11696"/>
    <cellStyle name="一般 11 3 2 2 2 2 5" xfId="1932"/>
    <cellStyle name="一般 11 3 2 2 2 2 5 2" xfId="1933"/>
    <cellStyle name="一般 11 3 2 2 2 2 5 2 2" xfId="11699"/>
    <cellStyle name="一般 11 3 2 2 2 2 5 3" xfId="11698"/>
    <cellStyle name="一般 11 3 2 2 2 2 6" xfId="1934"/>
    <cellStyle name="一般 11 3 2 2 2 2 6 2" xfId="1935"/>
    <cellStyle name="一般 11 3 2 2 2 2 6 2 2" xfId="11701"/>
    <cellStyle name="一般 11 3 2 2 2 2 6 3" xfId="11700"/>
    <cellStyle name="一般 11 3 2 2 2 2 7" xfId="1936"/>
    <cellStyle name="一般 11 3 2 2 2 2 7 2" xfId="1937"/>
    <cellStyle name="一般 11 3 2 2 2 2 7 2 2" xfId="11703"/>
    <cellStyle name="一般 11 3 2 2 2 2 7 3" xfId="11702"/>
    <cellStyle name="一般 11 3 2 2 2 2 8" xfId="1938"/>
    <cellStyle name="一般 11 3 2 2 2 2 8 2" xfId="11704"/>
    <cellStyle name="一般 11 3 2 2 2 2 9" xfId="11689"/>
    <cellStyle name="一般 11 3 2 2 2 2_包裝指示書(裏)" xfId="1939"/>
    <cellStyle name="一般 11 3 2 2 2 3" xfId="1940"/>
    <cellStyle name="一般 11 3 2 2 2 3 2" xfId="1941"/>
    <cellStyle name="一般 11 3 2 2 2 3 2 2" xfId="1942"/>
    <cellStyle name="一般 11 3 2 2 2 3 2 2 2" xfId="11707"/>
    <cellStyle name="一般 11 3 2 2 2 3 2 3" xfId="11706"/>
    <cellStyle name="一般 11 3 2 2 2 3 3" xfId="1943"/>
    <cellStyle name="一般 11 3 2 2 2 3 3 2" xfId="11708"/>
    <cellStyle name="一般 11 3 2 2 2 3 4" xfId="1944"/>
    <cellStyle name="一般 11 3 2 2 2 3 4 2" xfId="11709"/>
    <cellStyle name="一般 11 3 2 2 2 3 5" xfId="1945"/>
    <cellStyle name="一般 11 3 2 2 2 3 5 2" xfId="11710"/>
    <cellStyle name="一般 11 3 2 2 2 3 6" xfId="11705"/>
    <cellStyle name="一般 11 3 2 2 2 3_包裝指示書(裏)" xfId="1946"/>
    <cellStyle name="一般 11 3 2 2 2 4" xfId="1947"/>
    <cellStyle name="一般 11 3 2 2 2 4 2" xfId="1948"/>
    <cellStyle name="一般 11 3 2 2 2 4 2 2" xfId="11712"/>
    <cellStyle name="一般 11 3 2 2 2 4 3" xfId="11711"/>
    <cellStyle name="一般 11 3 2 2 2 5" xfId="1949"/>
    <cellStyle name="一般 11 3 2 2 2 5 2" xfId="1950"/>
    <cellStyle name="一般 11 3 2 2 2 5 2 2" xfId="11714"/>
    <cellStyle name="一般 11 3 2 2 2 5 3" xfId="11713"/>
    <cellStyle name="一般 11 3 2 2 2 6" xfId="1951"/>
    <cellStyle name="一般 11 3 2 2 2 6 2" xfId="1952"/>
    <cellStyle name="一般 11 3 2 2 2 6 2 2" xfId="11716"/>
    <cellStyle name="一般 11 3 2 2 2 6 3" xfId="11715"/>
    <cellStyle name="一般 11 3 2 2 2 7" xfId="1953"/>
    <cellStyle name="一般 11 3 2 2 2 7 2" xfId="1954"/>
    <cellStyle name="一般 11 3 2 2 2 7 2 2" xfId="11718"/>
    <cellStyle name="一般 11 3 2 2 2 7 3" xfId="11717"/>
    <cellStyle name="一般 11 3 2 2 2 8" xfId="1955"/>
    <cellStyle name="一般 11 3 2 2 2 8 2" xfId="1956"/>
    <cellStyle name="一般 11 3 2 2 2 8 2 2" xfId="11720"/>
    <cellStyle name="一般 11 3 2 2 2 8 3" xfId="11719"/>
    <cellStyle name="一般 11 3 2 2 2 9" xfId="1957"/>
    <cellStyle name="一般 11 3 2 2 2 9 2" xfId="11721"/>
    <cellStyle name="一般 11 3 2 2 2_包裝指示書(裏)" xfId="1958"/>
    <cellStyle name="一般 11 3 2 2 3" xfId="1959"/>
    <cellStyle name="一般 11 3 2 2 3 10" xfId="11722"/>
    <cellStyle name="一般 11 3 2 2 3 2" xfId="1960"/>
    <cellStyle name="一般 11 3 2 2 3 2 2" xfId="1961"/>
    <cellStyle name="一般 11 3 2 2 3 2 2 2" xfId="1962"/>
    <cellStyle name="一般 11 3 2 2 3 2 2 2 2" xfId="1963"/>
    <cellStyle name="一般 11 3 2 2 3 2 2 2 2 2" xfId="11726"/>
    <cellStyle name="一般 11 3 2 2 3 2 2 2 3" xfId="11725"/>
    <cellStyle name="一般 11 3 2 2 3 2 2 3" xfId="1964"/>
    <cellStyle name="一般 11 3 2 2 3 2 2 3 2" xfId="11727"/>
    <cellStyle name="一般 11 3 2 2 3 2 2 4" xfId="11724"/>
    <cellStyle name="一般 11 3 2 2 3 2 2_包裝指示書(裏)" xfId="1965"/>
    <cellStyle name="一般 11 3 2 2 3 2 3" xfId="1966"/>
    <cellStyle name="一般 11 3 2 2 3 2 3 2" xfId="1967"/>
    <cellStyle name="一般 11 3 2 2 3 2 3 2 2" xfId="11729"/>
    <cellStyle name="一般 11 3 2 2 3 2 3 3" xfId="11728"/>
    <cellStyle name="一般 11 3 2 2 3 2 4" xfId="1968"/>
    <cellStyle name="一般 11 3 2 2 3 2 4 2" xfId="1969"/>
    <cellStyle name="一般 11 3 2 2 3 2 4 2 2" xfId="11731"/>
    <cellStyle name="一般 11 3 2 2 3 2 4 3" xfId="11730"/>
    <cellStyle name="一般 11 3 2 2 3 2 5" xfId="1970"/>
    <cellStyle name="一般 11 3 2 2 3 2 5 2" xfId="1971"/>
    <cellStyle name="一般 11 3 2 2 3 2 5 2 2" xfId="11733"/>
    <cellStyle name="一般 11 3 2 2 3 2 5 3" xfId="11732"/>
    <cellStyle name="一般 11 3 2 2 3 2 6" xfId="1972"/>
    <cellStyle name="一般 11 3 2 2 3 2 6 2" xfId="1973"/>
    <cellStyle name="一般 11 3 2 2 3 2 6 2 2" xfId="11735"/>
    <cellStyle name="一般 11 3 2 2 3 2 6 3" xfId="11734"/>
    <cellStyle name="一般 11 3 2 2 3 2 7" xfId="1974"/>
    <cellStyle name="一般 11 3 2 2 3 2 7 2" xfId="1975"/>
    <cellStyle name="一般 11 3 2 2 3 2 7 2 2" xfId="11737"/>
    <cellStyle name="一般 11 3 2 2 3 2 7 3" xfId="11736"/>
    <cellStyle name="一般 11 3 2 2 3 2 8" xfId="1976"/>
    <cellStyle name="一般 11 3 2 2 3 2 8 2" xfId="11738"/>
    <cellStyle name="一般 11 3 2 2 3 2 9" xfId="11723"/>
    <cellStyle name="一般 11 3 2 2 3 2_包裝指示書(裏)" xfId="1977"/>
    <cellStyle name="一般 11 3 2 2 3 3" xfId="1978"/>
    <cellStyle name="一般 11 3 2 2 3 3 2" xfId="1979"/>
    <cellStyle name="一般 11 3 2 2 3 3 2 2" xfId="1980"/>
    <cellStyle name="一般 11 3 2 2 3 3 2 2 2" xfId="11741"/>
    <cellStyle name="一般 11 3 2 2 3 3 2 3" xfId="11740"/>
    <cellStyle name="一般 11 3 2 2 3 3 3" xfId="1981"/>
    <cellStyle name="一般 11 3 2 2 3 3 3 2" xfId="11742"/>
    <cellStyle name="一般 11 3 2 2 3 3 4" xfId="1982"/>
    <cellStyle name="一般 11 3 2 2 3 3 4 2" xfId="11743"/>
    <cellStyle name="一般 11 3 2 2 3 3 5" xfId="1983"/>
    <cellStyle name="一般 11 3 2 2 3 3 5 2" xfId="11744"/>
    <cellStyle name="一般 11 3 2 2 3 3 6" xfId="11739"/>
    <cellStyle name="一般 11 3 2 2 3 3_包裝指示書(裏)" xfId="1984"/>
    <cellStyle name="一般 11 3 2 2 3 4" xfId="1985"/>
    <cellStyle name="一般 11 3 2 2 3 4 2" xfId="1986"/>
    <cellStyle name="一般 11 3 2 2 3 4 2 2" xfId="11746"/>
    <cellStyle name="一般 11 3 2 2 3 4 3" xfId="11745"/>
    <cellStyle name="一般 11 3 2 2 3 5" xfId="1987"/>
    <cellStyle name="一般 11 3 2 2 3 5 2" xfId="1988"/>
    <cellStyle name="一般 11 3 2 2 3 5 2 2" xfId="11748"/>
    <cellStyle name="一般 11 3 2 2 3 5 3" xfId="11747"/>
    <cellStyle name="一般 11 3 2 2 3 6" xfId="1989"/>
    <cellStyle name="一般 11 3 2 2 3 6 2" xfId="1990"/>
    <cellStyle name="一般 11 3 2 2 3 6 2 2" xfId="11750"/>
    <cellStyle name="一般 11 3 2 2 3 6 3" xfId="11749"/>
    <cellStyle name="一般 11 3 2 2 3 7" xfId="1991"/>
    <cellStyle name="一般 11 3 2 2 3 7 2" xfId="1992"/>
    <cellStyle name="一般 11 3 2 2 3 7 2 2" xfId="11752"/>
    <cellStyle name="一般 11 3 2 2 3 7 3" xfId="11751"/>
    <cellStyle name="一般 11 3 2 2 3 8" xfId="1993"/>
    <cellStyle name="一般 11 3 2 2 3 8 2" xfId="1994"/>
    <cellStyle name="一般 11 3 2 2 3 8 2 2" xfId="11754"/>
    <cellStyle name="一般 11 3 2 2 3 8 3" xfId="11753"/>
    <cellStyle name="一般 11 3 2 2 3 9" xfId="1995"/>
    <cellStyle name="一般 11 3 2 2 3 9 2" xfId="11755"/>
    <cellStyle name="一般 11 3 2 2 3_包裝指示書(裏)" xfId="1996"/>
    <cellStyle name="一般 11 3 2 2 4" xfId="1997"/>
    <cellStyle name="一般 11 3 2 2 4 10" xfId="11756"/>
    <cellStyle name="一般 11 3 2 2 4 2" xfId="1998"/>
    <cellStyle name="一般 11 3 2 2 4 2 2" xfId="1999"/>
    <cellStyle name="一般 11 3 2 2 4 2 2 2" xfId="2000"/>
    <cellStyle name="一般 11 3 2 2 4 2 2 2 2" xfId="2001"/>
    <cellStyle name="一般 11 3 2 2 4 2 2 2 2 2" xfId="11760"/>
    <cellStyle name="一般 11 3 2 2 4 2 2 2 3" xfId="11759"/>
    <cellStyle name="一般 11 3 2 2 4 2 2 3" xfId="2002"/>
    <cellStyle name="一般 11 3 2 2 4 2 2 3 2" xfId="11761"/>
    <cellStyle name="一般 11 3 2 2 4 2 2 4" xfId="11758"/>
    <cellStyle name="一般 11 3 2 2 4 2 2_包裝指示書(裏)" xfId="2003"/>
    <cellStyle name="一般 11 3 2 2 4 2 3" xfId="2004"/>
    <cellStyle name="一般 11 3 2 2 4 2 3 2" xfId="2005"/>
    <cellStyle name="一般 11 3 2 2 4 2 3 2 2" xfId="11763"/>
    <cellStyle name="一般 11 3 2 2 4 2 3 3" xfId="11762"/>
    <cellStyle name="一般 11 3 2 2 4 2 4" xfId="2006"/>
    <cellStyle name="一般 11 3 2 2 4 2 4 2" xfId="2007"/>
    <cellStyle name="一般 11 3 2 2 4 2 4 2 2" xfId="11765"/>
    <cellStyle name="一般 11 3 2 2 4 2 4 3" xfId="11764"/>
    <cellStyle name="一般 11 3 2 2 4 2 5" xfId="2008"/>
    <cellStyle name="一般 11 3 2 2 4 2 5 2" xfId="2009"/>
    <cellStyle name="一般 11 3 2 2 4 2 5 2 2" xfId="11767"/>
    <cellStyle name="一般 11 3 2 2 4 2 5 3" xfId="11766"/>
    <cellStyle name="一般 11 3 2 2 4 2 6" xfId="2010"/>
    <cellStyle name="一般 11 3 2 2 4 2 6 2" xfId="2011"/>
    <cellStyle name="一般 11 3 2 2 4 2 6 2 2" xfId="11769"/>
    <cellStyle name="一般 11 3 2 2 4 2 6 3" xfId="11768"/>
    <cellStyle name="一般 11 3 2 2 4 2 7" xfId="2012"/>
    <cellStyle name="一般 11 3 2 2 4 2 7 2" xfId="2013"/>
    <cellStyle name="一般 11 3 2 2 4 2 7 2 2" xfId="11771"/>
    <cellStyle name="一般 11 3 2 2 4 2 7 3" xfId="11770"/>
    <cellStyle name="一般 11 3 2 2 4 2 8" xfId="2014"/>
    <cellStyle name="一般 11 3 2 2 4 2 8 2" xfId="11772"/>
    <cellStyle name="一般 11 3 2 2 4 2 9" xfId="11757"/>
    <cellStyle name="一般 11 3 2 2 4 2_包裝指示書(裏)" xfId="2015"/>
    <cellStyle name="一般 11 3 2 2 4 3" xfId="2016"/>
    <cellStyle name="一般 11 3 2 2 4 3 2" xfId="2017"/>
    <cellStyle name="一般 11 3 2 2 4 3 2 2" xfId="2018"/>
    <cellStyle name="一般 11 3 2 2 4 3 2 2 2" xfId="11775"/>
    <cellStyle name="一般 11 3 2 2 4 3 2 3" xfId="11774"/>
    <cellStyle name="一般 11 3 2 2 4 3 3" xfId="2019"/>
    <cellStyle name="一般 11 3 2 2 4 3 3 2" xfId="11776"/>
    <cellStyle name="一般 11 3 2 2 4 3 4" xfId="2020"/>
    <cellStyle name="一般 11 3 2 2 4 3 4 2" xfId="11777"/>
    <cellStyle name="一般 11 3 2 2 4 3 5" xfId="2021"/>
    <cellStyle name="一般 11 3 2 2 4 3 5 2" xfId="11778"/>
    <cellStyle name="一般 11 3 2 2 4 3 6" xfId="11773"/>
    <cellStyle name="一般 11 3 2 2 4 3_包裝指示書(裏)" xfId="2022"/>
    <cellStyle name="一般 11 3 2 2 4 4" xfId="2023"/>
    <cellStyle name="一般 11 3 2 2 4 4 2" xfId="2024"/>
    <cellStyle name="一般 11 3 2 2 4 4 2 2" xfId="11780"/>
    <cellStyle name="一般 11 3 2 2 4 4 3" xfId="11779"/>
    <cellStyle name="一般 11 3 2 2 4 5" xfId="2025"/>
    <cellStyle name="一般 11 3 2 2 4 5 2" xfId="2026"/>
    <cellStyle name="一般 11 3 2 2 4 5 2 2" xfId="11782"/>
    <cellStyle name="一般 11 3 2 2 4 5 3" xfId="11781"/>
    <cellStyle name="一般 11 3 2 2 4 6" xfId="2027"/>
    <cellStyle name="一般 11 3 2 2 4 6 2" xfId="2028"/>
    <cellStyle name="一般 11 3 2 2 4 6 2 2" xfId="11784"/>
    <cellStyle name="一般 11 3 2 2 4 6 3" xfId="11783"/>
    <cellStyle name="一般 11 3 2 2 4 7" xfId="2029"/>
    <cellStyle name="一般 11 3 2 2 4 7 2" xfId="2030"/>
    <cellStyle name="一般 11 3 2 2 4 7 2 2" xfId="11786"/>
    <cellStyle name="一般 11 3 2 2 4 7 3" xfId="11785"/>
    <cellStyle name="一般 11 3 2 2 4 8" xfId="2031"/>
    <cellStyle name="一般 11 3 2 2 4 8 2" xfId="2032"/>
    <cellStyle name="一般 11 3 2 2 4 8 2 2" xfId="11788"/>
    <cellStyle name="一般 11 3 2 2 4 8 3" xfId="11787"/>
    <cellStyle name="一般 11 3 2 2 4 9" xfId="2033"/>
    <cellStyle name="一般 11 3 2 2 4 9 2" xfId="11789"/>
    <cellStyle name="一般 11 3 2 2 4_包裝指示書(裏)" xfId="2034"/>
    <cellStyle name="一般 11 3 2 2 5" xfId="2035"/>
    <cellStyle name="一般 11 3 2 2 5 2" xfId="2036"/>
    <cellStyle name="一般 11 3 2 2 5 2 2" xfId="2037"/>
    <cellStyle name="一般 11 3 2 2 5 2 2 2" xfId="2038"/>
    <cellStyle name="一般 11 3 2 2 5 2 2 2 2" xfId="2039"/>
    <cellStyle name="一般 11 3 2 2 5 2 2 2 2 2" xfId="11794"/>
    <cellStyle name="一般 11 3 2 2 5 2 2 2 3" xfId="11793"/>
    <cellStyle name="一般 11 3 2 2 5 2 2 3" xfId="2040"/>
    <cellStyle name="一般 11 3 2 2 5 2 2 3 2" xfId="11795"/>
    <cellStyle name="一般 11 3 2 2 5 2 2 4" xfId="11792"/>
    <cellStyle name="一般 11 3 2 2 5 2 2_包裝指示書(裏)" xfId="2041"/>
    <cellStyle name="一般 11 3 2 2 5 2 3" xfId="2042"/>
    <cellStyle name="一般 11 3 2 2 5 2 3 2" xfId="2043"/>
    <cellStyle name="一般 11 3 2 2 5 2 3 2 2" xfId="11797"/>
    <cellStyle name="一般 11 3 2 2 5 2 3 3" xfId="11796"/>
    <cellStyle name="一般 11 3 2 2 5 2 4" xfId="2044"/>
    <cellStyle name="一般 11 3 2 2 5 2 4 2" xfId="11798"/>
    <cellStyle name="一般 11 3 2 2 5 2 5" xfId="2045"/>
    <cellStyle name="一般 11 3 2 2 5 2 5 2" xfId="11799"/>
    <cellStyle name="一般 11 3 2 2 5 2 6" xfId="11791"/>
    <cellStyle name="一般 11 3 2 2 5 2_包裝指示書(裏)" xfId="2046"/>
    <cellStyle name="一般 11 3 2 2 5 3" xfId="2047"/>
    <cellStyle name="一般 11 3 2 2 5 3 2" xfId="2048"/>
    <cellStyle name="一般 11 3 2 2 5 3 2 2" xfId="2049"/>
    <cellStyle name="一般 11 3 2 2 5 3 2 2 2" xfId="11802"/>
    <cellStyle name="一般 11 3 2 2 5 3 2 3" xfId="11801"/>
    <cellStyle name="一般 11 3 2 2 5 3 3" xfId="2050"/>
    <cellStyle name="一般 11 3 2 2 5 3 3 2" xfId="11803"/>
    <cellStyle name="一般 11 3 2 2 5 3 4" xfId="2051"/>
    <cellStyle name="一般 11 3 2 2 5 3 4 2" xfId="11804"/>
    <cellStyle name="一般 11 3 2 2 5 3 5" xfId="2052"/>
    <cellStyle name="一般 11 3 2 2 5 3 5 2" xfId="11805"/>
    <cellStyle name="一般 11 3 2 2 5 3 6" xfId="11800"/>
    <cellStyle name="一般 11 3 2 2 5 3_包裝指示書(裏)" xfId="2053"/>
    <cellStyle name="一般 11 3 2 2 5 4" xfId="2054"/>
    <cellStyle name="一般 11 3 2 2 5 4 2" xfId="2055"/>
    <cellStyle name="一般 11 3 2 2 5 4 2 2" xfId="11807"/>
    <cellStyle name="一般 11 3 2 2 5 4 3" xfId="11806"/>
    <cellStyle name="一般 11 3 2 2 5 5" xfId="2056"/>
    <cellStyle name="一般 11 3 2 2 5 5 2" xfId="2057"/>
    <cellStyle name="一般 11 3 2 2 5 5 2 2" xfId="11809"/>
    <cellStyle name="一般 11 3 2 2 5 5 3" xfId="11808"/>
    <cellStyle name="一般 11 3 2 2 5 6" xfId="2058"/>
    <cellStyle name="一般 11 3 2 2 5 6 2" xfId="2059"/>
    <cellStyle name="一般 11 3 2 2 5 6 2 2" xfId="11811"/>
    <cellStyle name="一般 11 3 2 2 5 6 3" xfId="11810"/>
    <cellStyle name="一般 11 3 2 2 5 7" xfId="2060"/>
    <cellStyle name="一般 11 3 2 2 5 7 2" xfId="2061"/>
    <cellStyle name="一般 11 3 2 2 5 7 2 2" xfId="11813"/>
    <cellStyle name="一般 11 3 2 2 5 7 3" xfId="11812"/>
    <cellStyle name="一般 11 3 2 2 5 8" xfId="2062"/>
    <cellStyle name="一般 11 3 2 2 5 8 2" xfId="11814"/>
    <cellStyle name="一般 11 3 2 2 5 9" xfId="11790"/>
    <cellStyle name="一般 11 3 2 2 5_包裝指示書(裏)" xfId="2063"/>
    <cellStyle name="一般 11 3 2 2 6" xfId="2064"/>
    <cellStyle name="一般 11 3 2 2 6 2" xfId="2065"/>
    <cellStyle name="一般 11 3 2 2 6 2 2" xfId="2066"/>
    <cellStyle name="一般 11 3 2 2 6 2 2 2" xfId="2067"/>
    <cellStyle name="一般 11 3 2 2 6 2 2 2 2" xfId="2068"/>
    <cellStyle name="一般 11 3 2 2 6 2 2 2 2 2" xfId="11819"/>
    <cellStyle name="一般 11 3 2 2 6 2 2 2 3" xfId="11818"/>
    <cellStyle name="一般 11 3 2 2 6 2 2 3" xfId="2069"/>
    <cellStyle name="一般 11 3 2 2 6 2 2 3 2" xfId="11820"/>
    <cellStyle name="一般 11 3 2 2 6 2 2 4" xfId="11817"/>
    <cellStyle name="一般 11 3 2 2 6 2 2_包裝指示書(裏)" xfId="2070"/>
    <cellStyle name="一般 11 3 2 2 6 2 3" xfId="2071"/>
    <cellStyle name="一般 11 3 2 2 6 2 3 2" xfId="2072"/>
    <cellStyle name="一般 11 3 2 2 6 2 3 2 2" xfId="11822"/>
    <cellStyle name="一般 11 3 2 2 6 2 3 3" xfId="11821"/>
    <cellStyle name="一般 11 3 2 2 6 2 4" xfId="2073"/>
    <cellStyle name="一般 11 3 2 2 6 2 4 2" xfId="11823"/>
    <cellStyle name="一般 11 3 2 2 6 2 5" xfId="2074"/>
    <cellStyle name="一般 11 3 2 2 6 2 5 2" xfId="11824"/>
    <cellStyle name="一般 11 3 2 2 6 2 6" xfId="11816"/>
    <cellStyle name="一般 11 3 2 2 6 2_包裝指示書(裏)" xfId="2075"/>
    <cellStyle name="一般 11 3 2 2 6 3" xfId="2076"/>
    <cellStyle name="一般 11 3 2 2 6 3 2" xfId="2077"/>
    <cellStyle name="一般 11 3 2 2 6 3 2 2" xfId="2078"/>
    <cellStyle name="一般 11 3 2 2 6 3 2 2 2" xfId="11827"/>
    <cellStyle name="一般 11 3 2 2 6 3 2 3" xfId="11826"/>
    <cellStyle name="一般 11 3 2 2 6 3 3" xfId="2079"/>
    <cellStyle name="一般 11 3 2 2 6 3 3 2" xfId="11828"/>
    <cellStyle name="一般 11 3 2 2 6 3 4" xfId="2080"/>
    <cellStyle name="一般 11 3 2 2 6 3 4 2" xfId="11829"/>
    <cellStyle name="一般 11 3 2 2 6 3 5" xfId="2081"/>
    <cellStyle name="一般 11 3 2 2 6 3 5 2" xfId="11830"/>
    <cellStyle name="一般 11 3 2 2 6 3 6" xfId="11825"/>
    <cellStyle name="一般 11 3 2 2 6 3_包裝指示書(裏)" xfId="2082"/>
    <cellStyle name="一般 11 3 2 2 6 4" xfId="2083"/>
    <cellStyle name="一般 11 3 2 2 6 4 2" xfId="2084"/>
    <cellStyle name="一般 11 3 2 2 6 4 2 2" xfId="11832"/>
    <cellStyle name="一般 11 3 2 2 6 4 3" xfId="11831"/>
    <cellStyle name="一般 11 3 2 2 6 5" xfId="2085"/>
    <cellStyle name="一般 11 3 2 2 6 5 2" xfId="2086"/>
    <cellStyle name="一般 11 3 2 2 6 5 2 2" xfId="11834"/>
    <cellStyle name="一般 11 3 2 2 6 5 3" xfId="11833"/>
    <cellStyle name="一般 11 3 2 2 6 6" xfId="2087"/>
    <cellStyle name="一般 11 3 2 2 6 6 2" xfId="2088"/>
    <cellStyle name="一般 11 3 2 2 6 6 2 2" xfId="11836"/>
    <cellStyle name="一般 11 3 2 2 6 6 3" xfId="11835"/>
    <cellStyle name="一般 11 3 2 2 6 7" xfId="2089"/>
    <cellStyle name="一般 11 3 2 2 6 7 2" xfId="2090"/>
    <cellStyle name="一般 11 3 2 2 6 7 2 2" xfId="11838"/>
    <cellStyle name="一般 11 3 2 2 6 7 3" xfId="11837"/>
    <cellStyle name="一般 11 3 2 2 6 8" xfId="2091"/>
    <cellStyle name="一般 11 3 2 2 6 8 2" xfId="11839"/>
    <cellStyle name="一般 11 3 2 2 6 9" xfId="11815"/>
    <cellStyle name="一般 11 3 2 2 6_包裝指示書(裏)" xfId="2092"/>
    <cellStyle name="一般 11 3 2 2 7" xfId="2093"/>
    <cellStyle name="一般 11 3 2 2 7 2" xfId="2094"/>
    <cellStyle name="一般 11 3 2 2 7 2 2" xfId="2095"/>
    <cellStyle name="一般 11 3 2 2 7 2 2 2" xfId="2096"/>
    <cellStyle name="一般 11 3 2 2 7 2 2 2 2" xfId="2097"/>
    <cellStyle name="一般 11 3 2 2 7 2 2 2 2 2" xfId="11844"/>
    <cellStyle name="一般 11 3 2 2 7 2 2 2 3" xfId="11843"/>
    <cellStyle name="一般 11 3 2 2 7 2 2 3" xfId="2098"/>
    <cellStyle name="一般 11 3 2 2 7 2 2 3 2" xfId="11845"/>
    <cellStyle name="一般 11 3 2 2 7 2 2 4" xfId="11842"/>
    <cellStyle name="一般 11 3 2 2 7 2 2_包裝指示書(裏)" xfId="2099"/>
    <cellStyle name="一般 11 3 2 2 7 2 3" xfId="2100"/>
    <cellStyle name="一般 11 3 2 2 7 2 3 2" xfId="2101"/>
    <cellStyle name="一般 11 3 2 2 7 2 3 2 2" xfId="11847"/>
    <cellStyle name="一般 11 3 2 2 7 2 3 3" xfId="11846"/>
    <cellStyle name="一般 11 3 2 2 7 2 4" xfId="2102"/>
    <cellStyle name="一般 11 3 2 2 7 2 4 2" xfId="11848"/>
    <cellStyle name="一般 11 3 2 2 7 2 5" xfId="11841"/>
    <cellStyle name="一般 11 3 2 2 7 2_包裝指示書(裏)" xfId="2103"/>
    <cellStyle name="一般 11 3 2 2 7 3" xfId="2104"/>
    <cellStyle name="一般 11 3 2 2 7 3 2" xfId="2105"/>
    <cellStyle name="一般 11 3 2 2 7 3 2 2" xfId="2106"/>
    <cellStyle name="一般 11 3 2 2 7 3 2 2 2" xfId="11851"/>
    <cellStyle name="一般 11 3 2 2 7 3 2 3" xfId="11850"/>
    <cellStyle name="一般 11 3 2 2 7 3 3" xfId="2107"/>
    <cellStyle name="一般 11 3 2 2 7 3 3 2" xfId="11852"/>
    <cellStyle name="一般 11 3 2 2 7 3 4" xfId="11849"/>
    <cellStyle name="一般 11 3 2 2 7 3_包裝指示書(裏)" xfId="2108"/>
    <cellStyle name="一般 11 3 2 2 7 4" xfId="2109"/>
    <cellStyle name="一般 11 3 2 2 7 4 2" xfId="2110"/>
    <cellStyle name="一般 11 3 2 2 7 4 2 2" xfId="11854"/>
    <cellStyle name="一般 11 3 2 2 7 4 3" xfId="11853"/>
    <cellStyle name="一般 11 3 2 2 7 5" xfId="2111"/>
    <cellStyle name="一般 11 3 2 2 7 5 2" xfId="2112"/>
    <cellStyle name="一般 11 3 2 2 7 5 2 2" xfId="11856"/>
    <cellStyle name="一般 11 3 2 2 7 5 3" xfId="11855"/>
    <cellStyle name="一般 11 3 2 2 7 6" xfId="2113"/>
    <cellStyle name="一般 11 3 2 2 7 6 2" xfId="2114"/>
    <cellStyle name="一般 11 3 2 2 7 6 2 2" xfId="11858"/>
    <cellStyle name="一般 11 3 2 2 7 6 3" xfId="11857"/>
    <cellStyle name="一般 11 3 2 2 7 7" xfId="2115"/>
    <cellStyle name="一般 11 3 2 2 7 7 2" xfId="2116"/>
    <cellStyle name="一般 11 3 2 2 7 7 2 2" xfId="11860"/>
    <cellStyle name="一般 11 3 2 2 7 7 3" xfId="11859"/>
    <cellStyle name="一般 11 3 2 2 7 8" xfId="2117"/>
    <cellStyle name="一般 11 3 2 2 7 8 2" xfId="11861"/>
    <cellStyle name="一般 11 3 2 2 7 9" xfId="11840"/>
    <cellStyle name="一般 11 3 2 2 7_包裝指示書(裏)" xfId="2118"/>
    <cellStyle name="一般 11 3 2 2 8" xfId="2119"/>
    <cellStyle name="一般 11 3 2 2 8 2" xfId="2120"/>
    <cellStyle name="一般 11 3 2 2 8 2 2" xfId="2121"/>
    <cellStyle name="一般 11 3 2 2 8 2 2 2" xfId="2122"/>
    <cellStyle name="一般 11 3 2 2 8 2 2 2 2" xfId="11865"/>
    <cellStyle name="一般 11 3 2 2 8 2 2 3" xfId="11864"/>
    <cellStyle name="一般 11 3 2 2 8 2 3" xfId="2123"/>
    <cellStyle name="一般 11 3 2 2 8 2 3 2" xfId="2124"/>
    <cellStyle name="一般 11 3 2 2 8 2 3 2 2" xfId="11867"/>
    <cellStyle name="一般 11 3 2 2 8 2 3 3" xfId="11866"/>
    <cellStyle name="一般 11 3 2 2 8 2 4" xfId="2125"/>
    <cellStyle name="一般 11 3 2 2 8 2 4 2" xfId="11868"/>
    <cellStyle name="一般 11 3 2 2 8 2 5" xfId="11863"/>
    <cellStyle name="一般 11 3 2 2 8 2_包裝指示書(裏)" xfId="2126"/>
    <cellStyle name="一般 11 3 2 2 8 3" xfId="2127"/>
    <cellStyle name="一般 11 3 2 2 8 3 2" xfId="2128"/>
    <cellStyle name="一般 11 3 2 2 8 3 2 2" xfId="2129"/>
    <cellStyle name="一般 11 3 2 2 8 3 2 2 2" xfId="11871"/>
    <cellStyle name="一般 11 3 2 2 8 3 2 3" xfId="11870"/>
    <cellStyle name="一般 11 3 2 2 8 3 3" xfId="2130"/>
    <cellStyle name="一般 11 3 2 2 8 3 3 2" xfId="11872"/>
    <cellStyle name="一般 11 3 2 2 8 3 4" xfId="11869"/>
    <cellStyle name="一般 11 3 2 2 8 3_包裝指示書(裏)" xfId="2131"/>
    <cellStyle name="一般 11 3 2 2 8 4" xfId="2132"/>
    <cellStyle name="一般 11 3 2 2 8 4 2" xfId="2133"/>
    <cellStyle name="一般 11 3 2 2 8 4 2 2" xfId="11874"/>
    <cellStyle name="一般 11 3 2 2 8 4 3" xfId="11873"/>
    <cellStyle name="一般 11 3 2 2 8 5" xfId="2134"/>
    <cellStyle name="一般 11 3 2 2 8 5 2" xfId="11875"/>
    <cellStyle name="一般 11 3 2 2 8 6" xfId="11862"/>
    <cellStyle name="一般 11 3 2 2 8_包裝指示書(裏)" xfId="2135"/>
    <cellStyle name="一般 11 3 2 2 9" xfId="2136"/>
    <cellStyle name="一般 11 3 2 2 9 2" xfId="2137"/>
    <cellStyle name="一般 11 3 2 2 9 2 2" xfId="2138"/>
    <cellStyle name="一般 11 3 2 2 9 2 2 2" xfId="2139"/>
    <cellStyle name="一般 11 3 2 2 9 2 2 2 2" xfId="11879"/>
    <cellStyle name="一般 11 3 2 2 9 2 2 3" xfId="11878"/>
    <cellStyle name="一般 11 3 2 2 9 2 3" xfId="2140"/>
    <cellStyle name="一般 11 3 2 2 9 2 3 2" xfId="2141"/>
    <cellStyle name="一般 11 3 2 2 9 2 3 2 2" xfId="11881"/>
    <cellStyle name="一般 11 3 2 2 9 2 3 3" xfId="11880"/>
    <cellStyle name="一般 11 3 2 2 9 2 4" xfId="2142"/>
    <cellStyle name="一般 11 3 2 2 9 2 4 2" xfId="11882"/>
    <cellStyle name="一般 11 3 2 2 9 2 5" xfId="11877"/>
    <cellStyle name="一般 11 3 2 2 9 2_包裝指示書(裏)" xfId="2143"/>
    <cellStyle name="一般 11 3 2 2 9 3" xfId="2144"/>
    <cellStyle name="一般 11 3 2 2 9 3 2" xfId="2145"/>
    <cellStyle name="一般 11 3 2 2 9 3 2 2" xfId="11884"/>
    <cellStyle name="一般 11 3 2 2 9 3 3" xfId="11883"/>
    <cellStyle name="一般 11 3 2 2 9 4" xfId="2146"/>
    <cellStyle name="一般 11 3 2 2 9 4 2" xfId="2147"/>
    <cellStyle name="一般 11 3 2 2 9 4 2 2" xfId="11886"/>
    <cellStyle name="一般 11 3 2 2 9 4 3" xfId="11885"/>
    <cellStyle name="一般 11 3 2 2 9 5" xfId="2148"/>
    <cellStyle name="一般 11 3 2 2 9 5 2" xfId="11887"/>
    <cellStyle name="一般 11 3 2 2 9 6" xfId="11876"/>
    <cellStyle name="一般 11 3 2 2 9_包裝指示書(裏)" xfId="2149"/>
    <cellStyle name="一般 11 3 2 2_包裝指示書(裏)" xfId="2150"/>
    <cellStyle name="一般 11 3 2 3" xfId="2151"/>
    <cellStyle name="一般 11 3 2 3 10" xfId="2152"/>
    <cellStyle name="一般 11 3 2 3 10 2" xfId="11889"/>
    <cellStyle name="一般 11 3 2 3 11" xfId="11888"/>
    <cellStyle name="一般 11 3 2 3 2" xfId="2153"/>
    <cellStyle name="一般 11 3 2 3 2 2" xfId="2154"/>
    <cellStyle name="一般 11 3 2 3 2 2 2" xfId="2155"/>
    <cellStyle name="一般 11 3 2 3 2 2 2 2" xfId="2156"/>
    <cellStyle name="一般 11 3 2 3 2 2 2 2 2" xfId="2157"/>
    <cellStyle name="一般 11 3 2 3 2 2 2 2 2 2" xfId="11894"/>
    <cellStyle name="一般 11 3 2 3 2 2 2 2 3" xfId="11893"/>
    <cellStyle name="一般 11 3 2 3 2 2 2 3" xfId="2158"/>
    <cellStyle name="一般 11 3 2 3 2 2 2 3 2" xfId="11895"/>
    <cellStyle name="一般 11 3 2 3 2 2 2 4" xfId="11892"/>
    <cellStyle name="一般 11 3 2 3 2 2 2_包裝指示書(裏)" xfId="2159"/>
    <cellStyle name="一般 11 3 2 3 2 2 3" xfId="2160"/>
    <cellStyle name="一般 11 3 2 3 2 2 3 2" xfId="2161"/>
    <cellStyle name="一般 11 3 2 3 2 2 3 2 2" xfId="11897"/>
    <cellStyle name="一般 11 3 2 3 2 2 3 3" xfId="11896"/>
    <cellStyle name="一般 11 3 2 3 2 2 4" xfId="2162"/>
    <cellStyle name="一般 11 3 2 3 2 2 4 2" xfId="11898"/>
    <cellStyle name="一般 11 3 2 3 2 2 5" xfId="11891"/>
    <cellStyle name="一般 11 3 2 3 2 2_包裝指示書(裏)" xfId="2163"/>
    <cellStyle name="一般 11 3 2 3 2 3" xfId="2164"/>
    <cellStyle name="一般 11 3 2 3 2 3 2" xfId="2165"/>
    <cellStyle name="一般 11 3 2 3 2 3 2 2" xfId="2166"/>
    <cellStyle name="一般 11 3 2 3 2 3 2 2 2" xfId="11901"/>
    <cellStyle name="一般 11 3 2 3 2 3 2 3" xfId="11900"/>
    <cellStyle name="一般 11 3 2 3 2 3 3" xfId="2167"/>
    <cellStyle name="一般 11 3 2 3 2 3 3 2" xfId="11902"/>
    <cellStyle name="一般 11 3 2 3 2 3 4" xfId="11899"/>
    <cellStyle name="一般 11 3 2 3 2 3_包裝指示書(裏)" xfId="2168"/>
    <cellStyle name="一般 11 3 2 3 2 4" xfId="2169"/>
    <cellStyle name="一般 11 3 2 3 2 4 2" xfId="2170"/>
    <cellStyle name="一般 11 3 2 3 2 4 2 2" xfId="11904"/>
    <cellStyle name="一般 11 3 2 3 2 4 3" xfId="11903"/>
    <cellStyle name="一般 11 3 2 3 2 5" xfId="2171"/>
    <cellStyle name="一般 11 3 2 3 2 5 2" xfId="2172"/>
    <cellStyle name="一般 11 3 2 3 2 5 2 2" xfId="11906"/>
    <cellStyle name="一般 11 3 2 3 2 5 3" xfId="11905"/>
    <cellStyle name="一般 11 3 2 3 2 6" xfId="2173"/>
    <cellStyle name="一般 11 3 2 3 2 6 2" xfId="2174"/>
    <cellStyle name="一般 11 3 2 3 2 6 2 2" xfId="11908"/>
    <cellStyle name="一般 11 3 2 3 2 6 3" xfId="11907"/>
    <cellStyle name="一般 11 3 2 3 2 7" xfId="2175"/>
    <cellStyle name="一般 11 3 2 3 2 7 2" xfId="2176"/>
    <cellStyle name="一般 11 3 2 3 2 7 2 2" xfId="11910"/>
    <cellStyle name="一般 11 3 2 3 2 7 3" xfId="11909"/>
    <cellStyle name="一般 11 3 2 3 2 8" xfId="2177"/>
    <cellStyle name="一般 11 3 2 3 2 8 2" xfId="11911"/>
    <cellStyle name="一般 11 3 2 3 2 9" xfId="11890"/>
    <cellStyle name="一般 11 3 2 3 2_包裝指示書(裏)" xfId="2178"/>
    <cellStyle name="一般 11 3 2 3 3" xfId="2179"/>
    <cellStyle name="一般 11 3 2 3 3 2" xfId="2180"/>
    <cellStyle name="一般 11 3 2 3 3 2 2" xfId="2181"/>
    <cellStyle name="一般 11 3 2 3 3 2 2 2" xfId="2182"/>
    <cellStyle name="一般 11 3 2 3 3 2 2 2 2" xfId="11915"/>
    <cellStyle name="一般 11 3 2 3 3 2 2 3" xfId="11914"/>
    <cellStyle name="一般 11 3 2 3 3 2 3" xfId="2183"/>
    <cellStyle name="一般 11 3 2 3 3 2 3 2" xfId="2184"/>
    <cellStyle name="一般 11 3 2 3 3 2 3 2 2" xfId="11917"/>
    <cellStyle name="一般 11 3 2 3 3 2 3 3" xfId="11916"/>
    <cellStyle name="一般 11 3 2 3 3 2 4" xfId="2185"/>
    <cellStyle name="一般 11 3 2 3 3 2 4 2" xfId="11918"/>
    <cellStyle name="一般 11 3 2 3 3 2 5" xfId="11913"/>
    <cellStyle name="一般 11 3 2 3 3 2_包裝指示書(裏)" xfId="2186"/>
    <cellStyle name="一般 11 3 2 3 3 3" xfId="2187"/>
    <cellStyle name="一般 11 3 2 3 3 3 2" xfId="2188"/>
    <cellStyle name="一般 11 3 2 3 3 3 2 2" xfId="2189"/>
    <cellStyle name="一般 11 3 2 3 3 3 2 2 2" xfId="11921"/>
    <cellStyle name="一般 11 3 2 3 3 3 2 3" xfId="11920"/>
    <cellStyle name="一般 11 3 2 3 3 3 3" xfId="2190"/>
    <cellStyle name="一般 11 3 2 3 3 3 3 2" xfId="11922"/>
    <cellStyle name="一般 11 3 2 3 3 3 4" xfId="11919"/>
    <cellStyle name="一般 11 3 2 3 3 3_包裝指示書(裏)" xfId="2191"/>
    <cellStyle name="一般 11 3 2 3 3 4" xfId="2192"/>
    <cellStyle name="一般 11 3 2 3 3 4 2" xfId="2193"/>
    <cellStyle name="一般 11 3 2 3 3 4 2 2" xfId="11924"/>
    <cellStyle name="一般 11 3 2 3 3 4 3" xfId="11923"/>
    <cellStyle name="一般 11 3 2 3 3 5" xfId="2194"/>
    <cellStyle name="一般 11 3 2 3 3 5 2" xfId="11925"/>
    <cellStyle name="一般 11 3 2 3 3 6" xfId="11912"/>
    <cellStyle name="一般 11 3 2 3 3_包裝指示書(裏)" xfId="2195"/>
    <cellStyle name="一般 11 3 2 3 4" xfId="2196"/>
    <cellStyle name="一般 11 3 2 3 4 2" xfId="2197"/>
    <cellStyle name="一般 11 3 2 3 4 2 2" xfId="2198"/>
    <cellStyle name="一般 11 3 2 3 4 2 2 2" xfId="2199"/>
    <cellStyle name="一般 11 3 2 3 4 2 2 2 2" xfId="11929"/>
    <cellStyle name="一般 11 3 2 3 4 2 2 3" xfId="11928"/>
    <cellStyle name="一般 11 3 2 3 4 2 3" xfId="2200"/>
    <cellStyle name="一般 11 3 2 3 4 2 3 2" xfId="2201"/>
    <cellStyle name="一般 11 3 2 3 4 2 3 2 2" xfId="11931"/>
    <cellStyle name="一般 11 3 2 3 4 2 3 3" xfId="11930"/>
    <cellStyle name="一般 11 3 2 3 4 2 4" xfId="2202"/>
    <cellStyle name="一般 11 3 2 3 4 2 4 2" xfId="11932"/>
    <cellStyle name="一般 11 3 2 3 4 2 5" xfId="11927"/>
    <cellStyle name="一般 11 3 2 3 4 2_包裝指示書(裏)" xfId="2203"/>
    <cellStyle name="一般 11 3 2 3 4 3" xfId="2204"/>
    <cellStyle name="一般 11 3 2 3 4 3 2" xfId="2205"/>
    <cellStyle name="一般 11 3 2 3 4 3 2 2" xfId="11934"/>
    <cellStyle name="一般 11 3 2 3 4 3 3" xfId="11933"/>
    <cellStyle name="一般 11 3 2 3 4 4" xfId="2206"/>
    <cellStyle name="一般 11 3 2 3 4 4 2" xfId="2207"/>
    <cellStyle name="一般 11 3 2 3 4 4 2 2" xfId="11936"/>
    <cellStyle name="一般 11 3 2 3 4 4 3" xfId="11935"/>
    <cellStyle name="一般 11 3 2 3 4 5" xfId="2208"/>
    <cellStyle name="一般 11 3 2 3 4 5 2" xfId="11937"/>
    <cellStyle name="一般 11 3 2 3 4 6" xfId="11926"/>
    <cellStyle name="一般 11 3 2 3 4_包裝指示書(裏)" xfId="2209"/>
    <cellStyle name="一般 11 3 2 3 5" xfId="2210"/>
    <cellStyle name="一般 11 3 2 3 5 2" xfId="2211"/>
    <cellStyle name="一般 11 3 2 3 5 2 2" xfId="2212"/>
    <cellStyle name="一般 11 3 2 3 5 2 2 2" xfId="2213"/>
    <cellStyle name="一般 11 3 2 3 5 2 2 2 2" xfId="11941"/>
    <cellStyle name="一般 11 3 2 3 5 2 2 3" xfId="11940"/>
    <cellStyle name="一般 11 3 2 3 5 2 3" xfId="2214"/>
    <cellStyle name="一般 11 3 2 3 5 2 3 2" xfId="2215"/>
    <cellStyle name="一般 11 3 2 3 5 2 3 2 2" xfId="11943"/>
    <cellStyle name="一般 11 3 2 3 5 2 3 3" xfId="11942"/>
    <cellStyle name="一般 11 3 2 3 5 2 4" xfId="2216"/>
    <cellStyle name="一般 11 3 2 3 5 2 4 2" xfId="11944"/>
    <cellStyle name="一般 11 3 2 3 5 2 5" xfId="11939"/>
    <cellStyle name="一般 11 3 2 3 5 2_包裝指示書(裏)" xfId="2217"/>
    <cellStyle name="一般 11 3 2 3 5 3" xfId="2218"/>
    <cellStyle name="一般 11 3 2 3 5 3 2" xfId="2219"/>
    <cellStyle name="一般 11 3 2 3 5 3 2 2" xfId="11946"/>
    <cellStyle name="一般 11 3 2 3 5 3 3" xfId="11945"/>
    <cellStyle name="一般 11 3 2 3 5 4" xfId="2220"/>
    <cellStyle name="一般 11 3 2 3 5 4 2" xfId="2221"/>
    <cellStyle name="一般 11 3 2 3 5 4 2 2" xfId="11948"/>
    <cellStyle name="一般 11 3 2 3 5 4 3" xfId="11947"/>
    <cellStyle name="一般 11 3 2 3 5 5" xfId="2222"/>
    <cellStyle name="一般 11 3 2 3 5 5 2" xfId="11949"/>
    <cellStyle name="一般 11 3 2 3 5 6" xfId="11938"/>
    <cellStyle name="一般 11 3 2 3 5_包裝指示書(裏)" xfId="2223"/>
    <cellStyle name="一般 11 3 2 3 6" xfId="2224"/>
    <cellStyle name="一般 11 3 2 3 6 2" xfId="2225"/>
    <cellStyle name="一般 11 3 2 3 6 2 2" xfId="2226"/>
    <cellStyle name="一般 11 3 2 3 6 2 2 2" xfId="11952"/>
    <cellStyle name="一般 11 3 2 3 6 2 3" xfId="11951"/>
    <cellStyle name="一般 11 3 2 3 6 3" xfId="2227"/>
    <cellStyle name="一般 11 3 2 3 6 3 2" xfId="2228"/>
    <cellStyle name="一般 11 3 2 3 6 3 2 2" xfId="11954"/>
    <cellStyle name="一般 11 3 2 3 6 3 3" xfId="11953"/>
    <cellStyle name="一般 11 3 2 3 6 4" xfId="2229"/>
    <cellStyle name="一般 11 3 2 3 6 4 2" xfId="11955"/>
    <cellStyle name="一般 11 3 2 3 6 5" xfId="11950"/>
    <cellStyle name="一般 11 3 2 3 6_包裝指示書(裏)" xfId="2230"/>
    <cellStyle name="一般 11 3 2 3 7" xfId="2231"/>
    <cellStyle name="一般 11 3 2 3 7 2" xfId="2232"/>
    <cellStyle name="一般 11 3 2 3 7 2 2" xfId="2233"/>
    <cellStyle name="一般 11 3 2 3 7 2 2 2" xfId="11958"/>
    <cellStyle name="一般 11 3 2 3 7 2 3" xfId="11957"/>
    <cellStyle name="一般 11 3 2 3 7 3" xfId="2234"/>
    <cellStyle name="一般 11 3 2 3 7 3 2" xfId="11959"/>
    <cellStyle name="一般 11 3 2 3 7 4" xfId="11956"/>
    <cellStyle name="一般 11 3 2 3 7_包裝指示書(裏)" xfId="2235"/>
    <cellStyle name="一般 11 3 2 3 8" xfId="2236"/>
    <cellStyle name="一般 11 3 2 3 8 2" xfId="2237"/>
    <cellStyle name="一般 11 3 2 3 8 2 2" xfId="11961"/>
    <cellStyle name="一般 11 3 2 3 8 3" xfId="11960"/>
    <cellStyle name="一般 11 3 2 3 9" xfId="2238"/>
    <cellStyle name="一般 11 3 2 3 9 2" xfId="2239"/>
    <cellStyle name="一般 11 3 2 3 9 2 2" xfId="11963"/>
    <cellStyle name="一般 11 3 2 3 9 3" xfId="11962"/>
    <cellStyle name="一般 11 3 2 3_包裝指示書(裏)" xfId="2240"/>
    <cellStyle name="一般 11 3 2 4" xfId="2241"/>
    <cellStyle name="一般 11 3 2 4 10" xfId="11964"/>
    <cellStyle name="一般 11 3 2 4 2" xfId="2242"/>
    <cellStyle name="一般 11 3 2 4 2 2" xfId="2243"/>
    <cellStyle name="一般 11 3 2 4 2 2 2" xfId="2244"/>
    <cellStyle name="一般 11 3 2 4 2 2 2 2" xfId="2245"/>
    <cellStyle name="一般 11 3 2 4 2 2 2 2 2" xfId="11968"/>
    <cellStyle name="一般 11 3 2 4 2 2 2 3" xfId="11967"/>
    <cellStyle name="一般 11 3 2 4 2 2 3" xfId="2246"/>
    <cellStyle name="一般 11 3 2 4 2 2 3 2" xfId="11969"/>
    <cellStyle name="一般 11 3 2 4 2 2 4" xfId="11966"/>
    <cellStyle name="一般 11 3 2 4 2 2_包裝指示書(裏)" xfId="2247"/>
    <cellStyle name="一般 11 3 2 4 2 3" xfId="2248"/>
    <cellStyle name="一般 11 3 2 4 2 3 2" xfId="2249"/>
    <cellStyle name="一般 11 3 2 4 2 3 2 2" xfId="11971"/>
    <cellStyle name="一般 11 3 2 4 2 3 3" xfId="11970"/>
    <cellStyle name="一般 11 3 2 4 2 4" xfId="2250"/>
    <cellStyle name="一般 11 3 2 4 2 4 2" xfId="2251"/>
    <cellStyle name="一般 11 3 2 4 2 4 2 2" xfId="11973"/>
    <cellStyle name="一般 11 3 2 4 2 4 3" xfId="11972"/>
    <cellStyle name="一般 11 3 2 4 2 5" xfId="2252"/>
    <cellStyle name="一般 11 3 2 4 2 5 2" xfId="2253"/>
    <cellStyle name="一般 11 3 2 4 2 5 2 2" xfId="11975"/>
    <cellStyle name="一般 11 3 2 4 2 5 3" xfId="11974"/>
    <cellStyle name="一般 11 3 2 4 2 6" xfId="2254"/>
    <cellStyle name="一般 11 3 2 4 2 6 2" xfId="2255"/>
    <cellStyle name="一般 11 3 2 4 2 6 2 2" xfId="11977"/>
    <cellStyle name="一般 11 3 2 4 2 6 3" xfId="11976"/>
    <cellStyle name="一般 11 3 2 4 2 7" xfId="2256"/>
    <cellStyle name="一般 11 3 2 4 2 7 2" xfId="2257"/>
    <cellStyle name="一般 11 3 2 4 2 7 2 2" xfId="11979"/>
    <cellStyle name="一般 11 3 2 4 2 7 3" xfId="11978"/>
    <cellStyle name="一般 11 3 2 4 2 8" xfId="2258"/>
    <cellStyle name="一般 11 3 2 4 2 8 2" xfId="11980"/>
    <cellStyle name="一般 11 3 2 4 2 9" xfId="11965"/>
    <cellStyle name="一般 11 3 2 4 2_包裝指示書(裏)" xfId="2259"/>
    <cellStyle name="一般 11 3 2 4 3" xfId="2260"/>
    <cellStyle name="一般 11 3 2 4 3 2" xfId="2261"/>
    <cellStyle name="一般 11 3 2 4 3 2 2" xfId="2262"/>
    <cellStyle name="一般 11 3 2 4 3 2 2 2" xfId="11983"/>
    <cellStyle name="一般 11 3 2 4 3 2 3" xfId="11982"/>
    <cellStyle name="一般 11 3 2 4 3 3" xfId="2263"/>
    <cellStyle name="一般 11 3 2 4 3 3 2" xfId="11984"/>
    <cellStyle name="一般 11 3 2 4 3 4" xfId="2264"/>
    <cellStyle name="一般 11 3 2 4 3 4 2" xfId="11985"/>
    <cellStyle name="一般 11 3 2 4 3 5" xfId="2265"/>
    <cellStyle name="一般 11 3 2 4 3 5 2" xfId="11986"/>
    <cellStyle name="一般 11 3 2 4 3 6" xfId="11981"/>
    <cellStyle name="一般 11 3 2 4 3_包裝指示書(裏)" xfId="2266"/>
    <cellStyle name="一般 11 3 2 4 4" xfId="2267"/>
    <cellStyle name="一般 11 3 2 4 4 2" xfId="2268"/>
    <cellStyle name="一般 11 3 2 4 4 2 2" xfId="11988"/>
    <cellStyle name="一般 11 3 2 4 4 3" xfId="11987"/>
    <cellStyle name="一般 11 3 2 4 5" xfId="2269"/>
    <cellStyle name="一般 11 3 2 4 5 2" xfId="2270"/>
    <cellStyle name="一般 11 3 2 4 5 2 2" xfId="11990"/>
    <cellStyle name="一般 11 3 2 4 5 3" xfId="11989"/>
    <cellStyle name="一般 11 3 2 4 6" xfId="2271"/>
    <cellStyle name="一般 11 3 2 4 6 2" xfId="2272"/>
    <cellStyle name="一般 11 3 2 4 6 2 2" xfId="11992"/>
    <cellStyle name="一般 11 3 2 4 6 3" xfId="11991"/>
    <cellStyle name="一般 11 3 2 4 7" xfId="2273"/>
    <cellStyle name="一般 11 3 2 4 7 2" xfId="2274"/>
    <cellStyle name="一般 11 3 2 4 7 2 2" xfId="11994"/>
    <cellStyle name="一般 11 3 2 4 7 3" xfId="11993"/>
    <cellStyle name="一般 11 3 2 4 8" xfId="2275"/>
    <cellStyle name="一般 11 3 2 4 8 2" xfId="2276"/>
    <cellStyle name="一般 11 3 2 4 8 2 2" xfId="11996"/>
    <cellStyle name="一般 11 3 2 4 8 3" xfId="11995"/>
    <cellStyle name="一般 11 3 2 4 9" xfId="2277"/>
    <cellStyle name="一般 11 3 2 4 9 2" xfId="11997"/>
    <cellStyle name="一般 11 3 2 4_包裝指示書(裏)" xfId="2278"/>
    <cellStyle name="一般 11 3 2 5" xfId="2279"/>
    <cellStyle name="一般 11 3 2 5 10" xfId="11998"/>
    <cellStyle name="一般 11 3 2 5 2" xfId="2280"/>
    <cellStyle name="一般 11 3 2 5 2 2" xfId="2281"/>
    <cellStyle name="一般 11 3 2 5 2 2 2" xfId="2282"/>
    <cellStyle name="一般 11 3 2 5 2 2 2 2" xfId="2283"/>
    <cellStyle name="一般 11 3 2 5 2 2 2 2 2" xfId="12002"/>
    <cellStyle name="一般 11 3 2 5 2 2 2 3" xfId="12001"/>
    <cellStyle name="一般 11 3 2 5 2 2 3" xfId="2284"/>
    <cellStyle name="一般 11 3 2 5 2 2 3 2" xfId="12003"/>
    <cellStyle name="一般 11 3 2 5 2 2 4" xfId="12000"/>
    <cellStyle name="一般 11 3 2 5 2 2_包裝指示書(裏)" xfId="2285"/>
    <cellStyle name="一般 11 3 2 5 2 3" xfId="2286"/>
    <cellStyle name="一般 11 3 2 5 2 3 2" xfId="2287"/>
    <cellStyle name="一般 11 3 2 5 2 3 2 2" xfId="12005"/>
    <cellStyle name="一般 11 3 2 5 2 3 3" xfId="12004"/>
    <cellStyle name="一般 11 3 2 5 2 4" xfId="2288"/>
    <cellStyle name="一般 11 3 2 5 2 4 2" xfId="2289"/>
    <cellStyle name="一般 11 3 2 5 2 4 2 2" xfId="12007"/>
    <cellStyle name="一般 11 3 2 5 2 4 3" xfId="12006"/>
    <cellStyle name="一般 11 3 2 5 2 5" xfId="2290"/>
    <cellStyle name="一般 11 3 2 5 2 5 2" xfId="2291"/>
    <cellStyle name="一般 11 3 2 5 2 5 2 2" xfId="12009"/>
    <cellStyle name="一般 11 3 2 5 2 5 3" xfId="12008"/>
    <cellStyle name="一般 11 3 2 5 2 6" xfId="2292"/>
    <cellStyle name="一般 11 3 2 5 2 6 2" xfId="2293"/>
    <cellStyle name="一般 11 3 2 5 2 6 2 2" xfId="12011"/>
    <cellStyle name="一般 11 3 2 5 2 6 3" xfId="12010"/>
    <cellStyle name="一般 11 3 2 5 2 7" xfId="2294"/>
    <cellStyle name="一般 11 3 2 5 2 7 2" xfId="2295"/>
    <cellStyle name="一般 11 3 2 5 2 7 2 2" xfId="12013"/>
    <cellStyle name="一般 11 3 2 5 2 7 3" xfId="12012"/>
    <cellStyle name="一般 11 3 2 5 2 8" xfId="2296"/>
    <cellStyle name="一般 11 3 2 5 2 8 2" xfId="12014"/>
    <cellStyle name="一般 11 3 2 5 2 9" xfId="11999"/>
    <cellStyle name="一般 11 3 2 5 2_包裝指示書(裏)" xfId="2297"/>
    <cellStyle name="一般 11 3 2 5 3" xfId="2298"/>
    <cellStyle name="一般 11 3 2 5 3 2" xfId="2299"/>
    <cellStyle name="一般 11 3 2 5 3 2 2" xfId="2300"/>
    <cellStyle name="一般 11 3 2 5 3 2 2 2" xfId="12017"/>
    <cellStyle name="一般 11 3 2 5 3 2 3" xfId="12016"/>
    <cellStyle name="一般 11 3 2 5 3 3" xfId="2301"/>
    <cellStyle name="一般 11 3 2 5 3 3 2" xfId="12018"/>
    <cellStyle name="一般 11 3 2 5 3 4" xfId="2302"/>
    <cellStyle name="一般 11 3 2 5 3 4 2" xfId="12019"/>
    <cellStyle name="一般 11 3 2 5 3 5" xfId="2303"/>
    <cellStyle name="一般 11 3 2 5 3 5 2" xfId="12020"/>
    <cellStyle name="一般 11 3 2 5 3 6" xfId="12015"/>
    <cellStyle name="一般 11 3 2 5 3_包裝指示書(裏)" xfId="2304"/>
    <cellStyle name="一般 11 3 2 5 4" xfId="2305"/>
    <cellStyle name="一般 11 3 2 5 4 2" xfId="2306"/>
    <cellStyle name="一般 11 3 2 5 4 2 2" xfId="12022"/>
    <cellStyle name="一般 11 3 2 5 4 3" xfId="12021"/>
    <cellStyle name="一般 11 3 2 5 5" xfId="2307"/>
    <cellStyle name="一般 11 3 2 5 5 2" xfId="2308"/>
    <cellStyle name="一般 11 3 2 5 5 2 2" xfId="12024"/>
    <cellStyle name="一般 11 3 2 5 5 3" xfId="12023"/>
    <cellStyle name="一般 11 3 2 5 6" xfId="2309"/>
    <cellStyle name="一般 11 3 2 5 6 2" xfId="2310"/>
    <cellStyle name="一般 11 3 2 5 6 2 2" xfId="12026"/>
    <cellStyle name="一般 11 3 2 5 6 3" xfId="12025"/>
    <cellStyle name="一般 11 3 2 5 7" xfId="2311"/>
    <cellStyle name="一般 11 3 2 5 7 2" xfId="2312"/>
    <cellStyle name="一般 11 3 2 5 7 2 2" xfId="12028"/>
    <cellStyle name="一般 11 3 2 5 7 3" xfId="12027"/>
    <cellStyle name="一般 11 3 2 5 8" xfId="2313"/>
    <cellStyle name="一般 11 3 2 5 8 2" xfId="2314"/>
    <cellStyle name="一般 11 3 2 5 8 2 2" xfId="12030"/>
    <cellStyle name="一般 11 3 2 5 8 3" xfId="12029"/>
    <cellStyle name="一般 11 3 2 5 9" xfId="2315"/>
    <cellStyle name="一般 11 3 2 5 9 2" xfId="12031"/>
    <cellStyle name="一般 11 3 2 5_包裝指示書(裏)" xfId="2316"/>
    <cellStyle name="一般 11 3 2 6" xfId="2317"/>
    <cellStyle name="一般 11 3 2 6 2" xfId="2318"/>
    <cellStyle name="一般 11 3 2 6 2 2" xfId="2319"/>
    <cellStyle name="一般 11 3 2 6 2 2 2" xfId="2320"/>
    <cellStyle name="一般 11 3 2 6 2 2 2 2" xfId="2321"/>
    <cellStyle name="一般 11 3 2 6 2 2 2 2 2" xfId="12036"/>
    <cellStyle name="一般 11 3 2 6 2 2 2 3" xfId="12035"/>
    <cellStyle name="一般 11 3 2 6 2 2 3" xfId="2322"/>
    <cellStyle name="一般 11 3 2 6 2 2 3 2" xfId="12037"/>
    <cellStyle name="一般 11 3 2 6 2 2 4" xfId="12034"/>
    <cellStyle name="一般 11 3 2 6 2 2_包裝指示書(裏)" xfId="2323"/>
    <cellStyle name="一般 11 3 2 6 2 3" xfId="2324"/>
    <cellStyle name="一般 11 3 2 6 2 3 2" xfId="2325"/>
    <cellStyle name="一般 11 3 2 6 2 3 2 2" xfId="12039"/>
    <cellStyle name="一般 11 3 2 6 2 3 3" xfId="12038"/>
    <cellStyle name="一般 11 3 2 6 2 4" xfId="2326"/>
    <cellStyle name="一般 11 3 2 6 2 4 2" xfId="12040"/>
    <cellStyle name="一般 11 3 2 6 2 5" xfId="2327"/>
    <cellStyle name="一般 11 3 2 6 2 5 2" xfId="12041"/>
    <cellStyle name="一般 11 3 2 6 2 6" xfId="12033"/>
    <cellStyle name="一般 11 3 2 6 2_包裝指示書(裏)" xfId="2328"/>
    <cellStyle name="一般 11 3 2 6 3" xfId="2329"/>
    <cellStyle name="一般 11 3 2 6 3 2" xfId="2330"/>
    <cellStyle name="一般 11 3 2 6 3 2 2" xfId="2331"/>
    <cellStyle name="一般 11 3 2 6 3 2 2 2" xfId="12044"/>
    <cellStyle name="一般 11 3 2 6 3 2 3" xfId="12043"/>
    <cellStyle name="一般 11 3 2 6 3 3" xfId="2332"/>
    <cellStyle name="一般 11 3 2 6 3 3 2" xfId="12045"/>
    <cellStyle name="一般 11 3 2 6 3 4" xfId="2333"/>
    <cellStyle name="一般 11 3 2 6 3 4 2" xfId="12046"/>
    <cellStyle name="一般 11 3 2 6 3 5" xfId="2334"/>
    <cellStyle name="一般 11 3 2 6 3 5 2" xfId="12047"/>
    <cellStyle name="一般 11 3 2 6 3 6" xfId="12042"/>
    <cellStyle name="一般 11 3 2 6 3_包裝指示書(裏)" xfId="2335"/>
    <cellStyle name="一般 11 3 2 6 4" xfId="2336"/>
    <cellStyle name="一般 11 3 2 6 4 2" xfId="2337"/>
    <cellStyle name="一般 11 3 2 6 4 2 2" xfId="12049"/>
    <cellStyle name="一般 11 3 2 6 4 3" xfId="12048"/>
    <cellStyle name="一般 11 3 2 6 5" xfId="2338"/>
    <cellStyle name="一般 11 3 2 6 5 2" xfId="2339"/>
    <cellStyle name="一般 11 3 2 6 5 2 2" xfId="12051"/>
    <cellStyle name="一般 11 3 2 6 5 3" xfId="12050"/>
    <cellStyle name="一般 11 3 2 6 6" xfId="2340"/>
    <cellStyle name="一般 11 3 2 6 6 2" xfId="2341"/>
    <cellStyle name="一般 11 3 2 6 6 2 2" xfId="12053"/>
    <cellStyle name="一般 11 3 2 6 6 3" xfId="12052"/>
    <cellStyle name="一般 11 3 2 6 7" xfId="2342"/>
    <cellStyle name="一般 11 3 2 6 7 2" xfId="2343"/>
    <cellStyle name="一般 11 3 2 6 7 2 2" xfId="12055"/>
    <cellStyle name="一般 11 3 2 6 7 3" xfId="12054"/>
    <cellStyle name="一般 11 3 2 6 8" xfId="2344"/>
    <cellStyle name="一般 11 3 2 6 8 2" xfId="12056"/>
    <cellStyle name="一般 11 3 2 6 9" xfId="12032"/>
    <cellStyle name="一般 11 3 2 6_包裝指示書(裏)" xfId="2345"/>
    <cellStyle name="一般 11 3 2 7" xfId="2346"/>
    <cellStyle name="一般 11 3 2 7 2" xfId="2347"/>
    <cellStyle name="一般 11 3 2 7 2 2" xfId="2348"/>
    <cellStyle name="一般 11 3 2 7 2 2 2" xfId="2349"/>
    <cellStyle name="一般 11 3 2 7 2 2 2 2" xfId="2350"/>
    <cellStyle name="一般 11 3 2 7 2 2 2 2 2" xfId="12061"/>
    <cellStyle name="一般 11 3 2 7 2 2 2 3" xfId="12060"/>
    <cellStyle name="一般 11 3 2 7 2 2 3" xfId="2351"/>
    <cellStyle name="一般 11 3 2 7 2 2 3 2" xfId="12062"/>
    <cellStyle name="一般 11 3 2 7 2 2 4" xfId="12059"/>
    <cellStyle name="一般 11 3 2 7 2 2_包裝指示書(裏)" xfId="2352"/>
    <cellStyle name="一般 11 3 2 7 2 3" xfId="2353"/>
    <cellStyle name="一般 11 3 2 7 2 3 2" xfId="2354"/>
    <cellStyle name="一般 11 3 2 7 2 3 2 2" xfId="12064"/>
    <cellStyle name="一般 11 3 2 7 2 3 3" xfId="12063"/>
    <cellStyle name="一般 11 3 2 7 2 4" xfId="2355"/>
    <cellStyle name="一般 11 3 2 7 2 4 2" xfId="12065"/>
    <cellStyle name="一般 11 3 2 7 2 5" xfId="2356"/>
    <cellStyle name="一般 11 3 2 7 2 5 2" xfId="12066"/>
    <cellStyle name="一般 11 3 2 7 2 6" xfId="12058"/>
    <cellStyle name="一般 11 3 2 7 2_包裝指示書(裏)" xfId="2357"/>
    <cellStyle name="一般 11 3 2 7 3" xfId="2358"/>
    <cellStyle name="一般 11 3 2 7 3 2" xfId="2359"/>
    <cellStyle name="一般 11 3 2 7 3 2 2" xfId="2360"/>
    <cellStyle name="一般 11 3 2 7 3 2 2 2" xfId="12069"/>
    <cellStyle name="一般 11 3 2 7 3 2 3" xfId="12068"/>
    <cellStyle name="一般 11 3 2 7 3 3" xfId="2361"/>
    <cellStyle name="一般 11 3 2 7 3 3 2" xfId="12070"/>
    <cellStyle name="一般 11 3 2 7 3 4" xfId="2362"/>
    <cellStyle name="一般 11 3 2 7 3 4 2" xfId="12071"/>
    <cellStyle name="一般 11 3 2 7 3 5" xfId="2363"/>
    <cellStyle name="一般 11 3 2 7 3 5 2" xfId="12072"/>
    <cellStyle name="一般 11 3 2 7 3 6" xfId="12067"/>
    <cellStyle name="一般 11 3 2 7 3_包裝指示書(裏)" xfId="2364"/>
    <cellStyle name="一般 11 3 2 7 4" xfId="2365"/>
    <cellStyle name="一般 11 3 2 7 4 2" xfId="2366"/>
    <cellStyle name="一般 11 3 2 7 4 2 2" xfId="12074"/>
    <cellStyle name="一般 11 3 2 7 4 3" xfId="12073"/>
    <cellStyle name="一般 11 3 2 7 5" xfId="2367"/>
    <cellStyle name="一般 11 3 2 7 5 2" xfId="2368"/>
    <cellStyle name="一般 11 3 2 7 5 2 2" xfId="12076"/>
    <cellStyle name="一般 11 3 2 7 5 3" xfId="12075"/>
    <cellStyle name="一般 11 3 2 7 6" xfId="2369"/>
    <cellStyle name="一般 11 3 2 7 6 2" xfId="2370"/>
    <cellStyle name="一般 11 3 2 7 6 2 2" xfId="12078"/>
    <cellStyle name="一般 11 3 2 7 6 3" xfId="12077"/>
    <cellStyle name="一般 11 3 2 7 7" xfId="2371"/>
    <cellStyle name="一般 11 3 2 7 7 2" xfId="2372"/>
    <cellStyle name="一般 11 3 2 7 7 2 2" xfId="12080"/>
    <cellStyle name="一般 11 3 2 7 7 3" xfId="12079"/>
    <cellStyle name="一般 11 3 2 7 8" xfId="2373"/>
    <cellStyle name="一般 11 3 2 7 8 2" xfId="12081"/>
    <cellStyle name="一般 11 3 2 7 9" xfId="12057"/>
    <cellStyle name="一般 11 3 2 7_包裝指示書(裏)" xfId="2374"/>
    <cellStyle name="一般 11 3 2 8" xfId="2375"/>
    <cellStyle name="一般 11 3 2 8 2" xfId="2376"/>
    <cellStyle name="一般 11 3 2 8 2 2" xfId="2377"/>
    <cellStyle name="一般 11 3 2 8 2 2 2" xfId="2378"/>
    <cellStyle name="一般 11 3 2 8 2 2 2 2" xfId="2379"/>
    <cellStyle name="一般 11 3 2 8 2 2 2 2 2" xfId="12086"/>
    <cellStyle name="一般 11 3 2 8 2 2 2 3" xfId="12085"/>
    <cellStyle name="一般 11 3 2 8 2 2 3" xfId="2380"/>
    <cellStyle name="一般 11 3 2 8 2 2 3 2" xfId="12087"/>
    <cellStyle name="一般 11 3 2 8 2 2 4" xfId="12084"/>
    <cellStyle name="一般 11 3 2 8 2 2_包裝指示書(裏)" xfId="2381"/>
    <cellStyle name="一般 11 3 2 8 2 3" xfId="2382"/>
    <cellStyle name="一般 11 3 2 8 2 3 2" xfId="2383"/>
    <cellStyle name="一般 11 3 2 8 2 3 2 2" xfId="12089"/>
    <cellStyle name="一般 11 3 2 8 2 3 3" xfId="12088"/>
    <cellStyle name="一般 11 3 2 8 2 4" xfId="2384"/>
    <cellStyle name="一般 11 3 2 8 2 4 2" xfId="12090"/>
    <cellStyle name="一般 11 3 2 8 2 5" xfId="12083"/>
    <cellStyle name="一般 11 3 2 8 2_包裝指示書(裏)" xfId="2385"/>
    <cellStyle name="一般 11 3 2 8 3" xfId="2386"/>
    <cellStyle name="一般 11 3 2 8 3 2" xfId="2387"/>
    <cellStyle name="一般 11 3 2 8 3 2 2" xfId="2388"/>
    <cellStyle name="一般 11 3 2 8 3 2 2 2" xfId="12093"/>
    <cellStyle name="一般 11 3 2 8 3 2 3" xfId="12092"/>
    <cellStyle name="一般 11 3 2 8 3 3" xfId="2389"/>
    <cellStyle name="一般 11 3 2 8 3 3 2" xfId="12094"/>
    <cellStyle name="一般 11 3 2 8 3 4" xfId="12091"/>
    <cellStyle name="一般 11 3 2 8 3_包裝指示書(裏)" xfId="2390"/>
    <cellStyle name="一般 11 3 2 8 4" xfId="2391"/>
    <cellStyle name="一般 11 3 2 8 4 2" xfId="2392"/>
    <cellStyle name="一般 11 3 2 8 4 2 2" xfId="12096"/>
    <cellStyle name="一般 11 3 2 8 4 3" xfId="12095"/>
    <cellStyle name="一般 11 3 2 8 5" xfId="2393"/>
    <cellStyle name="一般 11 3 2 8 5 2" xfId="2394"/>
    <cellStyle name="一般 11 3 2 8 5 2 2" xfId="12098"/>
    <cellStyle name="一般 11 3 2 8 5 3" xfId="12097"/>
    <cellStyle name="一般 11 3 2 8 6" xfId="2395"/>
    <cellStyle name="一般 11 3 2 8 6 2" xfId="2396"/>
    <cellStyle name="一般 11 3 2 8 6 2 2" xfId="12100"/>
    <cellStyle name="一般 11 3 2 8 6 3" xfId="12099"/>
    <cellStyle name="一般 11 3 2 8 7" xfId="2397"/>
    <cellStyle name="一般 11 3 2 8 7 2" xfId="2398"/>
    <cellStyle name="一般 11 3 2 8 7 2 2" xfId="12102"/>
    <cellStyle name="一般 11 3 2 8 7 3" xfId="12101"/>
    <cellStyle name="一般 11 3 2 8 8" xfId="2399"/>
    <cellStyle name="一般 11 3 2 8 8 2" xfId="12103"/>
    <cellStyle name="一般 11 3 2 8 9" xfId="12082"/>
    <cellStyle name="一般 11 3 2 8_包裝指示書(裏)" xfId="2400"/>
    <cellStyle name="一般 11 3 2 9" xfId="2401"/>
    <cellStyle name="一般 11 3 2 9 2" xfId="2402"/>
    <cellStyle name="一般 11 3 2 9 2 2" xfId="2403"/>
    <cellStyle name="一般 11 3 2 9 2 2 2" xfId="2404"/>
    <cellStyle name="一般 11 3 2 9 2 2 2 2" xfId="12107"/>
    <cellStyle name="一般 11 3 2 9 2 2 3" xfId="12106"/>
    <cellStyle name="一般 11 3 2 9 2 3" xfId="2405"/>
    <cellStyle name="一般 11 3 2 9 2 3 2" xfId="2406"/>
    <cellStyle name="一般 11 3 2 9 2 3 2 2" xfId="12109"/>
    <cellStyle name="一般 11 3 2 9 2 3 3" xfId="12108"/>
    <cellStyle name="一般 11 3 2 9 2 4" xfId="2407"/>
    <cellStyle name="一般 11 3 2 9 2 4 2" xfId="12110"/>
    <cellStyle name="一般 11 3 2 9 2 5" xfId="12105"/>
    <cellStyle name="一般 11 3 2 9 2_包裝指示書(裏)" xfId="2408"/>
    <cellStyle name="一般 11 3 2 9 3" xfId="2409"/>
    <cellStyle name="一般 11 3 2 9 3 2" xfId="2410"/>
    <cellStyle name="一般 11 3 2 9 3 2 2" xfId="2411"/>
    <cellStyle name="一般 11 3 2 9 3 2 2 2" xfId="12113"/>
    <cellStyle name="一般 11 3 2 9 3 2 3" xfId="12112"/>
    <cellStyle name="一般 11 3 2 9 3 3" xfId="2412"/>
    <cellStyle name="一般 11 3 2 9 3 3 2" xfId="12114"/>
    <cellStyle name="一般 11 3 2 9 3 4" xfId="12111"/>
    <cellStyle name="一般 11 3 2 9 3_包裝指示書(裏)" xfId="2413"/>
    <cellStyle name="一般 11 3 2 9 4" xfId="2414"/>
    <cellStyle name="一般 11 3 2 9 4 2" xfId="2415"/>
    <cellStyle name="一般 11 3 2 9 4 2 2" xfId="12116"/>
    <cellStyle name="一般 11 3 2 9 4 3" xfId="12115"/>
    <cellStyle name="一般 11 3 2 9 5" xfId="2416"/>
    <cellStyle name="一般 11 3 2 9 5 2" xfId="2417"/>
    <cellStyle name="一般 11 3 2 9 5 2 2" xfId="12118"/>
    <cellStyle name="一般 11 3 2 9 5 3" xfId="12117"/>
    <cellStyle name="一般 11 3 2 9 6" xfId="2418"/>
    <cellStyle name="一般 11 3 2 9 6 2" xfId="12119"/>
    <cellStyle name="一般 11 3 2 9 7" xfId="12104"/>
    <cellStyle name="一般 11 3 2 9_包裝指示書(裏)" xfId="2419"/>
    <cellStyle name="一般 11 3 2_包裝指示書(裏)" xfId="2420"/>
    <cellStyle name="一般 11 3 3" xfId="2421"/>
    <cellStyle name="一般 11 3 3 10" xfId="2422"/>
    <cellStyle name="一般 11 3 3 10 2" xfId="2423"/>
    <cellStyle name="一般 11 3 3 10 2 2" xfId="2424"/>
    <cellStyle name="一般 11 3 3 10 2 2 2" xfId="2425"/>
    <cellStyle name="一般 11 3 3 10 2 2 2 2" xfId="12124"/>
    <cellStyle name="一般 11 3 3 10 2 2 3" xfId="12123"/>
    <cellStyle name="一般 11 3 3 10 2 3" xfId="2426"/>
    <cellStyle name="一般 11 3 3 10 2 3 2" xfId="2427"/>
    <cellStyle name="一般 11 3 3 10 2 3 2 2" xfId="12126"/>
    <cellStyle name="一般 11 3 3 10 2 3 3" xfId="12125"/>
    <cellStyle name="一般 11 3 3 10 2 4" xfId="2428"/>
    <cellStyle name="一般 11 3 3 10 2 4 2" xfId="12127"/>
    <cellStyle name="一般 11 3 3 10 2 5" xfId="12122"/>
    <cellStyle name="一般 11 3 3 10 2_包裝指示書(裏)" xfId="2429"/>
    <cellStyle name="一般 11 3 3 10 3" xfId="2430"/>
    <cellStyle name="一般 11 3 3 10 3 2" xfId="2431"/>
    <cellStyle name="一般 11 3 3 10 3 2 2" xfId="12129"/>
    <cellStyle name="一般 11 3 3 10 3 3" xfId="12128"/>
    <cellStyle name="一般 11 3 3 10 4" xfId="2432"/>
    <cellStyle name="一般 11 3 3 10 4 2" xfId="2433"/>
    <cellStyle name="一般 11 3 3 10 4 2 2" xfId="12131"/>
    <cellStyle name="一般 11 3 3 10 4 3" xfId="12130"/>
    <cellStyle name="一般 11 3 3 10 5" xfId="2434"/>
    <cellStyle name="一般 11 3 3 10 5 2" xfId="12132"/>
    <cellStyle name="一般 11 3 3 10 6" xfId="12121"/>
    <cellStyle name="一般 11 3 3 10_包裝指示書(裏)" xfId="2435"/>
    <cellStyle name="一般 11 3 3 11" xfId="2436"/>
    <cellStyle name="一般 11 3 3 11 2" xfId="2437"/>
    <cellStyle name="一般 11 3 3 11 2 2" xfId="2438"/>
    <cellStyle name="一般 11 3 3 11 2 2 2" xfId="12135"/>
    <cellStyle name="一般 11 3 3 11 2 3" xfId="12134"/>
    <cellStyle name="一般 11 3 3 11 3" xfId="2439"/>
    <cellStyle name="一般 11 3 3 11 3 2" xfId="2440"/>
    <cellStyle name="一般 11 3 3 11 3 2 2" xfId="12137"/>
    <cellStyle name="一般 11 3 3 11 3 3" xfId="12136"/>
    <cellStyle name="一般 11 3 3 11 4" xfId="2441"/>
    <cellStyle name="一般 11 3 3 11 4 2" xfId="12138"/>
    <cellStyle name="一般 11 3 3 11 5" xfId="12133"/>
    <cellStyle name="一般 11 3 3 11_包裝指示書(裏)" xfId="2442"/>
    <cellStyle name="一般 11 3 3 12" xfId="2443"/>
    <cellStyle name="一般 11 3 3 12 2" xfId="2444"/>
    <cellStyle name="一般 11 3 3 12 2 2" xfId="2445"/>
    <cellStyle name="一般 11 3 3 12 2 2 2" xfId="12141"/>
    <cellStyle name="一般 11 3 3 12 2 3" xfId="12140"/>
    <cellStyle name="一般 11 3 3 12 3" xfId="2446"/>
    <cellStyle name="一般 11 3 3 12 3 2" xfId="12142"/>
    <cellStyle name="一般 11 3 3 12 4" xfId="12139"/>
    <cellStyle name="一般 11 3 3 12_包裝指示書(裏)" xfId="2447"/>
    <cellStyle name="一般 11 3 3 13" xfId="2448"/>
    <cellStyle name="一般 11 3 3 13 2" xfId="2449"/>
    <cellStyle name="一般 11 3 3 13 2 2" xfId="12144"/>
    <cellStyle name="一般 11 3 3 13 3" xfId="12143"/>
    <cellStyle name="一般 11 3 3 14" xfId="2450"/>
    <cellStyle name="一般 11 3 3 14 2" xfId="2451"/>
    <cellStyle name="一般 11 3 3 14 2 2" xfId="12146"/>
    <cellStyle name="一般 11 3 3 14 3" xfId="12145"/>
    <cellStyle name="一般 11 3 3 15" xfId="2452"/>
    <cellStyle name="一般 11 3 3 15 2" xfId="12147"/>
    <cellStyle name="一般 11 3 3 16" xfId="12120"/>
    <cellStyle name="一般 11 3 3 2" xfId="2453"/>
    <cellStyle name="一般 11 3 3 2 2" xfId="2454"/>
    <cellStyle name="一般 11 3 3 2 2 2" xfId="2455"/>
    <cellStyle name="一般 11 3 3 2 2 2 2" xfId="2456"/>
    <cellStyle name="一般 11 3 3 2 2 2 2 2" xfId="2457"/>
    <cellStyle name="一般 11 3 3 2 2 2 2 2 2" xfId="2458"/>
    <cellStyle name="一般 11 3 3 2 2 2 2 2 2 2" xfId="12153"/>
    <cellStyle name="一般 11 3 3 2 2 2 2 2 3" xfId="12152"/>
    <cellStyle name="一般 11 3 3 2 2 2 2 3" xfId="2459"/>
    <cellStyle name="一般 11 3 3 2 2 2 2 3 2" xfId="12154"/>
    <cellStyle name="一般 11 3 3 2 2 2 2 4" xfId="12151"/>
    <cellStyle name="一般 11 3 3 2 2 2 2_包裝指示書(裏)" xfId="2460"/>
    <cellStyle name="一般 11 3 3 2 2 2 3" xfId="2461"/>
    <cellStyle name="一般 11 3 3 2 2 2 3 2" xfId="2462"/>
    <cellStyle name="一般 11 3 3 2 2 2 3 2 2" xfId="12156"/>
    <cellStyle name="一般 11 3 3 2 2 2 3 3" xfId="12155"/>
    <cellStyle name="一般 11 3 3 2 2 2 4" xfId="2463"/>
    <cellStyle name="一般 11 3 3 2 2 2 4 2" xfId="12157"/>
    <cellStyle name="一般 11 3 3 2 2 2 5" xfId="12150"/>
    <cellStyle name="一般 11 3 3 2 2 2_包裝指示書(裏)" xfId="2464"/>
    <cellStyle name="一般 11 3 3 2 2 3" xfId="2465"/>
    <cellStyle name="一般 11 3 3 2 2 3 2" xfId="2466"/>
    <cellStyle name="一般 11 3 3 2 2 3 2 2" xfId="2467"/>
    <cellStyle name="一般 11 3 3 2 2 3 2 2 2" xfId="12160"/>
    <cellStyle name="一般 11 3 3 2 2 3 2 3" xfId="12159"/>
    <cellStyle name="一般 11 3 3 2 2 3 3" xfId="2468"/>
    <cellStyle name="一般 11 3 3 2 2 3 3 2" xfId="12161"/>
    <cellStyle name="一般 11 3 3 2 2 3 4" xfId="12158"/>
    <cellStyle name="一般 11 3 3 2 2 3_包裝指示書(裏)" xfId="2469"/>
    <cellStyle name="一般 11 3 3 2 2 4" xfId="2470"/>
    <cellStyle name="一般 11 3 3 2 2 4 2" xfId="2471"/>
    <cellStyle name="一般 11 3 3 2 2 4 2 2" xfId="12163"/>
    <cellStyle name="一般 11 3 3 2 2 4 3" xfId="12162"/>
    <cellStyle name="一般 11 3 3 2 2 5" xfId="2472"/>
    <cellStyle name="一般 11 3 3 2 2 5 2" xfId="2473"/>
    <cellStyle name="一般 11 3 3 2 2 5 2 2" xfId="12165"/>
    <cellStyle name="一般 11 3 3 2 2 5 3" xfId="12164"/>
    <cellStyle name="一般 11 3 3 2 2 6" xfId="2474"/>
    <cellStyle name="一般 11 3 3 2 2 6 2" xfId="2475"/>
    <cellStyle name="一般 11 3 3 2 2 6 2 2" xfId="12167"/>
    <cellStyle name="一般 11 3 3 2 2 6 3" xfId="12166"/>
    <cellStyle name="一般 11 3 3 2 2 7" xfId="2476"/>
    <cellStyle name="一般 11 3 3 2 2 7 2" xfId="2477"/>
    <cellStyle name="一般 11 3 3 2 2 7 2 2" xfId="12169"/>
    <cellStyle name="一般 11 3 3 2 2 7 3" xfId="12168"/>
    <cellStyle name="一般 11 3 3 2 2 8" xfId="2478"/>
    <cellStyle name="一般 11 3 3 2 2 8 2" xfId="12170"/>
    <cellStyle name="一般 11 3 3 2 2 9" xfId="12149"/>
    <cellStyle name="一般 11 3 3 2 2_包裝指示書(裏)" xfId="2479"/>
    <cellStyle name="一般 11 3 3 2 3" xfId="2480"/>
    <cellStyle name="一般 11 3 3 2 3 2" xfId="2481"/>
    <cellStyle name="一般 11 3 3 2 3 2 2" xfId="2482"/>
    <cellStyle name="一般 11 3 3 2 3 2 2 2" xfId="2483"/>
    <cellStyle name="一般 11 3 3 2 3 2 2 2 2" xfId="12174"/>
    <cellStyle name="一般 11 3 3 2 3 2 2 3" xfId="12173"/>
    <cellStyle name="一般 11 3 3 2 3 2 3" xfId="2484"/>
    <cellStyle name="一般 11 3 3 2 3 2 3 2" xfId="2485"/>
    <cellStyle name="一般 11 3 3 2 3 2 3 2 2" xfId="12176"/>
    <cellStyle name="一般 11 3 3 2 3 2 3 3" xfId="12175"/>
    <cellStyle name="一般 11 3 3 2 3 2 4" xfId="2486"/>
    <cellStyle name="一般 11 3 3 2 3 2 4 2" xfId="12177"/>
    <cellStyle name="一般 11 3 3 2 3 2 5" xfId="12172"/>
    <cellStyle name="一般 11 3 3 2 3 2_包裝指示書(裏)" xfId="2487"/>
    <cellStyle name="一般 11 3 3 2 3 3" xfId="2488"/>
    <cellStyle name="一般 11 3 3 2 3 3 2" xfId="2489"/>
    <cellStyle name="一般 11 3 3 2 3 3 2 2" xfId="2490"/>
    <cellStyle name="一般 11 3 3 2 3 3 2 2 2" xfId="12180"/>
    <cellStyle name="一般 11 3 3 2 3 3 2 3" xfId="12179"/>
    <cellStyle name="一般 11 3 3 2 3 3 3" xfId="2491"/>
    <cellStyle name="一般 11 3 3 2 3 3 3 2" xfId="12181"/>
    <cellStyle name="一般 11 3 3 2 3 3 4" xfId="12178"/>
    <cellStyle name="一般 11 3 3 2 3 3_包裝指示書(裏)" xfId="2492"/>
    <cellStyle name="一般 11 3 3 2 3 4" xfId="2493"/>
    <cellStyle name="一般 11 3 3 2 3 4 2" xfId="2494"/>
    <cellStyle name="一般 11 3 3 2 3 4 2 2" xfId="12183"/>
    <cellStyle name="一般 11 3 3 2 3 4 3" xfId="12182"/>
    <cellStyle name="一般 11 3 3 2 3 5" xfId="2495"/>
    <cellStyle name="一般 11 3 3 2 3 5 2" xfId="12184"/>
    <cellStyle name="一般 11 3 3 2 3 6" xfId="12171"/>
    <cellStyle name="一般 11 3 3 2 3_包裝指示書(裏)" xfId="2496"/>
    <cellStyle name="一般 11 3 3 2 4" xfId="2497"/>
    <cellStyle name="一般 11 3 3 2 4 2" xfId="2498"/>
    <cellStyle name="一般 11 3 3 2 4 2 2" xfId="2499"/>
    <cellStyle name="一般 11 3 3 2 4 2 2 2" xfId="2500"/>
    <cellStyle name="一般 11 3 3 2 4 2 2 2 2" xfId="12188"/>
    <cellStyle name="一般 11 3 3 2 4 2 2 3" xfId="12187"/>
    <cellStyle name="一般 11 3 3 2 4 2 3" xfId="2501"/>
    <cellStyle name="一般 11 3 3 2 4 2 3 2" xfId="2502"/>
    <cellStyle name="一般 11 3 3 2 4 2 3 2 2" xfId="12190"/>
    <cellStyle name="一般 11 3 3 2 4 2 3 3" xfId="12189"/>
    <cellStyle name="一般 11 3 3 2 4 2 4" xfId="2503"/>
    <cellStyle name="一般 11 3 3 2 4 2 4 2" xfId="12191"/>
    <cellStyle name="一般 11 3 3 2 4 2 5" xfId="12186"/>
    <cellStyle name="一般 11 3 3 2 4 2_包裝指示書(裏)" xfId="2504"/>
    <cellStyle name="一般 11 3 3 2 4 3" xfId="2505"/>
    <cellStyle name="一般 11 3 3 2 4 3 2" xfId="2506"/>
    <cellStyle name="一般 11 3 3 2 4 3 2 2" xfId="12193"/>
    <cellStyle name="一般 11 3 3 2 4 3 3" xfId="12192"/>
    <cellStyle name="一般 11 3 3 2 4 4" xfId="2507"/>
    <cellStyle name="一般 11 3 3 2 4 4 2" xfId="2508"/>
    <cellStyle name="一般 11 3 3 2 4 4 2 2" xfId="12195"/>
    <cellStyle name="一般 11 3 3 2 4 4 3" xfId="12194"/>
    <cellStyle name="一般 11 3 3 2 4 5" xfId="2509"/>
    <cellStyle name="一般 11 3 3 2 4 5 2" xfId="12196"/>
    <cellStyle name="一般 11 3 3 2 4 6" xfId="12185"/>
    <cellStyle name="一般 11 3 3 2 4_包裝指示書(裏)" xfId="2510"/>
    <cellStyle name="一般 11 3 3 2 5" xfId="2511"/>
    <cellStyle name="一般 11 3 3 2 5 2" xfId="2512"/>
    <cellStyle name="一般 11 3 3 2 5 2 2" xfId="2513"/>
    <cellStyle name="一般 11 3 3 2 5 2 2 2" xfId="2514"/>
    <cellStyle name="一般 11 3 3 2 5 2 2 2 2" xfId="12200"/>
    <cellStyle name="一般 11 3 3 2 5 2 2 3" xfId="12199"/>
    <cellStyle name="一般 11 3 3 2 5 2 3" xfId="2515"/>
    <cellStyle name="一般 11 3 3 2 5 2 3 2" xfId="2516"/>
    <cellStyle name="一般 11 3 3 2 5 2 3 2 2" xfId="12202"/>
    <cellStyle name="一般 11 3 3 2 5 2 3 3" xfId="12201"/>
    <cellStyle name="一般 11 3 3 2 5 2 4" xfId="2517"/>
    <cellStyle name="一般 11 3 3 2 5 2 4 2" xfId="12203"/>
    <cellStyle name="一般 11 3 3 2 5 2 5" xfId="12198"/>
    <cellStyle name="一般 11 3 3 2 5 2_包裝指示書(裏)" xfId="2518"/>
    <cellStyle name="一般 11 3 3 2 5 3" xfId="2519"/>
    <cellStyle name="一般 11 3 3 2 5 3 2" xfId="2520"/>
    <cellStyle name="一般 11 3 3 2 5 3 2 2" xfId="12205"/>
    <cellStyle name="一般 11 3 3 2 5 3 3" xfId="12204"/>
    <cellStyle name="一般 11 3 3 2 5 4" xfId="2521"/>
    <cellStyle name="一般 11 3 3 2 5 4 2" xfId="2522"/>
    <cellStyle name="一般 11 3 3 2 5 4 2 2" xfId="12207"/>
    <cellStyle name="一般 11 3 3 2 5 4 3" xfId="12206"/>
    <cellStyle name="一般 11 3 3 2 5 5" xfId="2523"/>
    <cellStyle name="一般 11 3 3 2 5 5 2" xfId="12208"/>
    <cellStyle name="一般 11 3 3 2 5 6" xfId="12197"/>
    <cellStyle name="一般 11 3 3 2 5_包裝指示書(裏)" xfId="2524"/>
    <cellStyle name="一般 11 3 3 2 6" xfId="2525"/>
    <cellStyle name="一般 11 3 3 2 6 2" xfId="2526"/>
    <cellStyle name="一般 11 3 3 2 6 2 2" xfId="2527"/>
    <cellStyle name="一般 11 3 3 2 6 2 2 2" xfId="12211"/>
    <cellStyle name="一般 11 3 3 2 6 2 3" xfId="12210"/>
    <cellStyle name="一般 11 3 3 2 6 3" xfId="2528"/>
    <cellStyle name="一般 11 3 3 2 6 3 2" xfId="12212"/>
    <cellStyle name="一般 11 3 3 2 6 4" xfId="12209"/>
    <cellStyle name="一般 11 3 3 2 6_包裝指示書(裏)" xfId="2529"/>
    <cellStyle name="一般 11 3 3 2 7" xfId="2530"/>
    <cellStyle name="一般 11 3 3 2 7 2" xfId="2531"/>
    <cellStyle name="一般 11 3 3 2 7 2 2" xfId="12214"/>
    <cellStyle name="一般 11 3 3 2 7 3" xfId="12213"/>
    <cellStyle name="一般 11 3 3 2 8" xfId="2532"/>
    <cellStyle name="一般 11 3 3 2 8 2" xfId="12215"/>
    <cellStyle name="一般 11 3 3 2 9" xfId="12148"/>
    <cellStyle name="一般 11 3 3 2_包裝指示書(裏)" xfId="2533"/>
    <cellStyle name="一般 11 3 3 3" xfId="2534"/>
    <cellStyle name="一般 11 3 3 3 10" xfId="12216"/>
    <cellStyle name="一般 11 3 3 3 2" xfId="2535"/>
    <cellStyle name="一般 11 3 3 3 2 2" xfId="2536"/>
    <cellStyle name="一般 11 3 3 3 2 2 2" xfId="2537"/>
    <cellStyle name="一般 11 3 3 3 2 2 2 2" xfId="2538"/>
    <cellStyle name="一般 11 3 3 3 2 2 2 2 2" xfId="12220"/>
    <cellStyle name="一般 11 3 3 3 2 2 2 3" xfId="12219"/>
    <cellStyle name="一般 11 3 3 3 2 2 3" xfId="2539"/>
    <cellStyle name="一般 11 3 3 3 2 2 3 2" xfId="12221"/>
    <cellStyle name="一般 11 3 3 3 2 2 4" xfId="12218"/>
    <cellStyle name="一般 11 3 3 3 2 2_包裝指示書(裏)" xfId="2540"/>
    <cellStyle name="一般 11 3 3 3 2 3" xfId="2541"/>
    <cellStyle name="一般 11 3 3 3 2 3 2" xfId="2542"/>
    <cellStyle name="一般 11 3 3 3 2 3 2 2" xfId="12223"/>
    <cellStyle name="一般 11 3 3 3 2 3 3" xfId="12222"/>
    <cellStyle name="一般 11 3 3 3 2 4" xfId="2543"/>
    <cellStyle name="一般 11 3 3 3 2 4 2" xfId="2544"/>
    <cellStyle name="一般 11 3 3 3 2 4 2 2" xfId="12225"/>
    <cellStyle name="一般 11 3 3 3 2 4 3" xfId="12224"/>
    <cellStyle name="一般 11 3 3 3 2 5" xfId="2545"/>
    <cellStyle name="一般 11 3 3 3 2 5 2" xfId="2546"/>
    <cellStyle name="一般 11 3 3 3 2 5 2 2" xfId="12227"/>
    <cellStyle name="一般 11 3 3 3 2 5 3" xfId="12226"/>
    <cellStyle name="一般 11 3 3 3 2 6" xfId="2547"/>
    <cellStyle name="一般 11 3 3 3 2 6 2" xfId="2548"/>
    <cellStyle name="一般 11 3 3 3 2 6 2 2" xfId="12229"/>
    <cellStyle name="一般 11 3 3 3 2 6 3" xfId="12228"/>
    <cellStyle name="一般 11 3 3 3 2 7" xfId="2549"/>
    <cellStyle name="一般 11 3 3 3 2 7 2" xfId="2550"/>
    <cellStyle name="一般 11 3 3 3 2 7 2 2" xfId="12231"/>
    <cellStyle name="一般 11 3 3 3 2 7 3" xfId="12230"/>
    <cellStyle name="一般 11 3 3 3 2 8" xfId="2551"/>
    <cellStyle name="一般 11 3 3 3 2 8 2" xfId="12232"/>
    <cellStyle name="一般 11 3 3 3 2 9" xfId="12217"/>
    <cellStyle name="一般 11 3 3 3 2_包裝指示書(裏)" xfId="2552"/>
    <cellStyle name="一般 11 3 3 3 3" xfId="2553"/>
    <cellStyle name="一般 11 3 3 3 3 2" xfId="2554"/>
    <cellStyle name="一般 11 3 3 3 3 2 2" xfId="2555"/>
    <cellStyle name="一般 11 3 3 3 3 2 2 2" xfId="12235"/>
    <cellStyle name="一般 11 3 3 3 3 2 3" xfId="12234"/>
    <cellStyle name="一般 11 3 3 3 3 3" xfId="2556"/>
    <cellStyle name="一般 11 3 3 3 3 3 2" xfId="12236"/>
    <cellStyle name="一般 11 3 3 3 3 4" xfId="2557"/>
    <cellStyle name="一般 11 3 3 3 3 4 2" xfId="12237"/>
    <cellStyle name="一般 11 3 3 3 3 5" xfId="2558"/>
    <cellStyle name="一般 11 3 3 3 3 5 2" xfId="12238"/>
    <cellStyle name="一般 11 3 3 3 3 6" xfId="12233"/>
    <cellStyle name="一般 11 3 3 3 3_包裝指示書(裏)" xfId="2559"/>
    <cellStyle name="一般 11 3 3 3 4" xfId="2560"/>
    <cellStyle name="一般 11 3 3 3 4 2" xfId="2561"/>
    <cellStyle name="一般 11 3 3 3 4 2 2" xfId="12240"/>
    <cellStyle name="一般 11 3 3 3 4 3" xfId="12239"/>
    <cellStyle name="一般 11 3 3 3 5" xfId="2562"/>
    <cellStyle name="一般 11 3 3 3 5 2" xfId="2563"/>
    <cellStyle name="一般 11 3 3 3 5 2 2" xfId="12242"/>
    <cellStyle name="一般 11 3 3 3 5 3" xfId="12241"/>
    <cellStyle name="一般 11 3 3 3 6" xfId="2564"/>
    <cellStyle name="一般 11 3 3 3 6 2" xfId="2565"/>
    <cellStyle name="一般 11 3 3 3 6 2 2" xfId="12244"/>
    <cellStyle name="一般 11 3 3 3 6 3" xfId="12243"/>
    <cellStyle name="一般 11 3 3 3 7" xfId="2566"/>
    <cellStyle name="一般 11 3 3 3 7 2" xfId="2567"/>
    <cellStyle name="一般 11 3 3 3 7 2 2" xfId="12246"/>
    <cellStyle name="一般 11 3 3 3 7 3" xfId="12245"/>
    <cellStyle name="一般 11 3 3 3 8" xfId="2568"/>
    <cellStyle name="一般 11 3 3 3 8 2" xfId="2569"/>
    <cellStyle name="一般 11 3 3 3 8 2 2" xfId="12248"/>
    <cellStyle name="一般 11 3 3 3 8 3" xfId="12247"/>
    <cellStyle name="一般 11 3 3 3 9" xfId="2570"/>
    <cellStyle name="一般 11 3 3 3 9 2" xfId="12249"/>
    <cellStyle name="一般 11 3 3 3_包裝指示書(裏)" xfId="2571"/>
    <cellStyle name="一般 11 3 3 4" xfId="2572"/>
    <cellStyle name="一般 11 3 3 4 10" xfId="12250"/>
    <cellStyle name="一般 11 3 3 4 2" xfId="2573"/>
    <cellStyle name="一般 11 3 3 4 2 2" xfId="2574"/>
    <cellStyle name="一般 11 3 3 4 2 2 2" xfId="2575"/>
    <cellStyle name="一般 11 3 3 4 2 2 2 2" xfId="2576"/>
    <cellStyle name="一般 11 3 3 4 2 2 2 2 2" xfId="12254"/>
    <cellStyle name="一般 11 3 3 4 2 2 2 3" xfId="12253"/>
    <cellStyle name="一般 11 3 3 4 2 2 3" xfId="2577"/>
    <cellStyle name="一般 11 3 3 4 2 2 3 2" xfId="12255"/>
    <cellStyle name="一般 11 3 3 4 2 2 4" xfId="12252"/>
    <cellStyle name="一般 11 3 3 4 2 2_包裝指示書(裏)" xfId="2578"/>
    <cellStyle name="一般 11 3 3 4 2 3" xfId="2579"/>
    <cellStyle name="一般 11 3 3 4 2 3 2" xfId="2580"/>
    <cellStyle name="一般 11 3 3 4 2 3 2 2" xfId="12257"/>
    <cellStyle name="一般 11 3 3 4 2 3 3" xfId="12256"/>
    <cellStyle name="一般 11 3 3 4 2 4" xfId="2581"/>
    <cellStyle name="一般 11 3 3 4 2 4 2" xfId="2582"/>
    <cellStyle name="一般 11 3 3 4 2 4 2 2" xfId="12259"/>
    <cellStyle name="一般 11 3 3 4 2 4 3" xfId="12258"/>
    <cellStyle name="一般 11 3 3 4 2 5" xfId="2583"/>
    <cellStyle name="一般 11 3 3 4 2 5 2" xfId="2584"/>
    <cellStyle name="一般 11 3 3 4 2 5 2 2" xfId="12261"/>
    <cellStyle name="一般 11 3 3 4 2 5 3" xfId="12260"/>
    <cellStyle name="一般 11 3 3 4 2 6" xfId="2585"/>
    <cellStyle name="一般 11 3 3 4 2 6 2" xfId="2586"/>
    <cellStyle name="一般 11 3 3 4 2 6 2 2" xfId="12263"/>
    <cellStyle name="一般 11 3 3 4 2 6 3" xfId="12262"/>
    <cellStyle name="一般 11 3 3 4 2 7" xfId="2587"/>
    <cellStyle name="一般 11 3 3 4 2 7 2" xfId="2588"/>
    <cellStyle name="一般 11 3 3 4 2 7 2 2" xfId="12265"/>
    <cellStyle name="一般 11 3 3 4 2 7 3" xfId="12264"/>
    <cellStyle name="一般 11 3 3 4 2 8" xfId="2589"/>
    <cellStyle name="一般 11 3 3 4 2 8 2" xfId="12266"/>
    <cellStyle name="一般 11 3 3 4 2 9" xfId="12251"/>
    <cellStyle name="一般 11 3 3 4 2_包裝指示書(裏)" xfId="2590"/>
    <cellStyle name="一般 11 3 3 4 3" xfId="2591"/>
    <cellStyle name="一般 11 3 3 4 3 2" xfId="2592"/>
    <cellStyle name="一般 11 3 3 4 3 2 2" xfId="2593"/>
    <cellStyle name="一般 11 3 3 4 3 2 2 2" xfId="12269"/>
    <cellStyle name="一般 11 3 3 4 3 2 3" xfId="12268"/>
    <cellStyle name="一般 11 3 3 4 3 3" xfId="2594"/>
    <cellStyle name="一般 11 3 3 4 3 3 2" xfId="12270"/>
    <cellStyle name="一般 11 3 3 4 3 4" xfId="2595"/>
    <cellStyle name="一般 11 3 3 4 3 4 2" xfId="12271"/>
    <cellStyle name="一般 11 3 3 4 3 5" xfId="2596"/>
    <cellStyle name="一般 11 3 3 4 3 5 2" xfId="12272"/>
    <cellStyle name="一般 11 3 3 4 3 6" xfId="12267"/>
    <cellStyle name="一般 11 3 3 4 3_包裝指示書(裏)" xfId="2597"/>
    <cellStyle name="一般 11 3 3 4 4" xfId="2598"/>
    <cellStyle name="一般 11 3 3 4 4 2" xfId="2599"/>
    <cellStyle name="一般 11 3 3 4 4 2 2" xfId="12274"/>
    <cellStyle name="一般 11 3 3 4 4 3" xfId="12273"/>
    <cellStyle name="一般 11 3 3 4 5" xfId="2600"/>
    <cellStyle name="一般 11 3 3 4 5 2" xfId="2601"/>
    <cellStyle name="一般 11 3 3 4 5 2 2" xfId="12276"/>
    <cellStyle name="一般 11 3 3 4 5 3" xfId="12275"/>
    <cellStyle name="一般 11 3 3 4 6" xfId="2602"/>
    <cellStyle name="一般 11 3 3 4 6 2" xfId="2603"/>
    <cellStyle name="一般 11 3 3 4 6 2 2" xfId="12278"/>
    <cellStyle name="一般 11 3 3 4 6 3" xfId="12277"/>
    <cellStyle name="一般 11 3 3 4 7" xfId="2604"/>
    <cellStyle name="一般 11 3 3 4 7 2" xfId="2605"/>
    <cellStyle name="一般 11 3 3 4 7 2 2" xfId="12280"/>
    <cellStyle name="一般 11 3 3 4 7 3" xfId="12279"/>
    <cellStyle name="一般 11 3 3 4 8" xfId="2606"/>
    <cellStyle name="一般 11 3 3 4 8 2" xfId="2607"/>
    <cellStyle name="一般 11 3 3 4 8 2 2" xfId="12282"/>
    <cellStyle name="一般 11 3 3 4 8 3" xfId="12281"/>
    <cellStyle name="一般 11 3 3 4 9" xfId="2608"/>
    <cellStyle name="一般 11 3 3 4 9 2" xfId="12283"/>
    <cellStyle name="一般 11 3 3 4_包裝指示書(裏)" xfId="2609"/>
    <cellStyle name="一般 11 3 3 5" xfId="2610"/>
    <cellStyle name="一般 11 3 3 5 2" xfId="2611"/>
    <cellStyle name="一般 11 3 3 5 2 2" xfId="2612"/>
    <cellStyle name="一般 11 3 3 5 2 2 2" xfId="2613"/>
    <cellStyle name="一般 11 3 3 5 2 2 2 2" xfId="2614"/>
    <cellStyle name="一般 11 3 3 5 2 2 2 2 2" xfId="12288"/>
    <cellStyle name="一般 11 3 3 5 2 2 2 3" xfId="12287"/>
    <cellStyle name="一般 11 3 3 5 2 2 3" xfId="2615"/>
    <cellStyle name="一般 11 3 3 5 2 2 3 2" xfId="12289"/>
    <cellStyle name="一般 11 3 3 5 2 2 4" xfId="12286"/>
    <cellStyle name="一般 11 3 3 5 2 2_包裝指示書(裏)" xfId="2616"/>
    <cellStyle name="一般 11 3 3 5 2 3" xfId="2617"/>
    <cellStyle name="一般 11 3 3 5 2 3 2" xfId="2618"/>
    <cellStyle name="一般 11 3 3 5 2 3 2 2" xfId="12291"/>
    <cellStyle name="一般 11 3 3 5 2 3 3" xfId="12290"/>
    <cellStyle name="一般 11 3 3 5 2 4" xfId="2619"/>
    <cellStyle name="一般 11 3 3 5 2 4 2" xfId="12292"/>
    <cellStyle name="一般 11 3 3 5 2 5" xfId="2620"/>
    <cellStyle name="一般 11 3 3 5 2 5 2" xfId="12293"/>
    <cellStyle name="一般 11 3 3 5 2 6" xfId="12285"/>
    <cellStyle name="一般 11 3 3 5 2_包裝指示書(裏)" xfId="2621"/>
    <cellStyle name="一般 11 3 3 5 3" xfId="2622"/>
    <cellStyle name="一般 11 3 3 5 3 2" xfId="2623"/>
    <cellStyle name="一般 11 3 3 5 3 2 2" xfId="2624"/>
    <cellStyle name="一般 11 3 3 5 3 2 2 2" xfId="12296"/>
    <cellStyle name="一般 11 3 3 5 3 2 3" xfId="12295"/>
    <cellStyle name="一般 11 3 3 5 3 3" xfId="2625"/>
    <cellStyle name="一般 11 3 3 5 3 3 2" xfId="12297"/>
    <cellStyle name="一般 11 3 3 5 3 4" xfId="2626"/>
    <cellStyle name="一般 11 3 3 5 3 4 2" xfId="12298"/>
    <cellStyle name="一般 11 3 3 5 3 5" xfId="2627"/>
    <cellStyle name="一般 11 3 3 5 3 5 2" xfId="12299"/>
    <cellStyle name="一般 11 3 3 5 3 6" xfId="12294"/>
    <cellStyle name="一般 11 3 3 5 3_包裝指示書(裏)" xfId="2628"/>
    <cellStyle name="一般 11 3 3 5 4" xfId="2629"/>
    <cellStyle name="一般 11 3 3 5 4 2" xfId="2630"/>
    <cellStyle name="一般 11 3 3 5 4 2 2" xfId="12301"/>
    <cellStyle name="一般 11 3 3 5 4 3" xfId="12300"/>
    <cellStyle name="一般 11 3 3 5 5" xfId="2631"/>
    <cellStyle name="一般 11 3 3 5 5 2" xfId="2632"/>
    <cellStyle name="一般 11 3 3 5 5 2 2" xfId="12303"/>
    <cellStyle name="一般 11 3 3 5 5 3" xfId="12302"/>
    <cellStyle name="一般 11 3 3 5 6" xfId="2633"/>
    <cellStyle name="一般 11 3 3 5 6 2" xfId="2634"/>
    <cellStyle name="一般 11 3 3 5 6 2 2" xfId="12305"/>
    <cellStyle name="一般 11 3 3 5 6 3" xfId="12304"/>
    <cellStyle name="一般 11 3 3 5 7" xfId="2635"/>
    <cellStyle name="一般 11 3 3 5 7 2" xfId="2636"/>
    <cellStyle name="一般 11 3 3 5 7 2 2" xfId="12307"/>
    <cellStyle name="一般 11 3 3 5 7 3" xfId="12306"/>
    <cellStyle name="一般 11 3 3 5 8" xfId="2637"/>
    <cellStyle name="一般 11 3 3 5 8 2" xfId="12308"/>
    <cellStyle name="一般 11 3 3 5 9" xfId="12284"/>
    <cellStyle name="一般 11 3 3 5_包裝指示書(裏)" xfId="2638"/>
    <cellStyle name="一般 11 3 3 6" xfId="2639"/>
    <cellStyle name="一般 11 3 3 6 2" xfId="2640"/>
    <cellStyle name="一般 11 3 3 6 2 2" xfId="2641"/>
    <cellStyle name="一般 11 3 3 6 2 2 2" xfId="2642"/>
    <cellStyle name="一般 11 3 3 6 2 2 2 2" xfId="2643"/>
    <cellStyle name="一般 11 3 3 6 2 2 2 2 2" xfId="12313"/>
    <cellStyle name="一般 11 3 3 6 2 2 2 3" xfId="12312"/>
    <cellStyle name="一般 11 3 3 6 2 2 3" xfId="2644"/>
    <cellStyle name="一般 11 3 3 6 2 2 3 2" xfId="12314"/>
    <cellStyle name="一般 11 3 3 6 2 2 4" xfId="12311"/>
    <cellStyle name="一般 11 3 3 6 2 2_包裝指示書(裏)" xfId="2645"/>
    <cellStyle name="一般 11 3 3 6 2 3" xfId="2646"/>
    <cellStyle name="一般 11 3 3 6 2 3 2" xfId="2647"/>
    <cellStyle name="一般 11 3 3 6 2 3 2 2" xfId="12316"/>
    <cellStyle name="一般 11 3 3 6 2 3 3" xfId="12315"/>
    <cellStyle name="一般 11 3 3 6 2 4" xfId="2648"/>
    <cellStyle name="一般 11 3 3 6 2 4 2" xfId="12317"/>
    <cellStyle name="一般 11 3 3 6 2 5" xfId="2649"/>
    <cellStyle name="一般 11 3 3 6 2 5 2" xfId="12318"/>
    <cellStyle name="一般 11 3 3 6 2 6" xfId="12310"/>
    <cellStyle name="一般 11 3 3 6 2_包裝指示書(裏)" xfId="2650"/>
    <cellStyle name="一般 11 3 3 6 3" xfId="2651"/>
    <cellStyle name="一般 11 3 3 6 3 2" xfId="2652"/>
    <cellStyle name="一般 11 3 3 6 3 2 2" xfId="2653"/>
    <cellStyle name="一般 11 3 3 6 3 2 2 2" xfId="12321"/>
    <cellStyle name="一般 11 3 3 6 3 2 3" xfId="12320"/>
    <cellStyle name="一般 11 3 3 6 3 3" xfId="2654"/>
    <cellStyle name="一般 11 3 3 6 3 3 2" xfId="12322"/>
    <cellStyle name="一般 11 3 3 6 3 4" xfId="2655"/>
    <cellStyle name="一般 11 3 3 6 3 4 2" xfId="12323"/>
    <cellStyle name="一般 11 3 3 6 3 5" xfId="2656"/>
    <cellStyle name="一般 11 3 3 6 3 5 2" xfId="12324"/>
    <cellStyle name="一般 11 3 3 6 3 6" xfId="12319"/>
    <cellStyle name="一般 11 3 3 6 3_包裝指示書(裏)" xfId="2657"/>
    <cellStyle name="一般 11 3 3 6 4" xfId="2658"/>
    <cellStyle name="一般 11 3 3 6 4 2" xfId="2659"/>
    <cellStyle name="一般 11 3 3 6 4 2 2" xfId="12326"/>
    <cellStyle name="一般 11 3 3 6 4 3" xfId="12325"/>
    <cellStyle name="一般 11 3 3 6 5" xfId="2660"/>
    <cellStyle name="一般 11 3 3 6 5 2" xfId="2661"/>
    <cellStyle name="一般 11 3 3 6 5 2 2" xfId="12328"/>
    <cellStyle name="一般 11 3 3 6 5 3" xfId="12327"/>
    <cellStyle name="一般 11 3 3 6 6" xfId="2662"/>
    <cellStyle name="一般 11 3 3 6 6 2" xfId="2663"/>
    <cellStyle name="一般 11 3 3 6 6 2 2" xfId="12330"/>
    <cellStyle name="一般 11 3 3 6 6 3" xfId="12329"/>
    <cellStyle name="一般 11 3 3 6 7" xfId="2664"/>
    <cellStyle name="一般 11 3 3 6 7 2" xfId="2665"/>
    <cellStyle name="一般 11 3 3 6 7 2 2" xfId="12332"/>
    <cellStyle name="一般 11 3 3 6 7 3" xfId="12331"/>
    <cellStyle name="一般 11 3 3 6 8" xfId="2666"/>
    <cellStyle name="一般 11 3 3 6 8 2" xfId="12333"/>
    <cellStyle name="一般 11 3 3 6 9" xfId="12309"/>
    <cellStyle name="一般 11 3 3 6_包裝指示書(裏)" xfId="2667"/>
    <cellStyle name="一般 11 3 3 7" xfId="2668"/>
    <cellStyle name="一般 11 3 3 7 2" xfId="2669"/>
    <cellStyle name="一般 11 3 3 7 2 2" xfId="2670"/>
    <cellStyle name="一般 11 3 3 7 2 2 2" xfId="2671"/>
    <cellStyle name="一般 11 3 3 7 2 2 2 2" xfId="2672"/>
    <cellStyle name="一般 11 3 3 7 2 2 2 2 2" xfId="12338"/>
    <cellStyle name="一般 11 3 3 7 2 2 2 3" xfId="12337"/>
    <cellStyle name="一般 11 3 3 7 2 2 3" xfId="2673"/>
    <cellStyle name="一般 11 3 3 7 2 2 3 2" xfId="12339"/>
    <cellStyle name="一般 11 3 3 7 2 2 4" xfId="12336"/>
    <cellStyle name="一般 11 3 3 7 2 2_包裝指示書(裏)" xfId="2674"/>
    <cellStyle name="一般 11 3 3 7 2 3" xfId="2675"/>
    <cellStyle name="一般 11 3 3 7 2 3 2" xfId="2676"/>
    <cellStyle name="一般 11 3 3 7 2 3 2 2" xfId="12341"/>
    <cellStyle name="一般 11 3 3 7 2 3 3" xfId="12340"/>
    <cellStyle name="一般 11 3 3 7 2 4" xfId="2677"/>
    <cellStyle name="一般 11 3 3 7 2 4 2" xfId="12342"/>
    <cellStyle name="一般 11 3 3 7 2 5" xfId="12335"/>
    <cellStyle name="一般 11 3 3 7 2_包裝指示書(裏)" xfId="2678"/>
    <cellStyle name="一般 11 3 3 7 3" xfId="2679"/>
    <cellStyle name="一般 11 3 3 7 3 2" xfId="2680"/>
    <cellStyle name="一般 11 3 3 7 3 2 2" xfId="2681"/>
    <cellStyle name="一般 11 3 3 7 3 2 2 2" xfId="12345"/>
    <cellStyle name="一般 11 3 3 7 3 2 3" xfId="12344"/>
    <cellStyle name="一般 11 3 3 7 3 3" xfId="2682"/>
    <cellStyle name="一般 11 3 3 7 3 3 2" xfId="12346"/>
    <cellStyle name="一般 11 3 3 7 3 4" xfId="12343"/>
    <cellStyle name="一般 11 3 3 7 3_包裝指示書(裏)" xfId="2683"/>
    <cellStyle name="一般 11 3 3 7 4" xfId="2684"/>
    <cellStyle name="一般 11 3 3 7 4 2" xfId="2685"/>
    <cellStyle name="一般 11 3 3 7 4 2 2" xfId="12348"/>
    <cellStyle name="一般 11 3 3 7 4 3" xfId="12347"/>
    <cellStyle name="一般 11 3 3 7 5" xfId="2686"/>
    <cellStyle name="一般 11 3 3 7 5 2" xfId="2687"/>
    <cellStyle name="一般 11 3 3 7 5 2 2" xfId="12350"/>
    <cellStyle name="一般 11 3 3 7 5 3" xfId="12349"/>
    <cellStyle name="一般 11 3 3 7 6" xfId="2688"/>
    <cellStyle name="一般 11 3 3 7 6 2" xfId="2689"/>
    <cellStyle name="一般 11 3 3 7 6 2 2" xfId="12352"/>
    <cellStyle name="一般 11 3 3 7 6 3" xfId="12351"/>
    <cellStyle name="一般 11 3 3 7 7" xfId="2690"/>
    <cellStyle name="一般 11 3 3 7 7 2" xfId="2691"/>
    <cellStyle name="一般 11 3 3 7 7 2 2" xfId="12354"/>
    <cellStyle name="一般 11 3 3 7 7 3" xfId="12353"/>
    <cellStyle name="一般 11 3 3 7 8" xfId="2692"/>
    <cellStyle name="一般 11 3 3 7 8 2" xfId="12355"/>
    <cellStyle name="一般 11 3 3 7 9" xfId="12334"/>
    <cellStyle name="一般 11 3 3 7_包裝指示書(裏)" xfId="2693"/>
    <cellStyle name="一般 11 3 3 8" xfId="2694"/>
    <cellStyle name="一般 11 3 3 8 2" xfId="2695"/>
    <cellStyle name="一般 11 3 3 8 2 2" xfId="2696"/>
    <cellStyle name="一般 11 3 3 8 2 2 2" xfId="2697"/>
    <cellStyle name="一般 11 3 3 8 2 2 2 2" xfId="12359"/>
    <cellStyle name="一般 11 3 3 8 2 2 3" xfId="12358"/>
    <cellStyle name="一般 11 3 3 8 2 3" xfId="2698"/>
    <cellStyle name="一般 11 3 3 8 2 3 2" xfId="2699"/>
    <cellStyle name="一般 11 3 3 8 2 3 2 2" xfId="12361"/>
    <cellStyle name="一般 11 3 3 8 2 3 3" xfId="12360"/>
    <cellStyle name="一般 11 3 3 8 2 4" xfId="2700"/>
    <cellStyle name="一般 11 3 3 8 2 4 2" xfId="12362"/>
    <cellStyle name="一般 11 3 3 8 2 5" xfId="12357"/>
    <cellStyle name="一般 11 3 3 8 2_包裝指示書(裏)" xfId="2701"/>
    <cellStyle name="一般 11 3 3 8 3" xfId="2702"/>
    <cellStyle name="一般 11 3 3 8 3 2" xfId="2703"/>
    <cellStyle name="一般 11 3 3 8 3 2 2" xfId="2704"/>
    <cellStyle name="一般 11 3 3 8 3 2 2 2" xfId="12365"/>
    <cellStyle name="一般 11 3 3 8 3 2 3" xfId="12364"/>
    <cellStyle name="一般 11 3 3 8 3 3" xfId="2705"/>
    <cellStyle name="一般 11 3 3 8 3 3 2" xfId="12366"/>
    <cellStyle name="一般 11 3 3 8 3 4" xfId="12363"/>
    <cellStyle name="一般 11 3 3 8 3_包裝指示書(裏)" xfId="2706"/>
    <cellStyle name="一般 11 3 3 8 4" xfId="2707"/>
    <cellStyle name="一般 11 3 3 8 4 2" xfId="2708"/>
    <cellStyle name="一般 11 3 3 8 4 2 2" xfId="12368"/>
    <cellStyle name="一般 11 3 3 8 4 3" xfId="12367"/>
    <cellStyle name="一般 11 3 3 8 5" xfId="2709"/>
    <cellStyle name="一般 11 3 3 8 5 2" xfId="2710"/>
    <cellStyle name="一般 11 3 3 8 5 2 2" xfId="12370"/>
    <cellStyle name="一般 11 3 3 8 5 3" xfId="12369"/>
    <cellStyle name="一般 11 3 3 8 6" xfId="2711"/>
    <cellStyle name="一般 11 3 3 8 6 2" xfId="12371"/>
    <cellStyle name="一般 11 3 3 8 7" xfId="12356"/>
    <cellStyle name="一般 11 3 3 8_包裝指示書(裏)" xfId="2712"/>
    <cellStyle name="一般 11 3 3 9" xfId="2713"/>
    <cellStyle name="一般 11 3 3 9 2" xfId="2714"/>
    <cellStyle name="一般 11 3 3 9 2 2" xfId="2715"/>
    <cellStyle name="一般 11 3 3 9 2 2 2" xfId="2716"/>
    <cellStyle name="一般 11 3 3 9 2 2 2 2" xfId="12375"/>
    <cellStyle name="一般 11 3 3 9 2 2 3" xfId="12374"/>
    <cellStyle name="一般 11 3 3 9 2 3" xfId="2717"/>
    <cellStyle name="一般 11 3 3 9 2 3 2" xfId="2718"/>
    <cellStyle name="一般 11 3 3 9 2 3 2 2" xfId="12377"/>
    <cellStyle name="一般 11 3 3 9 2 3 3" xfId="12376"/>
    <cellStyle name="一般 11 3 3 9 2 4" xfId="2719"/>
    <cellStyle name="一般 11 3 3 9 2 4 2" xfId="12378"/>
    <cellStyle name="一般 11 3 3 9 2 5" xfId="12373"/>
    <cellStyle name="一般 11 3 3 9 2_包裝指示書(裏)" xfId="2720"/>
    <cellStyle name="一般 11 3 3 9 3" xfId="2721"/>
    <cellStyle name="一般 11 3 3 9 3 2" xfId="2722"/>
    <cellStyle name="一般 11 3 3 9 3 2 2" xfId="12380"/>
    <cellStyle name="一般 11 3 3 9 3 3" xfId="12379"/>
    <cellStyle name="一般 11 3 3 9 4" xfId="2723"/>
    <cellStyle name="一般 11 3 3 9 4 2" xfId="2724"/>
    <cellStyle name="一般 11 3 3 9 4 2 2" xfId="12382"/>
    <cellStyle name="一般 11 3 3 9 4 3" xfId="12381"/>
    <cellStyle name="一般 11 3 3 9 5" xfId="2725"/>
    <cellStyle name="一般 11 3 3 9 5 2" xfId="12383"/>
    <cellStyle name="一般 11 3 3 9 6" xfId="12372"/>
    <cellStyle name="一般 11 3 3 9_包裝指示書(裏)" xfId="2726"/>
    <cellStyle name="一般 11 3 3_包裝指示書(裏)" xfId="2727"/>
    <cellStyle name="一般 11 3 4" xfId="2728"/>
    <cellStyle name="一般 11 3 4 10" xfId="2729"/>
    <cellStyle name="一般 11 3 4 10 2" xfId="2730"/>
    <cellStyle name="一般 11 3 4 10 2 2" xfId="12386"/>
    <cellStyle name="一般 11 3 4 10 3" xfId="12385"/>
    <cellStyle name="一般 11 3 4 11" xfId="2731"/>
    <cellStyle name="一般 11 3 4 11 2" xfId="12387"/>
    <cellStyle name="一般 11 3 4 12" xfId="12384"/>
    <cellStyle name="一般 11 3 4 2" xfId="2732"/>
    <cellStyle name="一般 11 3 4 3" xfId="2733"/>
    <cellStyle name="一般 11 3 4 4" xfId="2734"/>
    <cellStyle name="一般 11 3 4 5" xfId="2735"/>
    <cellStyle name="一般 11 3 4 5 2" xfId="2736"/>
    <cellStyle name="一般 11 3 4 5 2 2" xfId="2737"/>
    <cellStyle name="一般 11 3 4 5 2 2 2" xfId="2738"/>
    <cellStyle name="一般 11 3 4 5 2 2 2 2" xfId="2739"/>
    <cellStyle name="一般 11 3 4 5 2 2 2 2 2" xfId="12392"/>
    <cellStyle name="一般 11 3 4 5 2 2 2 3" xfId="12391"/>
    <cellStyle name="一般 11 3 4 5 2 2 3" xfId="2740"/>
    <cellStyle name="一般 11 3 4 5 2 2 3 2" xfId="12393"/>
    <cellStyle name="一般 11 3 4 5 2 2 4" xfId="12390"/>
    <cellStyle name="一般 11 3 4 5 2 2_包裝指示書(裏)" xfId="2741"/>
    <cellStyle name="一般 11 3 4 5 2 3" xfId="2742"/>
    <cellStyle name="一般 11 3 4 5 2 3 2" xfId="2743"/>
    <cellStyle name="一般 11 3 4 5 2 3 2 2" xfId="12395"/>
    <cellStyle name="一般 11 3 4 5 2 3 3" xfId="12394"/>
    <cellStyle name="一般 11 3 4 5 2 4" xfId="2744"/>
    <cellStyle name="一般 11 3 4 5 2 4 2" xfId="12396"/>
    <cellStyle name="一般 11 3 4 5 2 5" xfId="12389"/>
    <cellStyle name="一般 11 3 4 5 2_包裝指示書(裏)" xfId="2745"/>
    <cellStyle name="一般 11 3 4 5 3" xfId="2746"/>
    <cellStyle name="一般 11 3 4 5 3 2" xfId="2747"/>
    <cellStyle name="一般 11 3 4 5 3 2 2" xfId="2748"/>
    <cellStyle name="一般 11 3 4 5 3 2 2 2" xfId="12399"/>
    <cellStyle name="一般 11 3 4 5 3 2 3" xfId="12398"/>
    <cellStyle name="一般 11 3 4 5 3 3" xfId="2749"/>
    <cellStyle name="一般 11 3 4 5 3 3 2" xfId="12400"/>
    <cellStyle name="一般 11 3 4 5 3 4" xfId="12397"/>
    <cellStyle name="一般 11 3 4 5 3_包裝指示書(裏)" xfId="2750"/>
    <cellStyle name="一般 11 3 4 5 4" xfId="2751"/>
    <cellStyle name="一般 11 3 4 5 4 2" xfId="2752"/>
    <cellStyle name="一般 11 3 4 5 4 2 2" xfId="12402"/>
    <cellStyle name="一般 11 3 4 5 4 3" xfId="12401"/>
    <cellStyle name="一般 11 3 4 5 5" xfId="2753"/>
    <cellStyle name="一般 11 3 4 5 5 2" xfId="2754"/>
    <cellStyle name="一般 11 3 4 5 5 2 2" xfId="12404"/>
    <cellStyle name="一般 11 3 4 5 5 3" xfId="12403"/>
    <cellStyle name="一般 11 3 4 5 6" xfId="2755"/>
    <cellStyle name="一般 11 3 4 5 6 2" xfId="2756"/>
    <cellStyle name="一般 11 3 4 5 6 2 2" xfId="12406"/>
    <cellStyle name="一般 11 3 4 5 6 3" xfId="12405"/>
    <cellStyle name="一般 11 3 4 5 7" xfId="2757"/>
    <cellStyle name="一般 11 3 4 5 7 2" xfId="2758"/>
    <cellStyle name="一般 11 3 4 5 7 2 2" xfId="12408"/>
    <cellStyle name="一般 11 3 4 5 7 3" xfId="12407"/>
    <cellStyle name="一般 11 3 4 5 8" xfId="2759"/>
    <cellStyle name="一般 11 3 4 5 8 2" xfId="12409"/>
    <cellStyle name="一般 11 3 4 5 9" xfId="12388"/>
    <cellStyle name="一般 11 3 4 5_包裝指示書(裏)" xfId="2760"/>
    <cellStyle name="一般 11 3 4 6" xfId="2761"/>
    <cellStyle name="一般 11 3 4 6 2" xfId="2762"/>
    <cellStyle name="一般 11 3 4 6 2 2" xfId="2763"/>
    <cellStyle name="一般 11 3 4 6 2 2 2" xfId="2764"/>
    <cellStyle name="一般 11 3 4 6 2 2 2 2" xfId="12413"/>
    <cellStyle name="一般 11 3 4 6 2 2 3" xfId="12412"/>
    <cellStyle name="一般 11 3 4 6 2 3" xfId="2765"/>
    <cellStyle name="一般 11 3 4 6 2 3 2" xfId="2766"/>
    <cellStyle name="一般 11 3 4 6 2 3 2 2" xfId="12415"/>
    <cellStyle name="一般 11 3 4 6 2 3 3" xfId="12414"/>
    <cellStyle name="一般 11 3 4 6 2 4" xfId="2767"/>
    <cellStyle name="一般 11 3 4 6 2 4 2" xfId="12416"/>
    <cellStyle name="一般 11 3 4 6 2 5" xfId="12411"/>
    <cellStyle name="一般 11 3 4 6 2_包裝指示書(裏)" xfId="2768"/>
    <cellStyle name="一般 11 3 4 6 3" xfId="2769"/>
    <cellStyle name="一般 11 3 4 6 3 2" xfId="2770"/>
    <cellStyle name="一般 11 3 4 6 3 2 2" xfId="2771"/>
    <cellStyle name="一般 11 3 4 6 3 2 2 2" xfId="12419"/>
    <cellStyle name="一般 11 3 4 6 3 2 3" xfId="12418"/>
    <cellStyle name="一般 11 3 4 6 3 3" xfId="2772"/>
    <cellStyle name="一般 11 3 4 6 3 3 2" xfId="12420"/>
    <cellStyle name="一般 11 3 4 6 3 4" xfId="12417"/>
    <cellStyle name="一般 11 3 4 6 3_包裝指示書(裏)" xfId="2773"/>
    <cellStyle name="一般 11 3 4 6 4" xfId="2774"/>
    <cellStyle name="一般 11 3 4 6 4 2" xfId="2775"/>
    <cellStyle name="一般 11 3 4 6 4 2 2" xfId="12422"/>
    <cellStyle name="一般 11 3 4 6 4 3" xfId="12421"/>
    <cellStyle name="一般 11 3 4 6 5" xfId="2776"/>
    <cellStyle name="一般 11 3 4 6 5 2" xfId="12423"/>
    <cellStyle name="一般 11 3 4 6 6" xfId="12410"/>
    <cellStyle name="一般 11 3 4 6_包裝指示書(裏)" xfId="2777"/>
    <cellStyle name="一般 11 3 4 7" xfId="2778"/>
    <cellStyle name="一般 11 3 4 7 2" xfId="2779"/>
    <cellStyle name="一般 11 3 4 7 2 2" xfId="2780"/>
    <cellStyle name="一般 11 3 4 7 2 2 2" xfId="2781"/>
    <cellStyle name="一般 11 3 4 7 2 2 2 2" xfId="12427"/>
    <cellStyle name="一般 11 3 4 7 2 2 3" xfId="12426"/>
    <cellStyle name="一般 11 3 4 7 2 3" xfId="2782"/>
    <cellStyle name="一般 11 3 4 7 2 3 2" xfId="2783"/>
    <cellStyle name="一般 11 3 4 7 2 3 2 2" xfId="12429"/>
    <cellStyle name="一般 11 3 4 7 2 3 3" xfId="12428"/>
    <cellStyle name="一般 11 3 4 7 2 4" xfId="2784"/>
    <cellStyle name="一般 11 3 4 7 2 4 2" xfId="12430"/>
    <cellStyle name="一般 11 3 4 7 2 5" xfId="12425"/>
    <cellStyle name="一般 11 3 4 7 2_包裝指示書(裏)" xfId="2785"/>
    <cellStyle name="一般 11 3 4 7 3" xfId="2786"/>
    <cellStyle name="一般 11 3 4 7 3 2" xfId="2787"/>
    <cellStyle name="一般 11 3 4 7 3 2 2" xfId="12432"/>
    <cellStyle name="一般 11 3 4 7 3 3" xfId="12431"/>
    <cellStyle name="一般 11 3 4 7 4" xfId="2788"/>
    <cellStyle name="一般 11 3 4 7 4 2" xfId="2789"/>
    <cellStyle name="一般 11 3 4 7 4 2 2" xfId="12434"/>
    <cellStyle name="一般 11 3 4 7 4 3" xfId="12433"/>
    <cellStyle name="一般 11 3 4 7 5" xfId="2790"/>
    <cellStyle name="一般 11 3 4 7 5 2" xfId="12435"/>
    <cellStyle name="一般 11 3 4 7 6" xfId="12424"/>
    <cellStyle name="一般 11 3 4 7_包裝指示書(裏)" xfId="2791"/>
    <cellStyle name="一般 11 3 4 8" xfId="2792"/>
    <cellStyle name="一般 11 3 4 8 2" xfId="2793"/>
    <cellStyle name="一般 11 3 4 8 2 2" xfId="2794"/>
    <cellStyle name="一般 11 3 4 8 2 2 2" xfId="2795"/>
    <cellStyle name="一般 11 3 4 8 2 2 2 2" xfId="12439"/>
    <cellStyle name="一般 11 3 4 8 2 2 3" xfId="12438"/>
    <cellStyle name="一般 11 3 4 8 2 3" xfId="2796"/>
    <cellStyle name="一般 11 3 4 8 2 3 2" xfId="2797"/>
    <cellStyle name="一般 11 3 4 8 2 3 2 2" xfId="12441"/>
    <cellStyle name="一般 11 3 4 8 2 3 3" xfId="12440"/>
    <cellStyle name="一般 11 3 4 8 2 4" xfId="2798"/>
    <cellStyle name="一般 11 3 4 8 2 4 2" xfId="12442"/>
    <cellStyle name="一般 11 3 4 8 2 5" xfId="12437"/>
    <cellStyle name="一般 11 3 4 8 2_包裝指示書(裏)" xfId="2799"/>
    <cellStyle name="一般 11 3 4 8 3" xfId="2800"/>
    <cellStyle name="一般 11 3 4 8 3 2" xfId="2801"/>
    <cellStyle name="一般 11 3 4 8 3 2 2" xfId="12444"/>
    <cellStyle name="一般 11 3 4 8 3 3" xfId="12443"/>
    <cellStyle name="一般 11 3 4 8 4" xfId="2802"/>
    <cellStyle name="一般 11 3 4 8 4 2" xfId="2803"/>
    <cellStyle name="一般 11 3 4 8 4 2 2" xfId="12446"/>
    <cellStyle name="一般 11 3 4 8 4 3" xfId="12445"/>
    <cellStyle name="一般 11 3 4 8 5" xfId="2804"/>
    <cellStyle name="一般 11 3 4 8 5 2" xfId="12447"/>
    <cellStyle name="一般 11 3 4 8 6" xfId="12436"/>
    <cellStyle name="一般 11 3 4 8_包裝指示書(裏)" xfId="2805"/>
    <cellStyle name="一般 11 3 4 9" xfId="2806"/>
    <cellStyle name="一般 11 3 4 9 2" xfId="2807"/>
    <cellStyle name="一般 11 3 4 9 2 2" xfId="2808"/>
    <cellStyle name="一般 11 3 4 9 2 2 2" xfId="12450"/>
    <cellStyle name="一般 11 3 4 9 2 3" xfId="12449"/>
    <cellStyle name="一般 11 3 4 9 3" xfId="2809"/>
    <cellStyle name="一般 11 3 4 9 3 2" xfId="12451"/>
    <cellStyle name="一般 11 3 4 9 4" xfId="12448"/>
    <cellStyle name="一般 11 3 4 9_包裝指示書(裏)" xfId="2810"/>
    <cellStyle name="一般 11 3 4_包裝指示書(裏)" xfId="2811"/>
    <cellStyle name="一般 11 3 5" xfId="2812"/>
    <cellStyle name="一般 11 3 5 2" xfId="2813"/>
    <cellStyle name="一般 11 3 5 2 2" xfId="2814"/>
    <cellStyle name="一般 11 3 5 2 2 2" xfId="2815"/>
    <cellStyle name="一般 11 3 5 2 2 2 2" xfId="12454"/>
    <cellStyle name="一般 11 3 5 2 2 3" xfId="12453"/>
    <cellStyle name="一般 11 3 5 2 3" xfId="2816"/>
    <cellStyle name="一般 11 3 5 2 3 2" xfId="2817"/>
    <cellStyle name="一般 11 3 5 2 3 2 2" xfId="12456"/>
    <cellStyle name="一般 11 3 5 2 3 3" xfId="12455"/>
    <cellStyle name="一般 11 3 5 2 4" xfId="2818"/>
    <cellStyle name="一般 11 3 5 2 4 2" xfId="12457"/>
    <cellStyle name="一般 11 3 5 2 5" xfId="12452"/>
    <cellStyle name="一般 11 3 5 2_包裝指示書(裏)" xfId="2819"/>
    <cellStyle name="一般 11 3 5 3" xfId="2820"/>
    <cellStyle name="一般 11 3 5 3 2" xfId="2821"/>
    <cellStyle name="一般 11 3 5 3 2 2" xfId="12459"/>
    <cellStyle name="一般 11 3 5 3 3" xfId="2822"/>
    <cellStyle name="一般 11 3 5 3 3 2" xfId="12460"/>
    <cellStyle name="一般 11 3 5 3 4" xfId="2823"/>
    <cellStyle name="一般 11 3 5 3 4 2" xfId="12461"/>
    <cellStyle name="一般 11 3 5 3 5" xfId="12458"/>
    <cellStyle name="一般 11 3 5 4" xfId="2824"/>
    <cellStyle name="一般 11 3 5 4 2" xfId="2825"/>
    <cellStyle name="一般 11 3 5 4 2 2" xfId="12463"/>
    <cellStyle name="一般 11 3 5 4 3" xfId="12462"/>
    <cellStyle name="一般 11 3 5 5" xfId="2826"/>
    <cellStyle name="一般 11 3 5 5 2" xfId="12464"/>
    <cellStyle name="一般 11 3 5 6" xfId="2827"/>
    <cellStyle name="一般 11 3 5 6 2" xfId="12465"/>
    <cellStyle name="一般 11 3 5 7" xfId="2828"/>
    <cellStyle name="一般 11 3 5 7 2" xfId="12466"/>
    <cellStyle name="一般 11 3 5 8" xfId="2829"/>
    <cellStyle name="一般 11 3 5 8 2" xfId="12467"/>
    <cellStyle name="一般 11 3 5_包裝指示書(裏)" xfId="2830"/>
    <cellStyle name="一般 11 3 6" xfId="2831"/>
    <cellStyle name="一般 11 3 6 10" xfId="12468"/>
    <cellStyle name="一般 11 3 6 2" xfId="2832"/>
    <cellStyle name="一般 11 3 6 2 2" xfId="2833"/>
    <cellStyle name="一般 11 3 6 2 2 2" xfId="2834"/>
    <cellStyle name="一般 11 3 6 2 2 2 2" xfId="2835"/>
    <cellStyle name="一般 11 3 6 2 2 2 2 2" xfId="12472"/>
    <cellStyle name="一般 11 3 6 2 2 2 3" xfId="12471"/>
    <cellStyle name="一般 11 3 6 2 2 3" xfId="2836"/>
    <cellStyle name="一般 11 3 6 2 2 3 2" xfId="12473"/>
    <cellStyle name="一般 11 3 6 2 2 4" xfId="12470"/>
    <cellStyle name="一般 11 3 6 2 2_包裝指示書(裏)" xfId="2837"/>
    <cellStyle name="一般 11 3 6 2 3" xfId="2838"/>
    <cellStyle name="一般 11 3 6 2 3 2" xfId="2839"/>
    <cellStyle name="一般 11 3 6 2 3 2 2" xfId="12475"/>
    <cellStyle name="一般 11 3 6 2 3 3" xfId="12474"/>
    <cellStyle name="一般 11 3 6 2 4" xfId="2840"/>
    <cellStyle name="一般 11 3 6 2 4 2" xfId="2841"/>
    <cellStyle name="一般 11 3 6 2 4 2 2" xfId="12477"/>
    <cellStyle name="一般 11 3 6 2 4 3" xfId="12476"/>
    <cellStyle name="一般 11 3 6 2 5" xfId="2842"/>
    <cellStyle name="一般 11 3 6 2 5 2" xfId="2843"/>
    <cellStyle name="一般 11 3 6 2 5 2 2" xfId="12479"/>
    <cellStyle name="一般 11 3 6 2 5 3" xfId="12478"/>
    <cellStyle name="一般 11 3 6 2 6" xfId="2844"/>
    <cellStyle name="一般 11 3 6 2 6 2" xfId="2845"/>
    <cellStyle name="一般 11 3 6 2 6 2 2" xfId="12481"/>
    <cellStyle name="一般 11 3 6 2 6 3" xfId="12480"/>
    <cellStyle name="一般 11 3 6 2 7" xfId="2846"/>
    <cellStyle name="一般 11 3 6 2 7 2" xfId="2847"/>
    <cellStyle name="一般 11 3 6 2 7 2 2" xfId="12483"/>
    <cellStyle name="一般 11 3 6 2 7 3" xfId="12482"/>
    <cellStyle name="一般 11 3 6 2 8" xfId="2848"/>
    <cellStyle name="一般 11 3 6 2 8 2" xfId="12484"/>
    <cellStyle name="一般 11 3 6 2 9" xfId="12469"/>
    <cellStyle name="一般 11 3 6 2_包裝指示書(裏)" xfId="2849"/>
    <cellStyle name="一般 11 3 6 3" xfId="2850"/>
    <cellStyle name="一般 11 3 6 3 2" xfId="2851"/>
    <cellStyle name="一般 11 3 6 3 2 2" xfId="2852"/>
    <cellStyle name="一般 11 3 6 3 2 2 2" xfId="12487"/>
    <cellStyle name="一般 11 3 6 3 2 3" xfId="12486"/>
    <cellStyle name="一般 11 3 6 3 3" xfId="2853"/>
    <cellStyle name="一般 11 3 6 3 3 2" xfId="12488"/>
    <cellStyle name="一般 11 3 6 3 4" xfId="2854"/>
    <cellStyle name="一般 11 3 6 3 4 2" xfId="12489"/>
    <cellStyle name="一般 11 3 6 3 5" xfId="2855"/>
    <cellStyle name="一般 11 3 6 3 5 2" xfId="12490"/>
    <cellStyle name="一般 11 3 6 3 6" xfId="12485"/>
    <cellStyle name="一般 11 3 6 3_包裝指示書(裏)" xfId="2856"/>
    <cellStyle name="一般 11 3 6 4" xfId="2857"/>
    <cellStyle name="一般 11 3 6 4 2" xfId="2858"/>
    <cellStyle name="一般 11 3 6 4 2 2" xfId="12492"/>
    <cellStyle name="一般 11 3 6 4 3" xfId="12491"/>
    <cellStyle name="一般 11 3 6 5" xfId="2859"/>
    <cellStyle name="一般 11 3 6 5 2" xfId="2860"/>
    <cellStyle name="一般 11 3 6 5 2 2" xfId="12494"/>
    <cellStyle name="一般 11 3 6 5 3" xfId="12493"/>
    <cellStyle name="一般 11 3 6 6" xfId="2861"/>
    <cellStyle name="一般 11 3 6 6 2" xfId="2862"/>
    <cellStyle name="一般 11 3 6 6 2 2" xfId="12496"/>
    <cellStyle name="一般 11 3 6 6 3" xfId="12495"/>
    <cellStyle name="一般 11 3 6 7" xfId="2863"/>
    <cellStyle name="一般 11 3 6 7 2" xfId="2864"/>
    <cellStyle name="一般 11 3 6 7 2 2" xfId="12498"/>
    <cellStyle name="一般 11 3 6 7 3" xfId="12497"/>
    <cellStyle name="一般 11 3 6 8" xfId="2865"/>
    <cellStyle name="一般 11 3 6 8 2" xfId="2866"/>
    <cellStyle name="一般 11 3 6 8 2 2" xfId="12500"/>
    <cellStyle name="一般 11 3 6 8 3" xfId="12499"/>
    <cellStyle name="一般 11 3 6 9" xfId="2867"/>
    <cellStyle name="一般 11 3 6 9 2" xfId="12501"/>
    <cellStyle name="一般 11 3 6_包裝指示書(裏)" xfId="2868"/>
    <cellStyle name="一般 11 3 7" xfId="2869"/>
    <cellStyle name="一般 11 3 7 2" xfId="2870"/>
    <cellStyle name="一般 11 3 7 2 2" xfId="2871"/>
    <cellStyle name="一般 11 3 7 2 2 2" xfId="2872"/>
    <cellStyle name="一般 11 3 7 2 2 2 2" xfId="2873"/>
    <cellStyle name="一般 11 3 7 2 2 2 2 2" xfId="12506"/>
    <cellStyle name="一般 11 3 7 2 2 2 3" xfId="12505"/>
    <cellStyle name="一般 11 3 7 2 2 3" xfId="2874"/>
    <cellStyle name="一般 11 3 7 2 2 3 2" xfId="12507"/>
    <cellStyle name="一般 11 3 7 2 2 4" xfId="12504"/>
    <cellStyle name="一般 11 3 7 2 2_包裝指示書(裏)" xfId="2875"/>
    <cellStyle name="一般 11 3 7 2 3" xfId="2876"/>
    <cellStyle name="一般 11 3 7 2 3 2" xfId="2877"/>
    <cellStyle name="一般 11 3 7 2 3 2 2" xfId="12509"/>
    <cellStyle name="一般 11 3 7 2 3 3" xfId="12508"/>
    <cellStyle name="一般 11 3 7 2 4" xfId="2878"/>
    <cellStyle name="一般 11 3 7 2 4 2" xfId="12510"/>
    <cellStyle name="一般 11 3 7 2 5" xfId="2879"/>
    <cellStyle name="一般 11 3 7 2 5 2" xfId="12511"/>
    <cellStyle name="一般 11 3 7 2 6" xfId="12503"/>
    <cellStyle name="一般 11 3 7 2_包裝指示書(裏)" xfId="2880"/>
    <cellStyle name="一般 11 3 7 3" xfId="2881"/>
    <cellStyle name="一般 11 3 7 3 2" xfId="2882"/>
    <cellStyle name="一般 11 3 7 3 2 2" xfId="2883"/>
    <cellStyle name="一般 11 3 7 3 2 2 2" xfId="12514"/>
    <cellStyle name="一般 11 3 7 3 2 3" xfId="12513"/>
    <cellStyle name="一般 11 3 7 3 3" xfId="2884"/>
    <cellStyle name="一般 11 3 7 3 3 2" xfId="12515"/>
    <cellStyle name="一般 11 3 7 3 4" xfId="2885"/>
    <cellStyle name="一般 11 3 7 3 4 2" xfId="12516"/>
    <cellStyle name="一般 11 3 7 3 5" xfId="2886"/>
    <cellStyle name="一般 11 3 7 3 5 2" xfId="12517"/>
    <cellStyle name="一般 11 3 7 3 6" xfId="12512"/>
    <cellStyle name="一般 11 3 7 3_包裝指示書(裏)" xfId="2887"/>
    <cellStyle name="一般 11 3 7 4" xfId="2888"/>
    <cellStyle name="一般 11 3 7 4 2" xfId="2889"/>
    <cellStyle name="一般 11 3 7 4 2 2" xfId="12519"/>
    <cellStyle name="一般 11 3 7 4 3" xfId="12518"/>
    <cellStyle name="一般 11 3 7 5" xfId="2890"/>
    <cellStyle name="一般 11 3 7 5 2" xfId="2891"/>
    <cellStyle name="一般 11 3 7 5 2 2" xfId="12521"/>
    <cellStyle name="一般 11 3 7 5 3" xfId="12520"/>
    <cellStyle name="一般 11 3 7 6" xfId="2892"/>
    <cellStyle name="一般 11 3 7 6 2" xfId="2893"/>
    <cellStyle name="一般 11 3 7 6 2 2" xfId="12523"/>
    <cellStyle name="一般 11 3 7 6 3" xfId="12522"/>
    <cellStyle name="一般 11 3 7 7" xfId="2894"/>
    <cellStyle name="一般 11 3 7 7 2" xfId="2895"/>
    <cellStyle name="一般 11 3 7 7 2 2" xfId="12525"/>
    <cellStyle name="一般 11 3 7 7 3" xfId="12524"/>
    <cellStyle name="一般 11 3 7 8" xfId="2896"/>
    <cellStyle name="一般 11 3 7 8 2" xfId="12526"/>
    <cellStyle name="一般 11 3 7 9" xfId="12502"/>
    <cellStyle name="一般 11 3 7_包裝指示書(裏)" xfId="2897"/>
    <cellStyle name="一般 11 3 8" xfId="2898"/>
    <cellStyle name="一般 11 3 8 2" xfId="2899"/>
    <cellStyle name="一般 11 3 8 2 2" xfId="2900"/>
    <cellStyle name="一般 11 3 8 2 2 2" xfId="2901"/>
    <cellStyle name="一般 11 3 8 2 2 2 2" xfId="2902"/>
    <cellStyle name="一般 11 3 8 2 2 2 2 2" xfId="12531"/>
    <cellStyle name="一般 11 3 8 2 2 2 3" xfId="12530"/>
    <cellStyle name="一般 11 3 8 2 2 3" xfId="2903"/>
    <cellStyle name="一般 11 3 8 2 2 3 2" xfId="12532"/>
    <cellStyle name="一般 11 3 8 2 2 4" xfId="12529"/>
    <cellStyle name="一般 11 3 8 2 2_包裝指示書(裏)" xfId="2904"/>
    <cellStyle name="一般 11 3 8 2 3" xfId="2905"/>
    <cellStyle name="一般 11 3 8 2 3 2" xfId="2906"/>
    <cellStyle name="一般 11 3 8 2 3 2 2" xfId="12534"/>
    <cellStyle name="一般 11 3 8 2 3 3" xfId="12533"/>
    <cellStyle name="一般 11 3 8 2 4" xfId="2907"/>
    <cellStyle name="一般 11 3 8 2 4 2" xfId="12535"/>
    <cellStyle name="一般 11 3 8 2 5" xfId="2908"/>
    <cellStyle name="一般 11 3 8 2 5 2" xfId="12536"/>
    <cellStyle name="一般 11 3 8 2 6" xfId="12528"/>
    <cellStyle name="一般 11 3 8 2_包裝指示書(裏)" xfId="2909"/>
    <cellStyle name="一般 11 3 8 3" xfId="2910"/>
    <cellStyle name="一般 11 3 8 3 2" xfId="2911"/>
    <cellStyle name="一般 11 3 8 3 2 2" xfId="2912"/>
    <cellStyle name="一般 11 3 8 3 2 2 2" xfId="12539"/>
    <cellStyle name="一般 11 3 8 3 2 3" xfId="12538"/>
    <cellStyle name="一般 11 3 8 3 3" xfId="2913"/>
    <cellStyle name="一般 11 3 8 3 3 2" xfId="12540"/>
    <cellStyle name="一般 11 3 8 3 4" xfId="2914"/>
    <cellStyle name="一般 11 3 8 3 4 2" xfId="12541"/>
    <cellStyle name="一般 11 3 8 3 5" xfId="2915"/>
    <cellStyle name="一般 11 3 8 3 5 2" xfId="12542"/>
    <cellStyle name="一般 11 3 8 3 6" xfId="12537"/>
    <cellStyle name="一般 11 3 8 3_包裝指示書(裏)" xfId="2916"/>
    <cellStyle name="一般 11 3 8 4" xfId="2917"/>
    <cellStyle name="一般 11 3 8 4 2" xfId="2918"/>
    <cellStyle name="一般 11 3 8 4 2 2" xfId="12544"/>
    <cellStyle name="一般 11 3 8 4 3" xfId="12543"/>
    <cellStyle name="一般 11 3 8 5" xfId="2919"/>
    <cellStyle name="一般 11 3 8 5 2" xfId="2920"/>
    <cellStyle name="一般 11 3 8 5 2 2" xfId="12546"/>
    <cellStyle name="一般 11 3 8 5 3" xfId="12545"/>
    <cellStyle name="一般 11 3 8 6" xfId="2921"/>
    <cellStyle name="一般 11 3 8 6 2" xfId="2922"/>
    <cellStyle name="一般 11 3 8 6 2 2" xfId="12548"/>
    <cellStyle name="一般 11 3 8 6 3" xfId="12547"/>
    <cellStyle name="一般 11 3 8 7" xfId="2923"/>
    <cellStyle name="一般 11 3 8 7 2" xfId="2924"/>
    <cellStyle name="一般 11 3 8 7 2 2" xfId="12550"/>
    <cellStyle name="一般 11 3 8 7 3" xfId="12549"/>
    <cellStyle name="一般 11 3 8 8" xfId="2925"/>
    <cellStyle name="一般 11 3 8 8 2" xfId="12551"/>
    <cellStyle name="一般 11 3 8 9" xfId="12527"/>
    <cellStyle name="一般 11 3 8_包裝指示書(裏)" xfId="2926"/>
    <cellStyle name="一般 11 3 9" xfId="2927"/>
    <cellStyle name="一般 11 3 9 2" xfId="2928"/>
    <cellStyle name="一般 11 3 9 2 2" xfId="2929"/>
    <cellStyle name="一般 11 3 9 2 2 2" xfId="2930"/>
    <cellStyle name="一般 11 3 9 2 2 2 2" xfId="2931"/>
    <cellStyle name="一般 11 3 9 2 2 2 2 2" xfId="12556"/>
    <cellStyle name="一般 11 3 9 2 2 2 3" xfId="12555"/>
    <cellStyle name="一般 11 3 9 2 2 3" xfId="2932"/>
    <cellStyle name="一般 11 3 9 2 2 3 2" xfId="12557"/>
    <cellStyle name="一般 11 3 9 2 2 4" xfId="12554"/>
    <cellStyle name="一般 11 3 9 2 2_包裝指示書(裏)" xfId="2933"/>
    <cellStyle name="一般 11 3 9 2 3" xfId="2934"/>
    <cellStyle name="一般 11 3 9 2 3 2" xfId="2935"/>
    <cellStyle name="一般 11 3 9 2 3 2 2" xfId="12559"/>
    <cellStyle name="一般 11 3 9 2 3 3" xfId="12558"/>
    <cellStyle name="一般 11 3 9 2 4" xfId="2936"/>
    <cellStyle name="一般 11 3 9 2 4 2" xfId="12560"/>
    <cellStyle name="一般 11 3 9 2 5" xfId="12553"/>
    <cellStyle name="一般 11 3 9 2_包裝指示書(裏)" xfId="2937"/>
    <cellStyle name="一般 11 3 9 3" xfId="2938"/>
    <cellStyle name="一般 11 3 9 3 2" xfId="2939"/>
    <cellStyle name="一般 11 3 9 3 2 2" xfId="2940"/>
    <cellStyle name="一般 11 3 9 3 2 2 2" xfId="12563"/>
    <cellStyle name="一般 11 3 9 3 2 3" xfId="12562"/>
    <cellStyle name="一般 11 3 9 3 3" xfId="2941"/>
    <cellStyle name="一般 11 3 9 3 3 2" xfId="12564"/>
    <cellStyle name="一般 11 3 9 3 4" xfId="12561"/>
    <cellStyle name="一般 11 3 9 3_包裝指示書(裏)" xfId="2942"/>
    <cellStyle name="一般 11 3 9 4" xfId="2943"/>
    <cellStyle name="一般 11 3 9 4 2" xfId="2944"/>
    <cellStyle name="一般 11 3 9 4 2 2" xfId="12566"/>
    <cellStyle name="一般 11 3 9 4 3" xfId="12565"/>
    <cellStyle name="一般 11 3 9 5" xfId="2945"/>
    <cellStyle name="一般 11 3 9 5 2" xfId="2946"/>
    <cellStyle name="一般 11 3 9 5 2 2" xfId="12568"/>
    <cellStyle name="一般 11 3 9 5 3" xfId="12567"/>
    <cellStyle name="一般 11 3 9 6" xfId="2947"/>
    <cellStyle name="一般 11 3 9 6 2" xfId="2948"/>
    <cellStyle name="一般 11 3 9 6 2 2" xfId="12570"/>
    <cellStyle name="一般 11 3 9 6 3" xfId="12569"/>
    <cellStyle name="一般 11 3 9 7" xfId="2949"/>
    <cellStyle name="一般 11 3 9 7 2" xfId="2950"/>
    <cellStyle name="一般 11 3 9 7 2 2" xfId="12572"/>
    <cellStyle name="一般 11 3 9 7 3" xfId="12571"/>
    <cellStyle name="一般 11 3 9 8" xfId="2951"/>
    <cellStyle name="一般 11 3 9 8 2" xfId="12573"/>
    <cellStyle name="一般 11 3 9 9" xfId="12552"/>
    <cellStyle name="一般 11 3 9_包裝指示書(裏)" xfId="2952"/>
    <cellStyle name="一般 11 3_包裝指示書(裏)" xfId="2953"/>
    <cellStyle name="一般 11 4" xfId="2954"/>
    <cellStyle name="一般 11 4 10" xfId="2955"/>
    <cellStyle name="一般 11 4 10 2" xfId="2956"/>
    <cellStyle name="一般 11 4 10 2 2" xfId="2957"/>
    <cellStyle name="一般 11 4 10 2 2 2" xfId="2958"/>
    <cellStyle name="一般 11 4 10 2 2 2 2" xfId="12578"/>
    <cellStyle name="一般 11 4 10 2 2 3" xfId="12577"/>
    <cellStyle name="一般 11 4 10 2 3" xfId="2959"/>
    <cellStyle name="一般 11 4 10 2 3 2" xfId="2960"/>
    <cellStyle name="一般 11 4 10 2 3 2 2" xfId="12580"/>
    <cellStyle name="一般 11 4 10 2 3 3" xfId="12579"/>
    <cellStyle name="一般 11 4 10 2 4" xfId="2961"/>
    <cellStyle name="一般 11 4 10 2 4 2" xfId="12581"/>
    <cellStyle name="一般 11 4 10 2 5" xfId="12576"/>
    <cellStyle name="一般 11 4 10 2_包裝指示書(裏)" xfId="2962"/>
    <cellStyle name="一般 11 4 10 3" xfId="2963"/>
    <cellStyle name="一般 11 4 10 3 2" xfId="2964"/>
    <cellStyle name="一般 11 4 10 3 2 2" xfId="12583"/>
    <cellStyle name="一般 11 4 10 3 3" xfId="12582"/>
    <cellStyle name="一般 11 4 10 4" xfId="2965"/>
    <cellStyle name="一般 11 4 10 4 2" xfId="2966"/>
    <cellStyle name="一般 11 4 10 4 2 2" xfId="12585"/>
    <cellStyle name="一般 11 4 10 4 3" xfId="12584"/>
    <cellStyle name="一般 11 4 10 5" xfId="2967"/>
    <cellStyle name="一般 11 4 10 5 2" xfId="12586"/>
    <cellStyle name="一般 11 4 10 6" xfId="12575"/>
    <cellStyle name="一般 11 4 10_包裝指示書(裏)" xfId="2968"/>
    <cellStyle name="一般 11 4 11" xfId="2969"/>
    <cellStyle name="一般 11 4 11 2" xfId="2970"/>
    <cellStyle name="一般 11 4 11 2 2" xfId="2971"/>
    <cellStyle name="一般 11 4 11 2 2 2" xfId="2972"/>
    <cellStyle name="一般 11 4 11 2 2 2 2" xfId="12590"/>
    <cellStyle name="一般 11 4 11 2 2 3" xfId="12589"/>
    <cellStyle name="一般 11 4 11 2 3" xfId="2973"/>
    <cellStyle name="一般 11 4 11 2 3 2" xfId="2974"/>
    <cellStyle name="一般 11 4 11 2 3 2 2" xfId="12592"/>
    <cellStyle name="一般 11 4 11 2 3 3" xfId="12591"/>
    <cellStyle name="一般 11 4 11 2 4" xfId="2975"/>
    <cellStyle name="一般 11 4 11 2 4 2" xfId="12593"/>
    <cellStyle name="一般 11 4 11 2 5" xfId="12588"/>
    <cellStyle name="一般 11 4 11 2_包裝指示書(裏)" xfId="2976"/>
    <cellStyle name="一般 11 4 11 3" xfId="2977"/>
    <cellStyle name="一般 11 4 11 3 2" xfId="2978"/>
    <cellStyle name="一般 11 4 11 3 2 2" xfId="12595"/>
    <cellStyle name="一般 11 4 11 3 3" xfId="12594"/>
    <cellStyle name="一般 11 4 11 4" xfId="2979"/>
    <cellStyle name="一般 11 4 11 4 2" xfId="2980"/>
    <cellStyle name="一般 11 4 11 4 2 2" xfId="12597"/>
    <cellStyle name="一般 11 4 11 4 3" xfId="12596"/>
    <cellStyle name="一般 11 4 11 5" xfId="2981"/>
    <cellStyle name="一般 11 4 11 5 2" xfId="12598"/>
    <cellStyle name="一般 11 4 11 6" xfId="12587"/>
    <cellStyle name="一般 11 4 11_包裝指示書(裏)" xfId="2982"/>
    <cellStyle name="一般 11 4 12" xfId="2983"/>
    <cellStyle name="一般 11 4 12 2" xfId="2984"/>
    <cellStyle name="一般 11 4 12 2 2" xfId="2985"/>
    <cellStyle name="一般 11 4 12 2 2 2" xfId="12601"/>
    <cellStyle name="一般 11 4 12 2 3" xfId="12600"/>
    <cellStyle name="一般 11 4 12 3" xfId="2986"/>
    <cellStyle name="一般 11 4 12 3 2" xfId="12602"/>
    <cellStyle name="一般 11 4 12 4" xfId="12599"/>
    <cellStyle name="一般 11 4 12_包裝指示書(裏)" xfId="2987"/>
    <cellStyle name="一般 11 4 13" xfId="2988"/>
    <cellStyle name="一般 11 4 13 2" xfId="2989"/>
    <cellStyle name="一般 11 4 13 2 2" xfId="12604"/>
    <cellStyle name="一般 11 4 13 3" xfId="12603"/>
    <cellStyle name="一般 11 4 14" xfId="2990"/>
    <cellStyle name="一般 11 4 14 2" xfId="2991"/>
    <cellStyle name="一般 11 4 14 2 2" xfId="12606"/>
    <cellStyle name="一般 11 4 14 3" xfId="12605"/>
    <cellStyle name="一般 11 4 15" xfId="2992"/>
    <cellStyle name="一般 11 4 15 2" xfId="12607"/>
    <cellStyle name="一般 11 4 16" xfId="12574"/>
    <cellStyle name="一般 11 4 2" xfId="2993"/>
    <cellStyle name="一般 11 4 2 10" xfId="2994"/>
    <cellStyle name="一般 11 4 2 11" xfId="2995"/>
    <cellStyle name="一般 11 4 2 11 2" xfId="2996"/>
    <cellStyle name="一般 11 4 2 11 2 2" xfId="2997"/>
    <cellStyle name="一般 11 4 2 11 2 2 2" xfId="12611"/>
    <cellStyle name="一般 11 4 2 11 2 3" xfId="12610"/>
    <cellStyle name="一般 11 4 2 11 3" xfId="2998"/>
    <cellStyle name="一般 11 4 2 11 3 2" xfId="2999"/>
    <cellStyle name="一般 11 4 2 11 3 2 2" xfId="12613"/>
    <cellStyle name="一般 11 4 2 11 3 3" xfId="12612"/>
    <cellStyle name="一般 11 4 2 11 4" xfId="3000"/>
    <cellStyle name="一般 11 4 2 11 4 2" xfId="12614"/>
    <cellStyle name="一般 11 4 2 11 5" xfId="12609"/>
    <cellStyle name="一般 11 4 2 11_包裝指示書(裏)" xfId="3001"/>
    <cellStyle name="一般 11 4 2 12" xfId="3002"/>
    <cellStyle name="一般 11 4 2 12 2" xfId="3003"/>
    <cellStyle name="一般 11 4 2 12 2 2" xfId="3004"/>
    <cellStyle name="一般 11 4 2 12 2 2 2" xfId="12617"/>
    <cellStyle name="一般 11 4 2 12 2 3" xfId="12616"/>
    <cellStyle name="一般 11 4 2 12 3" xfId="3005"/>
    <cellStyle name="一般 11 4 2 12 3 2" xfId="12618"/>
    <cellStyle name="一般 11 4 2 12 4" xfId="12615"/>
    <cellStyle name="一般 11 4 2 12_包裝指示書(裏)" xfId="3006"/>
    <cellStyle name="一般 11 4 2 13" xfId="3007"/>
    <cellStyle name="一般 11 4 2 13 2" xfId="3008"/>
    <cellStyle name="一般 11 4 2 13 2 2" xfId="12620"/>
    <cellStyle name="一般 11 4 2 13 3" xfId="12619"/>
    <cellStyle name="一般 11 4 2 14" xfId="3009"/>
    <cellStyle name="一般 11 4 2 14 2" xfId="12621"/>
    <cellStyle name="一般 11 4 2 15" xfId="12608"/>
    <cellStyle name="一般 11 4 2 2" xfId="3010"/>
    <cellStyle name="一般 11 4 2 2 10" xfId="12622"/>
    <cellStyle name="一般 11 4 2 2 2" xfId="3011"/>
    <cellStyle name="一般 11 4 2 2 2 2" xfId="3012"/>
    <cellStyle name="一般 11 4 2 2 2 2 2" xfId="3013"/>
    <cellStyle name="一般 11 4 2 2 2 2 2 2" xfId="3014"/>
    <cellStyle name="一般 11 4 2 2 2 2 2 2 2" xfId="12626"/>
    <cellStyle name="一般 11 4 2 2 2 2 2 3" xfId="12625"/>
    <cellStyle name="一般 11 4 2 2 2 2 3" xfId="3015"/>
    <cellStyle name="一般 11 4 2 2 2 2 3 2" xfId="12627"/>
    <cellStyle name="一般 11 4 2 2 2 2 4" xfId="12624"/>
    <cellStyle name="一般 11 4 2 2 2 2_包裝指示書(裏)" xfId="3016"/>
    <cellStyle name="一般 11 4 2 2 2 3" xfId="3017"/>
    <cellStyle name="一般 11 4 2 2 2 3 2" xfId="3018"/>
    <cellStyle name="一般 11 4 2 2 2 3 2 2" xfId="12629"/>
    <cellStyle name="一般 11 4 2 2 2 3 3" xfId="12628"/>
    <cellStyle name="一般 11 4 2 2 2 4" xfId="3019"/>
    <cellStyle name="一般 11 4 2 2 2 4 2" xfId="3020"/>
    <cellStyle name="一般 11 4 2 2 2 4 2 2" xfId="12631"/>
    <cellStyle name="一般 11 4 2 2 2 4 3" xfId="12630"/>
    <cellStyle name="一般 11 4 2 2 2 5" xfId="3021"/>
    <cellStyle name="一般 11 4 2 2 2 5 2" xfId="3022"/>
    <cellStyle name="一般 11 4 2 2 2 5 2 2" xfId="12633"/>
    <cellStyle name="一般 11 4 2 2 2 5 3" xfId="12632"/>
    <cellStyle name="一般 11 4 2 2 2 6" xfId="3023"/>
    <cellStyle name="一般 11 4 2 2 2 6 2" xfId="3024"/>
    <cellStyle name="一般 11 4 2 2 2 6 2 2" xfId="12635"/>
    <cellStyle name="一般 11 4 2 2 2 6 3" xfId="12634"/>
    <cellStyle name="一般 11 4 2 2 2 7" xfId="3025"/>
    <cellStyle name="一般 11 4 2 2 2 7 2" xfId="3026"/>
    <cellStyle name="一般 11 4 2 2 2 7 2 2" xfId="12637"/>
    <cellStyle name="一般 11 4 2 2 2 7 3" xfId="12636"/>
    <cellStyle name="一般 11 4 2 2 2 8" xfId="3027"/>
    <cellStyle name="一般 11 4 2 2 2 8 2" xfId="12638"/>
    <cellStyle name="一般 11 4 2 2 2 9" xfId="12623"/>
    <cellStyle name="一般 11 4 2 2 2_包裝指示書(裏)" xfId="3028"/>
    <cellStyle name="一般 11 4 2 2 3" xfId="3029"/>
    <cellStyle name="一般 11 4 2 2 3 2" xfId="3030"/>
    <cellStyle name="一般 11 4 2 2 3 2 2" xfId="3031"/>
    <cellStyle name="一般 11 4 2 2 3 2 2 2" xfId="12641"/>
    <cellStyle name="一般 11 4 2 2 3 2 3" xfId="12640"/>
    <cellStyle name="一般 11 4 2 2 3 3" xfId="3032"/>
    <cellStyle name="一般 11 4 2 2 3 3 2" xfId="12642"/>
    <cellStyle name="一般 11 4 2 2 3 4" xfId="3033"/>
    <cellStyle name="一般 11 4 2 2 3 4 2" xfId="12643"/>
    <cellStyle name="一般 11 4 2 2 3 5" xfId="3034"/>
    <cellStyle name="一般 11 4 2 2 3 5 2" xfId="12644"/>
    <cellStyle name="一般 11 4 2 2 3 6" xfId="12639"/>
    <cellStyle name="一般 11 4 2 2 3_包裝指示書(裏)" xfId="3035"/>
    <cellStyle name="一般 11 4 2 2 4" xfId="3036"/>
    <cellStyle name="一般 11 4 2 2 4 2" xfId="3037"/>
    <cellStyle name="一般 11 4 2 2 4 2 2" xfId="12646"/>
    <cellStyle name="一般 11 4 2 2 4 3" xfId="12645"/>
    <cellStyle name="一般 11 4 2 2 5" xfId="3038"/>
    <cellStyle name="一般 11 4 2 2 5 2" xfId="3039"/>
    <cellStyle name="一般 11 4 2 2 5 2 2" xfId="12648"/>
    <cellStyle name="一般 11 4 2 2 5 3" xfId="12647"/>
    <cellStyle name="一般 11 4 2 2 6" xfId="3040"/>
    <cellStyle name="一般 11 4 2 2 6 2" xfId="3041"/>
    <cellStyle name="一般 11 4 2 2 6 2 2" xfId="12650"/>
    <cellStyle name="一般 11 4 2 2 6 3" xfId="12649"/>
    <cellStyle name="一般 11 4 2 2 7" xfId="3042"/>
    <cellStyle name="一般 11 4 2 2 7 2" xfId="3043"/>
    <cellStyle name="一般 11 4 2 2 7 2 2" xfId="12652"/>
    <cellStyle name="一般 11 4 2 2 7 3" xfId="12651"/>
    <cellStyle name="一般 11 4 2 2 8" xfId="3044"/>
    <cellStyle name="一般 11 4 2 2 8 2" xfId="3045"/>
    <cellStyle name="一般 11 4 2 2 8 2 2" xfId="12654"/>
    <cellStyle name="一般 11 4 2 2 8 3" xfId="12653"/>
    <cellStyle name="一般 11 4 2 2 9" xfId="3046"/>
    <cellStyle name="一般 11 4 2 2 9 2" xfId="12655"/>
    <cellStyle name="一般 11 4 2 2_包裝指示書(裏)" xfId="3047"/>
    <cellStyle name="一般 11 4 2 3" xfId="3048"/>
    <cellStyle name="一般 11 4 2 3 10" xfId="12656"/>
    <cellStyle name="一般 11 4 2 3 2" xfId="3049"/>
    <cellStyle name="一般 11 4 2 3 2 2" xfId="3050"/>
    <cellStyle name="一般 11 4 2 3 2 2 2" xfId="3051"/>
    <cellStyle name="一般 11 4 2 3 2 2 2 2" xfId="3052"/>
    <cellStyle name="一般 11 4 2 3 2 2 2 2 2" xfId="12660"/>
    <cellStyle name="一般 11 4 2 3 2 2 2 3" xfId="12659"/>
    <cellStyle name="一般 11 4 2 3 2 2 3" xfId="3053"/>
    <cellStyle name="一般 11 4 2 3 2 2 3 2" xfId="12661"/>
    <cellStyle name="一般 11 4 2 3 2 2 4" xfId="12658"/>
    <cellStyle name="一般 11 4 2 3 2 2_包裝指示書(裏)" xfId="3054"/>
    <cellStyle name="一般 11 4 2 3 2 3" xfId="3055"/>
    <cellStyle name="一般 11 4 2 3 2 3 2" xfId="3056"/>
    <cellStyle name="一般 11 4 2 3 2 3 2 2" xfId="12663"/>
    <cellStyle name="一般 11 4 2 3 2 3 3" xfId="12662"/>
    <cellStyle name="一般 11 4 2 3 2 4" xfId="3057"/>
    <cellStyle name="一般 11 4 2 3 2 4 2" xfId="3058"/>
    <cellStyle name="一般 11 4 2 3 2 4 2 2" xfId="12665"/>
    <cellStyle name="一般 11 4 2 3 2 4 3" xfId="12664"/>
    <cellStyle name="一般 11 4 2 3 2 5" xfId="3059"/>
    <cellStyle name="一般 11 4 2 3 2 5 2" xfId="3060"/>
    <cellStyle name="一般 11 4 2 3 2 5 2 2" xfId="12667"/>
    <cellStyle name="一般 11 4 2 3 2 5 3" xfId="12666"/>
    <cellStyle name="一般 11 4 2 3 2 6" xfId="3061"/>
    <cellStyle name="一般 11 4 2 3 2 6 2" xfId="3062"/>
    <cellStyle name="一般 11 4 2 3 2 6 2 2" xfId="12669"/>
    <cellStyle name="一般 11 4 2 3 2 6 3" xfId="12668"/>
    <cellStyle name="一般 11 4 2 3 2 7" xfId="3063"/>
    <cellStyle name="一般 11 4 2 3 2 7 2" xfId="3064"/>
    <cellStyle name="一般 11 4 2 3 2 7 2 2" xfId="12671"/>
    <cellStyle name="一般 11 4 2 3 2 7 3" xfId="12670"/>
    <cellStyle name="一般 11 4 2 3 2 8" xfId="3065"/>
    <cellStyle name="一般 11 4 2 3 2 8 2" xfId="12672"/>
    <cellStyle name="一般 11 4 2 3 2 9" xfId="12657"/>
    <cellStyle name="一般 11 4 2 3 2_包裝指示書(裏)" xfId="3066"/>
    <cellStyle name="一般 11 4 2 3 3" xfId="3067"/>
    <cellStyle name="一般 11 4 2 3 3 2" xfId="3068"/>
    <cellStyle name="一般 11 4 2 3 3 2 2" xfId="3069"/>
    <cellStyle name="一般 11 4 2 3 3 2 2 2" xfId="12675"/>
    <cellStyle name="一般 11 4 2 3 3 2 3" xfId="12674"/>
    <cellStyle name="一般 11 4 2 3 3 3" xfId="3070"/>
    <cellStyle name="一般 11 4 2 3 3 3 2" xfId="12676"/>
    <cellStyle name="一般 11 4 2 3 3 4" xfId="3071"/>
    <cellStyle name="一般 11 4 2 3 3 4 2" xfId="12677"/>
    <cellStyle name="一般 11 4 2 3 3 5" xfId="3072"/>
    <cellStyle name="一般 11 4 2 3 3 5 2" xfId="12678"/>
    <cellStyle name="一般 11 4 2 3 3 6" xfId="12673"/>
    <cellStyle name="一般 11 4 2 3 3_包裝指示書(裏)" xfId="3073"/>
    <cellStyle name="一般 11 4 2 3 4" xfId="3074"/>
    <cellStyle name="一般 11 4 2 3 4 2" xfId="3075"/>
    <cellStyle name="一般 11 4 2 3 4 2 2" xfId="12680"/>
    <cellStyle name="一般 11 4 2 3 4 3" xfId="12679"/>
    <cellStyle name="一般 11 4 2 3 5" xfId="3076"/>
    <cellStyle name="一般 11 4 2 3 5 2" xfId="3077"/>
    <cellStyle name="一般 11 4 2 3 5 2 2" xfId="12682"/>
    <cellStyle name="一般 11 4 2 3 5 3" xfId="12681"/>
    <cellStyle name="一般 11 4 2 3 6" xfId="3078"/>
    <cellStyle name="一般 11 4 2 3 6 2" xfId="3079"/>
    <cellStyle name="一般 11 4 2 3 6 2 2" xfId="12684"/>
    <cellStyle name="一般 11 4 2 3 6 3" xfId="12683"/>
    <cellStyle name="一般 11 4 2 3 7" xfId="3080"/>
    <cellStyle name="一般 11 4 2 3 7 2" xfId="3081"/>
    <cellStyle name="一般 11 4 2 3 7 2 2" xfId="12686"/>
    <cellStyle name="一般 11 4 2 3 7 3" xfId="12685"/>
    <cellStyle name="一般 11 4 2 3 8" xfId="3082"/>
    <cellStyle name="一般 11 4 2 3 8 2" xfId="3083"/>
    <cellStyle name="一般 11 4 2 3 8 2 2" xfId="12688"/>
    <cellStyle name="一般 11 4 2 3 8 3" xfId="12687"/>
    <cellStyle name="一般 11 4 2 3 9" xfId="3084"/>
    <cellStyle name="一般 11 4 2 3 9 2" xfId="12689"/>
    <cellStyle name="一般 11 4 2 3_包裝指示書(裏)" xfId="3085"/>
    <cellStyle name="一般 11 4 2 4" xfId="3086"/>
    <cellStyle name="一般 11 4 2 4 2" xfId="3087"/>
    <cellStyle name="一般 11 4 2 4 2 2" xfId="3088"/>
    <cellStyle name="一般 11 4 2 4 2 2 2" xfId="3089"/>
    <cellStyle name="一般 11 4 2 4 2 2 2 2" xfId="3090"/>
    <cellStyle name="一般 11 4 2 4 2 2 2 2 2" xfId="12694"/>
    <cellStyle name="一般 11 4 2 4 2 2 2 3" xfId="12693"/>
    <cellStyle name="一般 11 4 2 4 2 2 3" xfId="3091"/>
    <cellStyle name="一般 11 4 2 4 2 2 3 2" xfId="12695"/>
    <cellStyle name="一般 11 4 2 4 2 2 4" xfId="12692"/>
    <cellStyle name="一般 11 4 2 4 2 2_包裝指示書(裏)" xfId="3092"/>
    <cellStyle name="一般 11 4 2 4 2 3" xfId="3093"/>
    <cellStyle name="一般 11 4 2 4 2 3 2" xfId="3094"/>
    <cellStyle name="一般 11 4 2 4 2 3 2 2" xfId="12697"/>
    <cellStyle name="一般 11 4 2 4 2 3 3" xfId="12696"/>
    <cellStyle name="一般 11 4 2 4 2 4" xfId="3095"/>
    <cellStyle name="一般 11 4 2 4 2 4 2" xfId="12698"/>
    <cellStyle name="一般 11 4 2 4 2 5" xfId="3096"/>
    <cellStyle name="一般 11 4 2 4 2 5 2" xfId="12699"/>
    <cellStyle name="一般 11 4 2 4 2 6" xfId="12691"/>
    <cellStyle name="一般 11 4 2 4 2_包裝指示書(裏)" xfId="3097"/>
    <cellStyle name="一般 11 4 2 4 3" xfId="3098"/>
    <cellStyle name="一般 11 4 2 4 3 2" xfId="3099"/>
    <cellStyle name="一般 11 4 2 4 3 2 2" xfId="3100"/>
    <cellStyle name="一般 11 4 2 4 3 2 2 2" xfId="12702"/>
    <cellStyle name="一般 11 4 2 4 3 2 3" xfId="12701"/>
    <cellStyle name="一般 11 4 2 4 3 3" xfId="3101"/>
    <cellStyle name="一般 11 4 2 4 3 3 2" xfId="12703"/>
    <cellStyle name="一般 11 4 2 4 3 4" xfId="3102"/>
    <cellStyle name="一般 11 4 2 4 3 4 2" xfId="12704"/>
    <cellStyle name="一般 11 4 2 4 3 5" xfId="3103"/>
    <cellStyle name="一般 11 4 2 4 3 5 2" xfId="12705"/>
    <cellStyle name="一般 11 4 2 4 3 6" xfId="12700"/>
    <cellStyle name="一般 11 4 2 4 3_包裝指示書(裏)" xfId="3104"/>
    <cellStyle name="一般 11 4 2 4 4" xfId="3105"/>
    <cellStyle name="一般 11 4 2 4 4 2" xfId="3106"/>
    <cellStyle name="一般 11 4 2 4 4 2 2" xfId="12707"/>
    <cellStyle name="一般 11 4 2 4 4 3" xfId="12706"/>
    <cellStyle name="一般 11 4 2 4 5" xfId="3107"/>
    <cellStyle name="一般 11 4 2 4 5 2" xfId="3108"/>
    <cellStyle name="一般 11 4 2 4 5 2 2" xfId="12709"/>
    <cellStyle name="一般 11 4 2 4 5 3" xfId="12708"/>
    <cellStyle name="一般 11 4 2 4 6" xfId="3109"/>
    <cellStyle name="一般 11 4 2 4 6 2" xfId="3110"/>
    <cellStyle name="一般 11 4 2 4 6 2 2" xfId="12711"/>
    <cellStyle name="一般 11 4 2 4 6 3" xfId="12710"/>
    <cellStyle name="一般 11 4 2 4 7" xfId="3111"/>
    <cellStyle name="一般 11 4 2 4 7 2" xfId="3112"/>
    <cellStyle name="一般 11 4 2 4 7 2 2" xfId="12713"/>
    <cellStyle name="一般 11 4 2 4 7 3" xfId="12712"/>
    <cellStyle name="一般 11 4 2 4 8" xfId="3113"/>
    <cellStyle name="一般 11 4 2 4 8 2" xfId="12714"/>
    <cellStyle name="一般 11 4 2 4 9" xfId="12690"/>
    <cellStyle name="一般 11 4 2 4_包裝指示書(裏)" xfId="3114"/>
    <cellStyle name="一般 11 4 2 5" xfId="3115"/>
    <cellStyle name="一般 11 4 2 5 2" xfId="3116"/>
    <cellStyle name="一般 11 4 2 5 2 2" xfId="3117"/>
    <cellStyle name="一般 11 4 2 5 2 2 2" xfId="3118"/>
    <cellStyle name="一般 11 4 2 5 2 2 2 2" xfId="3119"/>
    <cellStyle name="一般 11 4 2 5 2 2 2 2 2" xfId="12719"/>
    <cellStyle name="一般 11 4 2 5 2 2 2 3" xfId="12718"/>
    <cellStyle name="一般 11 4 2 5 2 2 3" xfId="3120"/>
    <cellStyle name="一般 11 4 2 5 2 2 3 2" xfId="12720"/>
    <cellStyle name="一般 11 4 2 5 2 2 4" xfId="12717"/>
    <cellStyle name="一般 11 4 2 5 2 2_包裝指示書(裏)" xfId="3121"/>
    <cellStyle name="一般 11 4 2 5 2 3" xfId="3122"/>
    <cellStyle name="一般 11 4 2 5 2 3 2" xfId="3123"/>
    <cellStyle name="一般 11 4 2 5 2 3 2 2" xfId="12722"/>
    <cellStyle name="一般 11 4 2 5 2 3 3" xfId="12721"/>
    <cellStyle name="一般 11 4 2 5 2 4" xfId="3124"/>
    <cellStyle name="一般 11 4 2 5 2 4 2" xfId="12723"/>
    <cellStyle name="一般 11 4 2 5 2 5" xfId="3125"/>
    <cellStyle name="一般 11 4 2 5 2 5 2" xfId="12724"/>
    <cellStyle name="一般 11 4 2 5 2 6" xfId="12716"/>
    <cellStyle name="一般 11 4 2 5 2_包裝指示書(裏)" xfId="3126"/>
    <cellStyle name="一般 11 4 2 5 3" xfId="3127"/>
    <cellStyle name="一般 11 4 2 5 3 2" xfId="3128"/>
    <cellStyle name="一般 11 4 2 5 3 2 2" xfId="3129"/>
    <cellStyle name="一般 11 4 2 5 3 2 2 2" xfId="12727"/>
    <cellStyle name="一般 11 4 2 5 3 2 3" xfId="12726"/>
    <cellStyle name="一般 11 4 2 5 3 3" xfId="3130"/>
    <cellStyle name="一般 11 4 2 5 3 3 2" xfId="12728"/>
    <cellStyle name="一般 11 4 2 5 3 4" xfId="3131"/>
    <cellStyle name="一般 11 4 2 5 3 4 2" xfId="12729"/>
    <cellStyle name="一般 11 4 2 5 3 5" xfId="3132"/>
    <cellStyle name="一般 11 4 2 5 3 5 2" xfId="12730"/>
    <cellStyle name="一般 11 4 2 5 3 6" xfId="12725"/>
    <cellStyle name="一般 11 4 2 5 3_包裝指示書(裏)" xfId="3133"/>
    <cellStyle name="一般 11 4 2 5 4" xfId="3134"/>
    <cellStyle name="一般 11 4 2 5 4 2" xfId="3135"/>
    <cellStyle name="一般 11 4 2 5 4 2 2" xfId="12732"/>
    <cellStyle name="一般 11 4 2 5 4 3" xfId="12731"/>
    <cellStyle name="一般 11 4 2 5 5" xfId="3136"/>
    <cellStyle name="一般 11 4 2 5 5 2" xfId="3137"/>
    <cellStyle name="一般 11 4 2 5 5 2 2" xfId="12734"/>
    <cellStyle name="一般 11 4 2 5 5 3" xfId="12733"/>
    <cellStyle name="一般 11 4 2 5 6" xfId="3138"/>
    <cellStyle name="一般 11 4 2 5 6 2" xfId="3139"/>
    <cellStyle name="一般 11 4 2 5 6 2 2" xfId="12736"/>
    <cellStyle name="一般 11 4 2 5 6 3" xfId="12735"/>
    <cellStyle name="一般 11 4 2 5 7" xfId="3140"/>
    <cellStyle name="一般 11 4 2 5 7 2" xfId="3141"/>
    <cellStyle name="一般 11 4 2 5 7 2 2" xfId="12738"/>
    <cellStyle name="一般 11 4 2 5 7 3" xfId="12737"/>
    <cellStyle name="一般 11 4 2 5 8" xfId="3142"/>
    <cellStyle name="一般 11 4 2 5 8 2" xfId="12739"/>
    <cellStyle name="一般 11 4 2 5 9" xfId="12715"/>
    <cellStyle name="一般 11 4 2 5_包裝指示書(裏)" xfId="3143"/>
    <cellStyle name="一般 11 4 2 6" xfId="3144"/>
    <cellStyle name="一般 11 4 2 6 2" xfId="3145"/>
    <cellStyle name="一般 11 4 2 6 2 2" xfId="3146"/>
    <cellStyle name="一般 11 4 2 6 2 2 2" xfId="3147"/>
    <cellStyle name="一般 11 4 2 6 2 2 2 2" xfId="3148"/>
    <cellStyle name="一般 11 4 2 6 2 2 2 2 2" xfId="12744"/>
    <cellStyle name="一般 11 4 2 6 2 2 2 3" xfId="12743"/>
    <cellStyle name="一般 11 4 2 6 2 2 3" xfId="3149"/>
    <cellStyle name="一般 11 4 2 6 2 2 3 2" xfId="12745"/>
    <cellStyle name="一般 11 4 2 6 2 2 4" xfId="12742"/>
    <cellStyle name="一般 11 4 2 6 2 2_包裝指示書(裏)" xfId="3150"/>
    <cellStyle name="一般 11 4 2 6 2 3" xfId="3151"/>
    <cellStyle name="一般 11 4 2 6 2 3 2" xfId="3152"/>
    <cellStyle name="一般 11 4 2 6 2 3 2 2" xfId="12747"/>
    <cellStyle name="一般 11 4 2 6 2 3 3" xfId="12746"/>
    <cellStyle name="一般 11 4 2 6 2 4" xfId="3153"/>
    <cellStyle name="一般 11 4 2 6 2 4 2" xfId="12748"/>
    <cellStyle name="一般 11 4 2 6 2 5" xfId="3154"/>
    <cellStyle name="一般 11 4 2 6 2 5 2" xfId="12749"/>
    <cellStyle name="一般 11 4 2 6 2 6" xfId="12741"/>
    <cellStyle name="一般 11 4 2 6 2_包裝指示書(裏)" xfId="3155"/>
    <cellStyle name="一般 11 4 2 6 3" xfId="3156"/>
    <cellStyle name="一般 11 4 2 6 3 2" xfId="3157"/>
    <cellStyle name="一般 11 4 2 6 3 2 2" xfId="3158"/>
    <cellStyle name="一般 11 4 2 6 3 2 2 2" xfId="12752"/>
    <cellStyle name="一般 11 4 2 6 3 2 3" xfId="12751"/>
    <cellStyle name="一般 11 4 2 6 3 3" xfId="3159"/>
    <cellStyle name="一般 11 4 2 6 3 3 2" xfId="12753"/>
    <cellStyle name="一般 11 4 2 6 3 4" xfId="3160"/>
    <cellStyle name="一般 11 4 2 6 3 4 2" xfId="12754"/>
    <cellStyle name="一般 11 4 2 6 3 5" xfId="3161"/>
    <cellStyle name="一般 11 4 2 6 3 5 2" xfId="12755"/>
    <cellStyle name="一般 11 4 2 6 3 6" xfId="12750"/>
    <cellStyle name="一般 11 4 2 6 3_包裝指示書(裏)" xfId="3162"/>
    <cellStyle name="一般 11 4 2 6 4" xfId="3163"/>
    <cellStyle name="一般 11 4 2 6 4 2" xfId="3164"/>
    <cellStyle name="一般 11 4 2 6 4 2 2" xfId="12757"/>
    <cellStyle name="一般 11 4 2 6 4 3" xfId="12756"/>
    <cellStyle name="一般 11 4 2 6 5" xfId="3165"/>
    <cellStyle name="一般 11 4 2 6 5 2" xfId="3166"/>
    <cellStyle name="一般 11 4 2 6 5 2 2" xfId="12759"/>
    <cellStyle name="一般 11 4 2 6 5 3" xfId="12758"/>
    <cellStyle name="一般 11 4 2 6 6" xfId="3167"/>
    <cellStyle name="一般 11 4 2 6 6 2" xfId="3168"/>
    <cellStyle name="一般 11 4 2 6 6 2 2" xfId="12761"/>
    <cellStyle name="一般 11 4 2 6 6 3" xfId="12760"/>
    <cellStyle name="一般 11 4 2 6 7" xfId="3169"/>
    <cellStyle name="一般 11 4 2 6 7 2" xfId="3170"/>
    <cellStyle name="一般 11 4 2 6 7 2 2" xfId="12763"/>
    <cellStyle name="一般 11 4 2 6 7 3" xfId="12762"/>
    <cellStyle name="一般 11 4 2 6 8" xfId="3171"/>
    <cellStyle name="一般 11 4 2 6 8 2" xfId="12764"/>
    <cellStyle name="一般 11 4 2 6 9" xfId="12740"/>
    <cellStyle name="一般 11 4 2 6_包裝指示書(裏)" xfId="3172"/>
    <cellStyle name="一般 11 4 2 7" xfId="3173"/>
    <cellStyle name="一般 11 4 2 7 2" xfId="3174"/>
    <cellStyle name="一般 11 4 2 7 3" xfId="3175"/>
    <cellStyle name="一般 11 4 2 7 3 2" xfId="3176"/>
    <cellStyle name="一般 11 4 2 7 3 2 2" xfId="3177"/>
    <cellStyle name="一般 11 4 2 7 3 2 2 2" xfId="12768"/>
    <cellStyle name="一般 11 4 2 7 3 2 3" xfId="12767"/>
    <cellStyle name="一般 11 4 2 7 3 3" xfId="3178"/>
    <cellStyle name="一般 11 4 2 7 3 3 2" xfId="12769"/>
    <cellStyle name="一般 11 4 2 7 3 4" xfId="12766"/>
    <cellStyle name="一般 11 4 2 7 3_包裝指示書(裏)" xfId="3179"/>
    <cellStyle name="一般 11 4 2 7 4" xfId="3180"/>
    <cellStyle name="一般 11 4 2 7 4 2" xfId="3181"/>
    <cellStyle name="一般 11 4 2 7 4 2 2" xfId="12771"/>
    <cellStyle name="一般 11 4 2 7 4 3" xfId="12770"/>
    <cellStyle name="一般 11 4 2 7 5" xfId="3182"/>
    <cellStyle name="一般 11 4 2 7 5 2" xfId="12772"/>
    <cellStyle name="一般 11 4 2 7 6" xfId="12765"/>
    <cellStyle name="一般 11 4 2 7_包裝指示書(裏)" xfId="3183"/>
    <cellStyle name="一般 11 4 2 8" xfId="3184"/>
    <cellStyle name="一般 11 4 2 8 2" xfId="3185"/>
    <cellStyle name="一般 11 4 2 8 2 2" xfId="12773"/>
    <cellStyle name="一般 11 4 2 8 3" xfId="3186"/>
    <cellStyle name="一般 11 4 2 8 3 2" xfId="12774"/>
    <cellStyle name="一般 11 4 2 8 4" xfId="3187"/>
    <cellStyle name="一般 11 4 2 8 4 2" xfId="12775"/>
    <cellStyle name="一般 11 4 2 9" xfId="3188"/>
    <cellStyle name="一般 11 4 2 9 2" xfId="3189"/>
    <cellStyle name="一般 11 4 2 9 2 2" xfId="12776"/>
    <cellStyle name="一般 11 4 2 9 3" xfId="3190"/>
    <cellStyle name="一般 11 4 2 9 3 2" xfId="12777"/>
    <cellStyle name="一般 11 4 2 9 4" xfId="3191"/>
    <cellStyle name="一般 11 4 2 9 4 2" xfId="12778"/>
    <cellStyle name="一般 11 4 2_包裝指示書(裏)" xfId="3192"/>
    <cellStyle name="一般 11 4 3" xfId="3193"/>
    <cellStyle name="一般 11 4 3 10" xfId="12779"/>
    <cellStyle name="一般 11 4 3 2" xfId="3194"/>
    <cellStyle name="一般 11 4 3 2 2" xfId="3195"/>
    <cellStyle name="一般 11 4 3 2 2 2" xfId="3196"/>
    <cellStyle name="一般 11 4 3 2 2 2 2" xfId="3197"/>
    <cellStyle name="一般 11 4 3 2 2 2 2 2" xfId="12783"/>
    <cellStyle name="一般 11 4 3 2 2 2 3" xfId="12782"/>
    <cellStyle name="一般 11 4 3 2 2 3" xfId="3198"/>
    <cellStyle name="一般 11 4 3 2 2 3 2" xfId="12784"/>
    <cellStyle name="一般 11 4 3 2 2 4" xfId="12781"/>
    <cellStyle name="一般 11 4 3 2 2_包裝指示書(裏)" xfId="3199"/>
    <cellStyle name="一般 11 4 3 2 3" xfId="3200"/>
    <cellStyle name="一般 11 4 3 2 3 2" xfId="3201"/>
    <cellStyle name="一般 11 4 3 2 3 2 2" xfId="12786"/>
    <cellStyle name="一般 11 4 3 2 3 3" xfId="12785"/>
    <cellStyle name="一般 11 4 3 2 4" xfId="3202"/>
    <cellStyle name="一般 11 4 3 2 4 2" xfId="3203"/>
    <cellStyle name="一般 11 4 3 2 4 2 2" xfId="12788"/>
    <cellStyle name="一般 11 4 3 2 4 3" xfId="12787"/>
    <cellStyle name="一般 11 4 3 2 5" xfId="3204"/>
    <cellStyle name="一般 11 4 3 2 5 2" xfId="3205"/>
    <cellStyle name="一般 11 4 3 2 5 2 2" xfId="12790"/>
    <cellStyle name="一般 11 4 3 2 5 3" xfId="12789"/>
    <cellStyle name="一般 11 4 3 2 6" xfId="3206"/>
    <cellStyle name="一般 11 4 3 2 6 2" xfId="3207"/>
    <cellStyle name="一般 11 4 3 2 6 2 2" xfId="12792"/>
    <cellStyle name="一般 11 4 3 2 6 3" xfId="12791"/>
    <cellStyle name="一般 11 4 3 2 7" xfId="3208"/>
    <cellStyle name="一般 11 4 3 2 7 2" xfId="3209"/>
    <cellStyle name="一般 11 4 3 2 7 2 2" xfId="12794"/>
    <cellStyle name="一般 11 4 3 2 7 3" xfId="12793"/>
    <cellStyle name="一般 11 4 3 2 8" xfId="3210"/>
    <cellStyle name="一般 11 4 3 2 8 2" xfId="12795"/>
    <cellStyle name="一般 11 4 3 2 9" xfId="12780"/>
    <cellStyle name="一般 11 4 3 2_包裝指示書(裏)" xfId="3211"/>
    <cellStyle name="一般 11 4 3 3" xfId="3212"/>
    <cellStyle name="一般 11 4 3 3 2" xfId="3213"/>
    <cellStyle name="一般 11 4 3 3 2 2" xfId="3214"/>
    <cellStyle name="一般 11 4 3 3 2 2 2" xfId="12798"/>
    <cellStyle name="一般 11 4 3 3 2 3" xfId="12797"/>
    <cellStyle name="一般 11 4 3 3 3" xfId="3215"/>
    <cellStyle name="一般 11 4 3 3 3 2" xfId="12799"/>
    <cellStyle name="一般 11 4 3 3 4" xfId="3216"/>
    <cellStyle name="一般 11 4 3 3 4 2" xfId="12800"/>
    <cellStyle name="一般 11 4 3 3 5" xfId="3217"/>
    <cellStyle name="一般 11 4 3 3 5 2" xfId="12801"/>
    <cellStyle name="一般 11 4 3 3 6" xfId="12796"/>
    <cellStyle name="一般 11 4 3 3_包裝指示書(裏)" xfId="3218"/>
    <cellStyle name="一般 11 4 3 4" xfId="3219"/>
    <cellStyle name="一般 11 4 3 4 2" xfId="3220"/>
    <cellStyle name="一般 11 4 3 4 2 2" xfId="12803"/>
    <cellStyle name="一般 11 4 3 4 3" xfId="12802"/>
    <cellStyle name="一般 11 4 3 5" xfId="3221"/>
    <cellStyle name="一般 11 4 3 5 2" xfId="3222"/>
    <cellStyle name="一般 11 4 3 5 2 2" xfId="12805"/>
    <cellStyle name="一般 11 4 3 5 3" xfId="12804"/>
    <cellStyle name="一般 11 4 3 6" xfId="3223"/>
    <cellStyle name="一般 11 4 3 6 2" xfId="3224"/>
    <cellStyle name="一般 11 4 3 6 2 2" xfId="12807"/>
    <cellStyle name="一般 11 4 3 6 3" xfId="12806"/>
    <cellStyle name="一般 11 4 3 7" xfId="3225"/>
    <cellStyle name="一般 11 4 3 7 2" xfId="3226"/>
    <cellStyle name="一般 11 4 3 7 2 2" xfId="12809"/>
    <cellStyle name="一般 11 4 3 7 3" xfId="12808"/>
    <cellStyle name="一般 11 4 3 8" xfId="3227"/>
    <cellStyle name="一般 11 4 3 8 2" xfId="3228"/>
    <cellStyle name="一般 11 4 3 8 2 2" xfId="12811"/>
    <cellStyle name="一般 11 4 3 8 3" xfId="12810"/>
    <cellStyle name="一般 11 4 3 9" xfId="3229"/>
    <cellStyle name="一般 11 4 3 9 2" xfId="12812"/>
    <cellStyle name="一般 11 4 3_包裝指示書(裏)" xfId="3230"/>
    <cellStyle name="一般 11 4 4" xfId="3231"/>
    <cellStyle name="一般 11 4 4 10" xfId="12813"/>
    <cellStyle name="一般 11 4 4 2" xfId="3232"/>
    <cellStyle name="一般 11 4 4 2 2" xfId="3233"/>
    <cellStyle name="一般 11 4 4 2 2 2" xfId="3234"/>
    <cellStyle name="一般 11 4 4 2 2 2 2" xfId="3235"/>
    <cellStyle name="一般 11 4 4 2 2 2 2 2" xfId="12817"/>
    <cellStyle name="一般 11 4 4 2 2 2 3" xfId="12816"/>
    <cellStyle name="一般 11 4 4 2 2 3" xfId="3236"/>
    <cellStyle name="一般 11 4 4 2 2 3 2" xfId="12818"/>
    <cellStyle name="一般 11 4 4 2 2 4" xfId="12815"/>
    <cellStyle name="一般 11 4 4 2 2_包裝指示書(裏)" xfId="3237"/>
    <cellStyle name="一般 11 4 4 2 3" xfId="3238"/>
    <cellStyle name="一般 11 4 4 2 3 2" xfId="3239"/>
    <cellStyle name="一般 11 4 4 2 3 2 2" xfId="12820"/>
    <cellStyle name="一般 11 4 4 2 3 3" xfId="12819"/>
    <cellStyle name="一般 11 4 4 2 4" xfId="3240"/>
    <cellStyle name="一般 11 4 4 2 4 2" xfId="3241"/>
    <cellStyle name="一般 11 4 4 2 4 2 2" xfId="12822"/>
    <cellStyle name="一般 11 4 4 2 4 3" xfId="12821"/>
    <cellStyle name="一般 11 4 4 2 5" xfId="3242"/>
    <cellStyle name="一般 11 4 4 2 5 2" xfId="3243"/>
    <cellStyle name="一般 11 4 4 2 5 2 2" xfId="12824"/>
    <cellStyle name="一般 11 4 4 2 5 3" xfId="12823"/>
    <cellStyle name="一般 11 4 4 2 6" xfId="3244"/>
    <cellStyle name="一般 11 4 4 2 6 2" xfId="3245"/>
    <cellStyle name="一般 11 4 4 2 6 2 2" xfId="12826"/>
    <cellStyle name="一般 11 4 4 2 6 3" xfId="12825"/>
    <cellStyle name="一般 11 4 4 2 7" xfId="3246"/>
    <cellStyle name="一般 11 4 4 2 7 2" xfId="3247"/>
    <cellStyle name="一般 11 4 4 2 7 2 2" xfId="12828"/>
    <cellStyle name="一般 11 4 4 2 7 3" xfId="12827"/>
    <cellStyle name="一般 11 4 4 2 8" xfId="3248"/>
    <cellStyle name="一般 11 4 4 2 8 2" xfId="12829"/>
    <cellStyle name="一般 11 4 4 2 9" xfId="12814"/>
    <cellStyle name="一般 11 4 4 2_包裝指示書(裏)" xfId="3249"/>
    <cellStyle name="一般 11 4 4 3" xfId="3250"/>
    <cellStyle name="一般 11 4 4 3 2" xfId="3251"/>
    <cellStyle name="一般 11 4 4 3 2 2" xfId="3252"/>
    <cellStyle name="一般 11 4 4 3 2 2 2" xfId="12832"/>
    <cellStyle name="一般 11 4 4 3 2 3" xfId="12831"/>
    <cellStyle name="一般 11 4 4 3 3" xfId="3253"/>
    <cellStyle name="一般 11 4 4 3 3 2" xfId="12833"/>
    <cellStyle name="一般 11 4 4 3 4" xfId="3254"/>
    <cellStyle name="一般 11 4 4 3 4 2" xfId="12834"/>
    <cellStyle name="一般 11 4 4 3 5" xfId="3255"/>
    <cellStyle name="一般 11 4 4 3 5 2" xfId="12835"/>
    <cellStyle name="一般 11 4 4 3 6" xfId="12830"/>
    <cellStyle name="一般 11 4 4 3_包裝指示書(裏)" xfId="3256"/>
    <cellStyle name="一般 11 4 4 4" xfId="3257"/>
    <cellStyle name="一般 11 4 4 4 2" xfId="3258"/>
    <cellStyle name="一般 11 4 4 4 2 2" xfId="12837"/>
    <cellStyle name="一般 11 4 4 4 3" xfId="12836"/>
    <cellStyle name="一般 11 4 4 5" xfId="3259"/>
    <cellStyle name="一般 11 4 4 5 2" xfId="3260"/>
    <cellStyle name="一般 11 4 4 5 2 2" xfId="12839"/>
    <cellStyle name="一般 11 4 4 5 3" xfId="12838"/>
    <cellStyle name="一般 11 4 4 6" xfId="3261"/>
    <cellStyle name="一般 11 4 4 6 2" xfId="3262"/>
    <cellStyle name="一般 11 4 4 6 2 2" xfId="12841"/>
    <cellStyle name="一般 11 4 4 6 3" xfId="12840"/>
    <cellStyle name="一般 11 4 4 7" xfId="3263"/>
    <cellStyle name="一般 11 4 4 7 2" xfId="3264"/>
    <cellStyle name="一般 11 4 4 7 2 2" xfId="12843"/>
    <cellStyle name="一般 11 4 4 7 3" xfId="12842"/>
    <cellStyle name="一般 11 4 4 8" xfId="3265"/>
    <cellStyle name="一般 11 4 4 8 2" xfId="3266"/>
    <cellStyle name="一般 11 4 4 8 2 2" xfId="12845"/>
    <cellStyle name="一般 11 4 4 8 3" xfId="12844"/>
    <cellStyle name="一般 11 4 4 9" xfId="3267"/>
    <cellStyle name="一般 11 4 4 9 2" xfId="12846"/>
    <cellStyle name="一般 11 4 4_包裝指示書(裏)" xfId="3268"/>
    <cellStyle name="一般 11 4 5" xfId="3269"/>
    <cellStyle name="一般 11 4 5 10" xfId="12847"/>
    <cellStyle name="一般 11 4 5 2" xfId="3270"/>
    <cellStyle name="一般 11 4 5 2 2" xfId="3271"/>
    <cellStyle name="一般 11 4 5 2 2 2" xfId="3272"/>
    <cellStyle name="一般 11 4 5 2 2 2 2" xfId="3273"/>
    <cellStyle name="一般 11 4 5 2 2 2 2 2" xfId="12851"/>
    <cellStyle name="一般 11 4 5 2 2 2 3" xfId="12850"/>
    <cellStyle name="一般 11 4 5 2 2 3" xfId="3274"/>
    <cellStyle name="一般 11 4 5 2 2 3 2" xfId="12852"/>
    <cellStyle name="一般 11 4 5 2 2 4" xfId="12849"/>
    <cellStyle name="一般 11 4 5 2 2_包裝指示書(裏)" xfId="3275"/>
    <cellStyle name="一般 11 4 5 2 3" xfId="3276"/>
    <cellStyle name="一般 11 4 5 2 3 2" xfId="3277"/>
    <cellStyle name="一般 11 4 5 2 3 2 2" xfId="12854"/>
    <cellStyle name="一般 11 4 5 2 3 3" xfId="12853"/>
    <cellStyle name="一般 11 4 5 2 4" xfId="3278"/>
    <cellStyle name="一般 11 4 5 2 4 2" xfId="3279"/>
    <cellStyle name="一般 11 4 5 2 4 2 2" xfId="12856"/>
    <cellStyle name="一般 11 4 5 2 4 3" xfId="12855"/>
    <cellStyle name="一般 11 4 5 2 5" xfId="3280"/>
    <cellStyle name="一般 11 4 5 2 5 2" xfId="3281"/>
    <cellStyle name="一般 11 4 5 2 5 2 2" xfId="12858"/>
    <cellStyle name="一般 11 4 5 2 5 3" xfId="12857"/>
    <cellStyle name="一般 11 4 5 2 6" xfId="3282"/>
    <cellStyle name="一般 11 4 5 2 6 2" xfId="3283"/>
    <cellStyle name="一般 11 4 5 2 6 2 2" xfId="12860"/>
    <cellStyle name="一般 11 4 5 2 6 3" xfId="12859"/>
    <cellStyle name="一般 11 4 5 2 7" xfId="3284"/>
    <cellStyle name="一般 11 4 5 2 7 2" xfId="3285"/>
    <cellStyle name="一般 11 4 5 2 7 2 2" xfId="12862"/>
    <cellStyle name="一般 11 4 5 2 7 3" xfId="12861"/>
    <cellStyle name="一般 11 4 5 2 8" xfId="3286"/>
    <cellStyle name="一般 11 4 5 2 8 2" xfId="12863"/>
    <cellStyle name="一般 11 4 5 2 9" xfId="12848"/>
    <cellStyle name="一般 11 4 5 2_包裝指示書(裏)" xfId="3287"/>
    <cellStyle name="一般 11 4 5 3" xfId="3288"/>
    <cellStyle name="一般 11 4 5 3 2" xfId="3289"/>
    <cellStyle name="一般 11 4 5 3 2 2" xfId="3290"/>
    <cellStyle name="一般 11 4 5 3 2 2 2" xfId="12866"/>
    <cellStyle name="一般 11 4 5 3 2 3" xfId="12865"/>
    <cellStyle name="一般 11 4 5 3 3" xfId="3291"/>
    <cellStyle name="一般 11 4 5 3 3 2" xfId="12867"/>
    <cellStyle name="一般 11 4 5 3 4" xfId="3292"/>
    <cellStyle name="一般 11 4 5 3 4 2" xfId="12868"/>
    <cellStyle name="一般 11 4 5 3 5" xfId="3293"/>
    <cellStyle name="一般 11 4 5 3 5 2" xfId="12869"/>
    <cellStyle name="一般 11 4 5 3 6" xfId="12864"/>
    <cellStyle name="一般 11 4 5 3_包裝指示書(裏)" xfId="3294"/>
    <cellStyle name="一般 11 4 5 4" xfId="3295"/>
    <cellStyle name="一般 11 4 5 4 2" xfId="3296"/>
    <cellStyle name="一般 11 4 5 4 2 2" xfId="12871"/>
    <cellStyle name="一般 11 4 5 4 3" xfId="3297"/>
    <cellStyle name="一般 11 4 5 4 3 2" xfId="12872"/>
    <cellStyle name="一般 11 4 5 4 4" xfId="3298"/>
    <cellStyle name="一般 11 4 5 4 4 2" xfId="12873"/>
    <cellStyle name="一般 11 4 5 4 5" xfId="3299"/>
    <cellStyle name="一般 11 4 5 4 5 2" xfId="12874"/>
    <cellStyle name="一般 11 4 5 4 6" xfId="12870"/>
    <cellStyle name="一般 11 4 5 5" xfId="3300"/>
    <cellStyle name="一般 11 4 5 5 2" xfId="3301"/>
    <cellStyle name="一般 11 4 5 5 2 2" xfId="12876"/>
    <cellStyle name="一般 11 4 5 5 3" xfId="12875"/>
    <cellStyle name="一般 11 4 5 6" xfId="3302"/>
    <cellStyle name="一般 11 4 5 6 2" xfId="3303"/>
    <cellStyle name="一般 11 4 5 6 2 2" xfId="12878"/>
    <cellStyle name="一般 11 4 5 6 3" xfId="12877"/>
    <cellStyle name="一般 11 4 5 7" xfId="3304"/>
    <cellStyle name="一般 11 4 5 7 2" xfId="3305"/>
    <cellStyle name="一般 11 4 5 7 2 2" xfId="12880"/>
    <cellStyle name="一般 11 4 5 7 3" xfId="12879"/>
    <cellStyle name="一般 11 4 5 8" xfId="3306"/>
    <cellStyle name="一般 11 4 5 8 2" xfId="12881"/>
    <cellStyle name="一般 11 4 5 9" xfId="3307"/>
    <cellStyle name="一般 11 4 5 9 2" xfId="12882"/>
    <cellStyle name="一般 11 4 5_包裝指示書(裏)" xfId="3308"/>
    <cellStyle name="一般 11 4 6" xfId="3309"/>
    <cellStyle name="一般 11 4 6 2" xfId="3310"/>
    <cellStyle name="一般 11 4 6 2 2" xfId="3311"/>
    <cellStyle name="一般 11 4 6 2 2 2" xfId="3312"/>
    <cellStyle name="一般 11 4 6 2 2 2 2" xfId="3313"/>
    <cellStyle name="一般 11 4 6 2 2 2 2 2" xfId="12887"/>
    <cellStyle name="一般 11 4 6 2 2 2 3" xfId="12886"/>
    <cellStyle name="一般 11 4 6 2 2 3" xfId="3314"/>
    <cellStyle name="一般 11 4 6 2 2 3 2" xfId="12888"/>
    <cellStyle name="一般 11 4 6 2 2 4" xfId="12885"/>
    <cellStyle name="一般 11 4 6 2 2_包裝指示書(裏)" xfId="3315"/>
    <cellStyle name="一般 11 4 6 2 3" xfId="3316"/>
    <cellStyle name="一般 11 4 6 2 3 2" xfId="3317"/>
    <cellStyle name="一般 11 4 6 2 3 2 2" xfId="12890"/>
    <cellStyle name="一般 11 4 6 2 3 3" xfId="12889"/>
    <cellStyle name="一般 11 4 6 2 4" xfId="3318"/>
    <cellStyle name="一般 11 4 6 2 4 2" xfId="12891"/>
    <cellStyle name="一般 11 4 6 2 5" xfId="3319"/>
    <cellStyle name="一般 11 4 6 2 5 2" xfId="12892"/>
    <cellStyle name="一般 11 4 6 2 6" xfId="12884"/>
    <cellStyle name="一般 11 4 6 2_包裝指示書(裏)" xfId="3320"/>
    <cellStyle name="一般 11 4 6 3" xfId="3321"/>
    <cellStyle name="一般 11 4 6 3 2" xfId="3322"/>
    <cellStyle name="一般 11 4 6 3 2 2" xfId="3323"/>
    <cellStyle name="一般 11 4 6 3 2 2 2" xfId="12895"/>
    <cellStyle name="一般 11 4 6 3 2 3" xfId="12894"/>
    <cellStyle name="一般 11 4 6 3 3" xfId="3324"/>
    <cellStyle name="一般 11 4 6 3 3 2" xfId="12896"/>
    <cellStyle name="一般 11 4 6 3 4" xfId="3325"/>
    <cellStyle name="一般 11 4 6 3 4 2" xfId="12897"/>
    <cellStyle name="一般 11 4 6 3 5" xfId="3326"/>
    <cellStyle name="一般 11 4 6 3 5 2" xfId="12898"/>
    <cellStyle name="一般 11 4 6 3 6" xfId="12893"/>
    <cellStyle name="一般 11 4 6 3_包裝指示書(裏)" xfId="3327"/>
    <cellStyle name="一般 11 4 6 4" xfId="3328"/>
    <cellStyle name="一般 11 4 6 4 2" xfId="3329"/>
    <cellStyle name="一般 11 4 6 4 2 2" xfId="12900"/>
    <cellStyle name="一般 11 4 6 4 3" xfId="12899"/>
    <cellStyle name="一般 11 4 6 5" xfId="3330"/>
    <cellStyle name="一般 11 4 6 5 2" xfId="3331"/>
    <cellStyle name="一般 11 4 6 5 2 2" xfId="12902"/>
    <cellStyle name="一般 11 4 6 5 3" xfId="12901"/>
    <cellStyle name="一般 11 4 6 6" xfId="3332"/>
    <cellStyle name="一般 11 4 6 6 2" xfId="3333"/>
    <cellStyle name="一般 11 4 6 6 2 2" xfId="12904"/>
    <cellStyle name="一般 11 4 6 6 3" xfId="12903"/>
    <cellStyle name="一般 11 4 6 7" xfId="3334"/>
    <cellStyle name="一般 11 4 6 7 2" xfId="3335"/>
    <cellStyle name="一般 11 4 6 7 2 2" xfId="12906"/>
    <cellStyle name="一般 11 4 6 7 3" xfId="12905"/>
    <cellStyle name="一般 11 4 6 8" xfId="3336"/>
    <cellStyle name="一般 11 4 6 8 2" xfId="12907"/>
    <cellStyle name="一般 11 4 6 9" xfId="12883"/>
    <cellStyle name="一般 11 4 6_包裝指示書(裏)" xfId="3337"/>
    <cellStyle name="一般 11 4 7" xfId="3338"/>
    <cellStyle name="一般 11 4 7 2" xfId="3339"/>
    <cellStyle name="一般 11 4 7 2 2" xfId="3340"/>
    <cellStyle name="一般 11 4 7 2 2 2" xfId="3341"/>
    <cellStyle name="一般 11 4 7 2 2 2 2" xfId="3342"/>
    <cellStyle name="一般 11 4 7 2 2 2 2 2" xfId="12912"/>
    <cellStyle name="一般 11 4 7 2 2 2 3" xfId="12911"/>
    <cellStyle name="一般 11 4 7 2 2 3" xfId="3343"/>
    <cellStyle name="一般 11 4 7 2 2 3 2" xfId="12913"/>
    <cellStyle name="一般 11 4 7 2 2 4" xfId="12910"/>
    <cellStyle name="一般 11 4 7 2 2_包裝指示書(裏)" xfId="3344"/>
    <cellStyle name="一般 11 4 7 2 3" xfId="3345"/>
    <cellStyle name="一般 11 4 7 2 3 2" xfId="3346"/>
    <cellStyle name="一般 11 4 7 2 3 2 2" xfId="12915"/>
    <cellStyle name="一般 11 4 7 2 3 3" xfId="12914"/>
    <cellStyle name="一般 11 4 7 2 4" xfId="3347"/>
    <cellStyle name="一般 11 4 7 2 4 2" xfId="12916"/>
    <cellStyle name="一般 11 4 7 2 5" xfId="3348"/>
    <cellStyle name="一般 11 4 7 2 5 2" xfId="12917"/>
    <cellStyle name="一般 11 4 7 2 6" xfId="12909"/>
    <cellStyle name="一般 11 4 7 2_包裝指示書(裏)" xfId="3349"/>
    <cellStyle name="一般 11 4 7 3" xfId="3350"/>
    <cellStyle name="一般 11 4 7 3 2" xfId="3351"/>
    <cellStyle name="一般 11 4 7 3 2 2" xfId="3352"/>
    <cellStyle name="一般 11 4 7 3 2 2 2" xfId="12920"/>
    <cellStyle name="一般 11 4 7 3 2 3" xfId="12919"/>
    <cellStyle name="一般 11 4 7 3 3" xfId="3353"/>
    <cellStyle name="一般 11 4 7 3 3 2" xfId="12921"/>
    <cellStyle name="一般 11 4 7 3 4" xfId="3354"/>
    <cellStyle name="一般 11 4 7 3 4 2" xfId="12922"/>
    <cellStyle name="一般 11 4 7 3 5" xfId="3355"/>
    <cellStyle name="一般 11 4 7 3 5 2" xfId="12923"/>
    <cellStyle name="一般 11 4 7 3 6" xfId="12918"/>
    <cellStyle name="一般 11 4 7 3_包裝指示書(裏)" xfId="3356"/>
    <cellStyle name="一般 11 4 7 4" xfId="3357"/>
    <cellStyle name="一般 11 4 7 4 2" xfId="3358"/>
    <cellStyle name="一般 11 4 7 4 2 2" xfId="12925"/>
    <cellStyle name="一般 11 4 7 4 3" xfId="12924"/>
    <cellStyle name="一般 11 4 7 5" xfId="3359"/>
    <cellStyle name="一般 11 4 7 5 2" xfId="3360"/>
    <cellStyle name="一般 11 4 7 5 2 2" xfId="12927"/>
    <cellStyle name="一般 11 4 7 5 3" xfId="12926"/>
    <cellStyle name="一般 11 4 7 6" xfId="3361"/>
    <cellStyle name="一般 11 4 7 6 2" xfId="3362"/>
    <cellStyle name="一般 11 4 7 6 2 2" xfId="12929"/>
    <cellStyle name="一般 11 4 7 6 3" xfId="12928"/>
    <cellStyle name="一般 11 4 7 7" xfId="3363"/>
    <cellStyle name="一般 11 4 7 7 2" xfId="3364"/>
    <cellStyle name="一般 11 4 7 7 2 2" xfId="12931"/>
    <cellStyle name="一般 11 4 7 7 3" xfId="12930"/>
    <cellStyle name="一般 11 4 7 8" xfId="3365"/>
    <cellStyle name="一般 11 4 7 8 2" xfId="12932"/>
    <cellStyle name="一般 11 4 7 9" xfId="12908"/>
    <cellStyle name="一般 11 4 7_包裝指示書(裏)" xfId="3366"/>
    <cellStyle name="一般 11 4 8" xfId="3367"/>
    <cellStyle name="一般 11 4 8 2" xfId="3368"/>
    <cellStyle name="一般 11 4 8 2 2" xfId="3369"/>
    <cellStyle name="一般 11 4 8 2 2 2" xfId="3370"/>
    <cellStyle name="一般 11 4 8 2 2 2 2" xfId="12936"/>
    <cellStyle name="一般 11 4 8 2 2 3" xfId="12935"/>
    <cellStyle name="一般 11 4 8 2 3" xfId="3371"/>
    <cellStyle name="一般 11 4 8 2 3 2" xfId="3372"/>
    <cellStyle name="一般 11 4 8 2 3 2 2" xfId="12938"/>
    <cellStyle name="一般 11 4 8 2 3 3" xfId="12937"/>
    <cellStyle name="一般 11 4 8 2 4" xfId="3373"/>
    <cellStyle name="一般 11 4 8 2 4 2" xfId="12939"/>
    <cellStyle name="一般 11 4 8 2 5" xfId="12934"/>
    <cellStyle name="一般 11 4 8 2_包裝指示書(裏)" xfId="3374"/>
    <cellStyle name="一般 11 4 8 3" xfId="3375"/>
    <cellStyle name="一般 11 4 8 3 2" xfId="3376"/>
    <cellStyle name="一般 11 4 8 3 2 2" xfId="12940"/>
    <cellStyle name="一般 11 4 8 4" xfId="3377"/>
    <cellStyle name="一般 11 4 8 4 2" xfId="3378"/>
    <cellStyle name="一般 11 4 8 4 2 2" xfId="12942"/>
    <cellStyle name="一般 11 4 8 4 3" xfId="12941"/>
    <cellStyle name="一般 11 4 8 5" xfId="3379"/>
    <cellStyle name="一般 11 4 8 5 2" xfId="3380"/>
    <cellStyle name="一般 11 4 8 5 2 2" xfId="12944"/>
    <cellStyle name="一般 11 4 8 5 3" xfId="12943"/>
    <cellStyle name="一般 11 4 8 6" xfId="3381"/>
    <cellStyle name="一般 11 4 8 6 2" xfId="3382"/>
    <cellStyle name="一般 11 4 8 6 2 2" xfId="12946"/>
    <cellStyle name="一般 11 4 8 6 3" xfId="12945"/>
    <cellStyle name="一般 11 4 8 7" xfId="3383"/>
    <cellStyle name="一般 11 4 8 7 2" xfId="12947"/>
    <cellStyle name="一般 11 4 8 8" xfId="3384"/>
    <cellStyle name="一般 11 4 8 9" xfId="12933"/>
    <cellStyle name="一般 11 4 8_包裝指示書(裏)" xfId="3385"/>
    <cellStyle name="一般 11 4 9" xfId="3386"/>
    <cellStyle name="一般 11 4 9 2" xfId="3387"/>
    <cellStyle name="一般 11 4 9 2 2" xfId="3388"/>
    <cellStyle name="一般 11 4 9 2 2 2" xfId="3389"/>
    <cellStyle name="一般 11 4 9 2 2 2 2" xfId="12951"/>
    <cellStyle name="一般 11 4 9 2 2 3" xfId="12950"/>
    <cellStyle name="一般 11 4 9 2 3" xfId="3390"/>
    <cellStyle name="一般 11 4 9 2 3 2" xfId="3391"/>
    <cellStyle name="一般 11 4 9 2 3 2 2" xfId="12953"/>
    <cellStyle name="一般 11 4 9 2 3 3" xfId="12952"/>
    <cellStyle name="一般 11 4 9 2 4" xfId="3392"/>
    <cellStyle name="一般 11 4 9 2 4 2" xfId="12954"/>
    <cellStyle name="一般 11 4 9 2 5" xfId="12949"/>
    <cellStyle name="一般 11 4 9 2_包裝指示書(裏)" xfId="3393"/>
    <cellStyle name="一般 11 4 9 3" xfId="3394"/>
    <cellStyle name="一般 11 4 9 3 2" xfId="3395"/>
    <cellStyle name="一般 11 4 9 3 2 2" xfId="3396"/>
    <cellStyle name="一般 11 4 9 3 2 2 2" xfId="12957"/>
    <cellStyle name="一般 11 4 9 3 2 3" xfId="12956"/>
    <cellStyle name="一般 11 4 9 3 3" xfId="3397"/>
    <cellStyle name="一般 11 4 9 3 3 2" xfId="12958"/>
    <cellStyle name="一般 11 4 9 3 4" xfId="12955"/>
    <cellStyle name="一般 11 4 9 3_包裝指示書(裏)" xfId="3398"/>
    <cellStyle name="一般 11 4 9 4" xfId="3399"/>
    <cellStyle name="一般 11 4 9 4 2" xfId="3400"/>
    <cellStyle name="一般 11 4 9 4 2 2" xfId="12960"/>
    <cellStyle name="一般 11 4 9 4 3" xfId="12959"/>
    <cellStyle name="一般 11 4 9 5" xfId="3401"/>
    <cellStyle name="一般 11 4 9 5 2" xfId="3402"/>
    <cellStyle name="一般 11 4 9 5 2 2" xfId="12962"/>
    <cellStyle name="一般 11 4 9 5 3" xfId="12961"/>
    <cellStyle name="一般 11 4 9 6" xfId="3403"/>
    <cellStyle name="一般 11 4 9 6 2" xfId="12963"/>
    <cellStyle name="一般 11 4 9 7" xfId="12948"/>
    <cellStyle name="一般 11 4 9_包裝指示書(裏)" xfId="3404"/>
    <cellStyle name="一般 11 4_包裝指示書(裏)" xfId="3405"/>
    <cellStyle name="一般 11 5" xfId="3406"/>
    <cellStyle name="一般 11 5 10" xfId="3407"/>
    <cellStyle name="一般 11 5 10 2" xfId="3408"/>
    <cellStyle name="一般 11 5 10 2 2" xfId="12964"/>
    <cellStyle name="一般 11 5 11" xfId="3409"/>
    <cellStyle name="一般 11 5 11 2" xfId="3410"/>
    <cellStyle name="一般 11 5 11 2 2" xfId="3411"/>
    <cellStyle name="一般 11 5 11 2 2 2" xfId="12967"/>
    <cellStyle name="一般 11 5 11 2 3" xfId="12966"/>
    <cellStyle name="一般 11 5 11 3" xfId="3412"/>
    <cellStyle name="一般 11 5 11 3 2" xfId="3413"/>
    <cellStyle name="一般 11 5 11 3 2 2" xfId="12969"/>
    <cellStyle name="一般 11 5 11 3 3" xfId="12968"/>
    <cellStyle name="一般 11 5 11 4" xfId="3414"/>
    <cellStyle name="一般 11 5 11 4 2" xfId="12970"/>
    <cellStyle name="一般 11 5 11 5" xfId="12965"/>
    <cellStyle name="一般 11 5 11_包裝指示書(裏)" xfId="3415"/>
    <cellStyle name="一般 11 5 12" xfId="3416"/>
    <cellStyle name="一般 11 5 12 2" xfId="3417"/>
    <cellStyle name="一般 11 5 12 2 2" xfId="12972"/>
    <cellStyle name="一般 11 5 12 3" xfId="12971"/>
    <cellStyle name="一般 11 5 13" xfId="3418"/>
    <cellStyle name="一般 11 5 13 2" xfId="3419"/>
    <cellStyle name="一般 11 5 13 2 2" xfId="12974"/>
    <cellStyle name="一般 11 5 13 3" xfId="12973"/>
    <cellStyle name="一般 11 5 14" xfId="3420"/>
    <cellStyle name="一般 11 5 14 2" xfId="12975"/>
    <cellStyle name="一般 11 5 2" xfId="3421"/>
    <cellStyle name="一般 11 5 2 10" xfId="3422"/>
    <cellStyle name="一般 11 5 2 10 2" xfId="12977"/>
    <cellStyle name="一般 11 5 2 11" xfId="12976"/>
    <cellStyle name="一般 11 5 2 2" xfId="3423"/>
    <cellStyle name="一般 11 5 2 2 2" xfId="3424"/>
    <cellStyle name="一般 11 5 2 2 2 2" xfId="3425"/>
    <cellStyle name="一般 11 5 2 2 2 2 2" xfId="3426"/>
    <cellStyle name="一般 11 5 2 2 2 2 2 2" xfId="3427"/>
    <cellStyle name="一般 11 5 2 2 2 2 2 2 2" xfId="12982"/>
    <cellStyle name="一般 11 5 2 2 2 2 2 3" xfId="12981"/>
    <cellStyle name="一般 11 5 2 2 2 2 3" xfId="3428"/>
    <cellStyle name="一般 11 5 2 2 2 2 3 2" xfId="12983"/>
    <cellStyle name="一般 11 5 2 2 2 2 4" xfId="12980"/>
    <cellStyle name="一般 11 5 2 2 2 2_包裝指示書(裏)" xfId="3429"/>
    <cellStyle name="一般 11 5 2 2 2 3" xfId="3430"/>
    <cellStyle name="一般 11 5 2 2 2 3 2" xfId="3431"/>
    <cellStyle name="一般 11 5 2 2 2 3 2 2" xfId="12985"/>
    <cellStyle name="一般 11 5 2 2 2 3 3" xfId="12984"/>
    <cellStyle name="一般 11 5 2 2 2 4" xfId="3432"/>
    <cellStyle name="一般 11 5 2 2 2 4 2" xfId="12986"/>
    <cellStyle name="一般 11 5 2 2 2 5" xfId="12979"/>
    <cellStyle name="一般 11 5 2 2 2_包裝指示書(裏)" xfId="3433"/>
    <cellStyle name="一般 11 5 2 2 3" xfId="3434"/>
    <cellStyle name="一般 11 5 2 2 3 2" xfId="3435"/>
    <cellStyle name="一般 11 5 2 2 3 2 2" xfId="3436"/>
    <cellStyle name="一般 11 5 2 2 3 2 2 2" xfId="12989"/>
    <cellStyle name="一般 11 5 2 2 3 2 3" xfId="12988"/>
    <cellStyle name="一般 11 5 2 2 3 3" xfId="3437"/>
    <cellStyle name="一般 11 5 2 2 3 3 2" xfId="12990"/>
    <cellStyle name="一般 11 5 2 2 3 4" xfId="12987"/>
    <cellStyle name="一般 11 5 2 2 3_包裝指示書(裏)" xfId="3438"/>
    <cellStyle name="一般 11 5 2 2 4" xfId="3439"/>
    <cellStyle name="一般 11 5 2 2 4 2" xfId="3440"/>
    <cellStyle name="一般 11 5 2 2 4 2 2" xfId="12992"/>
    <cellStyle name="一般 11 5 2 2 4 3" xfId="12991"/>
    <cellStyle name="一般 11 5 2 2 5" xfId="3441"/>
    <cellStyle name="一般 11 5 2 2 5 2" xfId="3442"/>
    <cellStyle name="一般 11 5 2 2 5 2 2" xfId="12994"/>
    <cellStyle name="一般 11 5 2 2 5 3" xfId="12993"/>
    <cellStyle name="一般 11 5 2 2 6" xfId="3443"/>
    <cellStyle name="一般 11 5 2 2 6 2" xfId="3444"/>
    <cellStyle name="一般 11 5 2 2 6 2 2" xfId="12996"/>
    <cellStyle name="一般 11 5 2 2 6 3" xfId="12995"/>
    <cellStyle name="一般 11 5 2 2 7" xfId="3445"/>
    <cellStyle name="一般 11 5 2 2 7 2" xfId="3446"/>
    <cellStyle name="一般 11 5 2 2 7 2 2" xfId="12998"/>
    <cellStyle name="一般 11 5 2 2 7 3" xfId="12997"/>
    <cellStyle name="一般 11 5 2 2 8" xfId="3447"/>
    <cellStyle name="一般 11 5 2 2 8 2" xfId="12999"/>
    <cellStyle name="一般 11 5 2 2 9" xfId="12978"/>
    <cellStyle name="一般 11 5 2 2_包裝指示書(裏)" xfId="3448"/>
    <cellStyle name="一般 11 5 2 3" xfId="3449"/>
    <cellStyle name="一般 11 5 2 3 2" xfId="3450"/>
    <cellStyle name="一般 11 5 2 3 2 2" xfId="3451"/>
    <cellStyle name="一般 11 5 2 3 2 2 2" xfId="3452"/>
    <cellStyle name="一般 11 5 2 3 2 2 2 2" xfId="13003"/>
    <cellStyle name="一般 11 5 2 3 2 2 3" xfId="13002"/>
    <cellStyle name="一般 11 5 2 3 2 3" xfId="3453"/>
    <cellStyle name="一般 11 5 2 3 2 3 2" xfId="3454"/>
    <cellStyle name="一般 11 5 2 3 2 3 2 2" xfId="13005"/>
    <cellStyle name="一般 11 5 2 3 2 3 3" xfId="13004"/>
    <cellStyle name="一般 11 5 2 3 2 4" xfId="3455"/>
    <cellStyle name="一般 11 5 2 3 2 4 2" xfId="13006"/>
    <cellStyle name="一般 11 5 2 3 2 5" xfId="13001"/>
    <cellStyle name="一般 11 5 2 3 2_包裝指示書(裏)" xfId="3456"/>
    <cellStyle name="一般 11 5 2 3 3" xfId="3457"/>
    <cellStyle name="一般 11 5 2 3 3 2" xfId="3458"/>
    <cellStyle name="一般 11 5 2 3 3 2 2" xfId="3459"/>
    <cellStyle name="一般 11 5 2 3 3 2 2 2" xfId="13009"/>
    <cellStyle name="一般 11 5 2 3 3 2 3" xfId="13008"/>
    <cellStyle name="一般 11 5 2 3 3 3" xfId="3460"/>
    <cellStyle name="一般 11 5 2 3 3 3 2" xfId="13010"/>
    <cellStyle name="一般 11 5 2 3 3 4" xfId="13007"/>
    <cellStyle name="一般 11 5 2 3 3_包裝指示書(裏)" xfId="3461"/>
    <cellStyle name="一般 11 5 2 3 4" xfId="3462"/>
    <cellStyle name="一般 11 5 2 3 4 2" xfId="3463"/>
    <cellStyle name="一般 11 5 2 3 4 2 2" xfId="13012"/>
    <cellStyle name="一般 11 5 2 3 4 3" xfId="13011"/>
    <cellStyle name="一般 11 5 2 3 5" xfId="3464"/>
    <cellStyle name="一般 11 5 2 3 5 2" xfId="13013"/>
    <cellStyle name="一般 11 5 2 3 6" xfId="13000"/>
    <cellStyle name="一般 11 5 2 3_包裝指示書(裏)" xfId="3465"/>
    <cellStyle name="一般 11 5 2 4" xfId="3466"/>
    <cellStyle name="一般 11 5 2 4 2" xfId="3467"/>
    <cellStyle name="一般 11 5 2 4 2 2" xfId="3468"/>
    <cellStyle name="一般 11 5 2 4 2 2 2" xfId="3469"/>
    <cellStyle name="一般 11 5 2 4 2 2 2 2" xfId="13017"/>
    <cellStyle name="一般 11 5 2 4 2 2 3" xfId="13016"/>
    <cellStyle name="一般 11 5 2 4 2 3" xfId="3470"/>
    <cellStyle name="一般 11 5 2 4 2 3 2" xfId="3471"/>
    <cellStyle name="一般 11 5 2 4 2 3 2 2" xfId="13019"/>
    <cellStyle name="一般 11 5 2 4 2 3 3" xfId="13018"/>
    <cellStyle name="一般 11 5 2 4 2 4" xfId="3472"/>
    <cellStyle name="一般 11 5 2 4 2 4 2" xfId="13020"/>
    <cellStyle name="一般 11 5 2 4 2 5" xfId="13015"/>
    <cellStyle name="一般 11 5 2 4 2_包裝指示書(裏)" xfId="3473"/>
    <cellStyle name="一般 11 5 2 4 3" xfId="3474"/>
    <cellStyle name="一般 11 5 2 4 3 2" xfId="3475"/>
    <cellStyle name="一般 11 5 2 4 3 2 2" xfId="13022"/>
    <cellStyle name="一般 11 5 2 4 3 3" xfId="13021"/>
    <cellStyle name="一般 11 5 2 4 4" xfId="3476"/>
    <cellStyle name="一般 11 5 2 4 4 2" xfId="3477"/>
    <cellStyle name="一般 11 5 2 4 4 2 2" xfId="13024"/>
    <cellStyle name="一般 11 5 2 4 4 3" xfId="13023"/>
    <cellStyle name="一般 11 5 2 4 5" xfId="3478"/>
    <cellStyle name="一般 11 5 2 4 5 2" xfId="13025"/>
    <cellStyle name="一般 11 5 2 4 6" xfId="13014"/>
    <cellStyle name="一般 11 5 2 4_包裝指示書(裏)" xfId="3479"/>
    <cellStyle name="一般 11 5 2 5" xfId="3480"/>
    <cellStyle name="一般 11 5 2 5 2" xfId="3481"/>
    <cellStyle name="一般 11 5 2 5 2 2" xfId="3482"/>
    <cellStyle name="一般 11 5 2 5 2 2 2" xfId="3483"/>
    <cellStyle name="一般 11 5 2 5 2 2 2 2" xfId="13029"/>
    <cellStyle name="一般 11 5 2 5 2 2 3" xfId="13028"/>
    <cellStyle name="一般 11 5 2 5 2 3" xfId="3484"/>
    <cellStyle name="一般 11 5 2 5 2 3 2" xfId="3485"/>
    <cellStyle name="一般 11 5 2 5 2 3 2 2" xfId="13031"/>
    <cellStyle name="一般 11 5 2 5 2 3 3" xfId="13030"/>
    <cellStyle name="一般 11 5 2 5 2 4" xfId="3486"/>
    <cellStyle name="一般 11 5 2 5 2 4 2" xfId="13032"/>
    <cellStyle name="一般 11 5 2 5 2 5" xfId="13027"/>
    <cellStyle name="一般 11 5 2 5 2_包裝指示書(裏)" xfId="3487"/>
    <cellStyle name="一般 11 5 2 5 3" xfId="3488"/>
    <cellStyle name="一般 11 5 2 5 3 2" xfId="3489"/>
    <cellStyle name="一般 11 5 2 5 3 2 2" xfId="13034"/>
    <cellStyle name="一般 11 5 2 5 3 3" xfId="13033"/>
    <cellStyle name="一般 11 5 2 5 4" xfId="3490"/>
    <cellStyle name="一般 11 5 2 5 4 2" xfId="3491"/>
    <cellStyle name="一般 11 5 2 5 4 2 2" xfId="13036"/>
    <cellStyle name="一般 11 5 2 5 4 3" xfId="13035"/>
    <cellStyle name="一般 11 5 2 5 5" xfId="3492"/>
    <cellStyle name="一般 11 5 2 5 5 2" xfId="13037"/>
    <cellStyle name="一般 11 5 2 5 6" xfId="13026"/>
    <cellStyle name="一般 11 5 2 5_包裝指示書(裏)" xfId="3493"/>
    <cellStyle name="一般 11 5 2 6" xfId="3494"/>
    <cellStyle name="一般 11 5 2 6 2" xfId="3495"/>
    <cellStyle name="一般 11 5 2 6 2 2" xfId="3496"/>
    <cellStyle name="一般 11 5 2 6 2 2 2" xfId="13040"/>
    <cellStyle name="一般 11 5 2 6 2 3" xfId="13039"/>
    <cellStyle name="一般 11 5 2 6 3" xfId="3497"/>
    <cellStyle name="一般 11 5 2 6 3 2" xfId="3498"/>
    <cellStyle name="一般 11 5 2 6 3 2 2" xfId="13042"/>
    <cellStyle name="一般 11 5 2 6 3 3" xfId="13041"/>
    <cellStyle name="一般 11 5 2 6 4" xfId="3499"/>
    <cellStyle name="一般 11 5 2 6 4 2" xfId="13043"/>
    <cellStyle name="一般 11 5 2 6 5" xfId="13038"/>
    <cellStyle name="一般 11 5 2 6_包裝指示書(裏)" xfId="3500"/>
    <cellStyle name="一般 11 5 2 7" xfId="3501"/>
    <cellStyle name="一般 11 5 2 7 2" xfId="3502"/>
    <cellStyle name="一般 11 5 2 7 2 2" xfId="3503"/>
    <cellStyle name="一般 11 5 2 7 2 2 2" xfId="13046"/>
    <cellStyle name="一般 11 5 2 7 2 3" xfId="13045"/>
    <cellStyle name="一般 11 5 2 7 3" xfId="3504"/>
    <cellStyle name="一般 11 5 2 7 3 2" xfId="13047"/>
    <cellStyle name="一般 11 5 2 7 4" xfId="13044"/>
    <cellStyle name="一般 11 5 2 7_包裝指示書(裏)" xfId="3505"/>
    <cellStyle name="一般 11 5 2 8" xfId="3506"/>
    <cellStyle name="一般 11 5 2 8 2" xfId="3507"/>
    <cellStyle name="一般 11 5 2 8 2 2" xfId="13049"/>
    <cellStyle name="一般 11 5 2 8 3" xfId="13048"/>
    <cellStyle name="一般 11 5 2 9" xfId="3508"/>
    <cellStyle name="一般 11 5 2 9 2" xfId="3509"/>
    <cellStyle name="一般 11 5 2 9 2 2" xfId="13051"/>
    <cellStyle name="一般 11 5 2 9 3" xfId="13050"/>
    <cellStyle name="一般 11 5 2_包裝指示書(裏)" xfId="3510"/>
    <cellStyle name="一般 11 5 3" xfId="3511"/>
    <cellStyle name="一般 11 5 3 10" xfId="13052"/>
    <cellStyle name="一般 11 5 3 2" xfId="3512"/>
    <cellStyle name="一般 11 5 3 2 2" xfId="3513"/>
    <cellStyle name="一般 11 5 3 2 2 2" xfId="3514"/>
    <cellStyle name="一般 11 5 3 2 2 2 2" xfId="3515"/>
    <cellStyle name="一般 11 5 3 2 2 2 2 2" xfId="13056"/>
    <cellStyle name="一般 11 5 3 2 2 2 3" xfId="13055"/>
    <cellStyle name="一般 11 5 3 2 2 3" xfId="3516"/>
    <cellStyle name="一般 11 5 3 2 2 3 2" xfId="13057"/>
    <cellStyle name="一般 11 5 3 2 2 4" xfId="13054"/>
    <cellStyle name="一般 11 5 3 2 2_包裝指示書(裏)" xfId="3517"/>
    <cellStyle name="一般 11 5 3 2 3" xfId="3518"/>
    <cellStyle name="一般 11 5 3 2 3 2" xfId="3519"/>
    <cellStyle name="一般 11 5 3 2 3 2 2" xfId="13059"/>
    <cellStyle name="一般 11 5 3 2 3 3" xfId="13058"/>
    <cellStyle name="一般 11 5 3 2 4" xfId="3520"/>
    <cellStyle name="一般 11 5 3 2 4 2" xfId="3521"/>
    <cellStyle name="一般 11 5 3 2 4 2 2" xfId="13061"/>
    <cellStyle name="一般 11 5 3 2 4 3" xfId="13060"/>
    <cellStyle name="一般 11 5 3 2 5" xfId="3522"/>
    <cellStyle name="一般 11 5 3 2 5 2" xfId="3523"/>
    <cellStyle name="一般 11 5 3 2 5 2 2" xfId="13063"/>
    <cellStyle name="一般 11 5 3 2 5 3" xfId="13062"/>
    <cellStyle name="一般 11 5 3 2 6" xfId="3524"/>
    <cellStyle name="一般 11 5 3 2 6 2" xfId="3525"/>
    <cellStyle name="一般 11 5 3 2 6 2 2" xfId="13065"/>
    <cellStyle name="一般 11 5 3 2 6 3" xfId="13064"/>
    <cellStyle name="一般 11 5 3 2 7" xfId="3526"/>
    <cellStyle name="一般 11 5 3 2 7 2" xfId="3527"/>
    <cellStyle name="一般 11 5 3 2 7 2 2" xfId="13067"/>
    <cellStyle name="一般 11 5 3 2 7 3" xfId="13066"/>
    <cellStyle name="一般 11 5 3 2 8" xfId="3528"/>
    <cellStyle name="一般 11 5 3 2 8 2" xfId="13068"/>
    <cellStyle name="一般 11 5 3 2 9" xfId="13053"/>
    <cellStyle name="一般 11 5 3 2_包裝指示書(裏)" xfId="3529"/>
    <cellStyle name="一般 11 5 3 3" xfId="3530"/>
    <cellStyle name="一般 11 5 3 3 2" xfId="3531"/>
    <cellStyle name="一般 11 5 3 3 2 2" xfId="3532"/>
    <cellStyle name="一般 11 5 3 3 2 2 2" xfId="13071"/>
    <cellStyle name="一般 11 5 3 3 2 3" xfId="13070"/>
    <cellStyle name="一般 11 5 3 3 3" xfId="3533"/>
    <cellStyle name="一般 11 5 3 3 3 2" xfId="13072"/>
    <cellStyle name="一般 11 5 3 3 4" xfId="3534"/>
    <cellStyle name="一般 11 5 3 3 4 2" xfId="13073"/>
    <cellStyle name="一般 11 5 3 3 5" xfId="3535"/>
    <cellStyle name="一般 11 5 3 3 5 2" xfId="13074"/>
    <cellStyle name="一般 11 5 3 3 6" xfId="13069"/>
    <cellStyle name="一般 11 5 3 3_包裝指示書(裏)" xfId="3536"/>
    <cellStyle name="一般 11 5 3 4" xfId="3537"/>
    <cellStyle name="一般 11 5 3 4 2" xfId="3538"/>
    <cellStyle name="一般 11 5 3 4 2 2" xfId="13076"/>
    <cellStyle name="一般 11 5 3 4 3" xfId="13075"/>
    <cellStyle name="一般 11 5 3 5" xfId="3539"/>
    <cellStyle name="一般 11 5 3 5 2" xfId="3540"/>
    <cellStyle name="一般 11 5 3 5 2 2" xfId="13078"/>
    <cellStyle name="一般 11 5 3 5 3" xfId="13077"/>
    <cellStyle name="一般 11 5 3 6" xfId="3541"/>
    <cellStyle name="一般 11 5 3 6 2" xfId="3542"/>
    <cellStyle name="一般 11 5 3 6 2 2" xfId="13080"/>
    <cellStyle name="一般 11 5 3 6 3" xfId="13079"/>
    <cellStyle name="一般 11 5 3 7" xfId="3543"/>
    <cellStyle name="一般 11 5 3 7 2" xfId="3544"/>
    <cellStyle name="一般 11 5 3 7 2 2" xfId="13082"/>
    <cellStyle name="一般 11 5 3 7 3" xfId="13081"/>
    <cellStyle name="一般 11 5 3 8" xfId="3545"/>
    <cellStyle name="一般 11 5 3 8 2" xfId="3546"/>
    <cellStyle name="一般 11 5 3 8 2 2" xfId="13084"/>
    <cellStyle name="一般 11 5 3 8 3" xfId="13083"/>
    <cellStyle name="一般 11 5 3 9" xfId="3547"/>
    <cellStyle name="一般 11 5 3 9 2" xfId="13085"/>
    <cellStyle name="一般 11 5 3_包裝指示書(裏)" xfId="3548"/>
    <cellStyle name="一般 11 5 4" xfId="3549"/>
    <cellStyle name="一般 11 5 4 10" xfId="3550"/>
    <cellStyle name="一般 11 5 4 10 2" xfId="13087"/>
    <cellStyle name="一般 11 5 4 11" xfId="13086"/>
    <cellStyle name="一般 11 5 4 2" xfId="3551"/>
    <cellStyle name="一般 11 5 4 2 2" xfId="3552"/>
    <cellStyle name="一般 11 5 4 2 2 2" xfId="3553"/>
    <cellStyle name="一般 11 5 4 2 2 2 2" xfId="3554"/>
    <cellStyle name="一般 11 5 4 2 2 2 2 2" xfId="13091"/>
    <cellStyle name="一般 11 5 4 2 2 2 3" xfId="13090"/>
    <cellStyle name="一般 11 5 4 2 2 3" xfId="3555"/>
    <cellStyle name="一般 11 5 4 2 2 3 2" xfId="13092"/>
    <cellStyle name="一般 11 5 4 2 2 4" xfId="13089"/>
    <cellStyle name="一般 11 5 4 2 2_包裝指示書(裏)" xfId="3556"/>
    <cellStyle name="一般 11 5 4 2 3" xfId="3557"/>
    <cellStyle name="一般 11 5 4 2 3 2" xfId="3558"/>
    <cellStyle name="一般 11 5 4 2 3 2 2" xfId="13094"/>
    <cellStyle name="一般 11 5 4 2 3 3" xfId="13093"/>
    <cellStyle name="一般 11 5 4 2 4" xfId="3559"/>
    <cellStyle name="一般 11 5 4 2 4 2" xfId="3560"/>
    <cellStyle name="一般 11 5 4 2 4 2 2" xfId="13096"/>
    <cellStyle name="一般 11 5 4 2 4 3" xfId="13095"/>
    <cellStyle name="一般 11 5 4 2 5" xfId="3561"/>
    <cellStyle name="一般 11 5 4 2 5 2" xfId="3562"/>
    <cellStyle name="一般 11 5 4 2 5 2 2" xfId="13098"/>
    <cellStyle name="一般 11 5 4 2 5 3" xfId="13097"/>
    <cellStyle name="一般 11 5 4 2 6" xfId="3563"/>
    <cellStyle name="一般 11 5 4 2 6 2" xfId="3564"/>
    <cellStyle name="一般 11 5 4 2 6 2 2" xfId="13100"/>
    <cellStyle name="一般 11 5 4 2 6 3" xfId="13099"/>
    <cellStyle name="一般 11 5 4 2 7" xfId="3565"/>
    <cellStyle name="一般 11 5 4 2 7 2" xfId="3566"/>
    <cellStyle name="一般 11 5 4 2 7 2 2" xfId="13102"/>
    <cellStyle name="一般 11 5 4 2 7 3" xfId="13101"/>
    <cellStyle name="一般 11 5 4 2 8" xfId="3567"/>
    <cellStyle name="一般 11 5 4 2 8 2" xfId="13103"/>
    <cellStyle name="一般 11 5 4 2 9" xfId="13088"/>
    <cellStyle name="一般 11 5 4 2_包裝指示書(裏)" xfId="3568"/>
    <cellStyle name="一般 11 5 4 3" xfId="3569"/>
    <cellStyle name="一般 11 5 4 3 2" xfId="3570"/>
    <cellStyle name="一般 11 5 4 3 3" xfId="3571"/>
    <cellStyle name="一般 11 5 4 3 3 2" xfId="13104"/>
    <cellStyle name="一般 11 5 4 3 4" xfId="3572"/>
    <cellStyle name="一般 11 5 4 3 4 2" xfId="13105"/>
    <cellStyle name="一般 11 5 4 3_包裝指示書(裏)" xfId="3573"/>
    <cellStyle name="一般 11 5 4 4" xfId="3574"/>
    <cellStyle name="一般 11 5 4 4 2" xfId="3575"/>
    <cellStyle name="一般 11 5 4 4 2 2" xfId="3576"/>
    <cellStyle name="一般 11 5 4 4 2 2 2" xfId="13108"/>
    <cellStyle name="一般 11 5 4 4 2 3" xfId="13107"/>
    <cellStyle name="一般 11 5 4 4 3" xfId="3577"/>
    <cellStyle name="一般 11 5 4 4 3 2" xfId="13109"/>
    <cellStyle name="一般 11 5 4 4 4" xfId="13106"/>
    <cellStyle name="一般 11 5 4 4_包裝指示書(裏)" xfId="3578"/>
    <cellStyle name="一般 11 5 4 5" xfId="3579"/>
    <cellStyle name="一般 11 5 4 5 2" xfId="3580"/>
    <cellStyle name="一般 11 5 4 5 2 2" xfId="13111"/>
    <cellStyle name="一般 11 5 4 5 3" xfId="13110"/>
    <cellStyle name="一般 11 5 4 6" xfId="3581"/>
    <cellStyle name="一般 11 5 4 6 2" xfId="3582"/>
    <cellStyle name="一般 11 5 4 6 2 2" xfId="13113"/>
    <cellStyle name="一般 11 5 4 6 3" xfId="13112"/>
    <cellStyle name="一般 11 5 4 7" xfId="3583"/>
    <cellStyle name="一般 11 5 4 7 2" xfId="3584"/>
    <cellStyle name="一般 11 5 4 7 2 2" xfId="13115"/>
    <cellStyle name="一般 11 5 4 7 3" xfId="13114"/>
    <cellStyle name="一般 11 5 4 8" xfId="3585"/>
    <cellStyle name="一般 11 5 4 8 2" xfId="3586"/>
    <cellStyle name="一般 11 5 4 8 2 2" xfId="13117"/>
    <cellStyle name="一般 11 5 4 8 3" xfId="13116"/>
    <cellStyle name="一般 11 5 4 9" xfId="3587"/>
    <cellStyle name="一般 11 5 4 9 2" xfId="3588"/>
    <cellStyle name="一般 11 5 4 9 2 2" xfId="13119"/>
    <cellStyle name="一般 11 5 4 9 3" xfId="13118"/>
    <cellStyle name="一般 11 5 4_包裝指示書(裏)" xfId="3589"/>
    <cellStyle name="一般 11 5 5" xfId="3590"/>
    <cellStyle name="一般 11 5 5 2" xfId="3591"/>
    <cellStyle name="一般 11 5 5 2 2" xfId="3592"/>
    <cellStyle name="一般 11 5 5 2 2 2" xfId="3593"/>
    <cellStyle name="一般 11 5 5 2 2 2 2" xfId="3594"/>
    <cellStyle name="一般 11 5 5 2 2 2 2 2" xfId="13124"/>
    <cellStyle name="一般 11 5 5 2 2 2 3" xfId="13123"/>
    <cellStyle name="一般 11 5 5 2 2 3" xfId="3595"/>
    <cellStyle name="一般 11 5 5 2 2 3 2" xfId="13125"/>
    <cellStyle name="一般 11 5 5 2 2 4" xfId="13122"/>
    <cellStyle name="一般 11 5 5 2 2_包裝指示書(裏)" xfId="3596"/>
    <cellStyle name="一般 11 5 5 2 3" xfId="3597"/>
    <cellStyle name="一般 11 5 5 2 3 2" xfId="3598"/>
    <cellStyle name="一般 11 5 5 2 3 2 2" xfId="13127"/>
    <cellStyle name="一般 11 5 5 2 3 3" xfId="13126"/>
    <cellStyle name="一般 11 5 5 2 4" xfId="3599"/>
    <cellStyle name="一般 11 5 5 2 4 2" xfId="13128"/>
    <cellStyle name="一般 11 5 5 2 5" xfId="3600"/>
    <cellStyle name="一般 11 5 5 2 5 2" xfId="13129"/>
    <cellStyle name="一般 11 5 5 2 6" xfId="13121"/>
    <cellStyle name="一般 11 5 5 2_包裝指示書(裏)" xfId="3601"/>
    <cellStyle name="一般 11 5 5 3" xfId="3602"/>
    <cellStyle name="一般 11 5 5 3 2" xfId="3603"/>
    <cellStyle name="一般 11 5 5 3 2 2" xfId="3604"/>
    <cellStyle name="一般 11 5 5 3 2 2 2" xfId="13132"/>
    <cellStyle name="一般 11 5 5 3 2 3" xfId="13131"/>
    <cellStyle name="一般 11 5 5 3 3" xfId="3605"/>
    <cellStyle name="一般 11 5 5 3 3 2" xfId="13133"/>
    <cellStyle name="一般 11 5 5 3 4" xfId="3606"/>
    <cellStyle name="一般 11 5 5 3 4 2" xfId="13134"/>
    <cellStyle name="一般 11 5 5 3 5" xfId="3607"/>
    <cellStyle name="一般 11 5 5 3 5 2" xfId="13135"/>
    <cellStyle name="一般 11 5 5 3 6" xfId="13130"/>
    <cellStyle name="一般 11 5 5 3_包裝指示書(裏)" xfId="3608"/>
    <cellStyle name="一般 11 5 5 4" xfId="3609"/>
    <cellStyle name="一般 11 5 5 4 2" xfId="3610"/>
    <cellStyle name="一般 11 5 5 4 2 2" xfId="13137"/>
    <cellStyle name="一般 11 5 5 4 3" xfId="13136"/>
    <cellStyle name="一般 11 5 5 5" xfId="3611"/>
    <cellStyle name="一般 11 5 5 5 2" xfId="3612"/>
    <cellStyle name="一般 11 5 5 5 2 2" xfId="13139"/>
    <cellStyle name="一般 11 5 5 5 3" xfId="13138"/>
    <cellStyle name="一般 11 5 5 6" xfId="3613"/>
    <cellStyle name="一般 11 5 5 6 2" xfId="3614"/>
    <cellStyle name="一般 11 5 5 6 2 2" xfId="13141"/>
    <cellStyle name="一般 11 5 5 6 3" xfId="13140"/>
    <cellStyle name="一般 11 5 5 7" xfId="3615"/>
    <cellStyle name="一般 11 5 5 7 2" xfId="3616"/>
    <cellStyle name="一般 11 5 5 7 2 2" xfId="13143"/>
    <cellStyle name="一般 11 5 5 7 3" xfId="13142"/>
    <cellStyle name="一般 11 5 5 8" xfId="3617"/>
    <cellStyle name="一般 11 5 5 8 2" xfId="13144"/>
    <cellStyle name="一般 11 5 5 9" xfId="13120"/>
    <cellStyle name="一般 11 5 5_包裝指示書(裏)" xfId="3618"/>
    <cellStyle name="一般 11 5 6" xfId="3619"/>
    <cellStyle name="一般 11 5 6 2" xfId="3620"/>
    <cellStyle name="一般 11 5 6 2 2" xfId="3621"/>
    <cellStyle name="一般 11 5 6 2 2 2" xfId="3622"/>
    <cellStyle name="一般 11 5 6 2 2 2 2" xfId="3623"/>
    <cellStyle name="一般 11 5 6 2 2 2 2 2" xfId="13149"/>
    <cellStyle name="一般 11 5 6 2 2 2 3" xfId="13148"/>
    <cellStyle name="一般 11 5 6 2 2 3" xfId="3624"/>
    <cellStyle name="一般 11 5 6 2 2 3 2" xfId="13150"/>
    <cellStyle name="一般 11 5 6 2 2 4" xfId="13147"/>
    <cellStyle name="一般 11 5 6 2 2_包裝指示書(裏)" xfId="3625"/>
    <cellStyle name="一般 11 5 6 2 3" xfId="3626"/>
    <cellStyle name="一般 11 5 6 2 3 2" xfId="3627"/>
    <cellStyle name="一般 11 5 6 2 3 2 2" xfId="13152"/>
    <cellStyle name="一般 11 5 6 2 3 3" xfId="13151"/>
    <cellStyle name="一般 11 5 6 2 4" xfId="3628"/>
    <cellStyle name="一般 11 5 6 2 4 2" xfId="13153"/>
    <cellStyle name="一般 11 5 6 2 5" xfId="3629"/>
    <cellStyle name="一般 11 5 6 2 5 2" xfId="13154"/>
    <cellStyle name="一般 11 5 6 2 6" xfId="13146"/>
    <cellStyle name="一般 11 5 6 2_包裝指示書(裏)" xfId="3630"/>
    <cellStyle name="一般 11 5 6 3" xfId="3631"/>
    <cellStyle name="一般 11 5 6 3 2" xfId="3632"/>
    <cellStyle name="一般 11 5 6 3 2 2" xfId="3633"/>
    <cellStyle name="一般 11 5 6 3 2 2 2" xfId="13157"/>
    <cellStyle name="一般 11 5 6 3 2 3" xfId="13156"/>
    <cellStyle name="一般 11 5 6 3 3" xfId="3634"/>
    <cellStyle name="一般 11 5 6 3 3 2" xfId="13158"/>
    <cellStyle name="一般 11 5 6 3 4" xfId="3635"/>
    <cellStyle name="一般 11 5 6 3 4 2" xfId="13159"/>
    <cellStyle name="一般 11 5 6 3 5" xfId="3636"/>
    <cellStyle name="一般 11 5 6 3 5 2" xfId="13160"/>
    <cellStyle name="一般 11 5 6 3 6" xfId="13155"/>
    <cellStyle name="一般 11 5 6 3_包裝指示書(裏)" xfId="3637"/>
    <cellStyle name="一般 11 5 6 4" xfId="3638"/>
    <cellStyle name="一般 11 5 6 4 2" xfId="3639"/>
    <cellStyle name="一般 11 5 6 4 2 2" xfId="13162"/>
    <cellStyle name="一般 11 5 6 4 3" xfId="13161"/>
    <cellStyle name="一般 11 5 6 5" xfId="3640"/>
    <cellStyle name="一般 11 5 6 5 2" xfId="3641"/>
    <cellStyle name="一般 11 5 6 5 2 2" xfId="13164"/>
    <cellStyle name="一般 11 5 6 5 3" xfId="13163"/>
    <cellStyle name="一般 11 5 6 6" xfId="3642"/>
    <cellStyle name="一般 11 5 6 6 2" xfId="3643"/>
    <cellStyle name="一般 11 5 6 6 2 2" xfId="13166"/>
    <cellStyle name="一般 11 5 6 6 3" xfId="13165"/>
    <cellStyle name="一般 11 5 6 7" xfId="3644"/>
    <cellStyle name="一般 11 5 6 7 2" xfId="3645"/>
    <cellStyle name="一般 11 5 6 7 2 2" xfId="13168"/>
    <cellStyle name="一般 11 5 6 7 3" xfId="13167"/>
    <cellStyle name="一般 11 5 6 8" xfId="3646"/>
    <cellStyle name="一般 11 5 6 8 2" xfId="13169"/>
    <cellStyle name="一般 11 5 6 9" xfId="13145"/>
    <cellStyle name="一般 11 5 6_包裝指示書(裏)" xfId="3647"/>
    <cellStyle name="一般 11 5 7" xfId="3648"/>
    <cellStyle name="一般 11 5 7 2" xfId="3649"/>
    <cellStyle name="一般 11 5 7 3" xfId="3650"/>
    <cellStyle name="一般 11 5 7 3 2" xfId="3651"/>
    <cellStyle name="一般 11 5 7 3 2 2" xfId="3652"/>
    <cellStyle name="一般 11 5 7 3 2 2 2" xfId="13173"/>
    <cellStyle name="一般 11 5 7 3 2 3" xfId="13172"/>
    <cellStyle name="一般 11 5 7 3 3" xfId="3653"/>
    <cellStyle name="一般 11 5 7 3 3 2" xfId="13174"/>
    <cellStyle name="一般 11 5 7 3 4" xfId="13171"/>
    <cellStyle name="一般 11 5 7 3_包裝指示書(裏)" xfId="3654"/>
    <cellStyle name="一般 11 5 7 4" xfId="3655"/>
    <cellStyle name="一般 11 5 7 4 2" xfId="3656"/>
    <cellStyle name="一般 11 5 7 4 2 2" xfId="13176"/>
    <cellStyle name="一般 11 5 7 4 3" xfId="13175"/>
    <cellStyle name="一般 11 5 7 5" xfId="3657"/>
    <cellStyle name="一般 11 5 7 5 2" xfId="13177"/>
    <cellStyle name="一般 11 5 7 6" xfId="13170"/>
    <cellStyle name="一般 11 5 7_包裝指示書(裏)" xfId="3658"/>
    <cellStyle name="一般 11 5 8" xfId="3659"/>
    <cellStyle name="一般 11 5 8 2" xfId="3660"/>
    <cellStyle name="一般 11 5 8 2 2" xfId="13178"/>
    <cellStyle name="一般 11 5 8 3" xfId="3661"/>
    <cellStyle name="一般 11 5 8 3 2" xfId="13179"/>
    <cellStyle name="一般 11 5 8 4" xfId="3662"/>
    <cellStyle name="一般 11 5 8 4 2" xfId="13180"/>
    <cellStyle name="一般 11 5 9" xfId="3663"/>
    <cellStyle name="一般 11 5 9 2" xfId="3664"/>
    <cellStyle name="一般 11 5 9 2 2" xfId="13181"/>
    <cellStyle name="一般 11 5_包裝指示書(裏)" xfId="3665"/>
    <cellStyle name="一般 11 6" xfId="3666"/>
    <cellStyle name="一般 11 6 10" xfId="3667"/>
    <cellStyle name="一般 11 6 10 2" xfId="13183"/>
    <cellStyle name="一般 11 6 11" xfId="3668"/>
    <cellStyle name="一般 11 6 11 2" xfId="13184"/>
    <cellStyle name="一般 11 6 12" xfId="13182"/>
    <cellStyle name="一般 11 6 2" xfId="3669"/>
    <cellStyle name="一般 11 6 2 10" xfId="3670"/>
    <cellStyle name="一般 11 6 2 10 2" xfId="13186"/>
    <cellStyle name="一般 11 6 2 11" xfId="13185"/>
    <cellStyle name="一般 11 6 2 2" xfId="3671"/>
    <cellStyle name="一般 11 6 2 2 2" xfId="3672"/>
    <cellStyle name="一般 11 6 2 2 2 2" xfId="3673"/>
    <cellStyle name="一般 11 6 2 2 2 2 2" xfId="3674"/>
    <cellStyle name="一般 11 6 2 2 2 2 2 2" xfId="3675"/>
    <cellStyle name="一般 11 6 2 2 2 2 2 2 2" xfId="13191"/>
    <cellStyle name="一般 11 6 2 2 2 2 2 3" xfId="13190"/>
    <cellStyle name="一般 11 6 2 2 2 2 3" xfId="3676"/>
    <cellStyle name="一般 11 6 2 2 2 2 3 2" xfId="13192"/>
    <cellStyle name="一般 11 6 2 2 2 2 4" xfId="13189"/>
    <cellStyle name="一般 11 6 2 2 2 2_包裝指示書(裏)" xfId="3677"/>
    <cellStyle name="一般 11 6 2 2 2 3" xfId="3678"/>
    <cellStyle name="一般 11 6 2 2 2 3 2" xfId="3679"/>
    <cellStyle name="一般 11 6 2 2 2 3 2 2" xfId="13194"/>
    <cellStyle name="一般 11 6 2 2 2 3 3" xfId="13193"/>
    <cellStyle name="一般 11 6 2 2 2 4" xfId="3680"/>
    <cellStyle name="一般 11 6 2 2 2 4 2" xfId="13195"/>
    <cellStyle name="一般 11 6 2 2 2 5" xfId="13188"/>
    <cellStyle name="一般 11 6 2 2 2_包裝指示書(裏)" xfId="3681"/>
    <cellStyle name="一般 11 6 2 2 3" xfId="3682"/>
    <cellStyle name="一般 11 6 2 2 3 2" xfId="3683"/>
    <cellStyle name="一般 11 6 2 2 3 2 2" xfId="3684"/>
    <cellStyle name="一般 11 6 2 2 3 2 2 2" xfId="13198"/>
    <cellStyle name="一般 11 6 2 2 3 2 3" xfId="13197"/>
    <cellStyle name="一般 11 6 2 2 3 3" xfId="3685"/>
    <cellStyle name="一般 11 6 2 2 3 3 2" xfId="13199"/>
    <cellStyle name="一般 11 6 2 2 3 4" xfId="13196"/>
    <cellStyle name="一般 11 6 2 2 3_包裝指示書(裏)" xfId="3686"/>
    <cellStyle name="一般 11 6 2 2 4" xfId="3687"/>
    <cellStyle name="一般 11 6 2 2 4 2" xfId="3688"/>
    <cellStyle name="一般 11 6 2 2 4 2 2" xfId="13201"/>
    <cellStyle name="一般 11 6 2 2 4 3" xfId="13200"/>
    <cellStyle name="一般 11 6 2 2 5" xfId="3689"/>
    <cellStyle name="一般 11 6 2 2 5 2" xfId="3690"/>
    <cellStyle name="一般 11 6 2 2 5 2 2" xfId="13203"/>
    <cellStyle name="一般 11 6 2 2 5 3" xfId="13202"/>
    <cellStyle name="一般 11 6 2 2 6" xfId="3691"/>
    <cellStyle name="一般 11 6 2 2 6 2" xfId="3692"/>
    <cellStyle name="一般 11 6 2 2 6 2 2" xfId="13205"/>
    <cellStyle name="一般 11 6 2 2 6 3" xfId="13204"/>
    <cellStyle name="一般 11 6 2 2 7" xfId="3693"/>
    <cellStyle name="一般 11 6 2 2 7 2" xfId="3694"/>
    <cellStyle name="一般 11 6 2 2 7 2 2" xfId="13207"/>
    <cellStyle name="一般 11 6 2 2 7 3" xfId="13206"/>
    <cellStyle name="一般 11 6 2 2 8" xfId="3695"/>
    <cellStyle name="一般 11 6 2 2 8 2" xfId="13208"/>
    <cellStyle name="一般 11 6 2 2 9" xfId="13187"/>
    <cellStyle name="一般 11 6 2 2_包裝指示書(裏)" xfId="3696"/>
    <cellStyle name="一般 11 6 2 3" xfId="3697"/>
    <cellStyle name="一般 11 6 2 3 2" xfId="3698"/>
    <cellStyle name="一般 11 6 2 3 2 2" xfId="3699"/>
    <cellStyle name="一般 11 6 2 3 2 2 2" xfId="3700"/>
    <cellStyle name="一般 11 6 2 3 2 2 2 2" xfId="13212"/>
    <cellStyle name="一般 11 6 2 3 2 2 3" xfId="13211"/>
    <cellStyle name="一般 11 6 2 3 2 3" xfId="3701"/>
    <cellStyle name="一般 11 6 2 3 2 3 2" xfId="3702"/>
    <cellStyle name="一般 11 6 2 3 2 3 2 2" xfId="13214"/>
    <cellStyle name="一般 11 6 2 3 2 3 3" xfId="13213"/>
    <cellStyle name="一般 11 6 2 3 2 4" xfId="3703"/>
    <cellStyle name="一般 11 6 2 3 2 4 2" xfId="13215"/>
    <cellStyle name="一般 11 6 2 3 2 5" xfId="13210"/>
    <cellStyle name="一般 11 6 2 3 2_包裝指示書(裏)" xfId="3704"/>
    <cellStyle name="一般 11 6 2 3 3" xfId="3705"/>
    <cellStyle name="一般 11 6 2 3 3 2" xfId="3706"/>
    <cellStyle name="一般 11 6 2 3 3 2 2" xfId="3707"/>
    <cellStyle name="一般 11 6 2 3 3 2 2 2" xfId="13218"/>
    <cellStyle name="一般 11 6 2 3 3 2 3" xfId="13217"/>
    <cellStyle name="一般 11 6 2 3 3 3" xfId="3708"/>
    <cellStyle name="一般 11 6 2 3 3 3 2" xfId="13219"/>
    <cellStyle name="一般 11 6 2 3 3 4" xfId="13216"/>
    <cellStyle name="一般 11 6 2 3 3_包裝指示書(裏)" xfId="3709"/>
    <cellStyle name="一般 11 6 2 3 4" xfId="3710"/>
    <cellStyle name="一般 11 6 2 3 4 2" xfId="3711"/>
    <cellStyle name="一般 11 6 2 3 4 2 2" xfId="13221"/>
    <cellStyle name="一般 11 6 2 3 4 3" xfId="13220"/>
    <cellStyle name="一般 11 6 2 3 5" xfId="3712"/>
    <cellStyle name="一般 11 6 2 3 5 2" xfId="13222"/>
    <cellStyle name="一般 11 6 2 3 6" xfId="13209"/>
    <cellStyle name="一般 11 6 2 3_包裝指示書(裏)" xfId="3713"/>
    <cellStyle name="一般 11 6 2 4" xfId="3714"/>
    <cellStyle name="一般 11 6 2 4 2" xfId="3715"/>
    <cellStyle name="一般 11 6 2 4 2 2" xfId="3716"/>
    <cellStyle name="一般 11 6 2 4 2 2 2" xfId="3717"/>
    <cellStyle name="一般 11 6 2 4 2 2 2 2" xfId="13226"/>
    <cellStyle name="一般 11 6 2 4 2 2 3" xfId="13225"/>
    <cellStyle name="一般 11 6 2 4 2 3" xfId="3718"/>
    <cellStyle name="一般 11 6 2 4 2 3 2" xfId="3719"/>
    <cellStyle name="一般 11 6 2 4 2 3 2 2" xfId="13228"/>
    <cellStyle name="一般 11 6 2 4 2 3 3" xfId="13227"/>
    <cellStyle name="一般 11 6 2 4 2 4" xfId="3720"/>
    <cellStyle name="一般 11 6 2 4 2 4 2" xfId="13229"/>
    <cellStyle name="一般 11 6 2 4 2 5" xfId="13224"/>
    <cellStyle name="一般 11 6 2 4 2_包裝指示書(裏)" xfId="3721"/>
    <cellStyle name="一般 11 6 2 4 3" xfId="3722"/>
    <cellStyle name="一般 11 6 2 4 3 2" xfId="3723"/>
    <cellStyle name="一般 11 6 2 4 3 2 2" xfId="13231"/>
    <cellStyle name="一般 11 6 2 4 3 3" xfId="13230"/>
    <cellStyle name="一般 11 6 2 4 4" xfId="3724"/>
    <cellStyle name="一般 11 6 2 4 4 2" xfId="3725"/>
    <cellStyle name="一般 11 6 2 4 4 2 2" xfId="13233"/>
    <cellStyle name="一般 11 6 2 4 4 3" xfId="13232"/>
    <cellStyle name="一般 11 6 2 4 5" xfId="3726"/>
    <cellStyle name="一般 11 6 2 4 5 2" xfId="13234"/>
    <cellStyle name="一般 11 6 2 4 6" xfId="13223"/>
    <cellStyle name="一般 11 6 2 4_包裝指示書(裏)" xfId="3727"/>
    <cellStyle name="一般 11 6 2 5" xfId="3728"/>
    <cellStyle name="一般 11 6 2 5 2" xfId="3729"/>
    <cellStyle name="一般 11 6 2 5 2 2" xfId="3730"/>
    <cellStyle name="一般 11 6 2 5 2 2 2" xfId="3731"/>
    <cellStyle name="一般 11 6 2 5 2 2 2 2" xfId="13238"/>
    <cellStyle name="一般 11 6 2 5 2 2 3" xfId="13237"/>
    <cellStyle name="一般 11 6 2 5 2 3" xfId="3732"/>
    <cellStyle name="一般 11 6 2 5 2 3 2" xfId="3733"/>
    <cellStyle name="一般 11 6 2 5 2 3 2 2" xfId="13240"/>
    <cellStyle name="一般 11 6 2 5 2 3 3" xfId="13239"/>
    <cellStyle name="一般 11 6 2 5 2 4" xfId="3734"/>
    <cellStyle name="一般 11 6 2 5 2 4 2" xfId="13241"/>
    <cellStyle name="一般 11 6 2 5 2 5" xfId="13236"/>
    <cellStyle name="一般 11 6 2 5 2_包裝指示書(裏)" xfId="3735"/>
    <cellStyle name="一般 11 6 2 5 3" xfId="3736"/>
    <cellStyle name="一般 11 6 2 5 3 2" xfId="3737"/>
    <cellStyle name="一般 11 6 2 5 3 2 2" xfId="13243"/>
    <cellStyle name="一般 11 6 2 5 3 3" xfId="13242"/>
    <cellStyle name="一般 11 6 2 5 4" xfId="3738"/>
    <cellStyle name="一般 11 6 2 5 4 2" xfId="3739"/>
    <cellStyle name="一般 11 6 2 5 4 2 2" xfId="13245"/>
    <cellStyle name="一般 11 6 2 5 4 3" xfId="13244"/>
    <cellStyle name="一般 11 6 2 5 5" xfId="3740"/>
    <cellStyle name="一般 11 6 2 5 5 2" xfId="13246"/>
    <cellStyle name="一般 11 6 2 5 6" xfId="13235"/>
    <cellStyle name="一般 11 6 2 5_包裝指示書(裏)" xfId="3741"/>
    <cellStyle name="一般 11 6 2 6" xfId="3742"/>
    <cellStyle name="一般 11 6 2 6 2" xfId="3743"/>
    <cellStyle name="一般 11 6 2 6 2 2" xfId="3744"/>
    <cellStyle name="一般 11 6 2 6 2 2 2" xfId="13249"/>
    <cellStyle name="一般 11 6 2 6 2 3" xfId="13248"/>
    <cellStyle name="一般 11 6 2 6 3" xfId="3745"/>
    <cellStyle name="一般 11 6 2 6 3 2" xfId="3746"/>
    <cellStyle name="一般 11 6 2 6 3 2 2" xfId="13251"/>
    <cellStyle name="一般 11 6 2 6 3 3" xfId="13250"/>
    <cellStyle name="一般 11 6 2 6 4" xfId="3747"/>
    <cellStyle name="一般 11 6 2 6 4 2" xfId="13252"/>
    <cellStyle name="一般 11 6 2 6 5" xfId="13247"/>
    <cellStyle name="一般 11 6 2 6_包裝指示書(裏)" xfId="3748"/>
    <cellStyle name="一般 11 6 2 7" xfId="3749"/>
    <cellStyle name="一般 11 6 2 7 2" xfId="3750"/>
    <cellStyle name="一般 11 6 2 7 2 2" xfId="3751"/>
    <cellStyle name="一般 11 6 2 7 2 2 2" xfId="13255"/>
    <cellStyle name="一般 11 6 2 7 2 3" xfId="13254"/>
    <cellStyle name="一般 11 6 2 7 3" xfId="3752"/>
    <cellStyle name="一般 11 6 2 7 3 2" xfId="13256"/>
    <cellStyle name="一般 11 6 2 7 4" xfId="13253"/>
    <cellStyle name="一般 11 6 2 7_包裝指示書(裏)" xfId="3753"/>
    <cellStyle name="一般 11 6 2 8" xfId="3754"/>
    <cellStyle name="一般 11 6 2 8 2" xfId="3755"/>
    <cellStyle name="一般 11 6 2 8 2 2" xfId="13258"/>
    <cellStyle name="一般 11 6 2 8 3" xfId="13257"/>
    <cellStyle name="一般 11 6 2 9" xfId="3756"/>
    <cellStyle name="一般 11 6 2 9 2" xfId="3757"/>
    <cellStyle name="一般 11 6 2 9 2 2" xfId="13260"/>
    <cellStyle name="一般 11 6 2 9 3" xfId="13259"/>
    <cellStyle name="一般 11 6 2_包裝指示書(裏)" xfId="3758"/>
    <cellStyle name="一般 11 6 3" xfId="3759"/>
    <cellStyle name="一般 11 6 3 2" xfId="3760"/>
    <cellStyle name="一般 11 6 3 2 2" xfId="3761"/>
    <cellStyle name="一般 11 6 3 2 2 2" xfId="3762"/>
    <cellStyle name="一般 11 6 3 2 2 2 2" xfId="3763"/>
    <cellStyle name="一般 11 6 3 2 2 2 2 2" xfId="13265"/>
    <cellStyle name="一般 11 6 3 2 2 2 3" xfId="13264"/>
    <cellStyle name="一般 11 6 3 2 2 3" xfId="3764"/>
    <cellStyle name="一般 11 6 3 2 2 3 2" xfId="13266"/>
    <cellStyle name="一般 11 6 3 2 2 4" xfId="13263"/>
    <cellStyle name="一般 11 6 3 2 2_包裝指示書(裏)" xfId="3765"/>
    <cellStyle name="一般 11 6 3 2 3" xfId="3766"/>
    <cellStyle name="一般 11 6 3 2 3 2" xfId="3767"/>
    <cellStyle name="一般 11 6 3 2 3 2 2" xfId="13268"/>
    <cellStyle name="一般 11 6 3 2 3 3" xfId="13267"/>
    <cellStyle name="一般 11 6 3 2 4" xfId="3768"/>
    <cellStyle name="一般 11 6 3 2 4 2" xfId="13269"/>
    <cellStyle name="一般 11 6 3 2 5" xfId="13262"/>
    <cellStyle name="一般 11 6 3 2_包裝指示書(裏)" xfId="3769"/>
    <cellStyle name="一般 11 6 3 3" xfId="3770"/>
    <cellStyle name="一般 11 6 3 3 2" xfId="3771"/>
    <cellStyle name="一般 11 6 3 3 2 2" xfId="3772"/>
    <cellStyle name="一般 11 6 3 3 2 2 2" xfId="13272"/>
    <cellStyle name="一般 11 6 3 3 2 3" xfId="13271"/>
    <cellStyle name="一般 11 6 3 3 3" xfId="3773"/>
    <cellStyle name="一般 11 6 3 3 3 2" xfId="13273"/>
    <cellStyle name="一般 11 6 3 3 4" xfId="13270"/>
    <cellStyle name="一般 11 6 3 3_包裝指示書(裏)" xfId="3774"/>
    <cellStyle name="一般 11 6 3 4" xfId="3775"/>
    <cellStyle name="一般 11 6 3 4 2" xfId="3776"/>
    <cellStyle name="一般 11 6 3 4 2 2" xfId="13275"/>
    <cellStyle name="一般 11 6 3 4 3" xfId="13274"/>
    <cellStyle name="一般 11 6 3 5" xfId="3777"/>
    <cellStyle name="一般 11 6 3 5 2" xfId="3778"/>
    <cellStyle name="一般 11 6 3 5 2 2" xfId="13277"/>
    <cellStyle name="一般 11 6 3 5 3" xfId="13276"/>
    <cellStyle name="一般 11 6 3 6" xfId="3779"/>
    <cellStyle name="一般 11 6 3 6 2" xfId="3780"/>
    <cellStyle name="一般 11 6 3 6 2 2" xfId="13279"/>
    <cellStyle name="一般 11 6 3 6 3" xfId="13278"/>
    <cellStyle name="一般 11 6 3 7" xfId="3781"/>
    <cellStyle name="一般 11 6 3 7 2" xfId="3782"/>
    <cellStyle name="一般 11 6 3 7 2 2" xfId="13281"/>
    <cellStyle name="一般 11 6 3 7 3" xfId="13280"/>
    <cellStyle name="一般 11 6 3 8" xfId="3783"/>
    <cellStyle name="一般 11 6 3 8 2" xfId="13282"/>
    <cellStyle name="一般 11 6 3 9" xfId="13261"/>
    <cellStyle name="一般 11 6 3_包裝指示書(裏)" xfId="3784"/>
    <cellStyle name="一般 11 6 4" xfId="3785"/>
    <cellStyle name="一般 11 6 4 2" xfId="3786"/>
    <cellStyle name="一般 11 6 4 2 2" xfId="3787"/>
    <cellStyle name="一般 11 6 4 2 2 2" xfId="3788"/>
    <cellStyle name="一般 11 6 4 2 2 2 2" xfId="13286"/>
    <cellStyle name="一般 11 6 4 2 2 3" xfId="13285"/>
    <cellStyle name="一般 11 6 4 2 3" xfId="3789"/>
    <cellStyle name="一般 11 6 4 2 3 2" xfId="3790"/>
    <cellStyle name="一般 11 6 4 2 3 2 2" xfId="13288"/>
    <cellStyle name="一般 11 6 4 2 3 3" xfId="13287"/>
    <cellStyle name="一般 11 6 4 2 4" xfId="3791"/>
    <cellStyle name="一般 11 6 4 2 4 2" xfId="13289"/>
    <cellStyle name="一般 11 6 4 2 5" xfId="13284"/>
    <cellStyle name="一般 11 6 4 2_包裝指示書(裏)" xfId="3792"/>
    <cellStyle name="一般 11 6 4 3" xfId="3793"/>
    <cellStyle name="一般 11 6 4 3 2" xfId="3794"/>
    <cellStyle name="一般 11 6 4 3 2 2" xfId="3795"/>
    <cellStyle name="一般 11 6 4 3 2 2 2" xfId="13292"/>
    <cellStyle name="一般 11 6 4 3 2 3" xfId="13291"/>
    <cellStyle name="一般 11 6 4 3 3" xfId="3796"/>
    <cellStyle name="一般 11 6 4 3 3 2" xfId="13293"/>
    <cellStyle name="一般 11 6 4 3 4" xfId="13290"/>
    <cellStyle name="一般 11 6 4 3_包裝指示書(裏)" xfId="3797"/>
    <cellStyle name="一般 11 6 4 4" xfId="3798"/>
    <cellStyle name="一般 11 6 4 4 2" xfId="3799"/>
    <cellStyle name="一般 11 6 4 4 2 2" xfId="13295"/>
    <cellStyle name="一般 11 6 4 4 3" xfId="13294"/>
    <cellStyle name="一般 11 6 4 5" xfId="3800"/>
    <cellStyle name="一般 11 6 4 5 2" xfId="13296"/>
    <cellStyle name="一般 11 6 4 6" xfId="13283"/>
    <cellStyle name="一般 11 6 4_包裝指示書(裏)" xfId="3801"/>
    <cellStyle name="一般 11 6 5" xfId="3802"/>
    <cellStyle name="一般 11 6 5 2" xfId="3803"/>
    <cellStyle name="一般 11 6 5 2 2" xfId="3804"/>
    <cellStyle name="一般 11 6 5 2 2 2" xfId="3805"/>
    <cellStyle name="一般 11 6 5 2 2 2 2" xfId="13300"/>
    <cellStyle name="一般 11 6 5 2 2 3" xfId="13299"/>
    <cellStyle name="一般 11 6 5 2 3" xfId="3806"/>
    <cellStyle name="一般 11 6 5 2 3 2" xfId="3807"/>
    <cellStyle name="一般 11 6 5 2 3 2 2" xfId="13302"/>
    <cellStyle name="一般 11 6 5 2 3 3" xfId="13301"/>
    <cellStyle name="一般 11 6 5 2 4" xfId="3808"/>
    <cellStyle name="一般 11 6 5 2 4 2" xfId="13303"/>
    <cellStyle name="一般 11 6 5 2 5" xfId="13298"/>
    <cellStyle name="一般 11 6 5 2_包裝指示書(裏)" xfId="3809"/>
    <cellStyle name="一般 11 6 5 3" xfId="3810"/>
    <cellStyle name="一般 11 6 5 3 2" xfId="3811"/>
    <cellStyle name="一般 11 6 5 3 2 2" xfId="13305"/>
    <cellStyle name="一般 11 6 5 3 3" xfId="13304"/>
    <cellStyle name="一般 11 6 5 4" xfId="3812"/>
    <cellStyle name="一般 11 6 5 4 2" xfId="3813"/>
    <cellStyle name="一般 11 6 5 4 2 2" xfId="13307"/>
    <cellStyle name="一般 11 6 5 4 3" xfId="13306"/>
    <cellStyle name="一般 11 6 5 5" xfId="3814"/>
    <cellStyle name="一般 11 6 5 5 2" xfId="13308"/>
    <cellStyle name="一般 11 6 5 6" xfId="13297"/>
    <cellStyle name="一般 11 6 5_包裝指示書(裏)" xfId="3815"/>
    <cellStyle name="一般 11 6 6" xfId="3816"/>
    <cellStyle name="一般 11 6 6 2" xfId="3817"/>
    <cellStyle name="一般 11 6 6 2 2" xfId="3818"/>
    <cellStyle name="一般 11 6 6 2 2 2" xfId="3819"/>
    <cellStyle name="一般 11 6 6 2 2 2 2" xfId="13312"/>
    <cellStyle name="一般 11 6 6 2 2 3" xfId="13311"/>
    <cellStyle name="一般 11 6 6 2 3" xfId="3820"/>
    <cellStyle name="一般 11 6 6 2 3 2" xfId="3821"/>
    <cellStyle name="一般 11 6 6 2 3 2 2" xfId="13314"/>
    <cellStyle name="一般 11 6 6 2 3 3" xfId="13313"/>
    <cellStyle name="一般 11 6 6 2 4" xfId="3822"/>
    <cellStyle name="一般 11 6 6 2 4 2" xfId="13315"/>
    <cellStyle name="一般 11 6 6 2 5" xfId="13310"/>
    <cellStyle name="一般 11 6 6 2_包裝指示書(裏)" xfId="3823"/>
    <cellStyle name="一般 11 6 6 3" xfId="3824"/>
    <cellStyle name="一般 11 6 6 3 2" xfId="3825"/>
    <cellStyle name="一般 11 6 6 3 2 2" xfId="13317"/>
    <cellStyle name="一般 11 6 6 3 3" xfId="13316"/>
    <cellStyle name="一般 11 6 6 4" xfId="3826"/>
    <cellStyle name="一般 11 6 6 4 2" xfId="3827"/>
    <cellStyle name="一般 11 6 6 4 2 2" xfId="13319"/>
    <cellStyle name="一般 11 6 6 4 3" xfId="13318"/>
    <cellStyle name="一般 11 6 6 5" xfId="3828"/>
    <cellStyle name="一般 11 6 6 5 2" xfId="13320"/>
    <cellStyle name="一般 11 6 6 6" xfId="13309"/>
    <cellStyle name="一般 11 6 6_包裝指示書(裏)" xfId="3829"/>
    <cellStyle name="一般 11 6 7" xfId="3830"/>
    <cellStyle name="一般 11 6 7 2" xfId="3831"/>
    <cellStyle name="一般 11 6 7 2 2" xfId="3832"/>
    <cellStyle name="一般 11 6 7 2 2 2" xfId="13323"/>
    <cellStyle name="一般 11 6 7 2 3" xfId="13322"/>
    <cellStyle name="一般 11 6 7 3" xfId="3833"/>
    <cellStyle name="一般 11 6 7 3 2" xfId="13324"/>
    <cellStyle name="一般 11 6 7 4" xfId="13321"/>
    <cellStyle name="一般 11 6 7_包裝指示書(裏)" xfId="3834"/>
    <cellStyle name="一般 11 6 8" xfId="3835"/>
    <cellStyle name="一般 11 6 8 2" xfId="3836"/>
    <cellStyle name="一般 11 6 8 2 2" xfId="13326"/>
    <cellStyle name="一般 11 6 8 3" xfId="13325"/>
    <cellStyle name="一般 11 6 9" xfId="3837"/>
    <cellStyle name="一般 11 6 9 2" xfId="3838"/>
    <cellStyle name="一般 11 6 9 2 2" xfId="13328"/>
    <cellStyle name="一般 11 6 9 3" xfId="13327"/>
    <cellStyle name="一般 11 6_包裝指示書(裏)" xfId="3839"/>
    <cellStyle name="一般 11 7" xfId="3840"/>
    <cellStyle name="一般 11 7 10" xfId="13329"/>
    <cellStyle name="一般 11 7 2" xfId="3841"/>
    <cellStyle name="一般 11 7 2 2" xfId="3842"/>
    <cellStyle name="一般 11 7 2 2 2" xfId="3843"/>
    <cellStyle name="一般 11 7 2 2 2 2" xfId="3844"/>
    <cellStyle name="一般 11 7 2 2 2 2 2" xfId="3845"/>
    <cellStyle name="一般 11 7 2 2 2 2 2 2" xfId="13334"/>
    <cellStyle name="一般 11 7 2 2 2 2 3" xfId="13333"/>
    <cellStyle name="一般 11 7 2 2 2 3" xfId="3846"/>
    <cellStyle name="一般 11 7 2 2 2 3 2" xfId="13335"/>
    <cellStyle name="一般 11 7 2 2 2 4" xfId="13332"/>
    <cellStyle name="一般 11 7 2 2 2_包裝指示書(裏)" xfId="3847"/>
    <cellStyle name="一般 11 7 2 2 3" xfId="3848"/>
    <cellStyle name="一般 11 7 2 2 3 2" xfId="3849"/>
    <cellStyle name="一般 11 7 2 2 3 2 2" xfId="13337"/>
    <cellStyle name="一般 11 7 2 2 3 3" xfId="13336"/>
    <cellStyle name="一般 11 7 2 2 4" xfId="3850"/>
    <cellStyle name="一般 11 7 2 2 4 2" xfId="13338"/>
    <cellStyle name="一般 11 7 2 2 5" xfId="13331"/>
    <cellStyle name="一般 11 7 2 2_包裝指示書(裏)" xfId="3851"/>
    <cellStyle name="一般 11 7 2 3" xfId="3852"/>
    <cellStyle name="一般 11 7 2 3 2" xfId="3853"/>
    <cellStyle name="一般 11 7 2 3 2 2" xfId="3854"/>
    <cellStyle name="一般 11 7 2 3 2 2 2" xfId="13341"/>
    <cellStyle name="一般 11 7 2 3 2 3" xfId="13340"/>
    <cellStyle name="一般 11 7 2 3 3" xfId="3855"/>
    <cellStyle name="一般 11 7 2 3 3 2" xfId="13342"/>
    <cellStyle name="一般 11 7 2 3 4" xfId="13339"/>
    <cellStyle name="一般 11 7 2 3_包裝指示書(裏)" xfId="3856"/>
    <cellStyle name="一般 11 7 2 4" xfId="3857"/>
    <cellStyle name="一般 11 7 2 4 2" xfId="3858"/>
    <cellStyle name="一般 11 7 2 4 2 2" xfId="13344"/>
    <cellStyle name="一般 11 7 2 4 3" xfId="13343"/>
    <cellStyle name="一般 11 7 2 5" xfId="3859"/>
    <cellStyle name="一般 11 7 2 5 2" xfId="3860"/>
    <cellStyle name="一般 11 7 2 5 2 2" xfId="13346"/>
    <cellStyle name="一般 11 7 2 5 3" xfId="13345"/>
    <cellStyle name="一般 11 7 2 6" xfId="3861"/>
    <cellStyle name="一般 11 7 2 6 2" xfId="3862"/>
    <cellStyle name="一般 11 7 2 6 2 2" xfId="13348"/>
    <cellStyle name="一般 11 7 2 6 3" xfId="13347"/>
    <cellStyle name="一般 11 7 2 7" xfId="3863"/>
    <cellStyle name="一般 11 7 2 7 2" xfId="3864"/>
    <cellStyle name="一般 11 7 2 7 2 2" xfId="13350"/>
    <cellStyle name="一般 11 7 2 7 3" xfId="13349"/>
    <cellStyle name="一般 11 7 2 8" xfId="3865"/>
    <cellStyle name="一般 11 7 2 8 2" xfId="13351"/>
    <cellStyle name="一般 11 7 2 9" xfId="13330"/>
    <cellStyle name="一般 11 7 2_包裝指示書(裏)" xfId="3866"/>
    <cellStyle name="一般 11 7 3" xfId="3867"/>
    <cellStyle name="一般 11 7 3 2" xfId="3868"/>
    <cellStyle name="一般 11 7 3 2 2" xfId="3869"/>
    <cellStyle name="一般 11 7 3 2 2 2" xfId="3870"/>
    <cellStyle name="一般 11 7 3 2 2 2 2" xfId="3871"/>
    <cellStyle name="一般 11 7 3 2 2 2 2 2" xfId="13356"/>
    <cellStyle name="一般 11 7 3 2 2 2 3" xfId="13355"/>
    <cellStyle name="一般 11 7 3 2 2 3" xfId="3872"/>
    <cellStyle name="一般 11 7 3 2 2 3 2" xfId="13357"/>
    <cellStyle name="一般 11 7 3 2 2 4" xfId="13354"/>
    <cellStyle name="一般 11 7 3 2 2_包裝指示書(裏)" xfId="3873"/>
    <cellStyle name="一般 11 7 3 2 3" xfId="3874"/>
    <cellStyle name="一般 11 7 3 2 3 2" xfId="3875"/>
    <cellStyle name="一般 11 7 3 2 3 2 2" xfId="13359"/>
    <cellStyle name="一般 11 7 3 2 3 3" xfId="13358"/>
    <cellStyle name="一般 11 7 3 2 4" xfId="3876"/>
    <cellStyle name="一般 11 7 3 2 4 2" xfId="13360"/>
    <cellStyle name="一般 11 7 3 2 5" xfId="13353"/>
    <cellStyle name="一般 11 7 3 2_包裝指示書(裏)" xfId="3877"/>
    <cellStyle name="一般 11 7 3 3" xfId="3878"/>
    <cellStyle name="一般 11 7 3 3 2" xfId="3879"/>
    <cellStyle name="一般 11 7 3 3 2 2" xfId="3880"/>
    <cellStyle name="一般 11 7 3 3 2 2 2" xfId="13363"/>
    <cellStyle name="一般 11 7 3 3 2 3" xfId="13362"/>
    <cellStyle name="一般 11 7 3 3 3" xfId="3881"/>
    <cellStyle name="一般 11 7 3 3 3 2" xfId="13364"/>
    <cellStyle name="一般 11 7 3 3 4" xfId="13361"/>
    <cellStyle name="一般 11 7 3 3_包裝指示書(裏)" xfId="3882"/>
    <cellStyle name="一般 11 7 3 4" xfId="3883"/>
    <cellStyle name="一般 11 7 3 4 2" xfId="3884"/>
    <cellStyle name="一般 11 7 3 4 2 2" xfId="13366"/>
    <cellStyle name="一般 11 7 3 4 3" xfId="13365"/>
    <cellStyle name="一般 11 7 3 5" xfId="3885"/>
    <cellStyle name="一般 11 7 3 5 2" xfId="3886"/>
    <cellStyle name="一般 11 7 3 5 2 2" xfId="13368"/>
    <cellStyle name="一般 11 7 3 5 3" xfId="13367"/>
    <cellStyle name="一般 11 7 3 6" xfId="3887"/>
    <cellStyle name="一般 11 7 3 6 2" xfId="3888"/>
    <cellStyle name="一般 11 7 3 6 2 2" xfId="13370"/>
    <cellStyle name="一般 11 7 3 6 3" xfId="13369"/>
    <cellStyle name="一般 11 7 3 7" xfId="3889"/>
    <cellStyle name="一般 11 7 3 7 2" xfId="3890"/>
    <cellStyle name="一般 11 7 3 7 2 2" xfId="13372"/>
    <cellStyle name="一般 11 7 3 7 3" xfId="13371"/>
    <cellStyle name="一般 11 7 3 8" xfId="3891"/>
    <cellStyle name="一般 11 7 3 8 2" xfId="13373"/>
    <cellStyle name="一般 11 7 3 9" xfId="13352"/>
    <cellStyle name="一般 11 7 3_包裝指示書(裏)" xfId="3892"/>
    <cellStyle name="一般 11 7 4" xfId="3893"/>
    <cellStyle name="一般 11 7 4 2" xfId="3894"/>
    <cellStyle name="一般 11 7 4 2 2" xfId="3895"/>
    <cellStyle name="一般 11 7 4 2 2 2" xfId="3896"/>
    <cellStyle name="一般 11 7 4 2 2 2 2" xfId="13377"/>
    <cellStyle name="一般 11 7 4 2 2 3" xfId="13376"/>
    <cellStyle name="一般 11 7 4 2 3" xfId="3897"/>
    <cellStyle name="一般 11 7 4 2 3 2" xfId="3898"/>
    <cellStyle name="一般 11 7 4 2 3 2 2" xfId="13379"/>
    <cellStyle name="一般 11 7 4 2 3 3" xfId="13378"/>
    <cellStyle name="一般 11 7 4 2 4" xfId="3899"/>
    <cellStyle name="一般 11 7 4 2 4 2" xfId="13380"/>
    <cellStyle name="一般 11 7 4 2 5" xfId="13375"/>
    <cellStyle name="一般 11 7 4 2_包裝指示書(裏)" xfId="3900"/>
    <cellStyle name="一般 11 7 4 3" xfId="3901"/>
    <cellStyle name="一般 11 7 4 3 2" xfId="3902"/>
    <cellStyle name="一般 11 7 4 3 2 2" xfId="3903"/>
    <cellStyle name="一般 11 7 4 3 2 2 2" xfId="13383"/>
    <cellStyle name="一般 11 7 4 3 2 3" xfId="13382"/>
    <cellStyle name="一般 11 7 4 3 3" xfId="3904"/>
    <cellStyle name="一般 11 7 4 3 3 2" xfId="13384"/>
    <cellStyle name="一般 11 7 4 3 4" xfId="13381"/>
    <cellStyle name="一般 11 7 4 3_包裝指示書(裏)" xfId="3905"/>
    <cellStyle name="一般 11 7 4 4" xfId="3906"/>
    <cellStyle name="一般 11 7 4 4 2" xfId="3907"/>
    <cellStyle name="一般 11 7 4 4 2 2" xfId="13386"/>
    <cellStyle name="一般 11 7 4 4 3" xfId="13385"/>
    <cellStyle name="一般 11 7 4 5" xfId="3908"/>
    <cellStyle name="一般 11 7 4 5 2" xfId="13387"/>
    <cellStyle name="一般 11 7 4 6" xfId="13374"/>
    <cellStyle name="一般 11 7 4_包裝指示書(裏)" xfId="3909"/>
    <cellStyle name="一般 11 7 5" xfId="3910"/>
    <cellStyle name="一般 11 7 5 2" xfId="3911"/>
    <cellStyle name="一般 11 7 5 2 2" xfId="3912"/>
    <cellStyle name="一般 11 7 5 2 2 2" xfId="3913"/>
    <cellStyle name="一般 11 7 5 2 2 2 2" xfId="13391"/>
    <cellStyle name="一般 11 7 5 2 2 3" xfId="13390"/>
    <cellStyle name="一般 11 7 5 2 3" xfId="3914"/>
    <cellStyle name="一般 11 7 5 2 3 2" xfId="3915"/>
    <cellStyle name="一般 11 7 5 2 3 2 2" xfId="13393"/>
    <cellStyle name="一般 11 7 5 2 3 3" xfId="13392"/>
    <cellStyle name="一般 11 7 5 2 4" xfId="3916"/>
    <cellStyle name="一般 11 7 5 2 4 2" xfId="13394"/>
    <cellStyle name="一般 11 7 5 2 5" xfId="13389"/>
    <cellStyle name="一般 11 7 5 2_包裝指示書(裏)" xfId="3917"/>
    <cellStyle name="一般 11 7 5 3" xfId="3918"/>
    <cellStyle name="一般 11 7 5 3 2" xfId="3919"/>
    <cellStyle name="一般 11 7 5 3 2 2" xfId="13396"/>
    <cellStyle name="一般 11 7 5 3 3" xfId="13395"/>
    <cellStyle name="一般 11 7 5 4" xfId="3920"/>
    <cellStyle name="一般 11 7 5 4 2" xfId="3921"/>
    <cellStyle name="一般 11 7 5 4 2 2" xfId="13398"/>
    <cellStyle name="一般 11 7 5 4 3" xfId="13397"/>
    <cellStyle name="一般 11 7 5 5" xfId="3922"/>
    <cellStyle name="一般 11 7 5 5 2" xfId="13399"/>
    <cellStyle name="一般 11 7 5 6" xfId="13388"/>
    <cellStyle name="一般 11 7 5_包裝指示書(裏)" xfId="3923"/>
    <cellStyle name="一般 11 7 6" xfId="3924"/>
    <cellStyle name="一般 11 7 6 2" xfId="3925"/>
    <cellStyle name="一般 11 7 6 2 2" xfId="3926"/>
    <cellStyle name="一般 11 7 6 2 2 2" xfId="13402"/>
    <cellStyle name="一般 11 7 6 2 3" xfId="13401"/>
    <cellStyle name="一般 11 7 6 3" xfId="3927"/>
    <cellStyle name="一般 11 7 6 3 2" xfId="3928"/>
    <cellStyle name="一般 11 7 6 3 2 2" xfId="13404"/>
    <cellStyle name="一般 11 7 6 3 3" xfId="13403"/>
    <cellStyle name="一般 11 7 6 4" xfId="3929"/>
    <cellStyle name="一般 11 7 6 4 2" xfId="13405"/>
    <cellStyle name="一般 11 7 6 5" xfId="13400"/>
    <cellStyle name="一般 11 7 6_包裝指示書(裏)" xfId="3930"/>
    <cellStyle name="一般 11 7 7" xfId="3931"/>
    <cellStyle name="一般 11 7 7 2" xfId="3932"/>
    <cellStyle name="一般 11 7 7 2 2" xfId="3933"/>
    <cellStyle name="一般 11 7 7 2 2 2" xfId="13408"/>
    <cellStyle name="一般 11 7 7 2 3" xfId="13407"/>
    <cellStyle name="一般 11 7 7 3" xfId="3934"/>
    <cellStyle name="一般 11 7 7 3 2" xfId="13409"/>
    <cellStyle name="一般 11 7 7 4" xfId="13406"/>
    <cellStyle name="一般 11 7 7_包裝指示書(裏)" xfId="3935"/>
    <cellStyle name="一般 11 7 8" xfId="3936"/>
    <cellStyle name="一般 11 7 8 2" xfId="3937"/>
    <cellStyle name="一般 11 7 8 2 2" xfId="13411"/>
    <cellStyle name="一般 11 7 8 3" xfId="13410"/>
    <cellStyle name="一般 11 7 9" xfId="3938"/>
    <cellStyle name="一般 11 7 9 2" xfId="13412"/>
    <cellStyle name="一般 11 7_包裝指示書(裏)" xfId="3939"/>
    <cellStyle name="一般 11 8" xfId="3940"/>
    <cellStyle name="一般 11 8 2" xfId="3941"/>
    <cellStyle name="一般 11 8 2 2" xfId="3942"/>
    <cellStyle name="一般 11 8 2 2 2" xfId="3943"/>
    <cellStyle name="一般 11 8 2 2 2 2" xfId="3944"/>
    <cellStyle name="一般 11 8 2 2 2 2 2" xfId="3945"/>
    <cellStyle name="一般 11 8 2 2 2 2 2 2" xfId="13417"/>
    <cellStyle name="一般 11 8 2 2 2 2 3" xfId="13416"/>
    <cellStyle name="一般 11 8 2 2 2 3" xfId="3946"/>
    <cellStyle name="一般 11 8 2 2 2 3 2" xfId="13418"/>
    <cellStyle name="一般 11 8 2 2 2 4" xfId="13415"/>
    <cellStyle name="一般 11 8 2 2 2_包裝指示書(裏)" xfId="3947"/>
    <cellStyle name="一般 11 8 2 2 3" xfId="3948"/>
    <cellStyle name="一般 11 8 2 2 3 2" xfId="3949"/>
    <cellStyle name="一般 11 8 2 2 3 2 2" xfId="13420"/>
    <cellStyle name="一般 11 8 2 2 3 3" xfId="13419"/>
    <cellStyle name="一般 11 8 2 2 4" xfId="3950"/>
    <cellStyle name="一般 11 8 2 2 4 2" xfId="13421"/>
    <cellStyle name="一般 11 8 2 2 5" xfId="13414"/>
    <cellStyle name="一般 11 8 2 2_包裝指示書(裏)" xfId="3951"/>
    <cellStyle name="一般 11 8 2 3" xfId="3952"/>
    <cellStyle name="一般 11 8 2 3 2" xfId="3953"/>
    <cellStyle name="一般 11 8 2 3 2 2" xfId="3954"/>
    <cellStyle name="一般 11 8 2 3 2 2 2" xfId="13424"/>
    <cellStyle name="一般 11 8 2 3 2 3" xfId="13423"/>
    <cellStyle name="一般 11 8 2 3 3" xfId="3955"/>
    <cellStyle name="一般 11 8 2 3 3 2" xfId="13425"/>
    <cellStyle name="一般 11 8 2 3 4" xfId="13422"/>
    <cellStyle name="一般 11 8 2 3_包裝指示書(裏)" xfId="3956"/>
    <cellStyle name="一般 11 8 2 4" xfId="3957"/>
    <cellStyle name="一般 11 8 2 4 2" xfId="3958"/>
    <cellStyle name="一般 11 8 2 4 2 2" xfId="13427"/>
    <cellStyle name="一般 11 8 2 4 3" xfId="13426"/>
    <cellStyle name="一般 11 8 2 5" xfId="3959"/>
    <cellStyle name="一般 11 8 2 5 2" xfId="3960"/>
    <cellStyle name="一般 11 8 2 5 2 2" xfId="13429"/>
    <cellStyle name="一般 11 8 2 5 3" xfId="13428"/>
    <cellStyle name="一般 11 8 2 6" xfId="3961"/>
    <cellStyle name="一般 11 8 2 6 2" xfId="3962"/>
    <cellStyle name="一般 11 8 2 6 2 2" xfId="13431"/>
    <cellStyle name="一般 11 8 2 6 3" xfId="13430"/>
    <cellStyle name="一般 11 8 2 7" xfId="3963"/>
    <cellStyle name="一般 11 8 2 7 2" xfId="3964"/>
    <cellStyle name="一般 11 8 2 7 2 2" xfId="13433"/>
    <cellStyle name="一般 11 8 2 7 3" xfId="13432"/>
    <cellStyle name="一般 11 8 2 8" xfId="3965"/>
    <cellStyle name="一般 11 8 2 8 2" xfId="13434"/>
    <cellStyle name="一般 11 8 2 9" xfId="13413"/>
    <cellStyle name="一般 11 8 2_包裝指示書(裏)" xfId="3966"/>
    <cellStyle name="一般 11 8 3" xfId="3967"/>
    <cellStyle name="一般 11 8 3 2" xfId="3968"/>
    <cellStyle name="一般 11 8 3 2 2" xfId="3969"/>
    <cellStyle name="一般 11 8 3 2 2 2" xfId="3970"/>
    <cellStyle name="一般 11 8 3 2 2 2 2" xfId="13438"/>
    <cellStyle name="一般 11 8 3 2 2 3" xfId="13437"/>
    <cellStyle name="一般 11 8 3 2 3" xfId="3971"/>
    <cellStyle name="一般 11 8 3 2 3 2" xfId="3972"/>
    <cellStyle name="一般 11 8 3 2 3 2 2" xfId="13440"/>
    <cellStyle name="一般 11 8 3 2 3 3" xfId="13439"/>
    <cellStyle name="一般 11 8 3 2 4" xfId="3973"/>
    <cellStyle name="一般 11 8 3 2 4 2" xfId="13441"/>
    <cellStyle name="一般 11 8 3 2 5" xfId="13436"/>
    <cellStyle name="一般 11 8 3 2_包裝指示書(裏)" xfId="3974"/>
    <cellStyle name="一般 11 8 3 3" xfId="3975"/>
    <cellStyle name="一般 11 8 3 3 2" xfId="3976"/>
    <cellStyle name="一般 11 8 3 3 2 2" xfId="3977"/>
    <cellStyle name="一般 11 8 3 3 2 2 2" xfId="13444"/>
    <cellStyle name="一般 11 8 3 3 2 3" xfId="13443"/>
    <cellStyle name="一般 11 8 3 3 3" xfId="3978"/>
    <cellStyle name="一般 11 8 3 3 3 2" xfId="13445"/>
    <cellStyle name="一般 11 8 3 3 4" xfId="13442"/>
    <cellStyle name="一般 11 8 3 3_包裝指示書(裏)" xfId="3979"/>
    <cellStyle name="一般 11 8 3 4" xfId="3980"/>
    <cellStyle name="一般 11 8 3 4 2" xfId="3981"/>
    <cellStyle name="一般 11 8 3 4 2 2" xfId="13447"/>
    <cellStyle name="一般 11 8 3 4 3" xfId="13446"/>
    <cellStyle name="一般 11 8 3 5" xfId="3982"/>
    <cellStyle name="一般 11 8 3 5 2" xfId="13448"/>
    <cellStyle name="一般 11 8 3 6" xfId="13435"/>
    <cellStyle name="一般 11 8 3_包裝指示書(裏)" xfId="3983"/>
    <cellStyle name="一般 11 8 4" xfId="3984"/>
    <cellStyle name="一般 11 8 4 2" xfId="3985"/>
    <cellStyle name="一般 11 8 4 2 2" xfId="3986"/>
    <cellStyle name="一般 11 8 4 2 2 2" xfId="3987"/>
    <cellStyle name="一般 11 8 4 2 2 2 2" xfId="13452"/>
    <cellStyle name="一般 11 8 4 2 2 3" xfId="13451"/>
    <cellStyle name="一般 11 8 4 2 3" xfId="3988"/>
    <cellStyle name="一般 11 8 4 2 3 2" xfId="3989"/>
    <cellStyle name="一般 11 8 4 2 3 2 2" xfId="13454"/>
    <cellStyle name="一般 11 8 4 2 3 3" xfId="13453"/>
    <cellStyle name="一般 11 8 4 2 4" xfId="3990"/>
    <cellStyle name="一般 11 8 4 2 4 2" xfId="13455"/>
    <cellStyle name="一般 11 8 4 2 5" xfId="13450"/>
    <cellStyle name="一般 11 8 4 2_包裝指示書(裏)" xfId="3991"/>
    <cellStyle name="一般 11 8 4 3" xfId="3992"/>
    <cellStyle name="一般 11 8 4 3 2" xfId="3993"/>
    <cellStyle name="一般 11 8 4 3 2 2" xfId="13457"/>
    <cellStyle name="一般 11 8 4 3 3" xfId="13456"/>
    <cellStyle name="一般 11 8 4 4" xfId="3994"/>
    <cellStyle name="一般 11 8 4 4 2" xfId="3995"/>
    <cellStyle name="一般 11 8 4 4 2 2" xfId="13459"/>
    <cellStyle name="一般 11 8 4 4 3" xfId="13458"/>
    <cellStyle name="一般 11 8 4 5" xfId="3996"/>
    <cellStyle name="一般 11 8 4 5 2" xfId="13460"/>
    <cellStyle name="一般 11 8 4 6" xfId="13449"/>
    <cellStyle name="一般 11 8 4_包裝指示書(裏)" xfId="3997"/>
    <cellStyle name="一般 11 8 5" xfId="3998"/>
    <cellStyle name="一般 11 8 5 2" xfId="3999"/>
    <cellStyle name="一般 11 8 5 2 2" xfId="4000"/>
    <cellStyle name="一般 11 8 5 2 2 2" xfId="4001"/>
    <cellStyle name="一般 11 8 5 2 2 2 2" xfId="13464"/>
    <cellStyle name="一般 11 8 5 2 2 3" xfId="13463"/>
    <cellStyle name="一般 11 8 5 2 3" xfId="4002"/>
    <cellStyle name="一般 11 8 5 2 3 2" xfId="4003"/>
    <cellStyle name="一般 11 8 5 2 3 2 2" xfId="13466"/>
    <cellStyle name="一般 11 8 5 2 3 3" xfId="13465"/>
    <cellStyle name="一般 11 8 5 2 4" xfId="4004"/>
    <cellStyle name="一般 11 8 5 2 4 2" xfId="13467"/>
    <cellStyle name="一般 11 8 5 2 5" xfId="13462"/>
    <cellStyle name="一般 11 8 5 2_包裝指示書(裏)" xfId="4005"/>
    <cellStyle name="一般 11 8 5 3" xfId="4006"/>
    <cellStyle name="一般 11 8 5 3 2" xfId="4007"/>
    <cellStyle name="一般 11 8 5 3 2 2" xfId="13469"/>
    <cellStyle name="一般 11 8 5 3 3" xfId="13468"/>
    <cellStyle name="一般 11 8 5 4" xfId="4008"/>
    <cellStyle name="一般 11 8 5 4 2" xfId="4009"/>
    <cellStyle name="一般 11 8 5 4 2 2" xfId="13471"/>
    <cellStyle name="一般 11 8 5 4 3" xfId="13470"/>
    <cellStyle name="一般 11 8 5 5" xfId="4010"/>
    <cellStyle name="一般 11 8 5 5 2" xfId="13472"/>
    <cellStyle name="一般 11 8 5 6" xfId="13461"/>
    <cellStyle name="一般 11 8 5_包裝指示書(裏)" xfId="4011"/>
    <cellStyle name="一般 11 8 6" xfId="4012"/>
    <cellStyle name="一般 11 8 6 2" xfId="4013"/>
    <cellStyle name="一般 11 8 6 2 2" xfId="13474"/>
    <cellStyle name="一般 11 8 6 3" xfId="13473"/>
    <cellStyle name="一般 11 8 7" xfId="4014"/>
    <cellStyle name="一般 11 8 7 2" xfId="4015"/>
    <cellStyle name="一般 11 8 7 2 2" xfId="13476"/>
    <cellStyle name="一般 11 8 7 3" xfId="13475"/>
    <cellStyle name="一般 11 8 8" xfId="4016"/>
    <cellStyle name="一般 11 8 8 2" xfId="13477"/>
    <cellStyle name="一般 11 8_包裝指示書(裏)" xfId="4017"/>
    <cellStyle name="一般 11 9" xfId="4018"/>
    <cellStyle name="一般 11 9 10" xfId="13478"/>
    <cellStyle name="一般 11 9 2" xfId="4019"/>
    <cellStyle name="一般 11 9 2 2" xfId="4020"/>
    <cellStyle name="一般 11 9 2 2 2" xfId="4021"/>
    <cellStyle name="一般 11 9 2 2 2 2" xfId="4022"/>
    <cellStyle name="一般 11 9 2 2 2 2 2" xfId="4023"/>
    <cellStyle name="一般 11 9 2 2 2 2 2 2" xfId="13483"/>
    <cellStyle name="一般 11 9 2 2 2 2 3" xfId="13482"/>
    <cellStyle name="一般 11 9 2 2 2 3" xfId="4024"/>
    <cellStyle name="一般 11 9 2 2 2 3 2" xfId="13484"/>
    <cellStyle name="一般 11 9 2 2 2 4" xfId="13481"/>
    <cellStyle name="一般 11 9 2 2 2_包裝指示書(裏)" xfId="4025"/>
    <cellStyle name="一般 11 9 2 2 3" xfId="4026"/>
    <cellStyle name="一般 11 9 2 2 3 2" xfId="4027"/>
    <cellStyle name="一般 11 9 2 2 3 2 2" xfId="13486"/>
    <cellStyle name="一般 11 9 2 2 3 3" xfId="13485"/>
    <cellStyle name="一般 11 9 2 2 4" xfId="4028"/>
    <cellStyle name="一般 11 9 2 2 4 2" xfId="13487"/>
    <cellStyle name="一般 11 9 2 2 5" xfId="13480"/>
    <cellStyle name="一般 11 9 2 2_包裝指示書(裏)" xfId="4029"/>
    <cellStyle name="一般 11 9 2 3" xfId="4030"/>
    <cellStyle name="一般 11 9 2 3 2" xfId="4031"/>
    <cellStyle name="一般 11 9 2 3 2 2" xfId="4032"/>
    <cellStyle name="一般 11 9 2 3 2 2 2" xfId="13490"/>
    <cellStyle name="一般 11 9 2 3 2 3" xfId="13489"/>
    <cellStyle name="一般 11 9 2 3 3" xfId="4033"/>
    <cellStyle name="一般 11 9 2 3 3 2" xfId="13491"/>
    <cellStyle name="一般 11 9 2 3 4" xfId="13488"/>
    <cellStyle name="一般 11 9 2 3_包裝指示書(裏)" xfId="4034"/>
    <cellStyle name="一般 11 9 2 4" xfId="4035"/>
    <cellStyle name="一般 11 9 2 4 2" xfId="4036"/>
    <cellStyle name="一般 11 9 2 4 2 2" xfId="13493"/>
    <cellStyle name="一般 11 9 2 4 3" xfId="13492"/>
    <cellStyle name="一般 11 9 2 5" xfId="4037"/>
    <cellStyle name="一般 11 9 2 5 2" xfId="4038"/>
    <cellStyle name="一般 11 9 2 5 2 2" xfId="13495"/>
    <cellStyle name="一般 11 9 2 5 3" xfId="13494"/>
    <cellStyle name="一般 11 9 2 6" xfId="4039"/>
    <cellStyle name="一般 11 9 2 6 2" xfId="4040"/>
    <cellStyle name="一般 11 9 2 6 2 2" xfId="13497"/>
    <cellStyle name="一般 11 9 2 6 3" xfId="13496"/>
    <cellStyle name="一般 11 9 2 7" xfId="4041"/>
    <cellStyle name="一般 11 9 2 7 2" xfId="4042"/>
    <cellStyle name="一般 11 9 2 7 2 2" xfId="13499"/>
    <cellStyle name="一般 11 9 2 7 3" xfId="13498"/>
    <cellStyle name="一般 11 9 2 8" xfId="4043"/>
    <cellStyle name="一般 11 9 2 8 2" xfId="13500"/>
    <cellStyle name="一般 11 9 2 9" xfId="13479"/>
    <cellStyle name="一般 11 9 2_包裝指示書(裏)" xfId="4044"/>
    <cellStyle name="一般 11 9 3" xfId="4045"/>
    <cellStyle name="一般 11 9 3 2" xfId="4046"/>
    <cellStyle name="一般 11 9 3 2 2" xfId="4047"/>
    <cellStyle name="一般 11 9 3 2 2 2" xfId="4048"/>
    <cellStyle name="一般 11 9 3 2 2 2 2" xfId="13504"/>
    <cellStyle name="一般 11 9 3 2 2 3" xfId="13503"/>
    <cellStyle name="一般 11 9 3 2 3" xfId="4049"/>
    <cellStyle name="一般 11 9 3 2 3 2" xfId="4050"/>
    <cellStyle name="一般 11 9 3 2 3 2 2" xfId="13506"/>
    <cellStyle name="一般 11 9 3 2 3 3" xfId="13505"/>
    <cellStyle name="一般 11 9 3 2 4" xfId="4051"/>
    <cellStyle name="一般 11 9 3 2 4 2" xfId="13507"/>
    <cellStyle name="一般 11 9 3 2 5" xfId="13502"/>
    <cellStyle name="一般 11 9 3 2_包裝指示書(裏)" xfId="4052"/>
    <cellStyle name="一般 11 9 3 3" xfId="4053"/>
    <cellStyle name="一般 11 9 3 3 2" xfId="4054"/>
    <cellStyle name="一般 11 9 3 3 2 2" xfId="4055"/>
    <cellStyle name="一般 11 9 3 3 2 2 2" xfId="13510"/>
    <cellStyle name="一般 11 9 3 3 2 3" xfId="13509"/>
    <cellStyle name="一般 11 9 3 3 3" xfId="4056"/>
    <cellStyle name="一般 11 9 3 3 3 2" xfId="13511"/>
    <cellStyle name="一般 11 9 3 3 4" xfId="13508"/>
    <cellStyle name="一般 11 9 3 3_包裝指示書(裏)" xfId="4057"/>
    <cellStyle name="一般 11 9 3 4" xfId="4058"/>
    <cellStyle name="一般 11 9 3 4 2" xfId="4059"/>
    <cellStyle name="一般 11 9 3 4 2 2" xfId="13513"/>
    <cellStyle name="一般 11 9 3 4 3" xfId="13512"/>
    <cellStyle name="一般 11 9 3 5" xfId="4060"/>
    <cellStyle name="一般 11 9 3 5 2" xfId="13514"/>
    <cellStyle name="一般 11 9 3 6" xfId="13501"/>
    <cellStyle name="一般 11 9 3_包裝指示書(裏)" xfId="4061"/>
    <cellStyle name="一般 11 9 4" xfId="4062"/>
    <cellStyle name="一般 11 9 4 2" xfId="4063"/>
    <cellStyle name="一般 11 9 4 2 2" xfId="4064"/>
    <cellStyle name="一般 11 9 4 2 2 2" xfId="4065"/>
    <cellStyle name="一般 11 9 4 2 2 2 2" xfId="13518"/>
    <cellStyle name="一般 11 9 4 2 2 3" xfId="13517"/>
    <cellStyle name="一般 11 9 4 2 3" xfId="4066"/>
    <cellStyle name="一般 11 9 4 2 3 2" xfId="4067"/>
    <cellStyle name="一般 11 9 4 2 3 2 2" xfId="13520"/>
    <cellStyle name="一般 11 9 4 2 3 3" xfId="13519"/>
    <cellStyle name="一般 11 9 4 2 4" xfId="4068"/>
    <cellStyle name="一般 11 9 4 2 4 2" xfId="13521"/>
    <cellStyle name="一般 11 9 4 2 5" xfId="13516"/>
    <cellStyle name="一般 11 9 4 2_包裝指示書(裏)" xfId="4069"/>
    <cellStyle name="一般 11 9 4 3" xfId="4070"/>
    <cellStyle name="一般 11 9 4 3 2" xfId="4071"/>
    <cellStyle name="一般 11 9 4 3 2 2" xfId="13523"/>
    <cellStyle name="一般 11 9 4 3 3" xfId="13522"/>
    <cellStyle name="一般 11 9 4 4" xfId="4072"/>
    <cellStyle name="一般 11 9 4 4 2" xfId="4073"/>
    <cellStyle name="一般 11 9 4 4 2 2" xfId="13525"/>
    <cellStyle name="一般 11 9 4 4 3" xfId="13524"/>
    <cellStyle name="一般 11 9 4 5" xfId="4074"/>
    <cellStyle name="一般 11 9 4 5 2" xfId="13526"/>
    <cellStyle name="一般 11 9 4 6" xfId="13515"/>
    <cellStyle name="一般 11 9 4_包裝指示書(裏)" xfId="4075"/>
    <cellStyle name="一般 11 9 5" xfId="4076"/>
    <cellStyle name="一般 11 9 5 2" xfId="4077"/>
    <cellStyle name="一般 11 9 5 2 2" xfId="4078"/>
    <cellStyle name="一般 11 9 5 2 2 2" xfId="4079"/>
    <cellStyle name="一般 11 9 5 2 2 2 2" xfId="13530"/>
    <cellStyle name="一般 11 9 5 2 2 3" xfId="13529"/>
    <cellStyle name="一般 11 9 5 2 3" xfId="4080"/>
    <cellStyle name="一般 11 9 5 2 3 2" xfId="4081"/>
    <cellStyle name="一般 11 9 5 2 3 2 2" xfId="13532"/>
    <cellStyle name="一般 11 9 5 2 3 3" xfId="13531"/>
    <cellStyle name="一般 11 9 5 2 4" xfId="4082"/>
    <cellStyle name="一般 11 9 5 2 4 2" xfId="13533"/>
    <cellStyle name="一般 11 9 5 2 5" xfId="13528"/>
    <cellStyle name="一般 11 9 5 2_包裝指示書(裏)" xfId="4083"/>
    <cellStyle name="一般 11 9 5 3" xfId="4084"/>
    <cellStyle name="一般 11 9 5 3 2" xfId="4085"/>
    <cellStyle name="一般 11 9 5 3 2 2" xfId="13535"/>
    <cellStyle name="一般 11 9 5 3 3" xfId="13534"/>
    <cellStyle name="一般 11 9 5 4" xfId="4086"/>
    <cellStyle name="一般 11 9 5 4 2" xfId="4087"/>
    <cellStyle name="一般 11 9 5 4 2 2" xfId="13537"/>
    <cellStyle name="一般 11 9 5 4 3" xfId="13536"/>
    <cellStyle name="一般 11 9 5 5" xfId="4088"/>
    <cellStyle name="一般 11 9 5 5 2" xfId="13538"/>
    <cellStyle name="一般 11 9 5 6" xfId="13527"/>
    <cellStyle name="一般 11 9 5_包裝指示書(裏)" xfId="4089"/>
    <cellStyle name="一般 11 9 6" xfId="4090"/>
    <cellStyle name="一般 11 9 6 2" xfId="4091"/>
    <cellStyle name="一般 11 9 6 2 2" xfId="4092"/>
    <cellStyle name="一般 11 9 6 2 2 2" xfId="13541"/>
    <cellStyle name="一般 11 9 6 2 3" xfId="13540"/>
    <cellStyle name="一般 11 9 6 3" xfId="4093"/>
    <cellStyle name="一般 11 9 6 3 2" xfId="13542"/>
    <cellStyle name="一般 11 9 6 4" xfId="13539"/>
    <cellStyle name="一般 11 9 6_包裝指示書(裏)" xfId="4094"/>
    <cellStyle name="一般 11 9 7" xfId="4095"/>
    <cellStyle name="一般 11 9 7 2" xfId="4096"/>
    <cellStyle name="一般 11 9 7 2 2" xfId="13544"/>
    <cellStyle name="一般 11 9 7 3" xfId="13543"/>
    <cellStyle name="一般 11 9 8" xfId="4097"/>
    <cellStyle name="一般 11 9 8 2" xfId="13545"/>
    <cellStyle name="一般 11 9 9" xfId="4098"/>
    <cellStyle name="一般 11 9 9 2" xfId="13546"/>
    <cellStyle name="一般 11 9_包裝指示書(裏)" xfId="4099"/>
    <cellStyle name="一般 11_包裝指示書(裏)" xfId="4100"/>
    <cellStyle name="一般 12" xfId="1"/>
    <cellStyle name="一般 12 2" xfId="1103"/>
    <cellStyle name="一般 12 2 2" xfId="4101"/>
    <cellStyle name="一般 12 2 2 2" xfId="4102"/>
    <cellStyle name="一般 12 2 2 2 2" xfId="4103"/>
    <cellStyle name="一般 12 2 2 2 3" xfId="4104"/>
    <cellStyle name="一般 12 2 2 2_包裝指示書(裏)" xfId="4105"/>
    <cellStyle name="一般 12 2 2 3" xfId="1139"/>
    <cellStyle name="一般 12 2 2 3 2" xfId="4106"/>
    <cellStyle name="一般 12 2 2 3 3" xfId="4107"/>
    <cellStyle name="一般 12 2 2 3_包裝指示書(裏)" xfId="4108"/>
    <cellStyle name="一般 12 2 2 4" xfId="4109"/>
    <cellStyle name="一般 12 2 2 5" xfId="4110"/>
    <cellStyle name="一般 12 2 2_包裝指示書(裏)" xfId="4111"/>
    <cellStyle name="一般 12 2 3" xfId="4112"/>
    <cellStyle name="一般 12 2 3 2" xfId="4113"/>
    <cellStyle name="一般 12 2 3 3" xfId="4114"/>
    <cellStyle name="一般 12 2 3 4" xfId="4115"/>
    <cellStyle name="一般 12 2 4" xfId="4116"/>
    <cellStyle name="一般 12 2 5" xfId="4117"/>
    <cellStyle name="一般 12 2 6" xfId="4118"/>
    <cellStyle name="一般 12 2 7" xfId="4119"/>
    <cellStyle name="一般 12 2 8" xfId="4120"/>
    <cellStyle name="一般 12 2_包裝指示書(裏)" xfId="4121"/>
    <cellStyle name="一般 12 3" xfId="4122"/>
    <cellStyle name="一般 12_包裝指示書(裏)" xfId="4123"/>
    <cellStyle name="一般 13" xfId="1107"/>
    <cellStyle name="一般 13 10" xfId="4124"/>
    <cellStyle name="一般 13 10 10" xfId="13547"/>
    <cellStyle name="一般 13 10 2" xfId="4125"/>
    <cellStyle name="一般 13 10 2 2" xfId="4126"/>
    <cellStyle name="一般 13 10 2 2 2" xfId="4127"/>
    <cellStyle name="一般 13 10 2 2 2 2" xfId="4128"/>
    <cellStyle name="一般 13 10 2 2 2 2 2" xfId="13551"/>
    <cellStyle name="一般 13 10 2 2 2 3" xfId="13550"/>
    <cellStyle name="一般 13 10 2 2 3" xfId="4129"/>
    <cellStyle name="一般 13 10 2 2 3 2" xfId="13552"/>
    <cellStyle name="一般 13 10 2 2 4" xfId="13549"/>
    <cellStyle name="一般 13 10 2 2_包裝指示書(裏)" xfId="4130"/>
    <cellStyle name="一般 13 10 2 3" xfId="4131"/>
    <cellStyle name="一般 13 10 2 3 2" xfId="4132"/>
    <cellStyle name="一般 13 10 2 3 2 2" xfId="13554"/>
    <cellStyle name="一般 13 10 2 3 3" xfId="13553"/>
    <cellStyle name="一般 13 10 2 4" xfId="4133"/>
    <cellStyle name="一般 13 10 2 4 2" xfId="4134"/>
    <cellStyle name="一般 13 10 2 4 2 2" xfId="13556"/>
    <cellStyle name="一般 13 10 2 4 3" xfId="13555"/>
    <cellStyle name="一般 13 10 2 5" xfId="4135"/>
    <cellStyle name="一般 13 10 2 5 2" xfId="4136"/>
    <cellStyle name="一般 13 10 2 5 2 2" xfId="13558"/>
    <cellStyle name="一般 13 10 2 5 3" xfId="13557"/>
    <cellStyle name="一般 13 10 2 6" xfId="4137"/>
    <cellStyle name="一般 13 10 2 6 2" xfId="4138"/>
    <cellStyle name="一般 13 10 2 6 2 2" xfId="13560"/>
    <cellStyle name="一般 13 10 2 6 3" xfId="13559"/>
    <cellStyle name="一般 13 10 2 7" xfId="4139"/>
    <cellStyle name="一般 13 10 2 7 2" xfId="4140"/>
    <cellStyle name="一般 13 10 2 7 2 2" xfId="13562"/>
    <cellStyle name="一般 13 10 2 7 3" xfId="13561"/>
    <cellStyle name="一般 13 10 2 8" xfId="4141"/>
    <cellStyle name="一般 13 10 2 8 2" xfId="13563"/>
    <cellStyle name="一般 13 10 2 9" xfId="13548"/>
    <cellStyle name="一般 13 10 2_包裝指示書(裏)" xfId="4142"/>
    <cellStyle name="一般 13 10 3" xfId="4143"/>
    <cellStyle name="一般 13 10 3 2" xfId="4144"/>
    <cellStyle name="一般 13 10 3 2 2" xfId="4145"/>
    <cellStyle name="一般 13 10 3 2 2 2" xfId="13566"/>
    <cellStyle name="一般 13 10 3 2 3" xfId="13565"/>
    <cellStyle name="一般 13 10 3 3" xfId="4146"/>
    <cellStyle name="一般 13 10 3 3 2" xfId="13567"/>
    <cellStyle name="一般 13 10 3 4" xfId="4147"/>
    <cellStyle name="一般 13 10 3 4 2" xfId="13568"/>
    <cellStyle name="一般 13 10 3 5" xfId="4148"/>
    <cellStyle name="一般 13 10 3 5 2" xfId="13569"/>
    <cellStyle name="一般 13 10 3 6" xfId="13564"/>
    <cellStyle name="一般 13 10 3_包裝指示書(裏)" xfId="4149"/>
    <cellStyle name="一般 13 10 4" xfId="4150"/>
    <cellStyle name="一般 13 10 4 2" xfId="4151"/>
    <cellStyle name="一般 13 10 4 2 2" xfId="13571"/>
    <cellStyle name="一般 13 10 4 3" xfId="13570"/>
    <cellStyle name="一般 13 10 5" xfId="4152"/>
    <cellStyle name="一般 13 10 5 2" xfId="4153"/>
    <cellStyle name="一般 13 10 5 2 2" xfId="13573"/>
    <cellStyle name="一般 13 10 5 3" xfId="13572"/>
    <cellStyle name="一般 13 10 6" xfId="4154"/>
    <cellStyle name="一般 13 10 6 2" xfId="4155"/>
    <cellStyle name="一般 13 10 6 2 2" xfId="13575"/>
    <cellStyle name="一般 13 10 6 3" xfId="13574"/>
    <cellStyle name="一般 13 10 7" xfId="4156"/>
    <cellStyle name="一般 13 10 7 2" xfId="4157"/>
    <cellStyle name="一般 13 10 7 2 2" xfId="13577"/>
    <cellStyle name="一般 13 10 7 3" xfId="13576"/>
    <cellStyle name="一般 13 10 8" xfId="4158"/>
    <cellStyle name="一般 13 10 8 2" xfId="4159"/>
    <cellStyle name="一般 13 10 8 2 2" xfId="13579"/>
    <cellStyle name="一般 13 10 8 3" xfId="13578"/>
    <cellStyle name="一般 13 10 9" xfId="4160"/>
    <cellStyle name="一般 13 10 9 2" xfId="13580"/>
    <cellStyle name="一般 13 10_包裝指示書(裏)" xfId="4161"/>
    <cellStyle name="一般 13 11" xfId="4162"/>
    <cellStyle name="一般 13 11 2" xfId="4163"/>
    <cellStyle name="一般 13 11 2 2" xfId="4164"/>
    <cellStyle name="一般 13 11 2 2 2" xfId="4165"/>
    <cellStyle name="一般 13 11 2 2 2 2" xfId="4166"/>
    <cellStyle name="一般 13 11 2 2 2 2 2" xfId="13585"/>
    <cellStyle name="一般 13 11 2 2 2 3" xfId="13584"/>
    <cellStyle name="一般 13 11 2 2 3" xfId="4167"/>
    <cellStyle name="一般 13 11 2 2 3 2" xfId="13586"/>
    <cellStyle name="一般 13 11 2 2 4" xfId="13583"/>
    <cellStyle name="一般 13 11 2 2_包裝指示書(裏)" xfId="4168"/>
    <cellStyle name="一般 13 11 2 3" xfId="4169"/>
    <cellStyle name="一般 13 11 2 3 2" xfId="4170"/>
    <cellStyle name="一般 13 11 2 3 2 2" xfId="13588"/>
    <cellStyle name="一般 13 11 2 3 3" xfId="13587"/>
    <cellStyle name="一般 13 11 2 4" xfId="4171"/>
    <cellStyle name="一般 13 11 2 4 2" xfId="13589"/>
    <cellStyle name="一般 13 11 2 5" xfId="4172"/>
    <cellStyle name="一般 13 11 2 5 2" xfId="13590"/>
    <cellStyle name="一般 13 11 2 6" xfId="13582"/>
    <cellStyle name="一般 13 11 2_包裝指示書(裏)" xfId="4173"/>
    <cellStyle name="一般 13 11 3" xfId="4174"/>
    <cellStyle name="一般 13 11 3 2" xfId="4175"/>
    <cellStyle name="一般 13 11 3 2 2" xfId="4176"/>
    <cellStyle name="一般 13 11 3 2 2 2" xfId="13593"/>
    <cellStyle name="一般 13 11 3 2 3" xfId="13592"/>
    <cellStyle name="一般 13 11 3 3" xfId="4177"/>
    <cellStyle name="一般 13 11 3 3 2" xfId="13594"/>
    <cellStyle name="一般 13 11 3 4" xfId="4178"/>
    <cellStyle name="一般 13 11 3 4 2" xfId="13595"/>
    <cellStyle name="一般 13 11 3 5" xfId="4179"/>
    <cellStyle name="一般 13 11 3 5 2" xfId="13596"/>
    <cellStyle name="一般 13 11 3 6" xfId="13591"/>
    <cellStyle name="一般 13 11 3_包裝指示書(裏)" xfId="4180"/>
    <cellStyle name="一般 13 11 4" xfId="4181"/>
    <cellStyle name="一般 13 11 4 2" xfId="4182"/>
    <cellStyle name="一般 13 11 4 2 2" xfId="13598"/>
    <cellStyle name="一般 13 11 4 3" xfId="13597"/>
    <cellStyle name="一般 13 11 5" xfId="4183"/>
    <cellStyle name="一般 13 11 5 2" xfId="4184"/>
    <cellStyle name="一般 13 11 5 2 2" xfId="13600"/>
    <cellStyle name="一般 13 11 5 3" xfId="13599"/>
    <cellStyle name="一般 13 11 6" xfId="4185"/>
    <cellStyle name="一般 13 11 6 2" xfId="4186"/>
    <cellStyle name="一般 13 11 6 2 2" xfId="13602"/>
    <cellStyle name="一般 13 11 6 3" xfId="13601"/>
    <cellStyle name="一般 13 11 7" xfId="4187"/>
    <cellStyle name="一般 13 11 7 2" xfId="4188"/>
    <cellStyle name="一般 13 11 7 2 2" xfId="13604"/>
    <cellStyle name="一般 13 11 7 3" xfId="13603"/>
    <cellStyle name="一般 13 11 8" xfId="4189"/>
    <cellStyle name="一般 13 11 8 2" xfId="13605"/>
    <cellStyle name="一般 13 11 9" xfId="13581"/>
    <cellStyle name="一般 13 11_包裝指示書(裏)" xfId="4190"/>
    <cellStyle name="一般 13 12" xfId="4191"/>
    <cellStyle name="一般 13 12 2" xfId="4192"/>
    <cellStyle name="一般 13 12 2 2" xfId="4193"/>
    <cellStyle name="一般 13 12 2 2 2" xfId="4194"/>
    <cellStyle name="一般 13 12 2 2 2 2" xfId="4195"/>
    <cellStyle name="一般 13 12 2 2 2 2 2" xfId="13610"/>
    <cellStyle name="一般 13 12 2 2 2 3" xfId="13609"/>
    <cellStyle name="一般 13 12 2 2 3" xfId="4196"/>
    <cellStyle name="一般 13 12 2 2 3 2" xfId="13611"/>
    <cellStyle name="一般 13 12 2 2 4" xfId="13608"/>
    <cellStyle name="一般 13 12 2 2_包裝指示書(裏)" xfId="4197"/>
    <cellStyle name="一般 13 12 2 3" xfId="4198"/>
    <cellStyle name="一般 13 12 2 3 2" xfId="4199"/>
    <cellStyle name="一般 13 12 2 3 2 2" xfId="13613"/>
    <cellStyle name="一般 13 12 2 3 3" xfId="13612"/>
    <cellStyle name="一般 13 12 2 4" xfId="4200"/>
    <cellStyle name="一般 13 12 2 4 2" xfId="13614"/>
    <cellStyle name="一般 13 12 2 5" xfId="13607"/>
    <cellStyle name="一般 13 12 2_包裝指示書(裏)" xfId="4201"/>
    <cellStyle name="一般 13 12 3" xfId="4202"/>
    <cellStyle name="一般 13 12 3 2" xfId="4203"/>
    <cellStyle name="一般 13 12 3 2 2" xfId="4204"/>
    <cellStyle name="一般 13 12 3 2 2 2" xfId="13617"/>
    <cellStyle name="一般 13 12 3 2 3" xfId="13616"/>
    <cellStyle name="一般 13 12 3 3" xfId="4205"/>
    <cellStyle name="一般 13 12 3 3 2" xfId="13618"/>
    <cellStyle name="一般 13 12 3 4" xfId="13615"/>
    <cellStyle name="一般 13 12 3_包裝指示書(裏)" xfId="4206"/>
    <cellStyle name="一般 13 12 4" xfId="4207"/>
    <cellStyle name="一般 13 12 4 2" xfId="4208"/>
    <cellStyle name="一般 13 12 4 2 2" xfId="13620"/>
    <cellStyle name="一般 13 12 4 3" xfId="13619"/>
    <cellStyle name="一般 13 12 5" xfId="4209"/>
    <cellStyle name="一般 13 12 5 2" xfId="4210"/>
    <cellStyle name="一般 13 12 5 2 2" xfId="13622"/>
    <cellStyle name="一般 13 12 5 3" xfId="13621"/>
    <cellStyle name="一般 13 12 6" xfId="4211"/>
    <cellStyle name="一般 13 12 6 2" xfId="4212"/>
    <cellStyle name="一般 13 12 6 2 2" xfId="13624"/>
    <cellStyle name="一般 13 12 6 3" xfId="13623"/>
    <cellStyle name="一般 13 12 7" xfId="4213"/>
    <cellStyle name="一般 13 12 7 2" xfId="4214"/>
    <cellStyle name="一般 13 12 7 2 2" xfId="13626"/>
    <cellStyle name="一般 13 12 7 3" xfId="13625"/>
    <cellStyle name="一般 13 12 8" xfId="4215"/>
    <cellStyle name="一般 13 12 8 2" xfId="13627"/>
    <cellStyle name="一般 13 12 9" xfId="13606"/>
    <cellStyle name="一般 13 12_包裝指示書(裏)" xfId="4216"/>
    <cellStyle name="一般 13 13" xfId="4217"/>
    <cellStyle name="一般 13 13 2" xfId="4218"/>
    <cellStyle name="一般 13 13 2 2" xfId="4219"/>
    <cellStyle name="一般 13 13 2 2 2" xfId="4220"/>
    <cellStyle name="一般 13 13 2 2 2 2" xfId="13631"/>
    <cellStyle name="一般 13 13 2 2 3" xfId="13630"/>
    <cellStyle name="一般 13 13 2 3" xfId="4221"/>
    <cellStyle name="一般 13 13 2 3 2" xfId="4222"/>
    <cellStyle name="一般 13 13 2 3 2 2" xfId="13633"/>
    <cellStyle name="一般 13 13 2 3 3" xfId="13632"/>
    <cellStyle name="一般 13 13 2 4" xfId="4223"/>
    <cellStyle name="一般 13 13 2 4 2" xfId="13634"/>
    <cellStyle name="一般 13 13 2 5" xfId="13629"/>
    <cellStyle name="一般 13 13 2_包裝指示書(裏)" xfId="4224"/>
    <cellStyle name="一般 13 13 3" xfId="4225"/>
    <cellStyle name="一般 13 13 3 2" xfId="4226"/>
    <cellStyle name="一般 13 13 3 2 2" xfId="4227"/>
    <cellStyle name="一般 13 13 3 2 2 2" xfId="13637"/>
    <cellStyle name="一般 13 13 3 2 3" xfId="13636"/>
    <cellStyle name="一般 13 13 3 3" xfId="4228"/>
    <cellStyle name="一般 13 13 3 3 2" xfId="13638"/>
    <cellStyle name="一般 13 13 3 4" xfId="13635"/>
    <cellStyle name="一般 13 13 3_包裝指示書(裏)" xfId="4229"/>
    <cellStyle name="一般 13 13 4" xfId="4230"/>
    <cellStyle name="一般 13 13 4 2" xfId="4231"/>
    <cellStyle name="一般 13 13 4 2 2" xfId="13640"/>
    <cellStyle name="一般 13 13 4 3" xfId="13639"/>
    <cellStyle name="一般 13 13 5" xfId="4232"/>
    <cellStyle name="一般 13 13 5 2" xfId="4233"/>
    <cellStyle name="一般 13 13 5 2 2" xfId="13642"/>
    <cellStyle name="一般 13 13 5 3" xfId="13641"/>
    <cellStyle name="一般 13 13 6" xfId="4234"/>
    <cellStyle name="一般 13 13 6 2" xfId="13643"/>
    <cellStyle name="一般 13 13 7" xfId="13628"/>
    <cellStyle name="一般 13 13_包裝指示書(裏)" xfId="4235"/>
    <cellStyle name="一般 13 14" xfId="4236"/>
    <cellStyle name="一般 13 14 2" xfId="4237"/>
    <cellStyle name="一般 13 14 2 2" xfId="4238"/>
    <cellStyle name="一般 13 14 2 2 2" xfId="4239"/>
    <cellStyle name="一般 13 14 2 2 2 2" xfId="13647"/>
    <cellStyle name="一般 13 14 2 2 3" xfId="13646"/>
    <cellStyle name="一般 13 14 2 3" xfId="4240"/>
    <cellStyle name="一般 13 14 2 3 2" xfId="4241"/>
    <cellStyle name="一般 13 14 2 3 2 2" xfId="13649"/>
    <cellStyle name="一般 13 14 2 3 3" xfId="13648"/>
    <cellStyle name="一般 13 14 2 4" xfId="4242"/>
    <cellStyle name="一般 13 14 2 4 2" xfId="13650"/>
    <cellStyle name="一般 13 14 2 5" xfId="13645"/>
    <cellStyle name="一般 13 14 2_包裝指示書(裏)" xfId="4243"/>
    <cellStyle name="一般 13 14 3" xfId="4244"/>
    <cellStyle name="一般 13 14 3 2" xfId="4245"/>
    <cellStyle name="一般 13 14 3 2 2" xfId="13652"/>
    <cellStyle name="一般 13 14 3 3" xfId="13651"/>
    <cellStyle name="一般 13 14 4" xfId="4246"/>
    <cellStyle name="一般 13 14 4 2" xfId="4247"/>
    <cellStyle name="一般 13 14 4 2 2" xfId="13654"/>
    <cellStyle name="一般 13 14 4 3" xfId="13653"/>
    <cellStyle name="一般 13 14 5" xfId="4248"/>
    <cellStyle name="一般 13 14 5 2" xfId="13655"/>
    <cellStyle name="一般 13 14 6" xfId="13644"/>
    <cellStyle name="一般 13 14_包裝指示書(裏)" xfId="4249"/>
    <cellStyle name="一般 13 15" xfId="4250"/>
    <cellStyle name="一般 13 15 2" xfId="4251"/>
    <cellStyle name="一般 13 15 2 2" xfId="4252"/>
    <cellStyle name="一般 13 15 2 2 2" xfId="4253"/>
    <cellStyle name="一般 13 15 2 2 2 2" xfId="13659"/>
    <cellStyle name="一般 13 15 2 2 3" xfId="13658"/>
    <cellStyle name="一般 13 15 2 3" xfId="4254"/>
    <cellStyle name="一般 13 15 2 3 2" xfId="4255"/>
    <cellStyle name="一般 13 15 2 3 2 2" xfId="13661"/>
    <cellStyle name="一般 13 15 2 3 3" xfId="13660"/>
    <cellStyle name="一般 13 15 2 4" xfId="4256"/>
    <cellStyle name="一般 13 15 2 4 2" xfId="13662"/>
    <cellStyle name="一般 13 15 2 5" xfId="13657"/>
    <cellStyle name="一般 13 15 2_包裝指示書(裏)" xfId="4257"/>
    <cellStyle name="一般 13 15 3" xfId="4258"/>
    <cellStyle name="一般 13 15 3 2" xfId="4259"/>
    <cellStyle name="一般 13 15 3 2 2" xfId="13664"/>
    <cellStyle name="一般 13 15 3 3" xfId="13663"/>
    <cellStyle name="一般 13 15 4" xfId="4260"/>
    <cellStyle name="一般 13 15 4 2" xfId="4261"/>
    <cellStyle name="一般 13 15 4 2 2" xfId="13666"/>
    <cellStyle name="一般 13 15 4 3" xfId="13665"/>
    <cellStyle name="一般 13 15 5" xfId="4262"/>
    <cellStyle name="一般 13 15 5 2" xfId="13667"/>
    <cellStyle name="一般 13 15 6" xfId="13656"/>
    <cellStyle name="一般 13 15_包裝指示書(裏)" xfId="4263"/>
    <cellStyle name="一般 13 16" xfId="4264"/>
    <cellStyle name="一般 13 16 2" xfId="4265"/>
    <cellStyle name="一般 13 16 2 2" xfId="4266"/>
    <cellStyle name="一般 13 16 2 2 2" xfId="13670"/>
    <cellStyle name="一般 13 16 2 3" xfId="13669"/>
    <cellStyle name="一般 13 16 3" xfId="4267"/>
    <cellStyle name="一般 13 16 3 2" xfId="4268"/>
    <cellStyle name="一般 13 16 3 2 2" xfId="13672"/>
    <cellStyle name="一般 13 16 3 3" xfId="13671"/>
    <cellStyle name="一般 13 16 4" xfId="4269"/>
    <cellStyle name="一般 13 16 4 2" xfId="13673"/>
    <cellStyle name="一般 13 16 5" xfId="13668"/>
    <cellStyle name="一般 13 16_包裝指示書(裏)" xfId="4270"/>
    <cellStyle name="一般 13 17" xfId="4271"/>
    <cellStyle name="一般 13 17 2" xfId="4272"/>
    <cellStyle name="一般 13 17 2 2" xfId="13675"/>
    <cellStyle name="一般 13 17 3" xfId="13674"/>
    <cellStyle name="一般 13 18" xfId="4273"/>
    <cellStyle name="一般 13 18 2" xfId="4274"/>
    <cellStyle name="一般 13 18 2 2" xfId="13677"/>
    <cellStyle name="一般 13 18 3" xfId="13676"/>
    <cellStyle name="一般 13 19" xfId="4275"/>
    <cellStyle name="一般 13 19 2" xfId="4276"/>
    <cellStyle name="一般 13 19 2 2" xfId="13679"/>
    <cellStyle name="一般 13 19 3" xfId="13678"/>
    <cellStyle name="一般 13 2" xfId="1142"/>
    <cellStyle name="一般 13 2 10" xfId="4277"/>
    <cellStyle name="一般 13 2 10 2" xfId="4278"/>
    <cellStyle name="一般 13 2 10 2 2" xfId="4279"/>
    <cellStyle name="一般 13 2 10 2 2 2" xfId="4280"/>
    <cellStyle name="一般 13 2 10 2 2 2 2" xfId="13683"/>
    <cellStyle name="一般 13 2 10 2 2 3" xfId="13682"/>
    <cellStyle name="一般 13 2 10 2 3" xfId="4281"/>
    <cellStyle name="一般 13 2 10 2 3 2" xfId="4282"/>
    <cellStyle name="一般 13 2 10 2 3 2 2" xfId="13685"/>
    <cellStyle name="一般 13 2 10 2 3 3" xfId="13684"/>
    <cellStyle name="一般 13 2 10 2 4" xfId="4283"/>
    <cellStyle name="一般 13 2 10 2 4 2" xfId="13686"/>
    <cellStyle name="一般 13 2 10 2 5" xfId="13681"/>
    <cellStyle name="一般 13 2 10 2_包裝指示書(裏)" xfId="4284"/>
    <cellStyle name="一般 13 2 10 3" xfId="4285"/>
    <cellStyle name="一般 13 2 10 3 2" xfId="4286"/>
    <cellStyle name="一般 13 2 10 3 2 2" xfId="13688"/>
    <cellStyle name="一般 13 2 10 3 3" xfId="13687"/>
    <cellStyle name="一般 13 2 10 4" xfId="4287"/>
    <cellStyle name="一般 13 2 10 4 2" xfId="4288"/>
    <cellStyle name="一般 13 2 10 4 2 2" xfId="13690"/>
    <cellStyle name="一般 13 2 10 4 3" xfId="13689"/>
    <cellStyle name="一般 13 2 10 5" xfId="4289"/>
    <cellStyle name="一般 13 2 10 5 2" xfId="4290"/>
    <cellStyle name="一般 13 2 10 5 2 2" xfId="13692"/>
    <cellStyle name="一般 13 2 10 5 3" xfId="13691"/>
    <cellStyle name="一般 13 2 10 6" xfId="4291"/>
    <cellStyle name="一般 13 2 10 6 2" xfId="13693"/>
    <cellStyle name="一般 13 2 10 7" xfId="13680"/>
    <cellStyle name="一般 13 2 10_包裝指示書(裏)" xfId="4292"/>
    <cellStyle name="一般 13 2 11" xfId="4293"/>
    <cellStyle name="一般 13 2 11 2" xfId="4294"/>
    <cellStyle name="一般 13 2 11 2 2" xfId="4295"/>
    <cellStyle name="一般 13 2 11 2 2 2" xfId="4296"/>
    <cellStyle name="一般 13 2 11 2 2 2 2" xfId="13697"/>
    <cellStyle name="一般 13 2 11 2 2 3" xfId="13696"/>
    <cellStyle name="一般 13 2 11 2 3" xfId="4297"/>
    <cellStyle name="一般 13 2 11 2 3 2" xfId="4298"/>
    <cellStyle name="一般 13 2 11 2 3 2 2" xfId="13699"/>
    <cellStyle name="一般 13 2 11 2 3 3" xfId="13698"/>
    <cellStyle name="一般 13 2 11 2 4" xfId="4299"/>
    <cellStyle name="一般 13 2 11 2 4 2" xfId="13700"/>
    <cellStyle name="一般 13 2 11 2 5" xfId="13695"/>
    <cellStyle name="一般 13 2 11 2_包裝指示書(裏)" xfId="4300"/>
    <cellStyle name="一般 13 2 11 3" xfId="4301"/>
    <cellStyle name="一般 13 2 11 3 2" xfId="4302"/>
    <cellStyle name="一般 13 2 11 3 2 2" xfId="13702"/>
    <cellStyle name="一般 13 2 11 3 3" xfId="13701"/>
    <cellStyle name="一般 13 2 11 4" xfId="4303"/>
    <cellStyle name="一般 13 2 11 4 2" xfId="4304"/>
    <cellStyle name="一般 13 2 11 4 2 2" xfId="13704"/>
    <cellStyle name="一般 13 2 11 4 3" xfId="13703"/>
    <cellStyle name="一般 13 2 11 5" xfId="4305"/>
    <cellStyle name="一般 13 2 11 5 2" xfId="13705"/>
    <cellStyle name="一般 13 2 11 6" xfId="13694"/>
    <cellStyle name="一般 13 2 11_包裝指示書(裏)" xfId="4306"/>
    <cellStyle name="一般 13 2 12" xfId="4307"/>
    <cellStyle name="一般 13 2 12 2" xfId="4308"/>
    <cellStyle name="一般 13 2 12 2 2" xfId="4309"/>
    <cellStyle name="一般 13 2 12 2 2 2" xfId="4310"/>
    <cellStyle name="一般 13 2 12 2 2 2 2" xfId="13709"/>
    <cellStyle name="一般 13 2 12 2 2 3" xfId="13708"/>
    <cellStyle name="一般 13 2 12 2 3" xfId="4311"/>
    <cellStyle name="一般 13 2 12 2 3 2" xfId="4312"/>
    <cellStyle name="一般 13 2 12 2 3 2 2" xfId="13711"/>
    <cellStyle name="一般 13 2 12 2 3 3" xfId="13710"/>
    <cellStyle name="一般 13 2 12 2 4" xfId="4313"/>
    <cellStyle name="一般 13 2 12 2 4 2" xfId="13712"/>
    <cellStyle name="一般 13 2 12 2 5" xfId="13707"/>
    <cellStyle name="一般 13 2 12 2_包裝指示書(裏)" xfId="4314"/>
    <cellStyle name="一般 13 2 12 3" xfId="4315"/>
    <cellStyle name="一般 13 2 12 3 2" xfId="4316"/>
    <cellStyle name="一般 13 2 12 3 2 2" xfId="13714"/>
    <cellStyle name="一般 13 2 12 3 3" xfId="13713"/>
    <cellStyle name="一般 13 2 12 4" xfId="4317"/>
    <cellStyle name="一般 13 2 12 4 2" xfId="4318"/>
    <cellStyle name="一般 13 2 12 4 2 2" xfId="13716"/>
    <cellStyle name="一般 13 2 12 4 3" xfId="13715"/>
    <cellStyle name="一般 13 2 12 5" xfId="4319"/>
    <cellStyle name="一般 13 2 12 5 2" xfId="13717"/>
    <cellStyle name="一般 13 2 12 6" xfId="13706"/>
    <cellStyle name="一般 13 2 12_包裝指示書(裏)" xfId="4320"/>
    <cellStyle name="一般 13 2 13" xfId="4321"/>
    <cellStyle name="一般 13 2 13 2" xfId="4322"/>
    <cellStyle name="一般 13 2 13 2 2" xfId="4323"/>
    <cellStyle name="一般 13 2 13 2 2 2" xfId="13720"/>
    <cellStyle name="一般 13 2 13 2 3" xfId="13719"/>
    <cellStyle name="一般 13 2 13 3" xfId="4324"/>
    <cellStyle name="一般 13 2 13 3 2" xfId="4325"/>
    <cellStyle name="一般 13 2 13 3 2 2" xfId="13722"/>
    <cellStyle name="一般 13 2 13 3 3" xfId="13721"/>
    <cellStyle name="一般 13 2 13 4" xfId="4326"/>
    <cellStyle name="一般 13 2 13 4 2" xfId="13723"/>
    <cellStyle name="一般 13 2 13 5" xfId="13718"/>
    <cellStyle name="一般 13 2 13_包裝指示書(裏)" xfId="4327"/>
    <cellStyle name="一般 13 2 14" xfId="4328"/>
    <cellStyle name="一般 13 2 14 2" xfId="4329"/>
    <cellStyle name="一般 13 2 14 2 2" xfId="13725"/>
    <cellStyle name="一般 13 2 14 3" xfId="13724"/>
    <cellStyle name="一般 13 2 15" xfId="4330"/>
    <cellStyle name="一般 13 2 15 2" xfId="13726"/>
    <cellStyle name="一般 13 2 16" xfId="11076"/>
    <cellStyle name="一般 13 2 2" xfId="1143"/>
    <cellStyle name="一般 13 2 2 10" xfId="4331"/>
    <cellStyle name="一般 13 2 2 10 2" xfId="4332"/>
    <cellStyle name="一般 13 2 2 10 2 2" xfId="13727"/>
    <cellStyle name="一般 13 2 2 11" xfId="4333"/>
    <cellStyle name="一般 13 2 2 11 2" xfId="4334"/>
    <cellStyle name="一般 13 2 2 11 2 2" xfId="13728"/>
    <cellStyle name="一般 13 2 2 12" xfId="4335"/>
    <cellStyle name="一般 13 2 2 12 2" xfId="4336"/>
    <cellStyle name="一般 13 2 2 12 2 2" xfId="4337"/>
    <cellStyle name="一般 13 2 2 12 2 2 2" xfId="13731"/>
    <cellStyle name="一般 13 2 2 12 2 3" xfId="13730"/>
    <cellStyle name="一般 13 2 2 12 3" xfId="4338"/>
    <cellStyle name="一般 13 2 2 12 3 2" xfId="4339"/>
    <cellStyle name="一般 13 2 2 12 3 2 2" xfId="13733"/>
    <cellStyle name="一般 13 2 2 12 3 3" xfId="13732"/>
    <cellStyle name="一般 13 2 2 12 4" xfId="4340"/>
    <cellStyle name="一般 13 2 2 12 4 2" xfId="13734"/>
    <cellStyle name="一般 13 2 2 12 5" xfId="13729"/>
    <cellStyle name="一般 13 2 2 12_包裝指示書(裏)" xfId="4341"/>
    <cellStyle name="一般 13 2 2 13" xfId="4342"/>
    <cellStyle name="一般 13 2 2 13 2" xfId="4343"/>
    <cellStyle name="一般 13 2 2 13 2 2" xfId="4344"/>
    <cellStyle name="一般 13 2 2 13 2 2 2" xfId="13737"/>
    <cellStyle name="一般 13 2 2 13 2 3" xfId="13736"/>
    <cellStyle name="一般 13 2 2 13 3" xfId="4345"/>
    <cellStyle name="一般 13 2 2 13 3 2" xfId="13738"/>
    <cellStyle name="一般 13 2 2 13 4" xfId="13735"/>
    <cellStyle name="一般 13 2 2 13_包裝指示書(裏)" xfId="4346"/>
    <cellStyle name="一般 13 2 2 14" xfId="4347"/>
    <cellStyle name="一般 13 2 2 14 2" xfId="4348"/>
    <cellStyle name="一般 13 2 2 14 2 2" xfId="13740"/>
    <cellStyle name="一般 13 2 2 14 3" xfId="13739"/>
    <cellStyle name="一般 13 2 2 15" xfId="4349"/>
    <cellStyle name="一般 13 2 2 15 2" xfId="13741"/>
    <cellStyle name="一般 13 2 2 16" xfId="11077"/>
    <cellStyle name="一般 13 2 2 2" xfId="4350"/>
    <cellStyle name="一般 13 2 2 2 10" xfId="4351"/>
    <cellStyle name="一般 13 2 2 2 10 2" xfId="4352"/>
    <cellStyle name="一般 13 2 2 2 10 2 2" xfId="4353"/>
    <cellStyle name="一般 13 2 2 2 10 2 2 2" xfId="4354"/>
    <cellStyle name="一般 13 2 2 2 10 2 2 2 2" xfId="13746"/>
    <cellStyle name="一般 13 2 2 2 10 2 2 3" xfId="13745"/>
    <cellStyle name="一般 13 2 2 2 10 2 3" xfId="4355"/>
    <cellStyle name="一般 13 2 2 2 10 2 3 2" xfId="4356"/>
    <cellStyle name="一般 13 2 2 2 10 2 3 2 2" xfId="13748"/>
    <cellStyle name="一般 13 2 2 2 10 2 3 3" xfId="13747"/>
    <cellStyle name="一般 13 2 2 2 10 2 4" xfId="4357"/>
    <cellStyle name="一般 13 2 2 2 10 2 4 2" xfId="13749"/>
    <cellStyle name="一般 13 2 2 2 10 2 5" xfId="13744"/>
    <cellStyle name="一般 13 2 2 2 10 2_包裝指示書(裏)" xfId="4358"/>
    <cellStyle name="一般 13 2 2 2 10 3" xfId="4359"/>
    <cellStyle name="一般 13 2 2 2 10 3 2" xfId="4360"/>
    <cellStyle name="一般 13 2 2 2 10 3 2 2" xfId="13751"/>
    <cellStyle name="一般 13 2 2 2 10 3 3" xfId="13750"/>
    <cellStyle name="一般 13 2 2 2 10 4" xfId="4361"/>
    <cellStyle name="一般 13 2 2 2 10 4 2" xfId="4362"/>
    <cellStyle name="一般 13 2 2 2 10 4 2 2" xfId="13753"/>
    <cellStyle name="一般 13 2 2 2 10 4 3" xfId="13752"/>
    <cellStyle name="一般 13 2 2 2 10 5" xfId="4363"/>
    <cellStyle name="一般 13 2 2 2 10 5 2" xfId="13754"/>
    <cellStyle name="一般 13 2 2 2 10 6" xfId="13743"/>
    <cellStyle name="一般 13 2 2 2 10_包裝指示書(裏)" xfId="4364"/>
    <cellStyle name="一般 13 2 2 2 11" xfId="4365"/>
    <cellStyle name="一般 13 2 2 2 11 2" xfId="4366"/>
    <cellStyle name="一般 13 2 2 2 11 2 2" xfId="4367"/>
    <cellStyle name="一般 13 2 2 2 11 2 2 2" xfId="13757"/>
    <cellStyle name="一般 13 2 2 2 11 2 3" xfId="13756"/>
    <cellStyle name="一般 13 2 2 2 11 3" xfId="4368"/>
    <cellStyle name="一般 13 2 2 2 11 3 2" xfId="4369"/>
    <cellStyle name="一般 13 2 2 2 11 3 2 2" xfId="13759"/>
    <cellStyle name="一般 13 2 2 2 11 3 3" xfId="13758"/>
    <cellStyle name="一般 13 2 2 2 11 4" xfId="4370"/>
    <cellStyle name="一般 13 2 2 2 11 4 2" xfId="13760"/>
    <cellStyle name="一般 13 2 2 2 11 5" xfId="13755"/>
    <cellStyle name="一般 13 2 2 2 11_包裝指示書(裏)" xfId="4371"/>
    <cellStyle name="一般 13 2 2 2 12" xfId="4372"/>
    <cellStyle name="一般 13 2 2 2 12 2" xfId="4373"/>
    <cellStyle name="一般 13 2 2 2 12 2 2" xfId="4374"/>
    <cellStyle name="一般 13 2 2 2 12 2 2 2" xfId="13763"/>
    <cellStyle name="一般 13 2 2 2 12 2 3" xfId="13762"/>
    <cellStyle name="一般 13 2 2 2 12 3" xfId="4375"/>
    <cellStyle name="一般 13 2 2 2 12 3 2" xfId="13764"/>
    <cellStyle name="一般 13 2 2 2 12 4" xfId="13761"/>
    <cellStyle name="一般 13 2 2 2 12_包裝指示書(裏)" xfId="4376"/>
    <cellStyle name="一般 13 2 2 2 13" xfId="4377"/>
    <cellStyle name="一般 13 2 2 2 13 2" xfId="4378"/>
    <cellStyle name="一般 13 2 2 2 13 2 2" xfId="13766"/>
    <cellStyle name="一般 13 2 2 2 13 3" xfId="13765"/>
    <cellStyle name="一般 13 2 2 2 14" xfId="4379"/>
    <cellStyle name="一般 13 2 2 2 14 2" xfId="4380"/>
    <cellStyle name="一般 13 2 2 2 14 2 2" xfId="13768"/>
    <cellStyle name="一般 13 2 2 2 14 3" xfId="13767"/>
    <cellStyle name="一般 13 2 2 2 15" xfId="4381"/>
    <cellStyle name="一般 13 2 2 2 15 2" xfId="13769"/>
    <cellStyle name="一般 13 2 2 2 16" xfId="13742"/>
    <cellStyle name="一般 13 2 2 2 2" xfId="4382"/>
    <cellStyle name="一般 13 2 2 2 2 10" xfId="13770"/>
    <cellStyle name="一般 13 2 2 2 2 2" xfId="4383"/>
    <cellStyle name="一般 13 2 2 2 2 2 2" xfId="4384"/>
    <cellStyle name="一般 13 2 2 2 2 2 2 2" xfId="4385"/>
    <cellStyle name="一般 13 2 2 2 2 2 2 2 2" xfId="4386"/>
    <cellStyle name="一般 13 2 2 2 2 2 2 2 2 2" xfId="13774"/>
    <cellStyle name="一般 13 2 2 2 2 2 2 2 3" xfId="13773"/>
    <cellStyle name="一般 13 2 2 2 2 2 2 3" xfId="4387"/>
    <cellStyle name="一般 13 2 2 2 2 2 2 3 2" xfId="13775"/>
    <cellStyle name="一般 13 2 2 2 2 2 2 4" xfId="13772"/>
    <cellStyle name="一般 13 2 2 2 2 2 2_包裝指示書(裏)" xfId="4388"/>
    <cellStyle name="一般 13 2 2 2 2 2 3" xfId="4389"/>
    <cellStyle name="一般 13 2 2 2 2 2 3 2" xfId="4390"/>
    <cellStyle name="一般 13 2 2 2 2 2 3 2 2" xfId="13777"/>
    <cellStyle name="一般 13 2 2 2 2 2 3 3" xfId="13776"/>
    <cellStyle name="一般 13 2 2 2 2 2 4" xfId="4391"/>
    <cellStyle name="一般 13 2 2 2 2 2 4 2" xfId="4392"/>
    <cellStyle name="一般 13 2 2 2 2 2 4 2 2" xfId="13779"/>
    <cellStyle name="一般 13 2 2 2 2 2 4 3" xfId="13778"/>
    <cellStyle name="一般 13 2 2 2 2 2 5" xfId="4393"/>
    <cellStyle name="一般 13 2 2 2 2 2 5 2" xfId="4394"/>
    <cellStyle name="一般 13 2 2 2 2 2 5 2 2" xfId="13781"/>
    <cellStyle name="一般 13 2 2 2 2 2 5 3" xfId="13780"/>
    <cellStyle name="一般 13 2 2 2 2 2 6" xfId="4395"/>
    <cellStyle name="一般 13 2 2 2 2 2 6 2" xfId="4396"/>
    <cellStyle name="一般 13 2 2 2 2 2 6 2 2" xfId="13783"/>
    <cellStyle name="一般 13 2 2 2 2 2 6 3" xfId="13782"/>
    <cellStyle name="一般 13 2 2 2 2 2 7" xfId="4397"/>
    <cellStyle name="一般 13 2 2 2 2 2 7 2" xfId="4398"/>
    <cellStyle name="一般 13 2 2 2 2 2 7 2 2" xfId="13785"/>
    <cellStyle name="一般 13 2 2 2 2 2 7 3" xfId="13784"/>
    <cellStyle name="一般 13 2 2 2 2 2 8" xfId="4399"/>
    <cellStyle name="一般 13 2 2 2 2 2 8 2" xfId="13786"/>
    <cellStyle name="一般 13 2 2 2 2 2 9" xfId="13771"/>
    <cellStyle name="一般 13 2 2 2 2 2_包裝指示書(裏)" xfId="4400"/>
    <cellStyle name="一般 13 2 2 2 2 3" xfId="4401"/>
    <cellStyle name="一般 13 2 2 2 2 3 2" xfId="4402"/>
    <cellStyle name="一般 13 2 2 2 2 3 2 2" xfId="4403"/>
    <cellStyle name="一般 13 2 2 2 2 3 2 2 2" xfId="13789"/>
    <cellStyle name="一般 13 2 2 2 2 3 2 3" xfId="13788"/>
    <cellStyle name="一般 13 2 2 2 2 3 3" xfId="4404"/>
    <cellStyle name="一般 13 2 2 2 2 3 3 2" xfId="13790"/>
    <cellStyle name="一般 13 2 2 2 2 3 4" xfId="4405"/>
    <cellStyle name="一般 13 2 2 2 2 3 4 2" xfId="13791"/>
    <cellStyle name="一般 13 2 2 2 2 3 5" xfId="4406"/>
    <cellStyle name="一般 13 2 2 2 2 3 5 2" xfId="13792"/>
    <cellStyle name="一般 13 2 2 2 2 3 6" xfId="13787"/>
    <cellStyle name="一般 13 2 2 2 2 3_包裝指示書(裏)" xfId="4407"/>
    <cellStyle name="一般 13 2 2 2 2 4" xfId="4408"/>
    <cellStyle name="一般 13 2 2 2 2 4 2" xfId="4409"/>
    <cellStyle name="一般 13 2 2 2 2 4 2 2" xfId="13794"/>
    <cellStyle name="一般 13 2 2 2 2 4 3" xfId="13793"/>
    <cellStyle name="一般 13 2 2 2 2 5" xfId="4410"/>
    <cellStyle name="一般 13 2 2 2 2 5 2" xfId="4411"/>
    <cellStyle name="一般 13 2 2 2 2 5 2 2" xfId="13796"/>
    <cellStyle name="一般 13 2 2 2 2 5 3" xfId="13795"/>
    <cellStyle name="一般 13 2 2 2 2 6" xfId="4412"/>
    <cellStyle name="一般 13 2 2 2 2 6 2" xfId="4413"/>
    <cellStyle name="一般 13 2 2 2 2 6 2 2" xfId="13798"/>
    <cellStyle name="一般 13 2 2 2 2 6 3" xfId="13797"/>
    <cellStyle name="一般 13 2 2 2 2 7" xfId="4414"/>
    <cellStyle name="一般 13 2 2 2 2 7 2" xfId="4415"/>
    <cellStyle name="一般 13 2 2 2 2 7 2 2" xfId="13800"/>
    <cellStyle name="一般 13 2 2 2 2 7 3" xfId="13799"/>
    <cellStyle name="一般 13 2 2 2 2 8" xfId="4416"/>
    <cellStyle name="一般 13 2 2 2 2 8 2" xfId="4417"/>
    <cellStyle name="一般 13 2 2 2 2 8 2 2" xfId="13802"/>
    <cellStyle name="一般 13 2 2 2 2 8 3" xfId="13801"/>
    <cellStyle name="一般 13 2 2 2 2 9" xfId="4418"/>
    <cellStyle name="一般 13 2 2 2 2 9 2" xfId="13803"/>
    <cellStyle name="一般 13 2 2 2 2_包裝指示書(裏)" xfId="4419"/>
    <cellStyle name="一般 13 2 2 2 3" xfId="4420"/>
    <cellStyle name="一般 13 2 2 2 3 10" xfId="13804"/>
    <cellStyle name="一般 13 2 2 2 3 2" xfId="4421"/>
    <cellStyle name="一般 13 2 2 2 3 2 2" xfId="4422"/>
    <cellStyle name="一般 13 2 2 2 3 2 2 2" xfId="4423"/>
    <cellStyle name="一般 13 2 2 2 3 2 2 2 2" xfId="4424"/>
    <cellStyle name="一般 13 2 2 2 3 2 2 2 2 2" xfId="13808"/>
    <cellStyle name="一般 13 2 2 2 3 2 2 2 3" xfId="13807"/>
    <cellStyle name="一般 13 2 2 2 3 2 2 3" xfId="4425"/>
    <cellStyle name="一般 13 2 2 2 3 2 2 3 2" xfId="13809"/>
    <cellStyle name="一般 13 2 2 2 3 2 2 4" xfId="13806"/>
    <cellStyle name="一般 13 2 2 2 3 2 2_包裝指示書(裏)" xfId="4426"/>
    <cellStyle name="一般 13 2 2 2 3 2 3" xfId="4427"/>
    <cellStyle name="一般 13 2 2 2 3 2 3 2" xfId="4428"/>
    <cellStyle name="一般 13 2 2 2 3 2 3 2 2" xfId="13811"/>
    <cellStyle name="一般 13 2 2 2 3 2 3 3" xfId="13810"/>
    <cellStyle name="一般 13 2 2 2 3 2 4" xfId="4429"/>
    <cellStyle name="一般 13 2 2 2 3 2 4 2" xfId="4430"/>
    <cellStyle name="一般 13 2 2 2 3 2 4 2 2" xfId="13813"/>
    <cellStyle name="一般 13 2 2 2 3 2 4 3" xfId="13812"/>
    <cellStyle name="一般 13 2 2 2 3 2 5" xfId="4431"/>
    <cellStyle name="一般 13 2 2 2 3 2 5 2" xfId="4432"/>
    <cellStyle name="一般 13 2 2 2 3 2 5 2 2" xfId="13815"/>
    <cellStyle name="一般 13 2 2 2 3 2 5 3" xfId="13814"/>
    <cellStyle name="一般 13 2 2 2 3 2 6" xfId="4433"/>
    <cellStyle name="一般 13 2 2 2 3 2 6 2" xfId="4434"/>
    <cellStyle name="一般 13 2 2 2 3 2 6 2 2" xfId="13817"/>
    <cellStyle name="一般 13 2 2 2 3 2 6 3" xfId="13816"/>
    <cellStyle name="一般 13 2 2 2 3 2 7" xfId="4435"/>
    <cellStyle name="一般 13 2 2 2 3 2 7 2" xfId="4436"/>
    <cellStyle name="一般 13 2 2 2 3 2 7 2 2" xfId="13819"/>
    <cellStyle name="一般 13 2 2 2 3 2 7 3" xfId="13818"/>
    <cellStyle name="一般 13 2 2 2 3 2 8" xfId="4437"/>
    <cellStyle name="一般 13 2 2 2 3 2 8 2" xfId="13820"/>
    <cellStyle name="一般 13 2 2 2 3 2 9" xfId="13805"/>
    <cellStyle name="一般 13 2 2 2 3 2_包裝指示書(裏)" xfId="4438"/>
    <cellStyle name="一般 13 2 2 2 3 3" xfId="4439"/>
    <cellStyle name="一般 13 2 2 2 3 3 2" xfId="4440"/>
    <cellStyle name="一般 13 2 2 2 3 3 2 2" xfId="4441"/>
    <cellStyle name="一般 13 2 2 2 3 3 2 2 2" xfId="13823"/>
    <cellStyle name="一般 13 2 2 2 3 3 2 3" xfId="13822"/>
    <cellStyle name="一般 13 2 2 2 3 3 3" xfId="4442"/>
    <cellStyle name="一般 13 2 2 2 3 3 3 2" xfId="13824"/>
    <cellStyle name="一般 13 2 2 2 3 3 4" xfId="4443"/>
    <cellStyle name="一般 13 2 2 2 3 3 4 2" xfId="13825"/>
    <cellStyle name="一般 13 2 2 2 3 3 5" xfId="4444"/>
    <cellStyle name="一般 13 2 2 2 3 3 5 2" xfId="13826"/>
    <cellStyle name="一般 13 2 2 2 3 3 6" xfId="13821"/>
    <cellStyle name="一般 13 2 2 2 3 3_包裝指示書(裏)" xfId="4445"/>
    <cellStyle name="一般 13 2 2 2 3 4" xfId="4446"/>
    <cellStyle name="一般 13 2 2 2 3 4 2" xfId="4447"/>
    <cellStyle name="一般 13 2 2 2 3 4 2 2" xfId="13828"/>
    <cellStyle name="一般 13 2 2 2 3 4 3" xfId="13827"/>
    <cellStyle name="一般 13 2 2 2 3 5" xfId="4448"/>
    <cellStyle name="一般 13 2 2 2 3 5 2" xfId="4449"/>
    <cellStyle name="一般 13 2 2 2 3 5 2 2" xfId="13830"/>
    <cellStyle name="一般 13 2 2 2 3 5 3" xfId="13829"/>
    <cellStyle name="一般 13 2 2 2 3 6" xfId="4450"/>
    <cellStyle name="一般 13 2 2 2 3 6 2" xfId="4451"/>
    <cellStyle name="一般 13 2 2 2 3 6 2 2" xfId="13832"/>
    <cellStyle name="一般 13 2 2 2 3 6 3" xfId="13831"/>
    <cellStyle name="一般 13 2 2 2 3 7" xfId="4452"/>
    <cellStyle name="一般 13 2 2 2 3 7 2" xfId="4453"/>
    <cellStyle name="一般 13 2 2 2 3 7 2 2" xfId="13834"/>
    <cellStyle name="一般 13 2 2 2 3 7 3" xfId="13833"/>
    <cellStyle name="一般 13 2 2 2 3 8" xfId="4454"/>
    <cellStyle name="一般 13 2 2 2 3 8 2" xfId="4455"/>
    <cellStyle name="一般 13 2 2 2 3 8 2 2" xfId="13836"/>
    <cellStyle name="一般 13 2 2 2 3 8 3" xfId="13835"/>
    <cellStyle name="一般 13 2 2 2 3 9" xfId="4456"/>
    <cellStyle name="一般 13 2 2 2 3 9 2" xfId="13837"/>
    <cellStyle name="一般 13 2 2 2 3_包裝指示書(裏)" xfId="4457"/>
    <cellStyle name="一般 13 2 2 2 4" xfId="4458"/>
    <cellStyle name="一般 13 2 2 2 4 2" xfId="4459"/>
    <cellStyle name="一般 13 2 2 2 4 2 2" xfId="4460"/>
    <cellStyle name="一般 13 2 2 2 4 2 2 2" xfId="4461"/>
    <cellStyle name="一般 13 2 2 2 4 2 2 2 2" xfId="4462"/>
    <cellStyle name="一般 13 2 2 2 4 2 2 2 2 2" xfId="13842"/>
    <cellStyle name="一般 13 2 2 2 4 2 2 2 3" xfId="13841"/>
    <cellStyle name="一般 13 2 2 2 4 2 2 3" xfId="4463"/>
    <cellStyle name="一般 13 2 2 2 4 2 2 3 2" xfId="13843"/>
    <cellStyle name="一般 13 2 2 2 4 2 2 4" xfId="13840"/>
    <cellStyle name="一般 13 2 2 2 4 2 2_包裝指示書(裏)" xfId="4464"/>
    <cellStyle name="一般 13 2 2 2 4 2 3" xfId="4465"/>
    <cellStyle name="一般 13 2 2 2 4 2 3 2" xfId="4466"/>
    <cellStyle name="一般 13 2 2 2 4 2 3 2 2" xfId="13845"/>
    <cellStyle name="一般 13 2 2 2 4 2 3 3" xfId="13844"/>
    <cellStyle name="一般 13 2 2 2 4 2 4" xfId="4467"/>
    <cellStyle name="一般 13 2 2 2 4 2 4 2" xfId="13846"/>
    <cellStyle name="一般 13 2 2 2 4 2 5" xfId="4468"/>
    <cellStyle name="一般 13 2 2 2 4 2 5 2" xfId="13847"/>
    <cellStyle name="一般 13 2 2 2 4 2 6" xfId="13839"/>
    <cellStyle name="一般 13 2 2 2 4 2_包裝指示書(裏)" xfId="4469"/>
    <cellStyle name="一般 13 2 2 2 4 3" xfId="4470"/>
    <cellStyle name="一般 13 2 2 2 4 3 2" xfId="4471"/>
    <cellStyle name="一般 13 2 2 2 4 3 2 2" xfId="4472"/>
    <cellStyle name="一般 13 2 2 2 4 3 2 2 2" xfId="13850"/>
    <cellStyle name="一般 13 2 2 2 4 3 2 3" xfId="13849"/>
    <cellStyle name="一般 13 2 2 2 4 3 3" xfId="4473"/>
    <cellStyle name="一般 13 2 2 2 4 3 3 2" xfId="13851"/>
    <cellStyle name="一般 13 2 2 2 4 3 4" xfId="4474"/>
    <cellStyle name="一般 13 2 2 2 4 3 4 2" xfId="13852"/>
    <cellStyle name="一般 13 2 2 2 4 3 5" xfId="4475"/>
    <cellStyle name="一般 13 2 2 2 4 3 5 2" xfId="13853"/>
    <cellStyle name="一般 13 2 2 2 4 3 6" xfId="13848"/>
    <cellStyle name="一般 13 2 2 2 4 3_包裝指示書(裏)" xfId="4476"/>
    <cellStyle name="一般 13 2 2 2 4 4" xfId="4477"/>
    <cellStyle name="一般 13 2 2 2 4 4 2" xfId="4478"/>
    <cellStyle name="一般 13 2 2 2 4 4 2 2" xfId="13855"/>
    <cellStyle name="一般 13 2 2 2 4 4 3" xfId="13854"/>
    <cellStyle name="一般 13 2 2 2 4 5" xfId="4479"/>
    <cellStyle name="一般 13 2 2 2 4 5 2" xfId="4480"/>
    <cellStyle name="一般 13 2 2 2 4 5 2 2" xfId="13857"/>
    <cellStyle name="一般 13 2 2 2 4 5 3" xfId="13856"/>
    <cellStyle name="一般 13 2 2 2 4 6" xfId="4481"/>
    <cellStyle name="一般 13 2 2 2 4 6 2" xfId="4482"/>
    <cellStyle name="一般 13 2 2 2 4 6 2 2" xfId="13859"/>
    <cellStyle name="一般 13 2 2 2 4 6 3" xfId="13858"/>
    <cellStyle name="一般 13 2 2 2 4 7" xfId="4483"/>
    <cellStyle name="一般 13 2 2 2 4 7 2" xfId="4484"/>
    <cellStyle name="一般 13 2 2 2 4 7 2 2" xfId="13861"/>
    <cellStyle name="一般 13 2 2 2 4 7 3" xfId="13860"/>
    <cellStyle name="一般 13 2 2 2 4 8" xfId="4485"/>
    <cellStyle name="一般 13 2 2 2 4 8 2" xfId="13862"/>
    <cellStyle name="一般 13 2 2 2 4 9" xfId="13838"/>
    <cellStyle name="一般 13 2 2 2 4_包裝指示書(裏)" xfId="4486"/>
    <cellStyle name="一般 13 2 2 2 5" xfId="4487"/>
    <cellStyle name="一般 13 2 2 2 5 2" xfId="4488"/>
    <cellStyle name="一般 13 2 2 2 5 2 2" xfId="4489"/>
    <cellStyle name="一般 13 2 2 2 5 2 2 2" xfId="4490"/>
    <cellStyle name="一般 13 2 2 2 5 2 2 2 2" xfId="4491"/>
    <cellStyle name="一般 13 2 2 2 5 2 2 2 2 2" xfId="13867"/>
    <cellStyle name="一般 13 2 2 2 5 2 2 2 3" xfId="13866"/>
    <cellStyle name="一般 13 2 2 2 5 2 2 3" xfId="4492"/>
    <cellStyle name="一般 13 2 2 2 5 2 2 3 2" xfId="13868"/>
    <cellStyle name="一般 13 2 2 2 5 2 2 4" xfId="13865"/>
    <cellStyle name="一般 13 2 2 2 5 2 2_包裝指示書(裏)" xfId="4493"/>
    <cellStyle name="一般 13 2 2 2 5 2 3" xfId="4494"/>
    <cellStyle name="一般 13 2 2 2 5 2 3 2" xfId="4495"/>
    <cellStyle name="一般 13 2 2 2 5 2 3 2 2" xfId="13870"/>
    <cellStyle name="一般 13 2 2 2 5 2 3 3" xfId="13869"/>
    <cellStyle name="一般 13 2 2 2 5 2 4" xfId="4496"/>
    <cellStyle name="一般 13 2 2 2 5 2 4 2" xfId="13871"/>
    <cellStyle name="一般 13 2 2 2 5 2 5" xfId="4497"/>
    <cellStyle name="一般 13 2 2 2 5 2 5 2" xfId="13872"/>
    <cellStyle name="一般 13 2 2 2 5 2 6" xfId="13864"/>
    <cellStyle name="一般 13 2 2 2 5 2_包裝指示書(裏)" xfId="4498"/>
    <cellStyle name="一般 13 2 2 2 5 3" xfId="4499"/>
    <cellStyle name="一般 13 2 2 2 5 3 2" xfId="4500"/>
    <cellStyle name="一般 13 2 2 2 5 3 2 2" xfId="4501"/>
    <cellStyle name="一般 13 2 2 2 5 3 2 2 2" xfId="13875"/>
    <cellStyle name="一般 13 2 2 2 5 3 2 3" xfId="13874"/>
    <cellStyle name="一般 13 2 2 2 5 3 3" xfId="4502"/>
    <cellStyle name="一般 13 2 2 2 5 3 3 2" xfId="13876"/>
    <cellStyle name="一般 13 2 2 2 5 3 4" xfId="4503"/>
    <cellStyle name="一般 13 2 2 2 5 3 4 2" xfId="13877"/>
    <cellStyle name="一般 13 2 2 2 5 3 5" xfId="4504"/>
    <cellStyle name="一般 13 2 2 2 5 3 5 2" xfId="13878"/>
    <cellStyle name="一般 13 2 2 2 5 3 6" xfId="13873"/>
    <cellStyle name="一般 13 2 2 2 5 3_包裝指示書(裏)" xfId="4505"/>
    <cellStyle name="一般 13 2 2 2 5 4" xfId="4506"/>
    <cellStyle name="一般 13 2 2 2 5 4 2" xfId="4507"/>
    <cellStyle name="一般 13 2 2 2 5 4 2 2" xfId="13880"/>
    <cellStyle name="一般 13 2 2 2 5 4 3" xfId="13879"/>
    <cellStyle name="一般 13 2 2 2 5 5" xfId="4508"/>
    <cellStyle name="一般 13 2 2 2 5 5 2" xfId="4509"/>
    <cellStyle name="一般 13 2 2 2 5 5 2 2" xfId="13882"/>
    <cellStyle name="一般 13 2 2 2 5 5 3" xfId="13881"/>
    <cellStyle name="一般 13 2 2 2 5 6" xfId="4510"/>
    <cellStyle name="一般 13 2 2 2 5 6 2" xfId="4511"/>
    <cellStyle name="一般 13 2 2 2 5 6 2 2" xfId="13884"/>
    <cellStyle name="一般 13 2 2 2 5 6 3" xfId="13883"/>
    <cellStyle name="一般 13 2 2 2 5 7" xfId="4512"/>
    <cellStyle name="一般 13 2 2 2 5 7 2" xfId="4513"/>
    <cellStyle name="一般 13 2 2 2 5 7 2 2" xfId="13886"/>
    <cellStyle name="一般 13 2 2 2 5 7 3" xfId="13885"/>
    <cellStyle name="一般 13 2 2 2 5 8" xfId="4514"/>
    <cellStyle name="一般 13 2 2 2 5 8 2" xfId="13887"/>
    <cellStyle name="一般 13 2 2 2 5 9" xfId="13863"/>
    <cellStyle name="一般 13 2 2 2 5_包裝指示書(裏)" xfId="4515"/>
    <cellStyle name="一般 13 2 2 2 6" xfId="4516"/>
    <cellStyle name="一般 13 2 2 2 6 2" xfId="4517"/>
    <cellStyle name="一般 13 2 2 2 6 2 2" xfId="4518"/>
    <cellStyle name="一般 13 2 2 2 6 2 2 2" xfId="4519"/>
    <cellStyle name="一般 13 2 2 2 6 2 2 2 2" xfId="4520"/>
    <cellStyle name="一般 13 2 2 2 6 2 2 2 2 2" xfId="13892"/>
    <cellStyle name="一般 13 2 2 2 6 2 2 2 3" xfId="13891"/>
    <cellStyle name="一般 13 2 2 2 6 2 2 3" xfId="4521"/>
    <cellStyle name="一般 13 2 2 2 6 2 2 3 2" xfId="13893"/>
    <cellStyle name="一般 13 2 2 2 6 2 2 4" xfId="13890"/>
    <cellStyle name="一般 13 2 2 2 6 2 2_包裝指示書(裏)" xfId="4522"/>
    <cellStyle name="一般 13 2 2 2 6 2 3" xfId="4523"/>
    <cellStyle name="一般 13 2 2 2 6 2 3 2" xfId="4524"/>
    <cellStyle name="一般 13 2 2 2 6 2 3 2 2" xfId="13895"/>
    <cellStyle name="一般 13 2 2 2 6 2 3 3" xfId="13894"/>
    <cellStyle name="一般 13 2 2 2 6 2 4" xfId="4525"/>
    <cellStyle name="一般 13 2 2 2 6 2 4 2" xfId="13896"/>
    <cellStyle name="一般 13 2 2 2 6 2 5" xfId="4526"/>
    <cellStyle name="一般 13 2 2 2 6 2 5 2" xfId="13897"/>
    <cellStyle name="一般 13 2 2 2 6 2 6" xfId="13889"/>
    <cellStyle name="一般 13 2 2 2 6 2_包裝指示書(裏)" xfId="4527"/>
    <cellStyle name="一般 13 2 2 2 6 3" xfId="4528"/>
    <cellStyle name="一般 13 2 2 2 6 3 2" xfId="4529"/>
    <cellStyle name="一般 13 2 2 2 6 3 2 2" xfId="4530"/>
    <cellStyle name="一般 13 2 2 2 6 3 2 2 2" xfId="13900"/>
    <cellStyle name="一般 13 2 2 2 6 3 2 3" xfId="13899"/>
    <cellStyle name="一般 13 2 2 2 6 3 3" xfId="4531"/>
    <cellStyle name="一般 13 2 2 2 6 3 3 2" xfId="13901"/>
    <cellStyle name="一般 13 2 2 2 6 3 4" xfId="4532"/>
    <cellStyle name="一般 13 2 2 2 6 3 4 2" xfId="13902"/>
    <cellStyle name="一般 13 2 2 2 6 3 5" xfId="4533"/>
    <cellStyle name="一般 13 2 2 2 6 3 5 2" xfId="13903"/>
    <cellStyle name="一般 13 2 2 2 6 3 6" xfId="13898"/>
    <cellStyle name="一般 13 2 2 2 6 3_包裝指示書(裏)" xfId="4534"/>
    <cellStyle name="一般 13 2 2 2 6 4" xfId="4535"/>
    <cellStyle name="一般 13 2 2 2 6 4 2" xfId="4536"/>
    <cellStyle name="一般 13 2 2 2 6 4 2 2" xfId="13905"/>
    <cellStyle name="一般 13 2 2 2 6 4 3" xfId="13904"/>
    <cellStyle name="一般 13 2 2 2 6 5" xfId="4537"/>
    <cellStyle name="一般 13 2 2 2 6 5 2" xfId="4538"/>
    <cellStyle name="一般 13 2 2 2 6 5 2 2" xfId="13907"/>
    <cellStyle name="一般 13 2 2 2 6 5 3" xfId="13906"/>
    <cellStyle name="一般 13 2 2 2 6 6" xfId="4539"/>
    <cellStyle name="一般 13 2 2 2 6 6 2" xfId="4540"/>
    <cellStyle name="一般 13 2 2 2 6 6 2 2" xfId="13909"/>
    <cellStyle name="一般 13 2 2 2 6 6 3" xfId="13908"/>
    <cellStyle name="一般 13 2 2 2 6 7" xfId="4541"/>
    <cellStyle name="一般 13 2 2 2 6 7 2" xfId="4542"/>
    <cellStyle name="一般 13 2 2 2 6 7 2 2" xfId="13911"/>
    <cellStyle name="一般 13 2 2 2 6 7 3" xfId="13910"/>
    <cellStyle name="一般 13 2 2 2 6 8" xfId="4543"/>
    <cellStyle name="一般 13 2 2 2 6 8 2" xfId="13912"/>
    <cellStyle name="一般 13 2 2 2 6 9" xfId="13888"/>
    <cellStyle name="一般 13 2 2 2 6_包裝指示書(裏)" xfId="4544"/>
    <cellStyle name="一般 13 2 2 2 7" xfId="4545"/>
    <cellStyle name="一般 13 2 2 2 7 2" xfId="4546"/>
    <cellStyle name="一般 13 2 2 2 7 2 2" xfId="4547"/>
    <cellStyle name="一般 13 2 2 2 7 2 2 2" xfId="4548"/>
    <cellStyle name="一般 13 2 2 2 7 2 2 2 2" xfId="4549"/>
    <cellStyle name="一般 13 2 2 2 7 2 2 2 2 2" xfId="13917"/>
    <cellStyle name="一般 13 2 2 2 7 2 2 2 3" xfId="13916"/>
    <cellStyle name="一般 13 2 2 2 7 2 2 3" xfId="4550"/>
    <cellStyle name="一般 13 2 2 2 7 2 2 3 2" xfId="13918"/>
    <cellStyle name="一般 13 2 2 2 7 2 2 4" xfId="13915"/>
    <cellStyle name="一般 13 2 2 2 7 2 2_包裝指示書(裏)" xfId="4551"/>
    <cellStyle name="一般 13 2 2 2 7 2 3" xfId="4552"/>
    <cellStyle name="一般 13 2 2 2 7 2 3 2" xfId="4553"/>
    <cellStyle name="一般 13 2 2 2 7 2 3 2 2" xfId="13920"/>
    <cellStyle name="一般 13 2 2 2 7 2 3 3" xfId="13919"/>
    <cellStyle name="一般 13 2 2 2 7 2 4" xfId="4554"/>
    <cellStyle name="一般 13 2 2 2 7 2 4 2" xfId="13921"/>
    <cellStyle name="一般 13 2 2 2 7 2 5" xfId="13914"/>
    <cellStyle name="一般 13 2 2 2 7 2_包裝指示書(裏)" xfId="4555"/>
    <cellStyle name="一般 13 2 2 2 7 3" xfId="4556"/>
    <cellStyle name="一般 13 2 2 2 7 3 2" xfId="4557"/>
    <cellStyle name="一般 13 2 2 2 7 3 2 2" xfId="4558"/>
    <cellStyle name="一般 13 2 2 2 7 3 2 2 2" xfId="13924"/>
    <cellStyle name="一般 13 2 2 2 7 3 2 3" xfId="13923"/>
    <cellStyle name="一般 13 2 2 2 7 3 3" xfId="4559"/>
    <cellStyle name="一般 13 2 2 2 7 3 3 2" xfId="13925"/>
    <cellStyle name="一般 13 2 2 2 7 3 4" xfId="13922"/>
    <cellStyle name="一般 13 2 2 2 7 3_包裝指示書(裏)" xfId="4560"/>
    <cellStyle name="一般 13 2 2 2 7 4" xfId="4561"/>
    <cellStyle name="一般 13 2 2 2 7 4 2" xfId="4562"/>
    <cellStyle name="一般 13 2 2 2 7 4 2 2" xfId="13927"/>
    <cellStyle name="一般 13 2 2 2 7 4 3" xfId="13926"/>
    <cellStyle name="一般 13 2 2 2 7 5" xfId="4563"/>
    <cellStyle name="一般 13 2 2 2 7 5 2" xfId="4564"/>
    <cellStyle name="一般 13 2 2 2 7 5 2 2" xfId="13929"/>
    <cellStyle name="一般 13 2 2 2 7 5 3" xfId="13928"/>
    <cellStyle name="一般 13 2 2 2 7 6" xfId="4565"/>
    <cellStyle name="一般 13 2 2 2 7 6 2" xfId="4566"/>
    <cellStyle name="一般 13 2 2 2 7 6 2 2" xfId="13931"/>
    <cellStyle name="一般 13 2 2 2 7 6 3" xfId="13930"/>
    <cellStyle name="一般 13 2 2 2 7 7" xfId="4567"/>
    <cellStyle name="一般 13 2 2 2 7 7 2" xfId="4568"/>
    <cellStyle name="一般 13 2 2 2 7 7 2 2" xfId="13933"/>
    <cellStyle name="一般 13 2 2 2 7 7 3" xfId="13932"/>
    <cellStyle name="一般 13 2 2 2 7 8" xfId="4569"/>
    <cellStyle name="一般 13 2 2 2 7 8 2" xfId="13934"/>
    <cellStyle name="一般 13 2 2 2 7 9" xfId="13913"/>
    <cellStyle name="一般 13 2 2 2 7_包裝指示書(裏)" xfId="4570"/>
    <cellStyle name="一般 13 2 2 2 8" xfId="4571"/>
    <cellStyle name="一般 13 2 2 2 8 2" xfId="4572"/>
    <cellStyle name="一般 13 2 2 2 8 2 2" xfId="4573"/>
    <cellStyle name="一般 13 2 2 2 8 2 2 2" xfId="4574"/>
    <cellStyle name="一般 13 2 2 2 8 2 2 2 2" xfId="13938"/>
    <cellStyle name="一般 13 2 2 2 8 2 2 3" xfId="13937"/>
    <cellStyle name="一般 13 2 2 2 8 2 3" xfId="4575"/>
    <cellStyle name="一般 13 2 2 2 8 2 3 2" xfId="4576"/>
    <cellStyle name="一般 13 2 2 2 8 2 3 2 2" xfId="13940"/>
    <cellStyle name="一般 13 2 2 2 8 2 3 3" xfId="13939"/>
    <cellStyle name="一般 13 2 2 2 8 2 4" xfId="4577"/>
    <cellStyle name="一般 13 2 2 2 8 2 4 2" xfId="13941"/>
    <cellStyle name="一般 13 2 2 2 8 2 5" xfId="13936"/>
    <cellStyle name="一般 13 2 2 2 8 2_包裝指示書(裏)" xfId="4578"/>
    <cellStyle name="一般 13 2 2 2 8 3" xfId="4579"/>
    <cellStyle name="一般 13 2 2 2 8 3 2" xfId="4580"/>
    <cellStyle name="一般 13 2 2 2 8 3 2 2" xfId="4581"/>
    <cellStyle name="一般 13 2 2 2 8 3 2 2 2" xfId="13944"/>
    <cellStyle name="一般 13 2 2 2 8 3 2 3" xfId="13943"/>
    <cellStyle name="一般 13 2 2 2 8 3 3" xfId="4582"/>
    <cellStyle name="一般 13 2 2 2 8 3 3 2" xfId="13945"/>
    <cellStyle name="一般 13 2 2 2 8 3 4" xfId="13942"/>
    <cellStyle name="一般 13 2 2 2 8 3_包裝指示書(裏)" xfId="4583"/>
    <cellStyle name="一般 13 2 2 2 8 4" xfId="4584"/>
    <cellStyle name="一般 13 2 2 2 8 4 2" xfId="4585"/>
    <cellStyle name="一般 13 2 2 2 8 4 2 2" xfId="13947"/>
    <cellStyle name="一般 13 2 2 2 8 4 3" xfId="13946"/>
    <cellStyle name="一般 13 2 2 2 8 5" xfId="4586"/>
    <cellStyle name="一般 13 2 2 2 8 5 2" xfId="13948"/>
    <cellStyle name="一般 13 2 2 2 8 6" xfId="13935"/>
    <cellStyle name="一般 13 2 2 2 8_包裝指示書(裏)" xfId="4587"/>
    <cellStyle name="一般 13 2 2 2 9" xfId="4588"/>
    <cellStyle name="一般 13 2 2 2 9 2" xfId="4589"/>
    <cellStyle name="一般 13 2 2 2 9 2 2" xfId="4590"/>
    <cellStyle name="一般 13 2 2 2 9 2 2 2" xfId="4591"/>
    <cellStyle name="一般 13 2 2 2 9 2 2 2 2" xfId="13952"/>
    <cellStyle name="一般 13 2 2 2 9 2 2 3" xfId="13951"/>
    <cellStyle name="一般 13 2 2 2 9 2 3" xfId="4592"/>
    <cellStyle name="一般 13 2 2 2 9 2 3 2" xfId="4593"/>
    <cellStyle name="一般 13 2 2 2 9 2 3 2 2" xfId="13954"/>
    <cellStyle name="一般 13 2 2 2 9 2 3 3" xfId="13953"/>
    <cellStyle name="一般 13 2 2 2 9 2 4" xfId="4594"/>
    <cellStyle name="一般 13 2 2 2 9 2 4 2" xfId="13955"/>
    <cellStyle name="一般 13 2 2 2 9 2 5" xfId="13950"/>
    <cellStyle name="一般 13 2 2 2 9 2_包裝指示書(裏)" xfId="4595"/>
    <cellStyle name="一般 13 2 2 2 9 3" xfId="4596"/>
    <cellStyle name="一般 13 2 2 2 9 3 2" xfId="4597"/>
    <cellStyle name="一般 13 2 2 2 9 3 2 2" xfId="13957"/>
    <cellStyle name="一般 13 2 2 2 9 3 3" xfId="13956"/>
    <cellStyle name="一般 13 2 2 2 9 4" xfId="4598"/>
    <cellStyle name="一般 13 2 2 2 9 4 2" xfId="4599"/>
    <cellStyle name="一般 13 2 2 2 9 4 2 2" xfId="13959"/>
    <cellStyle name="一般 13 2 2 2 9 4 3" xfId="13958"/>
    <cellStyle name="一般 13 2 2 2 9 5" xfId="4600"/>
    <cellStyle name="一般 13 2 2 2 9 5 2" xfId="13960"/>
    <cellStyle name="一般 13 2 2 2 9 6" xfId="13949"/>
    <cellStyle name="一般 13 2 2 2 9_包裝指示書(裏)" xfId="4601"/>
    <cellStyle name="一般 13 2 2 2_包裝指示書(裏)" xfId="4602"/>
    <cellStyle name="一般 13 2 2 3" xfId="4603"/>
    <cellStyle name="一般 13 2 2 3 10" xfId="13961"/>
    <cellStyle name="一般 13 2 2 3 2" xfId="4604"/>
    <cellStyle name="一般 13 2 2 3 2 2" xfId="4605"/>
    <cellStyle name="一般 13 2 2 3 2 2 2" xfId="4606"/>
    <cellStyle name="一般 13 2 2 3 2 2 2 2" xfId="4607"/>
    <cellStyle name="一般 13 2 2 3 2 2 2 2 2" xfId="13965"/>
    <cellStyle name="一般 13 2 2 3 2 2 2 3" xfId="13964"/>
    <cellStyle name="一般 13 2 2 3 2 2 3" xfId="4608"/>
    <cellStyle name="一般 13 2 2 3 2 2 3 2" xfId="13966"/>
    <cellStyle name="一般 13 2 2 3 2 2 4" xfId="13963"/>
    <cellStyle name="一般 13 2 2 3 2 2_包裝指示書(裏)" xfId="4609"/>
    <cellStyle name="一般 13 2 2 3 2 3" xfId="4610"/>
    <cellStyle name="一般 13 2 2 3 2 3 2" xfId="4611"/>
    <cellStyle name="一般 13 2 2 3 2 3 2 2" xfId="13968"/>
    <cellStyle name="一般 13 2 2 3 2 3 3" xfId="13967"/>
    <cellStyle name="一般 13 2 2 3 2 4" xfId="4612"/>
    <cellStyle name="一般 13 2 2 3 2 4 2" xfId="4613"/>
    <cellStyle name="一般 13 2 2 3 2 4 2 2" xfId="13970"/>
    <cellStyle name="一般 13 2 2 3 2 4 3" xfId="13969"/>
    <cellStyle name="一般 13 2 2 3 2 5" xfId="4614"/>
    <cellStyle name="一般 13 2 2 3 2 5 2" xfId="4615"/>
    <cellStyle name="一般 13 2 2 3 2 5 2 2" xfId="13972"/>
    <cellStyle name="一般 13 2 2 3 2 5 3" xfId="13971"/>
    <cellStyle name="一般 13 2 2 3 2 6" xfId="4616"/>
    <cellStyle name="一般 13 2 2 3 2 6 2" xfId="4617"/>
    <cellStyle name="一般 13 2 2 3 2 6 2 2" xfId="13974"/>
    <cellStyle name="一般 13 2 2 3 2 6 3" xfId="13973"/>
    <cellStyle name="一般 13 2 2 3 2 7" xfId="4618"/>
    <cellStyle name="一般 13 2 2 3 2 7 2" xfId="4619"/>
    <cellStyle name="一般 13 2 2 3 2 7 2 2" xfId="13976"/>
    <cellStyle name="一般 13 2 2 3 2 7 3" xfId="13975"/>
    <cellStyle name="一般 13 2 2 3 2 8" xfId="4620"/>
    <cellStyle name="一般 13 2 2 3 2 8 2" xfId="13977"/>
    <cellStyle name="一般 13 2 2 3 2 9" xfId="13962"/>
    <cellStyle name="一般 13 2 2 3 2_包裝指示書(裏)" xfId="4621"/>
    <cellStyle name="一般 13 2 2 3 3" xfId="4622"/>
    <cellStyle name="一般 13 2 2 3 3 2" xfId="4623"/>
    <cellStyle name="一般 13 2 2 3 3 3" xfId="4624"/>
    <cellStyle name="一般 13 2 2 3 3 3 2" xfId="13979"/>
    <cellStyle name="一般 13 2 2 3 3 4" xfId="4625"/>
    <cellStyle name="一般 13 2 2 3 3 4 2" xfId="13980"/>
    <cellStyle name="一般 13 2 2 3 3 5" xfId="4626"/>
    <cellStyle name="一般 13 2 2 3 3 5 2" xfId="13981"/>
    <cellStyle name="一般 13 2 2 3 3 6" xfId="13978"/>
    <cellStyle name="一般 13 2 2 3 3_包裝指示書(裏)" xfId="4627"/>
    <cellStyle name="一般 13 2 2 3 4" xfId="4628"/>
    <cellStyle name="一般 13 2 2 3 4 2" xfId="4629"/>
    <cellStyle name="一般 13 2 2 3 4 2 2" xfId="13983"/>
    <cellStyle name="一般 13 2 2 3 4 3" xfId="13982"/>
    <cellStyle name="一般 13 2 2 3 5" xfId="4630"/>
    <cellStyle name="一般 13 2 2 3 5 2" xfId="4631"/>
    <cellStyle name="一般 13 2 2 3 5 2 2" xfId="13985"/>
    <cellStyle name="一般 13 2 2 3 5 3" xfId="13984"/>
    <cellStyle name="一般 13 2 2 3 6" xfId="4632"/>
    <cellStyle name="一般 13 2 2 3 6 2" xfId="4633"/>
    <cellStyle name="一般 13 2 2 3 6 2 2" xfId="13987"/>
    <cellStyle name="一般 13 2 2 3 6 3" xfId="13986"/>
    <cellStyle name="一般 13 2 2 3 7" xfId="4634"/>
    <cellStyle name="一般 13 2 2 3 7 2" xfId="4635"/>
    <cellStyle name="一般 13 2 2 3 7 2 2" xfId="13989"/>
    <cellStyle name="一般 13 2 2 3 7 3" xfId="13988"/>
    <cellStyle name="一般 13 2 2 3 8" xfId="4636"/>
    <cellStyle name="一般 13 2 2 3 8 2" xfId="4637"/>
    <cellStyle name="一般 13 2 2 3 8 2 2" xfId="13991"/>
    <cellStyle name="一般 13 2 2 3 8 3" xfId="13990"/>
    <cellStyle name="一般 13 2 2 3 9" xfId="4638"/>
    <cellStyle name="一般 13 2 2 3 9 2" xfId="13992"/>
    <cellStyle name="一般 13 2 2 3_包裝指示書(裏)" xfId="4639"/>
    <cellStyle name="一般 13 2 2 4" xfId="4640"/>
    <cellStyle name="一般 13 2 2 4 10" xfId="13993"/>
    <cellStyle name="一般 13 2 2 4 2" xfId="4641"/>
    <cellStyle name="一般 13 2 2 4 2 2" xfId="4642"/>
    <cellStyle name="一般 13 2 2 4 2 2 2" xfId="4643"/>
    <cellStyle name="一般 13 2 2 4 2 2 2 2" xfId="4644"/>
    <cellStyle name="一般 13 2 2 4 2 2 2 2 2" xfId="13997"/>
    <cellStyle name="一般 13 2 2 4 2 2 2 3" xfId="13996"/>
    <cellStyle name="一般 13 2 2 4 2 2 3" xfId="4645"/>
    <cellStyle name="一般 13 2 2 4 2 2 3 2" xfId="13998"/>
    <cellStyle name="一般 13 2 2 4 2 2 4" xfId="13995"/>
    <cellStyle name="一般 13 2 2 4 2 2_包裝指示書(裏)" xfId="4646"/>
    <cellStyle name="一般 13 2 2 4 2 3" xfId="4647"/>
    <cellStyle name="一般 13 2 2 4 2 3 2" xfId="4648"/>
    <cellStyle name="一般 13 2 2 4 2 3 2 2" xfId="14000"/>
    <cellStyle name="一般 13 2 2 4 2 3 3" xfId="13999"/>
    <cellStyle name="一般 13 2 2 4 2 4" xfId="4649"/>
    <cellStyle name="一般 13 2 2 4 2 4 2" xfId="4650"/>
    <cellStyle name="一般 13 2 2 4 2 4 2 2" xfId="14002"/>
    <cellStyle name="一般 13 2 2 4 2 4 3" xfId="14001"/>
    <cellStyle name="一般 13 2 2 4 2 5" xfId="4651"/>
    <cellStyle name="一般 13 2 2 4 2 5 2" xfId="4652"/>
    <cellStyle name="一般 13 2 2 4 2 5 2 2" xfId="14004"/>
    <cellStyle name="一般 13 2 2 4 2 5 3" xfId="14003"/>
    <cellStyle name="一般 13 2 2 4 2 6" xfId="4653"/>
    <cellStyle name="一般 13 2 2 4 2 6 2" xfId="4654"/>
    <cellStyle name="一般 13 2 2 4 2 6 2 2" xfId="14006"/>
    <cellStyle name="一般 13 2 2 4 2 6 3" xfId="14005"/>
    <cellStyle name="一般 13 2 2 4 2 7" xfId="4655"/>
    <cellStyle name="一般 13 2 2 4 2 7 2" xfId="4656"/>
    <cellStyle name="一般 13 2 2 4 2 7 2 2" xfId="14008"/>
    <cellStyle name="一般 13 2 2 4 2 7 3" xfId="14007"/>
    <cellStyle name="一般 13 2 2 4 2 8" xfId="4657"/>
    <cellStyle name="一般 13 2 2 4 2 8 2" xfId="14009"/>
    <cellStyle name="一般 13 2 2 4 2 9" xfId="13994"/>
    <cellStyle name="一般 13 2 2 4 2_包裝指示書(裏)" xfId="4658"/>
    <cellStyle name="一般 13 2 2 4 3" xfId="4659"/>
    <cellStyle name="一般 13 2 2 4 3 2" xfId="4660"/>
    <cellStyle name="一般 13 2 2 4 3 2 2" xfId="4661"/>
    <cellStyle name="一般 13 2 2 4 3 2 2 2" xfId="14012"/>
    <cellStyle name="一般 13 2 2 4 3 2 3" xfId="14011"/>
    <cellStyle name="一般 13 2 2 4 3 3" xfId="4662"/>
    <cellStyle name="一般 13 2 2 4 3 3 2" xfId="14013"/>
    <cellStyle name="一般 13 2 2 4 3 4" xfId="4663"/>
    <cellStyle name="一般 13 2 2 4 3 4 2" xfId="14014"/>
    <cellStyle name="一般 13 2 2 4 3 5" xfId="4664"/>
    <cellStyle name="一般 13 2 2 4 3 5 2" xfId="14015"/>
    <cellStyle name="一般 13 2 2 4 3 6" xfId="14010"/>
    <cellStyle name="一般 13 2 2 4 3_包裝指示書(裏)" xfId="4665"/>
    <cellStyle name="一般 13 2 2 4 4" xfId="4666"/>
    <cellStyle name="一般 13 2 2 4 4 2" xfId="4667"/>
    <cellStyle name="一般 13 2 2 4 4 2 2" xfId="4668"/>
    <cellStyle name="一般 13 2 2 4 4 2 2 2" xfId="14018"/>
    <cellStyle name="一般 13 2 2 4 4 2 3" xfId="14017"/>
    <cellStyle name="一般 13 2 2 4 4 3" xfId="4669"/>
    <cellStyle name="一般 13 2 2 4 4 3 2" xfId="14019"/>
    <cellStyle name="一般 13 2 2 4 4 4" xfId="14016"/>
    <cellStyle name="一般 13 2 2 4 4_包裝指示書(裏)" xfId="4670"/>
    <cellStyle name="一般 13 2 2 4 5" xfId="4671"/>
    <cellStyle name="一般 13 2 2 4 5 2" xfId="4672"/>
    <cellStyle name="一般 13 2 2 4 5 2 2" xfId="14021"/>
    <cellStyle name="一般 13 2 2 4 5 3" xfId="14020"/>
    <cellStyle name="一般 13 2 2 4 6" xfId="4673"/>
    <cellStyle name="一般 13 2 2 4 6 2" xfId="4674"/>
    <cellStyle name="一般 13 2 2 4 6 2 2" xfId="14023"/>
    <cellStyle name="一般 13 2 2 4 6 3" xfId="14022"/>
    <cellStyle name="一般 13 2 2 4 7" xfId="4675"/>
    <cellStyle name="一般 13 2 2 4 7 2" xfId="4676"/>
    <cellStyle name="一般 13 2 2 4 7 2 2" xfId="14025"/>
    <cellStyle name="一般 13 2 2 4 7 3" xfId="14024"/>
    <cellStyle name="一般 13 2 2 4 8" xfId="4677"/>
    <cellStyle name="一般 13 2 2 4 8 2" xfId="4678"/>
    <cellStyle name="一般 13 2 2 4 8 2 2" xfId="14027"/>
    <cellStyle name="一般 13 2 2 4 8 3" xfId="14026"/>
    <cellStyle name="一般 13 2 2 4 9" xfId="4679"/>
    <cellStyle name="一般 13 2 2 4 9 2" xfId="14028"/>
    <cellStyle name="一般 13 2 2 4_包裝指示書(裏)" xfId="4680"/>
    <cellStyle name="一般 13 2 2 5" xfId="4681"/>
    <cellStyle name="一般 13 2 2 5 10" xfId="14029"/>
    <cellStyle name="一般 13 2 2 5 2" xfId="4682"/>
    <cellStyle name="一般 13 2 2 5 2 2" xfId="4683"/>
    <cellStyle name="一般 13 2 2 5 2 2 2" xfId="4684"/>
    <cellStyle name="一般 13 2 2 5 2 2 2 2" xfId="4685"/>
    <cellStyle name="一般 13 2 2 5 2 2 2 2 2" xfId="14033"/>
    <cellStyle name="一般 13 2 2 5 2 2 2 3" xfId="14032"/>
    <cellStyle name="一般 13 2 2 5 2 2 3" xfId="4686"/>
    <cellStyle name="一般 13 2 2 5 2 2 3 2" xfId="14034"/>
    <cellStyle name="一般 13 2 2 5 2 2 4" xfId="14031"/>
    <cellStyle name="一般 13 2 2 5 2 2_包裝指示書(裏)" xfId="4687"/>
    <cellStyle name="一般 13 2 2 5 2 3" xfId="4688"/>
    <cellStyle name="一般 13 2 2 5 2 3 2" xfId="4689"/>
    <cellStyle name="一般 13 2 2 5 2 3 2 2" xfId="14036"/>
    <cellStyle name="一般 13 2 2 5 2 3 3" xfId="14035"/>
    <cellStyle name="一般 13 2 2 5 2 4" xfId="4690"/>
    <cellStyle name="一般 13 2 2 5 2 4 2" xfId="4691"/>
    <cellStyle name="一般 13 2 2 5 2 4 2 2" xfId="14038"/>
    <cellStyle name="一般 13 2 2 5 2 4 3" xfId="14037"/>
    <cellStyle name="一般 13 2 2 5 2 5" xfId="4692"/>
    <cellStyle name="一般 13 2 2 5 2 5 2" xfId="4693"/>
    <cellStyle name="一般 13 2 2 5 2 5 2 2" xfId="14040"/>
    <cellStyle name="一般 13 2 2 5 2 5 3" xfId="14039"/>
    <cellStyle name="一般 13 2 2 5 2 6" xfId="4694"/>
    <cellStyle name="一般 13 2 2 5 2 6 2" xfId="4695"/>
    <cellStyle name="一般 13 2 2 5 2 6 2 2" xfId="14042"/>
    <cellStyle name="一般 13 2 2 5 2 6 3" xfId="14041"/>
    <cellStyle name="一般 13 2 2 5 2 7" xfId="4696"/>
    <cellStyle name="一般 13 2 2 5 2 7 2" xfId="4697"/>
    <cellStyle name="一般 13 2 2 5 2 7 2 2" xfId="14044"/>
    <cellStyle name="一般 13 2 2 5 2 7 3" xfId="14043"/>
    <cellStyle name="一般 13 2 2 5 2 8" xfId="4698"/>
    <cellStyle name="一般 13 2 2 5 2 8 2" xfId="14045"/>
    <cellStyle name="一般 13 2 2 5 2 9" xfId="14030"/>
    <cellStyle name="一般 13 2 2 5 2_包裝指示書(裏)" xfId="4699"/>
    <cellStyle name="一般 13 2 2 5 3" xfId="4700"/>
    <cellStyle name="一般 13 2 2 5 3 2" xfId="4701"/>
    <cellStyle name="一般 13 2 2 5 3 2 2" xfId="4702"/>
    <cellStyle name="一般 13 2 2 5 3 2 2 2" xfId="14048"/>
    <cellStyle name="一般 13 2 2 5 3 2 3" xfId="14047"/>
    <cellStyle name="一般 13 2 2 5 3 3" xfId="4703"/>
    <cellStyle name="一般 13 2 2 5 3 3 2" xfId="14049"/>
    <cellStyle name="一般 13 2 2 5 3 4" xfId="4704"/>
    <cellStyle name="一般 13 2 2 5 3 4 2" xfId="14050"/>
    <cellStyle name="一般 13 2 2 5 3 5" xfId="4705"/>
    <cellStyle name="一般 13 2 2 5 3 5 2" xfId="14051"/>
    <cellStyle name="一般 13 2 2 5 3 6" xfId="14046"/>
    <cellStyle name="一般 13 2 2 5 3_包裝指示書(裏)" xfId="4706"/>
    <cellStyle name="一般 13 2 2 5 4" xfId="4707"/>
    <cellStyle name="一般 13 2 2 5 4 2" xfId="4708"/>
    <cellStyle name="一般 13 2 2 5 4 2 2" xfId="14053"/>
    <cellStyle name="一般 13 2 2 5 4 3" xfId="14052"/>
    <cellStyle name="一般 13 2 2 5 5" xfId="4709"/>
    <cellStyle name="一般 13 2 2 5 5 2" xfId="4710"/>
    <cellStyle name="一般 13 2 2 5 5 2 2" xfId="14055"/>
    <cellStyle name="一般 13 2 2 5 5 3" xfId="14054"/>
    <cellStyle name="一般 13 2 2 5 6" xfId="4711"/>
    <cellStyle name="一般 13 2 2 5 6 2" xfId="4712"/>
    <cellStyle name="一般 13 2 2 5 6 2 2" xfId="14057"/>
    <cellStyle name="一般 13 2 2 5 6 3" xfId="14056"/>
    <cellStyle name="一般 13 2 2 5 7" xfId="4713"/>
    <cellStyle name="一般 13 2 2 5 7 2" xfId="4714"/>
    <cellStyle name="一般 13 2 2 5 7 2 2" xfId="14059"/>
    <cellStyle name="一般 13 2 2 5 7 3" xfId="14058"/>
    <cellStyle name="一般 13 2 2 5 8" xfId="4715"/>
    <cellStyle name="一般 13 2 2 5 8 2" xfId="4716"/>
    <cellStyle name="一般 13 2 2 5 8 2 2" xfId="14061"/>
    <cellStyle name="一般 13 2 2 5 8 3" xfId="14060"/>
    <cellStyle name="一般 13 2 2 5 9" xfId="4717"/>
    <cellStyle name="一般 13 2 2 5 9 2" xfId="14062"/>
    <cellStyle name="一般 13 2 2 5_包裝指示書(裏)" xfId="4718"/>
    <cellStyle name="一般 13 2 2 6" xfId="4719"/>
    <cellStyle name="一般 13 2 2 6 2" xfId="4720"/>
    <cellStyle name="一般 13 2 2 6 2 2" xfId="4721"/>
    <cellStyle name="一般 13 2 2 6 2 2 2" xfId="4722"/>
    <cellStyle name="一般 13 2 2 6 2 2 2 2" xfId="4723"/>
    <cellStyle name="一般 13 2 2 6 2 2 2 2 2" xfId="14067"/>
    <cellStyle name="一般 13 2 2 6 2 2 2 3" xfId="14066"/>
    <cellStyle name="一般 13 2 2 6 2 2 3" xfId="4724"/>
    <cellStyle name="一般 13 2 2 6 2 2 3 2" xfId="14068"/>
    <cellStyle name="一般 13 2 2 6 2 2 4" xfId="14065"/>
    <cellStyle name="一般 13 2 2 6 2 2_包裝指示書(裏)" xfId="4725"/>
    <cellStyle name="一般 13 2 2 6 2 3" xfId="4726"/>
    <cellStyle name="一般 13 2 2 6 2 3 2" xfId="4727"/>
    <cellStyle name="一般 13 2 2 6 2 3 2 2" xfId="14070"/>
    <cellStyle name="一般 13 2 2 6 2 3 3" xfId="14069"/>
    <cellStyle name="一般 13 2 2 6 2 4" xfId="4728"/>
    <cellStyle name="一般 13 2 2 6 2 4 2" xfId="14071"/>
    <cellStyle name="一般 13 2 2 6 2 5" xfId="4729"/>
    <cellStyle name="一般 13 2 2 6 2 5 2" xfId="14072"/>
    <cellStyle name="一般 13 2 2 6 2 6" xfId="14064"/>
    <cellStyle name="一般 13 2 2 6 2_包裝指示書(裏)" xfId="4730"/>
    <cellStyle name="一般 13 2 2 6 3" xfId="4731"/>
    <cellStyle name="一般 13 2 2 6 3 2" xfId="4732"/>
    <cellStyle name="一般 13 2 2 6 3 2 2" xfId="4733"/>
    <cellStyle name="一般 13 2 2 6 3 2 2 2" xfId="14075"/>
    <cellStyle name="一般 13 2 2 6 3 2 3" xfId="14074"/>
    <cellStyle name="一般 13 2 2 6 3 3" xfId="4734"/>
    <cellStyle name="一般 13 2 2 6 3 3 2" xfId="14076"/>
    <cellStyle name="一般 13 2 2 6 3 4" xfId="4735"/>
    <cellStyle name="一般 13 2 2 6 3 4 2" xfId="14077"/>
    <cellStyle name="一般 13 2 2 6 3 5" xfId="4736"/>
    <cellStyle name="一般 13 2 2 6 3 5 2" xfId="14078"/>
    <cellStyle name="一般 13 2 2 6 3 6" xfId="14073"/>
    <cellStyle name="一般 13 2 2 6 3_包裝指示書(裏)" xfId="4737"/>
    <cellStyle name="一般 13 2 2 6 4" xfId="4738"/>
    <cellStyle name="一般 13 2 2 6 4 2" xfId="4739"/>
    <cellStyle name="一般 13 2 2 6 4 2 2" xfId="14080"/>
    <cellStyle name="一般 13 2 2 6 4 3" xfId="14079"/>
    <cellStyle name="一般 13 2 2 6 5" xfId="4740"/>
    <cellStyle name="一般 13 2 2 6 5 2" xfId="4741"/>
    <cellStyle name="一般 13 2 2 6 5 2 2" xfId="14082"/>
    <cellStyle name="一般 13 2 2 6 5 3" xfId="14081"/>
    <cellStyle name="一般 13 2 2 6 6" xfId="4742"/>
    <cellStyle name="一般 13 2 2 6 6 2" xfId="4743"/>
    <cellStyle name="一般 13 2 2 6 6 2 2" xfId="14084"/>
    <cellStyle name="一般 13 2 2 6 6 3" xfId="14083"/>
    <cellStyle name="一般 13 2 2 6 7" xfId="4744"/>
    <cellStyle name="一般 13 2 2 6 7 2" xfId="4745"/>
    <cellStyle name="一般 13 2 2 6 7 2 2" xfId="14086"/>
    <cellStyle name="一般 13 2 2 6 7 3" xfId="14085"/>
    <cellStyle name="一般 13 2 2 6 8" xfId="4746"/>
    <cellStyle name="一般 13 2 2 6 8 2" xfId="14087"/>
    <cellStyle name="一般 13 2 2 6 9" xfId="14063"/>
    <cellStyle name="一般 13 2 2 6_包裝指示書(裏)" xfId="4747"/>
    <cellStyle name="一般 13 2 2 7" xfId="4748"/>
    <cellStyle name="一般 13 2 2 7 2" xfId="4749"/>
    <cellStyle name="一般 13 2 2 7 2 2" xfId="4750"/>
    <cellStyle name="一般 13 2 2 7 2 2 2" xfId="4751"/>
    <cellStyle name="一般 13 2 2 7 2 2 2 2" xfId="4752"/>
    <cellStyle name="一般 13 2 2 7 2 2 2 2 2" xfId="14092"/>
    <cellStyle name="一般 13 2 2 7 2 2 2 3" xfId="14091"/>
    <cellStyle name="一般 13 2 2 7 2 2 3" xfId="4753"/>
    <cellStyle name="一般 13 2 2 7 2 2 3 2" xfId="14093"/>
    <cellStyle name="一般 13 2 2 7 2 2 4" xfId="14090"/>
    <cellStyle name="一般 13 2 2 7 2 2_包裝指示書(裏)" xfId="4754"/>
    <cellStyle name="一般 13 2 2 7 2 3" xfId="4755"/>
    <cellStyle name="一般 13 2 2 7 2 3 2" xfId="4756"/>
    <cellStyle name="一般 13 2 2 7 2 3 2 2" xfId="14095"/>
    <cellStyle name="一般 13 2 2 7 2 3 3" xfId="14094"/>
    <cellStyle name="一般 13 2 2 7 2 4" xfId="4757"/>
    <cellStyle name="一般 13 2 2 7 2 4 2" xfId="14096"/>
    <cellStyle name="一般 13 2 2 7 2 5" xfId="4758"/>
    <cellStyle name="一般 13 2 2 7 2 5 2" xfId="14097"/>
    <cellStyle name="一般 13 2 2 7 2 6" xfId="14089"/>
    <cellStyle name="一般 13 2 2 7 2_包裝指示書(裏)" xfId="4759"/>
    <cellStyle name="一般 13 2 2 7 3" xfId="4760"/>
    <cellStyle name="一般 13 2 2 7 3 2" xfId="4761"/>
    <cellStyle name="一般 13 2 2 7 3 2 2" xfId="4762"/>
    <cellStyle name="一般 13 2 2 7 3 2 2 2" xfId="14100"/>
    <cellStyle name="一般 13 2 2 7 3 2 3" xfId="14099"/>
    <cellStyle name="一般 13 2 2 7 3 3" xfId="4763"/>
    <cellStyle name="一般 13 2 2 7 3 3 2" xfId="14101"/>
    <cellStyle name="一般 13 2 2 7 3 4" xfId="4764"/>
    <cellStyle name="一般 13 2 2 7 3 4 2" xfId="14102"/>
    <cellStyle name="一般 13 2 2 7 3 5" xfId="4765"/>
    <cellStyle name="一般 13 2 2 7 3 5 2" xfId="14103"/>
    <cellStyle name="一般 13 2 2 7 3 6" xfId="14098"/>
    <cellStyle name="一般 13 2 2 7 3_包裝指示書(裏)" xfId="4766"/>
    <cellStyle name="一般 13 2 2 7 4" xfId="4767"/>
    <cellStyle name="一般 13 2 2 7 4 2" xfId="4768"/>
    <cellStyle name="一般 13 2 2 7 4 2 2" xfId="14105"/>
    <cellStyle name="一般 13 2 2 7 4 3" xfId="14104"/>
    <cellStyle name="一般 13 2 2 7 5" xfId="4769"/>
    <cellStyle name="一般 13 2 2 7 5 2" xfId="4770"/>
    <cellStyle name="一般 13 2 2 7 5 2 2" xfId="14107"/>
    <cellStyle name="一般 13 2 2 7 5 3" xfId="14106"/>
    <cellStyle name="一般 13 2 2 7 6" xfId="4771"/>
    <cellStyle name="一般 13 2 2 7 6 2" xfId="4772"/>
    <cellStyle name="一般 13 2 2 7 6 2 2" xfId="14109"/>
    <cellStyle name="一般 13 2 2 7 6 3" xfId="14108"/>
    <cellStyle name="一般 13 2 2 7 7" xfId="4773"/>
    <cellStyle name="一般 13 2 2 7 7 2" xfId="4774"/>
    <cellStyle name="一般 13 2 2 7 7 2 2" xfId="14111"/>
    <cellStyle name="一般 13 2 2 7 7 3" xfId="14110"/>
    <cellStyle name="一般 13 2 2 7 8" xfId="4775"/>
    <cellStyle name="一般 13 2 2 7 8 2" xfId="14112"/>
    <cellStyle name="一般 13 2 2 7 9" xfId="14088"/>
    <cellStyle name="一般 13 2 2 7_包裝指示書(裏)" xfId="4776"/>
    <cellStyle name="一般 13 2 2 8" xfId="4777"/>
    <cellStyle name="一般 13 2 2 8 2" xfId="4778"/>
    <cellStyle name="一般 13 2 2 8 3" xfId="4779"/>
    <cellStyle name="一般 13 2 2 8 3 2" xfId="4780"/>
    <cellStyle name="一般 13 2 2 8 3 2 2" xfId="4781"/>
    <cellStyle name="一般 13 2 2 8 3 2 2 2" xfId="14116"/>
    <cellStyle name="一般 13 2 2 8 3 2 3" xfId="14115"/>
    <cellStyle name="一般 13 2 2 8 3 3" xfId="4782"/>
    <cellStyle name="一般 13 2 2 8 3 3 2" xfId="14117"/>
    <cellStyle name="一般 13 2 2 8 3 4" xfId="14114"/>
    <cellStyle name="一般 13 2 2 8 3_包裝指示書(裏)" xfId="4783"/>
    <cellStyle name="一般 13 2 2 8 4" xfId="4784"/>
    <cellStyle name="一般 13 2 2 8 4 2" xfId="4785"/>
    <cellStyle name="一般 13 2 2 8 4 2 2" xfId="14119"/>
    <cellStyle name="一般 13 2 2 8 4 3" xfId="14118"/>
    <cellStyle name="一般 13 2 2 8 5" xfId="4786"/>
    <cellStyle name="一般 13 2 2 8 5 2" xfId="14120"/>
    <cellStyle name="一般 13 2 2 8 6" xfId="14113"/>
    <cellStyle name="一般 13 2 2 8_包裝指示書(裏)" xfId="4787"/>
    <cellStyle name="一般 13 2 2 9" xfId="4788"/>
    <cellStyle name="一般 13 2 2 9 2" xfId="4789"/>
    <cellStyle name="一般 13 2 2 9 2 2" xfId="14121"/>
    <cellStyle name="一般 13 2 2 9 3" xfId="4790"/>
    <cellStyle name="一般 13 2 2 9 3 2" xfId="14122"/>
    <cellStyle name="一般 13 2 2 9 4" xfId="4791"/>
    <cellStyle name="一般 13 2 2 9 4 2" xfId="14123"/>
    <cellStyle name="一般 13 2 2_包裝指示書(裏)" xfId="4792"/>
    <cellStyle name="一般 13 2 3" xfId="4793"/>
    <cellStyle name="一般 13 2 3 10" xfId="4794"/>
    <cellStyle name="一般 13 2 3 10 2" xfId="4795"/>
    <cellStyle name="一般 13 2 3 10 2 2" xfId="4796"/>
    <cellStyle name="一般 13 2 3 10 2 2 2" xfId="4797"/>
    <cellStyle name="一般 13 2 3 10 2 2 2 2" xfId="14128"/>
    <cellStyle name="一般 13 2 3 10 2 2 3" xfId="14127"/>
    <cellStyle name="一般 13 2 3 10 2 3" xfId="4798"/>
    <cellStyle name="一般 13 2 3 10 2 3 2" xfId="4799"/>
    <cellStyle name="一般 13 2 3 10 2 3 2 2" xfId="14130"/>
    <cellStyle name="一般 13 2 3 10 2 3 3" xfId="14129"/>
    <cellStyle name="一般 13 2 3 10 2 4" xfId="4800"/>
    <cellStyle name="一般 13 2 3 10 2 4 2" xfId="14131"/>
    <cellStyle name="一般 13 2 3 10 2 5" xfId="14126"/>
    <cellStyle name="一般 13 2 3 10 2_包裝指示書(裏)" xfId="4801"/>
    <cellStyle name="一般 13 2 3 10 3" xfId="4802"/>
    <cellStyle name="一般 13 2 3 10 3 2" xfId="4803"/>
    <cellStyle name="一般 13 2 3 10 3 2 2" xfId="14133"/>
    <cellStyle name="一般 13 2 3 10 3 3" xfId="14132"/>
    <cellStyle name="一般 13 2 3 10 4" xfId="4804"/>
    <cellStyle name="一般 13 2 3 10 4 2" xfId="4805"/>
    <cellStyle name="一般 13 2 3 10 4 2 2" xfId="14135"/>
    <cellStyle name="一般 13 2 3 10 4 3" xfId="14134"/>
    <cellStyle name="一般 13 2 3 10 5" xfId="4806"/>
    <cellStyle name="一般 13 2 3 10 5 2" xfId="14136"/>
    <cellStyle name="一般 13 2 3 10 6" xfId="14125"/>
    <cellStyle name="一般 13 2 3 10_包裝指示書(裏)" xfId="4807"/>
    <cellStyle name="一般 13 2 3 11" xfId="4808"/>
    <cellStyle name="一般 13 2 3 11 2" xfId="4809"/>
    <cellStyle name="一般 13 2 3 11 2 2" xfId="4810"/>
    <cellStyle name="一般 13 2 3 11 2 2 2" xfId="14139"/>
    <cellStyle name="一般 13 2 3 11 2 3" xfId="14138"/>
    <cellStyle name="一般 13 2 3 11 3" xfId="4811"/>
    <cellStyle name="一般 13 2 3 11 3 2" xfId="4812"/>
    <cellStyle name="一般 13 2 3 11 3 2 2" xfId="14141"/>
    <cellStyle name="一般 13 2 3 11 3 3" xfId="14140"/>
    <cellStyle name="一般 13 2 3 11 4" xfId="4813"/>
    <cellStyle name="一般 13 2 3 11 4 2" xfId="14142"/>
    <cellStyle name="一般 13 2 3 11 5" xfId="14137"/>
    <cellStyle name="一般 13 2 3 11_包裝指示書(裏)" xfId="4814"/>
    <cellStyle name="一般 13 2 3 12" xfId="4815"/>
    <cellStyle name="一般 13 2 3 12 2" xfId="4816"/>
    <cellStyle name="一般 13 2 3 12 2 2" xfId="4817"/>
    <cellStyle name="一般 13 2 3 12 2 2 2" xfId="14145"/>
    <cellStyle name="一般 13 2 3 12 2 3" xfId="14144"/>
    <cellStyle name="一般 13 2 3 12 3" xfId="4818"/>
    <cellStyle name="一般 13 2 3 12 3 2" xfId="14146"/>
    <cellStyle name="一般 13 2 3 12 4" xfId="14143"/>
    <cellStyle name="一般 13 2 3 12_包裝指示書(裏)" xfId="4819"/>
    <cellStyle name="一般 13 2 3 13" xfId="4820"/>
    <cellStyle name="一般 13 2 3 13 2" xfId="4821"/>
    <cellStyle name="一般 13 2 3 13 2 2" xfId="14148"/>
    <cellStyle name="一般 13 2 3 13 3" xfId="14147"/>
    <cellStyle name="一般 13 2 3 14" xfId="4822"/>
    <cellStyle name="一般 13 2 3 14 2" xfId="14149"/>
    <cellStyle name="一般 13 2 3 15" xfId="4823"/>
    <cellStyle name="一般 13 2 3 15 2" xfId="14150"/>
    <cellStyle name="一般 13 2 3 16" xfId="14124"/>
    <cellStyle name="一般 13 2 3 2" xfId="4824"/>
    <cellStyle name="一般 13 2 3 2 10" xfId="14151"/>
    <cellStyle name="一般 13 2 3 2 2" xfId="4825"/>
    <cellStyle name="一般 13 2 3 2 2 2" xfId="4826"/>
    <cellStyle name="一般 13 2 3 2 2 2 2" xfId="4827"/>
    <cellStyle name="一般 13 2 3 2 2 2 2 2" xfId="4828"/>
    <cellStyle name="一般 13 2 3 2 2 2 2 2 2" xfId="14155"/>
    <cellStyle name="一般 13 2 3 2 2 2 2 3" xfId="14154"/>
    <cellStyle name="一般 13 2 3 2 2 2 3" xfId="4829"/>
    <cellStyle name="一般 13 2 3 2 2 2 3 2" xfId="14156"/>
    <cellStyle name="一般 13 2 3 2 2 2 4" xfId="14153"/>
    <cellStyle name="一般 13 2 3 2 2 2_包裝指示書(裏)" xfId="4830"/>
    <cellStyle name="一般 13 2 3 2 2 3" xfId="4831"/>
    <cellStyle name="一般 13 2 3 2 2 3 2" xfId="4832"/>
    <cellStyle name="一般 13 2 3 2 2 3 2 2" xfId="14158"/>
    <cellStyle name="一般 13 2 3 2 2 3 3" xfId="14157"/>
    <cellStyle name="一般 13 2 3 2 2 4" xfId="4833"/>
    <cellStyle name="一般 13 2 3 2 2 4 2" xfId="4834"/>
    <cellStyle name="一般 13 2 3 2 2 4 2 2" xfId="14160"/>
    <cellStyle name="一般 13 2 3 2 2 4 3" xfId="14159"/>
    <cellStyle name="一般 13 2 3 2 2 5" xfId="4835"/>
    <cellStyle name="一般 13 2 3 2 2 5 2" xfId="4836"/>
    <cellStyle name="一般 13 2 3 2 2 5 2 2" xfId="14162"/>
    <cellStyle name="一般 13 2 3 2 2 5 3" xfId="14161"/>
    <cellStyle name="一般 13 2 3 2 2 6" xfId="4837"/>
    <cellStyle name="一般 13 2 3 2 2 6 2" xfId="4838"/>
    <cellStyle name="一般 13 2 3 2 2 6 2 2" xfId="14164"/>
    <cellStyle name="一般 13 2 3 2 2 6 3" xfId="14163"/>
    <cellStyle name="一般 13 2 3 2 2 7" xfId="4839"/>
    <cellStyle name="一般 13 2 3 2 2 7 2" xfId="4840"/>
    <cellStyle name="一般 13 2 3 2 2 7 2 2" xfId="14166"/>
    <cellStyle name="一般 13 2 3 2 2 7 3" xfId="14165"/>
    <cellStyle name="一般 13 2 3 2 2 8" xfId="4841"/>
    <cellStyle name="一般 13 2 3 2 2 8 2" xfId="14167"/>
    <cellStyle name="一般 13 2 3 2 2 9" xfId="14152"/>
    <cellStyle name="一般 13 2 3 2 2_包裝指示書(裏)" xfId="4842"/>
    <cellStyle name="一般 13 2 3 2 3" xfId="4843"/>
    <cellStyle name="一般 13 2 3 2 3 2" xfId="4844"/>
    <cellStyle name="一般 13 2 3 2 3 2 2" xfId="4845"/>
    <cellStyle name="一般 13 2 3 2 3 2 2 2" xfId="14170"/>
    <cellStyle name="一般 13 2 3 2 3 2 3" xfId="14169"/>
    <cellStyle name="一般 13 2 3 2 3 3" xfId="4846"/>
    <cellStyle name="一般 13 2 3 2 3 3 2" xfId="14171"/>
    <cellStyle name="一般 13 2 3 2 3 4" xfId="4847"/>
    <cellStyle name="一般 13 2 3 2 3 4 2" xfId="14172"/>
    <cellStyle name="一般 13 2 3 2 3 5" xfId="4848"/>
    <cellStyle name="一般 13 2 3 2 3 5 2" xfId="14173"/>
    <cellStyle name="一般 13 2 3 2 3 6" xfId="14168"/>
    <cellStyle name="一般 13 2 3 2 3_包裝指示書(裏)" xfId="4849"/>
    <cellStyle name="一般 13 2 3 2 4" xfId="4850"/>
    <cellStyle name="一般 13 2 3 2 4 2" xfId="4851"/>
    <cellStyle name="一般 13 2 3 2 4 2 2" xfId="14175"/>
    <cellStyle name="一般 13 2 3 2 4 3" xfId="14174"/>
    <cellStyle name="一般 13 2 3 2 5" xfId="4852"/>
    <cellStyle name="一般 13 2 3 2 5 2" xfId="4853"/>
    <cellStyle name="一般 13 2 3 2 5 2 2" xfId="14177"/>
    <cellStyle name="一般 13 2 3 2 5 3" xfId="14176"/>
    <cellStyle name="一般 13 2 3 2 6" xfId="4854"/>
    <cellStyle name="一般 13 2 3 2 6 2" xfId="4855"/>
    <cellStyle name="一般 13 2 3 2 6 2 2" xfId="14179"/>
    <cellStyle name="一般 13 2 3 2 6 3" xfId="14178"/>
    <cellStyle name="一般 13 2 3 2 7" xfId="4856"/>
    <cellStyle name="一般 13 2 3 2 7 2" xfId="4857"/>
    <cellStyle name="一般 13 2 3 2 7 2 2" xfId="14181"/>
    <cellStyle name="一般 13 2 3 2 7 3" xfId="14180"/>
    <cellStyle name="一般 13 2 3 2 8" xfId="4858"/>
    <cellStyle name="一般 13 2 3 2 8 2" xfId="4859"/>
    <cellStyle name="一般 13 2 3 2 8 2 2" xfId="14183"/>
    <cellStyle name="一般 13 2 3 2 8 3" xfId="14182"/>
    <cellStyle name="一般 13 2 3 2 9" xfId="4860"/>
    <cellStyle name="一般 13 2 3 2 9 2" xfId="14184"/>
    <cellStyle name="一般 13 2 3 2_包裝指示書(裏)" xfId="4861"/>
    <cellStyle name="一般 13 2 3 3" xfId="4862"/>
    <cellStyle name="一般 13 2 3 3 10" xfId="14185"/>
    <cellStyle name="一般 13 2 3 3 2" xfId="4863"/>
    <cellStyle name="一般 13 2 3 3 2 2" xfId="4864"/>
    <cellStyle name="一般 13 2 3 3 2 2 2" xfId="4865"/>
    <cellStyle name="一般 13 2 3 3 2 2 2 2" xfId="4866"/>
    <cellStyle name="一般 13 2 3 3 2 2 2 2 2" xfId="14189"/>
    <cellStyle name="一般 13 2 3 3 2 2 2 3" xfId="14188"/>
    <cellStyle name="一般 13 2 3 3 2 2 3" xfId="4867"/>
    <cellStyle name="一般 13 2 3 3 2 2 3 2" xfId="14190"/>
    <cellStyle name="一般 13 2 3 3 2 2 4" xfId="14187"/>
    <cellStyle name="一般 13 2 3 3 2 2_包裝指示書(裏)" xfId="4868"/>
    <cellStyle name="一般 13 2 3 3 2 3" xfId="4869"/>
    <cellStyle name="一般 13 2 3 3 2 3 2" xfId="4870"/>
    <cellStyle name="一般 13 2 3 3 2 3 2 2" xfId="14192"/>
    <cellStyle name="一般 13 2 3 3 2 3 3" xfId="14191"/>
    <cellStyle name="一般 13 2 3 3 2 4" xfId="4871"/>
    <cellStyle name="一般 13 2 3 3 2 4 2" xfId="4872"/>
    <cellStyle name="一般 13 2 3 3 2 4 2 2" xfId="14194"/>
    <cellStyle name="一般 13 2 3 3 2 4 3" xfId="14193"/>
    <cellStyle name="一般 13 2 3 3 2 5" xfId="4873"/>
    <cellStyle name="一般 13 2 3 3 2 5 2" xfId="4874"/>
    <cellStyle name="一般 13 2 3 3 2 5 2 2" xfId="14196"/>
    <cellStyle name="一般 13 2 3 3 2 5 3" xfId="14195"/>
    <cellStyle name="一般 13 2 3 3 2 6" xfId="4875"/>
    <cellStyle name="一般 13 2 3 3 2 6 2" xfId="4876"/>
    <cellStyle name="一般 13 2 3 3 2 6 2 2" xfId="14198"/>
    <cellStyle name="一般 13 2 3 3 2 6 3" xfId="14197"/>
    <cellStyle name="一般 13 2 3 3 2 7" xfId="4877"/>
    <cellStyle name="一般 13 2 3 3 2 7 2" xfId="4878"/>
    <cellStyle name="一般 13 2 3 3 2 7 2 2" xfId="14200"/>
    <cellStyle name="一般 13 2 3 3 2 7 3" xfId="14199"/>
    <cellStyle name="一般 13 2 3 3 2 8" xfId="4879"/>
    <cellStyle name="一般 13 2 3 3 2 8 2" xfId="14201"/>
    <cellStyle name="一般 13 2 3 3 2 9" xfId="14186"/>
    <cellStyle name="一般 13 2 3 3 2_包裝指示書(裏)" xfId="4880"/>
    <cellStyle name="一般 13 2 3 3 3" xfId="4881"/>
    <cellStyle name="一般 13 2 3 3 3 2" xfId="4882"/>
    <cellStyle name="一般 13 2 3 3 3 2 2" xfId="4883"/>
    <cellStyle name="一般 13 2 3 3 3 2 2 2" xfId="14204"/>
    <cellStyle name="一般 13 2 3 3 3 2 3" xfId="14203"/>
    <cellStyle name="一般 13 2 3 3 3 3" xfId="4884"/>
    <cellStyle name="一般 13 2 3 3 3 3 2" xfId="14205"/>
    <cellStyle name="一般 13 2 3 3 3 4" xfId="4885"/>
    <cellStyle name="一般 13 2 3 3 3 4 2" xfId="14206"/>
    <cellStyle name="一般 13 2 3 3 3 5" xfId="4886"/>
    <cellStyle name="一般 13 2 3 3 3 5 2" xfId="14207"/>
    <cellStyle name="一般 13 2 3 3 3 6" xfId="14202"/>
    <cellStyle name="一般 13 2 3 3 3_包裝指示書(裏)" xfId="4887"/>
    <cellStyle name="一般 13 2 3 3 4" xfId="4888"/>
    <cellStyle name="一般 13 2 3 3 4 2" xfId="4889"/>
    <cellStyle name="一般 13 2 3 3 4 2 2" xfId="14209"/>
    <cellStyle name="一般 13 2 3 3 4 3" xfId="14208"/>
    <cellStyle name="一般 13 2 3 3 5" xfId="4890"/>
    <cellStyle name="一般 13 2 3 3 5 2" xfId="4891"/>
    <cellStyle name="一般 13 2 3 3 5 2 2" xfId="14211"/>
    <cellStyle name="一般 13 2 3 3 5 3" xfId="14210"/>
    <cellStyle name="一般 13 2 3 3 6" xfId="4892"/>
    <cellStyle name="一般 13 2 3 3 6 2" xfId="4893"/>
    <cellStyle name="一般 13 2 3 3 6 2 2" xfId="14213"/>
    <cellStyle name="一般 13 2 3 3 6 3" xfId="14212"/>
    <cellStyle name="一般 13 2 3 3 7" xfId="4894"/>
    <cellStyle name="一般 13 2 3 3 7 2" xfId="4895"/>
    <cellStyle name="一般 13 2 3 3 7 2 2" xfId="14215"/>
    <cellStyle name="一般 13 2 3 3 7 3" xfId="14214"/>
    <cellStyle name="一般 13 2 3 3 8" xfId="4896"/>
    <cellStyle name="一般 13 2 3 3 8 2" xfId="4897"/>
    <cellStyle name="一般 13 2 3 3 8 2 2" xfId="14217"/>
    <cellStyle name="一般 13 2 3 3 8 3" xfId="14216"/>
    <cellStyle name="一般 13 2 3 3 9" xfId="4898"/>
    <cellStyle name="一般 13 2 3 3 9 2" xfId="14218"/>
    <cellStyle name="一般 13 2 3 3_包裝指示書(裏)" xfId="4899"/>
    <cellStyle name="一般 13 2 3 4" xfId="4900"/>
    <cellStyle name="一般 13 2 3 4 10" xfId="14219"/>
    <cellStyle name="一般 13 2 3 4 2" xfId="4901"/>
    <cellStyle name="一般 13 2 3 4 2 2" xfId="4902"/>
    <cellStyle name="一般 13 2 3 4 2 2 2" xfId="4903"/>
    <cellStyle name="一般 13 2 3 4 2 2 2 2" xfId="4904"/>
    <cellStyle name="一般 13 2 3 4 2 2 2 2 2" xfId="14223"/>
    <cellStyle name="一般 13 2 3 4 2 2 2 3" xfId="14222"/>
    <cellStyle name="一般 13 2 3 4 2 2 3" xfId="4905"/>
    <cellStyle name="一般 13 2 3 4 2 2 3 2" xfId="14224"/>
    <cellStyle name="一般 13 2 3 4 2 2 4" xfId="14221"/>
    <cellStyle name="一般 13 2 3 4 2 2_包裝指示書(裏)" xfId="4906"/>
    <cellStyle name="一般 13 2 3 4 2 3" xfId="4907"/>
    <cellStyle name="一般 13 2 3 4 2 3 2" xfId="4908"/>
    <cellStyle name="一般 13 2 3 4 2 3 2 2" xfId="14226"/>
    <cellStyle name="一般 13 2 3 4 2 3 3" xfId="14225"/>
    <cellStyle name="一般 13 2 3 4 2 4" xfId="4909"/>
    <cellStyle name="一般 13 2 3 4 2 4 2" xfId="4910"/>
    <cellStyle name="一般 13 2 3 4 2 4 2 2" xfId="14228"/>
    <cellStyle name="一般 13 2 3 4 2 4 3" xfId="14227"/>
    <cellStyle name="一般 13 2 3 4 2 5" xfId="4911"/>
    <cellStyle name="一般 13 2 3 4 2 5 2" xfId="4912"/>
    <cellStyle name="一般 13 2 3 4 2 5 2 2" xfId="14230"/>
    <cellStyle name="一般 13 2 3 4 2 5 3" xfId="14229"/>
    <cellStyle name="一般 13 2 3 4 2 6" xfId="4913"/>
    <cellStyle name="一般 13 2 3 4 2 6 2" xfId="4914"/>
    <cellStyle name="一般 13 2 3 4 2 6 2 2" xfId="14232"/>
    <cellStyle name="一般 13 2 3 4 2 6 3" xfId="14231"/>
    <cellStyle name="一般 13 2 3 4 2 7" xfId="4915"/>
    <cellStyle name="一般 13 2 3 4 2 7 2" xfId="4916"/>
    <cellStyle name="一般 13 2 3 4 2 7 2 2" xfId="14234"/>
    <cellStyle name="一般 13 2 3 4 2 7 3" xfId="14233"/>
    <cellStyle name="一般 13 2 3 4 2 8" xfId="4917"/>
    <cellStyle name="一般 13 2 3 4 2 8 2" xfId="14235"/>
    <cellStyle name="一般 13 2 3 4 2 9" xfId="14220"/>
    <cellStyle name="一般 13 2 3 4 2_包裝指示書(裏)" xfId="4918"/>
    <cellStyle name="一般 13 2 3 4 3" xfId="4919"/>
    <cellStyle name="一般 13 2 3 4 3 2" xfId="4920"/>
    <cellStyle name="一般 13 2 3 4 3 2 2" xfId="4921"/>
    <cellStyle name="一般 13 2 3 4 3 2 2 2" xfId="14238"/>
    <cellStyle name="一般 13 2 3 4 3 2 3" xfId="14237"/>
    <cellStyle name="一般 13 2 3 4 3 3" xfId="4922"/>
    <cellStyle name="一般 13 2 3 4 3 3 2" xfId="14239"/>
    <cellStyle name="一般 13 2 3 4 3 4" xfId="4923"/>
    <cellStyle name="一般 13 2 3 4 3 4 2" xfId="14240"/>
    <cellStyle name="一般 13 2 3 4 3 5" xfId="4924"/>
    <cellStyle name="一般 13 2 3 4 3 5 2" xfId="14241"/>
    <cellStyle name="一般 13 2 3 4 3 6" xfId="14236"/>
    <cellStyle name="一般 13 2 3 4 3_包裝指示書(裏)" xfId="4925"/>
    <cellStyle name="一般 13 2 3 4 4" xfId="4926"/>
    <cellStyle name="一般 13 2 3 4 4 2" xfId="4927"/>
    <cellStyle name="一般 13 2 3 4 4 2 2" xfId="14243"/>
    <cellStyle name="一般 13 2 3 4 4 3" xfId="14242"/>
    <cellStyle name="一般 13 2 3 4 5" xfId="4928"/>
    <cellStyle name="一般 13 2 3 4 5 2" xfId="4929"/>
    <cellStyle name="一般 13 2 3 4 5 2 2" xfId="14245"/>
    <cellStyle name="一般 13 2 3 4 5 3" xfId="14244"/>
    <cellStyle name="一般 13 2 3 4 6" xfId="4930"/>
    <cellStyle name="一般 13 2 3 4 6 2" xfId="4931"/>
    <cellStyle name="一般 13 2 3 4 6 2 2" xfId="14247"/>
    <cellStyle name="一般 13 2 3 4 6 3" xfId="14246"/>
    <cellStyle name="一般 13 2 3 4 7" xfId="4932"/>
    <cellStyle name="一般 13 2 3 4 7 2" xfId="4933"/>
    <cellStyle name="一般 13 2 3 4 7 2 2" xfId="14249"/>
    <cellStyle name="一般 13 2 3 4 7 3" xfId="14248"/>
    <cellStyle name="一般 13 2 3 4 8" xfId="4934"/>
    <cellStyle name="一般 13 2 3 4 8 2" xfId="4935"/>
    <cellStyle name="一般 13 2 3 4 8 2 2" xfId="14251"/>
    <cellStyle name="一般 13 2 3 4 8 3" xfId="14250"/>
    <cellStyle name="一般 13 2 3 4 9" xfId="4936"/>
    <cellStyle name="一般 13 2 3 4 9 2" xfId="14252"/>
    <cellStyle name="一般 13 2 3 4_包裝指示書(裏)" xfId="4937"/>
    <cellStyle name="一般 13 2 3 5" xfId="4938"/>
    <cellStyle name="一般 13 2 3 5 2" xfId="4939"/>
    <cellStyle name="一般 13 2 3 5 2 2" xfId="4940"/>
    <cellStyle name="一般 13 2 3 5 2 2 2" xfId="4941"/>
    <cellStyle name="一般 13 2 3 5 2 2 2 2" xfId="4942"/>
    <cellStyle name="一般 13 2 3 5 2 2 2 2 2" xfId="14257"/>
    <cellStyle name="一般 13 2 3 5 2 2 2 3" xfId="14256"/>
    <cellStyle name="一般 13 2 3 5 2 2 3" xfId="4943"/>
    <cellStyle name="一般 13 2 3 5 2 2 3 2" xfId="14258"/>
    <cellStyle name="一般 13 2 3 5 2 2 4" xfId="14255"/>
    <cellStyle name="一般 13 2 3 5 2 2_包裝指示書(裏)" xfId="4944"/>
    <cellStyle name="一般 13 2 3 5 2 3" xfId="4945"/>
    <cellStyle name="一般 13 2 3 5 2 3 2" xfId="4946"/>
    <cellStyle name="一般 13 2 3 5 2 3 2 2" xfId="14260"/>
    <cellStyle name="一般 13 2 3 5 2 3 3" xfId="14259"/>
    <cellStyle name="一般 13 2 3 5 2 4" xfId="4947"/>
    <cellStyle name="一般 13 2 3 5 2 4 2" xfId="14261"/>
    <cellStyle name="一般 13 2 3 5 2 5" xfId="4948"/>
    <cellStyle name="一般 13 2 3 5 2 5 2" xfId="14262"/>
    <cellStyle name="一般 13 2 3 5 2 6" xfId="14254"/>
    <cellStyle name="一般 13 2 3 5 2_包裝指示書(裏)" xfId="4949"/>
    <cellStyle name="一般 13 2 3 5 3" xfId="4950"/>
    <cellStyle name="一般 13 2 3 5 3 2" xfId="4951"/>
    <cellStyle name="一般 13 2 3 5 3 2 2" xfId="4952"/>
    <cellStyle name="一般 13 2 3 5 3 2 2 2" xfId="14265"/>
    <cellStyle name="一般 13 2 3 5 3 2 3" xfId="14264"/>
    <cellStyle name="一般 13 2 3 5 3 3" xfId="4953"/>
    <cellStyle name="一般 13 2 3 5 3 3 2" xfId="14266"/>
    <cellStyle name="一般 13 2 3 5 3 4" xfId="4954"/>
    <cellStyle name="一般 13 2 3 5 3 4 2" xfId="14267"/>
    <cellStyle name="一般 13 2 3 5 3 5" xfId="4955"/>
    <cellStyle name="一般 13 2 3 5 3 5 2" xfId="14268"/>
    <cellStyle name="一般 13 2 3 5 3 6" xfId="14263"/>
    <cellStyle name="一般 13 2 3 5 3_包裝指示書(裏)" xfId="4956"/>
    <cellStyle name="一般 13 2 3 5 4" xfId="4957"/>
    <cellStyle name="一般 13 2 3 5 4 2" xfId="4958"/>
    <cellStyle name="一般 13 2 3 5 4 2 2" xfId="14270"/>
    <cellStyle name="一般 13 2 3 5 4 3" xfId="14269"/>
    <cellStyle name="一般 13 2 3 5 5" xfId="4959"/>
    <cellStyle name="一般 13 2 3 5 5 2" xfId="4960"/>
    <cellStyle name="一般 13 2 3 5 5 2 2" xfId="14272"/>
    <cellStyle name="一般 13 2 3 5 5 3" xfId="14271"/>
    <cellStyle name="一般 13 2 3 5 6" xfId="4961"/>
    <cellStyle name="一般 13 2 3 5 6 2" xfId="4962"/>
    <cellStyle name="一般 13 2 3 5 6 2 2" xfId="14274"/>
    <cellStyle name="一般 13 2 3 5 6 3" xfId="14273"/>
    <cellStyle name="一般 13 2 3 5 7" xfId="4963"/>
    <cellStyle name="一般 13 2 3 5 7 2" xfId="4964"/>
    <cellStyle name="一般 13 2 3 5 7 2 2" xfId="14276"/>
    <cellStyle name="一般 13 2 3 5 7 3" xfId="14275"/>
    <cellStyle name="一般 13 2 3 5 8" xfId="4965"/>
    <cellStyle name="一般 13 2 3 5 8 2" xfId="14277"/>
    <cellStyle name="一般 13 2 3 5 9" xfId="14253"/>
    <cellStyle name="一般 13 2 3 5_包裝指示書(裏)" xfId="4966"/>
    <cellStyle name="一般 13 2 3 6" xfId="4967"/>
    <cellStyle name="一般 13 2 3 6 2" xfId="4968"/>
    <cellStyle name="一般 13 2 3 6 2 2" xfId="4969"/>
    <cellStyle name="一般 13 2 3 6 2 2 2" xfId="4970"/>
    <cellStyle name="一般 13 2 3 6 2 2 2 2" xfId="4971"/>
    <cellStyle name="一般 13 2 3 6 2 2 2 2 2" xfId="14282"/>
    <cellStyle name="一般 13 2 3 6 2 2 2 3" xfId="14281"/>
    <cellStyle name="一般 13 2 3 6 2 2 3" xfId="4972"/>
    <cellStyle name="一般 13 2 3 6 2 2 3 2" xfId="14283"/>
    <cellStyle name="一般 13 2 3 6 2 2 4" xfId="14280"/>
    <cellStyle name="一般 13 2 3 6 2 2_包裝指示書(裏)" xfId="4973"/>
    <cellStyle name="一般 13 2 3 6 2 3" xfId="4974"/>
    <cellStyle name="一般 13 2 3 6 2 3 2" xfId="4975"/>
    <cellStyle name="一般 13 2 3 6 2 3 2 2" xfId="14285"/>
    <cellStyle name="一般 13 2 3 6 2 3 3" xfId="14284"/>
    <cellStyle name="一般 13 2 3 6 2 4" xfId="4976"/>
    <cellStyle name="一般 13 2 3 6 2 4 2" xfId="14286"/>
    <cellStyle name="一般 13 2 3 6 2 5" xfId="4977"/>
    <cellStyle name="一般 13 2 3 6 2 5 2" xfId="14287"/>
    <cellStyle name="一般 13 2 3 6 2 6" xfId="14279"/>
    <cellStyle name="一般 13 2 3 6 2_包裝指示書(裏)" xfId="4978"/>
    <cellStyle name="一般 13 2 3 6 3" xfId="4979"/>
    <cellStyle name="一般 13 2 3 6 3 2" xfId="4980"/>
    <cellStyle name="一般 13 2 3 6 3 2 2" xfId="4981"/>
    <cellStyle name="一般 13 2 3 6 3 2 2 2" xfId="14290"/>
    <cellStyle name="一般 13 2 3 6 3 2 3" xfId="14289"/>
    <cellStyle name="一般 13 2 3 6 3 3" xfId="4982"/>
    <cellStyle name="一般 13 2 3 6 3 3 2" xfId="14291"/>
    <cellStyle name="一般 13 2 3 6 3 4" xfId="4983"/>
    <cellStyle name="一般 13 2 3 6 3 4 2" xfId="14292"/>
    <cellStyle name="一般 13 2 3 6 3 5" xfId="4984"/>
    <cellStyle name="一般 13 2 3 6 3 5 2" xfId="14293"/>
    <cellStyle name="一般 13 2 3 6 3 6" xfId="14288"/>
    <cellStyle name="一般 13 2 3 6 3_包裝指示書(裏)" xfId="4985"/>
    <cellStyle name="一般 13 2 3 6 4" xfId="4986"/>
    <cellStyle name="一般 13 2 3 6 4 2" xfId="4987"/>
    <cellStyle name="一般 13 2 3 6 4 2 2" xfId="14295"/>
    <cellStyle name="一般 13 2 3 6 4 3" xfId="14294"/>
    <cellStyle name="一般 13 2 3 6 5" xfId="4988"/>
    <cellStyle name="一般 13 2 3 6 5 2" xfId="4989"/>
    <cellStyle name="一般 13 2 3 6 5 2 2" xfId="14297"/>
    <cellStyle name="一般 13 2 3 6 5 3" xfId="14296"/>
    <cellStyle name="一般 13 2 3 6 6" xfId="4990"/>
    <cellStyle name="一般 13 2 3 6 6 2" xfId="4991"/>
    <cellStyle name="一般 13 2 3 6 6 2 2" xfId="14299"/>
    <cellStyle name="一般 13 2 3 6 6 3" xfId="14298"/>
    <cellStyle name="一般 13 2 3 6 7" xfId="4992"/>
    <cellStyle name="一般 13 2 3 6 7 2" xfId="4993"/>
    <cellStyle name="一般 13 2 3 6 7 2 2" xfId="14301"/>
    <cellStyle name="一般 13 2 3 6 7 3" xfId="14300"/>
    <cellStyle name="一般 13 2 3 6 8" xfId="4994"/>
    <cellStyle name="一般 13 2 3 6 8 2" xfId="14302"/>
    <cellStyle name="一般 13 2 3 6 9" xfId="14278"/>
    <cellStyle name="一般 13 2 3 6_包裝指示書(裏)" xfId="4995"/>
    <cellStyle name="一般 13 2 3 7" xfId="4996"/>
    <cellStyle name="一般 13 2 3 7 2" xfId="4997"/>
    <cellStyle name="一般 13 2 3 7 2 2" xfId="4998"/>
    <cellStyle name="一般 13 2 3 7 2 2 2" xfId="4999"/>
    <cellStyle name="一般 13 2 3 7 2 2 2 2" xfId="5000"/>
    <cellStyle name="一般 13 2 3 7 2 2 2 2 2" xfId="14307"/>
    <cellStyle name="一般 13 2 3 7 2 2 2 3" xfId="14306"/>
    <cellStyle name="一般 13 2 3 7 2 2 3" xfId="5001"/>
    <cellStyle name="一般 13 2 3 7 2 2 3 2" xfId="14308"/>
    <cellStyle name="一般 13 2 3 7 2 2 4" xfId="14305"/>
    <cellStyle name="一般 13 2 3 7 2 2_包裝指示書(裏)" xfId="5002"/>
    <cellStyle name="一般 13 2 3 7 2 3" xfId="5003"/>
    <cellStyle name="一般 13 2 3 7 2 3 2" xfId="5004"/>
    <cellStyle name="一般 13 2 3 7 2 3 2 2" xfId="14310"/>
    <cellStyle name="一般 13 2 3 7 2 3 3" xfId="14309"/>
    <cellStyle name="一般 13 2 3 7 2 4" xfId="5005"/>
    <cellStyle name="一般 13 2 3 7 2 4 2" xfId="14311"/>
    <cellStyle name="一般 13 2 3 7 2 5" xfId="14304"/>
    <cellStyle name="一般 13 2 3 7 2_包裝指示書(裏)" xfId="5006"/>
    <cellStyle name="一般 13 2 3 7 3" xfId="5007"/>
    <cellStyle name="一般 13 2 3 7 3 2" xfId="5008"/>
    <cellStyle name="一般 13 2 3 7 3 2 2" xfId="5009"/>
    <cellStyle name="一般 13 2 3 7 3 2 2 2" xfId="14314"/>
    <cellStyle name="一般 13 2 3 7 3 2 3" xfId="14313"/>
    <cellStyle name="一般 13 2 3 7 3 3" xfId="5010"/>
    <cellStyle name="一般 13 2 3 7 3 3 2" xfId="14315"/>
    <cellStyle name="一般 13 2 3 7 3 4" xfId="14312"/>
    <cellStyle name="一般 13 2 3 7 3_包裝指示書(裏)" xfId="5011"/>
    <cellStyle name="一般 13 2 3 7 4" xfId="5012"/>
    <cellStyle name="一般 13 2 3 7 4 2" xfId="5013"/>
    <cellStyle name="一般 13 2 3 7 4 2 2" xfId="14317"/>
    <cellStyle name="一般 13 2 3 7 4 3" xfId="14316"/>
    <cellStyle name="一般 13 2 3 7 5" xfId="5014"/>
    <cellStyle name="一般 13 2 3 7 5 2" xfId="5015"/>
    <cellStyle name="一般 13 2 3 7 5 2 2" xfId="14319"/>
    <cellStyle name="一般 13 2 3 7 5 3" xfId="14318"/>
    <cellStyle name="一般 13 2 3 7 6" xfId="5016"/>
    <cellStyle name="一般 13 2 3 7 6 2" xfId="5017"/>
    <cellStyle name="一般 13 2 3 7 6 2 2" xfId="14321"/>
    <cellStyle name="一般 13 2 3 7 6 3" xfId="14320"/>
    <cellStyle name="一般 13 2 3 7 7" xfId="5018"/>
    <cellStyle name="一般 13 2 3 7 7 2" xfId="5019"/>
    <cellStyle name="一般 13 2 3 7 7 2 2" xfId="14323"/>
    <cellStyle name="一般 13 2 3 7 7 3" xfId="14322"/>
    <cellStyle name="一般 13 2 3 7 8" xfId="5020"/>
    <cellStyle name="一般 13 2 3 7 8 2" xfId="14324"/>
    <cellStyle name="一般 13 2 3 7 9" xfId="14303"/>
    <cellStyle name="一般 13 2 3 7_包裝指示書(裏)" xfId="5021"/>
    <cellStyle name="一般 13 2 3 8" xfId="5022"/>
    <cellStyle name="一般 13 2 3 8 2" xfId="5023"/>
    <cellStyle name="一般 13 2 3 8 2 2" xfId="5024"/>
    <cellStyle name="一般 13 2 3 8 2 2 2" xfId="5025"/>
    <cellStyle name="一般 13 2 3 8 2 2 2 2" xfId="14328"/>
    <cellStyle name="一般 13 2 3 8 2 2 3" xfId="14327"/>
    <cellStyle name="一般 13 2 3 8 2 3" xfId="5026"/>
    <cellStyle name="一般 13 2 3 8 2 3 2" xfId="5027"/>
    <cellStyle name="一般 13 2 3 8 2 3 2 2" xfId="14330"/>
    <cellStyle name="一般 13 2 3 8 2 3 3" xfId="14329"/>
    <cellStyle name="一般 13 2 3 8 2 4" xfId="5028"/>
    <cellStyle name="一般 13 2 3 8 2 4 2" xfId="14331"/>
    <cellStyle name="一般 13 2 3 8 2 5" xfId="14326"/>
    <cellStyle name="一般 13 2 3 8 2_包裝指示書(裏)" xfId="5029"/>
    <cellStyle name="一般 13 2 3 8 3" xfId="5030"/>
    <cellStyle name="一般 13 2 3 8 3 2" xfId="5031"/>
    <cellStyle name="一般 13 2 3 8 3 2 2" xfId="5032"/>
    <cellStyle name="一般 13 2 3 8 3 2 2 2" xfId="14334"/>
    <cellStyle name="一般 13 2 3 8 3 2 3" xfId="14333"/>
    <cellStyle name="一般 13 2 3 8 3 3" xfId="5033"/>
    <cellStyle name="一般 13 2 3 8 3 3 2" xfId="14335"/>
    <cellStyle name="一般 13 2 3 8 3 4" xfId="14332"/>
    <cellStyle name="一般 13 2 3 8 3_包裝指示書(裏)" xfId="5034"/>
    <cellStyle name="一般 13 2 3 8 4" xfId="5035"/>
    <cellStyle name="一般 13 2 3 8 4 2" xfId="5036"/>
    <cellStyle name="一般 13 2 3 8 4 2 2" xfId="14337"/>
    <cellStyle name="一般 13 2 3 8 4 3" xfId="14336"/>
    <cellStyle name="一般 13 2 3 8 5" xfId="5037"/>
    <cellStyle name="一般 13 2 3 8 5 2" xfId="14338"/>
    <cellStyle name="一般 13 2 3 8 6" xfId="14325"/>
    <cellStyle name="一般 13 2 3 8_包裝指示書(裏)" xfId="5038"/>
    <cellStyle name="一般 13 2 3 9" xfId="5039"/>
    <cellStyle name="一般 13 2 3 9 2" xfId="5040"/>
    <cellStyle name="一般 13 2 3 9 2 2" xfId="5041"/>
    <cellStyle name="一般 13 2 3 9 2 2 2" xfId="5042"/>
    <cellStyle name="一般 13 2 3 9 2 2 2 2" xfId="14342"/>
    <cellStyle name="一般 13 2 3 9 2 2 3" xfId="14341"/>
    <cellStyle name="一般 13 2 3 9 2 3" xfId="5043"/>
    <cellStyle name="一般 13 2 3 9 2 3 2" xfId="5044"/>
    <cellStyle name="一般 13 2 3 9 2 3 2 2" xfId="14344"/>
    <cellStyle name="一般 13 2 3 9 2 3 3" xfId="14343"/>
    <cellStyle name="一般 13 2 3 9 2 4" xfId="5045"/>
    <cellStyle name="一般 13 2 3 9 2 4 2" xfId="14345"/>
    <cellStyle name="一般 13 2 3 9 2 5" xfId="14340"/>
    <cellStyle name="一般 13 2 3 9 2_包裝指示書(裏)" xfId="5046"/>
    <cellStyle name="一般 13 2 3 9 3" xfId="5047"/>
    <cellStyle name="一般 13 2 3 9 3 2" xfId="5048"/>
    <cellStyle name="一般 13 2 3 9 3 2 2" xfId="14347"/>
    <cellStyle name="一般 13 2 3 9 3 3" xfId="14346"/>
    <cellStyle name="一般 13 2 3 9 4" xfId="5049"/>
    <cellStyle name="一般 13 2 3 9 4 2" xfId="5050"/>
    <cellStyle name="一般 13 2 3 9 4 2 2" xfId="14349"/>
    <cellStyle name="一般 13 2 3 9 4 3" xfId="14348"/>
    <cellStyle name="一般 13 2 3 9 5" xfId="5051"/>
    <cellStyle name="一般 13 2 3 9 5 2" xfId="14350"/>
    <cellStyle name="一般 13 2 3 9 6" xfId="14339"/>
    <cellStyle name="一般 13 2 3 9_包裝指示書(裏)" xfId="5052"/>
    <cellStyle name="一般 13 2 3_包裝指示書(裏)" xfId="5053"/>
    <cellStyle name="一般 13 2 4" xfId="5054"/>
    <cellStyle name="一般 13 2 4 2" xfId="5055"/>
    <cellStyle name="一般 13 2 4 2 2" xfId="5056"/>
    <cellStyle name="一般 13 2 4 2 2 2" xfId="5057"/>
    <cellStyle name="一般 13 2 4 2 2 2 2" xfId="5058"/>
    <cellStyle name="一般 13 2 4 2 2 2 2 2" xfId="5059"/>
    <cellStyle name="一般 13 2 4 2 2 2 2 2 2" xfId="14355"/>
    <cellStyle name="一般 13 2 4 2 2 2 2 3" xfId="14354"/>
    <cellStyle name="一般 13 2 4 2 2 2 3" xfId="5060"/>
    <cellStyle name="一般 13 2 4 2 2 2 3 2" xfId="14356"/>
    <cellStyle name="一般 13 2 4 2 2 2 4" xfId="14353"/>
    <cellStyle name="一般 13 2 4 2 2 2_包裝指示書(裏)" xfId="5061"/>
    <cellStyle name="一般 13 2 4 2 2 3" xfId="5062"/>
    <cellStyle name="一般 13 2 4 2 2 3 2" xfId="5063"/>
    <cellStyle name="一般 13 2 4 2 2 3 2 2" xfId="14358"/>
    <cellStyle name="一般 13 2 4 2 2 3 3" xfId="14357"/>
    <cellStyle name="一般 13 2 4 2 2 4" xfId="5064"/>
    <cellStyle name="一般 13 2 4 2 2 4 2" xfId="14359"/>
    <cellStyle name="一般 13 2 4 2 2 5" xfId="14352"/>
    <cellStyle name="一般 13 2 4 2 2_包裝指示書(裏)" xfId="5065"/>
    <cellStyle name="一般 13 2 4 2 3" xfId="5066"/>
    <cellStyle name="一般 13 2 4 2 3 2" xfId="5067"/>
    <cellStyle name="一般 13 2 4 2 3 2 2" xfId="5068"/>
    <cellStyle name="一般 13 2 4 2 3 2 2 2" xfId="14362"/>
    <cellStyle name="一般 13 2 4 2 3 2 3" xfId="14361"/>
    <cellStyle name="一般 13 2 4 2 3 3" xfId="5069"/>
    <cellStyle name="一般 13 2 4 2 3 3 2" xfId="14363"/>
    <cellStyle name="一般 13 2 4 2 3 4" xfId="14360"/>
    <cellStyle name="一般 13 2 4 2 3_包裝指示書(裏)" xfId="5070"/>
    <cellStyle name="一般 13 2 4 2 4" xfId="5071"/>
    <cellStyle name="一般 13 2 4 2 4 2" xfId="5072"/>
    <cellStyle name="一般 13 2 4 2 4 2 2" xfId="14365"/>
    <cellStyle name="一般 13 2 4 2 4 3" xfId="14364"/>
    <cellStyle name="一般 13 2 4 2 5" xfId="5073"/>
    <cellStyle name="一般 13 2 4 2 5 2" xfId="5074"/>
    <cellStyle name="一般 13 2 4 2 5 2 2" xfId="14367"/>
    <cellStyle name="一般 13 2 4 2 5 3" xfId="14366"/>
    <cellStyle name="一般 13 2 4 2 6" xfId="5075"/>
    <cellStyle name="一般 13 2 4 2 6 2" xfId="5076"/>
    <cellStyle name="一般 13 2 4 2 6 2 2" xfId="14369"/>
    <cellStyle name="一般 13 2 4 2 6 3" xfId="14368"/>
    <cellStyle name="一般 13 2 4 2 7" xfId="5077"/>
    <cellStyle name="一般 13 2 4 2 7 2" xfId="5078"/>
    <cellStyle name="一般 13 2 4 2 7 2 2" xfId="14371"/>
    <cellStyle name="一般 13 2 4 2 7 3" xfId="14370"/>
    <cellStyle name="一般 13 2 4 2 8" xfId="5079"/>
    <cellStyle name="一般 13 2 4 2 8 2" xfId="14372"/>
    <cellStyle name="一般 13 2 4 2 9" xfId="14351"/>
    <cellStyle name="一般 13 2 4 2_包裝指示書(裏)" xfId="5080"/>
    <cellStyle name="一般 13 2 4 3" xfId="5081"/>
    <cellStyle name="一般 13 2 4 3 2" xfId="5082"/>
    <cellStyle name="一般 13 2 4 3 2 2" xfId="5083"/>
    <cellStyle name="一般 13 2 4 3 2 2 2" xfId="5084"/>
    <cellStyle name="一般 13 2 4 3 2 2 2 2" xfId="14376"/>
    <cellStyle name="一般 13 2 4 3 2 2 3" xfId="14375"/>
    <cellStyle name="一般 13 2 4 3 2 3" xfId="5085"/>
    <cellStyle name="一般 13 2 4 3 2 3 2" xfId="5086"/>
    <cellStyle name="一般 13 2 4 3 2 3 2 2" xfId="14378"/>
    <cellStyle name="一般 13 2 4 3 2 3 3" xfId="14377"/>
    <cellStyle name="一般 13 2 4 3 2 4" xfId="5087"/>
    <cellStyle name="一般 13 2 4 3 2 4 2" xfId="14379"/>
    <cellStyle name="一般 13 2 4 3 2 5" xfId="14374"/>
    <cellStyle name="一般 13 2 4 3 2_包裝指示書(裏)" xfId="5088"/>
    <cellStyle name="一般 13 2 4 3 3" xfId="5089"/>
    <cellStyle name="一般 13 2 4 3 3 2" xfId="5090"/>
    <cellStyle name="一般 13 2 4 3 3 2 2" xfId="5091"/>
    <cellStyle name="一般 13 2 4 3 3 2 2 2" xfId="14382"/>
    <cellStyle name="一般 13 2 4 3 3 2 3" xfId="14381"/>
    <cellStyle name="一般 13 2 4 3 3 3" xfId="5092"/>
    <cellStyle name="一般 13 2 4 3 3 3 2" xfId="14383"/>
    <cellStyle name="一般 13 2 4 3 3 4" xfId="14380"/>
    <cellStyle name="一般 13 2 4 3 3_包裝指示書(裏)" xfId="5093"/>
    <cellStyle name="一般 13 2 4 3 4" xfId="5094"/>
    <cellStyle name="一般 13 2 4 3 4 2" xfId="5095"/>
    <cellStyle name="一般 13 2 4 3 4 2 2" xfId="14385"/>
    <cellStyle name="一般 13 2 4 3 4 3" xfId="14384"/>
    <cellStyle name="一般 13 2 4 3 5" xfId="5096"/>
    <cellStyle name="一般 13 2 4 3 5 2" xfId="14386"/>
    <cellStyle name="一般 13 2 4 3 6" xfId="14373"/>
    <cellStyle name="一般 13 2 4 3_包裝指示書(裏)" xfId="5097"/>
    <cellStyle name="一般 13 2 4 4" xfId="5098"/>
    <cellStyle name="一般 13 2 4 4 2" xfId="5099"/>
    <cellStyle name="一般 13 2 4 4 2 2" xfId="5100"/>
    <cellStyle name="一般 13 2 4 4 2 2 2" xfId="5101"/>
    <cellStyle name="一般 13 2 4 4 2 2 2 2" xfId="14390"/>
    <cellStyle name="一般 13 2 4 4 2 2 3" xfId="14389"/>
    <cellStyle name="一般 13 2 4 4 2 3" xfId="5102"/>
    <cellStyle name="一般 13 2 4 4 2 3 2" xfId="5103"/>
    <cellStyle name="一般 13 2 4 4 2 3 2 2" xfId="14392"/>
    <cellStyle name="一般 13 2 4 4 2 3 3" xfId="14391"/>
    <cellStyle name="一般 13 2 4 4 2 4" xfId="5104"/>
    <cellStyle name="一般 13 2 4 4 2 4 2" xfId="14393"/>
    <cellStyle name="一般 13 2 4 4 2 5" xfId="14388"/>
    <cellStyle name="一般 13 2 4 4 2_包裝指示書(裏)" xfId="5105"/>
    <cellStyle name="一般 13 2 4 4 3" xfId="5106"/>
    <cellStyle name="一般 13 2 4 4 3 2" xfId="5107"/>
    <cellStyle name="一般 13 2 4 4 3 2 2" xfId="14395"/>
    <cellStyle name="一般 13 2 4 4 3 3" xfId="14394"/>
    <cellStyle name="一般 13 2 4 4 4" xfId="5108"/>
    <cellStyle name="一般 13 2 4 4 4 2" xfId="5109"/>
    <cellStyle name="一般 13 2 4 4 4 2 2" xfId="14397"/>
    <cellStyle name="一般 13 2 4 4 4 3" xfId="14396"/>
    <cellStyle name="一般 13 2 4 4 5" xfId="5110"/>
    <cellStyle name="一般 13 2 4 4 5 2" xfId="14398"/>
    <cellStyle name="一般 13 2 4 4 6" xfId="14387"/>
    <cellStyle name="一般 13 2 4 4_包裝指示書(裏)" xfId="5111"/>
    <cellStyle name="一般 13 2 4 5" xfId="5112"/>
    <cellStyle name="一般 13 2 4 5 2" xfId="5113"/>
    <cellStyle name="一般 13 2 4 5 2 2" xfId="5114"/>
    <cellStyle name="一般 13 2 4 5 2 2 2" xfId="5115"/>
    <cellStyle name="一般 13 2 4 5 2 2 2 2" xfId="14402"/>
    <cellStyle name="一般 13 2 4 5 2 2 3" xfId="14401"/>
    <cellStyle name="一般 13 2 4 5 2 3" xfId="5116"/>
    <cellStyle name="一般 13 2 4 5 2 3 2" xfId="5117"/>
    <cellStyle name="一般 13 2 4 5 2 3 2 2" xfId="14404"/>
    <cellStyle name="一般 13 2 4 5 2 3 3" xfId="14403"/>
    <cellStyle name="一般 13 2 4 5 2 4" xfId="5118"/>
    <cellStyle name="一般 13 2 4 5 2 4 2" xfId="14405"/>
    <cellStyle name="一般 13 2 4 5 2 5" xfId="14400"/>
    <cellStyle name="一般 13 2 4 5 2_包裝指示書(裏)" xfId="5119"/>
    <cellStyle name="一般 13 2 4 5 3" xfId="5120"/>
    <cellStyle name="一般 13 2 4 5 3 2" xfId="5121"/>
    <cellStyle name="一般 13 2 4 5 3 2 2" xfId="14407"/>
    <cellStyle name="一般 13 2 4 5 3 3" xfId="14406"/>
    <cellStyle name="一般 13 2 4 5 4" xfId="5122"/>
    <cellStyle name="一般 13 2 4 5 4 2" xfId="5123"/>
    <cellStyle name="一般 13 2 4 5 4 2 2" xfId="14409"/>
    <cellStyle name="一般 13 2 4 5 4 3" xfId="14408"/>
    <cellStyle name="一般 13 2 4 5 5" xfId="5124"/>
    <cellStyle name="一般 13 2 4 5 5 2" xfId="14410"/>
    <cellStyle name="一般 13 2 4 5 6" xfId="14399"/>
    <cellStyle name="一般 13 2 4 5_包裝指示書(裏)" xfId="5125"/>
    <cellStyle name="一般 13 2 4 6" xfId="5126"/>
    <cellStyle name="一般 13 2 4 6 2" xfId="5127"/>
    <cellStyle name="一般 13 2 4 6 2 2" xfId="14412"/>
    <cellStyle name="一般 13 2 4 6 3" xfId="14411"/>
    <cellStyle name="一般 13 2 4 7" xfId="5128"/>
    <cellStyle name="一般 13 2 4 7 2" xfId="5129"/>
    <cellStyle name="一般 13 2 4 7 2 2" xfId="14414"/>
    <cellStyle name="一般 13 2 4 7 3" xfId="14413"/>
    <cellStyle name="一般 13 2 4 8" xfId="5130"/>
    <cellStyle name="一般 13 2 4 8 2" xfId="14415"/>
    <cellStyle name="一般 13 2 4_包裝指示書(裏)" xfId="5131"/>
    <cellStyle name="一般 13 2 5" xfId="5132"/>
    <cellStyle name="一般 13 2 5 10" xfId="5133"/>
    <cellStyle name="一般 13 2 5 10 2" xfId="14417"/>
    <cellStyle name="一般 13 2 5 11" xfId="14416"/>
    <cellStyle name="一般 13 2 5 2" xfId="5134"/>
    <cellStyle name="一般 13 2 5 2 2" xfId="5135"/>
    <cellStyle name="一般 13 2 5 2 2 2" xfId="5136"/>
    <cellStyle name="一般 13 2 5 2 2 2 2" xfId="14420"/>
    <cellStyle name="一般 13 2 5 2 2 3" xfId="14419"/>
    <cellStyle name="一般 13 2 5 2 3" xfId="5137"/>
    <cellStyle name="一般 13 2 5 2 3 2" xfId="5138"/>
    <cellStyle name="一般 13 2 5 2 3 2 2" xfId="14422"/>
    <cellStyle name="一般 13 2 5 2 3 3" xfId="14421"/>
    <cellStyle name="一般 13 2 5 2 4" xfId="5139"/>
    <cellStyle name="一般 13 2 5 2 4 2" xfId="5140"/>
    <cellStyle name="一般 13 2 5 2 4 2 2" xfId="14424"/>
    <cellStyle name="一般 13 2 5 2 4 3" xfId="14423"/>
    <cellStyle name="一般 13 2 5 2 5" xfId="5141"/>
    <cellStyle name="一般 13 2 5 2 5 2" xfId="5142"/>
    <cellStyle name="一般 13 2 5 2 5 2 2" xfId="14426"/>
    <cellStyle name="一般 13 2 5 2 5 3" xfId="14425"/>
    <cellStyle name="一般 13 2 5 2 6" xfId="5143"/>
    <cellStyle name="一般 13 2 5 2 6 2" xfId="5144"/>
    <cellStyle name="一般 13 2 5 2 6 2 2" xfId="14428"/>
    <cellStyle name="一般 13 2 5 2 6 3" xfId="14427"/>
    <cellStyle name="一般 13 2 5 2 7" xfId="5145"/>
    <cellStyle name="一般 13 2 5 2 7 2" xfId="14429"/>
    <cellStyle name="一般 13 2 5 2 8" xfId="5146"/>
    <cellStyle name="一般 13 2 5 2 8 2" xfId="14430"/>
    <cellStyle name="一般 13 2 5 2 9" xfId="14418"/>
    <cellStyle name="一般 13 2 5 2_包裝指示書(裏)" xfId="5147"/>
    <cellStyle name="一般 13 2 5 3" xfId="5148"/>
    <cellStyle name="一般 13 2 5 3 2" xfId="5149"/>
    <cellStyle name="一般 13 2 5 3 2 2" xfId="5150"/>
    <cellStyle name="一般 13 2 5 3 2 2 2" xfId="5151"/>
    <cellStyle name="一般 13 2 5 3 2 2 2 2" xfId="14434"/>
    <cellStyle name="一般 13 2 5 3 2 2 3" xfId="14433"/>
    <cellStyle name="一般 13 2 5 3 2 3" xfId="5152"/>
    <cellStyle name="一般 13 2 5 3 2 3 2" xfId="14435"/>
    <cellStyle name="一般 13 2 5 3 2 4" xfId="14432"/>
    <cellStyle name="一般 13 2 5 3 2_包裝指示書(裏)" xfId="5153"/>
    <cellStyle name="一般 13 2 5 3 3" xfId="5154"/>
    <cellStyle name="一般 13 2 5 3 3 2" xfId="5155"/>
    <cellStyle name="一般 13 2 5 3 3 2 2" xfId="14437"/>
    <cellStyle name="一般 13 2 5 3 3 3" xfId="14436"/>
    <cellStyle name="一般 13 2 5 3 4" xfId="5156"/>
    <cellStyle name="一般 13 2 5 3 4 2" xfId="5157"/>
    <cellStyle name="一般 13 2 5 3 4 2 2" xfId="14439"/>
    <cellStyle name="一般 13 2 5 3 4 3" xfId="14438"/>
    <cellStyle name="一般 13 2 5 3 5" xfId="5158"/>
    <cellStyle name="一般 13 2 5 3 5 2" xfId="5159"/>
    <cellStyle name="一般 13 2 5 3 5 2 2" xfId="14441"/>
    <cellStyle name="一般 13 2 5 3 5 3" xfId="14440"/>
    <cellStyle name="一般 13 2 5 3 6" xfId="5160"/>
    <cellStyle name="一般 13 2 5 3 6 2" xfId="5161"/>
    <cellStyle name="一般 13 2 5 3 6 2 2" xfId="14443"/>
    <cellStyle name="一般 13 2 5 3 6 3" xfId="14442"/>
    <cellStyle name="一般 13 2 5 3 7" xfId="5162"/>
    <cellStyle name="一般 13 2 5 3 7 2" xfId="5163"/>
    <cellStyle name="一般 13 2 5 3 7 2 2" xfId="14445"/>
    <cellStyle name="一般 13 2 5 3 7 3" xfId="14444"/>
    <cellStyle name="一般 13 2 5 3 8" xfId="5164"/>
    <cellStyle name="一般 13 2 5 3 8 2" xfId="14446"/>
    <cellStyle name="一般 13 2 5 3 9" xfId="14431"/>
    <cellStyle name="一般 13 2 5 3_包裝指示書(裏)" xfId="5165"/>
    <cellStyle name="一般 13 2 5 4" xfId="5166"/>
    <cellStyle name="一般 13 2 5 4 2" xfId="5167"/>
    <cellStyle name="一般 13 2 5 4 2 2" xfId="14448"/>
    <cellStyle name="一般 13 2 5 4 3" xfId="5168"/>
    <cellStyle name="一般 13 2 5 4 3 2" xfId="14449"/>
    <cellStyle name="一般 13 2 5 4 4" xfId="5169"/>
    <cellStyle name="一般 13 2 5 4 4 2" xfId="14450"/>
    <cellStyle name="一般 13 2 5 4 5" xfId="5170"/>
    <cellStyle name="一般 13 2 5 4 5 2" xfId="14451"/>
    <cellStyle name="一般 13 2 5 4 6" xfId="14447"/>
    <cellStyle name="一般 13 2 5 5" xfId="5171"/>
    <cellStyle name="一般 13 2 5 5 2" xfId="5172"/>
    <cellStyle name="一般 13 2 5 5 2 2" xfId="14453"/>
    <cellStyle name="一般 13 2 5 5 3" xfId="14452"/>
    <cellStyle name="一般 13 2 5 6" xfId="5173"/>
    <cellStyle name="一般 13 2 5 6 2" xfId="5174"/>
    <cellStyle name="一般 13 2 5 6 2 2" xfId="14455"/>
    <cellStyle name="一般 13 2 5 6 3" xfId="14454"/>
    <cellStyle name="一般 13 2 5 7" xfId="5175"/>
    <cellStyle name="一般 13 2 5 7 2" xfId="5176"/>
    <cellStyle name="一般 13 2 5 7 2 2" xfId="14457"/>
    <cellStyle name="一般 13 2 5 7 3" xfId="14456"/>
    <cellStyle name="一般 13 2 5 8" xfId="5177"/>
    <cellStyle name="一般 13 2 5 8 2" xfId="5178"/>
    <cellStyle name="一般 13 2 5 8 2 2" xfId="14459"/>
    <cellStyle name="一般 13 2 5 8 3" xfId="14458"/>
    <cellStyle name="一般 13 2 5 9" xfId="5179"/>
    <cellStyle name="一般 13 2 5 9 2" xfId="5180"/>
    <cellStyle name="一般 13 2 5 9 2 2" xfId="14461"/>
    <cellStyle name="一般 13 2 5 9 3" xfId="14460"/>
    <cellStyle name="一般 13 2 5_包裝指示書(裏)" xfId="5181"/>
    <cellStyle name="一般 13 2 6" xfId="5182"/>
    <cellStyle name="一般 13 2 6 10" xfId="14462"/>
    <cellStyle name="一般 13 2 6 2" xfId="5183"/>
    <cellStyle name="一般 13 2 6 2 2" xfId="5184"/>
    <cellStyle name="一般 13 2 6 2 2 2" xfId="5185"/>
    <cellStyle name="一般 13 2 6 2 2 2 2" xfId="5186"/>
    <cellStyle name="一般 13 2 6 2 2 2 2 2" xfId="14466"/>
    <cellStyle name="一般 13 2 6 2 2 2 3" xfId="14465"/>
    <cellStyle name="一般 13 2 6 2 2 3" xfId="5187"/>
    <cellStyle name="一般 13 2 6 2 2 3 2" xfId="14467"/>
    <cellStyle name="一般 13 2 6 2 2 4" xfId="14464"/>
    <cellStyle name="一般 13 2 6 2 2_包裝指示書(裏)" xfId="5188"/>
    <cellStyle name="一般 13 2 6 2 3" xfId="5189"/>
    <cellStyle name="一般 13 2 6 2 3 2" xfId="5190"/>
    <cellStyle name="一般 13 2 6 2 3 2 2" xfId="14469"/>
    <cellStyle name="一般 13 2 6 2 3 3" xfId="14468"/>
    <cellStyle name="一般 13 2 6 2 4" xfId="5191"/>
    <cellStyle name="一般 13 2 6 2 4 2" xfId="5192"/>
    <cellStyle name="一般 13 2 6 2 4 2 2" xfId="14471"/>
    <cellStyle name="一般 13 2 6 2 4 3" xfId="14470"/>
    <cellStyle name="一般 13 2 6 2 5" xfId="5193"/>
    <cellStyle name="一般 13 2 6 2 5 2" xfId="5194"/>
    <cellStyle name="一般 13 2 6 2 5 2 2" xfId="14473"/>
    <cellStyle name="一般 13 2 6 2 5 3" xfId="14472"/>
    <cellStyle name="一般 13 2 6 2 6" xfId="5195"/>
    <cellStyle name="一般 13 2 6 2 6 2" xfId="5196"/>
    <cellStyle name="一般 13 2 6 2 6 2 2" xfId="14475"/>
    <cellStyle name="一般 13 2 6 2 6 3" xfId="14474"/>
    <cellStyle name="一般 13 2 6 2 7" xfId="5197"/>
    <cellStyle name="一般 13 2 6 2 7 2" xfId="5198"/>
    <cellStyle name="一般 13 2 6 2 7 2 2" xfId="14477"/>
    <cellStyle name="一般 13 2 6 2 7 3" xfId="14476"/>
    <cellStyle name="一般 13 2 6 2 8" xfId="5199"/>
    <cellStyle name="一般 13 2 6 2 8 2" xfId="14478"/>
    <cellStyle name="一般 13 2 6 2 9" xfId="14463"/>
    <cellStyle name="一般 13 2 6 2_包裝指示書(裏)" xfId="5200"/>
    <cellStyle name="一般 13 2 6 3" xfId="5201"/>
    <cellStyle name="一般 13 2 6 3 2" xfId="5202"/>
    <cellStyle name="一般 13 2 6 3 2 2" xfId="5203"/>
    <cellStyle name="一般 13 2 6 3 2 2 2" xfId="14481"/>
    <cellStyle name="一般 13 2 6 3 2 3" xfId="14480"/>
    <cellStyle name="一般 13 2 6 3 3" xfId="5204"/>
    <cellStyle name="一般 13 2 6 3 3 2" xfId="14482"/>
    <cellStyle name="一般 13 2 6 3 4" xfId="5205"/>
    <cellStyle name="一般 13 2 6 3 4 2" xfId="14483"/>
    <cellStyle name="一般 13 2 6 3 5" xfId="5206"/>
    <cellStyle name="一般 13 2 6 3 5 2" xfId="14484"/>
    <cellStyle name="一般 13 2 6 3 6" xfId="14479"/>
    <cellStyle name="一般 13 2 6 3_包裝指示書(裏)" xfId="5207"/>
    <cellStyle name="一般 13 2 6 4" xfId="5208"/>
    <cellStyle name="一般 13 2 6 4 2" xfId="5209"/>
    <cellStyle name="一般 13 2 6 4 2 2" xfId="14486"/>
    <cellStyle name="一般 13 2 6 4 3" xfId="14485"/>
    <cellStyle name="一般 13 2 6 5" xfId="5210"/>
    <cellStyle name="一般 13 2 6 5 2" xfId="5211"/>
    <cellStyle name="一般 13 2 6 5 2 2" xfId="14488"/>
    <cellStyle name="一般 13 2 6 5 3" xfId="14487"/>
    <cellStyle name="一般 13 2 6 6" xfId="5212"/>
    <cellStyle name="一般 13 2 6 6 2" xfId="5213"/>
    <cellStyle name="一般 13 2 6 6 2 2" xfId="14490"/>
    <cellStyle name="一般 13 2 6 6 3" xfId="14489"/>
    <cellStyle name="一般 13 2 6 7" xfId="5214"/>
    <cellStyle name="一般 13 2 6 7 2" xfId="5215"/>
    <cellStyle name="一般 13 2 6 7 2 2" xfId="14492"/>
    <cellStyle name="一般 13 2 6 7 3" xfId="14491"/>
    <cellStyle name="一般 13 2 6 8" xfId="5216"/>
    <cellStyle name="一般 13 2 6 8 2" xfId="5217"/>
    <cellStyle name="一般 13 2 6 8 2 2" xfId="14494"/>
    <cellStyle name="一般 13 2 6 8 3" xfId="14493"/>
    <cellStyle name="一般 13 2 6 9" xfId="5218"/>
    <cellStyle name="一般 13 2 6 9 2" xfId="14495"/>
    <cellStyle name="一般 13 2 6_包裝指示書(裏)" xfId="5219"/>
    <cellStyle name="一般 13 2 7" xfId="5220"/>
    <cellStyle name="一般 13 2 7 2" xfId="5221"/>
    <cellStyle name="一般 13 2 7 2 2" xfId="5222"/>
    <cellStyle name="一般 13 2 7 2 2 2" xfId="5223"/>
    <cellStyle name="一般 13 2 7 2 2 2 2" xfId="5224"/>
    <cellStyle name="一般 13 2 7 2 2 2 2 2" xfId="14500"/>
    <cellStyle name="一般 13 2 7 2 2 2 3" xfId="14499"/>
    <cellStyle name="一般 13 2 7 2 2 3" xfId="5225"/>
    <cellStyle name="一般 13 2 7 2 2 3 2" xfId="14501"/>
    <cellStyle name="一般 13 2 7 2 2 4" xfId="14498"/>
    <cellStyle name="一般 13 2 7 2 2_包裝指示書(裏)" xfId="5226"/>
    <cellStyle name="一般 13 2 7 2 3" xfId="5227"/>
    <cellStyle name="一般 13 2 7 2 3 2" xfId="5228"/>
    <cellStyle name="一般 13 2 7 2 3 2 2" xfId="14503"/>
    <cellStyle name="一般 13 2 7 2 3 3" xfId="14502"/>
    <cellStyle name="一般 13 2 7 2 4" xfId="5229"/>
    <cellStyle name="一般 13 2 7 2 4 2" xfId="14504"/>
    <cellStyle name="一般 13 2 7 2 5" xfId="5230"/>
    <cellStyle name="一般 13 2 7 2 5 2" xfId="14505"/>
    <cellStyle name="一般 13 2 7 2 6" xfId="14497"/>
    <cellStyle name="一般 13 2 7 2_包裝指示書(裏)" xfId="5231"/>
    <cellStyle name="一般 13 2 7 3" xfId="5232"/>
    <cellStyle name="一般 13 2 7 3 2" xfId="5233"/>
    <cellStyle name="一般 13 2 7 3 2 2" xfId="5234"/>
    <cellStyle name="一般 13 2 7 3 2 2 2" xfId="14508"/>
    <cellStyle name="一般 13 2 7 3 2 3" xfId="14507"/>
    <cellStyle name="一般 13 2 7 3 3" xfId="5235"/>
    <cellStyle name="一般 13 2 7 3 3 2" xfId="14509"/>
    <cellStyle name="一般 13 2 7 3 4" xfId="5236"/>
    <cellStyle name="一般 13 2 7 3 4 2" xfId="14510"/>
    <cellStyle name="一般 13 2 7 3 5" xfId="5237"/>
    <cellStyle name="一般 13 2 7 3 5 2" xfId="14511"/>
    <cellStyle name="一般 13 2 7 3 6" xfId="14506"/>
    <cellStyle name="一般 13 2 7 3_包裝指示書(裏)" xfId="5238"/>
    <cellStyle name="一般 13 2 7 4" xfId="5239"/>
    <cellStyle name="一般 13 2 7 4 2" xfId="5240"/>
    <cellStyle name="一般 13 2 7 4 2 2" xfId="14513"/>
    <cellStyle name="一般 13 2 7 4 3" xfId="14512"/>
    <cellStyle name="一般 13 2 7 5" xfId="5241"/>
    <cellStyle name="一般 13 2 7 5 2" xfId="5242"/>
    <cellStyle name="一般 13 2 7 5 2 2" xfId="14515"/>
    <cellStyle name="一般 13 2 7 5 3" xfId="14514"/>
    <cellStyle name="一般 13 2 7 6" xfId="5243"/>
    <cellStyle name="一般 13 2 7 6 2" xfId="5244"/>
    <cellStyle name="一般 13 2 7 6 2 2" xfId="14517"/>
    <cellStyle name="一般 13 2 7 6 3" xfId="14516"/>
    <cellStyle name="一般 13 2 7 7" xfId="5245"/>
    <cellStyle name="一般 13 2 7 7 2" xfId="5246"/>
    <cellStyle name="一般 13 2 7 7 2 2" xfId="14519"/>
    <cellStyle name="一般 13 2 7 7 3" xfId="14518"/>
    <cellStyle name="一般 13 2 7 8" xfId="5247"/>
    <cellStyle name="一般 13 2 7 8 2" xfId="14520"/>
    <cellStyle name="一般 13 2 7 9" xfId="14496"/>
    <cellStyle name="一般 13 2 7_包裝指示書(裏)" xfId="5248"/>
    <cellStyle name="一般 13 2 8" xfId="5249"/>
    <cellStyle name="一般 13 2 8 2" xfId="5250"/>
    <cellStyle name="一般 13 2 8 2 2" xfId="5251"/>
    <cellStyle name="一般 13 2 8 2 2 2" xfId="5252"/>
    <cellStyle name="一般 13 2 8 2 2 2 2" xfId="5253"/>
    <cellStyle name="一般 13 2 8 2 2 2 2 2" xfId="14525"/>
    <cellStyle name="一般 13 2 8 2 2 2 3" xfId="14524"/>
    <cellStyle name="一般 13 2 8 2 2 3" xfId="5254"/>
    <cellStyle name="一般 13 2 8 2 2 3 2" xfId="14526"/>
    <cellStyle name="一般 13 2 8 2 2 4" xfId="14523"/>
    <cellStyle name="一般 13 2 8 2 2_包裝指示書(裏)" xfId="5255"/>
    <cellStyle name="一般 13 2 8 2 3" xfId="5256"/>
    <cellStyle name="一般 13 2 8 2 3 2" xfId="5257"/>
    <cellStyle name="一般 13 2 8 2 3 2 2" xfId="14528"/>
    <cellStyle name="一般 13 2 8 2 3 3" xfId="14527"/>
    <cellStyle name="一般 13 2 8 2 4" xfId="5258"/>
    <cellStyle name="一般 13 2 8 2 4 2" xfId="14529"/>
    <cellStyle name="一般 13 2 8 2 5" xfId="5259"/>
    <cellStyle name="一般 13 2 8 2 5 2" xfId="14530"/>
    <cellStyle name="一般 13 2 8 2 6" xfId="14522"/>
    <cellStyle name="一般 13 2 8 2_包裝指示書(裏)" xfId="5260"/>
    <cellStyle name="一般 13 2 8 3" xfId="5261"/>
    <cellStyle name="一般 13 2 8 3 2" xfId="5262"/>
    <cellStyle name="一般 13 2 8 3 2 2" xfId="5263"/>
    <cellStyle name="一般 13 2 8 3 2 2 2" xfId="14533"/>
    <cellStyle name="一般 13 2 8 3 2 3" xfId="14532"/>
    <cellStyle name="一般 13 2 8 3 3" xfId="5264"/>
    <cellStyle name="一般 13 2 8 3 3 2" xfId="14534"/>
    <cellStyle name="一般 13 2 8 3 4" xfId="5265"/>
    <cellStyle name="一般 13 2 8 3 4 2" xfId="14535"/>
    <cellStyle name="一般 13 2 8 3 5" xfId="5266"/>
    <cellStyle name="一般 13 2 8 3 5 2" xfId="14536"/>
    <cellStyle name="一般 13 2 8 3 6" xfId="14531"/>
    <cellStyle name="一般 13 2 8 3_包裝指示書(裏)" xfId="5267"/>
    <cellStyle name="一般 13 2 8 4" xfId="5268"/>
    <cellStyle name="一般 13 2 8 4 2" xfId="5269"/>
    <cellStyle name="一般 13 2 8 4 2 2" xfId="14538"/>
    <cellStyle name="一般 13 2 8 4 3" xfId="14537"/>
    <cellStyle name="一般 13 2 8 5" xfId="5270"/>
    <cellStyle name="一般 13 2 8 5 2" xfId="5271"/>
    <cellStyle name="一般 13 2 8 5 2 2" xfId="14540"/>
    <cellStyle name="一般 13 2 8 5 3" xfId="14539"/>
    <cellStyle name="一般 13 2 8 6" xfId="5272"/>
    <cellStyle name="一般 13 2 8 6 2" xfId="5273"/>
    <cellStyle name="一般 13 2 8 6 2 2" xfId="14542"/>
    <cellStyle name="一般 13 2 8 6 3" xfId="14541"/>
    <cellStyle name="一般 13 2 8 7" xfId="5274"/>
    <cellStyle name="一般 13 2 8 7 2" xfId="5275"/>
    <cellStyle name="一般 13 2 8 7 2 2" xfId="14544"/>
    <cellStyle name="一般 13 2 8 7 3" xfId="14543"/>
    <cellStyle name="一般 13 2 8 8" xfId="5276"/>
    <cellStyle name="一般 13 2 8 8 2" xfId="14545"/>
    <cellStyle name="一般 13 2 8 9" xfId="14521"/>
    <cellStyle name="一般 13 2 8_包裝指示書(裏)" xfId="5277"/>
    <cellStyle name="一般 13 2 9" xfId="5278"/>
    <cellStyle name="一般 13 2 9 2" xfId="5279"/>
    <cellStyle name="一般 13 2 9 2 2" xfId="5280"/>
    <cellStyle name="一般 13 2 9 2 2 2" xfId="5281"/>
    <cellStyle name="一般 13 2 9 2 2 2 2" xfId="5282"/>
    <cellStyle name="一般 13 2 9 2 2 2 2 2" xfId="14550"/>
    <cellStyle name="一般 13 2 9 2 2 2 3" xfId="14549"/>
    <cellStyle name="一般 13 2 9 2 2 3" xfId="5283"/>
    <cellStyle name="一般 13 2 9 2 2 3 2" xfId="14551"/>
    <cellStyle name="一般 13 2 9 2 2 4" xfId="14548"/>
    <cellStyle name="一般 13 2 9 2 2_包裝指示書(裏)" xfId="5284"/>
    <cellStyle name="一般 13 2 9 2 3" xfId="5285"/>
    <cellStyle name="一般 13 2 9 2 3 2" xfId="5286"/>
    <cellStyle name="一般 13 2 9 2 3 2 2" xfId="14553"/>
    <cellStyle name="一般 13 2 9 2 3 3" xfId="14552"/>
    <cellStyle name="一般 13 2 9 2 4" xfId="5287"/>
    <cellStyle name="一般 13 2 9 2 4 2" xfId="14554"/>
    <cellStyle name="一般 13 2 9 2 5" xfId="14547"/>
    <cellStyle name="一般 13 2 9 2_包裝指示書(裏)" xfId="5288"/>
    <cellStyle name="一般 13 2 9 3" xfId="5289"/>
    <cellStyle name="一般 13 2 9 3 2" xfId="5290"/>
    <cellStyle name="一般 13 2 9 3 2 2" xfId="5291"/>
    <cellStyle name="一般 13 2 9 3 2 2 2" xfId="14557"/>
    <cellStyle name="一般 13 2 9 3 2 3" xfId="14556"/>
    <cellStyle name="一般 13 2 9 3 3" xfId="5292"/>
    <cellStyle name="一般 13 2 9 3 3 2" xfId="14558"/>
    <cellStyle name="一般 13 2 9 3 4" xfId="14555"/>
    <cellStyle name="一般 13 2 9 3_包裝指示書(裏)" xfId="5293"/>
    <cellStyle name="一般 13 2 9 4" xfId="5294"/>
    <cellStyle name="一般 13 2 9 4 2" xfId="5295"/>
    <cellStyle name="一般 13 2 9 4 2 2" xfId="14560"/>
    <cellStyle name="一般 13 2 9 4 3" xfId="14559"/>
    <cellStyle name="一般 13 2 9 5" xfId="5296"/>
    <cellStyle name="一般 13 2 9 5 2" xfId="5297"/>
    <cellStyle name="一般 13 2 9 5 2 2" xfId="14562"/>
    <cellStyle name="一般 13 2 9 5 3" xfId="14561"/>
    <cellStyle name="一般 13 2 9 6" xfId="5298"/>
    <cellStyle name="一般 13 2 9 6 2" xfId="5299"/>
    <cellStyle name="一般 13 2 9 6 2 2" xfId="14564"/>
    <cellStyle name="一般 13 2 9 6 3" xfId="14563"/>
    <cellStyle name="一般 13 2 9 7" xfId="5300"/>
    <cellStyle name="一般 13 2 9 7 2" xfId="5301"/>
    <cellStyle name="一般 13 2 9 7 2 2" xfId="14566"/>
    <cellStyle name="一般 13 2 9 7 3" xfId="14565"/>
    <cellStyle name="一般 13 2 9 8" xfId="5302"/>
    <cellStyle name="一般 13 2 9 8 2" xfId="14567"/>
    <cellStyle name="一般 13 2 9 9" xfId="14546"/>
    <cellStyle name="一般 13 2 9_包裝指示書(裏)" xfId="5303"/>
    <cellStyle name="一般 13 2_包裝指示書(裏)" xfId="5304"/>
    <cellStyle name="一般 13 20" xfId="5305"/>
    <cellStyle name="一般 13 20 2" xfId="5306"/>
    <cellStyle name="一般 13 20 2 2" xfId="14569"/>
    <cellStyle name="一般 13 20 3" xfId="14568"/>
    <cellStyle name="一般 13 21" xfId="5307"/>
    <cellStyle name="一般 13 21 2" xfId="14570"/>
    <cellStyle name="一般 13 22" xfId="11075"/>
    <cellStyle name="一般 13 3" xfId="1145"/>
    <cellStyle name="一般 13 3 10" xfId="5308"/>
    <cellStyle name="一般 13 3 10 2" xfId="5309"/>
    <cellStyle name="一般 13 3 10 2 2" xfId="5310"/>
    <cellStyle name="一般 13 3 10 2 2 2" xfId="5311"/>
    <cellStyle name="一般 13 3 10 2 2 2 2" xfId="14574"/>
    <cellStyle name="一般 13 3 10 2 2 3" xfId="14573"/>
    <cellStyle name="一般 13 3 10 2 3" xfId="5312"/>
    <cellStyle name="一般 13 3 10 2 3 2" xfId="5313"/>
    <cellStyle name="一般 13 3 10 2 3 2 2" xfId="14576"/>
    <cellStyle name="一般 13 3 10 2 3 3" xfId="14575"/>
    <cellStyle name="一般 13 3 10 2 4" xfId="5314"/>
    <cellStyle name="一般 13 3 10 2 4 2" xfId="14577"/>
    <cellStyle name="一般 13 3 10 2 5" xfId="14572"/>
    <cellStyle name="一般 13 3 10 2_包裝指示書(裏)" xfId="5315"/>
    <cellStyle name="一般 13 3 10 3" xfId="5316"/>
    <cellStyle name="一般 13 3 10 3 2" xfId="5317"/>
    <cellStyle name="一般 13 3 10 3 2 2" xfId="5318"/>
    <cellStyle name="一般 13 3 10 3 2 2 2" xfId="14580"/>
    <cellStyle name="一般 13 3 10 3 2 3" xfId="14579"/>
    <cellStyle name="一般 13 3 10 3 3" xfId="5319"/>
    <cellStyle name="一般 13 3 10 3 3 2" xfId="14581"/>
    <cellStyle name="一般 13 3 10 3 4" xfId="14578"/>
    <cellStyle name="一般 13 3 10 3_包裝指示書(裏)" xfId="5320"/>
    <cellStyle name="一般 13 3 10 4" xfId="5321"/>
    <cellStyle name="一般 13 3 10 4 2" xfId="5322"/>
    <cellStyle name="一般 13 3 10 4 2 2" xfId="14583"/>
    <cellStyle name="一般 13 3 10 4 3" xfId="14582"/>
    <cellStyle name="一般 13 3 10 5" xfId="5323"/>
    <cellStyle name="一般 13 3 10 5 2" xfId="14584"/>
    <cellStyle name="一般 13 3 10 6" xfId="14571"/>
    <cellStyle name="一般 13 3 10_包裝指示書(裏)" xfId="5324"/>
    <cellStyle name="一般 13 3 11" xfId="5325"/>
    <cellStyle name="一般 13 3 11 2" xfId="5326"/>
    <cellStyle name="一般 13 3 11 2 2" xfId="5327"/>
    <cellStyle name="一般 13 3 11 2 2 2" xfId="5328"/>
    <cellStyle name="一般 13 3 11 2 2 2 2" xfId="14588"/>
    <cellStyle name="一般 13 3 11 2 2 3" xfId="14587"/>
    <cellStyle name="一般 13 3 11 2 3" xfId="5329"/>
    <cellStyle name="一般 13 3 11 2 3 2" xfId="5330"/>
    <cellStyle name="一般 13 3 11 2 3 2 2" xfId="14590"/>
    <cellStyle name="一般 13 3 11 2 3 3" xfId="14589"/>
    <cellStyle name="一般 13 3 11 2 4" xfId="5331"/>
    <cellStyle name="一般 13 3 11 2 4 2" xfId="14591"/>
    <cellStyle name="一般 13 3 11 2 5" xfId="14586"/>
    <cellStyle name="一般 13 3 11 2_包裝指示書(裏)" xfId="5332"/>
    <cellStyle name="一般 13 3 11 3" xfId="5333"/>
    <cellStyle name="一般 13 3 11 3 2" xfId="5334"/>
    <cellStyle name="一般 13 3 11 3 2 2" xfId="14593"/>
    <cellStyle name="一般 13 3 11 3 3" xfId="14592"/>
    <cellStyle name="一般 13 3 11 4" xfId="5335"/>
    <cellStyle name="一般 13 3 11 4 2" xfId="5336"/>
    <cellStyle name="一般 13 3 11 4 2 2" xfId="14595"/>
    <cellStyle name="一般 13 3 11 4 3" xfId="14594"/>
    <cellStyle name="一般 13 3 11 5" xfId="5337"/>
    <cellStyle name="一般 13 3 11 5 2" xfId="14596"/>
    <cellStyle name="一般 13 3 11 6" xfId="14585"/>
    <cellStyle name="一般 13 3 11_包裝指示書(裏)" xfId="5338"/>
    <cellStyle name="一般 13 3 12" xfId="5339"/>
    <cellStyle name="一般 13 3 12 2" xfId="5340"/>
    <cellStyle name="一般 13 3 12 2 2" xfId="5341"/>
    <cellStyle name="一般 13 3 12 2 2 2" xfId="5342"/>
    <cellStyle name="一般 13 3 12 2 2 2 2" xfId="14600"/>
    <cellStyle name="一般 13 3 12 2 2 3" xfId="14599"/>
    <cellStyle name="一般 13 3 12 2 3" xfId="5343"/>
    <cellStyle name="一般 13 3 12 2 3 2" xfId="5344"/>
    <cellStyle name="一般 13 3 12 2 3 2 2" xfId="14602"/>
    <cellStyle name="一般 13 3 12 2 3 3" xfId="14601"/>
    <cellStyle name="一般 13 3 12 2 4" xfId="5345"/>
    <cellStyle name="一般 13 3 12 2 4 2" xfId="14603"/>
    <cellStyle name="一般 13 3 12 2 5" xfId="14598"/>
    <cellStyle name="一般 13 3 12 2_包裝指示書(裏)" xfId="5346"/>
    <cellStyle name="一般 13 3 12 3" xfId="5347"/>
    <cellStyle name="一般 13 3 12 3 2" xfId="5348"/>
    <cellStyle name="一般 13 3 12 3 2 2" xfId="14605"/>
    <cellStyle name="一般 13 3 12 3 3" xfId="14604"/>
    <cellStyle name="一般 13 3 12 4" xfId="5349"/>
    <cellStyle name="一般 13 3 12 4 2" xfId="5350"/>
    <cellStyle name="一般 13 3 12 4 2 2" xfId="14607"/>
    <cellStyle name="一般 13 3 12 4 3" xfId="14606"/>
    <cellStyle name="一般 13 3 12 5" xfId="5351"/>
    <cellStyle name="一般 13 3 12 5 2" xfId="14608"/>
    <cellStyle name="一般 13 3 12 6" xfId="14597"/>
    <cellStyle name="一般 13 3 12_包裝指示書(裏)" xfId="5352"/>
    <cellStyle name="一般 13 3 13" xfId="5353"/>
    <cellStyle name="一般 13 3 13 2" xfId="5354"/>
    <cellStyle name="一般 13 3 13 2 2" xfId="5355"/>
    <cellStyle name="一般 13 3 13 2 2 2" xfId="14611"/>
    <cellStyle name="一般 13 3 13 2 3" xfId="14610"/>
    <cellStyle name="一般 13 3 13 3" xfId="5356"/>
    <cellStyle name="一般 13 3 13 3 2" xfId="5357"/>
    <cellStyle name="一般 13 3 13 3 2 2" xfId="14613"/>
    <cellStyle name="一般 13 3 13 3 3" xfId="14612"/>
    <cellStyle name="一般 13 3 13 4" xfId="5358"/>
    <cellStyle name="一般 13 3 13 4 2" xfId="14614"/>
    <cellStyle name="一般 13 3 13 5" xfId="14609"/>
    <cellStyle name="一般 13 3 13_包裝指示書(裏)" xfId="5359"/>
    <cellStyle name="一般 13 3 14" xfId="5360"/>
    <cellStyle name="一般 13 3 14 2" xfId="5361"/>
    <cellStyle name="一般 13 3 14 2 2" xfId="5362"/>
    <cellStyle name="一般 13 3 14 2 2 2" xfId="14617"/>
    <cellStyle name="一般 13 3 14 2 3" xfId="14616"/>
    <cellStyle name="一般 13 3 14 3" xfId="5363"/>
    <cellStyle name="一般 13 3 14 3 2" xfId="14618"/>
    <cellStyle name="一般 13 3 14 4" xfId="14615"/>
    <cellStyle name="一般 13 3 14_包裝指示書(裏)" xfId="5364"/>
    <cellStyle name="一般 13 3 15" xfId="5365"/>
    <cellStyle name="一般 13 3 15 2" xfId="5366"/>
    <cellStyle name="一般 13 3 15 2 2" xfId="14620"/>
    <cellStyle name="一般 13 3 15 3" xfId="14619"/>
    <cellStyle name="一般 13 3 16" xfId="5367"/>
    <cellStyle name="一般 13 3 16 2" xfId="5368"/>
    <cellStyle name="一般 13 3 16 2 2" xfId="14622"/>
    <cellStyle name="一般 13 3 16 3" xfId="14621"/>
    <cellStyle name="一般 13 3 17" xfId="5369"/>
    <cellStyle name="一般 13 3 17 2" xfId="14623"/>
    <cellStyle name="一般 13 3 18" xfId="11079"/>
    <cellStyle name="一般 13 3 2" xfId="5370"/>
    <cellStyle name="一般 13 3 2 10" xfId="5371"/>
    <cellStyle name="一般 13 3 2 10 2" xfId="5372"/>
    <cellStyle name="一般 13 3 2 10 2 2" xfId="5373"/>
    <cellStyle name="一般 13 3 2 10 2 2 2" xfId="5374"/>
    <cellStyle name="一般 13 3 2 10 2 2 2 2" xfId="14627"/>
    <cellStyle name="一般 13 3 2 10 2 2 3" xfId="14626"/>
    <cellStyle name="一般 13 3 2 10 2 3" xfId="5375"/>
    <cellStyle name="一般 13 3 2 10 2 3 2" xfId="5376"/>
    <cellStyle name="一般 13 3 2 10 2 3 2 2" xfId="14629"/>
    <cellStyle name="一般 13 3 2 10 2 3 3" xfId="14628"/>
    <cellStyle name="一般 13 3 2 10 2 4" xfId="5377"/>
    <cellStyle name="一般 13 3 2 10 2 4 2" xfId="14630"/>
    <cellStyle name="一般 13 3 2 10 2 5" xfId="14625"/>
    <cellStyle name="一般 13 3 2 10 2_包裝指示書(裏)" xfId="5378"/>
    <cellStyle name="一般 13 3 2 10 3" xfId="5379"/>
    <cellStyle name="一般 13 3 2 10 3 2" xfId="5380"/>
    <cellStyle name="一般 13 3 2 10 3 2 2" xfId="14632"/>
    <cellStyle name="一般 13 3 2 10 3 3" xfId="14631"/>
    <cellStyle name="一般 13 3 2 10 4" xfId="5381"/>
    <cellStyle name="一般 13 3 2 10 4 2" xfId="5382"/>
    <cellStyle name="一般 13 3 2 10 4 2 2" xfId="14634"/>
    <cellStyle name="一般 13 3 2 10 4 3" xfId="14633"/>
    <cellStyle name="一般 13 3 2 10 5" xfId="5383"/>
    <cellStyle name="一般 13 3 2 10 5 2" xfId="14635"/>
    <cellStyle name="一般 13 3 2 10 6" xfId="14624"/>
    <cellStyle name="一般 13 3 2 10_包裝指示書(裏)" xfId="5384"/>
    <cellStyle name="一般 13 3 2 11" xfId="5385"/>
    <cellStyle name="一般 13 3 2 11 2" xfId="5386"/>
    <cellStyle name="一般 13 3 2 11 2 2" xfId="5387"/>
    <cellStyle name="一般 13 3 2 11 2 2 2" xfId="5388"/>
    <cellStyle name="一般 13 3 2 11 2 2 2 2" xfId="14639"/>
    <cellStyle name="一般 13 3 2 11 2 2 3" xfId="14638"/>
    <cellStyle name="一般 13 3 2 11 2 3" xfId="5389"/>
    <cellStyle name="一般 13 3 2 11 2 3 2" xfId="5390"/>
    <cellStyle name="一般 13 3 2 11 2 3 2 2" xfId="14641"/>
    <cellStyle name="一般 13 3 2 11 2 3 3" xfId="14640"/>
    <cellStyle name="一般 13 3 2 11 2 4" xfId="5391"/>
    <cellStyle name="一般 13 3 2 11 2 4 2" xfId="14642"/>
    <cellStyle name="一般 13 3 2 11 2 5" xfId="14637"/>
    <cellStyle name="一般 13 3 2 11 2_包裝指示書(裏)" xfId="5392"/>
    <cellStyle name="一般 13 3 2 11 3" xfId="5393"/>
    <cellStyle name="一般 13 3 2 11 3 2" xfId="5394"/>
    <cellStyle name="一般 13 3 2 11 3 2 2" xfId="14644"/>
    <cellStyle name="一般 13 3 2 11 3 3" xfId="14643"/>
    <cellStyle name="一般 13 3 2 11 4" xfId="5395"/>
    <cellStyle name="一般 13 3 2 11 4 2" xfId="5396"/>
    <cellStyle name="一般 13 3 2 11 4 2 2" xfId="14646"/>
    <cellStyle name="一般 13 3 2 11 4 3" xfId="14645"/>
    <cellStyle name="一般 13 3 2 11 5" xfId="5397"/>
    <cellStyle name="一般 13 3 2 11 5 2" xfId="14647"/>
    <cellStyle name="一般 13 3 2 11 6" xfId="14636"/>
    <cellStyle name="一般 13 3 2 11_包裝指示書(裏)" xfId="5398"/>
    <cellStyle name="一般 13 3 2 12" xfId="5399"/>
    <cellStyle name="一般 13 3 2 12 2" xfId="5400"/>
    <cellStyle name="一般 13 3 2 12 2 2" xfId="5401"/>
    <cellStyle name="一般 13 3 2 12 2 2 2" xfId="14650"/>
    <cellStyle name="一般 13 3 2 12 2 3" xfId="14649"/>
    <cellStyle name="一般 13 3 2 12 3" xfId="5402"/>
    <cellStyle name="一般 13 3 2 12 3 2" xfId="5403"/>
    <cellStyle name="一般 13 3 2 12 3 2 2" xfId="14652"/>
    <cellStyle name="一般 13 3 2 12 3 3" xfId="14651"/>
    <cellStyle name="一般 13 3 2 12 4" xfId="5404"/>
    <cellStyle name="一般 13 3 2 12 4 2" xfId="14653"/>
    <cellStyle name="一般 13 3 2 12 5" xfId="14648"/>
    <cellStyle name="一般 13 3 2 12_包裝指示書(裏)" xfId="5405"/>
    <cellStyle name="一般 13 3 2 13" xfId="5406"/>
    <cellStyle name="一般 13 3 2 13 2" xfId="5407"/>
    <cellStyle name="一般 13 3 2 13 2 2" xfId="5408"/>
    <cellStyle name="一般 13 3 2 13 2 2 2" xfId="14656"/>
    <cellStyle name="一般 13 3 2 13 2 3" xfId="14655"/>
    <cellStyle name="一般 13 3 2 13 3" xfId="5409"/>
    <cellStyle name="一般 13 3 2 13 3 2" xfId="14657"/>
    <cellStyle name="一般 13 3 2 13 4" xfId="14654"/>
    <cellStyle name="一般 13 3 2 13_包裝指示書(裏)" xfId="5410"/>
    <cellStyle name="一般 13 3 2 14" xfId="5411"/>
    <cellStyle name="一般 13 3 2 14 2" xfId="5412"/>
    <cellStyle name="一般 13 3 2 14 2 2" xfId="14659"/>
    <cellStyle name="一般 13 3 2 14 3" xfId="14658"/>
    <cellStyle name="一般 13 3 2 15" xfId="5413"/>
    <cellStyle name="一般 13 3 2 15 2" xfId="14660"/>
    <cellStyle name="一般 13 3 2 16" xfId="5414"/>
    <cellStyle name="一般 13 3 2 16 2" xfId="14661"/>
    <cellStyle name="一般 13 3 2 2" xfId="5415"/>
    <cellStyle name="一般 13 3 2 2 10" xfId="5416"/>
    <cellStyle name="一般 13 3 2 2 10 2" xfId="5417"/>
    <cellStyle name="一般 13 3 2 2 10 2 2" xfId="5418"/>
    <cellStyle name="一般 13 3 2 2 10 2 2 2" xfId="5419"/>
    <cellStyle name="一般 13 3 2 2 10 2 2 2 2" xfId="14666"/>
    <cellStyle name="一般 13 3 2 2 10 2 2 3" xfId="14665"/>
    <cellStyle name="一般 13 3 2 2 10 2 3" xfId="5420"/>
    <cellStyle name="一般 13 3 2 2 10 2 3 2" xfId="5421"/>
    <cellStyle name="一般 13 3 2 2 10 2 3 2 2" xfId="14668"/>
    <cellStyle name="一般 13 3 2 2 10 2 3 3" xfId="14667"/>
    <cellStyle name="一般 13 3 2 2 10 2 4" xfId="5422"/>
    <cellStyle name="一般 13 3 2 2 10 2 4 2" xfId="14669"/>
    <cellStyle name="一般 13 3 2 2 10 2 5" xfId="14664"/>
    <cellStyle name="一般 13 3 2 2 10 2_包裝指示書(裏)" xfId="5423"/>
    <cellStyle name="一般 13 3 2 2 10 3" xfId="5424"/>
    <cellStyle name="一般 13 3 2 2 10 3 2" xfId="5425"/>
    <cellStyle name="一般 13 3 2 2 10 3 2 2" xfId="14671"/>
    <cellStyle name="一般 13 3 2 2 10 3 3" xfId="14670"/>
    <cellStyle name="一般 13 3 2 2 10 4" xfId="5426"/>
    <cellStyle name="一般 13 3 2 2 10 4 2" xfId="5427"/>
    <cellStyle name="一般 13 3 2 2 10 4 2 2" xfId="14673"/>
    <cellStyle name="一般 13 3 2 2 10 4 3" xfId="14672"/>
    <cellStyle name="一般 13 3 2 2 10 5" xfId="5428"/>
    <cellStyle name="一般 13 3 2 2 10 5 2" xfId="14674"/>
    <cellStyle name="一般 13 3 2 2 10 6" xfId="14663"/>
    <cellStyle name="一般 13 3 2 2 10_包裝指示書(裏)" xfId="5429"/>
    <cellStyle name="一般 13 3 2 2 11" xfId="5430"/>
    <cellStyle name="一般 13 3 2 2 11 2" xfId="5431"/>
    <cellStyle name="一般 13 3 2 2 11 2 2" xfId="5432"/>
    <cellStyle name="一般 13 3 2 2 11 2 2 2" xfId="14677"/>
    <cellStyle name="一般 13 3 2 2 11 2 3" xfId="14676"/>
    <cellStyle name="一般 13 3 2 2 11 3" xfId="5433"/>
    <cellStyle name="一般 13 3 2 2 11 3 2" xfId="5434"/>
    <cellStyle name="一般 13 3 2 2 11 3 2 2" xfId="14679"/>
    <cellStyle name="一般 13 3 2 2 11 3 3" xfId="14678"/>
    <cellStyle name="一般 13 3 2 2 11 4" xfId="5435"/>
    <cellStyle name="一般 13 3 2 2 11 4 2" xfId="14680"/>
    <cellStyle name="一般 13 3 2 2 11 5" xfId="14675"/>
    <cellStyle name="一般 13 3 2 2 11_包裝指示書(裏)" xfId="5436"/>
    <cellStyle name="一般 13 3 2 2 12" xfId="5437"/>
    <cellStyle name="一般 13 3 2 2 12 2" xfId="5438"/>
    <cellStyle name="一般 13 3 2 2 12 2 2" xfId="5439"/>
    <cellStyle name="一般 13 3 2 2 12 2 2 2" xfId="14683"/>
    <cellStyle name="一般 13 3 2 2 12 2 3" xfId="14682"/>
    <cellStyle name="一般 13 3 2 2 12 3" xfId="5440"/>
    <cellStyle name="一般 13 3 2 2 12 3 2" xfId="14684"/>
    <cellStyle name="一般 13 3 2 2 12 4" xfId="14681"/>
    <cellStyle name="一般 13 3 2 2 12_包裝指示書(裏)" xfId="5441"/>
    <cellStyle name="一般 13 3 2 2 13" xfId="5442"/>
    <cellStyle name="一般 13 3 2 2 13 2" xfId="5443"/>
    <cellStyle name="一般 13 3 2 2 13 2 2" xfId="14686"/>
    <cellStyle name="一般 13 3 2 2 13 3" xfId="14685"/>
    <cellStyle name="一般 13 3 2 2 14" xfId="5444"/>
    <cellStyle name="一般 13 3 2 2 14 2" xfId="5445"/>
    <cellStyle name="一般 13 3 2 2 14 2 2" xfId="14688"/>
    <cellStyle name="一般 13 3 2 2 14 3" xfId="14687"/>
    <cellStyle name="一般 13 3 2 2 15" xfId="5446"/>
    <cellStyle name="一般 13 3 2 2 15 2" xfId="14689"/>
    <cellStyle name="一般 13 3 2 2 16" xfId="14662"/>
    <cellStyle name="一般 13 3 2 2 2" xfId="5447"/>
    <cellStyle name="一般 13 3 2 2 2 10" xfId="14690"/>
    <cellStyle name="一般 13 3 2 2 2 2" xfId="5448"/>
    <cellStyle name="一般 13 3 2 2 2 2 2" xfId="5449"/>
    <cellStyle name="一般 13 3 2 2 2 2 2 2" xfId="5450"/>
    <cellStyle name="一般 13 3 2 2 2 2 2 2 2" xfId="5451"/>
    <cellStyle name="一般 13 3 2 2 2 2 2 2 2 2" xfId="14694"/>
    <cellStyle name="一般 13 3 2 2 2 2 2 2 3" xfId="14693"/>
    <cellStyle name="一般 13 3 2 2 2 2 2 3" xfId="5452"/>
    <cellStyle name="一般 13 3 2 2 2 2 2 3 2" xfId="14695"/>
    <cellStyle name="一般 13 3 2 2 2 2 2 4" xfId="14692"/>
    <cellStyle name="一般 13 3 2 2 2 2 2_包裝指示書(裏)" xfId="5453"/>
    <cellStyle name="一般 13 3 2 2 2 2 3" xfId="5454"/>
    <cellStyle name="一般 13 3 2 2 2 2 3 2" xfId="5455"/>
    <cellStyle name="一般 13 3 2 2 2 2 3 2 2" xfId="14697"/>
    <cellStyle name="一般 13 3 2 2 2 2 3 3" xfId="14696"/>
    <cellStyle name="一般 13 3 2 2 2 2 4" xfId="5456"/>
    <cellStyle name="一般 13 3 2 2 2 2 4 2" xfId="5457"/>
    <cellStyle name="一般 13 3 2 2 2 2 4 2 2" xfId="14699"/>
    <cellStyle name="一般 13 3 2 2 2 2 4 3" xfId="14698"/>
    <cellStyle name="一般 13 3 2 2 2 2 5" xfId="5458"/>
    <cellStyle name="一般 13 3 2 2 2 2 5 2" xfId="5459"/>
    <cellStyle name="一般 13 3 2 2 2 2 5 2 2" xfId="14701"/>
    <cellStyle name="一般 13 3 2 2 2 2 5 3" xfId="14700"/>
    <cellStyle name="一般 13 3 2 2 2 2 6" xfId="5460"/>
    <cellStyle name="一般 13 3 2 2 2 2 6 2" xfId="5461"/>
    <cellStyle name="一般 13 3 2 2 2 2 6 2 2" xfId="14703"/>
    <cellStyle name="一般 13 3 2 2 2 2 6 3" xfId="14702"/>
    <cellStyle name="一般 13 3 2 2 2 2 7" xfId="5462"/>
    <cellStyle name="一般 13 3 2 2 2 2 7 2" xfId="5463"/>
    <cellStyle name="一般 13 3 2 2 2 2 7 2 2" xfId="14705"/>
    <cellStyle name="一般 13 3 2 2 2 2 7 3" xfId="14704"/>
    <cellStyle name="一般 13 3 2 2 2 2 8" xfId="5464"/>
    <cellStyle name="一般 13 3 2 2 2 2 8 2" xfId="14706"/>
    <cellStyle name="一般 13 3 2 2 2 2 9" xfId="14691"/>
    <cellStyle name="一般 13 3 2 2 2 2_包裝指示書(裏)" xfId="5465"/>
    <cellStyle name="一般 13 3 2 2 2 3" xfId="5466"/>
    <cellStyle name="一般 13 3 2 2 2 3 2" xfId="5467"/>
    <cellStyle name="一般 13 3 2 2 2 3 2 2" xfId="5468"/>
    <cellStyle name="一般 13 3 2 2 2 3 2 2 2" xfId="14709"/>
    <cellStyle name="一般 13 3 2 2 2 3 2 3" xfId="14708"/>
    <cellStyle name="一般 13 3 2 2 2 3 3" xfId="5469"/>
    <cellStyle name="一般 13 3 2 2 2 3 3 2" xfId="14710"/>
    <cellStyle name="一般 13 3 2 2 2 3 4" xfId="5470"/>
    <cellStyle name="一般 13 3 2 2 2 3 4 2" xfId="14711"/>
    <cellStyle name="一般 13 3 2 2 2 3 5" xfId="5471"/>
    <cellStyle name="一般 13 3 2 2 2 3 5 2" xfId="14712"/>
    <cellStyle name="一般 13 3 2 2 2 3 6" xfId="14707"/>
    <cellStyle name="一般 13 3 2 2 2 3_包裝指示書(裏)" xfId="5472"/>
    <cellStyle name="一般 13 3 2 2 2 4" xfId="5473"/>
    <cellStyle name="一般 13 3 2 2 2 4 2" xfId="5474"/>
    <cellStyle name="一般 13 3 2 2 2 4 2 2" xfId="14714"/>
    <cellStyle name="一般 13 3 2 2 2 4 3" xfId="14713"/>
    <cellStyle name="一般 13 3 2 2 2 5" xfId="5475"/>
    <cellStyle name="一般 13 3 2 2 2 5 2" xfId="5476"/>
    <cellStyle name="一般 13 3 2 2 2 5 2 2" xfId="14716"/>
    <cellStyle name="一般 13 3 2 2 2 5 3" xfId="14715"/>
    <cellStyle name="一般 13 3 2 2 2 6" xfId="5477"/>
    <cellStyle name="一般 13 3 2 2 2 6 2" xfId="5478"/>
    <cellStyle name="一般 13 3 2 2 2 6 2 2" xfId="14718"/>
    <cellStyle name="一般 13 3 2 2 2 6 3" xfId="14717"/>
    <cellStyle name="一般 13 3 2 2 2 7" xfId="5479"/>
    <cellStyle name="一般 13 3 2 2 2 7 2" xfId="5480"/>
    <cellStyle name="一般 13 3 2 2 2 7 2 2" xfId="14720"/>
    <cellStyle name="一般 13 3 2 2 2 7 3" xfId="14719"/>
    <cellStyle name="一般 13 3 2 2 2 8" xfId="5481"/>
    <cellStyle name="一般 13 3 2 2 2 8 2" xfId="5482"/>
    <cellStyle name="一般 13 3 2 2 2 8 2 2" xfId="14722"/>
    <cellStyle name="一般 13 3 2 2 2 8 3" xfId="14721"/>
    <cellStyle name="一般 13 3 2 2 2 9" xfId="5483"/>
    <cellStyle name="一般 13 3 2 2 2 9 2" xfId="14723"/>
    <cellStyle name="一般 13 3 2 2 2_包裝指示書(裏)" xfId="5484"/>
    <cellStyle name="一般 13 3 2 2 3" xfId="5485"/>
    <cellStyle name="一般 13 3 2 2 3 10" xfId="14724"/>
    <cellStyle name="一般 13 3 2 2 3 2" xfId="5486"/>
    <cellStyle name="一般 13 3 2 2 3 2 2" xfId="5487"/>
    <cellStyle name="一般 13 3 2 2 3 2 2 2" xfId="5488"/>
    <cellStyle name="一般 13 3 2 2 3 2 2 2 2" xfId="5489"/>
    <cellStyle name="一般 13 3 2 2 3 2 2 2 2 2" xfId="14728"/>
    <cellStyle name="一般 13 3 2 2 3 2 2 2 3" xfId="14727"/>
    <cellStyle name="一般 13 3 2 2 3 2 2 3" xfId="5490"/>
    <cellStyle name="一般 13 3 2 2 3 2 2 3 2" xfId="14729"/>
    <cellStyle name="一般 13 3 2 2 3 2 2 4" xfId="14726"/>
    <cellStyle name="一般 13 3 2 2 3 2 2_包裝指示書(裏)" xfId="5491"/>
    <cellStyle name="一般 13 3 2 2 3 2 3" xfId="5492"/>
    <cellStyle name="一般 13 3 2 2 3 2 3 2" xfId="5493"/>
    <cellStyle name="一般 13 3 2 2 3 2 3 2 2" xfId="14731"/>
    <cellStyle name="一般 13 3 2 2 3 2 3 3" xfId="14730"/>
    <cellStyle name="一般 13 3 2 2 3 2 4" xfId="5494"/>
    <cellStyle name="一般 13 3 2 2 3 2 4 2" xfId="5495"/>
    <cellStyle name="一般 13 3 2 2 3 2 4 2 2" xfId="14733"/>
    <cellStyle name="一般 13 3 2 2 3 2 4 3" xfId="14732"/>
    <cellStyle name="一般 13 3 2 2 3 2 5" xfId="5496"/>
    <cellStyle name="一般 13 3 2 2 3 2 5 2" xfId="5497"/>
    <cellStyle name="一般 13 3 2 2 3 2 5 2 2" xfId="14735"/>
    <cellStyle name="一般 13 3 2 2 3 2 5 3" xfId="14734"/>
    <cellStyle name="一般 13 3 2 2 3 2 6" xfId="5498"/>
    <cellStyle name="一般 13 3 2 2 3 2 6 2" xfId="5499"/>
    <cellStyle name="一般 13 3 2 2 3 2 6 2 2" xfId="14737"/>
    <cellStyle name="一般 13 3 2 2 3 2 6 3" xfId="14736"/>
    <cellStyle name="一般 13 3 2 2 3 2 7" xfId="5500"/>
    <cellStyle name="一般 13 3 2 2 3 2 7 2" xfId="5501"/>
    <cellStyle name="一般 13 3 2 2 3 2 7 2 2" xfId="14739"/>
    <cellStyle name="一般 13 3 2 2 3 2 7 3" xfId="14738"/>
    <cellStyle name="一般 13 3 2 2 3 2 8" xfId="5502"/>
    <cellStyle name="一般 13 3 2 2 3 2 8 2" xfId="14740"/>
    <cellStyle name="一般 13 3 2 2 3 2 9" xfId="14725"/>
    <cellStyle name="一般 13 3 2 2 3 2_包裝指示書(裏)" xfId="5503"/>
    <cellStyle name="一般 13 3 2 2 3 3" xfId="5504"/>
    <cellStyle name="一般 13 3 2 2 3 3 2" xfId="5505"/>
    <cellStyle name="一般 13 3 2 2 3 3 2 2" xfId="5506"/>
    <cellStyle name="一般 13 3 2 2 3 3 2 2 2" xfId="14743"/>
    <cellStyle name="一般 13 3 2 2 3 3 2 3" xfId="14742"/>
    <cellStyle name="一般 13 3 2 2 3 3 3" xfId="5507"/>
    <cellStyle name="一般 13 3 2 2 3 3 3 2" xfId="14744"/>
    <cellStyle name="一般 13 3 2 2 3 3 4" xfId="5508"/>
    <cellStyle name="一般 13 3 2 2 3 3 4 2" xfId="14745"/>
    <cellStyle name="一般 13 3 2 2 3 3 5" xfId="5509"/>
    <cellStyle name="一般 13 3 2 2 3 3 5 2" xfId="14746"/>
    <cellStyle name="一般 13 3 2 2 3 3 6" xfId="14741"/>
    <cellStyle name="一般 13 3 2 2 3 3_包裝指示書(裏)" xfId="5510"/>
    <cellStyle name="一般 13 3 2 2 3 4" xfId="5511"/>
    <cellStyle name="一般 13 3 2 2 3 4 2" xfId="5512"/>
    <cellStyle name="一般 13 3 2 2 3 4 2 2" xfId="14748"/>
    <cellStyle name="一般 13 3 2 2 3 4 3" xfId="14747"/>
    <cellStyle name="一般 13 3 2 2 3 5" xfId="5513"/>
    <cellStyle name="一般 13 3 2 2 3 5 2" xfId="5514"/>
    <cellStyle name="一般 13 3 2 2 3 5 2 2" xfId="14750"/>
    <cellStyle name="一般 13 3 2 2 3 5 3" xfId="14749"/>
    <cellStyle name="一般 13 3 2 2 3 6" xfId="5515"/>
    <cellStyle name="一般 13 3 2 2 3 6 2" xfId="5516"/>
    <cellStyle name="一般 13 3 2 2 3 6 2 2" xfId="14752"/>
    <cellStyle name="一般 13 3 2 2 3 6 3" xfId="14751"/>
    <cellStyle name="一般 13 3 2 2 3 7" xfId="5517"/>
    <cellStyle name="一般 13 3 2 2 3 7 2" xfId="5518"/>
    <cellStyle name="一般 13 3 2 2 3 7 2 2" xfId="14754"/>
    <cellStyle name="一般 13 3 2 2 3 7 3" xfId="14753"/>
    <cellStyle name="一般 13 3 2 2 3 8" xfId="5519"/>
    <cellStyle name="一般 13 3 2 2 3 8 2" xfId="5520"/>
    <cellStyle name="一般 13 3 2 2 3 8 2 2" xfId="14756"/>
    <cellStyle name="一般 13 3 2 2 3 8 3" xfId="14755"/>
    <cellStyle name="一般 13 3 2 2 3 9" xfId="5521"/>
    <cellStyle name="一般 13 3 2 2 3 9 2" xfId="14757"/>
    <cellStyle name="一般 13 3 2 2 3_包裝指示書(裏)" xfId="5522"/>
    <cellStyle name="一般 13 3 2 2 4" xfId="5523"/>
    <cellStyle name="一般 13 3 2 2 4 2" xfId="5524"/>
    <cellStyle name="一般 13 3 2 2 4 2 2" xfId="5525"/>
    <cellStyle name="一般 13 3 2 2 4 2 2 2" xfId="5526"/>
    <cellStyle name="一般 13 3 2 2 4 2 2 2 2" xfId="5527"/>
    <cellStyle name="一般 13 3 2 2 4 2 2 2 2 2" xfId="14762"/>
    <cellStyle name="一般 13 3 2 2 4 2 2 2 3" xfId="14761"/>
    <cellStyle name="一般 13 3 2 2 4 2 2 3" xfId="5528"/>
    <cellStyle name="一般 13 3 2 2 4 2 2 3 2" xfId="14763"/>
    <cellStyle name="一般 13 3 2 2 4 2 2 4" xfId="14760"/>
    <cellStyle name="一般 13 3 2 2 4 2 2_包裝指示書(裏)" xfId="5529"/>
    <cellStyle name="一般 13 3 2 2 4 2 3" xfId="5530"/>
    <cellStyle name="一般 13 3 2 2 4 2 3 2" xfId="5531"/>
    <cellStyle name="一般 13 3 2 2 4 2 3 2 2" xfId="14765"/>
    <cellStyle name="一般 13 3 2 2 4 2 3 3" xfId="14764"/>
    <cellStyle name="一般 13 3 2 2 4 2 4" xfId="5532"/>
    <cellStyle name="一般 13 3 2 2 4 2 4 2" xfId="14766"/>
    <cellStyle name="一般 13 3 2 2 4 2 5" xfId="5533"/>
    <cellStyle name="一般 13 3 2 2 4 2 5 2" xfId="14767"/>
    <cellStyle name="一般 13 3 2 2 4 2 6" xfId="14759"/>
    <cellStyle name="一般 13 3 2 2 4 2_包裝指示書(裏)" xfId="5534"/>
    <cellStyle name="一般 13 3 2 2 4 3" xfId="5535"/>
    <cellStyle name="一般 13 3 2 2 4 3 2" xfId="5536"/>
    <cellStyle name="一般 13 3 2 2 4 3 2 2" xfId="5537"/>
    <cellStyle name="一般 13 3 2 2 4 3 2 2 2" xfId="14770"/>
    <cellStyle name="一般 13 3 2 2 4 3 2 3" xfId="14769"/>
    <cellStyle name="一般 13 3 2 2 4 3 3" xfId="5538"/>
    <cellStyle name="一般 13 3 2 2 4 3 3 2" xfId="14771"/>
    <cellStyle name="一般 13 3 2 2 4 3 4" xfId="5539"/>
    <cellStyle name="一般 13 3 2 2 4 3 4 2" xfId="14772"/>
    <cellStyle name="一般 13 3 2 2 4 3 5" xfId="5540"/>
    <cellStyle name="一般 13 3 2 2 4 3 5 2" xfId="14773"/>
    <cellStyle name="一般 13 3 2 2 4 3 6" xfId="14768"/>
    <cellStyle name="一般 13 3 2 2 4 3_包裝指示書(裏)" xfId="5541"/>
    <cellStyle name="一般 13 3 2 2 4 4" xfId="5542"/>
    <cellStyle name="一般 13 3 2 2 4 4 2" xfId="5543"/>
    <cellStyle name="一般 13 3 2 2 4 4 2 2" xfId="14775"/>
    <cellStyle name="一般 13 3 2 2 4 4 3" xfId="14774"/>
    <cellStyle name="一般 13 3 2 2 4 5" xfId="5544"/>
    <cellStyle name="一般 13 3 2 2 4 5 2" xfId="5545"/>
    <cellStyle name="一般 13 3 2 2 4 5 2 2" xfId="14777"/>
    <cellStyle name="一般 13 3 2 2 4 5 3" xfId="14776"/>
    <cellStyle name="一般 13 3 2 2 4 6" xfId="5546"/>
    <cellStyle name="一般 13 3 2 2 4 6 2" xfId="5547"/>
    <cellStyle name="一般 13 3 2 2 4 6 2 2" xfId="14779"/>
    <cellStyle name="一般 13 3 2 2 4 6 3" xfId="14778"/>
    <cellStyle name="一般 13 3 2 2 4 7" xfId="5548"/>
    <cellStyle name="一般 13 3 2 2 4 7 2" xfId="5549"/>
    <cellStyle name="一般 13 3 2 2 4 7 2 2" xfId="14781"/>
    <cellStyle name="一般 13 3 2 2 4 7 3" xfId="14780"/>
    <cellStyle name="一般 13 3 2 2 4 8" xfId="5550"/>
    <cellStyle name="一般 13 3 2 2 4 8 2" xfId="14782"/>
    <cellStyle name="一般 13 3 2 2 4 9" xfId="14758"/>
    <cellStyle name="一般 13 3 2 2 4_包裝指示書(裏)" xfId="5551"/>
    <cellStyle name="一般 13 3 2 2 5" xfId="5552"/>
    <cellStyle name="一般 13 3 2 2 5 2" xfId="5553"/>
    <cellStyle name="一般 13 3 2 2 5 2 2" xfId="5554"/>
    <cellStyle name="一般 13 3 2 2 5 2 2 2" xfId="5555"/>
    <cellStyle name="一般 13 3 2 2 5 2 2 2 2" xfId="5556"/>
    <cellStyle name="一般 13 3 2 2 5 2 2 2 2 2" xfId="14787"/>
    <cellStyle name="一般 13 3 2 2 5 2 2 2 3" xfId="14786"/>
    <cellStyle name="一般 13 3 2 2 5 2 2 3" xfId="5557"/>
    <cellStyle name="一般 13 3 2 2 5 2 2 3 2" xfId="14788"/>
    <cellStyle name="一般 13 3 2 2 5 2 2 4" xfId="14785"/>
    <cellStyle name="一般 13 3 2 2 5 2 2_包裝指示書(裏)" xfId="5558"/>
    <cellStyle name="一般 13 3 2 2 5 2 3" xfId="5559"/>
    <cellStyle name="一般 13 3 2 2 5 2 3 2" xfId="5560"/>
    <cellStyle name="一般 13 3 2 2 5 2 3 2 2" xfId="14790"/>
    <cellStyle name="一般 13 3 2 2 5 2 3 3" xfId="14789"/>
    <cellStyle name="一般 13 3 2 2 5 2 4" xfId="5561"/>
    <cellStyle name="一般 13 3 2 2 5 2 4 2" xfId="14791"/>
    <cellStyle name="一般 13 3 2 2 5 2 5" xfId="5562"/>
    <cellStyle name="一般 13 3 2 2 5 2 5 2" xfId="14792"/>
    <cellStyle name="一般 13 3 2 2 5 2 6" xfId="14784"/>
    <cellStyle name="一般 13 3 2 2 5 2_包裝指示書(裏)" xfId="5563"/>
    <cellStyle name="一般 13 3 2 2 5 3" xfId="5564"/>
    <cellStyle name="一般 13 3 2 2 5 3 2" xfId="5565"/>
    <cellStyle name="一般 13 3 2 2 5 3 2 2" xfId="5566"/>
    <cellStyle name="一般 13 3 2 2 5 3 2 2 2" xfId="14795"/>
    <cellStyle name="一般 13 3 2 2 5 3 2 3" xfId="14794"/>
    <cellStyle name="一般 13 3 2 2 5 3 3" xfId="5567"/>
    <cellStyle name="一般 13 3 2 2 5 3 3 2" xfId="14796"/>
    <cellStyle name="一般 13 3 2 2 5 3 4" xfId="5568"/>
    <cellStyle name="一般 13 3 2 2 5 3 4 2" xfId="14797"/>
    <cellStyle name="一般 13 3 2 2 5 3 5" xfId="5569"/>
    <cellStyle name="一般 13 3 2 2 5 3 5 2" xfId="14798"/>
    <cellStyle name="一般 13 3 2 2 5 3 6" xfId="14793"/>
    <cellStyle name="一般 13 3 2 2 5 3_包裝指示書(裏)" xfId="5570"/>
    <cellStyle name="一般 13 3 2 2 5 4" xfId="5571"/>
    <cellStyle name="一般 13 3 2 2 5 4 2" xfId="5572"/>
    <cellStyle name="一般 13 3 2 2 5 4 2 2" xfId="14800"/>
    <cellStyle name="一般 13 3 2 2 5 4 3" xfId="14799"/>
    <cellStyle name="一般 13 3 2 2 5 5" xfId="5573"/>
    <cellStyle name="一般 13 3 2 2 5 5 2" xfId="5574"/>
    <cellStyle name="一般 13 3 2 2 5 5 2 2" xfId="14802"/>
    <cellStyle name="一般 13 3 2 2 5 5 3" xfId="14801"/>
    <cellStyle name="一般 13 3 2 2 5 6" xfId="5575"/>
    <cellStyle name="一般 13 3 2 2 5 6 2" xfId="5576"/>
    <cellStyle name="一般 13 3 2 2 5 6 2 2" xfId="14804"/>
    <cellStyle name="一般 13 3 2 2 5 6 3" xfId="14803"/>
    <cellStyle name="一般 13 3 2 2 5 7" xfId="5577"/>
    <cellStyle name="一般 13 3 2 2 5 7 2" xfId="5578"/>
    <cellStyle name="一般 13 3 2 2 5 7 2 2" xfId="14806"/>
    <cellStyle name="一般 13 3 2 2 5 7 3" xfId="14805"/>
    <cellStyle name="一般 13 3 2 2 5 8" xfId="5579"/>
    <cellStyle name="一般 13 3 2 2 5 8 2" xfId="14807"/>
    <cellStyle name="一般 13 3 2 2 5 9" xfId="14783"/>
    <cellStyle name="一般 13 3 2 2 5_包裝指示書(裏)" xfId="5580"/>
    <cellStyle name="一般 13 3 2 2 6" xfId="5581"/>
    <cellStyle name="一般 13 3 2 2 6 2" xfId="5582"/>
    <cellStyle name="一般 13 3 2 2 6 2 2" xfId="5583"/>
    <cellStyle name="一般 13 3 2 2 6 2 2 2" xfId="5584"/>
    <cellStyle name="一般 13 3 2 2 6 2 2 2 2" xfId="5585"/>
    <cellStyle name="一般 13 3 2 2 6 2 2 2 2 2" xfId="14812"/>
    <cellStyle name="一般 13 3 2 2 6 2 2 2 3" xfId="14811"/>
    <cellStyle name="一般 13 3 2 2 6 2 2 3" xfId="5586"/>
    <cellStyle name="一般 13 3 2 2 6 2 2 3 2" xfId="14813"/>
    <cellStyle name="一般 13 3 2 2 6 2 2 4" xfId="14810"/>
    <cellStyle name="一般 13 3 2 2 6 2 2_包裝指示書(裏)" xfId="5587"/>
    <cellStyle name="一般 13 3 2 2 6 2 3" xfId="5588"/>
    <cellStyle name="一般 13 3 2 2 6 2 3 2" xfId="5589"/>
    <cellStyle name="一般 13 3 2 2 6 2 3 2 2" xfId="14815"/>
    <cellStyle name="一般 13 3 2 2 6 2 3 3" xfId="14814"/>
    <cellStyle name="一般 13 3 2 2 6 2 4" xfId="5590"/>
    <cellStyle name="一般 13 3 2 2 6 2 4 2" xfId="14816"/>
    <cellStyle name="一般 13 3 2 2 6 2 5" xfId="5591"/>
    <cellStyle name="一般 13 3 2 2 6 2 5 2" xfId="14817"/>
    <cellStyle name="一般 13 3 2 2 6 2 6" xfId="14809"/>
    <cellStyle name="一般 13 3 2 2 6 2_包裝指示書(裏)" xfId="5592"/>
    <cellStyle name="一般 13 3 2 2 6 3" xfId="5593"/>
    <cellStyle name="一般 13 3 2 2 6 3 2" xfId="5594"/>
    <cellStyle name="一般 13 3 2 2 6 3 2 2" xfId="5595"/>
    <cellStyle name="一般 13 3 2 2 6 3 2 2 2" xfId="14820"/>
    <cellStyle name="一般 13 3 2 2 6 3 2 3" xfId="14819"/>
    <cellStyle name="一般 13 3 2 2 6 3 3" xfId="5596"/>
    <cellStyle name="一般 13 3 2 2 6 3 3 2" xfId="14821"/>
    <cellStyle name="一般 13 3 2 2 6 3 4" xfId="5597"/>
    <cellStyle name="一般 13 3 2 2 6 3 4 2" xfId="14822"/>
    <cellStyle name="一般 13 3 2 2 6 3 5" xfId="5598"/>
    <cellStyle name="一般 13 3 2 2 6 3 5 2" xfId="14823"/>
    <cellStyle name="一般 13 3 2 2 6 3 6" xfId="14818"/>
    <cellStyle name="一般 13 3 2 2 6 3_包裝指示書(裏)" xfId="5599"/>
    <cellStyle name="一般 13 3 2 2 6 4" xfId="5600"/>
    <cellStyle name="一般 13 3 2 2 6 4 2" xfId="5601"/>
    <cellStyle name="一般 13 3 2 2 6 4 2 2" xfId="14825"/>
    <cellStyle name="一般 13 3 2 2 6 4 3" xfId="14824"/>
    <cellStyle name="一般 13 3 2 2 6 5" xfId="5602"/>
    <cellStyle name="一般 13 3 2 2 6 5 2" xfId="5603"/>
    <cellStyle name="一般 13 3 2 2 6 5 2 2" xfId="14827"/>
    <cellStyle name="一般 13 3 2 2 6 5 3" xfId="14826"/>
    <cellStyle name="一般 13 3 2 2 6 6" xfId="5604"/>
    <cellStyle name="一般 13 3 2 2 6 6 2" xfId="5605"/>
    <cellStyle name="一般 13 3 2 2 6 6 2 2" xfId="14829"/>
    <cellStyle name="一般 13 3 2 2 6 6 3" xfId="14828"/>
    <cellStyle name="一般 13 3 2 2 6 7" xfId="5606"/>
    <cellStyle name="一般 13 3 2 2 6 7 2" xfId="5607"/>
    <cellStyle name="一般 13 3 2 2 6 7 2 2" xfId="14831"/>
    <cellStyle name="一般 13 3 2 2 6 7 3" xfId="14830"/>
    <cellStyle name="一般 13 3 2 2 6 8" xfId="5608"/>
    <cellStyle name="一般 13 3 2 2 6 8 2" xfId="14832"/>
    <cellStyle name="一般 13 3 2 2 6 9" xfId="14808"/>
    <cellStyle name="一般 13 3 2 2 6_包裝指示書(裏)" xfId="5609"/>
    <cellStyle name="一般 13 3 2 2 7" xfId="5610"/>
    <cellStyle name="一般 13 3 2 2 7 2" xfId="5611"/>
    <cellStyle name="一般 13 3 2 2 7 2 2" xfId="5612"/>
    <cellStyle name="一般 13 3 2 2 7 2 2 2" xfId="5613"/>
    <cellStyle name="一般 13 3 2 2 7 2 2 2 2" xfId="5614"/>
    <cellStyle name="一般 13 3 2 2 7 2 2 2 2 2" xfId="14837"/>
    <cellStyle name="一般 13 3 2 2 7 2 2 2 3" xfId="14836"/>
    <cellStyle name="一般 13 3 2 2 7 2 2 3" xfId="5615"/>
    <cellStyle name="一般 13 3 2 2 7 2 2 3 2" xfId="14838"/>
    <cellStyle name="一般 13 3 2 2 7 2 2 4" xfId="14835"/>
    <cellStyle name="一般 13 3 2 2 7 2 2_包裝指示書(裏)" xfId="5616"/>
    <cellStyle name="一般 13 3 2 2 7 2 3" xfId="5617"/>
    <cellStyle name="一般 13 3 2 2 7 2 3 2" xfId="5618"/>
    <cellStyle name="一般 13 3 2 2 7 2 3 2 2" xfId="14840"/>
    <cellStyle name="一般 13 3 2 2 7 2 3 3" xfId="14839"/>
    <cellStyle name="一般 13 3 2 2 7 2 4" xfId="5619"/>
    <cellStyle name="一般 13 3 2 2 7 2 4 2" xfId="14841"/>
    <cellStyle name="一般 13 3 2 2 7 2 5" xfId="14834"/>
    <cellStyle name="一般 13 3 2 2 7 2_包裝指示書(裏)" xfId="5620"/>
    <cellStyle name="一般 13 3 2 2 7 3" xfId="5621"/>
    <cellStyle name="一般 13 3 2 2 7 3 2" xfId="5622"/>
    <cellStyle name="一般 13 3 2 2 7 3 2 2" xfId="5623"/>
    <cellStyle name="一般 13 3 2 2 7 3 2 2 2" xfId="14844"/>
    <cellStyle name="一般 13 3 2 2 7 3 2 3" xfId="14843"/>
    <cellStyle name="一般 13 3 2 2 7 3 3" xfId="5624"/>
    <cellStyle name="一般 13 3 2 2 7 3 3 2" xfId="14845"/>
    <cellStyle name="一般 13 3 2 2 7 3 4" xfId="14842"/>
    <cellStyle name="一般 13 3 2 2 7 3_包裝指示書(裏)" xfId="5625"/>
    <cellStyle name="一般 13 3 2 2 7 4" xfId="5626"/>
    <cellStyle name="一般 13 3 2 2 7 4 2" xfId="5627"/>
    <cellStyle name="一般 13 3 2 2 7 4 2 2" xfId="14847"/>
    <cellStyle name="一般 13 3 2 2 7 4 3" xfId="14846"/>
    <cellStyle name="一般 13 3 2 2 7 5" xfId="5628"/>
    <cellStyle name="一般 13 3 2 2 7 5 2" xfId="5629"/>
    <cellStyle name="一般 13 3 2 2 7 5 2 2" xfId="14849"/>
    <cellStyle name="一般 13 3 2 2 7 5 3" xfId="14848"/>
    <cellStyle name="一般 13 3 2 2 7 6" xfId="5630"/>
    <cellStyle name="一般 13 3 2 2 7 6 2" xfId="5631"/>
    <cellStyle name="一般 13 3 2 2 7 6 2 2" xfId="14851"/>
    <cellStyle name="一般 13 3 2 2 7 6 3" xfId="14850"/>
    <cellStyle name="一般 13 3 2 2 7 7" xfId="5632"/>
    <cellStyle name="一般 13 3 2 2 7 7 2" xfId="5633"/>
    <cellStyle name="一般 13 3 2 2 7 7 2 2" xfId="14853"/>
    <cellStyle name="一般 13 3 2 2 7 7 3" xfId="14852"/>
    <cellStyle name="一般 13 3 2 2 7 8" xfId="5634"/>
    <cellStyle name="一般 13 3 2 2 7 8 2" xfId="14854"/>
    <cellStyle name="一般 13 3 2 2 7 9" xfId="14833"/>
    <cellStyle name="一般 13 3 2 2 7_包裝指示書(裏)" xfId="5635"/>
    <cellStyle name="一般 13 3 2 2 8" xfId="5636"/>
    <cellStyle name="一般 13 3 2 2 8 2" xfId="5637"/>
    <cellStyle name="一般 13 3 2 2 8 2 2" xfId="5638"/>
    <cellStyle name="一般 13 3 2 2 8 2 2 2" xfId="5639"/>
    <cellStyle name="一般 13 3 2 2 8 2 2 2 2" xfId="14858"/>
    <cellStyle name="一般 13 3 2 2 8 2 2 3" xfId="14857"/>
    <cellStyle name="一般 13 3 2 2 8 2 3" xfId="5640"/>
    <cellStyle name="一般 13 3 2 2 8 2 3 2" xfId="5641"/>
    <cellStyle name="一般 13 3 2 2 8 2 3 2 2" xfId="14860"/>
    <cellStyle name="一般 13 3 2 2 8 2 3 3" xfId="14859"/>
    <cellStyle name="一般 13 3 2 2 8 2 4" xfId="5642"/>
    <cellStyle name="一般 13 3 2 2 8 2 4 2" xfId="14861"/>
    <cellStyle name="一般 13 3 2 2 8 2 5" xfId="14856"/>
    <cellStyle name="一般 13 3 2 2 8 2_包裝指示書(裏)" xfId="5643"/>
    <cellStyle name="一般 13 3 2 2 8 3" xfId="5644"/>
    <cellStyle name="一般 13 3 2 2 8 3 2" xfId="5645"/>
    <cellStyle name="一般 13 3 2 2 8 3 2 2" xfId="5646"/>
    <cellStyle name="一般 13 3 2 2 8 3 2 2 2" xfId="14864"/>
    <cellStyle name="一般 13 3 2 2 8 3 2 3" xfId="14863"/>
    <cellStyle name="一般 13 3 2 2 8 3 3" xfId="5647"/>
    <cellStyle name="一般 13 3 2 2 8 3 3 2" xfId="14865"/>
    <cellStyle name="一般 13 3 2 2 8 3 4" xfId="14862"/>
    <cellStyle name="一般 13 3 2 2 8 3_包裝指示書(裏)" xfId="5648"/>
    <cellStyle name="一般 13 3 2 2 8 4" xfId="5649"/>
    <cellStyle name="一般 13 3 2 2 8 4 2" xfId="5650"/>
    <cellStyle name="一般 13 3 2 2 8 4 2 2" xfId="14867"/>
    <cellStyle name="一般 13 3 2 2 8 4 3" xfId="14866"/>
    <cellStyle name="一般 13 3 2 2 8 5" xfId="5651"/>
    <cellStyle name="一般 13 3 2 2 8 5 2" xfId="14868"/>
    <cellStyle name="一般 13 3 2 2 8 6" xfId="14855"/>
    <cellStyle name="一般 13 3 2 2 8_包裝指示書(裏)" xfId="5652"/>
    <cellStyle name="一般 13 3 2 2 9" xfId="5653"/>
    <cellStyle name="一般 13 3 2 2 9 2" xfId="5654"/>
    <cellStyle name="一般 13 3 2 2 9 2 2" xfId="5655"/>
    <cellStyle name="一般 13 3 2 2 9 2 2 2" xfId="5656"/>
    <cellStyle name="一般 13 3 2 2 9 2 2 2 2" xfId="14872"/>
    <cellStyle name="一般 13 3 2 2 9 2 2 3" xfId="14871"/>
    <cellStyle name="一般 13 3 2 2 9 2 3" xfId="5657"/>
    <cellStyle name="一般 13 3 2 2 9 2 3 2" xfId="5658"/>
    <cellStyle name="一般 13 3 2 2 9 2 3 2 2" xfId="14874"/>
    <cellStyle name="一般 13 3 2 2 9 2 3 3" xfId="14873"/>
    <cellStyle name="一般 13 3 2 2 9 2 4" xfId="5659"/>
    <cellStyle name="一般 13 3 2 2 9 2 4 2" xfId="14875"/>
    <cellStyle name="一般 13 3 2 2 9 2 5" xfId="14870"/>
    <cellStyle name="一般 13 3 2 2 9 2_包裝指示書(裏)" xfId="5660"/>
    <cellStyle name="一般 13 3 2 2 9 3" xfId="5661"/>
    <cellStyle name="一般 13 3 2 2 9 3 2" xfId="5662"/>
    <cellStyle name="一般 13 3 2 2 9 3 2 2" xfId="14877"/>
    <cellStyle name="一般 13 3 2 2 9 3 3" xfId="14876"/>
    <cellStyle name="一般 13 3 2 2 9 4" xfId="5663"/>
    <cellStyle name="一般 13 3 2 2 9 4 2" xfId="5664"/>
    <cellStyle name="一般 13 3 2 2 9 4 2 2" xfId="14879"/>
    <cellStyle name="一般 13 3 2 2 9 4 3" xfId="14878"/>
    <cellStyle name="一般 13 3 2 2 9 5" xfId="5665"/>
    <cellStyle name="一般 13 3 2 2 9 5 2" xfId="14880"/>
    <cellStyle name="一般 13 3 2 2 9 6" xfId="14869"/>
    <cellStyle name="一般 13 3 2 2 9_包裝指示書(裏)" xfId="5666"/>
    <cellStyle name="一般 13 3 2 2_包裝指示書(裏)" xfId="5667"/>
    <cellStyle name="一般 13 3 2 3" xfId="5668"/>
    <cellStyle name="一般 13 3 2 3 10" xfId="14881"/>
    <cellStyle name="一般 13 3 2 3 2" xfId="5669"/>
    <cellStyle name="一般 13 3 2 3 2 2" xfId="5670"/>
    <cellStyle name="一般 13 3 2 3 2 2 2" xfId="5671"/>
    <cellStyle name="一般 13 3 2 3 2 2 2 2" xfId="5672"/>
    <cellStyle name="一般 13 3 2 3 2 2 2 2 2" xfId="14885"/>
    <cellStyle name="一般 13 3 2 3 2 2 2 3" xfId="14884"/>
    <cellStyle name="一般 13 3 2 3 2 2 3" xfId="5673"/>
    <cellStyle name="一般 13 3 2 3 2 2 3 2" xfId="14886"/>
    <cellStyle name="一般 13 3 2 3 2 2 4" xfId="14883"/>
    <cellStyle name="一般 13 3 2 3 2 2_包裝指示書(裏)" xfId="5674"/>
    <cellStyle name="一般 13 3 2 3 2 3" xfId="5675"/>
    <cellStyle name="一般 13 3 2 3 2 3 2" xfId="5676"/>
    <cellStyle name="一般 13 3 2 3 2 3 2 2" xfId="14888"/>
    <cellStyle name="一般 13 3 2 3 2 3 3" xfId="14887"/>
    <cellStyle name="一般 13 3 2 3 2 4" xfId="5677"/>
    <cellStyle name="一般 13 3 2 3 2 4 2" xfId="5678"/>
    <cellStyle name="一般 13 3 2 3 2 4 2 2" xfId="14890"/>
    <cellStyle name="一般 13 3 2 3 2 4 3" xfId="14889"/>
    <cellStyle name="一般 13 3 2 3 2 5" xfId="5679"/>
    <cellStyle name="一般 13 3 2 3 2 5 2" xfId="5680"/>
    <cellStyle name="一般 13 3 2 3 2 5 2 2" xfId="14892"/>
    <cellStyle name="一般 13 3 2 3 2 5 3" xfId="14891"/>
    <cellStyle name="一般 13 3 2 3 2 6" xfId="5681"/>
    <cellStyle name="一般 13 3 2 3 2 6 2" xfId="5682"/>
    <cellStyle name="一般 13 3 2 3 2 6 2 2" xfId="14894"/>
    <cellStyle name="一般 13 3 2 3 2 6 3" xfId="14893"/>
    <cellStyle name="一般 13 3 2 3 2 7" xfId="5683"/>
    <cellStyle name="一般 13 3 2 3 2 7 2" xfId="5684"/>
    <cellStyle name="一般 13 3 2 3 2 7 2 2" xfId="14896"/>
    <cellStyle name="一般 13 3 2 3 2 7 3" xfId="14895"/>
    <cellStyle name="一般 13 3 2 3 2 8" xfId="5685"/>
    <cellStyle name="一般 13 3 2 3 2 8 2" xfId="14897"/>
    <cellStyle name="一般 13 3 2 3 2 9" xfId="14882"/>
    <cellStyle name="一般 13 3 2 3 2_包裝指示書(裏)" xfId="5686"/>
    <cellStyle name="一般 13 3 2 3 3" xfId="5687"/>
    <cellStyle name="一般 13 3 2 3 3 2" xfId="5688"/>
    <cellStyle name="一般 13 3 2 3 3 2 2" xfId="5689"/>
    <cellStyle name="一般 13 3 2 3 3 2 2 2" xfId="14900"/>
    <cellStyle name="一般 13 3 2 3 3 2 3" xfId="14899"/>
    <cellStyle name="一般 13 3 2 3 3 3" xfId="5690"/>
    <cellStyle name="一般 13 3 2 3 3 3 2" xfId="14901"/>
    <cellStyle name="一般 13 3 2 3 3 4" xfId="5691"/>
    <cellStyle name="一般 13 3 2 3 3 4 2" xfId="14902"/>
    <cellStyle name="一般 13 3 2 3 3 5" xfId="5692"/>
    <cellStyle name="一般 13 3 2 3 3 5 2" xfId="14903"/>
    <cellStyle name="一般 13 3 2 3 3 6" xfId="14898"/>
    <cellStyle name="一般 13 3 2 3 3_包裝指示書(裏)" xfId="5693"/>
    <cellStyle name="一般 13 3 2 3 4" xfId="5694"/>
    <cellStyle name="一般 13 3 2 3 4 2" xfId="5695"/>
    <cellStyle name="一般 13 3 2 3 4 2 2" xfId="14905"/>
    <cellStyle name="一般 13 3 2 3 4 3" xfId="14904"/>
    <cellStyle name="一般 13 3 2 3 5" xfId="5696"/>
    <cellStyle name="一般 13 3 2 3 5 2" xfId="5697"/>
    <cellStyle name="一般 13 3 2 3 5 2 2" xfId="14907"/>
    <cellStyle name="一般 13 3 2 3 5 3" xfId="14906"/>
    <cellStyle name="一般 13 3 2 3 6" xfId="5698"/>
    <cellStyle name="一般 13 3 2 3 6 2" xfId="5699"/>
    <cellStyle name="一般 13 3 2 3 6 2 2" xfId="14909"/>
    <cellStyle name="一般 13 3 2 3 6 3" xfId="14908"/>
    <cellStyle name="一般 13 3 2 3 7" xfId="5700"/>
    <cellStyle name="一般 13 3 2 3 7 2" xfId="5701"/>
    <cellStyle name="一般 13 3 2 3 7 2 2" xfId="14911"/>
    <cellStyle name="一般 13 3 2 3 7 3" xfId="14910"/>
    <cellStyle name="一般 13 3 2 3 8" xfId="5702"/>
    <cellStyle name="一般 13 3 2 3 8 2" xfId="5703"/>
    <cellStyle name="一般 13 3 2 3 8 2 2" xfId="14913"/>
    <cellStyle name="一般 13 3 2 3 8 3" xfId="14912"/>
    <cellStyle name="一般 13 3 2 3 9" xfId="5704"/>
    <cellStyle name="一般 13 3 2 3 9 2" xfId="14914"/>
    <cellStyle name="一般 13 3 2 3_包裝指示書(裏)" xfId="5705"/>
    <cellStyle name="一般 13 3 2 4" xfId="5706"/>
    <cellStyle name="一般 13 3 2 4 10" xfId="14915"/>
    <cellStyle name="一般 13 3 2 4 2" xfId="5707"/>
    <cellStyle name="一般 13 3 2 4 2 2" xfId="5708"/>
    <cellStyle name="一般 13 3 2 4 2 2 2" xfId="5709"/>
    <cellStyle name="一般 13 3 2 4 2 2 2 2" xfId="5710"/>
    <cellStyle name="一般 13 3 2 4 2 2 2 2 2" xfId="14919"/>
    <cellStyle name="一般 13 3 2 4 2 2 2 3" xfId="14918"/>
    <cellStyle name="一般 13 3 2 4 2 2 3" xfId="5711"/>
    <cellStyle name="一般 13 3 2 4 2 2 3 2" xfId="14920"/>
    <cellStyle name="一般 13 3 2 4 2 2 4" xfId="14917"/>
    <cellStyle name="一般 13 3 2 4 2 2_包裝指示書(裏)" xfId="5712"/>
    <cellStyle name="一般 13 3 2 4 2 3" xfId="5713"/>
    <cellStyle name="一般 13 3 2 4 2 3 2" xfId="5714"/>
    <cellStyle name="一般 13 3 2 4 2 3 2 2" xfId="14922"/>
    <cellStyle name="一般 13 3 2 4 2 3 3" xfId="14921"/>
    <cellStyle name="一般 13 3 2 4 2 4" xfId="5715"/>
    <cellStyle name="一般 13 3 2 4 2 4 2" xfId="5716"/>
    <cellStyle name="一般 13 3 2 4 2 4 2 2" xfId="14924"/>
    <cellStyle name="一般 13 3 2 4 2 4 3" xfId="14923"/>
    <cellStyle name="一般 13 3 2 4 2 5" xfId="5717"/>
    <cellStyle name="一般 13 3 2 4 2 5 2" xfId="5718"/>
    <cellStyle name="一般 13 3 2 4 2 5 2 2" xfId="14926"/>
    <cellStyle name="一般 13 3 2 4 2 5 3" xfId="14925"/>
    <cellStyle name="一般 13 3 2 4 2 6" xfId="5719"/>
    <cellStyle name="一般 13 3 2 4 2 6 2" xfId="5720"/>
    <cellStyle name="一般 13 3 2 4 2 6 2 2" xfId="14928"/>
    <cellStyle name="一般 13 3 2 4 2 6 3" xfId="14927"/>
    <cellStyle name="一般 13 3 2 4 2 7" xfId="5721"/>
    <cellStyle name="一般 13 3 2 4 2 7 2" xfId="5722"/>
    <cellStyle name="一般 13 3 2 4 2 7 2 2" xfId="14930"/>
    <cellStyle name="一般 13 3 2 4 2 7 3" xfId="14929"/>
    <cellStyle name="一般 13 3 2 4 2 8" xfId="5723"/>
    <cellStyle name="一般 13 3 2 4 2 8 2" xfId="14931"/>
    <cellStyle name="一般 13 3 2 4 2 9" xfId="14916"/>
    <cellStyle name="一般 13 3 2 4 2_包裝指示書(裏)" xfId="5724"/>
    <cellStyle name="一般 13 3 2 4 3" xfId="5725"/>
    <cellStyle name="一般 13 3 2 4 3 2" xfId="5726"/>
    <cellStyle name="一般 13 3 2 4 3 2 2" xfId="5727"/>
    <cellStyle name="一般 13 3 2 4 3 2 2 2" xfId="14934"/>
    <cellStyle name="一般 13 3 2 4 3 2 3" xfId="14933"/>
    <cellStyle name="一般 13 3 2 4 3 3" xfId="5728"/>
    <cellStyle name="一般 13 3 2 4 3 3 2" xfId="14935"/>
    <cellStyle name="一般 13 3 2 4 3 4" xfId="5729"/>
    <cellStyle name="一般 13 3 2 4 3 4 2" xfId="14936"/>
    <cellStyle name="一般 13 3 2 4 3 5" xfId="5730"/>
    <cellStyle name="一般 13 3 2 4 3 5 2" xfId="14937"/>
    <cellStyle name="一般 13 3 2 4 3 6" xfId="14932"/>
    <cellStyle name="一般 13 3 2 4 3_包裝指示書(裏)" xfId="5731"/>
    <cellStyle name="一般 13 3 2 4 4" xfId="5732"/>
    <cellStyle name="一般 13 3 2 4 4 2" xfId="5733"/>
    <cellStyle name="一般 13 3 2 4 4 2 2" xfId="14939"/>
    <cellStyle name="一般 13 3 2 4 4 3" xfId="14938"/>
    <cellStyle name="一般 13 3 2 4 5" xfId="5734"/>
    <cellStyle name="一般 13 3 2 4 5 2" xfId="5735"/>
    <cellStyle name="一般 13 3 2 4 5 2 2" xfId="14941"/>
    <cellStyle name="一般 13 3 2 4 5 3" xfId="14940"/>
    <cellStyle name="一般 13 3 2 4 6" xfId="5736"/>
    <cellStyle name="一般 13 3 2 4 6 2" xfId="5737"/>
    <cellStyle name="一般 13 3 2 4 6 2 2" xfId="14943"/>
    <cellStyle name="一般 13 3 2 4 6 3" xfId="14942"/>
    <cellStyle name="一般 13 3 2 4 7" xfId="5738"/>
    <cellStyle name="一般 13 3 2 4 7 2" xfId="5739"/>
    <cellStyle name="一般 13 3 2 4 7 2 2" xfId="14945"/>
    <cellStyle name="一般 13 3 2 4 7 3" xfId="14944"/>
    <cellStyle name="一般 13 3 2 4 8" xfId="5740"/>
    <cellStyle name="一般 13 3 2 4 8 2" xfId="5741"/>
    <cellStyle name="一般 13 3 2 4 8 2 2" xfId="14947"/>
    <cellStyle name="一般 13 3 2 4 8 3" xfId="14946"/>
    <cellStyle name="一般 13 3 2 4 9" xfId="5742"/>
    <cellStyle name="一般 13 3 2 4 9 2" xfId="14948"/>
    <cellStyle name="一般 13 3 2 4_包裝指示書(裏)" xfId="5743"/>
    <cellStyle name="一般 13 3 2 5" xfId="5744"/>
    <cellStyle name="一般 13 3 2 5 10" xfId="14949"/>
    <cellStyle name="一般 13 3 2 5 2" xfId="5745"/>
    <cellStyle name="一般 13 3 2 5 2 2" xfId="5746"/>
    <cellStyle name="一般 13 3 2 5 2 2 2" xfId="5747"/>
    <cellStyle name="一般 13 3 2 5 2 2 2 2" xfId="5748"/>
    <cellStyle name="一般 13 3 2 5 2 2 2 2 2" xfId="14953"/>
    <cellStyle name="一般 13 3 2 5 2 2 2 3" xfId="14952"/>
    <cellStyle name="一般 13 3 2 5 2 2 3" xfId="5749"/>
    <cellStyle name="一般 13 3 2 5 2 2 3 2" xfId="14954"/>
    <cellStyle name="一般 13 3 2 5 2 2 4" xfId="14951"/>
    <cellStyle name="一般 13 3 2 5 2 2_包裝指示書(裏)" xfId="5750"/>
    <cellStyle name="一般 13 3 2 5 2 3" xfId="5751"/>
    <cellStyle name="一般 13 3 2 5 2 3 2" xfId="5752"/>
    <cellStyle name="一般 13 3 2 5 2 3 2 2" xfId="14956"/>
    <cellStyle name="一般 13 3 2 5 2 3 3" xfId="14955"/>
    <cellStyle name="一般 13 3 2 5 2 4" xfId="5753"/>
    <cellStyle name="一般 13 3 2 5 2 4 2" xfId="5754"/>
    <cellStyle name="一般 13 3 2 5 2 4 2 2" xfId="14958"/>
    <cellStyle name="一般 13 3 2 5 2 4 3" xfId="14957"/>
    <cellStyle name="一般 13 3 2 5 2 5" xfId="5755"/>
    <cellStyle name="一般 13 3 2 5 2 5 2" xfId="5756"/>
    <cellStyle name="一般 13 3 2 5 2 5 2 2" xfId="14960"/>
    <cellStyle name="一般 13 3 2 5 2 5 3" xfId="14959"/>
    <cellStyle name="一般 13 3 2 5 2 6" xfId="5757"/>
    <cellStyle name="一般 13 3 2 5 2 6 2" xfId="5758"/>
    <cellStyle name="一般 13 3 2 5 2 6 2 2" xfId="14962"/>
    <cellStyle name="一般 13 3 2 5 2 6 3" xfId="14961"/>
    <cellStyle name="一般 13 3 2 5 2 7" xfId="5759"/>
    <cellStyle name="一般 13 3 2 5 2 7 2" xfId="5760"/>
    <cellStyle name="一般 13 3 2 5 2 7 2 2" xfId="14964"/>
    <cellStyle name="一般 13 3 2 5 2 7 3" xfId="14963"/>
    <cellStyle name="一般 13 3 2 5 2 8" xfId="5761"/>
    <cellStyle name="一般 13 3 2 5 2 8 2" xfId="14965"/>
    <cellStyle name="一般 13 3 2 5 2 9" xfId="14950"/>
    <cellStyle name="一般 13 3 2 5 2_包裝指示書(裏)" xfId="5762"/>
    <cellStyle name="一般 13 3 2 5 3" xfId="5763"/>
    <cellStyle name="一般 13 3 2 5 3 2" xfId="5764"/>
    <cellStyle name="一般 13 3 2 5 3 2 2" xfId="5765"/>
    <cellStyle name="一般 13 3 2 5 3 2 2 2" xfId="14968"/>
    <cellStyle name="一般 13 3 2 5 3 2 3" xfId="14967"/>
    <cellStyle name="一般 13 3 2 5 3 3" xfId="5766"/>
    <cellStyle name="一般 13 3 2 5 3 3 2" xfId="14969"/>
    <cellStyle name="一般 13 3 2 5 3 4" xfId="5767"/>
    <cellStyle name="一般 13 3 2 5 3 4 2" xfId="14970"/>
    <cellStyle name="一般 13 3 2 5 3 5" xfId="5768"/>
    <cellStyle name="一般 13 3 2 5 3 5 2" xfId="14971"/>
    <cellStyle name="一般 13 3 2 5 3 6" xfId="14966"/>
    <cellStyle name="一般 13 3 2 5 3_包裝指示書(裏)" xfId="5769"/>
    <cellStyle name="一般 13 3 2 5 4" xfId="5770"/>
    <cellStyle name="一般 13 3 2 5 4 2" xfId="5771"/>
    <cellStyle name="一般 13 3 2 5 4 2 2" xfId="14973"/>
    <cellStyle name="一般 13 3 2 5 4 3" xfId="14972"/>
    <cellStyle name="一般 13 3 2 5 5" xfId="5772"/>
    <cellStyle name="一般 13 3 2 5 5 2" xfId="5773"/>
    <cellStyle name="一般 13 3 2 5 5 2 2" xfId="14975"/>
    <cellStyle name="一般 13 3 2 5 5 3" xfId="14974"/>
    <cellStyle name="一般 13 3 2 5 6" xfId="5774"/>
    <cellStyle name="一般 13 3 2 5 6 2" xfId="5775"/>
    <cellStyle name="一般 13 3 2 5 6 2 2" xfId="14977"/>
    <cellStyle name="一般 13 3 2 5 6 3" xfId="14976"/>
    <cellStyle name="一般 13 3 2 5 7" xfId="5776"/>
    <cellStyle name="一般 13 3 2 5 7 2" xfId="5777"/>
    <cellStyle name="一般 13 3 2 5 7 2 2" xfId="14979"/>
    <cellStyle name="一般 13 3 2 5 7 3" xfId="14978"/>
    <cellStyle name="一般 13 3 2 5 8" xfId="5778"/>
    <cellStyle name="一般 13 3 2 5 8 2" xfId="5779"/>
    <cellStyle name="一般 13 3 2 5 8 2 2" xfId="14981"/>
    <cellStyle name="一般 13 3 2 5 8 3" xfId="14980"/>
    <cellStyle name="一般 13 3 2 5 9" xfId="5780"/>
    <cellStyle name="一般 13 3 2 5 9 2" xfId="14982"/>
    <cellStyle name="一般 13 3 2 5_包裝指示書(裏)" xfId="5781"/>
    <cellStyle name="一般 13 3 2 6" xfId="5782"/>
    <cellStyle name="一般 13 3 2 6 2" xfId="5783"/>
    <cellStyle name="一般 13 3 2 6 2 2" xfId="5784"/>
    <cellStyle name="一般 13 3 2 6 2 2 2" xfId="5785"/>
    <cellStyle name="一般 13 3 2 6 2 2 2 2" xfId="5786"/>
    <cellStyle name="一般 13 3 2 6 2 2 2 2 2" xfId="14987"/>
    <cellStyle name="一般 13 3 2 6 2 2 2 3" xfId="14986"/>
    <cellStyle name="一般 13 3 2 6 2 2 3" xfId="5787"/>
    <cellStyle name="一般 13 3 2 6 2 2 3 2" xfId="14988"/>
    <cellStyle name="一般 13 3 2 6 2 2 4" xfId="14985"/>
    <cellStyle name="一般 13 3 2 6 2 2_包裝指示書(裏)" xfId="5788"/>
    <cellStyle name="一般 13 3 2 6 2 3" xfId="5789"/>
    <cellStyle name="一般 13 3 2 6 2 3 2" xfId="5790"/>
    <cellStyle name="一般 13 3 2 6 2 3 2 2" xfId="14990"/>
    <cellStyle name="一般 13 3 2 6 2 3 3" xfId="14989"/>
    <cellStyle name="一般 13 3 2 6 2 4" xfId="5791"/>
    <cellStyle name="一般 13 3 2 6 2 4 2" xfId="14991"/>
    <cellStyle name="一般 13 3 2 6 2 5" xfId="5792"/>
    <cellStyle name="一般 13 3 2 6 2 5 2" xfId="14992"/>
    <cellStyle name="一般 13 3 2 6 2 6" xfId="14984"/>
    <cellStyle name="一般 13 3 2 6 2_包裝指示書(裏)" xfId="5793"/>
    <cellStyle name="一般 13 3 2 6 3" xfId="5794"/>
    <cellStyle name="一般 13 3 2 6 3 2" xfId="5795"/>
    <cellStyle name="一般 13 3 2 6 3 2 2" xfId="5796"/>
    <cellStyle name="一般 13 3 2 6 3 2 2 2" xfId="14995"/>
    <cellStyle name="一般 13 3 2 6 3 2 3" xfId="14994"/>
    <cellStyle name="一般 13 3 2 6 3 3" xfId="5797"/>
    <cellStyle name="一般 13 3 2 6 3 3 2" xfId="14996"/>
    <cellStyle name="一般 13 3 2 6 3 4" xfId="5798"/>
    <cellStyle name="一般 13 3 2 6 3 4 2" xfId="14997"/>
    <cellStyle name="一般 13 3 2 6 3 5" xfId="5799"/>
    <cellStyle name="一般 13 3 2 6 3 5 2" xfId="14998"/>
    <cellStyle name="一般 13 3 2 6 3 6" xfId="14993"/>
    <cellStyle name="一般 13 3 2 6 3_包裝指示書(裏)" xfId="5800"/>
    <cellStyle name="一般 13 3 2 6 4" xfId="5801"/>
    <cellStyle name="一般 13 3 2 6 4 2" xfId="5802"/>
    <cellStyle name="一般 13 3 2 6 4 2 2" xfId="15000"/>
    <cellStyle name="一般 13 3 2 6 4 3" xfId="14999"/>
    <cellStyle name="一般 13 3 2 6 5" xfId="5803"/>
    <cellStyle name="一般 13 3 2 6 5 2" xfId="5804"/>
    <cellStyle name="一般 13 3 2 6 5 2 2" xfId="15002"/>
    <cellStyle name="一般 13 3 2 6 5 3" xfId="15001"/>
    <cellStyle name="一般 13 3 2 6 6" xfId="5805"/>
    <cellStyle name="一般 13 3 2 6 6 2" xfId="5806"/>
    <cellStyle name="一般 13 3 2 6 6 2 2" xfId="15004"/>
    <cellStyle name="一般 13 3 2 6 6 3" xfId="15003"/>
    <cellStyle name="一般 13 3 2 6 7" xfId="5807"/>
    <cellStyle name="一般 13 3 2 6 7 2" xfId="5808"/>
    <cellStyle name="一般 13 3 2 6 7 2 2" xfId="15006"/>
    <cellStyle name="一般 13 3 2 6 7 3" xfId="15005"/>
    <cellStyle name="一般 13 3 2 6 8" xfId="5809"/>
    <cellStyle name="一般 13 3 2 6 8 2" xfId="15007"/>
    <cellStyle name="一般 13 3 2 6 9" xfId="14983"/>
    <cellStyle name="一般 13 3 2 6_包裝指示書(裏)" xfId="5810"/>
    <cellStyle name="一般 13 3 2 7" xfId="5811"/>
    <cellStyle name="一般 13 3 2 7 2" xfId="5812"/>
    <cellStyle name="一般 13 3 2 7 2 2" xfId="5813"/>
    <cellStyle name="一般 13 3 2 7 2 2 2" xfId="5814"/>
    <cellStyle name="一般 13 3 2 7 2 2 2 2" xfId="5815"/>
    <cellStyle name="一般 13 3 2 7 2 2 2 2 2" xfId="15012"/>
    <cellStyle name="一般 13 3 2 7 2 2 2 3" xfId="15011"/>
    <cellStyle name="一般 13 3 2 7 2 2 3" xfId="5816"/>
    <cellStyle name="一般 13 3 2 7 2 2 3 2" xfId="15013"/>
    <cellStyle name="一般 13 3 2 7 2 2 4" xfId="15010"/>
    <cellStyle name="一般 13 3 2 7 2 2_包裝指示書(裏)" xfId="5817"/>
    <cellStyle name="一般 13 3 2 7 2 3" xfId="5818"/>
    <cellStyle name="一般 13 3 2 7 2 3 2" xfId="5819"/>
    <cellStyle name="一般 13 3 2 7 2 3 2 2" xfId="15015"/>
    <cellStyle name="一般 13 3 2 7 2 3 3" xfId="15014"/>
    <cellStyle name="一般 13 3 2 7 2 4" xfId="5820"/>
    <cellStyle name="一般 13 3 2 7 2 4 2" xfId="15016"/>
    <cellStyle name="一般 13 3 2 7 2 5" xfId="5821"/>
    <cellStyle name="一般 13 3 2 7 2 5 2" xfId="15017"/>
    <cellStyle name="一般 13 3 2 7 2 6" xfId="15009"/>
    <cellStyle name="一般 13 3 2 7 2_包裝指示書(裏)" xfId="5822"/>
    <cellStyle name="一般 13 3 2 7 3" xfId="5823"/>
    <cellStyle name="一般 13 3 2 7 3 2" xfId="5824"/>
    <cellStyle name="一般 13 3 2 7 3 2 2" xfId="5825"/>
    <cellStyle name="一般 13 3 2 7 3 2 2 2" xfId="15020"/>
    <cellStyle name="一般 13 3 2 7 3 2 3" xfId="15019"/>
    <cellStyle name="一般 13 3 2 7 3 3" xfId="5826"/>
    <cellStyle name="一般 13 3 2 7 3 3 2" xfId="15021"/>
    <cellStyle name="一般 13 3 2 7 3 4" xfId="5827"/>
    <cellStyle name="一般 13 3 2 7 3 4 2" xfId="15022"/>
    <cellStyle name="一般 13 3 2 7 3 5" xfId="5828"/>
    <cellStyle name="一般 13 3 2 7 3 5 2" xfId="15023"/>
    <cellStyle name="一般 13 3 2 7 3 6" xfId="15018"/>
    <cellStyle name="一般 13 3 2 7 3_包裝指示書(裏)" xfId="5829"/>
    <cellStyle name="一般 13 3 2 7 4" xfId="5830"/>
    <cellStyle name="一般 13 3 2 7 4 2" xfId="5831"/>
    <cellStyle name="一般 13 3 2 7 4 2 2" xfId="15025"/>
    <cellStyle name="一般 13 3 2 7 4 3" xfId="15024"/>
    <cellStyle name="一般 13 3 2 7 5" xfId="5832"/>
    <cellStyle name="一般 13 3 2 7 5 2" xfId="5833"/>
    <cellStyle name="一般 13 3 2 7 5 2 2" xfId="15027"/>
    <cellStyle name="一般 13 3 2 7 5 3" xfId="15026"/>
    <cellStyle name="一般 13 3 2 7 6" xfId="5834"/>
    <cellStyle name="一般 13 3 2 7 6 2" xfId="5835"/>
    <cellStyle name="一般 13 3 2 7 6 2 2" xfId="15029"/>
    <cellStyle name="一般 13 3 2 7 6 3" xfId="15028"/>
    <cellStyle name="一般 13 3 2 7 7" xfId="5836"/>
    <cellStyle name="一般 13 3 2 7 7 2" xfId="5837"/>
    <cellStyle name="一般 13 3 2 7 7 2 2" xfId="15031"/>
    <cellStyle name="一般 13 3 2 7 7 3" xfId="15030"/>
    <cellStyle name="一般 13 3 2 7 8" xfId="5838"/>
    <cellStyle name="一般 13 3 2 7 8 2" xfId="15032"/>
    <cellStyle name="一般 13 3 2 7 9" xfId="15008"/>
    <cellStyle name="一般 13 3 2 7_包裝指示書(裏)" xfId="5839"/>
    <cellStyle name="一般 13 3 2 8" xfId="5840"/>
    <cellStyle name="一般 13 3 2 8 2" xfId="5841"/>
    <cellStyle name="一般 13 3 2 8 2 2" xfId="5842"/>
    <cellStyle name="一般 13 3 2 8 2 2 2" xfId="5843"/>
    <cellStyle name="一般 13 3 2 8 2 2 2 2" xfId="5844"/>
    <cellStyle name="一般 13 3 2 8 2 2 2 2 2" xfId="15037"/>
    <cellStyle name="一般 13 3 2 8 2 2 2 3" xfId="15036"/>
    <cellStyle name="一般 13 3 2 8 2 2 3" xfId="5845"/>
    <cellStyle name="一般 13 3 2 8 2 2 3 2" xfId="15038"/>
    <cellStyle name="一般 13 3 2 8 2 2 4" xfId="15035"/>
    <cellStyle name="一般 13 3 2 8 2 2_包裝指示書(裏)" xfId="5846"/>
    <cellStyle name="一般 13 3 2 8 2 3" xfId="5847"/>
    <cellStyle name="一般 13 3 2 8 2 3 2" xfId="5848"/>
    <cellStyle name="一般 13 3 2 8 2 3 2 2" xfId="15040"/>
    <cellStyle name="一般 13 3 2 8 2 3 3" xfId="15039"/>
    <cellStyle name="一般 13 3 2 8 2 4" xfId="5849"/>
    <cellStyle name="一般 13 3 2 8 2 4 2" xfId="15041"/>
    <cellStyle name="一般 13 3 2 8 2 5" xfId="15034"/>
    <cellStyle name="一般 13 3 2 8 2_包裝指示書(裏)" xfId="5850"/>
    <cellStyle name="一般 13 3 2 8 3" xfId="5851"/>
    <cellStyle name="一般 13 3 2 8 3 2" xfId="5852"/>
    <cellStyle name="一般 13 3 2 8 3 2 2" xfId="5853"/>
    <cellStyle name="一般 13 3 2 8 3 2 2 2" xfId="15044"/>
    <cellStyle name="一般 13 3 2 8 3 2 3" xfId="15043"/>
    <cellStyle name="一般 13 3 2 8 3 3" xfId="5854"/>
    <cellStyle name="一般 13 3 2 8 3 3 2" xfId="15045"/>
    <cellStyle name="一般 13 3 2 8 3 4" xfId="15042"/>
    <cellStyle name="一般 13 3 2 8 3_包裝指示書(裏)" xfId="5855"/>
    <cellStyle name="一般 13 3 2 8 4" xfId="5856"/>
    <cellStyle name="一般 13 3 2 8 4 2" xfId="5857"/>
    <cellStyle name="一般 13 3 2 8 4 2 2" xfId="15047"/>
    <cellStyle name="一般 13 3 2 8 4 3" xfId="15046"/>
    <cellStyle name="一般 13 3 2 8 5" xfId="5858"/>
    <cellStyle name="一般 13 3 2 8 5 2" xfId="5859"/>
    <cellStyle name="一般 13 3 2 8 5 2 2" xfId="15049"/>
    <cellStyle name="一般 13 3 2 8 5 3" xfId="15048"/>
    <cellStyle name="一般 13 3 2 8 6" xfId="5860"/>
    <cellStyle name="一般 13 3 2 8 6 2" xfId="5861"/>
    <cellStyle name="一般 13 3 2 8 6 2 2" xfId="15051"/>
    <cellStyle name="一般 13 3 2 8 6 3" xfId="15050"/>
    <cellStyle name="一般 13 3 2 8 7" xfId="5862"/>
    <cellStyle name="一般 13 3 2 8 7 2" xfId="5863"/>
    <cellStyle name="一般 13 3 2 8 7 2 2" xfId="15053"/>
    <cellStyle name="一般 13 3 2 8 7 3" xfId="15052"/>
    <cellStyle name="一般 13 3 2 8 8" xfId="5864"/>
    <cellStyle name="一般 13 3 2 8 8 2" xfId="15054"/>
    <cellStyle name="一般 13 3 2 8 9" xfId="15033"/>
    <cellStyle name="一般 13 3 2 8_包裝指示書(裏)" xfId="5865"/>
    <cellStyle name="一般 13 3 2 9" xfId="5866"/>
    <cellStyle name="一般 13 3 2 9 2" xfId="5867"/>
    <cellStyle name="一般 13 3 2 9 2 2" xfId="5868"/>
    <cellStyle name="一般 13 3 2 9 2 2 2" xfId="5869"/>
    <cellStyle name="一般 13 3 2 9 2 2 2 2" xfId="15058"/>
    <cellStyle name="一般 13 3 2 9 2 2 3" xfId="15057"/>
    <cellStyle name="一般 13 3 2 9 2 3" xfId="5870"/>
    <cellStyle name="一般 13 3 2 9 2 3 2" xfId="5871"/>
    <cellStyle name="一般 13 3 2 9 2 3 2 2" xfId="15060"/>
    <cellStyle name="一般 13 3 2 9 2 3 3" xfId="15059"/>
    <cellStyle name="一般 13 3 2 9 2 4" xfId="5872"/>
    <cellStyle name="一般 13 3 2 9 2 4 2" xfId="15061"/>
    <cellStyle name="一般 13 3 2 9 2 5" xfId="15056"/>
    <cellStyle name="一般 13 3 2 9 2_包裝指示書(裏)" xfId="5873"/>
    <cellStyle name="一般 13 3 2 9 3" xfId="5874"/>
    <cellStyle name="一般 13 3 2 9 3 2" xfId="5875"/>
    <cellStyle name="一般 13 3 2 9 3 2 2" xfId="5876"/>
    <cellStyle name="一般 13 3 2 9 3 2 2 2" xfId="15064"/>
    <cellStyle name="一般 13 3 2 9 3 2 3" xfId="15063"/>
    <cellStyle name="一般 13 3 2 9 3 3" xfId="5877"/>
    <cellStyle name="一般 13 3 2 9 3 3 2" xfId="15065"/>
    <cellStyle name="一般 13 3 2 9 3 4" xfId="15062"/>
    <cellStyle name="一般 13 3 2 9 3_包裝指示書(裏)" xfId="5878"/>
    <cellStyle name="一般 13 3 2 9 4" xfId="5879"/>
    <cellStyle name="一般 13 3 2 9 4 2" xfId="5880"/>
    <cellStyle name="一般 13 3 2 9 4 2 2" xfId="15067"/>
    <cellStyle name="一般 13 3 2 9 4 3" xfId="15066"/>
    <cellStyle name="一般 13 3 2 9 5" xfId="5881"/>
    <cellStyle name="一般 13 3 2 9 5 2" xfId="15068"/>
    <cellStyle name="一般 13 3 2 9 6" xfId="15055"/>
    <cellStyle name="一般 13 3 2 9_包裝指示書(裏)" xfId="5882"/>
    <cellStyle name="一般 13 3 2_包裝指示書(裏)" xfId="5883"/>
    <cellStyle name="一般 13 3 3" xfId="5884"/>
    <cellStyle name="一般 13 3 3 10" xfId="5885"/>
    <cellStyle name="一般 13 3 3 10 2" xfId="5886"/>
    <cellStyle name="一般 13 3 3 10 2 2" xfId="5887"/>
    <cellStyle name="一般 13 3 3 10 2 2 2" xfId="5888"/>
    <cellStyle name="一般 13 3 3 10 2 2 2 2" xfId="15073"/>
    <cellStyle name="一般 13 3 3 10 2 2 3" xfId="15072"/>
    <cellStyle name="一般 13 3 3 10 2 3" xfId="5889"/>
    <cellStyle name="一般 13 3 3 10 2 3 2" xfId="5890"/>
    <cellStyle name="一般 13 3 3 10 2 3 2 2" xfId="15075"/>
    <cellStyle name="一般 13 3 3 10 2 3 3" xfId="15074"/>
    <cellStyle name="一般 13 3 3 10 2 4" xfId="5891"/>
    <cellStyle name="一般 13 3 3 10 2 4 2" xfId="15076"/>
    <cellStyle name="一般 13 3 3 10 2 5" xfId="15071"/>
    <cellStyle name="一般 13 3 3 10 2_包裝指示書(裏)" xfId="5892"/>
    <cellStyle name="一般 13 3 3 10 3" xfId="5893"/>
    <cellStyle name="一般 13 3 3 10 3 2" xfId="5894"/>
    <cellStyle name="一般 13 3 3 10 3 2 2" xfId="15078"/>
    <cellStyle name="一般 13 3 3 10 3 3" xfId="15077"/>
    <cellStyle name="一般 13 3 3 10 4" xfId="5895"/>
    <cellStyle name="一般 13 3 3 10 4 2" xfId="5896"/>
    <cellStyle name="一般 13 3 3 10 4 2 2" xfId="15080"/>
    <cellStyle name="一般 13 3 3 10 4 3" xfId="15079"/>
    <cellStyle name="一般 13 3 3 10 5" xfId="5897"/>
    <cellStyle name="一般 13 3 3 10 5 2" xfId="15081"/>
    <cellStyle name="一般 13 3 3 10 6" xfId="15070"/>
    <cellStyle name="一般 13 3 3 10_包裝指示書(裏)" xfId="5898"/>
    <cellStyle name="一般 13 3 3 11" xfId="5899"/>
    <cellStyle name="一般 13 3 3 11 2" xfId="5900"/>
    <cellStyle name="一般 13 3 3 11 2 2" xfId="5901"/>
    <cellStyle name="一般 13 3 3 11 2 2 2" xfId="15084"/>
    <cellStyle name="一般 13 3 3 11 2 3" xfId="15083"/>
    <cellStyle name="一般 13 3 3 11 3" xfId="5902"/>
    <cellStyle name="一般 13 3 3 11 3 2" xfId="5903"/>
    <cellStyle name="一般 13 3 3 11 3 2 2" xfId="15086"/>
    <cellStyle name="一般 13 3 3 11 3 3" xfId="15085"/>
    <cellStyle name="一般 13 3 3 11 4" xfId="5904"/>
    <cellStyle name="一般 13 3 3 11 4 2" xfId="15087"/>
    <cellStyle name="一般 13 3 3 11 5" xfId="15082"/>
    <cellStyle name="一般 13 3 3 11_包裝指示書(裏)" xfId="5905"/>
    <cellStyle name="一般 13 3 3 12" xfId="5906"/>
    <cellStyle name="一般 13 3 3 12 2" xfId="5907"/>
    <cellStyle name="一般 13 3 3 12 2 2" xfId="5908"/>
    <cellStyle name="一般 13 3 3 12 2 2 2" xfId="15090"/>
    <cellStyle name="一般 13 3 3 12 2 3" xfId="15089"/>
    <cellStyle name="一般 13 3 3 12 3" xfId="5909"/>
    <cellStyle name="一般 13 3 3 12 3 2" xfId="15091"/>
    <cellStyle name="一般 13 3 3 12 4" xfId="15088"/>
    <cellStyle name="一般 13 3 3 12_包裝指示書(裏)" xfId="5910"/>
    <cellStyle name="一般 13 3 3 13" xfId="5911"/>
    <cellStyle name="一般 13 3 3 13 2" xfId="5912"/>
    <cellStyle name="一般 13 3 3 13 2 2" xfId="15093"/>
    <cellStyle name="一般 13 3 3 13 3" xfId="15092"/>
    <cellStyle name="一般 13 3 3 14" xfId="5913"/>
    <cellStyle name="一般 13 3 3 14 2" xfId="5914"/>
    <cellStyle name="一般 13 3 3 14 2 2" xfId="15095"/>
    <cellStyle name="一般 13 3 3 14 3" xfId="15094"/>
    <cellStyle name="一般 13 3 3 15" xfId="5915"/>
    <cellStyle name="一般 13 3 3 15 2" xfId="15096"/>
    <cellStyle name="一般 13 3 3 16" xfId="15069"/>
    <cellStyle name="一般 13 3 3 2" xfId="5916"/>
    <cellStyle name="一般 13 3 3 2 10" xfId="15097"/>
    <cellStyle name="一般 13 3 3 2 2" xfId="5917"/>
    <cellStyle name="一般 13 3 3 2 2 2" xfId="5918"/>
    <cellStyle name="一般 13 3 3 2 2 2 2" xfId="5919"/>
    <cellStyle name="一般 13 3 3 2 2 2 2 2" xfId="5920"/>
    <cellStyle name="一般 13 3 3 2 2 2 2 2 2" xfId="15101"/>
    <cellStyle name="一般 13 3 3 2 2 2 2 3" xfId="15100"/>
    <cellStyle name="一般 13 3 3 2 2 2 3" xfId="5921"/>
    <cellStyle name="一般 13 3 3 2 2 2 3 2" xfId="15102"/>
    <cellStyle name="一般 13 3 3 2 2 2 4" xfId="15099"/>
    <cellStyle name="一般 13 3 3 2 2 2_包裝指示書(裏)" xfId="5922"/>
    <cellStyle name="一般 13 3 3 2 2 3" xfId="5923"/>
    <cellStyle name="一般 13 3 3 2 2 3 2" xfId="5924"/>
    <cellStyle name="一般 13 3 3 2 2 3 2 2" xfId="15104"/>
    <cellStyle name="一般 13 3 3 2 2 3 3" xfId="15103"/>
    <cellStyle name="一般 13 3 3 2 2 4" xfId="5925"/>
    <cellStyle name="一般 13 3 3 2 2 4 2" xfId="5926"/>
    <cellStyle name="一般 13 3 3 2 2 4 2 2" xfId="15106"/>
    <cellStyle name="一般 13 3 3 2 2 4 3" xfId="15105"/>
    <cellStyle name="一般 13 3 3 2 2 5" xfId="5927"/>
    <cellStyle name="一般 13 3 3 2 2 5 2" xfId="5928"/>
    <cellStyle name="一般 13 3 3 2 2 5 2 2" xfId="15108"/>
    <cellStyle name="一般 13 3 3 2 2 5 3" xfId="15107"/>
    <cellStyle name="一般 13 3 3 2 2 6" xfId="5929"/>
    <cellStyle name="一般 13 3 3 2 2 6 2" xfId="5930"/>
    <cellStyle name="一般 13 3 3 2 2 6 2 2" xfId="15110"/>
    <cellStyle name="一般 13 3 3 2 2 6 3" xfId="15109"/>
    <cellStyle name="一般 13 3 3 2 2 7" xfId="5931"/>
    <cellStyle name="一般 13 3 3 2 2 7 2" xfId="5932"/>
    <cellStyle name="一般 13 3 3 2 2 7 2 2" xfId="15112"/>
    <cellStyle name="一般 13 3 3 2 2 7 3" xfId="15111"/>
    <cellStyle name="一般 13 3 3 2 2 8" xfId="5933"/>
    <cellStyle name="一般 13 3 3 2 2 8 2" xfId="15113"/>
    <cellStyle name="一般 13 3 3 2 2 9" xfId="15098"/>
    <cellStyle name="一般 13 3 3 2 2_包裝指示書(裏)" xfId="5934"/>
    <cellStyle name="一般 13 3 3 2 3" xfId="5935"/>
    <cellStyle name="一般 13 3 3 2 3 2" xfId="5936"/>
    <cellStyle name="一般 13 3 3 2 3 2 2" xfId="5937"/>
    <cellStyle name="一般 13 3 3 2 3 2 2 2" xfId="15116"/>
    <cellStyle name="一般 13 3 3 2 3 2 3" xfId="15115"/>
    <cellStyle name="一般 13 3 3 2 3 3" xfId="5938"/>
    <cellStyle name="一般 13 3 3 2 3 3 2" xfId="15117"/>
    <cellStyle name="一般 13 3 3 2 3 4" xfId="5939"/>
    <cellStyle name="一般 13 3 3 2 3 4 2" xfId="15118"/>
    <cellStyle name="一般 13 3 3 2 3 5" xfId="5940"/>
    <cellStyle name="一般 13 3 3 2 3 5 2" xfId="15119"/>
    <cellStyle name="一般 13 3 3 2 3 6" xfId="15114"/>
    <cellStyle name="一般 13 3 3 2 3_包裝指示書(裏)" xfId="5941"/>
    <cellStyle name="一般 13 3 3 2 4" xfId="5942"/>
    <cellStyle name="一般 13 3 3 2 4 2" xfId="5943"/>
    <cellStyle name="一般 13 3 3 2 4 2 2" xfId="15121"/>
    <cellStyle name="一般 13 3 3 2 4 3" xfId="15120"/>
    <cellStyle name="一般 13 3 3 2 5" xfId="5944"/>
    <cellStyle name="一般 13 3 3 2 5 2" xfId="5945"/>
    <cellStyle name="一般 13 3 3 2 5 2 2" xfId="15123"/>
    <cellStyle name="一般 13 3 3 2 5 3" xfId="15122"/>
    <cellStyle name="一般 13 3 3 2 6" xfId="5946"/>
    <cellStyle name="一般 13 3 3 2 6 2" xfId="5947"/>
    <cellStyle name="一般 13 3 3 2 6 2 2" xfId="15125"/>
    <cellStyle name="一般 13 3 3 2 6 3" xfId="15124"/>
    <cellStyle name="一般 13 3 3 2 7" xfId="5948"/>
    <cellStyle name="一般 13 3 3 2 7 2" xfId="5949"/>
    <cellStyle name="一般 13 3 3 2 7 2 2" xfId="15127"/>
    <cellStyle name="一般 13 3 3 2 7 3" xfId="15126"/>
    <cellStyle name="一般 13 3 3 2 8" xfId="5950"/>
    <cellStyle name="一般 13 3 3 2 8 2" xfId="5951"/>
    <cellStyle name="一般 13 3 3 2 8 2 2" xfId="15129"/>
    <cellStyle name="一般 13 3 3 2 8 3" xfId="15128"/>
    <cellStyle name="一般 13 3 3 2 9" xfId="5952"/>
    <cellStyle name="一般 13 3 3 2 9 2" xfId="15130"/>
    <cellStyle name="一般 13 3 3 2_包裝指示書(裏)" xfId="5953"/>
    <cellStyle name="一般 13 3 3 3" xfId="5954"/>
    <cellStyle name="一般 13 3 3 3 10" xfId="15131"/>
    <cellStyle name="一般 13 3 3 3 2" xfId="5955"/>
    <cellStyle name="一般 13 3 3 3 2 2" xfId="5956"/>
    <cellStyle name="一般 13 3 3 3 2 2 2" xfId="5957"/>
    <cellStyle name="一般 13 3 3 3 2 2 2 2" xfId="5958"/>
    <cellStyle name="一般 13 3 3 3 2 2 2 2 2" xfId="15135"/>
    <cellStyle name="一般 13 3 3 3 2 2 2 3" xfId="15134"/>
    <cellStyle name="一般 13 3 3 3 2 2 3" xfId="5959"/>
    <cellStyle name="一般 13 3 3 3 2 2 3 2" xfId="15136"/>
    <cellStyle name="一般 13 3 3 3 2 2 4" xfId="15133"/>
    <cellStyle name="一般 13 3 3 3 2 2_包裝指示書(裏)" xfId="5960"/>
    <cellStyle name="一般 13 3 3 3 2 3" xfId="5961"/>
    <cellStyle name="一般 13 3 3 3 2 3 2" xfId="5962"/>
    <cellStyle name="一般 13 3 3 3 2 3 2 2" xfId="15138"/>
    <cellStyle name="一般 13 3 3 3 2 3 3" xfId="15137"/>
    <cellStyle name="一般 13 3 3 3 2 4" xfId="5963"/>
    <cellStyle name="一般 13 3 3 3 2 4 2" xfId="5964"/>
    <cellStyle name="一般 13 3 3 3 2 4 2 2" xfId="15140"/>
    <cellStyle name="一般 13 3 3 3 2 4 3" xfId="15139"/>
    <cellStyle name="一般 13 3 3 3 2 5" xfId="5965"/>
    <cellStyle name="一般 13 3 3 3 2 5 2" xfId="5966"/>
    <cellStyle name="一般 13 3 3 3 2 5 2 2" xfId="15142"/>
    <cellStyle name="一般 13 3 3 3 2 5 3" xfId="15141"/>
    <cellStyle name="一般 13 3 3 3 2 6" xfId="5967"/>
    <cellStyle name="一般 13 3 3 3 2 6 2" xfId="5968"/>
    <cellStyle name="一般 13 3 3 3 2 6 2 2" xfId="15144"/>
    <cellStyle name="一般 13 3 3 3 2 6 3" xfId="15143"/>
    <cellStyle name="一般 13 3 3 3 2 7" xfId="5969"/>
    <cellStyle name="一般 13 3 3 3 2 7 2" xfId="5970"/>
    <cellStyle name="一般 13 3 3 3 2 7 2 2" xfId="15146"/>
    <cellStyle name="一般 13 3 3 3 2 7 3" xfId="15145"/>
    <cellStyle name="一般 13 3 3 3 2 8" xfId="5971"/>
    <cellStyle name="一般 13 3 3 3 2 8 2" xfId="15147"/>
    <cellStyle name="一般 13 3 3 3 2 9" xfId="15132"/>
    <cellStyle name="一般 13 3 3 3 2_包裝指示書(裏)" xfId="5972"/>
    <cellStyle name="一般 13 3 3 3 3" xfId="5973"/>
    <cellStyle name="一般 13 3 3 3 3 2" xfId="5974"/>
    <cellStyle name="一般 13 3 3 3 3 2 2" xfId="5975"/>
    <cellStyle name="一般 13 3 3 3 3 2 2 2" xfId="15150"/>
    <cellStyle name="一般 13 3 3 3 3 2 3" xfId="15149"/>
    <cellStyle name="一般 13 3 3 3 3 3" xfId="5976"/>
    <cellStyle name="一般 13 3 3 3 3 3 2" xfId="15151"/>
    <cellStyle name="一般 13 3 3 3 3 4" xfId="5977"/>
    <cellStyle name="一般 13 3 3 3 3 4 2" xfId="15152"/>
    <cellStyle name="一般 13 3 3 3 3 5" xfId="5978"/>
    <cellStyle name="一般 13 3 3 3 3 5 2" xfId="15153"/>
    <cellStyle name="一般 13 3 3 3 3 6" xfId="15148"/>
    <cellStyle name="一般 13 3 3 3 3_包裝指示書(裏)" xfId="5979"/>
    <cellStyle name="一般 13 3 3 3 4" xfId="5980"/>
    <cellStyle name="一般 13 3 3 3 4 2" xfId="5981"/>
    <cellStyle name="一般 13 3 3 3 4 2 2" xfId="15155"/>
    <cellStyle name="一般 13 3 3 3 4 3" xfId="15154"/>
    <cellStyle name="一般 13 3 3 3 5" xfId="5982"/>
    <cellStyle name="一般 13 3 3 3 5 2" xfId="5983"/>
    <cellStyle name="一般 13 3 3 3 5 2 2" xfId="15157"/>
    <cellStyle name="一般 13 3 3 3 5 3" xfId="15156"/>
    <cellStyle name="一般 13 3 3 3 6" xfId="5984"/>
    <cellStyle name="一般 13 3 3 3 6 2" xfId="5985"/>
    <cellStyle name="一般 13 3 3 3 6 2 2" xfId="15159"/>
    <cellStyle name="一般 13 3 3 3 6 3" xfId="15158"/>
    <cellStyle name="一般 13 3 3 3 7" xfId="5986"/>
    <cellStyle name="一般 13 3 3 3 7 2" xfId="5987"/>
    <cellStyle name="一般 13 3 3 3 7 2 2" xfId="15161"/>
    <cellStyle name="一般 13 3 3 3 7 3" xfId="15160"/>
    <cellStyle name="一般 13 3 3 3 8" xfId="5988"/>
    <cellStyle name="一般 13 3 3 3 8 2" xfId="5989"/>
    <cellStyle name="一般 13 3 3 3 8 2 2" xfId="15163"/>
    <cellStyle name="一般 13 3 3 3 8 3" xfId="15162"/>
    <cellStyle name="一般 13 3 3 3 9" xfId="5990"/>
    <cellStyle name="一般 13 3 3 3 9 2" xfId="15164"/>
    <cellStyle name="一般 13 3 3 3_包裝指示書(裏)" xfId="5991"/>
    <cellStyle name="一般 13 3 3 4" xfId="5992"/>
    <cellStyle name="一般 13 3 3 4 2" xfId="5993"/>
    <cellStyle name="一般 13 3 3 4 2 2" xfId="5994"/>
    <cellStyle name="一般 13 3 3 4 2 2 2" xfId="5995"/>
    <cellStyle name="一般 13 3 3 4 2 2 2 2" xfId="5996"/>
    <cellStyle name="一般 13 3 3 4 2 2 2 2 2" xfId="15169"/>
    <cellStyle name="一般 13 3 3 4 2 2 2 3" xfId="15168"/>
    <cellStyle name="一般 13 3 3 4 2 2 3" xfId="5997"/>
    <cellStyle name="一般 13 3 3 4 2 2 3 2" xfId="15170"/>
    <cellStyle name="一般 13 3 3 4 2 2 4" xfId="15167"/>
    <cellStyle name="一般 13 3 3 4 2 2_包裝指示書(裏)" xfId="5998"/>
    <cellStyle name="一般 13 3 3 4 2 3" xfId="5999"/>
    <cellStyle name="一般 13 3 3 4 2 3 2" xfId="6000"/>
    <cellStyle name="一般 13 3 3 4 2 3 2 2" xfId="15172"/>
    <cellStyle name="一般 13 3 3 4 2 3 3" xfId="15171"/>
    <cellStyle name="一般 13 3 3 4 2 4" xfId="6001"/>
    <cellStyle name="一般 13 3 3 4 2 4 2" xfId="15173"/>
    <cellStyle name="一般 13 3 3 4 2 5" xfId="6002"/>
    <cellStyle name="一般 13 3 3 4 2 5 2" xfId="15174"/>
    <cellStyle name="一般 13 3 3 4 2 6" xfId="15166"/>
    <cellStyle name="一般 13 3 3 4 2_包裝指示書(裏)" xfId="6003"/>
    <cellStyle name="一般 13 3 3 4 3" xfId="6004"/>
    <cellStyle name="一般 13 3 3 4 3 2" xfId="6005"/>
    <cellStyle name="一般 13 3 3 4 3 2 2" xfId="6006"/>
    <cellStyle name="一般 13 3 3 4 3 2 2 2" xfId="15177"/>
    <cellStyle name="一般 13 3 3 4 3 2 3" xfId="15176"/>
    <cellStyle name="一般 13 3 3 4 3 3" xfId="6007"/>
    <cellStyle name="一般 13 3 3 4 3 3 2" xfId="15178"/>
    <cellStyle name="一般 13 3 3 4 3 4" xfId="6008"/>
    <cellStyle name="一般 13 3 3 4 3 4 2" xfId="15179"/>
    <cellStyle name="一般 13 3 3 4 3 5" xfId="6009"/>
    <cellStyle name="一般 13 3 3 4 3 5 2" xfId="15180"/>
    <cellStyle name="一般 13 3 3 4 3 6" xfId="15175"/>
    <cellStyle name="一般 13 3 3 4 3_包裝指示書(裏)" xfId="6010"/>
    <cellStyle name="一般 13 3 3 4 4" xfId="6011"/>
    <cellStyle name="一般 13 3 3 4 4 2" xfId="6012"/>
    <cellStyle name="一般 13 3 3 4 4 2 2" xfId="15182"/>
    <cellStyle name="一般 13 3 3 4 4 3" xfId="15181"/>
    <cellStyle name="一般 13 3 3 4 5" xfId="6013"/>
    <cellStyle name="一般 13 3 3 4 5 2" xfId="6014"/>
    <cellStyle name="一般 13 3 3 4 5 2 2" xfId="15184"/>
    <cellStyle name="一般 13 3 3 4 5 3" xfId="15183"/>
    <cellStyle name="一般 13 3 3 4 6" xfId="6015"/>
    <cellStyle name="一般 13 3 3 4 6 2" xfId="6016"/>
    <cellStyle name="一般 13 3 3 4 6 2 2" xfId="15186"/>
    <cellStyle name="一般 13 3 3 4 6 3" xfId="15185"/>
    <cellStyle name="一般 13 3 3 4 7" xfId="6017"/>
    <cellStyle name="一般 13 3 3 4 7 2" xfId="6018"/>
    <cellStyle name="一般 13 3 3 4 7 2 2" xfId="15188"/>
    <cellStyle name="一般 13 3 3 4 7 3" xfId="15187"/>
    <cellStyle name="一般 13 3 3 4 8" xfId="6019"/>
    <cellStyle name="一般 13 3 3 4 8 2" xfId="15189"/>
    <cellStyle name="一般 13 3 3 4 9" xfId="15165"/>
    <cellStyle name="一般 13 3 3 4_包裝指示書(裏)" xfId="6020"/>
    <cellStyle name="一般 13 3 3 5" xfId="6021"/>
    <cellStyle name="一般 13 3 3 5 2" xfId="6022"/>
    <cellStyle name="一般 13 3 3 5 2 2" xfId="6023"/>
    <cellStyle name="一般 13 3 3 5 2 2 2" xfId="6024"/>
    <cellStyle name="一般 13 3 3 5 2 2 2 2" xfId="6025"/>
    <cellStyle name="一般 13 3 3 5 2 2 2 2 2" xfId="15194"/>
    <cellStyle name="一般 13 3 3 5 2 2 2 3" xfId="15193"/>
    <cellStyle name="一般 13 3 3 5 2 2 3" xfId="6026"/>
    <cellStyle name="一般 13 3 3 5 2 2 3 2" xfId="15195"/>
    <cellStyle name="一般 13 3 3 5 2 2 4" xfId="15192"/>
    <cellStyle name="一般 13 3 3 5 2 2_包裝指示書(裏)" xfId="6027"/>
    <cellStyle name="一般 13 3 3 5 2 3" xfId="6028"/>
    <cellStyle name="一般 13 3 3 5 2 3 2" xfId="6029"/>
    <cellStyle name="一般 13 3 3 5 2 3 2 2" xfId="15197"/>
    <cellStyle name="一般 13 3 3 5 2 3 3" xfId="15196"/>
    <cellStyle name="一般 13 3 3 5 2 4" xfId="6030"/>
    <cellStyle name="一般 13 3 3 5 2 4 2" xfId="15198"/>
    <cellStyle name="一般 13 3 3 5 2 5" xfId="6031"/>
    <cellStyle name="一般 13 3 3 5 2 5 2" xfId="15199"/>
    <cellStyle name="一般 13 3 3 5 2 6" xfId="15191"/>
    <cellStyle name="一般 13 3 3 5 2_包裝指示書(裏)" xfId="6032"/>
    <cellStyle name="一般 13 3 3 5 3" xfId="6033"/>
    <cellStyle name="一般 13 3 3 5 3 2" xfId="6034"/>
    <cellStyle name="一般 13 3 3 5 3 2 2" xfId="6035"/>
    <cellStyle name="一般 13 3 3 5 3 2 2 2" xfId="15202"/>
    <cellStyle name="一般 13 3 3 5 3 2 3" xfId="15201"/>
    <cellStyle name="一般 13 3 3 5 3 3" xfId="6036"/>
    <cellStyle name="一般 13 3 3 5 3 3 2" xfId="15203"/>
    <cellStyle name="一般 13 3 3 5 3 4" xfId="6037"/>
    <cellStyle name="一般 13 3 3 5 3 4 2" xfId="15204"/>
    <cellStyle name="一般 13 3 3 5 3 5" xfId="6038"/>
    <cellStyle name="一般 13 3 3 5 3 5 2" xfId="15205"/>
    <cellStyle name="一般 13 3 3 5 3 6" xfId="15200"/>
    <cellStyle name="一般 13 3 3 5 3_包裝指示書(裏)" xfId="6039"/>
    <cellStyle name="一般 13 3 3 5 4" xfId="6040"/>
    <cellStyle name="一般 13 3 3 5 4 2" xfId="6041"/>
    <cellStyle name="一般 13 3 3 5 4 2 2" xfId="15207"/>
    <cellStyle name="一般 13 3 3 5 4 3" xfId="15206"/>
    <cellStyle name="一般 13 3 3 5 5" xfId="6042"/>
    <cellStyle name="一般 13 3 3 5 5 2" xfId="6043"/>
    <cellStyle name="一般 13 3 3 5 5 2 2" xfId="15209"/>
    <cellStyle name="一般 13 3 3 5 5 3" xfId="15208"/>
    <cellStyle name="一般 13 3 3 5 6" xfId="6044"/>
    <cellStyle name="一般 13 3 3 5 6 2" xfId="6045"/>
    <cellStyle name="一般 13 3 3 5 6 2 2" xfId="15211"/>
    <cellStyle name="一般 13 3 3 5 6 3" xfId="15210"/>
    <cellStyle name="一般 13 3 3 5 7" xfId="6046"/>
    <cellStyle name="一般 13 3 3 5 7 2" xfId="6047"/>
    <cellStyle name="一般 13 3 3 5 7 2 2" xfId="15213"/>
    <cellStyle name="一般 13 3 3 5 7 3" xfId="15212"/>
    <cellStyle name="一般 13 3 3 5 8" xfId="6048"/>
    <cellStyle name="一般 13 3 3 5 8 2" xfId="15214"/>
    <cellStyle name="一般 13 3 3 5 9" xfId="15190"/>
    <cellStyle name="一般 13 3 3 5_包裝指示書(裏)" xfId="6049"/>
    <cellStyle name="一般 13 3 3 6" xfId="6050"/>
    <cellStyle name="一般 13 3 3 6 2" xfId="6051"/>
    <cellStyle name="一般 13 3 3 6 2 2" xfId="6052"/>
    <cellStyle name="一般 13 3 3 6 2 2 2" xfId="6053"/>
    <cellStyle name="一般 13 3 3 6 2 2 2 2" xfId="6054"/>
    <cellStyle name="一般 13 3 3 6 2 2 2 2 2" xfId="15219"/>
    <cellStyle name="一般 13 3 3 6 2 2 2 3" xfId="15218"/>
    <cellStyle name="一般 13 3 3 6 2 2 3" xfId="6055"/>
    <cellStyle name="一般 13 3 3 6 2 2 3 2" xfId="15220"/>
    <cellStyle name="一般 13 3 3 6 2 2 4" xfId="15217"/>
    <cellStyle name="一般 13 3 3 6 2 2_包裝指示書(裏)" xfId="6056"/>
    <cellStyle name="一般 13 3 3 6 2 3" xfId="6057"/>
    <cellStyle name="一般 13 3 3 6 2 3 2" xfId="6058"/>
    <cellStyle name="一般 13 3 3 6 2 3 2 2" xfId="15222"/>
    <cellStyle name="一般 13 3 3 6 2 3 3" xfId="15221"/>
    <cellStyle name="一般 13 3 3 6 2 4" xfId="6059"/>
    <cellStyle name="一般 13 3 3 6 2 4 2" xfId="15223"/>
    <cellStyle name="一般 13 3 3 6 2 5" xfId="6060"/>
    <cellStyle name="一般 13 3 3 6 2 5 2" xfId="15224"/>
    <cellStyle name="一般 13 3 3 6 2 6" xfId="15216"/>
    <cellStyle name="一般 13 3 3 6 2_包裝指示書(裏)" xfId="6061"/>
    <cellStyle name="一般 13 3 3 6 3" xfId="6062"/>
    <cellStyle name="一般 13 3 3 6 3 2" xfId="6063"/>
    <cellStyle name="一般 13 3 3 6 3 2 2" xfId="6064"/>
    <cellStyle name="一般 13 3 3 6 3 2 2 2" xfId="15227"/>
    <cellStyle name="一般 13 3 3 6 3 2 3" xfId="15226"/>
    <cellStyle name="一般 13 3 3 6 3 3" xfId="6065"/>
    <cellStyle name="一般 13 3 3 6 3 3 2" xfId="15228"/>
    <cellStyle name="一般 13 3 3 6 3 4" xfId="6066"/>
    <cellStyle name="一般 13 3 3 6 3 4 2" xfId="15229"/>
    <cellStyle name="一般 13 3 3 6 3 5" xfId="6067"/>
    <cellStyle name="一般 13 3 3 6 3 5 2" xfId="15230"/>
    <cellStyle name="一般 13 3 3 6 3 6" xfId="15225"/>
    <cellStyle name="一般 13 3 3 6 3_包裝指示書(裏)" xfId="6068"/>
    <cellStyle name="一般 13 3 3 6 4" xfId="6069"/>
    <cellStyle name="一般 13 3 3 6 4 2" xfId="6070"/>
    <cellStyle name="一般 13 3 3 6 4 2 2" xfId="15232"/>
    <cellStyle name="一般 13 3 3 6 4 3" xfId="15231"/>
    <cellStyle name="一般 13 3 3 6 5" xfId="6071"/>
    <cellStyle name="一般 13 3 3 6 5 2" xfId="6072"/>
    <cellStyle name="一般 13 3 3 6 5 2 2" xfId="15234"/>
    <cellStyle name="一般 13 3 3 6 5 3" xfId="15233"/>
    <cellStyle name="一般 13 3 3 6 6" xfId="6073"/>
    <cellStyle name="一般 13 3 3 6 6 2" xfId="6074"/>
    <cellStyle name="一般 13 3 3 6 6 2 2" xfId="15236"/>
    <cellStyle name="一般 13 3 3 6 6 3" xfId="15235"/>
    <cellStyle name="一般 13 3 3 6 7" xfId="6075"/>
    <cellStyle name="一般 13 3 3 6 7 2" xfId="6076"/>
    <cellStyle name="一般 13 3 3 6 7 2 2" xfId="15238"/>
    <cellStyle name="一般 13 3 3 6 7 3" xfId="15237"/>
    <cellStyle name="一般 13 3 3 6 8" xfId="6077"/>
    <cellStyle name="一般 13 3 3 6 8 2" xfId="15239"/>
    <cellStyle name="一般 13 3 3 6 9" xfId="15215"/>
    <cellStyle name="一般 13 3 3 6_包裝指示書(裏)" xfId="6078"/>
    <cellStyle name="一般 13 3 3 7" xfId="6079"/>
    <cellStyle name="一般 13 3 3 7 2" xfId="6080"/>
    <cellStyle name="一般 13 3 3 7 2 2" xfId="6081"/>
    <cellStyle name="一般 13 3 3 7 2 2 2" xfId="6082"/>
    <cellStyle name="一般 13 3 3 7 2 2 2 2" xfId="6083"/>
    <cellStyle name="一般 13 3 3 7 2 2 2 2 2" xfId="15244"/>
    <cellStyle name="一般 13 3 3 7 2 2 2 3" xfId="15243"/>
    <cellStyle name="一般 13 3 3 7 2 2 3" xfId="6084"/>
    <cellStyle name="一般 13 3 3 7 2 2 3 2" xfId="15245"/>
    <cellStyle name="一般 13 3 3 7 2 2 4" xfId="15242"/>
    <cellStyle name="一般 13 3 3 7 2 2_包裝指示書(裏)" xfId="6085"/>
    <cellStyle name="一般 13 3 3 7 2 3" xfId="6086"/>
    <cellStyle name="一般 13 3 3 7 2 3 2" xfId="6087"/>
    <cellStyle name="一般 13 3 3 7 2 3 2 2" xfId="15247"/>
    <cellStyle name="一般 13 3 3 7 2 3 3" xfId="15246"/>
    <cellStyle name="一般 13 3 3 7 2 4" xfId="6088"/>
    <cellStyle name="一般 13 3 3 7 2 4 2" xfId="15248"/>
    <cellStyle name="一般 13 3 3 7 2 5" xfId="15241"/>
    <cellStyle name="一般 13 3 3 7 2_包裝指示書(裏)" xfId="6089"/>
    <cellStyle name="一般 13 3 3 7 3" xfId="6090"/>
    <cellStyle name="一般 13 3 3 7 3 2" xfId="6091"/>
    <cellStyle name="一般 13 3 3 7 3 2 2" xfId="6092"/>
    <cellStyle name="一般 13 3 3 7 3 2 2 2" xfId="15251"/>
    <cellStyle name="一般 13 3 3 7 3 2 3" xfId="15250"/>
    <cellStyle name="一般 13 3 3 7 3 3" xfId="6093"/>
    <cellStyle name="一般 13 3 3 7 3 3 2" xfId="15252"/>
    <cellStyle name="一般 13 3 3 7 3 4" xfId="15249"/>
    <cellStyle name="一般 13 3 3 7 3_包裝指示書(裏)" xfId="6094"/>
    <cellStyle name="一般 13 3 3 7 4" xfId="6095"/>
    <cellStyle name="一般 13 3 3 7 4 2" xfId="6096"/>
    <cellStyle name="一般 13 3 3 7 4 2 2" xfId="15254"/>
    <cellStyle name="一般 13 3 3 7 4 3" xfId="15253"/>
    <cellStyle name="一般 13 3 3 7 5" xfId="6097"/>
    <cellStyle name="一般 13 3 3 7 5 2" xfId="6098"/>
    <cellStyle name="一般 13 3 3 7 5 2 2" xfId="15256"/>
    <cellStyle name="一般 13 3 3 7 5 3" xfId="15255"/>
    <cellStyle name="一般 13 3 3 7 6" xfId="6099"/>
    <cellStyle name="一般 13 3 3 7 6 2" xfId="6100"/>
    <cellStyle name="一般 13 3 3 7 6 2 2" xfId="15258"/>
    <cellStyle name="一般 13 3 3 7 6 3" xfId="15257"/>
    <cellStyle name="一般 13 3 3 7 7" xfId="6101"/>
    <cellStyle name="一般 13 3 3 7 7 2" xfId="6102"/>
    <cellStyle name="一般 13 3 3 7 7 2 2" xfId="15260"/>
    <cellStyle name="一般 13 3 3 7 7 3" xfId="15259"/>
    <cellStyle name="一般 13 3 3 7 8" xfId="6103"/>
    <cellStyle name="一般 13 3 3 7 8 2" xfId="15261"/>
    <cellStyle name="一般 13 3 3 7 9" xfId="15240"/>
    <cellStyle name="一般 13 3 3 7_包裝指示書(裏)" xfId="6104"/>
    <cellStyle name="一般 13 3 3 8" xfId="6105"/>
    <cellStyle name="一般 13 3 3 8 2" xfId="6106"/>
    <cellStyle name="一般 13 3 3 8 2 2" xfId="6107"/>
    <cellStyle name="一般 13 3 3 8 2 2 2" xfId="6108"/>
    <cellStyle name="一般 13 3 3 8 2 2 2 2" xfId="15265"/>
    <cellStyle name="一般 13 3 3 8 2 2 3" xfId="15264"/>
    <cellStyle name="一般 13 3 3 8 2 3" xfId="6109"/>
    <cellStyle name="一般 13 3 3 8 2 3 2" xfId="6110"/>
    <cellStyle name="一般 13 3 3 8 2 3 2 2" xfId="15267"/>
    <cellStyle name="一般 13 3 3 8 2 3 3" xfId="15266"/>
    <cellStyle name="一般 13 3 3 8 2 4" xfId="6111"/>
    <cellStyle name="一般 13 3 3 8 2 4 2" xfId="15268"/>
    <cellStyle name="一般 13 3 3 8 2 5" xfId="15263"/>
    <cellStyle name="一般 13 3 3 8 2_包裝指示書(裏)" xfId="6112"/>
    <cellStyle name="一般 13 3 3 8 3" xfId="6113"/>
    <cellStyle name="一般 13 3 3 8 3 2" xfId="6114"/>
    <cellStyle name="一般 13 3 3 8 3 2 2" xfId="6115"/>
    <cellStyle name="一般 13 3 3 8 3 2 2 2" xfId="15271"/>
    <cellStyle name="一般 13 3 3 8 3 2 3" xfId="15270"/>
    <cellStyle name="一般 13 3 3 8 3 3" xfId="6116"/>
    <cellStyle name="一般 13 3 3 8 3 3 2" xfId="15272"/>
    <cellStyle name="一般 13 3 3 8 3 4" xfId="15269"/>
    <cellStyle name="一般 13 3 3 8 3_包裝指示書(裏)" xfId="6117"/>
    <cellStyle name="一般 13 3 3 8 4" xfId="6118"/>
    <cellStyle name="一般 13 3 3 8 4 2" xfId="6119"/>
    <cellStyle name="一般 13 3 3 8 4 2 2" xfId="15274"/>
    <cellStyle name="一般 13 3 3 8 4 3" xfId="15273"/>
    <cellStyle name="一般 13 3 3 8 5" xfId="6120"/>
    <cellStyle name="一般 13 3 3 8 5 2" xfId="15275"/>
    <cellStyle name="一般 13 3 3 8 6" xfId="15262"/>
    <cellStyle name="一般 13 3 3 8_包裝指示書(裏)" xfId="6121"/>
    <cellStyle name="一般 13 3 3 9" xfId="6122"/>
    <cellStyle name="一般 13 3 3 9 2" xfId="6123"/>
    <cellStyle name="一般 13 3 3 9 2 2" xfId="6124"/>
    <cellStyle name="一般 13 3 3 9 2 2 2" xfId="6125"/>
    <cellStyle name="一般 13 3 3 9 2 2 2 2" xfId="15279"/>
    <cellStyle name="一般 13 3 3 9 2 2 3" xfId="15278"/>
    <cellStyle name="一般 13 3 3 9 2 3" xfId="6126"/>
    <cellStyle name="一般 13 3 3 9 2 3 2" xfId="6127"/>
    <cellStyle name="一般 13 3 3 9 2 3 2 2" xfId="15281"/>
    <cellStyle name="一般 13 3 3 9 2 3 3" xfId="15280"/>
    <cellStyle name="一般 13 3 3 9 2 4" xfId="6128"/>
    <cellStyle name="一般 13 3 3 9 2 4 2" xfId="15282"/>
    <cellStyle name="一般 13 3 3 9 2 5" xfId="15277"/>
    <cellStyle name="一般 13 3 3 9 2_包裝指示書(裏)" xfId="6129"/>
    <cellStyle name="一般 13 3 3 9 3" xfId="6130"/>
    <cellStyle name="一般 13 3 3 9 3 2" xfId="6131"/>
    <cellStyle name="一般 13 3 3 9 3 2 2" xfId="15284"/>
    <cellStyle name="一般 13 3 3 9 3 3" xfId="15283"/>
    <cellStyle name="一般 13 3 3 9 4" xfId="6132"/>
    <cellStyle name="一般 13 3 3 9 4 2" xfId="6133"/>
    <cellStyle name="一般 13 3 3 9 4 2 2" xfId="15286"/>
    <cellStyle name="一般 13 3 3 9 4 3" xfId="15285"/>
    <cellStyle name="一般 13 3 3 9 5" xfId="6134"/>
    <cellStyle name="一般 13 3 3 9 5 2" xfId="15287"/>
    <cellStyle name="一般 13 3 3 9 6" xfId="15276"/>
    <cellStyle name="一般 13 3 3 9_包裝指示書(裏)" xfId="6135"/>
    <cellStyle name="一般 13 3 3_包裝指示書(裏)" xfId="6136"/>
    <cellStyle name="一般 13 3 4" xfId="6137"/>
    <cellStyle name="一般 13 3 4 10" xfId="15288"/>
    <cellStyle name="一般 13 3 4 2" xfId="6138"/>
    <cellStyle name="一般 13 3 4 2 2" xfId="6139"/>
    <cellStyle name="一般 13 3 4 2 2 2" xfId="6140"/>
    <cellStyle name="一般 13 3 4 2 2 2 2" xfId="6141"/>
    <cellStyle name="一般 13 3 4 2 2 2 2 2" xfId="15292"/>
    <cellStyle name="一般 13 3 4 2 2 2 3" xfId="15291"/>
    <cellStyle name="一般 13 3 4 2 2 3" xfId="6142"/>
    <cellStyle name="一般 13 3 4 2 2 3 2" xfId="15293"/>
    <cellStyle name="一般 13 3 4 2 2 4" xfId="15290"/>
    <cellStyle name="一般 13 3 4 2 2_包裝指示書(裏)" xfId="6143"/>
    <cellStyle name="一般 13 3 4 2 3" xfId="6144"/>
    <cellStyle name="一般 13 3 4 2 3 2" xfId="6145"/>
    <cellStyle name="一般 13 3 4 2 3 2 2" xfId="15295"/>
    <cellStyle name="一般 13 3 4 2 3 3" xfId="15294"/>
    <cellStyle name="一般 13 3 4 2 4" xfId="6146"/>
    <cellStyle name="一般 13 3 4 2 4 2" xfId="6147"/>
    <cellStyle name="一般 13 3 4 2 4 2 2" xfId="15297"/>
    <cellStyle name="一般 13 3 4 2 4 3" xfId="15296"/>
    <cellStyle name="一般 13 3 4 2 5" xfId="6148"/>
    <cellStyle name="一般 13 3 4 2 5 2" xfId="6149"/>
    <cellStyle name="一般 13 3 4 2 5 2 2" xfId="15299"/>
    <cellStyle name="一般 13 3 4 2 5 3" xfId="15298"/>
    <cellStyle name="一般 13 3 4 2 6" xfId="6150"/>
    <cellStyle name="一般 13 3 4 2 6 2" xfId="6151"/>
    <cellStyle name="一般 13 3 4 2 6 2 2" xfId="15301"/>
    <cellStyle name="一般 13 3 4 2 6 3" xfId="15300"/>
    <cellStyle name="一般 13 3 4 2 7" xfId="6152"/>
    <cellStyle name="一般 13 3 4 2 7 2" xfId="6153"/>
    <cellStyle name="一般 13 3 4 2 7 2 2" xfId="15303"/>
    <cellStyle name="一般 13 3 4 2 7 3" xfId="15302"/>
    <cellStyle name="一般 13 3 4 2 8" xfId="6154"/>
    <cellStyle name="一般 13 3 4 2 8 2" xfId="15304"/>
    <cellStyle name="一般 13 3 4 2 9" xfId="15289"/>
    <cellStyle name="一般 13 3 4 2_包裝指示書(裏)" xfId="6155"/>
    <cellStyle name="一般 13 3 4 3" xfId="6156"/>
    <cellStyle name="一般 13 3 4 3 2" xfId="6157"/>
    <cellStyle name="一般 13 3 4 3 3" xfId="6158"/>
    <cellStyle name="一般 13 3 4 3 3 2" xfId="15306"/>
    <cellStyle name="一般 13 3 4 3 4" xfId="6159"/>
    <cellStyle name="一般 13 3 4 3 4 2" xfId="15307"/>
    <cellStyle name="一般 13 3 4 3 5" xfId="6160"/>
    <cellStyle name="一般 13 3 4 3 5 2" xfId="15308"/>
    <cellStyle name="一般 13 3 4 3 6" xfId="15305"/>
    <cellStyle name="一般 13 3 4 3_包裝指示書(裏)" xfId="6161"/>
    <cellStyle name="一般 13 3 4 4" xfId="6162"/>
    <cellStyle name="一般 13 3 4 4 2" xfId="6163"/>
    <cellStyle name="一般 13 3 4 4 2 2" xfId="15310"/>
    <cellStyle name="一般 13 3 4 4 3" xfId="15309"/>
    <cellStyle name="一般 13 3 4 5" xfId="6164"/>
    <cellStyle name="一般 13 3 4 5 2" xfId="6165"/>
    <cellStyle name="一般 13 3 4 5 2 2" xfId="15312"/>
    <cellStyle name="一般 13 3 4 5 3" xfId="15311"/>
    <cellStyle name="一般 13 3 4 6" xfId="6166"/>
    <cellStyle name="一般 13 3 4 6 2" xfId="6167"/>
    <cellStyle name="一般 13 3 4 6 2 2" xfId="15314"/>
    <cellStyle name="一般 13 3 4 6 3" xfId="15313"/>
    <cellStyle name="一般 13 3 4 7" xfId="6168"/>
    <cellStyle name="一般 13 3 4 7 2" xfId="6169"/>
    <cellStyle name="一般 13 3 4 7 2 2" xfId="15316"/>
    <cellStyle name="一般 13 3 4 7 3" xfId="15315"/>
    <cellStyle name="一般 13 3 4 8" xfId="6170"/>
    <cellStyle name="一般 13 3 4 8 2" xfId="6171"/>
    <cellStyle name="一般 13 3 4 8 2 2" xfId="15318"/>
    <cellStyle name="一般 13 3 4 8 3" xfId="15317"/>
    <cellStyle name="一般 13 3 4 9" xfId="6172"/>
    <cellStyle name="一般 13 3 4 9 2" xfId="15319"/>
    <cellStyle name="一般 13 3 4_包裝指示書(裏)" xfId="6173"/>
    <cellStyle name="一般 13 3 5" xfId="6174"/>
    <cellStyle name="一般 13 3 5 10" xfId="15320"/>
    <cellStyle name="一般 13 3 5 2" xfId="6175"/>
    <cellStyle name="一般 13 3 5 2 2" xfId="6176"/>
    <cellStyle name="一般 13 3 5 2 2 2" xfId="6177"/>
    <cellStyle name="一般 13 3 5 2 2 2 2" xfId="6178"/>
    <cellStyle name="一般 13 3 5 2 2 2 2 2" xfId="15324"/>
    <cellStyle name="一般 13 3 5 2 2 2 3" xfId="15323"/>
    <cellStyle name="一般 13 3 5 2 2 3" xfId="6179"/>
    <cellStyle name="一般 13 3 5 2 2 3 2" xfId="15325"/>
    <cellStyle name="一般 13 3 5 2 2 4" xfId="15322"/>
    <cellStyle name="一般 13 3 5 2 2_包裝指示書(裏)" xfId="6180"/>
    <cellStyle name="一般 13 3 5 2 3" xfId="6181"/>
    <cellStyle name="一般 13 3 5 2 3 2" xfId="6182"/>
    <cellStyle name="一般 13 3 5 2 3 2 2" xfId="15327"/>
    <cellStyle name="一般 13 3 5 2 3 3" xfId="15326"/>
    <cellStyle name="一般 13 3 5 2 4" xfId="6183"/>
    <cellStyle name="一般 13 3 5 2 4 2" xfId="6184"/>
    <cellStyle name="一般 13 3 5 2 4 2 2" xfId="15329"/>
    <cellStyle name="一般 13 3 5 2 4 3" xfId="15328"/>
    <cellStyle name="一般 13 3 5 2 5" xfId="6185"/>
    <cellStyle name="一般 13 3 5 2 5 2" xfId="6186"/>
    <cellStyle name="一般 13 3 5 2 5 2 2" xfId="15331"/>
    <cellStyle name="一般 13 3 5 2 5 3" xfId="15330"/>
    <cellStyle name="一般 13 3 5 2 6" xfId="6187"/>
    <cellStyle name="一般 13 3 5 2 6 2" xfId="6188"/>
    <cellStyle name="一般 13 3 5 2 6 2 2" xfId="15333"/>
    <cellStyle name="一般 13 3 5 2 6 3" xfId="15332"/>
    <cellStyle name="一般 13 3 5 2 7" xfId="6189"/>
    <cellStyle name="一般 13 3 5 2 7 2" xfId="6190"/>
    <cellStyle name="一般 13 3 5 2 7 2 2" xfId="15335"/>
    <cellStyle name="一般 13 3 5 2 7 3" xfId="15334"/>
    <cellStyle name="一般 13 3 5 2 8" xfId="6191"/>
    <cellStyle name="一般 13 3 5 2 8 2" xfId="15336"/>
    <cellStyle name="一般 13 3 5 2 9" xfId="15321"/>
    <cellStyle name="一般 13 3 5 2_包裝指示書(裏)" xfId="6192"/>
    <cellStyle name="一般 13 3 5 3" xfId="6193"/>
    <cellStyle name="一般 13 3 5 3 2" xfId="6194"/>
    <cellStyle name="一般 13 3 5 3 2 2" xfId="6195"/>
    <cellStyle name="一般 13 3 5 3 2 2 2" xfId="15339"/>
    <cellStyle name="一般 13 3 5 3 2 3" xfId="15338"/>
    <cellStyle name="一般 13 3 5 3 3" xfId="6196"/>
    <cellStyle name="一般 13 3 5 3 3 2" xfId="15340"/>
    <cellStyle name="一般 13 3 5 3 4" xfId="6197"/>
    <cellStyle name="一般 13 3 5 3 4 2" xfId="15341"/>
    <cellStyle name="一般 13 3 5 3 5" xfId="6198"/>
    <cellStyle name="一般 13 3 5 3 5 2" xfId="15342"/>
    <cellStyle name="一般 13 3 5 3 6" xfId="15337"/>
    <cellStyle name="一般 13 3 5 3_包裝指示書(裏)" xfId="6199"/>
    <cellStyle name="一般 13 3 5 4" xfId="6200"/>
    <cellStyle name="一般 13 3 5 4 2" xfId="6201"/>
    <cellStyle name="一般 13 3 5 4 2 2" xfId="6202"/>
    <cellStyle name="一般 13 3 5 4 2 2 2" xfId="15345"/>
    <cellStyle name="一般 13 3 5 4 2 3" xfId="15344"/>
    <cellStyle name="一般 13 3 5 4 3" xfId="6203"/>
    <cellStyle name="一般 13 3 5 4 3 2" xfId="15346"/>
    <cellStyle name="一般 13 3 5 4 4" xfId="15343"/>
    <cellStyle name="一般 13 3 5 4_包裝指示書(裏)" xfId="6204"/>
    <cellStyle name="一般 13 3 5 5" xfId="6205"/>
    <cellStyle name="一般 13 3 5 5 2" xfId="6206"/>
    <cellStyle name="一般 13 3 5 5 2 2" xfId="15348"/>
    <cellStyle name="一般 13 3 5 5 3" xfId="15347"/>
    <cellStyle name="一般 13 3 5 6" xfId="6207"/>
    <cellStyle name="一般 13 3 5 6 2" xfId="6208"/>
    <cellStyle name="一般 13 3 5 6 2 2" xfId="15350"/>
    <cellStyle name="一般 13 3 5 6 3" xfId="15349"/>
    <cellStyle name="一般 13 3 5 7" xfId="6209"/>
    <cellStyle name="一般 13 3 5 7 2" xfId="6210"/>
    <cellStyle name="一般 13 3 5 7 2 2" xfId="15352"/>
    <cellStyle name="一般 13 3 5 7 3" xfId="15351"/>
    <cellStyle name="一般 13 3 5 8" xfId="6211"/>
    <cellStyle name="一般 13 3 5 8 2" xfId="6212"/>
    <cellStyle name="一般 13 3 5 8 2 2" xfId="15354"/>
    <cellStyle name="一般 13 3 5 8 3" xfId="15353"/>
    <cellStyle name="一般 13 3 5 9" xfId="6213"/>
    <cellStyle name="一般 13 3 5 9 2" xfId="15355"/>
    <cellStyle name="一般 13 3 5_包裝指示書(裏)" xfId="6214"/>
    <cellStyle name="一般 13 3 6" xfId="6215"/>
    <cellStyle name="一般 13 3 6 10" xfId="15356"/>
    <cellStyle name="一般 13 3 6 2" xfId="6216"/>
    <cellStyle name="一般 13 3 6 2 2" xfId="6217"/>
    <cellStyle name="一般 13 3 6 2 2 2" xfId="6218"/>
    <cellStyle name="一般 13 3 6 2 2 2 2" xfId="6219"/>
    <cellStyle name="一般 13 3 6 2 2 2 2 2" xfId="15360"/>
    <cellStyle name="一般 13 3 6 2 2 2 3" xfId="15359"/>
    <cellStyle name="一般 13 3 6 2 2 3" xfId="6220"/>
    <cellStyle name="一般 13 3 6 2 2 3 2" xfId="15361"/>
    <cellStyle name="一般 13 3 6 2 2 4" xfId="15358"/>
    <cellStyle name="一般 13 3 6 2 2_包裝指示書(裏)" xfId="6221"/>
    <cellStyle name="一般 13 3 6 2 3" xfId="6222"/>
    <cellStyle name="一般 13 3 6 2 3 2" xfId="6223"/>
    <cellStyle name="一般 13 3 6 2 3 2 2" xfId="15363"/>
    <cellStyle name="一般 13 3 6 2 3 3" xfId="15362"/>
    <cellStyle name="一般 13 3 6 2 4" xfId="6224"/>
    <cellStyle name="一般 13 3 6 2 4 2" xfId="6225"/>
    <cellStyle name="一般 13 3 6 2 4 2 2" xfId="15365"/>
    <cellStyle name="一般 13 3 6 2 4 3" xfId="15364"/>
    <cellStyle name="一般 13 3 6 2 5" xfId="6226"/>
    <cellStyle name="一般 13 3 6 2 5 2" xfId="6227"/>
    <cellStyle name="一般 13 3 6 2 5 2 2" xfId="15367"/>
    <cellStyle name="一般 13 3 6 2 5 3" xfId="15366"/>
    <cellStyle name="一般 13 3 6 2 6" xfId="6228"/>
    <cellStyle name="一般 13 3 6 2 6 2" xfId="6229"/>
    <cellStyle name="一般 13 3 6 2 6 2 2" xfId="15369"/>
    <cellStyle name="一般 13 3 6 2 6 3" xfId="15368"/>
    <cellStyle name="一般 13 3 6 2 7" xfId="6230"/>
    <cellStyle name="一般 13 3 6 2 7 2" xfId="6231"/>
    <cellStyle name="一般 13 3 6 2 7 2 2" xfId="15371"/>
    <cellStyle name="一般 13 3 6 2 7 3" xfId="15370"/>
    <cellStyle name="一般 13 3 6 2 8" xfId="6232"/>
    <cellStyle name="一般 13 3 6 2 8 2" xfId="15372"/>
    <cellStyle name="一般 13 3 6 2 9" xfId="15357"/>
    <cellStyle name="一般 13 3 6 2_包裝指示書(裏)" xfId="6233"/>
    <cellStyle name="一般 13 3 6 3" xfId="6234"/>
    <cellStyle name="一般 13 3 6 3 2" xfId="6235"/>
    <cellStyle name="一般 13 3 6 3 2 2" xfId="6236"/>
    <cellStyle name="一般 13 3 6 3 2 2 2" xfId="15375"/>
    <cellStyle name="一般 13 3 6 3 2 3" xfId="15374"/>
    <cellStyle name="一般 13 3 6 3 3" xfId="6237"/>
    <cellStyle name="一般 13 3 6 3 3 2" xfId="15376"/>
    <cellStyle name="一般 13 3 6 3 4" xfId="6238"/>
    <cellStyle name="一般 13 3 6 3 4 2" xfId="15377"/>
    <cellStyle name="一般 13 3 6 3 5" xfId="6239"/>
    <cellStyle name="一般 13 3 6 3 5 2" xfId="15378"/>
    <cellStyle name="一般 13 3 6 3 6" xfId="15373"/>
    <cellStyle name="一般 13 3 6 3_包裝指示書(裏)" xfId="6240"/>
    <cellStyle name="一般 13 3 6 4" xfId="6241"/>
    <cellStyle name="一般 13 3 6 4 2" xfId="6242"/>
    <cellStyle name="一般 13 3 6 4 2 2" xfId="15380"/>
    <cellStyle name="一般 13 3 6 4 3" xfId="15379"/>
    <cellStyle name="一般 13 3 6 5" xfId="6243"/>
    <cellStyle name="一般 13 3 6 5 2" xfId="6244"/>
    <cellStyle name="一般 13 3 6 5 2 2" xfId="15382"/>
    <cellStyle name="一般 13 3 6 5 3" xfId="15381"/>
    <cellStyle name="一般 13 3 6 6" xfId="6245"/>
    <cellStyle name="一般 13 3 6 6 2" xfId="6246"/>
    <cellStyle name="一般 13 3 6 6 2 2" xfId="15384"/>
    <cellStyle name="一般 13 3 6 6 3" xfId="15383"/>
    <cellStyle name="一般 13 3 6 7" xfId="6247"/>
    <cellStyle name="一般 13 3 6 7 2" xfId="6248"/>
    <cellStyle name="一般 13 3 6 7 2 2" xfId="15386"/>
    <cellStyle name="一般 13 3 6 7 3" xfId="15385"/>
    <cellStyle name="一般 13 3 6 8" xfId="6249"/>
    <cellStyle name="一般 13 3 6 8 2" xfId="6250"/>
    <cellStyle name="一般 13 3 6 8 2 2" xfId="15388"/>
    <cellStyle name="一般 13 3 6 8 3" xfId="15387"/>
    <cellStyle name="一般 13 3 6 9" xfId="6251"/>
    <cellStyle name="一般 13 3 6 9 2" xfId="15389"/>
    <cellStyle name="一般 13 3 6_包裝指示書(裏)" xfId="6252"/>
    <cellStyle name="一般 13 3 7" xfId="6253"/>
    <cellStyle name="一般 13 3 7 2" xfId="6254"/>
    <cellStyle name="一般 13 3 7 2 2" xfId="6255"/>
    <cellStyle name="一般 13 3 7 2 2 2" xfId="6256"/>
    <cellStyle name="一般 13 3 7 2 2 2 2" xfId="6257"/>
    <cellStyle name="一般 13 3 7 2 2 2 2 2" xfId="15394"/>
    <cellStyle name="一般 13 3 7 2 2 2 3" xfId="15393"/>
    <cellStyle name="一般 13 3 7 2 2 3" xfId="6258"/>
    <cellStyle name="一般 13 3 7 2 2 3 2" xfId="15395"/>
    <cellStyle name="一般 13 3 7 2 2 4" xfId="15392"/>
    <cellStyle name="一般 13 3 7 2 2_包裝指示書(裏)" xfId="6259"/>
    <cellStyle name="一般 13 3 7 2 3" xfId="6260"/>
    <cellStyle name="一般 13 3 7 2 3 2" xfId="6261"/>
    <cellStyle name="一般 13 3 7 2 3 2 2" xfId="15397"/>
    <cellStyle name="一般 13 3 7 2 3 3" xfId="15396"/>
    <cellStyle name="一般 13 3 7 2 4" xfId="6262"/>
    <cellStyle name="一般 13 3 7 2 4 2" xfId="15398"/>
    <cellStyle name="一般 13 3 7 2 5" xfId="6263"/>
    <cellStyle name="一般 13 3 7 2 5 2" xfId="15399"/>
    <cellStyle name="一般 13 3 7 2 6" xfId="15391"/>
    <cellStyle name="一般 13 3 7 2_包裝指示書(裏)" xfId="6264"/>
    <cellStyle name="一般 13 3 7 3" xfId="6265"/>
    <cellStyle name="一般 13 3 7 3 2" xfId="6266"/>
    <cellStyle name="一般 13 3 7 3 2 2" xfId="6267"/>
    <cellStyle name="一般 13 3 7 3 2 2 2" xfId="15402"/>
    <cellStyle name="一般 13 3 7 3 2 3" xfId="15401"/>
    <cellStyle name="一般 13 3 7 3 3" xfId="6268"/>
    <cellStyle name="一般 13 3 7 3 3 2" xfId="15403"/>
    <cellStyle name="一般 13 3 7 3 4" xfId="6269"/>
    <cellStyle name="一般 13 3 7 3 4 2" xfId="15404"/>
    <cellStyle name="一般 13 3 7 3 5" xfId="6270"/>
    <cellStyle name="一般 13 3 7 3 5 2" xfId="15405"/>
    <cellStyle name="一般 13 3 7 3 6" xfId="15400"/>
    <cellStyle name="一般 13 3 7 3_包裝指示書(裏)" xfId="6271"/>
    <cellStyle name="一般 13 3 7 4" xfId="6272"/>
    <cellStyle name="一般 13 3 7 4 2" xfId="6273"/>
    <cellStyle name="一般 13 3 7 4 2 2" xfId="15407"/>
    <cellStyle name="一般 13 3 7 4 3" xfId="15406"/>
    <cellStyle name="一般 13 3 7 5" xfId="6274"/>
    <cellStyle name="一般 13 3 7 5 2" xfId="6275"/>
    <cellStyle name="一般 13 3 7 5 2 2" xfId="15409"/>
    <cellStyle name="一般 13 3 7 5 3" xfId="15408"/>
    <cellStyle name="一般 13 3 7 6" xfId="6276"/>
    <cellStyle name="一般 13 3 7 6 2" xfId="6277"/>
    <cellStyle name="一般 13 3 7 6 2 2" xfId="15411"/>
    <cellStyle name="一般 13 3 7 6 3" xfId="15410"/>
    <cellStyle name="一般 13 3 7 7" xfId="6278"/>
    <cellStyle name="一般 13 3 7 7 2" xfId="6279"/>
    <cellStyle name="一般 13 3 7 7 2 2" xfId="15413"/>
    <cellStyle name="一般 13 3 7 7 3" xfId="15412"/>
    <cellStyle name="一般 13 3 7 8" xfId="6280"/>
    <cellStyle name="一般 13 3 7 8 2" xfId="15414"/>
    <cellStyle name="一般 13 3 7 9" xfId="15390"/>
    <cellStyle name="一般 13 3 7_包裝指示書(裏)" xfId="6281"/>
    <cellStyle name="一般 13 3 8" xfId="6282"/>
    <cellStyle name="一般 13 3 8 2" xfId="6283"/>
    <cellStyle name="一般 13 3 8 2 2" xfId="6284"/>
    <cellStyle name="一般 13 3 8 2 2 2" xfId="6285"/>
    <cellStyle name="一般 13 3 8 2 2 2 2" xfId="6286"/>
    <cellStyle name="一般 13 3 8 2 2 2 2 2" xfId="15419"/>
    <cellStyle name="一般 13 3 8 2 2 2 3" xfId="15418"/>
    <cellStyle name="一般 13 3 8 2 2 3" xfId="6287"/>
    <cellStyle name="一般 13 3 8 2 2 3 2" xfId="15420"/>
    <cellStyle name="一般 13 3 8 2 2 4" xfId="15417"/>
    <cellStyle name="一般 13 3 8 2 2_包裝指示書(裏)" xfId="6288"/>
    <cellStyle name="一般 13 3 8 2 3" xfId="6289"/>
    <cellStyle name="一般 13 3 8 2 3 2" xfId="6290"/>
    <cellStyle name="一般 13 3 8 2 3 2 2" xfId="15422"/>
    <cellStyle name="一般 13 3 8 2 3 3" xfId="15421"/>
    <cellStyle name="一般 13 3 8 2 4" xfId="6291"/>
    <cellStyle name="一般 13 3 8 2 4 2" xfId="15423"/>
    <cellStyle name="一般 13 3 8 2 5" xfId="6292"/>
    <cellStyle name="一般 13 3 8 2 5 2" xfId="15424"/>
    <cellStyle name="一般 13 3 8 2 6" xfId="15416"/>
    <cellStyle name="一般 13 3 8 2_包裝指示書(裏)" xfId="6293"/>
    <cellStyle name="一般 13 3 8 3" xfId="6294"/>
    <cellStyle name="一般 13 3 8 3 2" xfId="6295"/>
    <cellStyle name="一般 13 3 8 3 2 2" xfId="6296"/>
    <cellStyle name="一般 13 3 8 3 2 2 2" xfId="15427"/>
    <cellStyle name="一般 13 3 8 3 2 3" xfId="15426"/>
    <cellStyle name="一般 13 3 8 3 3" xfId="6297"/>
    <cellStyle name="一般 13 3 8 3 3 2" xfId="15428"/>
    <cellStyle name="一般 13 3 8 3 4" xfId="6298"/>
    <cellStyle name="一般 13 3 8 3 4 2" xfId="15429"/>
    <cellStyle name="一般 13 3 8 3 5" xfId="6299"/>
    <cellStyle name="一般 13 3 8 3 5 2" xfId="15430"/>
    <cellStyle name="一般 13 3 8 3 6" xfId="15425"/>
    <cellStyle name="一般 13 3 8 3_包裝指示書(裏)" xfId="6300"/>
    <cellStyle name="一般 13 3 8 4" xfId="6301"/>
    <cellStyle name="一般 13 3 8 4 2" xfId="6302"/>
    <cellStyle name="一般 13 3 8 4 2 2" xfId="15432"/>
    <cellStyle name="一般 13 3 8 4 3" xfId="15431"/>
    <cellStyle name="一般 13 3 8 5" xfId="6303"/>
    <cellStyle name="一般 13 3 8 5 2" xfId="6304"/>
    <cellStyle name="一般 13 3 8 5 2 2" xfId="15434"/>
    <cellStyle name="一般 13 3 8 5 3" xfId="15433"/>
    <cellStyle name="一般 13 3 8 6" xfId="6305"/>
    <cellStyle name="一般 13 3 8 6 2" xfId="6306"/>
    <cellStyle name="一般 13 3 8 6 2 2" xfId="15436"/>
    <cellStyle name="一般 13 3 8 6 3" xfId="15435"/>
    <cellStyle name="一般 13 3 8 7" xfId="6307"/>
    <cellStyle name="一般 13 3 8 7 2" xfId="6308"/>
    <cellStyle name="一般 13 3 8 7 2 2" xfId="15438"/>
    <cellStyle name="一般 13 3 8 7 3" xfId="15437"/>
    <cellStyle name="一般 13 3 8 8" xfId="6309"/>
    <cellStyle name="一般 13 3 8 8 2" xfId="15439"/>
    <cellStyle name="一般 13 3 8 9" xfId="15415"/>
    <cellStyle name="一般 13 3 8_包裝指示書(裏)" xfId="6310"/>
    <cellStyle name="一般 13 3 9" xfId="6311"/>
    <cellStyle name="一般 13 3 9 2" xfId="6312"/>
    <cellStyle name="一般 13 3 9 2 2" xfId="6313"/>
    <cellStyle name="一般 13 3 9 2 2 2" xfId="6314"/>
    <cellStyle name="一般 13 3 9 2 2 2 2" xfId="6315"/>
    <cellStyle name="一般 13 3 9 2 2 2 2 2" xfId="15444"/>
    <cellStyle name="一般 13 3 9 2 2 2 3" xfId="15443"/>
    <cellStyle name="一般 13 3 9 2 2 3" xfId="6316"/>
    <cellStyle name="一般 13 3 9 2 2 3 2" xfId="15445"/>
    <cellStyle name="一般 13 3 9 2 2 4" xfId="15442"/>
    <cellStyle name="一般 13 3 9 2 2_包裝指示書(裏)" xfId="6317"/>
    <cellStyle name="一般 13 3 9 2 3" xfId="6318"/>
    <cellStyle name="一般 13 3 9 2 3 2" xfId="6319"/>
    <cellStyle name="一般 13 3 9 2 3 2 2" xfId="15447"/>
    <cellStyle name="一般 13 3 9 2 3 3" xfId="15446"/>
    <cellStyle name="一般 13 3 9 2 4" xfId="6320"/>
    <cellStyle name="一般 13 3 9 2 4 2" xfId="15448"/>
    <cellStyle name="一般 13 3 9 2 5" xfId="15441"/>
    <cellStyle name="一般 13 3 9 2_包裝指示書(裏)" xfId="6321"/>
    <cellStyle name="一般 13 3 9 3" xfId="6322"/>
    <cellStyle name="一般 13 3 9 3 2" xfId="6323"/>
    <cellStyle name="一般 13 3 9 3 2 2" xfId="6324"/>
    <cellStyle name="一般 13 3 9 3 2 2 2" xfId="15451"/>
    <cellStyle name="一般 13 3 9 3 2 3" xfId="15450"/>
    <cellStyle name="一般 13 3 9 3 3" xfId="6325"/>
    <cellStyle name="一般 13 3 9 3 3 2" xfId="15452"/>
    <cellStyle name="一般 13 3 9 3 4" xfId="15449"/>
    <cellStyle name="一般 13 3 9 3_包裝指示書(裏)" xfId="6326"/>
    <cellStyle name="一般 13 3 9 4" xfId="6327"/>
    <cellStyle name="一般 13 3 9 4 2" xfId="6328"/>
    <cellStyle name="一般 13 3 9 4 2 2" xfId="15454"/>
    <cellStyle name="一般 13 3 9 4 3" xfId="15453"/>
    <cellStyle name="一般 13 3 9 5" xfId="6329"/>
    <cellStyle name="一般 13 3 9 5 2" xfId="6330"/>
    <cellStyle name="一般 13 3 9 5 2 2" xfId="15456"/>
    <cellStyle name="一般 13 3 9 5 3" xfId="15455"/>
    <cellStyle name="一般 13 3 9 6" xfId="6331"/>
    <cellStyle name="一般 13 3 9 6 2" xfId="6332"/>
    <cellStyle name="一般 13 3 9 6 2 2" xfId="15458"/>
    <cellStyle name="一般 13 3 9 6 3" xfId="15457"/>
    <cellStyle name="一般 13 3 9 7" xfId="6333"/>
    <cellStyle name="一般 13 3 9 7 2" xfId="6334"/>
    <cellStyle name="一般 13 3 9 7 2 2" xfId="15460"/>
    <cellStyle name="一般 13 3 9 7 3" xfId="15459"/>
    <cellStyle name="一般 13 3 9 8" xfId="6335"/>
    <cellStyle name="一般 13 3 9 8 2" xfId="15461"/>
    <cellStyle name="一般 13 3 9 9" xfId="15440"/>
    <cellStyle name="一般 13 3 9_包裝指示書(裏)" xfId="6336"/>
    <cellStyle name="一般 13 3_包裝指示書(裏)" xfId="6337"/>
    <cellStyle name="一般 13 4" xfId="6338"/>
    <cellStyle name="一般 13 4 10" xfId="6339"/>
    <cellStyle name="一般 13 4 10 2" xfId="6340"/>
    <cellStyle name="一般 13 4 10 2 2" xfId="6341"/>
    <cellStyle name="一般 13 4 10 2 2 2" xfId="6342"/>
    <cellStyle name="一般 13 4 10 2 2 2 2" xfId="15466"/>
    <cellStyle name="一般 13 4 10 2 2 3" xfId="15465"/>
    <cellStyle name="一般 13 4 10 2 3" xfId="6343"/>
    <cellStyle name="一般 13 4 10 2 3 2" xfId="6344"/>
    <cellStyle name="一般 13 4 10 2 3 2 2" xfId="15468"/>
    <cellStyle name="一般 13 4 10 2 3 3" xfId="15467"/>
    <cellStyle name="一般 13 4 10 2 4" xfId="6345"/>
    <cellStyle name="一般 13 4 10 2 4 2" xfId="15469"/>
    <cellStyle name="一般 13 4 10 2 5" xfId="15464"/>
    <cellStyle name="一般 13 4 10 2_包裝指示書(裏)" xfId="6346"/>
    <cellStyle name="一般 13 4 10 3" xfId="6347"/>
    <cellStyle name="一般 13 4 10 3 2" xfId="6348"/>
    <cellStyle name="一般 13 4 10 3 2 2" xfId="15471"/>
    <cellStyle name="一般 13 4 10 3 3" xfId="15470"/>
    <cellStyle name="一般 13 4 10 4" xfId="6349"/>
    <cellStyle name="一般 13 4 10 4 2" xfId="6350"/>
    <cellStyle name="一般 13 4 10 4 2 2" xfId="15473"/>
    <cellStyle name="一般 13 4 10 4 3" xfId="15472"/>
    <cellStyle name="一般 13 4 10 5" xfId="6351"/>
    <cellStyle name="一般 13 4 10 5 2" xfId="15474"/>
    <cellStyle name="一般 13 4 10 6" xfId="15463"/>
    <cellStyle name="一般 13 4 10_包裝指示書(裏)" xfId="6352"/>
    <cellStyle name="一般 13 4 11" xfId="6353"/>
    <cellStyle name="一般 13 4 11 2" xfId="6354"/>
    <cellStyle name="一般 13 4 11 2 2" xfId="6355"/>
    <cellStyle name="一般 13 4 11 2 2 2" xfId="6356"/>
    <cellStyle name="一般 13 4 11 2 2 2 2" xfId="15478"/>
    <cellStyle name="一般 13 4 11 2 2 3" xfId="15477"/>
    <cellStyle name="一般 13 4 11 2 3" xfId="6357"/>
    <cellStyle name="一般 13 4 11 2 3 2" xfId="6358"/>
    <cellStyle name="一般 13 4 11 2 3 2 2" xfId="15480"/>
    <cellStyle name="一般 13 4 11 2 3 3" xfId="15479"/>
    <cellStyle name="一般 13 4 11 2 4" xfId="6359"/>
    <cellStyle name="一般 13 4 11 2 4 2" xfId="15481"/>
    <cellStyle name="一般 13 4 11 2 5" xfId="15476"/>
    <cellStyle name="一般 13 4 11 2_包裝指示書(裏)" xfId="6360"/>
    <cellStyle name="一般 13 4 11 3" xfId="6361"/>
    <cellStyle name="一般 13 4 11 3 2" xfId="6362"/>
    <cellStyle name="一般 13 4 11 3 2 2" xfId="15483"/>
    <cellStyle name="一般 13 4 11 3 3" xfId="15482"/>
    <cellStyle name="一般 13 4 11 4" xfId="6363"/>
    <cellStyle name="一般 13 4 11 4 2" xfId="6364"/>
    <cellStyle name="一般 13 4 11 4 2 2" xfId="15485"/>
    <cellStyle name="一般 13 4 11 4 3" xfId="15484"/>
    <cellStyle name="一般 13 4 11 5" xfId="6365"/>
    <cellStyle name="一般 13 4 11 5 2" xfId="15486"/>
    <cellStyle name="一般 13 4 11 6" xfId="15475"/>
    <cellStyle name="一般 13 4 11_包裝指示書(裏)" xfId="6366"/>
    <cellStyle name="一般 13 4 12" xfId="6367"/>
    <cellStyle name="一般 13 4 12 2" xfId="6368"/>
    <cellStyle name="一般 13 4 12 2 2" xfId="6369"/>
    <cellStyle name="一般 13 4 12 2 2 2" xfId="15489"/>
    <cellStyle name="一般 13 4 12 2 3" xfId="15488"/>
    <cellStyle name="一般 13 4 12 3" xfId="6370"/>
    <cellStyle name="一般 13 4 12 3 2" xfId="6371"/>
    <cellStyle name="一般 13 4 12 3 2 2" xfId="15491"/>
    <cellStyle name="一般 13 4 12 3 3" xfId="15490"/>
    <cellStyle name="一般 13 4 12 4" xfId="6372"/>
    <cellStyle name="一般 13 4 12 4 2" xfId="15492"/>
    <cellStyle name="一般 13 4 12 5" xfId="15487"/>
    <cellStyle name="一般 13 4 12_包裝指示書(裏)" xfId="6373"/>
    <cellStyle name="一般 13 4 13" xfId="6374"/>
    <cellStyle name="一般 13 4 13 2" xfId="6375"/>
    <cellStyle name="一般 13 4 13 2 2" xfId="6376"/>
    <cellStyle name="一般 13 4 13 2 2 2" xfId="15495"/>
    <cellStyle name="一般 13 4 13 2 3" xfId="15494"/>
    <cellStyle name="一般 13 4 13 3" xfId="6377"/>
    <cellStyle name="一般 13 4 13 3 2" xfId="15496"/>
    <cellStyle name="一般 13 4 13 4" xfId="15493"/>
    <cellStyle name="一般 13 4 13_包裝指示書(裏)" xfId="6378"/>
    <cellStyle name="一般 13 4 14" xfId="6379"/>
    <cellStyle name="一般 13 4 14 2" xfId="6380"/>
    <cellStyle name="一般 13 4 14 2 2" xfId="15498"/>
    <cellStyle name="一般 13 4 14 3" xfId="15497"/>
    <cellStyle name="一般 13 4 15" xfId="6381"/>
    <cellStyle name="一般 13 4 15 2" xfId="15499"/>
    <cellStyle name="一般 13 4 16" xfId="6382"/>
    <cellStyle name="一般 13 4 16 2" xfId="15500"/>
    <cellStyle name="一般 13 4 17" xfId="15462"/>
    <cellStyle name="一般 13 4 2" xfId="6383"/>
    <cellStyle name="一般 13 4 2 10" xfId="6384"/>
    <cellStyle name="一般 13 4 2 10 2" xfId="6385"/>
    <cellStyle name="一般 13 4 2 10 2 2" xfId="6386"/>
    <cellStyle name="一般 13 4 2 10 2 2 2" xfId="6387"/>
    <cellStyle name="一般 13 4 2 10 2 2 2 2" xfId="15504"/>
    <cellStyle name="一般 13 4 2 10 2 2 3" xfId="15503"/>
    <cellStyle name="一般 13 4 2 10 2 3" xfId="6388"/>
    <cellStyle name="一般 13 4 2 10 2 3 2" xfId="6389"/>
    <cellStyle name="一般 13 4 2 10 2 3 2 2" xfId="15506"/>
    <cellStyle name="一般 13 4 2 10 2 3 3" xfId="15505"/>
    <cellStyle name="一般 13 4 2 10 2 4" xfId="6390"/>
    <cellStyle name="一般 13 4 2 10 2 4 2" xfId="15507"/>
    <cellStyle name="一般 13 4 2 10 2 5" xfId="15502"/>
    <cellStyle name="一般 13 4 2 10 2_包裝指示書(裏)" xfId="6391"/>
    <cellStyle name="一般 13 4 2 10 3" xfId="6392"/>
    <cellStyle name="一般 13 4 2 10 3 2" xfId="6393"/>
    <cellStyle name="一般 13 4 2 10 3 2 2" xfId="15509"/>
    <cellStyle name="一般 13 4 2 10 3 3" xfId="15508"/>
    <cellStyle name="一般 13 4 2 10 4" xfId="6394"/>
    <cellStyle name="一般 13 4 2 10 4 2" xfId="6395"/>
    <cellStyle name="一般 13 4 2 10 4 2 2" xfId="15511"/>
    <cellStyle name="一般 13 4 2 10 4 3" xfId="15510"/>
    <cellStyle name="一般 13 4 2 10 5" xfId="6396"/>
    <cellStyle name="一般 13 4 2 10 5 2" xfId="15512"/>
    <cellStyle name="一般 13 4 2 10 6" xfId="15501"/>
    <cellStyle name="一般 13 4 2 10_包裝指示書(裏)" xfId="6397"/>
    <cellStyle name="一般 13 4 2 11" xfId="6398"/>
    <cellStyle name="一般 13 4 2 11 2" xfId="6399"/>
    <cellStyle name="一般 13 4 2 11 2 2" xfId="6400"/>
    <cellStyle name="一般 13 4 2 11 2 2 2" xfId="15515"/>
    <cellStyle name="一般 13 4 2 11 2 3" xfId="15514"/>
    <cellStyle name="一般 13 4 2 11 3" xfId="6401"/>
    <cellStyle name="一般 13 4 2 11 3 2" xfId="6402"/>
    <cellStyle name="一般 13 4 2 11 3 2 2" xfId="15517"/>
    <cellStyle name="一般 13 4 2 11 3 3" xfId="15516"/>
    <cellStyle name="一般 13 4 2 11 4" xfId="6403"/>
    <cellStyle name="一般 13 4 2 11 4 2" xfId="15518"/>
    <cellStyle name="一般 13 4 2 11 5" xfId="15513"/>
    <cellStyle name="一般 13 4 2 11_包裝指示書(裏)" xfId="6404"/>
    <cellStyle name="一般 13 4 2 12" xfId="6405"/>
    <cellStyle name="一般 13 4 2 12 2" xfId="6406"/>
    <cellStyle name="一般 13 4 2 12 2 2" xfId="6407"/>
    <cellStyle name="一般 13 4 2 12 2 2 2" xfId="15521"/>
    <cellStyle name="一般 13 4 2 12 2 3" xfId="15520"/>
    <cellStyle name="一般 13 4 2 12 3" xfId="6408"/>
    <cellStyle name="一般 13 4 2 12 3 2" xfId="15522"/>
    <cellStyle name="一般 13 4 2 12 4" xfId="15519"/>
    <cellStyle name="一般 13 4 2 12_包裝指示書(裏)" xfId="6409"/>
    <cellStyle name="一般 13 4 2 13" xfId="6410"/>
    <cellStyle name="一般 13 4 2 13 2" xfId="6411"/>
    <cellStyle name="一般 13 4 2 13 2 2" xfId="15524"/>
    <cellStyle name="一般 13 4 2 13 3" xfId="15523"/>
    <cellStyle name="一般 13 4 2 14" xfId="6412"/>
    <cellStyle name="一般 13 4 2 14 2" xfId="15525"/>
    <cellStyle name="一般 13 4 2 2" xfId="6413"/>
    <cellStyle name="一般 13 4 2 2 10" xfId="15526"/>
    <cellStyle name="一般 13 4 2 2 2" xfId="6414"/>
    <cellStyle name="一般 13 4 2 2 2 2" xfId="6415"/>
    <cellStyle name="一般 13 4 2 2 2 2 2" xfId="6416"/>
    <cellStyle name="一般 13 4 2 2 2 2 2 2" xfId="6417"/>
    <cellStyle name="一般 13 4 2 2 2 2 2 2 2" xfId="15530"/>
    <cellStyle name="一般 13 4 2 2 2 2 2 3" xfId="15529"/>
    <cellStyle name="一般 13 4 2 2 2 2 3" xfId="6418"/>
    <cellStyle name="一般 13 4 2 2 2 2 3 2" xfId="15531"/>
    <cellStyle name="一般 13 4 2 2 2 2 4" xfId="15528"/>
    <cellStyle name="一般 13 4 2 2 2 2_包裝指示書(裏)" xfId="6419"/>
    <cellStyle name="一般 13 4 2 2 2 3" xfId="6420"/>
    <cellStyle name="一般 13 4 2 2 2 3 2" xfId="6421"/>
    <cellStyle name="一般 13 4 2 2 2 3 2 2" xfId="15533"/>
    <cellStyle name="一般 13 4 2 2 2 3 3" xfId="15532"/>
    <cellStyle name="一般 13 4 2 2 2 4" xfId="6422"/>
    <cellStyle name="一般 13 4 2 2 2 4 2" xfId="6423"/>
    <cellStyle name="一般 13 4 2 2 2 4 2 2" xfId="15535"/>
    <cellStyle name="一般 13 4 2 2 2 4 3" xfId="15534"/>
    <cellStyle name="一般 13 4 2 2 2 5" xfId="6424"/>
    <cellStyle name="一般 13 4 2 2 2 5 2" xfId="6425"/>
    <cellStyle name="一般 13 4 2 2 2 5 2 2" xfId="15537"/>
    <cellStyle name="一般 13 4 2 2 2 5 3" xfId="15536"/>
    <cellStyle name="一般 13 4 2 2 2 6" xfId="6426"/>
    <cellStyle name="一般 13 4 2 2 2 6 2" xfId="6427"/>
    <cellStyle name="一般 13 4 2 2 2 6 2 2" xfId="15539"/>
    <cellStyle name="一般 13 4 2 2 2 6 3" xfId="15538"/>
    <cellStyle name="一般 13 4 2 2 2 7" xfId="6428"/>
    <cellStyle name="一般 13 4 2 2 2 7 2" xfId="6429"/>
    <cellStyle name="一般 13 4 2 2 2 7 2 2" xfId="15541"/>
    <cellStyle name="一般 13 4 2 2 2 7 3" xfId="15540"/>
    <cellStyle name="一般 13 4 2 2 2 8" xfId="6430"/>
    <cellStyle name="一般 13 4 2 2 2 8 2" xfId="15542"/>
    <cellStyle name="一般 13 4 2 2 2 9" xfId="15527"/>
    <cellStyle name="一般 13 4 2 2 2_包裝指示書(裏)" xfId="6431"/>
    <cellStyle name="一般 13 4 2 2 3" xfId="6432"/>
    <cellStyle name="一般 13 4 2 2 3 2" xfId="6433"/>
    <cellStyle name="一般 13 4 2 2 3 2 2" xfId="6434"/>
    <cellStyle name="一般 13 4 2 2 3 2 2 2" xfId="15545"/>
    <cellStyle name="一般 13 4 2 2 3 2 3" xfId="15544"/>
    <cellStyle name="一般 13 4 2 2 3 3" xfId="6435"/>
    <cellStyle name="一般 13 4 2 2 3 3 2" xfId="15546"/>
    <cellStyle name="一般 13 4 2 2 3 4" xfId="6436"/>
    <cellStyle name="一般 13 4 2 2 3 4 2" xfId="15547"/>
    <cellStyle name="一般 13 4 2 2 3 5" xfId="6437"/>
    <cellStyle name="一般 13 4 2 2 3 5 2" xfId="15548"/>
    <cellStyle name="一般 13 4 2 2 3 6" xfId="15543"/>
    <cellStyle name="一般 13 4 2 2 3_包裝指示書(裏)" xfId="6438"/>
    <cellStyle name="一般 13 4 2 2 4" xfId="6439"/>
    <cellStyle name="一般 13 4 2 2 4 2" xfId="6440"/>
    <cellStyle name="一般 13 4 2 2 4 2 2" xfId="15550"/>
    <cellStyle name="一般 13 4 2 2 4 3" xfId="15549"/>
    <cellStyle name="一般 13 4 2 2 5" xfId="6441"/>
    <cellStyle name="一般 13 4 2 2 5 2" xfId="6442"/>
    <cellStyle name="一般 13 4 2 2 5 2 2" xfId="15552"/>
    <cellStyle name="一般 13 4 2 2 5 3" xfId="15551"/>
    <cellStyle name="一般 13 4 2 2 6" xfId="6443"/>
    <cellStyle name="一般 13 4 2 2 6 2" xfId="6444"/>
    <cellStyle name="一般 13 4 2 2 6 2 2" xfId="15554"/>
    <cellStyle name="一般 13 4 2 2 6 3" xfId="15553"/>
    <cellStyle name="一般 13 4 2 2 7" xfId="6445"/>
    <cellStyle name="一般 13 4 2 2 7 2" xfId="6446"/>
    <cellStyle name="一般 13 4 2 2 7 2 2" xfId="15556"/>
    <cellStyle name="一般 13 4 2 2 7 3" xfId="15555"/>
    <cellStyle name="一般 13 4 2 2 8" xfId="6447"/>
    <cellStyle name="一般 13 4 2 2 8 2" xfId="6448"/>
    <cellStyle name="一般 13 4 2 2 8 2 2" xfId="15558"/>
    <cellStyle name="一般 13 4 2 2 8 3" xfId="15557"/>
    <cellStyle name="一般 13 4 2 2 9" xfId="6449"/>
    <cellStyle name="一般 13 4 2 2 9 2" xfId="15559"/>
    <cellStyle name="一般 13 4 2 2_包裝指示書(裏)" xfId="6450"/>
    <cellStyle name="一般 13 4 2 3" xfId="6451"/>
    <cellStyle name="一般 13 4 2 3 10" xfId="15560"/>
    <cellStyle name="一般 13 4 2 3 2" xfId="6452"/>
    <cellStyle name="一般 13 4 2 3 2 2" xfId="6453"/>
    <cellStyle name="一般 13 4 2 3 2 2 2" xfId="6454"/>
    <cellStyle name="一般 13 4 2 3 2 2 2 2" xfId="6455"/>
    <cellStyle name="一般 13 4 2 3 2 2 2 2 2" xfId="15564"/>
    <cellStyle name="一般 13 4 2 3 2 2 2 3" xfId="15563"/>
    <cellStyle name="一般 13 4 2 3 2 2 3" xfId="6456"/>
    <cellStyle name="一般 13 4 2 3 2 2 3 2" xfId="15565"/>
    <cellStyle name="一般 13 4 2 3 2 2 4" xfId="15562"/>
    <cellStyle name="一般 13 4 2 3 2 2_包裝指示書(裏)" xfId="6457"/>
    <cellStyle name="一般 13 4 2 3 2 3" xfId="6458"/>
    <cellStyle name="一般 13 4 2 3 2 3 2" xfId="6459"/>
    <cellStyle name="一般 13 4 2 3 2 3 2 2" xfId="15567"/>
    <cellStyle name="一般 13 4 2 3 2 3 3" xfId="15566"/>
    <cellStyle name="一般 13 4 2 3 2 4" xfId="6460"/>
    <cellStyle name="一般 13 4 2 3 2 4 2" xfId="6461"/>
    <cellStyle name="一般 13 4 2 3 2 4 2 2" xfId="15569"/>
    <cellStyle name="一般 13 4 2 3 2 4 3" xfId="15568"/>
    <cellStyle name="一般 13 4 2 3 2 5" xfId="6462"/>
    <cellStyle name="一般 13 4 2 3 2 5 2" xfId="6463"/>
    <cellStyle name="一般 13 4 2 3 2 5 2 2" xfId="15571"/>
    <cellStyle name="一般 13 4 2 3 2 5 3" xfId="15570"/>
    <cellStyle name="一般 13 4 2 3 2 6" xfId="6464"/>
    <cellStyle name="一般 13 4 2 3 2 6 2" xfId="6465"/>
    <cellStyle name="一般 13 4 2 3 2 6 2 2" xfId="15573"/>
    <cellStyle name="一般 13 4 2 3 2 6 3" xfId="15572"/>
    <cellStyle name="一般 13 4 2 3 2 7" xfId="6466"/>
    <cellStyle name="一般 13 4 2 3 2 7 2" xfId="6467"/>
    <cellStyle name="一般 13 4 2 3 2 7 2 2" xfId="15575"/>
    <cellStyle name="一般 13 4 2 3 2 7 3" xfId="15574"/>
    <cellStyle name="一般 13 4 2 3 2 8" xfId="6468"/>
    <cellStyle name="一般 13 4 2 3 2 8 2" xfId="15576"/>
    <cellStyle name="一般 13 4 2 3 2 9" xfId="15561"/>
    <cellStyle name="一般 13 4 2 3 2_包裝指示書(裏)" xfId="6469"/>
    <cellStyle name="一般 13 4 2 3 3" xfId="6470"/>
    <cellStyle name="一般 13 4 2 3 3 2" xfId="6471"/>
    <cellStyle name="一般 13 4 2 3 3 2 2" xfId="6472"/>
    <cellStyle name="一般 13 4 2 3 3 2 2 2" xfId="15579"/>
    <cellStyle name="一般 13 4 2 3 3 2 3" xfId="15578"/>
    <cellStyle name="一般 13 4 2 3 3 3" xfId="6473"/>
    <cellStyle name="一般 13 4 2 3 3 3 2" xfId="15580"/>
    <cellStyle name="一般 13 4 2 3 3 4" xfId="6474"/>
    <cellStyle name="一般 13 4 2 3 3 4 2" xfId="15581"/>
    <cellStyle name="一般 13 4 2 3 3 5" xfId="6475"/>
    <cellStyle name="一般 13 4 2 3 3 5 2" xfId="15582"/>
    <cellStyle name="一般 13 4 2 3 3 6" xfId="15577"/>
    <cellStyle name="一般 13 4 2 3 3_包裝指示書(裏)" xfId="6476"/>
    <cellStyle name="一般 13 4 2 3 4" xfId="6477"/>
    <cellStyle name="一般 13 4 2 3 4 2" xfId="6478"/>
    <cellStyle name="一般 13 4 2 3 4 2 2" xfId="15584"/>
    <cellStyle name="一般 13 4 2 3 4 3" xfId="15583"/>
    <cellStyle name="一般 13 4 2 3 5" xfId="6479"/>
    <cellStyle name="一般 13 4 2 3 5 2" xfId="6480"/>
    <cellStyle name="一般 13 4 2 3 5 2 2" xfId="15586"/>
    <cellStyle name="一般 13 4 2 3 5 3" xfId="15585"/>
    <cellStyle name="一般 13 4 2 3 6" xfId="6481"/>
    <cellStyle name="一般 13 4 2 3 6 2" xfId="6482"/>
    <cellStyle name="一般 13 4 2 3 6 2 2" xfId="15588"/>
    <cellStyle name="一般 13 4 2 3 6 3" xfId="15587"/>
    <cellStyle name="一般 13 4 2 3 7" xfId="6483"/>
    <cellStyle name="一般 13 4 2 3 7 2" xfId="6484"/>
    <cellStyle name="一般 13 4 2 3 7 2 2" xfId="15590"/>
    <cellStyle name="一般 13 4 2 3 7 3" xfId="15589"/>
    <cellStyle name="一般 13 4 2 3 8" xfId="6485"/>
    <cellStyle name="一般 13 4 2 3 8 2" xfId="6486"/>
    <cellStyle name="一般 13 4 2 3 8 2 2" xfId="15592"/>
    <cellStyle name="一般 13 4 2 3 8 3" xfId="15591"/>
    <cellStyle name="一般 13 4 2 3 9" xfId="6487"/>
    <cellStyle name="一般 13 4 2 3 9 2" xfId="15593"/>
    <cellStyle name="一般 13 4 2 3_包裝指示書(裏)" xfId="6488"/>
    <cellStyle name="一般 13 4 2 4" xfId="6489"/>
    <cellStyle name="一般 13 4 2 4 2" xfId="6490"/>
    <cellStyle name="一般 13 4 2 4 2 2" xfId="6491"/>
    <cellStyle name="一般 13 4 2 4 2 2 2" xfId="6492"/>
    <cellStyle name="一般 13 4 2 4 2 2 2 2" xfId="6493"/>
    <cellStyle name="一般 13 4 2 4 2 2 2 2 2" xfId="15598"/>
    <cellStyle name="一般 13 4 2 4 2 2 2 3" xfId="15597"/>
    <cellStyle name="一般 13 4 2 4 2 2 3" xfId="6494"/>
    <cellStyle name="一般 13 4 2 4 2 2 3 2" xfId="15599"/>
    <cellStyle name="一般 13 4 2 4 2 2 4" xfId="15596"/>
    <cellStyle name="一般 13 4 2 4 2 2_包裝指示書(裏)" xfId="6495"/>
    <cellStyle name="一般 13 4 2 4 2 3" xfId="6496"/>
    <cellStyle name="一般 13 4 2 4 2 3 2" xfId="6497"/>
    <cellStyle name="一般 13 4 2 4 2 3 2 2" xfId="15601"/>
    <cellStyle name="一般 13 4 2 4 2 3 3" xfId="15600"/>
    <cellStyle name="一般 13 4 2 4 2 4" xfId="6498"/>
    <cellStyle name="一般 13 4 2 4 2 4 2" xfId="15602"/>
    <cellStyle name="一般 13 4 2 4 2 5" xfId="6499"/>
    <cellStyle name="一般 13 4 2 4 2 5 2" xfId="15603"/>
    <cellStyle name="一般 13 4 2 4 2 6" xfId="15595"/>
    <cellStyle name="一般 13 4 2 4 2_包裝指示書(裏)" xfId="6500"/>
    <cellStyle name="一般 13 4 2 4 3" xfId="6501"/>
    <cellStyle name="一般 13 4 2 4 3 2" xfId="6502"/>
    <cellStyle name="一般 13 4 2 4 3 2 2" xfId="6503"/>
    <cellStyle name="一般 13 4 2 4 3 2 2 2" xfId="15606"/>
    <cellStyle name="一般 13 4 2 4 3 2 3" xfId="15605"/>
    <cellStyle name="一般 13 4 2 4 3 3" xfId="6504"/>
    <cellStyle name="一般 13 4 2 4 3 3 2" xfId="15607"/>
    <cellStyle name="一般 13 4 2 4 3 4" xfId="6505"/>
    <cellStyle name="一般 13 4 2 4 3 4 2" xfId="15608"/>
    <cellStyle name="一般 13 4 2 4 3 5" xfId="6506"/>
    <cellStyle name="一般 13 4 2 4 3 5 2" xfId="15609"/>
    <cellStyle name="一般 13 4 2 4 3 6" xfId="15604"/>
    <cellStyle name="一般 13 4 2 4 3_包裝指示書(裏)" xfId="6507"/>
    <cellStyle name="一般 13 4 2 4 4" xfId="6508"/>
    <cellStyle name="一般 13 4 2 4 4 2" xfId="6509"/>
    <cellStyle name="一般 13 4 2 4 4 2 2" xfId="15611"/>
    <cellStyle name="一般 13 4 2 4 4 3" xfId="15610"/>
    <cellStyle name="一般 13 4 2 4 5" xfId="6510"/>
    <cellStyle name="一般 13 4 2 4 5 2" xfId="6511"/>
    <cellStyle name="一般 13 4 2 4 5 2 2" xfId="15613"/>
    <cellStyle name="一般 13 4 2 4 5 3" xfId="15612"/>
    <cellStyle name="一般 13 4 2 4 6" xfId="6512"/>
    <cellStyle name="一般 13 4 2 4 6 2" xfId="6513"/>
    <cellStyle name="一般 13 4 2 4 6 2 2" xfId="15615"/>
    <cellStyle name="一般 13 4 2 4 6 3" xfId="15614"/>
    <cellStyle name="一般 13 4 2 4 7" xfId="6514"/>
    <cellStyle name="一般 13 4 2 4 7 2" xfId="6515"/>
    <cellStyle name="一般 13 4 2 4 7 2 2" xfId="15617"/>
    <cellStyle name="一般 13 4 2 4 7 3" xfId="15616"/>
    <cellStyle name="一般 13 4 2 4 8" xfId="6516"/>
    <cellStyle name="一般 13 4 2 4 8 2" xfId="15618"/>
    <cellStyle name="一般 13 4 2 4 9" xfId="15594"/>
    <cellStyle name="一般 13 4 2 4_包裝指示書(裏)" xfId="6517"/>
    <cellStyle name="一般 13 4 2 5" xfId="6518"/>
    <cellStyle name="一般 13 4 2 5 2" xfId="6519"/>
    <cellStyle name="一般 13 4 2 5 2 2" xfId="6520"/>
    <cellStyle name="一般 13 4 2 5 2 2 2" xfId="6521"/>
    <cellStyle name="一般 13 4 2 5 2 2 2 2" xfId="6522"/>
    <cellStyle name="一般 13 4 2 5 2 2 2 2 2" xfId="15623"/>
    <cellStyle name="一般 13 4 2 5 2 2 2 3" xfId="15622"/>
    <cellStyle name="一般 13 4 2 5 2 2 3" xfId="6523"/>
    <cellStyle name="一般 13 4 2 5 2 2 3 2" xfId="15624"/>
    <cellStyle name="一般 13 4 2 5 2 2 4" xfId="15621"/>
    <cellStyle name="一般 13 4 2 5 2 2_包裝指示書(裏)" xfId="6524"/>
    <cellStyle name="一般 13 4 2 5 2 3" xfId="6525"/>
    <cellStyle name="一般 13 4 2 5 2 3 2" xfId="6526"/>
    <cellStyle name="一般 13 4 2 5 2 3 2 2" xfId="15626"/>
    <cellStyle name="一般 13 4 2 5 2 3 3" xfId="15625"/>
    <cellStyle name="一般 13 4 2 5 2 4" xfId="6527"/>
    <cellStyle name="一般 13 4 2 5 2 4 2" xfId="15627"/>
    <cellStyle name="一般 13 4 2 5 2 5" xfId="6528"/>
    <cellStyle name="一般 13 4 2 5 2 5 2" xfId="15628"/>
    <cellStyle name="一般 13 4 2 5 2 6" xfId="15620"/>
    <cellStyle name="一般 13 4 2 5 2_包裝指示書(裏)" xfId="6529"/>
    <cellStyle name="一般 13 4 2 5 3" xfId="6530"/>
    <cellStyle name="一般 13 4 2 5 3 2" xfId="6531"/>
    <cellStyle name="一般 13 4 2 5 3 2 2" xfId="6532"/>
    <cellStyle name="一般 13 4 2 5 3 2 2 2" xfId="15631"/>
    <cellStyle name="一般 13 4 2 5 3 2 3" xfId="15630"/>
    <cellStyle name="一般 13 4 2 5 3 3" xfId="6533"/>
    <cellStyle name="一般 13 4 2 5 3 3 2" xfId="15632"/>
    <cellStyle name="一般 13 4 2 5 3 4" xfId="6534"/>
    <cellStyle name="一般 13 4 2 5 3 4 2" xfId="15633"/>
    <cellStyle name="一般 13 4 2 5 3 5" xfId="6535"/>
    <cellStyle name="一般 13 4 2 5 3 5 2" xfId="15634"/>
    <cellStyle name="一般 13 4 2 5 3 6" xfId="15629"/>
    <cellStyle name="一般 13 4 2 5 3_包裝指示書(裏)" xfId="6536"/>
    <cellStyle name="一般 13 4 2 5 4" xfId="6537"/>
    <cellStyle name="一般 13 4 2 5 4 2" xfId="6538"/>
    <cellStyle name="一般 13 4 2 5 4 2 2" xfId="15636"/>
    <cellStyle name="一般 13 4 2 5 4 3" xfId="15635"/>
    <cellStyle name="一般 13 4 2 5 5" xfId="6539"/>
    <cellStyle name="一般 13 4 2 5 5 2" xfId="6540"/>
    <cellStyle name="一般 13 4 2 5 5 2 2" xfId="15638"/>
    <cellStyle name="一般 13 4 2 5 5 3" xfId="15637"/>
    <cellStyle name="一般 13 4 2 5 6" xfId="6541"/>
    <cellStyle name="一般 13 4 2 5 6 2" xfId="6542"/>
    <cellStyle name="一般 13 4 2 5 6 2 2" xfId="15640"/>
    <cellStyle name="一般 13 4 2 5 6 3" xfId="15639"/>
    <cellStyle name="一般 13 4 2 5 7" xfId="6543"/>
    <cellStyle name="一般 13 4 2 5 7 2" xfId="6544"/>
    <cellStyle name="一般 13 4 2 5 7 2 2" xfId="15642"/>
    <cellStyle name="一般 13 4 2 5 7 3" xfId="15641"/>
    <cellStyle name="一般 13 4 2 5 8" xfId="6545"/>
    <cellStyle name="一般 13 4 2 5 8 2" xfId="15643"/>
    <cellStyle name="一般 13 4 2 5 9" xfId="15619"/>
    <cellStyle name="一般 13 4 2 5_包裝指示書(裏)" xfId="6546"/>
    <cellStyle name="一般 13 4 2 6" xfId="6547"/>
    <cellStyle name="一般 13 4 2 6 2" xfId="6548"/>
    <cellStyle name="一般 13 4 2 6 2 2" xfId="6549"/>
    <cellStyle name="一般 13 4 2 6 2 2 2" xfId="6550"/>
    <cellStyle name="一般 13 4 2 6 2 2 2 2" xfId="6551"/>
    <cellStyle name="一般 13 4 2 6 2 2 2 2 2" xfId="15648"/>
    <cellStyle name="一般 13 4 2 6 2 2 2 3" xfId="15647"/>
    <cellStyle name="一般 13 4 2 6 2 2 3" xfId="6552"/>
    <cellStyle name="一般 13 4 2 6 2 2 3 2" xfId="15649"/>
    <cellStyle name="一般 13 4 2 6 2 2 4" xfId="15646"/>
    <cellStyle name="一般 13 4 2 6 2 2_包裝指示書(裏)" xfId="6553"/>
    <cellStyle name="一般 13 4 2 6 2 3" xfId="6554"/>
    <cellStyle name="一般 13 4 2 6 2 3 2" xfId="6555"/>
    <cellStyle name="一般 13 4 2 6 2 3 2 2" xfId="15651"/>
    <cellStyle name="一般 13 4 2 6 2 3 3" xfId="15650"/>
    <cellStyle name="一般 13 4 2 6 2 4" xfId="6556"/>
    <cellStyle name="一般 13 4 2 6 2 4 2" xfId="15652"/>
    <cellStyle name="一般 13 4 2 6 2 5" xfId="6557"/>
    <cellStyle name="一般 13 4 2 6 2 5 2" xfId="15653"/>
    <cellStyle name="一般 13 4 2 6 2 6" xfId="15645"/>
    <cellStyle name="一般 13 4 2 6 2_包裝指示書(裏)" xfId="6558"/>
    <cellStyle name="一般 13 4 2 6 3" xfId="6559"/>
    <cellStyle name="一般 13 4 2 6 3 2" xfId="6560"/>
    <cellStyle name="一般 13 4 2 6 3 2 2" xfId="6561"/>
    <cellStyle name="一般 13 4 2 6 3 2 2 2" xfId="15656"/>
    <cellStyle name="一般 13 4 2 6 3 2 3" xfId="15655"/>
    <cellStyle name="一般 13 4 2 6 3 3" xfId="6562"/>
    <cellStyle name="一般 13 4 2 6 3 3 2" xfId="15657"/>
    <cellStyle name="一般 13 4 2 6 3 4" xfId="6563"/>
    <cellStyle name="一般 13 4 2 6 3 4 2" xfId="15658"/>
    <cellStyle name="一般 13 4 2 6 3 5" xfId="6564"/>
    <cellStyle name="一般 13 4 2 6 3 5 2" xfId="15659"/>
    <cellStyle name="一般 13 4 2 6 3 6" xfId="15654"/>
    <cellStyle name="一般 13 4 2 6 3_包裝指示書(裏)" xfId="6565"/>
    <cellStyle name="一般 13 4 2 6 4" xfId="6566"/>
    <cellStyle name="一般 13 4 2 6 4 2" xfId="6567"/>
    <cellStyle name="一般 13 4 2 6 4 2 2" xfId="15661"/>
    <cellStyle name="一般 13 4 2 6 4 3" xfId="15660"/>
    <cellStyle name="一般 13 4 2 6 5" xfId="6568"/>
    <cellStyle name="一般 13 4 2 6 5 2" xfId="6569"/>
    <cellStyle name="一般 13 4 2 6 5 2 2" xfId="15663"/>
    <cellStyle name="一般 13 4 2 6 5 3" xfId="15662"/>
    <cellStyle name="一般 13 4 2 6 6" xfId="6570"/>
    <cellStyle name="一般 13 4 2 6 6 2" xfId="6571"/>
    <cellStyle name="一般 13 4 2 6 6 2 2" xfId="15665"/>
    <cellStyle name="一般 13 4 2 6 6 3" xfId="15664"/>
    <cellStyle name="一般 13 4 2 6 7" xfId="6572"/>
    <cellStyle name="一般 13 4 2 6 7 2" xfId="6573"/>
    <cellStyle name="一般 13 4 2 6 7 2 2" xfId="15667"/>
    <cellStyle name="一般 13 4 2 6 7 3" xfId="15666"/>
    <cellStyle name="一般 13 4 2 6 8" xfId="6574"/>
    <cellStyle name="一般 13 4 2 6 8 2" xfId="15668"/>
    <cellStyle name="一般 13 4 2 6 9" xfId="15644"/>
    <cellStyle name="一般 13 4 2 6_包裝指示書(裏)" xfId="6575"/>
    <cellStyle name="一般 13 4 2 7" xfId="6576"/>
    <cellStyle name="一般 13 4 2 7 2" xfId="6577"/>
    <cellStyle name="一般 13 4 2 7 2 2" xfId="6578"/>
    <cellStyle name="一般 13 4 2 7 2 2 2" xfId="6579"/>
    <cellStyle name="一般 13 4 2 7 2 2 2 2" xfId="6580"/>
    <cellStyle name="一般 13 4 2 7 2 2 2 2 2" xfId="15673"/>
    <cellStyle name="一般 13 4 2 7 2 2 2 3" xfId="15672"/>
    <cellStyle name="一般 13 4 2 7 2 2 3" xfId="6581"/>
    <cellStyle name="一般 13 4 2 7 2 2 3 2" xfId="15674"/>
    <cellStyle name="一般 13 4 2 7 2 2 4" xfId="15671"/>
    <cellStyle name="一般 13 4 2 7 2 2_包裝指示書(裏)" xfId="6582"/>
    <cellStyle name="一般 13 4 2 7 2 3" xfId="6583"/>
    <cellStyle name="一般 13 4 2 7 2 3 2" xfId="6584"/>
    <cellStyle name="一般 13 4 2 7 2 3 2 2" xfId="15676"/>
    <cellStyle name="一般 13 4 2 7 2 3 3" xfId="15675"/>
    <cellStyle name="一般 13 4 2 7 2 4" xfId="6585"/>
    <cellStyle name="一般 13 4 2 7 2 4 2" xfId="15677"/>
    <cellStyle name="一般 13 4 2 7 2 5" xfId="15670"/>
    <cellStyle name="一般 13 4 2 7 2_包裝指示書(裏)" xfId="6586"/>
    <cellStyle name="一般 13 4 2 7 3" xfId="6587"/>
    <cellStyle name="一般 13 4 2 7 3 2" xfId="6588"/>
    <cellStyle name="一般 13 4 2 7 3 2 2" xfId="6589"/>
    <cellStyle name="一般 13 4 2 7 3 2 2 2" xfId="15680"/>
    <cellStyle name="一般 13 4 2 7 3 2 3" xfId="15679"/>
    <cellStyle name="一般 13 4 2 7 3 3" xfId="6590"/>
    <cellStyle name="一般 13 4 2 7 3 3 2" xfId="15681"/>
    <cellStyle name="一般 13 4 2 7 3 4" xfId="15678"/>
    <cellStyle name="一般 13 4 2 7 3_包裝指示書(裏)" xfId="6591"/>
    <cellStyle name="一般 13 4 2 7 4" xfId="6592"/>
    <cellStyle name="一般 13 4 2 7 4 2" xfId="6593"/>
    <cellStyle name="一般 13 4 2 7 4 2 2" xfId="15683"/>
    <cellStyle name="一般 13 4 2 7 4 3" xfId="15682"/>
    <cellStyle name="一般 13 4 2 7 5" xfId="6594"/>
    <cellStyle name="一般 13 4 2 7 5 2" xfId="6595"/>
    <cellStyle name="一般 13 4 2 7 5 2 2" xfId="15685"/>
    <cellStyle name="一般 13 4 2 7 5 3" xfId="15684"/>
    <cellStyle name="一般 13 4 2 7 6" xfId="6596"/>
    <cellStyle name="一般 13 4 2 7 6 2" xfId="6597"/>
    <cellStyle name="一般 13 4 2 7 6 2 2" xfId="15687"/>
    <cellStyle name="一般 13 4 2 7 6 3" xfId="15686"/>
    <cellStyle name="一般 13 4 2 7 7" xfId="6598"/>
    <cellStyle name="一般 13 4 2 7 7 2" xfId="6599"/>
    <cellStyle name="一般 13 4 2 7 7 2 2" xfId="15689"/>
    <cellStyle name="一般 13 4 2 7 7 3" xfId="15688"/>
    <cellStyle name="一般 13 4 2 7 8" xfId="6600"/>
    <cellStyle name="一般 13 4 2 7 8 2" xfId="15690"/>
    <cellStyle name="一般 13 4 2 7 9" xfId="15669"/>
    <cellStyle name="一般 13 4 2 7_包裝指示書(裏)" xfId="6601"/>
    <cellStyle name="一般 13 4 2 8" xfId="6602"/>
    <cellStyle name="一般 13 4 2 8 2" xfId="6603"/>
    <cellStyle name="一般 13 4 2 8 2 2" xfId="6604"/>
    <cellStyle name="一般 13 4 2 8 2 2 2" xfId="6605"/>
    <cellStyle name="一般 13 4 2 8 2 2 2 2" xfId="15694"/>
    <cellStyle name="一般 13 4 2 8 2 2 3" xfId="15693"/>
    <cellStyle name="一般 13 4 2 8 2 3" xfId="6606"/>
    <cellStyle name="一般 13 4 2 8 2 3 2" xfId="6607"/>
    <cellStyle name="一般 13 4 2 8 2 3 2 2" xfId="15696"/>
    <cellStyle name="一般 13 4 2 8 2 3 3" xfId="15695"/>
    <cellStyle name="一般 13 4 2 8 2 4" xfId="6608"/>
    <cellStyle name="一般 13 4 2 8 2 4 2" xfId="15697"/>
    <cellStyle name="一般 13 4 2 8 2 5" xfId="15692"/>
    <cellStyle name="一般 13 4 2 8 2_包裝指示書(裏)" xfId="6609"/>
    <cellStyle name="一般 13 4 2 8 3" xfId="6610"/>
    <cellStyle name="一般 13 4 2 8 3 2" xfId="6611"/>
    <cellStyle name="一般 13 4 2 8 3 2 2" xfId="6612"/>
    <cellStyle name="一般 13 4 2 8 3 2 2 2" xfId="15700"/>
    <cellStyle name="一般 13 4 2 8 3 2 3" xfId="15699"/>
    <cellStyle name="一般 13 4 2 8 3 3" xfId="6613"/>
    <cellStyle name="一般 13 4 2 8 3 3 2" xfId="15701"/>
    <cellStyle name="一般 13 4 2 8 3 4" xfId="15698"/>
    <cellStyle name="一般 13 4 2 8 3_包裝指示書(裏)" xfId="6614"/>
    <cellStyle name="一般 13 4 2 8 4" xfId="6615"/>
    <cellStyle name="一般 13 4 2 8 4 2" xfId="6616"/>
    <cellStyle name="一般 13 4 2 8 4 2 2" xfId="15703"/>
    <cellStyle name="一般 13 4 2 8 4 3" xfId="15702"/>
    <cellStyle name="一般 13 4 2 8 5" xfId="6617"/>
    <cellStyle name="一般 13 4 2 8 5 2" xfId="15704"/>
    <cellStyle name="一般 13 4 2 8 6" xfId="15691"/>
    <cellStyle name="一般 13 4 2 8_包裝指示書(裏)" xfId="6618"/>
    <cellStyle name="一般 13 4 2 9" xfId="6619"/>
    <cellStyle name="一般 13 4 2 9 2" xfId="6620"/>
    <cellStyle name="一般 13 4 2 9 2 2" xfId="6621"/>
    <cellStyle name="一般 13 4 2 9 2 2 2" xfId="6622"/>
    <cellStyle name="一般 13 4 2 9 2 2 2 2" xfId="15708"/>
    <cellStyle name="一般 13 4 2 9 2 2 3" xfId="15707"/>
    <cellStyle name="一般 13 4 2 9 2 3" xfId="6623"/>
    <cellStyle name="一般 13 4 2 9 2 3 2" xfId="6624"/>
    <cellStyle name="一般 13 4 2 9 2 3 2 2" xfId="15710"/>
    <cellStyle name="一般 13 4 2 9 2 3 3" xfId="15709"/>
    <cellStyle name="一般 13 4 2 9 2 4" xfId="6625"/>
    <cellStyle name="一般 13 4 2 9 2 4 2" xfId="15711"/>
    <cellStyle name="一般 13 4 2 9 2 5" xfId="15706"/>
    <cellStyle name="一般 13 4 2 9 2_包裝指示書(裏)" xfId="6626"/>
    <cellStyle name="一般 13 4 2 9 3" xfId="6627"/>
    <cellStyle name="一般 13 4 2 9 3 2" xfId="6628"/>
    <cellStyle name="一般 13 4 2 9 3 2 2" xfId="15713"/>
    <cellStyle name="一般 13 4 2 9 3 3" xfId="15712"/>
    <cellStyle name="一般 13 4 2 9 4" xfId="6629"/>
    <cellStyle name="一般 13 4 2 9 4 2" xfId="6630"/>
    <cellStyle name="一般 13 4 2 9 4 2 2" xfId="15715"/>
    <cellStyle name="一般 13 4 2 9 4 3" xfId="15714"/>
    <cellStyle name="一般 13 4 2 9 5" xfId="6631"/>
    <cellStyle name="一般 13 4 2 9 5 2" xfId="15716"/>
    <cellStyle name="一般 13 4 2 9 6" xfId="15705"/>
    <cellStyle name="一般 13 4 2 9_包裝指示書(裏)" xfId="6632"/>
    <cellStyle name="一般 13 4 2_包裝指示書(裏)" xfId="6633"/>
    <cellStyle name="一般 13 4 3" xfId="6634"/>
    <cellStyle name="一般 13 4 3 10" xfId="15717"/>
    <cellStyle name="一般 13 4 3 2" xfId="6635"/>
    <cellStyle name="一般 13 4 3 2 2" xfId="6636"/>
    <cellStyle name="一般 13 4 3 2 2 2" xfId="6637"/>
    <cellStyle name="一般 13 4 3 2 2 2 2" xfId="6638"/>
    <cellStyle name="一般 13 4 3 2 2 2 2 2" xfId="15721"/>
    <cellStyle name="一般 13 4 3 2 2 2 3" xfId="15720"/>
    <cellStyle name="一般 13 4 3 2 2 3" xfId="6639"/>
    <cellStyle name="一般 13 4 3 2 2 3 2" xfId="15722"/>
    <cellStyle name="一般 13 4 3 2 2 4" xfId="15719"/>
    <cellStyle name="一般 13 4 3 2 2_包裝指示書(裏)" xfId="6640"/>
    <cellStyle name="一般 13 4 3 2 3" xfId="6641"/>
    <cellStyle name="一般 13 4 3 2 3 2" xfId="6642"/>
    <cellStyle name="一般 13 4 3 2 3 2 2" xfId="15724"/>
    <cellStyle name="一般 13 4 3 2 3 3" xfId="15723"/>
    <cellStyle name="一般 13 4 3 2 4" xfId="6643"/>
    <cellStyle name="一般 13 4 3 2 4 2" xfId="6644"/>
    <cellStyle name="一般 13 4 3 2 4 2 2" xfId="15726"/>
    <cellStyle name="一般 13 4 3 2 4 3" xfId="15725"/>
    <cellStyle name="一般 13 4 3 2 5" xfId="6645"/>
    <cellStyle name="一般 13 4 3 2 5 2" xfId="6646"/>
    <cellStyle name="一般 13 4 3 2 5 2 2" xfId="15728"/>
    <cellStyle name="一般 13 4 3 2 5 3" xfId="15727"/>
    <cellStyle name="一般 13 4 3 2 6" xfId="6647"/>
    <cellStyle name="一般 13 4 3 2 6 2" xfId="6648"/>
    <cellStyle name="一般 13 4 3 2 6 2 2" xfId="15730"/>
    <cellStyle name="一般 13 4 3 2 6 3" xfId="15729"/>
    <cellStyle name="一般 13 4 3 2 7" xfId="6649"/>
    <cellStyle name="一般 13 4 3 2 7 2" xfId="6650"/>
    <cellStyle name="一般 13 4 3 2 7 2 2" xfId="15732"/>
    <cellStyle name="一般 13 4 3 2 7 3" xfId="15731"/>
    <cellStyle name="一般 13 4 3 2 8" xfId="6651"/>
    <cellStyle name="一般 13 4 3 2 8 2" xfId="15733"/>
    <cellStyle name="一般 13 4 3 2 9" xfId="15718"/>
    <cellStyle name="一般 13 4 3 2_包裝指示書(裏)" xfId="6652"/>
    <cellStyle name="一般 13 4 3 3" xfId="6653"/>
    <cellStyle name="一般 13 4 3 3 2" xfId="6654"/>
    <cellStyle name="一般 13 4 3 3 2 2" xfId="6655"/>
    <cellStyle name="一般 13 4 3 3 2 2 2" xfId="15736"/>
    <cellStyle name="一般 13 4 3 3 2 3" xfId="15735"/>
    <cellStyle name="一般 13 4 3 3 3" xfId="6656"/>
    <cellStyle name="一般 13 4 3 3 3 2" xfId="15737"/>
    <cellStyle name="一般 13 4 3 3 4" xfId="6657"/>
    <cellStyle name="一般 13 4 3 3 4 2" xfId="15738"/>
    <cellStyle name="一般 13 4 3 3 5" xfId="6658"/>
    <cellStyle name="一般 13 4 3 3 5 2" xfId="15739"/>
    <cellStyle name="一般 13 4 3 3 6" xfId="15734"/>
    <cellStyle name="一般 13 4 3 3_包裝指示書(裏)" xfId="6659"/>
    <cellStyle name="一般 13 4 3 4" xfId="6660"/>
    <cellStyle name="一般 13 4 3 4 2" xfId="6661"/>
    <cellStyle name="一般 13 4 3 4 2 2" xfId="15741"/>
    <cellStyle name="一般 13 4 3 4 3" xfId="15740"/>
    <cellStyle name="一般 13 4 3 5" xfId="6662"/>
    <cellStyle name="一般 13 4 3 5 2" xfId="6663"/>
    <cellStyle name="一般 13 4 3 5 2 2" xfId="15743"/>
    <cellStyle name="一般 13 4 3 5 3" xfId="15742"/>
    <cellStyle name="一般 13 4 3 6" xfId="6664"/>
    <cellStyle name="一般 13 4 3 6 2" xfId="6665"/>
    <cellStyle name="一般 13 4 3 6 2 2" xfId="15745"/>
    <cellStyle name="一般 13 4 3 6 3" xfId="15744"/>
    <cellStyle name="一般 13 4 3 7" xfId="6666"/>
    <cellStyle name="一般 13 4 3 7 2" xfId="6667"/>
    <cellStyle name="一般 13 4 3 7 2 2" xfId="15747"/>
    <cellStyle name="一般 13 4 3 7 3" xfId="15746"/>
    <cellStyle name="一般 13 4 3 8" xfId="6668"/>
    <cellStyle name="一般 13 4 3 8 2" xfId="6669"/>
    <cellStyle name="一般 13 4 3 8 2 2" xfId="15749"/>
    <cellStyle name="一般 13 4 3 8 3" xfId="15748"/>
    <cellStyle name="一般 13 4 3 9" xfId="6670"/>
    <cellStyle name="一般 13 4 3 9 2" xfId="15750"/>
    <cellStyle name="一般 13 4 3_包裝指示書(裏)" xfId="6671"/>
    <cellStyle name="一般 13 4 4" xfId="6672"/>
    <cellStyle name="一般 13 4 4 10" xfId="15751"/>
    <cellStyle name="一般 13 4 4 2" xfId="6673"/>
    <cellStyle name="一般 13 4 4 2 2" xfId="6674"/>
    <cellStyle name="一般 13 4 4 2 2 2" xfId="6675"/>
    <cellStyle name="一般 13 4 4 2 2 2 2" xfId="6676"/>
    <cellStyle name="一般 13 4 4 2 2 2 2 2" xfId="15755"/>
    <cellStyle name="一般 13 4 4 2 2 2 3" xfId="15754"/>
    <cellStyle name="一般 13 4 4 2 2 3" xfId="6677"/>
    <cellStyle name="一般 13 4 4 2 2 3 2" xfId="15756"/>
    <cellStyle name="一般 13 4 4 2 2 4" xfId="15753"/>
    <cellStyle name="一般 13 4 4 2 2_包裝指示書(裏)" xfId="6678"/>
    <cellStyle name="一般 13 4 4 2 3" xfId="6679"/>
    <cellStyle name="一般 13 4 4 2 3 2" xfId="6680"/>
    <cellStyle name="一般 13 4 4 2 3 2 2" xfId="15758"/>
    <cellStyle name="一般 13 4 4 2 3 3" xfId="15757"/>
    <cellStyle name="一般 13 4 4 2 4" xfId="6681"/>
    <cellStyle name="一般 13 4 4 2 4 2" xfId="6682"/>
    <cellStyle name="一般 13 4 4 2 4 2 2" xfId="15760"/>
    <cellStyle name="一般 13 4 4 2 4 3" xfId="15759"/>
    <cellStyle name="一般 13 4 4 2 5" xfId="6683"/>
    <cellStyle name="一般 13 4 4 2 5 2" xfId="6684"/>
    <cellStyle name="一般 13 4 4 2 5 2 2" xfId="15762"/>
    <cellStyle name="一般 13 4 4 2 5 3" xfId="15761"/>
    <cellStyle name="一般 13 4 4 2 6" xfId="6685"/>
    <cellStyle name="一般 13 4 4 2 6 2" xfId="6686"/>
    <cellStyle name="一般 13 4 4 2 6 2 2" xfId="15764"/>
    <cellStyle name="一般 13 4 4 2 6 3" xfId="15763"/>
    <cellStyle name="一般 13 4 4 2 7" xfId="6687"/>
    <cellStyle name="一般 13 4 4 2 7 2" xfId="6688"/>
    <cellStyle name="一般 13 4 4 2 7 2 2" xfId="15766"/>
    <cellStyle name="一般 13 4 4 2 7 3" xfId="15765"/>
    <cellStyle name="一般 13 4 4 2 8" xfId="6689"/>
    <cellStyle name="一般 13 4 4 2 8 2" xfId="15767"/>
    <cellStyle name="一般 13 4 4 2 9" xfId="15752"/>
    <cellStyle name="一般 13 4 4 2_包裝指示書(裏)" xfId="6690"/>
    <cellStyle name="一般 13 4 4 3" xfId="6691"/>
    <cellStyle name="一般 13 4 4 3 2" xfId="6692"/>
    <cellStyle name="一般 13 4 4 3 2 2" xfId="6693"/>
    <cellStyle name="一般 13 4 4 3 2 2 2" xfId="15770"/>
    <cellStyle name="一般 13 4 4 3 2 3" xfId="15769"/>
    <cellStyle name="一般 13 4 4 3 3" xfId="6694"/>
    <cellStyle name="一般 13 4 4 3 3 2" xfId="15771"/>
    <cellStyle name="一般 13 4 4 3 4" xfId="6695"/>
    <cellStyle name="一般 13 4 4 3 4 2" xfId="15772"/>
    <cellStyle name="一般 13 4 4 3 5" xfId="6696"/>
    <cellStyle name="一般 13 4 4 3 5 2" xfId="15773"/>
    <cellStyle name="一般 13 4 4 3 6" xfId="15768"/>
    <cellStyle name="一般 13 4 4 3_包裝指示書(裏)" xfId="6697"/>
    <cellStyle name="一般 13 4 4 4" xfId="6698"/>
    <cellStyle name="一般 13 4 4 4 2" xfId="6699"/>
    <cellStyle name="一般 13 4 4 4 2 2" xfId="15775"/>
    <cellStyle name="一般 13 4 4 4 3" xfId="15774"/>
    <cellStyle name="一般 13 4 4 5" xfId="6700"/>
    <cellStyle name="一般 13 4 4 5 2" xfId="6701"/>
    <cellStyle name="一般 13 4 4 5 2 2" xfId="15777"/>
    <cellStyle name="一般 13 4 4 5 3" xfId="15776"/>
    <cellStyle name="一般 13 4 4 6" xfId="6702"/>
    <cellStyle name="一般 13 4 4 6 2" xfId="6703"/>
    <cellStyle name="一般 13 4 4 6 2 2" xfId="15779"/>
    <cellStyle name="一般 13 4 4 6 3" xfId="15778"/>
    <cellStyle name="一般 13 4 4 7" xfId="6704"/>
    <cellStyle name="一般 13 4 4 7 2" xfId="6705"/>
    <cellStyle name="一般 13 4 4 7 2 2" xfId="15781"/>
    <cellStyle name="一般 13 4 4 7 3" xfId="15780"/>
    <cellStyle name="一般 13 4 4 8" xfId="6706"/>
    <cellStyle name="一般 13 4 4 8 2" xfId="6707"/>
    <cellStyle name="一般 13 4 4 8 2 2" xfId="15783"/>
    <cellStyle name="一般 13 4 4 8 3" xfId="15782"/>
    <cellStyle name="一般 13 4 4 9" xfId="6708"/>
    <cellStyle name="一般 13 4 4 9 2" xfId="15784"/>
    <cellStyle name="一般 13 4 4_包裝指示書(裏)" xfId="6709"/>
    <cellStyle name="一般 13 4 5" xfId="6710"/>
    <cellStyle name="一般 13 4 5 10" xfId="15785"/>
    <cellStyle name="一般 13 4 5 2" xfId="6711"/>
    <cellStyle name="一般 13 4 5 2 2" xfId="6712"/>
    <cellStyle name="一般 13 4 5 2 2 2" xfId="6713"/>
    <cellStyle name="一般 13 4 5 2 2 2 2" xfId="6714"/>
    <cellStyle name="一般 13 4 5 2 2 2 2 2" xfId="15789"/>
    <cellStyle name="一般 13 4 5 2 2 2 3" xfId="15788"/>
    <cellStyle name="一般 13 4 5 2 2 3" xfId="6715"/>
    <cellStyle name="一般 13 4 5 2 2 3 2" xfId="15790"/>
    <cellStyle name="一般 13 4 5 2 2 4" xfId="15787"/>
    <cellStyle name="一般 13 4 5 2 2_包裝指示書(裏)" xfId="6716"/>
    <cellStyle name="一般 13 4 5 2 3" xfId="6717"/>
    <cellStyle name="一般 13 4 5 2 3 2" xfId="6718"/>
    <cellStyle name="一般 13 4 5 2 3 2 2" xfId="15792"/>
    <cellStyle name="一般 13 4 5 2 3 3" xfId="15791"/>
    <cellStyle name="一般 13 4 5 2 4" xfId="6719"/>
    <cellStyle name="一般 13 4 5 2 4 2" xfId="6720"/>
    <cellStyle name="一般 13 4 5 2 4 2 2" xfId="15794"/>
    <cellStyle name="一般 13 4 5 2 4 3" xfId="15793"/>
    <cellStyle name="一般 13 4 5 2 5" xfId="6721"/>
    <cellStyle name="一般 13 4 5 2 5 2" xfId="6722"/>
    <cellStyle name="一般 13 4 5 2 5 2 2" xfId="15796"/>
    <cellStyle name="一般 13 4 5 2 5 3" xfId="15795"/>
    <cellStyle name="一般 13 4 5 2 6" xfId="6723"/>
    <cellStyle name="一般 13 4 5 2 6 2" xfId="6724"/>
    <cellStyle name="一般 13 4 5 2 6 2 2" xfId="15798"/>
    <cellStyle name="一般 13 4 5 2 6 3" xfId="15797"/>
    <cellStyle name="一般 13 4 5 2 7" xfId="6725"/>
    <cellStyle name="一般 13 4 5 2 7 2" xfId="6726"/>
    <cellStyle name="一般 13 4 5 2 7 2 2" xfId="15800"/>
    <cellStyle name="一般 13 4 5 2 7 3" xfId="15799"/>
    <cellStyle name="一般 13 4 5 2 8" xfId="6727"/>
    <cellStyle name="一般 13 4 5 2 8 2" xfId="15801"/>
    <cellStyle name="一般 13 4 5 2 9" xfId="15786"/>
    <cellStyle name="一般 13 4 5 2_包裝指示書(裏)" xfId="6728"/>
    <cellStyle name="一般 13 4 5 3" xfId="6729"/>
    <cellStyle name="一般 13 4 5 3 2" xfId="6730"/>
    <cellStyle name="一般 13 4 5 3 2 2" xfId="6731"/>
    <cellStyle name="一般 13 4 5 3 2 2 2" xfId="15804"/>
    <cellStyle name="一般 13 4 5 3 2 3" xfId="15803"/>
    <cellStyle name="一般 13 4 5 3 3" xfId="6732"/>
    <cellStyle name="一般 13 4 5 3 3 2" xfId="15805"/>
    <cellStyle name="一般 13 4 5 3 4" xfId="6733"/>
    <cellStyle name="一般 13 4 5 3 4 2" xfId="15806"/>
    <cellStyle name="一般 13 4 5 3 5" xfId="6734"/>
    <cellStyle name="一般 13 4 5 3 5 2" xfId="15807"/>
    <cellStyle name="一般 13 4 5 3 6" xfId="15802"/>
    <cellStyle name="一般 13 4 5 3_包裝指示書(裏)" xfId="6735"/>
    <cellStyle name="一般 13 4 5 4" xfId="6736"/>
    <cellStyle name="一般 13 4 5 4 2" xfId="6737"/>
    <cellStyle name="一般 13 4 5 4 2 2" xfId="15809"/>
    <cellStyle name="一般 13 4 5 4 3" xfId="15808"/>
    <cellStyle name="一般 13 4 5 5" xfId="6738"/>
    <cellStyle name="一般 13 4 5 5 2" xfId="6739"/>
    <cellStyle name="一般 13 4 5 5 2 2" xfId="15811"/>
    <cellStyle name="一般 13 4 5 5 3" xfId="15810"/>
    <cellStyle name="一般 13 4 5 6" xfId="6740"/>
    <cellStyle name="一般 13 4 5 6 2" xfId="6741"/>
    <cellStyle name="一般 13 4 5 6 2 2" xfId="15813"/>
    <cellStyle name="一般 13 4 5 6 3" xfId="15812"/>
    <cellStyle name="一般 13 4 5 7" xfId="6742"/>
    <cellStyle name="一般 13 4 5 7 2" xfId="6743"/>
    <cellStyle name="一般 13 4 5 7 2 2" xfId="15815"/>
    <cellStyle name="一般 13 4 5 7 3" xfId="15814"/>
    <cellStyle name="一般 13 4 5 8" xfId="6744"/>
    <cellStyle name="一般 13 4 5 8 2" xfId="6745"/>
    <cellStyle name="一般 13 4 5 8 2 2" xfId="15817"/>
    <cellStyle name="一般 13 4 5 8 3" xfId="15816"/>
    <cellStyle name="一般 13 4 5 9" xfId="6746"/>
    <cellStyle name="一般 13 4 5 9 2" xfId="15818"/>
    <cellStyle name="一般 13 4 5_包裝指示書(裏)" xfId="6747"/>
    <cellStyle name="一般 13 4 6" xfId="6748"/>
    <cellStyle name="一般 13 4 6 2" xfId="6749"/>
    <cellStyle name="一般 13 4 6 2 2" xfId="6750"/>
    <cellStyle name="一般 13 4 6 2 2 2" xfId="6751"/>
    <cellStyle name="一般 13 4 6 2 2 2 2" xfId="6752"/>
    <cellStyle name="一般 13 4 6 2 2 2 2 2" xfId="15823"/>
    <cellStyle name="一般 13 4 6 2 2 2 3" xfId="15822"/>
    <cellStyle name="一般 13 4 6 2 2 3" xfId="6753"/>
    <cellStyle name="一般 13 4 6 2 2 3 2" xfId="15824"/>
    <cellStyle name="一般 13 4 6 2 2 4" xfId="15821"/>
    <cellStyle name="一般 13 4 6 2 2_包裝指示書(裏)" xfId="6754"/>
    <cellStyle name="一般 13 4 6 2 3" xfId="6755"/>
    <cellStyle name="一般 13 4 6 2 3 2" xfId="6756"/>
    <cellStyle name="一般 13 4 6 2 3 2 2" xfId="15826"/>
    <cellStyle name="一般 13 4 6 2 3 3" xfId="15825"/>
    <cellStyle name="一般 13 4 6 2 4" xfId="6757"/>
    <cellStyle name="一般 13 4 6 2 4 2" xfId="15827"/>
    <cellStyle name="一般 13 4 6 2 5" xfId="6758"/>
    <cellStyle name="一般 13 4 6 2 5 2" xfId="15828"/>
    <cellStyle name="一般 13 4 6 2 6" xfId="15820"/>
    <cellStyle name="一般 13 4 6 2_包裝指示書(裏)" xfId="6759"/>
    <cellStyle name="一般 13 4 6 3" xfId="6760"/>
    <cellStyle name="一般 13 4 6 3 2" xfId="6761"/>
    <cellStyle name="一般 13 4 6 3 2 2" xfId="6762"/>
    <cellStyle name="一般 13 4 6 3 2 2 2" xfId="15831"/>
    <cellStyle name="一般 13 4 6 3 2 3" xfId="15830"/>
    <cellStyle name="一般 13 4 6 3 3" xfId="6763"/>
    <cellStyle name="一般 13 4 6 3 3 2" xfId="6764"/>
    <cellStyle name="一般 13 4 6 3 3 2 2" xfId="15833"/>
    <cellStyle name="一般 13 4 6 3 3 3" xfId="15832"/>
    <cellStyle name="一般 13 4 6 3 4" xfId="6765"/>
    <cellStyle name="一般 13 4 6 3 4 2" xfId="15834"/>
    <cellStyle name="一般 13 4 6 3 5" xfId="6766"/>
    <cellStyle name="一般 13 4 6 3 5 2" xfId="15835"/>
    <cellStyle name="一般 13 4 6 3 6" xfId="15829"/>
    <cellStyle name="一般 13 4 6 3_包裝指示書(裏)" xfId="6767"/>
    <cellStyle name="一般 13 4 6 4" xfId="6768"/>
    <cellStyle name="一般 13 4 6 4 2" xfId="6769"/>
    <cellStyle name="一般 13 4 6 4 2 2" xfId="15837"/>
    <cellStyle name="一般 13 4 6 4 3" xfId="15836"/>
    <cellStyle name="一般 13 4 6 5" xfId="6770"/>
    <cellStyle name="一般 13 4 6 5 2" xfId="6771"/>
    <cellStyle name="一般 13 4 6 5 2 2" xfId="15839"/>
    <cellStyle name="一般 13 4 6 5 3" xfId="15838"/>
    <cellStyle name="一般 13 4 6 6" xfId="6772"/>
    <cellStyle name="一般 13 4 6 6 2" xfId="6773"/>
    <cellStyle name="一般 13 4 6 6 2 2" xfId="15841"/>
    <cellStyle name="一般 13 4 6 6 3" xfId="15840"/>
    <cellStyle name="一般 13 4 6 7" xfId="6774"/>
    <cellStyle name="一般 13 4 6 7 2" xfId="6775"/>
    <cellStyle name="一般 13 4 6 7 2 2" xfId="15843"/>
    <cellStyle name="一般 13 4 6 7 3" xfId="15842"/>
    <cellStyle name="一般 13 4 6 8" xfId="6776"/>
    <cellStyle name="一般 13 4 6 8 2" xfId="15844"/>
    <cellStyle name="一般 13 4 6 9" xfId="15819"/>
    <cellStyle name="一般 13 4 6_包裝指示書(裏)" xfId="6777"/>
    <cellStyle name="一般 13 4 7" xfId="6778"/>
    <cellStyle name="一般 13 4 7 2" xfId="6779"/>
    <cellStyle name="一般 13 4 7 2 2" xfId="6780"/>
    <cellStyle name="一般 13 4 7 2 2 2" xfId="6781"/>
    <cellStyle name="一般 13 4 7 2 2 2 2" xfId="6782"/>
    <cellStyle name="一般 13 4 7 2 2 2 2 2" xfId="15849"/>
    <cellStyle name="一般 13 4 7 2 2 2 3" xfId="15848"/>
    <cellStyle name="一般 13 4 7 2 2 3" xfId="6783"/>
    <cellStyle name="一般 13 4 7 2 2 3 2" xfId="15850"/>
    <cellStyle name="一般 13 4 7 2 2 4" xfId="15847"/>
    <cellStyle name="一般 13 4 7 2 2_包裝指示書(裏)" xfId="6784"/>
    <cellStyle name="一般 13 4 7 2 3" xfId="6785"/>
    <cellStyle name="一般 13 4 7 2 3 2" xfId="6786"/>
    <cellStyle name="一般 13 4 7 2 3 2 2" xfId="15852"/>
    <cellStyle name="一般 13 4 7 2 3 3" xfId="15851"/>
    <cellStyle name="一般 13 4 7 2 4" xfId="6787"/>
    <cellStyle name="一般 13 4 7 2 4 2" xfId="15853"/>
    <cellStyle name="一般 13 4 7 2 5" xfId="6788"/>
    <cellStyle name="一般 13 4 7 2 5 2" xfId="15854"/>
    <cellStyle name="一般 13 4 7 2 6" xfId="15846"/>
    <cellStyle name="一般 13 4 7 2_包裝指示書(裏)" xfId="6789"/>
    <cellStyle name="一般 13 4 7 3" xfId="6790"/>
    <cellStyle name="一般 13 4 7 3 2" xfId="6791"/>
    <cellStyle name="一般 13 4 7 3 2 2" xfId="6792"/>
    <cellStyle name="一般 13 4 7 3 2 2 2" xfId="15857"/>
    <cellStyle name="一般 13 4 7 3 2 3" xfId="15856"/>
    <cellStyle name="一般 13 4 7 3 3" xfId="6793"/>
    <cellStyle name="一般 13 4 7 3 3 2" xfId="15858"/>
    <cellStyle name="一般 13 4 7 3 4" xfId="6794"/>
    <cellStyle name="一般 13 4 7 3 4 2" xfId="15859"/>
    <cellStyle name="一般 13 4 7 3 5" xfId="6795"/>
    <cellStyle name="一般 13 4 7 3 5 2" xfId="15860"/>
    <cellStyle name="一般 13 4 7 3 6" xfId="15855"/>
    <cellStyle name="一般 13 4 7 3_包裝指示書(裏)" xfId="6796"/>
    <cellStyle name="一般 13 4 7 4" xfId="6797"/>
    <cellStyle name="一般 13 4 7 4 2" xfId="6798"/>
    <cellStyle name="一般 13 4 7 4 2 2" xfId="15862"/>
    <cellStyle name="一般 13 4 7 4 3" xfId="15861"/>
    <cellStyle name="一般 13 4 7 5" xfId="6799"/>
    <cellStyle name="一般 13 4 7 5 2" xfId="6800"/>
    <cellStyle name="一般 13 4 7 5 2 2" xfId="15864"/>
    <cellStyle name="一般 13 4 7 5 3" xfId="15863"/>
    <cellStyle name="一般 13 4 7 6" xfId="6801"/>
    <cellStyle name="一般 13 4 7 6 2" xfId="6802"/>
    <cellStyle name="一般 13 4 7 6 2 2" xfId="15866"/>
    <cellStyle name="一般 13 4 7 6 3" xfId="15865"/>
    <cellStyle name="一般 13 4 7 7" xfId="6803"/>
    <cellStyle name="一般 13 4 7 7 2" xfId="6804"/>
    <cellStyle name="一般 13 4 7 7 2 2" xfId="15868"/>
    <cellStyle name="一般 13 4 7 7 3" xfId="15867"/>
    <cellStyle name="一般 13 4 7 8" xfId="6805"/>
    <cellStyle name="一般 13 4 7 8 2" xfId="15869"/>
    <cellStyle name="一般 13 4 7 9" xfId="15845"/>
    <cellStyle name="一般 13 4 7_包裝指示書(裏)" xfId="6806"/>
    <cellStyle name="一般 13 4 8" xfId="6807"/>
    <cellStyle name="一般 13 4 8 2" xfId="6808"/>
    <cellStyle name="一般 13 4 8 2 2" xfId="6809"/>
    <cellStyle name="一般 13 4 8 2 2 2" xfId="6810"/>
    <cellStyle name="一般 13 4 8 2 2 2 2" xfId="6811"/>
    <cellStyle name="一般 13 4 8 2 2 2 2 2" xfId="15874"/>
    <cellStyle name="一般 13 4 8 2 2 2 3" xfId="15873"/>
    <cellStyle name="一般 13 4 8 2 2 3" xfId="6812"/>
    <cellStyle name="一般 13 4 8 2 2 3 2" xfId="15875"/>
    <cellStyle name="一般 13 4 8 2 2 4" xfId="15872"/>
    <cellStyle name="一般 13 4 8 2 2_包裝指示書(裏)" xfId="6813"/>
    <cellStyle name="一般 13 4 8 2 3" xfId="6814"/>
    <cellStyle name="一般 13 4 8 2 3 2" xfId="6815"/>
    <cellStyle name="一般 13 4 8 2 3 2 2" xfId="15877"/>
    <cellStyle name="一般 13 4 8 2 3 3" xfId="15876"/>
    <cellStyle name="一般 13 4 8 2 4" xfId="6816"/>
    <cellStyle name="一般 13 4 8 2 4 2" xfId="15878"/>
    <cellStyle name="一般 13 4 8 2 5" xfId="15871"/>
    <cellStyle name="一般 13 4 8 2_包裝指示書(裏)" xfId="6817"/>
    <cellStyle name="一般 13 4 8 3" xfId="6818"/>
    <cellStyle name="一般 13 4 8 3 2" xfId="6819"/>
    <cellStyle name="一般 13 4 8 3 2 2" xfId="6820"/>
    <cellStyle name="一般 13 4 8 3 2 2 2" xfId="15881"/>
    <cellStyle name="一般 13 4 8 3 2 3" xfId="15880"/>
    <cellStyle name="一般 13 4 8 3 3" xfId="6821"/>
    <cellStyle name="一般 13 4 8 3 3 2" xfId="15882"/>
    <cellStyle name="一般 13 4 8 3 4" xfId="15879"/>
    <cellStyle name="一般 13 4 8 3_包裝指示書(裏)" xfId="6822"/>
    <cellStyle name="一般 13 4 8 4" xfId="6823"/>
    <cellStyle name="一般 13 4 8 4 2" xfId="6824"/>
    <cellStyle name="一般 13 4 8 4 2 2" xfId="15884"/>
    <cellStyle name="一般 13 4 8 4 3" xfId="15883"/>
    <cellStyle name="一般 13 4 8 5" xfId="6825"/>
    <cellStyle name="一般 13 4 8 5 2" xfId="6826"/>
    <cellStyle name="一般 13 4 8 5 2 2" xfId="15886"/>
    <cellStyle name="一般 13 4 8 5 3" xfId="15885"/>
    <cellStyle name="一般 13 4 8 6" xfId="6827"/>
    <cellStyle name="一般 13 4 8 6 2" xfId="6828"/>
    <cellStyle name="一般 13 4 8 6 2 2" xfId="15888"/>
    <cellStyle name="一般 13 4 8 6 3" xfId="15887"/>
    <cellStyle name="一般 13 4 8 7" xfId="6829"/>
    <cellStyle name="一般 13 4 8 7 2" xfId="6830"/>
    <cellStyle name="一般 13 4 8 7 2 2" xfId="15890"/>
    <cellStyle name="一般 13 4 8 7 3" xfId="15889"/>
    <cellStyle name="一般 13 4 8 8" xfId="6831"/>
    <cellStyle name="一般 13 4 8 8 2" xfId="15891"/>
    <cellStyle name="一般 13 4 8 9" xfId="15870"/>
    <cellStyle name="一般 13 4 8_包裝指示書(裏)" xfId="6832"/>
    <cellStyle name="一般 13 4 9" xfId="6833"/>
    <cellStyle name="一般 13 4 9 2" xfId="6834"/>
    <cellStyle name="一般 13 4 9 2 2" xfId="6835"/>
    <cellStyle name="一般 13 4 9 2 2 2" xfId="6836"/>
    <cellStyle name="一般 13 4 9 2 2 2 2" xfId="15895"/>
    <cellStyle name="一般 13 4 9 2 2 3" xfId="15894"/>
    <cellStyle name="一般 13 4 9 2 3" xfId="6837"/>
    <cellStyle name="一般 13 4 9 2 3 2" xfId="6838"/>
    <cellStyle name="一般 13 4 9 2 3 2 2" xfId="15897"/>
    <cellStyle name="一般 13 4 9 2 3 3" xfId="15896"/>
    <cellStyle name="一般 13 4 9 2 4" xfId="6839"/>
    <cellStyle name="一般 13 4 9 2 4 2" xfId="15898"/>
    <cellStyle name="一般 13 4 9 2 5" xfId="15893"/>
    <cellStyle name="一般 13 4 9 2_包裝指示書(裏)" xfId="6840"/>
    <cellStyle name="一般 13 4 9 3" xfId="6841"/>
    <cellStyle name="一般 13 4 9 3 2" xfId="6842"/>
    <cellStyle name="一般 13 4 9 3 2 2" xfId="6843"/>
    <cellStyle name="一般 13 4 9 3 2 2 2" xfId="15901"/>
    <cellStyle name="一般 13 4 9 3 2 3" xfId="15900"/>
    <cellStyle name="一般 13 4 9 3 3" xfId="6844"/>
    <cellStyle name="一般 13 4 9 3 3 2" xfId="15902"/>
    <cellStyle name="一般 13 4 9 3 4" xfId="15899"/>
    <cellStyle name="一般 13 4 9 3_包裝指示書(裏)" xfId="6845"/>
    <cellStyle name="一般 13 4 9 4" xfId="6846"/>
    <cellStyle name="一般 13 4 9 4 2" xfId="6847"/>
    <cellStyle name="一般 13 4 9 4 2 2" xfId="15904"/>
    <cellStyle name="一般 13 4 9 4 3" xfId="15903"/>
    <cellStyle name="一般 13 4 9 5" xfId="6848"/>
    <cellStyle name="一般 13 4 9 5 2" xfId="15905"/>
    <cellStyle name="一般 13 4 9 6" xfId="15892"/>
    <cellStyle name="一般 13 4 9_包裝指示書(裏)" xfId="6849"/>
    <cellStyle name="一般 13 4_包裝指示書(裏)" xfId="6850"/>
    <cellStyle name="一般 13 5" xfId="6851"/>
    <cellStyle name="一般 13 5 10" xfId="6852"/>
    <cellStyle name="一般 13 5 10 2" xfId="6853"/>
    <cellStyle name="一般 13 5 10 2 2" xfId="6854"/>
    <cellStyle name="一般 13 5 10 2 2 2" xfId="6855"/>
    <cellStyle name="一般 13 5 10 2 2 2 2" xfId="15909"/>
    <cellStyle name="一般 13 5 10 2 2 3" xfId="15908"/>
    <cellStyle name="一般 13 5 10 2 3" xfId="6856"/>
    <cellStyle name="一般 13 5 10 2 3 2" xfId="6857"/>
    <cellStyle name="一般 13 5 10 2 3 2 2" xfId="15911"/>
    <cellStyle name="一般 13 5 10 2 3 3" xfId="15910"/>
    <cellStyle name="一般 13 5 10 2 4" xfId="6858"/>
    <cellStyle name="一般 13 5 10 2 4 2" xfId="15912"/>
    <cellStyle name="一般 13 5 10 2 5" xfId="15907"/>
    <cellStyle name="一般 13 5 10 2_包裝指示書(裏)" xfId="6859"/>
    <cellStyle name="一般 13 5 10 3" xfId="6860"/>
    <cellStyle name="一般 13 5 10 3 2" xfId="6861"/>
    <cellStyle name="一般 13 5 10 3 2 2" xfId="15914"/>
    <cellStyle name="一般 13 5 10 3 3" xfId="15913"/>
    <cellStyle name="一般 13 5 10 4" xfId="6862"/>
    <cellStyle name="一般 13 5 10 4 2" xfId="6863"/>
    <cellStyle name="一般 13 5 10 4 2 2" xfId="15916"/>
    <cellStyle name="一般 13 5 10 4 3" xfId="15915"/>
    <cellStyle name="一般 13 5 10 5" xfId="6864"/>
    <cellStyle name="一般 13 5 10 5 2" xfId="15917"/>
    <cellStyle name="一般 13 5 10 6" xfId="15906"/>
    <cellStyle name="一般 13 5 10_包裝指示書(裏)" xfId="6865"/>
    <cellStyle name="一般 13 5 11" xfId="6866"/>
    <cellStyle name="一般 13 5 11 2" xfId="6867"/>
    <cellStyle name="一般 13 5 11 2 2" xfId="6868"/>
    <cellStyle name="一般 13 5 11 2 2 2" xfId="15920"/>
    <cellStyle name="一般 13 5 11 2 3" xfId="15919"/>
    <cellStyle name="一般 13 5 11 3" xfId="6869"/>
    <cellStyle name="一般 13 5 11 3 2" xfId="6870"/>
    <cellStyle name="一般 13 5 11 3 2 2" xfId="15922"/>
    <cellStyle name="一般 13 5 11 3 3" xfId="15921"/>
    <cellStyle name="一般 13 5 11 4" xfId="6871"/>
    <cellStyle name="一般 13 5 11 4 2" xfId="15923"/>
    <cellStyle name="一般 13 5 11 5" xfId="15918"/>
    <cellStyle name="一般 13 5 11_包裝指示書(裏)" xfId="6872"/>
    <cellStyle name="一般 13 5 12" xfId="6873"/>
    <cellStyle name="一般 13 5 12 2" xfId="6874"/>
    <cellStyle name="一般 13 5 12 2 2" xfId="6875"/>
    <cellStyle name="一般 13 5 12 2 2 2" xfId="15926"/>
    <cellStyle name="一般 13 5 12 2 3" xfId="15925"/>
    <cellStyle name="一般 13 5 12 3" xfId="6876"/>
    <cellStyle name="一般 13 5 12 3 2" xfId="15927"/>
    <cellStyle name="一般 13 5 12 4" xfId="15924"/>
    <cellStyle name="一般 13 5 12_包裝指示書(裏)" xfId="6877"/>
    <cellStyle name="一般 13 5 13" xfId="6878"/>
    <cellStyle name="一般 13 5 13 2" xfId="6879"/>
    <cellStyle name="一般 13 5 13 2 2" xfId="15929"/>
    <cellStyle name="一般 13 5 13 3" xfId="15928"/>
    <cellStyle name="一般 13 5 14" xfId="6880"/>
    <cellStyle name="一般 13 5 14 2" xfId="15930"/>
    <cellStyle name="一般 13 5 15" xfId="6881"/>
    <cellStyle name="一般 13 5 15 2" xfId="15931"/>
    <cellStyle name="一般 13 5 2" xfId="6882"/>
    <cellStyle name="一般 13 5 2 10" xfId="6883"/>
    <cellStyle name="一般 13 5 2 10 2" xfId="15933"/>
    <cellStyle name="一般 13 5 2 11" xfId="15932"/>
    <cellStyle name="一般 13 5 2 2" xfId="6884"/>
    <cellStyle name="一般 13 5 2 2 2" xfId="6885"/>
    <cellStyle name="一般 13 5 2 2 2 2" xfId="6886"/>
    <cellStyle name="一般 13 5 2 2 2 2 2" xfId="6887"/>
    <cellStyle name="一般 13 5 2 2 2 2 2 2" xfId="6888"/>
    <cellStyle name="一般 13 5 2 2 2 2 2 2 2" xfId="15938"/>
    <cellStyle name="一般 13 5 2 2 2 2 2 3" xfId="15937"/>
    <cellStyle name="一般 13 5 2 2 2 2 3" xfId="6889"/>
    <cellStyle name="一般 13 5 2 2 2 2 3 2" xfId="15939"/>
    <cellStyle name="一般 13 5 2 2 2 2 4" xfId="15936"/>
    <cellStyle name="一般 13 5 2 2 2 2_包裝指示書(裏)" xfId="6890"/>
    <cellStyle name="一般 13 5 2 2 2 3" xfId="6891"/>
    <cellStyle name="一般 13 5 2 2 2 3 2" xfId="6892"/>
    <cellStyle name="一般 13 5 2 2 2 3 2 2" xfId="15941"/>
    <cellStyle name="一般 13 5 2 2 2 3 3" xfId="15940"/>
    <cellStyle name="一般 13 5 2 2 2 4" xfId="6893"/>
    <cellStyle name="一般 13 5 2 2 2 4 2" xfId="15942"/>
    <cellStyle name="一般 13 5 2 2 2 5" xfId="15935"/>
    <cellStyle name="一般 13 5 2 2 2_包裝指示書(裏)" xfId="6894"/>
    <cellStyle name="一般 13 5 2 2 3" xfId="6895"/>
    <cellStyle name="一般 13 5 2 2 3 2" xfId="6896"/>
    <cellStyle name="一般 13 5 2 2 3 2 2" xfId="6897"/>
    <cellStyle name="一般 13 5 2 2 3 2 2 2" xfId="15945"/>
    <cellStyle name="一般 13 5 2 2 3 2 3" xfId="15944"/>
    <cellStyle name="一般 13 5 2 2 3 3" xfId="6898"/>
    <cellStyle name="一般 13 5 2 2 3 3 2" xfId="15946"/>
    <cellStyle name="一般 13 5 2 2 3 4" xfId="15943"/>
    <cellStyle name="一般 13 5 2 2 3_包裝指示書(裏)" xfId="6899"/>
    <cellStyle name="一般 13 5 2 2 4" xfId="6900"/>
    <cellStyle name="一般 13 5 2 2 4 2" xfId="6901"/>
    <cellStyle name="一般 13 5 2 2 4 2 2" xfId="15948"/>
    <cellStyle name="一般 13 5 2 2 4 3" xfId="15947"/>
    <cellStyle name="一般 13 5 2 2 5" xfId="6902"/>
    <cellStyle name="一般 13 5 2 2 5 2" xfId="6903"/>
    <cellStyle name="一般 13 5 2 2 5 2 2" xfId="15950"/>
    <cellStyle name="一般 13 5 2 2 5 3" xfId="15949"/>
    <cellStyle name="一般 13 5 2 2 6" xfId="6904"/>
    <cellStyle name="一般 13 5 2 2 6 2" xfId="6905"/>
    <cellStyle name="一般 13 5 2 2 6 2 2" xfId="15952"/>
    <cellStyle name="一般 13 5 2 2 6 3" xfId="15951"/>
    <cellStyle name="一般 13 5 2 2 7" xfId="6906"/>
    <cellStyle name="一般 13 5 2 2 7 2" xfId="6907"/>
    <cellStyle name="一般 13 5 2 2 7 2 2" xfId="15954"/>
    <cellStyle name="一般 13 5 2 2 7 3" xfId="15953"/>
    <cellStyle name="一般 13 5 2 2 8" xfId="6908"/>
    <cellStyle name="一般 13 5 2 2 8 2" xfId="15955"/>
    <cellStyle name="一般 13 5 2 2 9" xfId="15934"/>
    <cellStyle name="一般 13 5 2 2_包裝指示書(裏)" xfId="6909"/>
    <cellStyle name="一般 13 5 2 3" xfId="6910"/>
    <cellStyle name="一般 13 5 2 3 2" xfId="6911"/>
    <cellStyle name="一般 13 5 2 3 2 2" xfId="6912"/>
    <cellStyle name="一般 13 5 2 3 2 2 2" xfId="6913"/>
    <cellStyle name="一般 13 5 2 3 2 2 2 2" xfId="15959"/>
    <cellStyle name="一般 13 5 2 3 2 2 3" xfId="15958"/>
    <cellStyle name="一般 13 5 2 3 2 3" xfId="6914"/>
    <cellStyle name="一般 13 5 2 3 2 3 2" xfId="6915"/>
    <cellStyle name="一般 13 5 2 3 2 3 2 2" xfId="15961"/>
    <cellStyle name="一般 13 5 2 3 2 3 3" xfId="15960"/>
    <cellStyle name="一般 13 5 2 3 2 4" xfId="6916"/>
    <cellStyle name="一般 13 5 2 3 2 4 2" xfId="15962"/>
    <cellStyle name="一般 13 5 2 3 2 5" xfId="15957"/>
    <cellStyle name="一般 13 5 2 3 2_包裝指示書(裏)" xfId="6917"/>
    <cellStyle name="一般 13 5 2 3 3" xfId="6918"/>
    <cellStyle name="一般 13 5 2 3 3 2" xfId="6919"/>
    <cellStyle name="一般 13 5 2 3 3 2 2" xfId="6920"/>
    <cellStyle name="一般 13 5 2 3 3 2 2 2" xfId="15965"/>
    <cellStyle name="一般 13 5 2 3 3 2 3" xfId="15964"/>
    <cellStyle name="一般 13 5 2 3 3 3" xfId="6921"/>
    <cellStyle name="一般 13 5 2 3 3 3 2" xfId="15966"/>
    <cellStyle name="一般 13 5 2 3 3 4" xfId="15963"/>
    <cellStyle name="一般 13 5 2 3 3_包裝指示書(裏)" xfId="6922"/>
    <cellStyle name="一般 13 5 2 3 4" xfId="6923"/>
    <cellStyle name="一般 13 5 2 3 4 2" xfId="6924"/>
    <cellStyle name="一般 13 5 2 3 4 2 2" xfId="15968"/>
    <cellStyle name="一般 13 5 2 3 4 3" xfId="15967"/>
    <cellStyle name="一般 13 5 2 3 5" xfId="6925"/>
    <cellStyle name="一般 13 5 2 3 5 2" xfId="15969"/>
    <cellStyle name="一般 13 5 2 3 6" xfId="15956"/>
    <cellStyle name="一般 13 5 2 3_包裝指示書(裏)" xfId="6926"/>
    <cellStyle name="一般 13 5 2 4" xfId="6927"/>
    <cellStyle name="一般 13 5 2 4 2" xfId="6928"/>
    <cellStyle name="一般 13 5 2 4 2 2" xfId="6929"/>
    <cellStyle name="一般 13 5 2 4 2 2 2" xfId="6930"/>
    <cellStyle name="一般 13 5 2 4 2 2 2 2" xfId="15973"/>
    <cellStyle name="一般 13 5 2 4 2 2 3" xfId="15972"/>
    <cellStyle name="一般 13 5 2 4 2 3" xfId="6931"/>
    <cellStyle name="一般 13 5 2 4 2 3 2" xfId="6932"/>
    <cellStyle name="一般 13 5 2 4 2 3 2 2" xfId="15975"/>
    <cellStyle name="一般 13 5 2 4 2 3 3" xfId="15974"/>
    <cellStyle name="一般 13 5 2 4 2 4" xfId="6933"/>
    <cellStyle name="一般 13 5 2 4 2 4 2" xfId="15976"/>
    <cellStyle name="一般 13 5 2 4 2 5" xfId="15971"/>
    <cellStyle name="一般 13 5 2 4 2_包裝指示書(裏)" xfId="6934"/>
    <cellStyle name="一般 13 5 2 4 3" xfId="6935"/>
    <cellStyle name="一般 13 5 2 4 3 2" xfId="6936"/>
    <cellStyle name="一般 13 5 2 4 3 2 2" xfId="15978"/>
    <cellStyle name="一般 13 5 2 4 3 3" xfId="15977"/>
    <cellStyle name="一般 13 5 2 4 4" xfId="6937"/>
    <cellStyle name="一般 13 5 2 4 4 2" xfId="6938"/>
    <cellStyle name="一般 13 5 2 4 4 2 2" xfId="15980"/>
    <cellStyle name="一般 13 5 2 4 4 3" xfId="15979"/>
    <cellStyle name="一般 13 5 2 4 5" xfId="6939"/>
    <cellStyle name="一般 13 5 2 4 5 2" xfId="15981"/>
    <cellStyle name="一般 13 5 2 4 6" xfId="15970"/>
    <cellStyle name="一般 13 5 2 4_包裝指示書(裏)" xfId="6940"/>
    <cellStyle name="一般 13 5 2 5" xfId="6941"/>
    <cellStyle name="一般 13 5 2 5 2" xfId="6942"/>
    <cellStyle name="一般 13 5 2 5 2 2" xfId="6943"/>
    <cellStyle name="一般 13 5 2 5 2 2 2" xfId="6944"/>
    <cellStyle name="一般 13 5 2 5 2 2 2 2" xfId="15985"/>
    <cellStyle name="一般 13 5 2 5 2 2 3" xfId="15984"/>
    <cellStyle name="一般 13 5 2 5 2 3" xfId="6945"/>
    <cellStyle name="一般 13 5 2 5 2 3 2" xfId="6946"/>
    <cellStyle name="一般 13 5 2 5 2 3 2 2" xfId="15987"/>
    <cellStyle name="一般 13 5 2 5 2 3 3" xfId="15986"/>
    <cellStyle name="一般 13 5 2 5 2 4" xfId="6947"/>
    <cellStyle name="一般 13 5 2 5 2 4 2" xfId="15988"/>
    <cellStyle name="一般 13 5 2 5 2 5" xfId="15983"/>
    <cellStyle name="一般 13 5 2 5 2_包裝指示書(裏)" xfId="6948"/>
    <cellStyle name="一般 13 5 2 5 3" xfId="6949"/>
    <cellStyle name="一般 13 5 2 5 3 2" xfId="6950"/>
    <cellStyle name="一般 13 5 2 5 3 2 2" xfId="15990"/>
    <cellStyle name="一般 13 5 2 5 3 3" xfId="15989"/>
    <cellStyle name="一般 13 5 2 5 4" xfId="6951"/>
    <cellStyle name="一般 13 5 2 5 4 2" xfId="6952"/>
    <cellStyle name="一般 13 5 2 5 4 2 2" xfId="15992"/>
    <cellStyle name="一般 13 5 2 5 4 3" xfId="15991"/>
    <cellStyle name="一般 13 5 2 5 5" xfId="6953"/>
    <cellStyle name="一般 13 5 2 5 5 2" xfId="15993"/>
    <cellStyle name="一般 13 5 2 5 6" xfId="15982"/>
    <cellStyle name="一般 13 5 2 5_包裝指示書(裏)" xfId="6954"/>
    <cellStyle name="一般 13 5 2 6" xfId="6955"/>
    <cellStyle name="一般 13 5 2 6 2" xfId="6956"/>
    <cellStyle name="一般 13 5 2 6 2 2" xfId="6957"/>
    <cellStyle name="一般 13 5 2 6 2 2 2" xfId="15996"/>
    <cellStyle name="一般 13 5 2 6 2 3" xfId="15995"/>
    <cellStyle name="一般 13 5 2 6 3" xfId="6958"/>
    <cellStyle name="一般 13 5 2 6 3 2" xfId="6959"/>
    <cellStyle name="一般 13 5 2 6 3 2 2" xfId="15998"/>
    <cellStyle name="一般 13 5 2 6 3 3" xfId="15997"/>
    <cellStyle name="一般 13 5 2 6 4" xfId="6960"/>
    <cellStyle name="一般 13 5 2 6 4 2" xfId="15999"/>
    <cellStyle name="一般 13 5 2 6 5" xfId="15994"/>
    <cellStyle name="一般 13 5 2 6_包裝指示書(裏)" xfId="6961"/>
    <cellStyle name="一般 13 5 2 7" xfId="6962"/>
    <cellStyle name="一般 13 5 2 7 2" xfId="6963"/>
    <cellStyle name="一般 13 5 2 7 2 2" xfId="6964"/>
    <cellStyle name="一般 13 5 2 7 2 2 2" xfId="16002"/>
    <cellStyle name="一般 13 5 2 7 2 3" xfId="16001"/>
    <cellStyle name="一般 13 5 2 7 3" xfId="6965"/>
    <cellStyle name="一般 13 5 2 7 3 2" xfId="16003"/>
    <cellStyle name="一般 13 5 2 7 4" xfId="16000"/>
    <cellStyle name="一般 13 5 2 7_包裝指示書(裏)" xfId="6966"/>
    <cellStyle name="一般 13 5 2 8" xfId="6967"/>
    <cellStyle name="一般 13 5 2 8 2" xfId="6968"/>
    <cellStyle name="一般 13 5 2 8 2 2" xfId="16005"/>
    <cellStyle name="一般 13 5 2 8 3" xfId="16004"/>
    <cellStyle name="一般 13 5 2 9" xfId="6969"/>
    <cellStyle name="一般 13 5 2 9 2" xfId="6970"/>
    <cellStyle name="一般 13 5 2 9 2 2" xfId="16007"/>
    <cellStyle name="一般 13 5 2 9 3" xfId="16006"/>
    <cellStyle name="一般 13 5 2_包裝指示書(裏)" xfId="6971"/>
    <cellStyle name="一般 13 5 3" xfId="6972"/>
    <cellStyle name="一般 13 5 3 10" xfId="16008"/>
    <cellStyle name="一般 13 5 3 2" xfId="6973"/>
    <cellStyle name="一般 13 5 3 2 10" xfId="16009"/>
    <cellStyle name="一般 13 5 3 2 2" xfId="6974"/>
    <cellStyle name="一般 13 5 3 2 2 2" xfId="6975"/>
    <cellStyle name="一般 13 5 3 2 2 2 2" xfId="6976"/>
    <cellStyle name="一般 13 5 3 2 2 2 2 2" xfId="16012"/>
    <cellStyle name="一般 13 5 3 2 2 2 3" xfId="16011"/>
    <cellStyle name="一般 13 5 3 2 2 3" xfId="6977"/>
    <cellStyle name="一般 13 5 3 2 2 3 2" xfId="16013"/>
    <cellStyle name="一般 13 5 3 2 2 4" xfId="16010"/>
    <cellStyle name="一般 13 5 3 2 2_包裝指示書(裏)" xfId="6978"/>
    <cellStyle name="一般 13 5 3 2 3" xfId="6979"/>
    <cellStyle name="一般 13 5 3 2 3 2" xfId="6980"/>
    <cellStyle name="一般 13 5 3 2 3 2 2" xfId="16015"/>
    <cellStyle name="一般 13 5 3 2 3 3" xfId="16014"/>
    <cellStyle name="一般 13 5 3 2 4" xfId="6981"/>
    <cellStyle name="一般 13 5 3 2 4 2" xfId="6982"/>
    <cellStyle name="一般 13 5 3 2 4 2 2" xfId="16017"/>
    <cellStyle name="一般 13 5 3 2 4 3" xfId="16016"/>
    <cellStyle name="一般 13 5 3 2 5" xfId="6983"/>
    <cellStyle name="一般 13 5 3 2 5 2" xfId="6984"/>
    <cellStyle name="一般 13 5 3 2 5 2 2" xfId="16019"/>
    <cellStyle name="一般 13 5 3 2 5 3" xfId="16018"/>
    <cellStyle name="一般 13 5 3 2 6" xfId="6985"/>
    <cellStyle name="一般 13 5 3 2 6 2" xfId="6986"/>
    <cellStyle name="一般 13 5 3 2 6 2 2" xfId="16021"/>
    <cellStyle name="一般 13 5 3 2 6 3" xfId="16020"/>
    <cellStyle name="一般 13 5 3 2 7" xfId="6987"/>
    <cellStyle name="一般 13 5 3 2 7 2" xfId="6988"/>
    <cellStyle name="一般 13 5 3 2 7 2 2" xfId="16023"/>
    <cellStyle name="一般 13 5 3 2 7 3" xfId="16022"/>
    <cellStyle name="一般 13 5 3 2 8" xfId="6989"/>
    <cellStyle name="一般 13 5 3 2 8 2" xfId="16024"/>
    <cellStyle name="一般 13 5 3 2 9" xfId="6990"/>
    <cellStyle name="一般 13 5 3 2 9 2" xfId="16025"/>
    <cellStyle name="一般 13 5 3 2_包裝指示書(裏)" xfId="6991"/>
    <cellStyle name="一般 13 5 3 3" xfId="6992"/>
    <cellStyle name="一般 13 5 3 3 2" xfId="6993"/>
    <cellStyle name="一般 13 5 3 3 2 2" xfId="6994"/>
    <cellStyle name="一般 13 5 3 3 2 2 2" xfId="16028"/>
    <cellStyle name="一般 13 5 3 3 2 3" xfId="16027"/>
    <cellStyle name="一般 13 5 3 3 3" xfId="6995"/>
    <cellStyle name="一般 13 5 3 3 3 2" xfId="16029"/>
    <cellStyle name="一般 13 5 3 3 4" xfId="6996"/>
    <cellStyle name="一般 13 5 3 3 4 2" xfId="16030"/>
    <cellStyle name="一般 13 5 3 3 5" xfId="6997"/>
    <cellStyle name="一般 13 5 3 3 5 2" xfId="16031"/>
    <cellStyle name="一般 13 5 3 3 6" xfId="16026"/>
    <cellStyle name="一般 13 5 3 3_包裝指示書(裏)" xfId="6998"/>
    <cellStyle name="一般 13 5 3 4" xfId="6999"/>
    <cellStyle name="一般 13 5 3 4 2" xfId="7000"/>
    <cellStyle name="一般 13 5 3 4 2 2" xfId="16033"/>
    <cellStyle name="一般 13 5 3 4 3" xfId="16032"/>
    <cellStyle name="一般 13 5 3 5" xfId="7001"/>
    <cellStyle name="一般 13 5 3 5 2" xfId="7002"/>
    <cellStyle name="一般 13 5 3 5 2 2" xfId="16035"/>
    <cellStyle name="一般 13 5 3 5 3" xfId="16034"/>
    <cellStyle name="一般 13 5 3 6" xfId="7003"/>
    <cellStyle name="一般 13 5 3 6 2" xfId="7004"/>
    <cellStyle name="一般 13 5 3 6 2 2" xfId="16037"/>
    <cellStyle name="一般 13 5 3 6 3" xfId="16036"/>
    <cellStyle name="一般 13 5 3 7" xfId="7005"/>
    <cellStyle name="一般 13 5 3 7 2" xfId="7006"/>
    <cellStyle name="一般 13 5 3 7 2 2" xfId="16039"/>
    <cellStyle name="一般 13 5 3 7 3" xfId="16038"/>
    <cellStyle name="一般 13 5 3 8" xfId="7007"/>
    <cellStyle name="一般 13 5 3 8 2" xfId="7008"/>
    <cellStyle name="一般 13 5 3 8 2 2" xfId="16041"/>
    <cellStyle name="一般 13 5 3 8 3" xfId="16040"/>
    <cellStyle name="一般 13 5 3 9" xfId="7009"/>
    <cellStyle name="一般 13 5 3 9 2" xfId="16042"/>
    <cellStyle name="一般 13 5 3_包裝指示書(裏)" xfId="7010"/>
    <cellStyle name="一般 13 5 4" xfId="7011"/>
    <cellStyle name="一般 13 5 4 10" xfId="16043"/>
    <cellStyle name="一般 13 5 4 2" xfId="7012"/>
    <cellStyle name="一般 13 5 4 2 2" xfId="7013"/>
    <cellStyle name="一般 13 5 4 2 2 2" xfId="7014"/>
    <cellStyle name="一般 13 5 4 2 2 2 2" xfId="7015"/>
    <cellStyle name="一般 13 5 4 2 2 2 2 2" xfId="16047"/>
    <cellStyle name="一般 13 5 4 2 2 2 3" xfId="16046"/>
    <cellStyle name="一般 13 5 4 2 2 3" xfId="7016"/>
    <cellStyle name="一般 13 5 4 2 2 3 2" xfId="16048"/>
    <cellStyle name="一般 13 5 4 2 2 4" xfId="16045"/>
    <cellStyle name="一般 13 5 4 2 2_包裝指示書(裏)" xfId="7017"/>
    <cellStyle name="一般 13 5 4 2 3" xfId="7018"/>
    <cellStyle name="一般 13 5 4 2 3 2" xfId="7019"/>
    <cellStyle name="一般 13 5 4 2 3 2 2" xfId="16050"/>
    <cellStyle name="一般 13 5 4 2 3 3" xfId="16049"/>
    <cellStyle name="一般 13 5 4 2 4" xfId="7020"/>
    <cellStyle name="一般 13 5 4 2 4 2" xfId="7021"/>
    <cellStyle name="一般 13 5 4 2 4 2 2" xfId="16052"/>
    <cellStyle name="一般 13 5 4 2 4 3" xfId="16051"/>
    <cellStyle name="一般 13 5 4 2 5" xfId="7022"/>
    <cellStyle name="一般 13 5 4 2 5 2" xfId="7023"/>
    <cellStyle name="一般 13 5 4 2 5 2 2" xfId="16054"/>
    <cellStyle name="一般 13 5 4 2 5 3" xfId="16053"/>
    <cellStyle name="一般 13 5 4 2 6" xfId="7024"/>
    <cellStyle name="一般 13 5 4 2 6 2" xfId="7025"/>
    <cellStyle name="一般 13 5 4 2 6 2 2" xfId="16056"/>
    <cellStyle name="一般 13 5 4 2 6 3" xfId="16055"/>
    <cellStyle name="一般 13 5 4 2 7" xfId="7026"/>
    <cellStyle name="一般 13 5 4 2 7 2" xfId="7027"/>
    <cellStyle name="一般 13 5 4 2 7 2 2" xfId="16058"/>
    <cellStyle name="一般 13 5 4 2 7 3" xfId="16057"/>
    <cellStyle name="一般 13 5 4 2 8" xfId="7028"/>
    <cellStyle name="一般 13 5 4 2 8 2" xfId="16059"/>
    <cellStyle name="一般 13 5 4 2 9" xfId="16044"/>
    <cellStyle name="一般 13 5 4 2_包裝指示書(裏)" xfId="7029"/>
    <cellStyle name="一般 13 5 4 3" xfId="7030"/>
    <cellStyle name="一般 13 5 4 3 2" xfId="7031"/>
    <cellStyle name="一般 13 5 4 3 2 2" xfId="7032"/>
    <cellStyle name="一般 13 5 4 3 2 2 2" xfId="16062"/>
    <cellStyle name="一般 13 5 4 3 2 3" xfId="16061"/>
    <cellStyle name="一般 13 5 4 3 3" xfId="7033"/>
    <cellStyle name="一般 13 5 4 3 3 2" xfId="16063"/>
    <cellStyle name="一般 13 5 4 3 4" xfId="7034"/>
    <cellStyle name="一般 13 5 4 3 4 2" xfId="16064"/>
    <cellStyle name="一般 13 5 4 3 5" xfId="7035"/>
    <cellStyle name="一般 13 5 4 3 5 2" xfId="16065"/>
    <cellStyle name="一般 13 5 4 3 6" xfId="16060"/>
    <cellStyle name="一般 13 5 4 3_包裝指示書(裏)" xfId="7036"/>
    <cellStyle name="一般 13 5 4 4" xfId="7037"/>
    <cellStyle name="一般 13 5 4 4 2" xfId="7038"/>
    <cellStyle name="一般 13 5 4 4 2 2" xfId="16067"/>
    <cellStyle name="一般 13 5 4 4 3" xfId="16066"/>
    <cellStyle name="一般 13 5 4 5" xfId="7039"/>
    <cellStyle name="一般 13 5 4 5 2" xfId="7040"/>
    <cellStyle name="一般 13 5 4 5 2 2" xfId="16069"/>
    <cellStyle name="一般 13 5 4 5 3" xfId="16068"/>
    <cellStyle name="一般 13 5 4 6" xfId="7041"/>
    <cellStyle name="一般 13 5 4 6 2" xfId="7042"/>
    <cellStyle name="一般 13 5 4 6 2 2" xfId="16071"/>
    <cellStyle name="一般 13 5 4 6 3" xfId="16070"/>
    <cellStyle name="一般 13 5 4 7" xfId="7043"/>
    <cellStyle name="一般 13 5 4 7 2" xfId="7044"/>
    <cellStyle name="一般 13 5 4 7 2 2" xfId="16073"/>
    <cellStyle name="一般 13 5 4 7 3" xfId="16072"/>
    <cellStyle name="一般 13 5 4 8" xfId="7045"/>
    <cellStyle name="一般 13 5 4 8 2" xfId="7046"/>
    <cellStyle name="一般 13 5 4 8 2 2" xfId="16075"/>
    <cellStyle name="一般 13 5 4 8 3" xfId="16074"/>
    <cellStyle name="一般 13 5 4 9" xfId="7047"/>
    <cellStyle name="一般 13 5 4 9 2" xfId="16076"/>
    <cellStyle name="一般 13 5 4_包裝指示書(裏)" xfId="7048"/>
    <cellStyle name="一般 13 5 5" xfId="7049"/>
    <cellStyle name="一般 13 5 5 2" xfId="7050"/>
    <cellStyle name="一般 13 5 5 2 2" xfId="7051"/>
    <cellStyle name="一般 13 5 5 2 2 2" xfId="7052"/>
    <cellStyle name="一般 13 5 5 2 2 2 2" xfId="7053"/>
    <cellStyle name="一般 13 5 5 2 2 2 2 2" xfId="16081"/>
    <cellStyle name="一般 13 5 5 2 2 2 3" xfId="16080"/>
    <cellStyle name="一般 13 5 5 2 2 3" xfId="7054"/>
    <cellStyle name="一般 13 5 5 2 2 3 2" xfId="16082"/>
    <cellStyle name="一般 13 5 5 2 2 4" xfId="16079"/>
    <cellStyle name="一般 13 5 5 2 2_包裝指示書(裏)" xfId="7055"/>
    <cellStyle name="一般 13 5 5 2 3" xfId="7056"/>
    <cellStyle name="一般 13 5 5 2 3 2" xfId="7057"/>
    <cellStyle name="一般 13 5 5 2 3 2 2" xfId="16084"/>
    <cellStyle name="一般 13 5 5 2 3 3" xfId="16083"/>
    <cellStyle name="一般 13 5 5 2 4" xfId="7058"/>
    <cellStyle name="一般 13 5 5 2 4 2" xfId="16085"/>
    <cellStyle name="一般 13 5 5 2 5" xfId="7059"/>
    <cellStyle name="一般 13 5 5 2 5 2" xfId="16086"/>
    <cellStyle name="一般 13 5 5 2 6" xfId="16078"/>
    <cellStyle name="一般 13 5 5 2_包裝指示書(裏)" xfId="7060"/>
    <cellStyle name="一般 13 5 5 3" xfId="7061"/>
    <cellStyle name="一般 13 5 5 3 2" xfId="7062"/>
    <cellStyle name="一般 13 5 5 3 2 2" xfId="7063"/>
    <cellStyle name="一般 13 5 5 3 2 2 2" xfId="16089"/>
    <cellStyle name="一般 13 5 5 3 2 3" xfId="16088"/>
    <cellStyle name="一般 13 5 5 3 3" xfId="7064"/>
    <cellStyle name="一般 13 5 5 3 3 2" xfId="16090"/>
    <cellStyle name="一般 13 5 5 3 4" xfId="7065"/>
    <cellStyle name="一般 13 5 5 3 4 2" xfId="16091"/>
    <cellStyle name="一般 13 5 5 3 5" xfId="7066"/>
    <cellStyle name="一般 13 5 5 3 5 2" xfId="16092"/>
    <cellStyle name="一般 13 5 5 3 6" xfId="16087"/>
    <cellStyle name="一般 13 5 5 3_包裝指示書(裏)" xfId="7067"/>
    <cellStyle name="一般 13 5 5 4" xfId="7068"/>
    <cellStyle name="一般 13 5 5 4 2" xfId="7069"/>
    <cellStyle name="一般 13 5 5 4 2 2" xfId="16094"/>
    <cellStyle name="一般 13 5 5 4 3" xfId="16093"/>
    <cellStyle name="一般 13 5 5 5" xfId="7070"/>
    <cellStyle name="一般 13 5 5 5 2" xfId="7071"/>
    <cellStyle name="一般 13 5 5 5 2 2" xfId="16096"/>
    <cellStyle name="一般 13 5 5 5 3" xfId="16095"/>
    <cellStyle name="一般 13 5 5 6" xfId="7072"/>
    <cellStyle name="一般 13 5 5 6 2" xfId="7073"/>
    <cellStyle name="一般 13 5 5 6 2 2" xfId="16098"/>
    <cellStyle name="一般 13 5 5 6 3" xfId="16097"/>
    <cellStyle name="一般 13 5 5 7" xfId="7074"/>
    <cellStyle name="一般 13 5 5 7 2" xfId="7075"/>
    <cellStyle name="一般 13 5 5 7 2 2" xfId="16100"/>
    <cellStyle name="一般 13 5 5 7 3" xfId="16099"/>
    <cellStyle name="一般 13 5 5 8" xfId="7076"/>
    <cellStyle name="一般 13 5 5 8 2" xfId="16101"/>
    <cellStyle name="一般 13 5 5 9" xfId="16077"/>
    <cellStyle name="一般 13 5 5_包裝指示書(裏)" xfId="7077"/>
    <cellStyle name="一般 13 5 6" xfId="7078"/>
    <cellStyle name="一般 13 5 6 2" xfId="7079"/>
    <cellStyle name="一般 13 5 6 2 2" xfId="7080"/>
    <cellStyle name="一般 13 5 6 2 2 2" xfId="7081"/>
    <cellStyle name="一般 13 5 6 2 2 2 2" xfId="7082"/>
    <cellStyle name="一般 13 5 6 2 2 2 2 2" xfId="16106"/>
    <cellStyle name="一般 13 5 6 2 2 2 3" xfId="16105"/>
    <cellStyle name="一般 13 5 6 2 2 3" xfId="7083"/>
    <cellStyle name="一般 13 5 6 2 2 3 2" xfId="16107"/>
    <cellStyle name="一般 13 5 6 2 2 4" xfId="16104"/>
    <cellStyle name="一般 13 5 6 2 2_包裝指示書(裏)" xfId="7084"/>
    <cellStyle name="一般 13 5 6 2 3" xfId="7085"/>
    <cellStyle name="一般 13 5 6 2 3 2" xfId="7086"/>
    <cellStyle name="一般 13 5 6 2 3 2 2" xfId="16109"/>
    <cellStyle name="一般 13 5 6 2 3 3" xfId="16108"/>
    <cellStyle name="一般 13 5 6 2 4" xfId="7087"/>
    <cellStyle name="一般 13 5 6 2 4 2" xfId="16110"/>
    <cellStyle name="一般 13 5 6 2 5" xfId="7088"/>
    <cellStyle name="一般 13 5 6 2 5 2" xfId="16111"/>
    <cellStyle name="一般 13 5 6 2 6" xfId="16103"/>
    <cellStyle name="一般 13 5 6 2_包裝指示書(裏)" xfId="7089"/>
    <cellStyle name="一般 13 5 6 3" xfId="7090"/>
    <cellStyle name="一般 13 5 6 3 2" xfId="7091"/>
    <cellStyle name="一般 13 5 6 3 2 2" xfId="7092"/>
    <cellStyle name="一般 13 5 6 3 2 2 2" xfId="16114"/>
    <cellStyle name="一般 13 5 6 3 2 3" xfId="16113"/>
    <cellStyle name="一般 13 5 6 3 3" xfId="7093"/>
    <cellStyle name="一般 13 5 6 3 3 2" xfId="16115"/>
    <cellStyle name="一般 13 5 6 3 4" xfId="7094"/>
    <cellStyle name="一般 13 5 6 3 4 2" xfId="16116"/>
    <cellStyle name="一般 13 5 6 3 5" xfId="7095"/>
    <cellStyle name="一般 13 5 6 3 5 2" xfId="16117"/>
    <cellStyle name="一般 13 5 6 3 6" xfId="16112"/>
    <cellStyle name="一般 13 5 6 3_包裝指示書(裏)" xfId="7096"/>
    <cellStyle name="一般 13 5 6 4" xfId="7097"/>
    <cellStyle name="一般 13 5 6 4 2" xfId="7098"/>
    <cellStyle name="一般 13 5 6 4 2 2" xfId="16119"/>
    <cellStyle name="一般 13 5 6 4 3" xfId="16118"/>
    <cellStyle name="一般 13 5 6 5" xfId="7099"/>
    <cellStyle name="一般 13 5 6 5 2" xfId="7100"/>
    <cellStyle name="一般 13 5 6 5 2 2" xfId="16121"/>
    <cellStyle name="一般 13 5 6 5 3" xfId="16120"/>
    <cellStyle name="一般 13 5 6 6" xfId="7101"/>
    <cellStyle name="一般 13 5 6 6 2" xfId="7102"/>
    <cellStyle name="一般 13 5 6 6 2 2" xfId="16123"/>
    <cellStyle name="一般 13 5 6 6 3" xfId="16122"/>
    <cellStyle name="一般 13 5 6 7" xfId="7103"/>
    <cellStyle name="一般 13 5 6 7 2" xfId="7104"/>
    <cellStyle name="一般 13 5 6 7 2 2" xfId="16125"/>
    <cellStyle name="一般 13 5 6 7 3" xfId="16124"/>
    <cellStyle name="一般 13 5 6 8" xfId="7105"/>
    <cellStyle name="一般 13 5 6 8 2" xfId="16126"/>
    <cellStyle name="一般 13 5 6 9" xfId="16102"/>
    <cellStyle name="一般 13 5 6_包裝指示書(裏)" xfId="7106"/>
    <cellStyle name="一般 13 5 7" xfId="7107"/>
    <cellStyle name="一般 13 5 7 2" xfId="7108"/>
    <cellStyle name="一般 13 5 7 2 2" xfId="7109"/>
    <cellStyle name="一般 13 5 7 2 2 2" xfId="7110"/>
    <cellStyle name="一般 13 5 7 2 2 2 2" xfId="7111"/>
    <cellStyle name="一般 13 5 7 2 2 2 2 2" xfId="16131"/>
    <cellStyle name="一般 13 5 7 2 2 2 3" xfId="16130"/>
    <cellStyle name="一般 13 5 7 2 2 3" xfId="7112"/>
    <cellStyle name="一般 13 5 7 2 2 3 2" xfId="16132"/>
    <cellStyle name="一般 13 5 7 2 2 4" xfId="16129"/>
    <cellStyle name="一般 13 5 7 2 2_包裝指示書(裏)" xfId="7113"/>
    <cellStyle name="一般 13 5 7 2 3" xfId="7114"/>
    <cellStyle name="一般 13 5 7 2 3 2" xfId="7115"/>
    <cellStyle name="一般 13 5 7 2 3 2 2" xfId="16134"/>
    <cellStyle name="一般 13 5 7 2 3 3" xfId="16133"/>
    <cellStyle name="一般 13 5 7 2 4" xfId="7116"/>
    <cellStyle name="一般 13 5 7 2 4 2" xfId="16135"/>
    <cellStyle name="一般 13 5 7 2 5" xfId="16128"/>
    <cellStyle name="一般 13 5 7 2_包裝指示書(裏)" xfId="7117"/>
    <cellStyle name="一般 13 5 7 3" xfId="7118"/>
    <cellStyle name="一般 13 5 7 3 2" xfId="7119"/>
    <cellStyle name="一般 13 5 7 3 2 2" xfId="7120"/>
    <cellStyle name="一般 13 5 7 3 2 2 2" xfId="16138"/>
    <cellStyle name="一般 13 5 7 3 2 3" xfId="16137"/>
    <cellStyle name="一般 13 5 7 3 3" xfId="7121"/>
    <cellStyle name="一般 13 5 7 3 3 2" xfId="16139"/>
    <cellStyle name="一般 13 5 7 3 4" xfId="16136"/>
    <cellStyle name="一般 13 5 7 3_包裝指示書(裏)" xfId="7122"/>
    <cellStyle name="一般 13 5 7 4" xfId="7123"/>
    <cellStyle name="一般 13 5 7 4 2" xfId="7124"/>
    <cellStyle name="一般 13 5 7 4 2 2" xfId="16141"/>
    <cellStyle name="一般 13 5 7 4 3" xfId="16140"/>
    <cellStyle name="一般 13 5 7 5" xfId="7125"/>
    <cellStyle name="一般 13 5 7 5 2" xfId="7126"/>
    <cellStyle name="一般 13 5 7 5 2 2" xfId="16143"/>
    <cellStyle name="一般 13 5 7 5 3" xfId="16142"/>
    <cellStyle name="一般 13 5 7 6" xfId="7127"/>
    <cellStyle name="一般 13 5 7 6 2" xfId="7128"/>
    <cellStyle name="一般 13 5 7 6 2 2" xfId="16145"/>
    <cellStyle name="一般 13 5 7 6 3" xfId="16144"/>
    <cellStyle name="一般 13 5 7 7" xfId="7129"/>
    <cellStyle name="一般 13 5 7 7 2" xfId="7130"/>
    <cellStyle name="一般 13 5 7 7 2 2" xfId="16147"/>
    <cellStyle name="一般 13 5 7 7 3" xfId="16146"/>
    <cellStyle name="一般 13 5 7 8" xfId="7131"/>
    <cellStyle name="一般 13 5 7 8 2" xfId="16148"/>
    <cellStyle name="一般 13 5 7 9" xfId="16127"/>
    <cellStyle name="一般 13 5 7_包裝指示書(裏)" xfId="7132"/>
    <cellStyle name="一般 13 5 8" xfId="7133"/>
    <cellStyle name="一般 13 5 8 2" xfId="7134"/>
    <cellStyle name="一般 13 5 8 2 2" xfId="7135"/>
    <cellStyle name="一般 13 5 8 2 2 2" xfId="7136"/>
    <cellStyle name="一般 13 5 8 2 2 2 2" xfId="16152"/>
    <cellStyle name="一般 13 5 8 2 2 3" xfId="16151"/>
    <cellStyle name="一般 13 5 8 2 3" xfId="7137"/>
    <cellStyle name="一般 13 5 8 2 3 2" xfId="7138"/>
    <cellStyle name="一般 13 5 8 2 3 2 2" xfId="16154"/>
    <cellStyle name="一般 13 5 8 2 3 3" xfId="16153"/>
    <cellStyle name="一般 13 5 8 2 4" xfId="7139"/>
    <cellStyle name="一般 13 5 8 2 4 2" xfId="16155"/>
    <cellStyle name="一般 13 5 8 2 5" xfId="16150"/>
    <cellStyle name="一般 13 5 8 2_包裝指示書(裏)" xfId="7140"/>
    <cellStyle name="一般 13 5 8 3" xfId="7141"/>
    <cellStyle name="一般 13 5 8 3 2" xfId="7142"/>
    <cellStyle name="一般 13 5 8 3 2 2" xfId="7143"/>
    <cellStyle name="一般 13 5 8 3 2 2 2" xfId="16158"/>
    <cellStyle name="一般 13 5 8 3 2 3" xfId="16157"/>
    <cellStyle name="一般 13 5 8 3 3" xfId="7144"/>
    <cellStyle name="一般 13 5 8 3 3 2" xfId="16159"/>
    <cellStyle name="一般 13 5 8 3 4" xfId="16156"/>
    <cellStyle name="一般 13 5 8 3_包裝指示書(裏)" xfId="7145"/>
    <cellStyle name="一般 13 5 8 4" xfId="7146"/>
    <cellStyle name="一般 13 5 8 4 2" xfId="7147"/>
    <cellStyle name="一般 13 5 8 4 2 2" xfId="16161"/>
    <cellStyle name="一般 13 5 8 4 3" xfId="16160"/>
    <cellStyle name="一般 13 5 8 5" xfId="7148"/>
    <cellStyle name="一般 13 5 8 5 2" xfId="16162"/>
    <cellStyle name="一般 13 5 8 6" xfId="16149"/>
    <cellStyle name="一般 13 5 8_包裝指示書(裏)" xfId="7149"/>
    <cellStyle name="一般 13 5 9" xfId="7150"/>
    <cellStyle name="一般 13 5 9 2" xfId="7151"/>
    <cellStyle name="一般 13 5 9 2 2" xfId="7152"/>
    <cellStyle name="一般 13 5 9 2 2 2" xfId="7153"/>
    <cellStyle name="一般 13 5 9 2 2 2 2" xfId="16166"/>
    <cellStyle name="一般 13 5 9 2 2 3" xfId="16165"/>
    <cellStyle name="一般 13 5 9 2 3" xfId="7154"/>
    <cellStyle name="一般 13 5 9 2 3 2" xfId="7155"/>
    <cellStyle name="一般 13 5 9 2 3 2 2" xfId="16168"/>
    <cellStyle name="一般 13 5 9 2 3 3" xfId="16167"/>
    <cellStyle name="一般 13 5 9 2 4" xfId="7156"/>
    <cellStyle name="一般 13 5 9 2 4 2" xfId="16169"/>
    <cellStyle name="一般 13 5 9 2 5" xfId="16164"/>
    <cellStyle name="一般 13 5 9 2_包裝指示書(裏)" xfId="7157"/>
    <cellStyle name="一般 13 5 9 3" xfId="7158"/>
    <cellStyle name="一般 13 5 9 3 2" xfId="7159"/>
    <cellStyle name="一般 13 5 9 3 2 2" xfId="16171"/>
    <cellStyle name="一般 13 5 9 3 3" xfId="16170"/>
    <cellStyle name="一般 13 5 9 4" xfId="7160"/>
    <cellStyle name="一般 13 5 9 4 2" xfId="7161"/>
    <cellStyle name="一般 13 5 9 4 2 2" xfId="16173"/>
    <cellStyle name="一般 13 5 9 4 3" xfId="16172"/>
    <cellStyle name="一般 13 5 9 5" xfId="7162"/>
    <cellStyle name="一般 13 5 9 5 2" xfId="16174"/>
    <cellStyle name="一般 13 5 9 6" xfId="16163"/>
    <cellStyle name="一般 13 5 9_包裝指示書(裏)" xfId="7163"/>
    <cellStyle name="一般 13 5_包裝指示書(裏)" xfId="7164"/>
    <cellStyle name="一般 13 6" xfId="7165"/>
    <cellStyle name="一般 13 6 10" xfId="7166"/>
    <cellStyle name="一般 13 6 10 2" xfId="7167"/>
    <cellStyle name="一般 13 6 10 2 2" xfId="16177"/>
    <cellStyle name="一般 13 6 10 3" xfId="16176"/>
    <cellStyle name="一般 13 6 11" xfId="7168"/>
    <cellStyle name="一般 13 6 11 2" xfId="16178"/>
    <cellStyle name="一般 13 6 12" xfId="16175"/>
    <cellStyle name="一般 13 6 2" xfId="7169"/>
    <cellStyle name="一般 13 6 2 2" xfId="7170"/>
    <cellStyle name="一般 13 6 2 2 2" xfId="7171"/>
    <cellStyle name="一般 13 6 2 2 2 2" xfId="7172"/>
    <cellStyle name="一般 13 6 2 2 2 2 2" xfId="16182"/>
    <cellStyle name="一般 13 6 2 2 2 3" xfId="16181"/>
    <cellStyle name="一般 13 6 2 2 3" xfId="7173"/>
    <cellStyle name="一般 13 6 2 2 3 2" xfId="16183"/>
    <cellStyle name="一般 13 6 2 2 4" xfId="16180"/>
    <cellStyle name="一般 13 6 2 2_包裝指示書(裏)" xfId="7174"/>
    <cellStyle name="一般 13 6 2 3" xfId="7175"/>
    <cellStyle name="一般 13 6 2 3 2" xfId="7176"/>
    <cellStyle name="一般 13 6 2 3 2 2" xfId="7177"/>
    <cellStyle name="一般 13 6 2 3 2 2 2" xfId="16186"/>
    <cellStyle name="一般 13 6 2 3 2 3" xfId="16185"/>
    <cellStyle name="一般 13 6 2 3 3" xfId="7178"/>
    <cellStyle name="一般 13 6 2 3 3 2" xfId="16187"/>
    <cellStyle name="一般 13 6 2 3 4" xfId="16184"/>
    <cellStyle name="一般 13 6 2 3_包裝指示書(裏)" xfId="7179"/>
    <cellStyle name="一般 13 6 2 4" xfId="7180"/>
    <cellStyle name="一般 13 6 2 4 2" xfId="7181"/>
    <cellStyle name="一般 13 6 2 4 2 2" xfId="16189"/>
    <cellStyle name="一般 13 6 2 4 3" xfId="16188"/>
    <cellStyle name="一般 13 6 2 5" xfId="7182"/>
    <cellStyle name="一般 13 6 2 5 2" xfId="7183"/>
    <cellStyle name="一般 13 6 2 5 2 2" xfId="16191"/>
    <cellStyle name="一般 13 6 2 5 3" xfId="16190"/>
    <cellStyle name="一般 13 6 2 6" xfId="7184"/>
    <cellStyle name="一般 13 6 2 6 2" xfId="7185"/>
    <cellStyle name="一般 13 6 2 6 2 2" xfId="16193"/>
    <cellStyle name="一般 13 6 2 6 3" xfId="16192"/>
    <cellStyle name="一般 13 6 2 7" xfId="7186"/>
    <cellStyle name="一般 13 6 2 7 2" xfId="7187"/>
    <cellStyle name="一般 13 6 2 7 2 2" xfId="16195"/>
    <cellStyle name="一般 13 6 2 7 3" xfId="16194"/>
    <cellStyle name="一般 13 6 2 8" xfId="7188"/>
    <cellStyle name="一般 13 6 2 8 2" xfId="16196"/>
    <cellStyle name="一般 13 6 2 9" xfId="16179"/>
    <cellStyle name="一般 13 6 2_包裝指示書(裏)" xfId="7189"/>
    <cellStyle name="一般 13 6 3" xfId="7190"/>
    <cellStyle name="一般 13 6 3 2" xfId="7191"/>
    <cellStyle name="一般 13 6 3 2 2" xfId="7192"/>
    <cellStyle name="一般 13 6 3 2 2 2" xfId="7193"/>
    <cellStyle name="一般 13 6 3 2 2 2 2" xfId="7194"/>
    <cellStyle name="一般 13 6 3 2 2 2 2 2" xfId="16201"/>
    <cellStyle name="一般 13 6 3 2 2 2 3" xfId="16200"/>
    <cellStyle name="一般 13 6 3 2 2 3" xfId="7195"/>
    <cellStyle name="一般 13 6 3 2 2 3 2" xfId="16202"/>
    <cellStyle name="一般 13 6 3 2 2 4" xfId="16199"/>
    <cellStyle name="一般 13 6 3 2 2_包裝指示書(裏)" xfId="7196"/>
    <cellStyle name="一般 13 6 3 2 3" xfId="7197"/>
    <cellStyle name="一般 13 6 3 2 3 2" xfId="7198"/>
    <cellStyle name="一般 13 6 3 2 3 2 2" xfId="16204"/>
    <cellStyle name="一般 13 6 3 2 3 3" xfId="16203"/>
    <cellStyle name="一般 13 6 3 2 4" xfId="7199"/>
    <cellStyle name="一般 13 6 3 2 4 2" xfId="16205"/>
    <cellStyle name="一般 13 6 3 2 5" xfId="16198"/>
    <cellStyle name="一般 13 6 3 2_包裝指示書(裏)" xfId="7200"/>
    <cellStyle name="一般 13 6 3 3" xfId="7201"/>
    <cellStyle name="一般 13 6 3 3 2" xfId="7202"/>
    <cellStyle name="一般 13 6 3 3 2 2" xfId="7203"/>
    <cellStyle name="一般 13 6 3 3 2 2 2" xfId="16208"/>
    <cellStyle name="一般 13 6 3 3 2 3" xfId="16207"/>
    <cellStyle name="一般 13 6 3 3 3" xfId="7204"/>
    <cellStyle name="一般 13 6 3 3 3 2" xfId="16209"/>
    <cellStyle name="一般 13 6 3 3 4" xfId="16206"/>
    <cellStyle name="一般 13 6 3 3_包裝指示書(裏)" xfId="7205"/>
    <cellStyle name="一般 13 6 3 4" xfId="7206"/>
    <cellStyle name="一般 13 6 3 4 2" xfId="7207"/>
    <cellStyle name="一般 13 6 3 4 2 2" xfId="16211"/>
    <cellStyle name="一般 13 6 3 4 3" xfId="16210"/>
    <cellStyle name="一般 13 6 3 5" xfId="7208"/>
    <cellStyle name="一般 13 6 3 5 2" xfId="7209"/>
    <cellStyle name="一般 13 6 3 5 2 2" xfId="16213"/>
    <cellStyle name="一般 13 6 3 5 3" xfId="16212"/>
    <cellStyle name="一般 13 6 3 6" xfId="7210"/>
    <cellStyle name="一般 13 6 3 6 2" xfId="7211"/>
    <cellStyle name="一般 13 6 3 6 2 2" xfId="16215"/>
    <cellStyle name="一般 13 6 3 6 3" xfId="16214"/>
    <cellStyle name="一般 13 6 3 7" xfId="7212"/>
    <cellStyle name="一般 13 6 3 7 2" xfId="7213"/>
    <cellStyle name="一般 13 6 3 7 2 2" xfId="16217"/>
    <cellStyle name="一般 13 6 3 7 3" xfId="16216"/>
    <cellStyle name="一般 13 6 3 8" xfId="7214"/>
    <cellStyle name="一般 13 6 3 8 2" xfId="16218"/>
    <cellStyle name="一般 13 6 3 9" xfId="16197"/>
    <cellStyle name="一般 13 6 3_包裝指示書(裏)" xfId="7215"/>
    <cellStyle name="一般 13 6 4" xfId="7216"/>
    <cellStyle name="一般 13 6 4 2" xfId="7217"/>
    <cellStyle name="一般 13 6 4 2 2" xfId="7218"/>
    <cellStyle name="一般 13 6 4 2 2 2" xfId="7219"/>
    <cellStyle name="一般 13 6 4 2 2 2 2" xfId="16222"/>
    <cellStyle name="一般 13 6 4 2 2 3" xfId="16221"/>
    <cellStyle name="一般 13 6 4 2 3" xfId="7220"/>
    <cellStyle name="一般 13 6 4 2 3 2" xfId="7221"/>
    <cellStyle name="一般 13 6 4 2 3 2 2" xfId="16224"/>
    <cellStyle name="一般 13 6 4 2 3 3" xfId="16223"/>
    <cellStyle name="一般 13 6 4 2 4" xfId="7222"/>
    <cellStyle name="一般 13 6 4 2 4 2" xfId="16225"/>
    <cellStyle name="一般 13 6 4 2 5" xfId="16220"/>
    <cellStyle name="一般 13 6 4 2_包裝指示書(裏)" xfId="7223"/>
    <cellStyle name="一般 13 6 4 3" xfId="7224"/>
    <cellStyle name="一般 13 6 4 3 2" xfId="7225"/>
    <cellStyle name="一般 13 6 4 3 2 2" xfId="7226"/>
    <cellStyle name="一般 13 6 4 3 2 2 2" xfId="16228"/>
    <cellStyle name="一般 13 6 4 3 2 3" xfId="16227"/>
    <cellStyle name="一般 13 6 4 3 3" xfId="7227"/>
    <cellStyle name="一般 13 6 4 3 3 2" xfId="16229"/>
    <cellStyle name="一般 13 6 4 3 4" xfId="16226"/>
    <cellStyle name="一般 13 6 4 3_包裝指示書(裏)" xfId="7228"/>
    <cellStyle name="一般 13 6 4 4" xfId="7229"/>
    <cellStyle name="一般 13 6 4 4 2" xfId="7230"/>
    <cellStyle name="一般 13 6 4 4 2 2" xfId="16231"/>
    <cellStyle name="一般 13 6 4 4 3" xfId="16230"/>
    <cellStyle name="一般 13 6 4 5" xfId="7231"/>
    <cellStyle name="一般 13 6 4 5 2" xfId="16232"/>
    <cellStyle name="一般 13 6 4 6" xfId="16219"/>
    <cellStyle name="一般 13 6 4_包裝指示書(裏)" xfId="7232"/>
    <cellStyle name="一般 13 6 5" xfId="7233"/>
    <cellStyle name="一般 13 6 5 2" xfId="7234"/>
    <cellStyle name="一般 13 6 5 2 2" xfId="7235"/>
    <cellStyle name="一般 13 6 5 2 2 2" xfId="7236"/>
    <cellStyle name="一般 13 6 5 2 2 2 2" xfId="16236"/>
    <cellStyle name="一般 13 6 5 2 2 3" xfId="16235"/>
    <cellStyle name="一般 13 6 5 2 3" xfId="7237"/>
    <cellStyle name="一般 13 6 5 2 3 2" xfId="7238"/>
    <cellStyle name="一般 13 6 5 2 3 2 2" xfId="16238"/>
    <cellStyle name="一般 13 6 5 2 3 3" xfId="16237"/>
    <cellStyle name="一般 13 6 5 2 4" xfId="7239"/>
    <cellStyle name="一般 13 6 5 2 4 2" xfId="16239"/>
    <cellStyle name="一般 13 6 5 2 5" xfId="16234"/>
    <cellStyle name="一般 13 6 5 2_包裝指示書(裏)" xfId="7240"/>
    <cellStyle name="一般 13 6 5 3" xfId="7241"/>
    <cellStyle name="一般 13 6 5 3 2" xfId="7242"/>
    <cellStyle name="一般 13 6 5 3 2 2" xfId="16241"/>
    <cellStyle name="一般 13 6 5 3 3" xfId="16240"/>
    <cellStyle name="一般 13 6 5 4" xfId="7243"/>
    <cellStyle name="一般 13 6 5 4 2" xfId="7244"/>
    <cellStyle name="一般 13 6 5 4 2 2" xfId="16243"/>
    <cellStyle name="一般 13 6 5 4 3" xfId="16242"/>
    <cellStyle name="一般 13 6 5 5" xfId="7245"/>
    <cellStyle name="一般 13 6 5 5 2" xfId="16244"/>
    <cellStyle name="一般 13 6 5 6" xfId="16233"/>
    <cellStyle name="一般 13 6 5_包裝指示書(裏)" xfId="7246"/>
    <cellStyle name="一般 13 6 6" xfId="7247"/>
    <cellStyle name="一般 13 6 6 2" xfId="7248"/>
    <cellStyle name="一般 13 6 6 2 2" xfId="7249"/>
    <cellStyle name="一般 13 6 6 2 2 2" xfId="7250"/>
    <cellStyle name="一般 13 6 6 2 2 2 2" xfId="16248"/>
    <cellStyle name="一般 13 6 6 2 2 3" xfId="16247"/>
    <cellStyle name="一般 13 6 6 2 3" xfId="7251"/>
    <cellStyle name="一般 13 6 6 2 3 2" xfId="7252"/>
    <cellStyle name="一般 13 6 6 2 3 2 2" xfId="16250"/>
    <cellStyle name="一般 13 6 6 2 3 3" xfId="16249"/>
    <cellStyle name="一般 13 6 6 2 4" xfId="7253"/>
    <cellStyle name="一般 13 6 6 2 4 2" xfId="16251"/>
    <cellStyle name="一般 13 6 6 2 5" xfId="16246"/>
    <cellStyle name="一般 13 6 6 2_包裝指示書(裏)" xfId="7254"/>
    <cellStyle name="一般 13 6 6 3" xfId="7255"/>
    <cellStyle name="一般 13 6 6 3 2" xfId="7256"/>
    <cellStyle name="一般 13 6 6 3 2 2" xfId="16253"/>
    <cellStyle name="一般 13 6 6 3 3" xfId="16252"/>
    <cellStyle name="一般 13 6 6 4" xfId="7257"/>
    <cellStyle name="一般 13 6 6 4 2" xfId="7258"/>
    <cellStyle name="一般 13 6 6 4 2 2" xfId="16255"/>
    <cellStyle name="一般 13 6 6 4 3" xfId="16254"/>
    <cellStyle name="一般 13 6 6 5" xfId="7259"/>
    <cellStyle name="一般 13 6 6 5 2" xfId="16256"/>
    <cellStyle name="一般 13 6 6 6" xfId="16245"/>
    <cellStyle name="一般 13 6 6_包裝指示書(裏)" xfId="7260"/>
    <cellStyle name="一般 13 6 7" xfId="7261"/>
    <cellStyle name="一般 13 6 7 2" xfId="7262"/>
    <cellStyle name="一般 13 6 7 2 2" xfId="7263"/>
    <cellStyle name="一般 13 6 7 2 2 2" xfId="16259"/>
    <cellStyle name="一般 13 6 7 2 3" xfId="16258"/>
    <cellStyle name="一般 13 6 7 3" xfId="7264"/>
    <cellStyle name="一般 13 6 7 3 2" xfId="7265"/>
    <cellStyle name="一般 13 6 7 3 2 2" xfId="16261"/>
    <cellStyle name="一般 13 6 7 3 3" xfId="16260"/>
    <cellStyle name="一般 13 6 7 4" xfId="7266"/>
    <cellStyle name="一般 13 6 7 4 2" xfId="16262"/>
    <cellStyle name="一般 13 6 7 5" xfId="16257"/>
    <cellStyle name="一般 13 6 7_包裝指示書(裏)" xfId="7267"/>
    <cellStyle name="一般 13 6 8" xfId="7268"/>
    <cellStyle name="一般 13 6 8 2" xfId="7269"/>
    <cellStyle name="一般 13 6 8 2 2" xfId="7270"/>
    <cellStyle name="一般 13 6 8 2 2 2" xfId="16265"/>
    <cellStyle name="一般 13 6 8 2 3" xfId="16264"/>
    <cellStyle name="一般 13 6 8 3" xfId="7271"/>
    <cellStyle name="一般 13 6 8 3 2" xfId="16266"/>
    <cellStyle name="一般 13 6 8 4" xfId="16263"/>
    <cellStyle name="一般 13 6 8_包裝指示書(裏)" xfId="7272"/>
    <cellStyle name="一般 13 6 9" xfId="7273"/>
    <cellStyle name="一般 13 6 9 2" xfId="7274"/>
    <cellStyle name="一般 13 6 9 2 2" xfId="16268"/>
    <cellStyle name="一般 13 6 9 3" xfId="16267"/>
    <cellStyle name="一般 13 6_包裝指示書(裏)" xfId="7275"/>
    <cellStyle name="一般 13 7" xfId="7276"/>
    <cellStyle name="一般 13 7 10" xfId="7277"/>
    <cellStyle name="一般 13 7 10 2" xfId="16270"/>
    <cellStyle name="一般 13 7 11" xfId="16269"/>
    <cellStyle name="一般 13 7 2" xfId="7278"/>
    <cellStyle name="一般 13 7 2 2" xfId="7279"/>
    <cellStyle name="一般 13 7 2 2 2" xfId="7280"/>
    <cellStyle name="一般 13 7 2 2 2 2" xfId="7281"/>
    <cellStyle name="一般 13 7 2 2 2 2 2" xfId="7282"/>
    <cellStyle name="一般 13 7 2 2 2 2 2 2" xfId="16275"/>
    <cellStyle name="一般 13 7 2 2 2 2 3" xfId="16274"/>
    <cellStyle name="一般 13 7 2 2 2 3" xfId="7283"/>
    <cellStyle name="一般 13 7 2 2 2 3 2" xfId="16276"/>
    <cellStyle name="一般 13 7 2 2 2 4" xfId="16273"/>
    <cellStyle name="一般 13 7 2 2 2_包裝指示書(裏)" xfId="7284"/>
    <cellStyle name="一般 13 7 2 2 3" xfId="7285"/>
    <cellStyle name="一般 13 7 2 2 3 2" xfId="7286"/>
    <cellStyle name="一般 13 7 2 2 3 2 2" xfId="16278"/>
    <cellStyle name="一般 13 7 2 2 3 3" xfId="16277"/>
    <cellStyle name="一般 13 7 2 2 4" xfId="7287"/>
    <cellStyle name="一般 13 7 2 2 4 2" xfId="16279"/>
    <cellStyle name="一般 13 7 2 2 5" xfId="16272"/>
    <cellStyle name="一般 13 7 2 2_包裝指示書(裏)" xfId="7288"/>
    <cellStyle name="一般 13 7 2 3" xfId="7289"/>
    <cellStyle name="一般 13 7 2 3 2" xfId="7290"/>
    <cellStyle name="一般 13 7 2 3 2 2" xfId="7291"/>
    <cellStyle name="一般 13 7 2 3 2 2 2" xfId="16282"/>
    <cellStyle name="一般 13 7 2 3 2 3" xfId="16281"/>
    <cellStyle name="一般 13 7 2 3 3" xfId="7292"/>
    <cellStyle name="一般 13 7 2 3 3 2" xfId="16283"/>
    <cellStyle name="一般 13 7 2 3 4" xfId="16280"/>
    <cellStyle name="一般 13 7 2 3_包裝指示書(裏)" xfId="7293"/>
    <cellStyle name="一般 13 7 2 4" xfId="7294"/>
    <cellStyle name="一般 13 7 2 4 2" xfId="7295"/>
    <cellStyle name="一般 13 7 2 4 2 2" xfId="16285"/>
    <cellStyle name="一般 13 7 2 4 3" xfId="16284"/>
    <cellStyle name="一般 13 7 2 5" xfId="7296"/>
    <cellStyle name="一般 13 7 2 5 2" xfId="7297"/>
    <cellStyle name="一般 13 7 2 5 2 2" xfId="16287"/>
    <cellStyle name="一般 13 7 2 5 3" xfId="16286"/>
    <cellStyle name="一般 13 7 2 6" xfId="7298"/>
    <cellStyle name="一般 13 7 2 6 2" xfId="7299"/>
    <cellStyle name="一般 13 7 2 6 2 2" xfId="16289"/>
    <cellStyle name="一般 13 7 2 6 3" xfId="16288"/>
    <cellStyle name="一般 13 7 2 7" xfId="7300"/>
    <cellStyle name="一般 13 7 2 7 2" xfId="7301"/>
    <cellStyle name="一般 13 7 2 7 2 2" xfId="16291"/>
    <cellStyle name="一般 13 7 2 7 3" xfId="16290"/>
    <cellStyle name="一般 13 7 2 8" xfId="7302"/>
    <cellStyle name="一般 13 7 2 8 2" xfId="16292"/>
    <cellStyle name="一般 13 7 2 9" xfId="16271"/>
    <cellStyle name="一般 13 7 2_包裝指示書(裏)" xfId="7303"/>
    <cellStyle name="一般 13 7 3" xfId="7304"/>
    <cellStyle name="一般 13 7 3 2" xfId="7305"/>
    <cellStyle name="一般 13 7 3 2 2" xfId="7306"/>
    <cellStyle name="一般 13 7 3 2 2 2" xfId="7307"/>
    <cellStyle name="一般 13 7 3 2 2 2 2" xfId="16296"/>
    <cellStyle name="一般 13 7 3 2 2 3" xfId="16295"/>
    <cellStyle name="一般 13 7 3 2 3" xfId="7308"/>
    <cellStyle name="一般 13 7 3 2 3 2" xfId="7309"/>
    <cellStyle name="一般 13 7 3 2 3 2 2" xfId="16298"/>
    <cellStyle name="一般 13 7 3 2 3 3" xfId="16297"/>
    <cellStyle name="一般 13 7 3 2 4" xfId="7310"/>
    <cellStyle name="一般 13 7 3 2 4 2" xfId="16299"/>
    <cellStyle name="一般 13 7 3 2 5" xfId="16294"/>
    <cellStyle name="一般 13 7 3 2_包裝指示書(裏)" xfId="7311"/>
    <cellStyle name="一般 13 7 3 3" xfId="7312"/>
    <cellStyle name="一般 13 7 3 3 2" xfId="7313"/>
    <cellStyle name="一般 13 7 3 3 2 2" xfId="7314"/>
    <cellStyle name="一般 13 7 3 3 2 2 2" xfId="16302"/>
    <cellStyle name="一般 13 7 3 3 2 3" xfId="16301"/>
    <cellStyle name="一般 13 7 3 3 3" xfId="7315"/>
    <cellStyle name="一般 13 7 3 3 3 2" xfId="16303"/>
    <cellStyle name="一般 13 7 3 3 4" xfId="16300"/>
    <cellStyle name="一般 13 7 3 3_包裝指示書(裏)" xfId="7316"/>
    <cellStyle name="一般 13 7 3 4" xfId="7317"/>
    <cellStyle name="一般 13 7 3 4 2" xfId="7318"/>
    <cellStyle name="一般 13 7 3 4 2 2" xfId="16305"/>
    <cellStyle name="一般 13 7 3 4 3" xfId="16304"/>
    <cellStyle name="一般 13 7 3 5" xfId="7319"/>
    <cellStyle name="一般 13 7 3 5 2" xfId="16306"/>
    <cellStyle name="一般 13 7 3 6" xfId="16293"/>
    <cellStyle name="一般 13 7 3_包裝指示書(裏)" xfId="7320"/>
    <cellStyle name="一般 13 7 4" xfId="7321"/>
    <cellStyle name="一般 13 7 4 2" xfId="7322"/>
    <cellStyle name="一般 13 7 4 2 2" xfId="7323"/>
    <cellStyle name="一般 13 7 4 2 2 2" xfId="7324"/>
    <cellStyle name="一般 13 7 4 2 2 2 2" xfId="16310"/>
    <cellStyle name="一般 13 7 4 2 2 3" xfId="16309"/>
    <cellStyle name="一般 13 7 4 2 3" xfId="7325"/>
    <cellStyle name="一般 13 7 4 2 3 2" xfId="7326"/>
    <cellStyle name="一般 13 7 4 2 3 2 2" xfId="16312"/>
    <cellStyle name="一般 13 7 4 2 3 3" xfId="16311"/>
    <cellStyle name="一般 13 7 4 2 4" xfId="7327"/>
    <cellStyle name="一般 13 7 4 2 4 2" xfId="16313"/>
    <cellStyle name="一般 13 7 4 2 5" xfId="16308"/>
    <cellStyle name="一般 13 7 4 2_包裝指示書(裏)" xfId="7328"/>
    <cellStyle name="一般 13 7 4 3" xfId="7329"/>
    <cellStyle name="一般 13 7 4 3 2" xfId="7330"/>
    <cellStyle name="一般 13 7 4 3 2 2" xfId="16315"/>
    <cellStyle name="一般 13 7 4 3 3" xfId="16314"/>
    <cellStyle name="一般 13 7 4 4" xfId="7331"/>
    <cellStyle name="一般 13 7 4 4 2" xfId="7332"/>
    <cellStyle name="一般 13 7 4 4 2 2" xfId="16317"/>
    <cellStyle name="一般 13 7 4 4 3" xfId="16316"/>
    <cellStyle name="一般 13 7 4 5" xfId="7333"/>
    <cellStyle name="一般 13 7 4 5 2" xfId="16318"/>
    <cellStyle name="一般 13 7 4 6" xfId="16307"/>
    <cellStyle name="一般 13 7 4_包裝指示書(裏)" xfId="7334"/>
    <cellStyle name="一般 13 7 5" xfId="7335"/>
    <cellStyle name="一般 13 7 5 2" xfId="7336"/>
    <cellStyle name="一般 13 7 5 2 2" xfId="7337"/>
    <cellStyle name="一般 13 7 5 2 2 2" xfId="7338"/>
    <cellStyle name="一般 13 7 5 2 2 2 2" xfId="16322"/>
    <cellStyle name="一般 13 7 5 2 2 3" xfId="16321"/>
    <cellStyle name="一般 13 7 5 2 3" xfId="7339"/>
    <cellStyle name="一般 13 7 5 2 3 2" xfId="7340"/>
    <cellStyle name="一般 13 7 5 2 3 2 2" xfId="16324"/>
    <cellStyle name="一般 13 7 5 2 3 3" xfId="16323"/>
    <cellStyle name="一般 13 7 5 2 4" xfId="7341"/>
    <cellStyle name="一般 13 7 5 2 4 2" xfId="16325"/>
    <cellStyle name="一般 13 7 5 2 5" xfId="16320"/>
    <cellStyle name="一般 13 7 5 2_包裝指示書(裏)" xfId="7342"/>
    <cellStyle name="一般 13 7 5 3" xfId="7343"/>
    <cellStyle name="一般 13 7 5 3 2" xfId="7344"/>
    <cellStyle name="一般 13 7 5 3 2 2" xfId="16327"/>
    <cellStyle name="一般 13 7 5 3 3" xfId="16326"/>
    <cellStyle name="一般 13 7 5 4" xfId="7345"/>
    <cellStyle name="一般 13 7 5 4 2" xfId="7346"/>
    <cellStyle name="一般 13 7 5 4 2 2" xfId="16329"/>
    <cellStyle name="一般 13 7 5 4 3" xfId="16328"/>
    <cellStyle name="一般 13 7 5 5" xfId="7347"/>
    <cellStyle name="一般 13 7 5 5 2" xfId="16330"/>
    <cellStyle name="一般 13 7 5 6" xfId="16319"/>
    <cellStyle name="一般 13 7 5_包裝指示書(裏)" xfId="7348"/>
    <cellStyle name="一般 13 7 6" xfId="7349"/>
    <cellStyle name="一般 13 7 6 2" xfId="7350"/>
    <cellStyle name="一般 13 7 6 2 2" xfId="7351"/>
    <cellStyle name="一般 13 7 6 2 2 2" xfId="16333"/>
    <cellStyle name="一般 13 7 6 2 3" xfId="16332"/>
    <cellStyle name="一般 13 7 6 3" xfId="7352"/>
    <cellStyle name="一般 13 7 6 3 2" xfId="7353"/>
    <cellStyle name="一般 13 7 6 3 2 2" xfId="16335"/>
    <cellStyle name="一般 13 7 6 3 3" xfId="16334"/>
    <cellStyle name="一般 13 7 6 4" xfId="7354"/>
    <cellStyle name="一般 13 7 6 4 2" xfId="16336"/>
    <cellStyle name="一般 13 7 6 5" xfId="16331"/>
    <cellStyle name="一般 13 7 6_包裝指示書(裏)" xfId="7355"/>
    <cellStyle name="一般 13 7 7" xfId="7356"/>
    <cellStyle name="一般 13 7 7 2" xfId="7357"/>
    <cellStyle name="一般 13 7 7 2 2" xfId="7358"/>
    <cellStyle name="一般 13 7 7 2 2 2" xfId="16339"/>
    <cellStyle name="一般 13 7 7 2 3" xfId="16338"/>
    <cellStyle name="一般 13 7 7 3" xfId="7359"/>
    <cellStyle name="一般 13 7 7 3 2" xfId="16340"/>
    <cellStyle name="一般 13 7 7 4" xfId="16337"/>
    <cellStyle name="一般 13 7 7_包裝指示書(裏)" xfId="7360"/>
    <cellStyle name="一般 13 7 8" xfId="7361"/>
    <cellStyle name="一般 13 7 8 2" xfId="7362"/>
    <cellStyle name="一般 13 7 8 2 2" xfId="16342"/>
    <cellStyle name="一般 13 7 8 3" xfId="16341"/>
    <cellStyle name="一般 13 7 9" xfId="7363"/>
    <cellStyle name="一般 13 7 9 2" xfId="7364"/>
    <cellStyle name="一般 13 7 9 2 2" xfId="16344"/>
    <cellStyle name="一般 13 7 9 3" xfId="16343"/>
    <cellStyle name="一般 13 7_包裝指示書(裏)" xfId="7365"/>
    <cellStyle name="一般 13 8" xfId="7366"/>
    <cellStyle name="一般 13 8 10" xfId="16345"/>
    <cellStyle name="一般 13 8 2" xfId="7367"/>
    <cellStyle name="一般 13 8 2 2" xfId="7368"/>
    <cellStyle name="一般 13 8 2 2 2" xfId="7369"/>
    <cellStyle name="一般 13 8 2 2 2 2" xfId="7370"/>
    <cellStyle name="一般 13 8 2 2 2 2 2" xfId="16349"/>
    <cellStyle name="一般 13 8 2 2 2 3" xfId="16348"/>
    <cellStyle name="一般 13 8 2 2 3" xfId="7371"/>
    <cellStyle name="一般 13 8 2 2 3 2" xfId="16350"/>
    <cellStyle name="一般 13 8 2 2 4" xfId="16347"/>
    <cellStyle name="一般 13 8 2 2_包裝指示書(裏)" xfId="7372"/>
    <cellStyle name="一般 13 8 2 3" xfId="7373"/>
    <cellStyle name="一般 13 8 2 3 2" xfId="7374"/>
    <cellStyle name="一般 13 8 2 3 2 2" xfId="16352"/>
    <cellStyle name="一般 13 8 2 3 3" xfId="16351"/>
    <cellStyle name="一般 13 8 2 4" xfId="7375"/>
    <cellStyle name="一般 13 8 2 4 2" xfId="7376"/>
    <cellStyle name="一般 13 8 2 4 2 2" xfId="16354"/>
    <cellStyle name="一般 13 8 2 4 3" xfId="16353"/>
    <cellStyle name="一般 13 8 2 5" xfId="7377"/>
    <cellStyle name="一般 13 8 2 5 2" xfId="7378"/>
    <cellStyle name="一般 13 8 2 5 2 2" xfId="16356"/>
    <cellStyle name="一般 13 8 2 5 3" xfId="16355"/>
    <cellStyle name="一般 13 8 2 6" xfId="7379"/>
    <cellStyle name="一般 13 8 2 6 2" xfId="7380"/>
    <cellStyle name="一般 13 8 2 6 2 2" xfId="16358"/>
    <cellStyle name="一般 13 8 2 6 3" xfId="16357"/>
    <cellStyle name="一般 13 8 2 7" xfId="7381"/>
    <cellStyle name="一般 13 8 2 7 2" xfId="7382"/>
    <cellStyle name="一般 13 8 2 7 2 2" xfId="16360"/>
    <cellStyle name="一般 13 8 2 7 3" xfId="16359"/>
    <cellStyle name="一般 13 8 2 8" xfId="7383"/>
    <cellStyle name="一般 13 8 2 8 2" xfId="16361"/>
    <cellStyle name="一般 13 8 2 9" xfId="16346"/>
    <cellStyle name="一般 13 8 2_包裝指示書(裏)" xfId="7384"/>
    <cellStyle name="一般 13 8 3" xfId="7385"/>
    <cellStyle name="一般 13 8 3 2" xfId="7386"/>
    <cellStyle name="一般 13 8 3 2 2" xfId="7387"/>
    <cellStyle name="一般 13 8 3 2 2 2" xfId="16364"/>
    <cellStyle name="一般 13 8 3 2 3" xfId="16363"/>
    <cellStyle name="一般 13 8 3 3" xfId="7388"/>
    <cellStyle name="一般 13 8 3 3 2" xfId="16365"/>
    <cellStyle name="一般 13 8 3 4" xfId="7389"/>
    <cellStyle name="一般 13 8 3 4 2" xfId="16366"/>
    <cellStyle name="一般 13 8 3 5" xfId="7390"/>
    <cellStyle name="一般 13 8 3 5 2" xfId="16367"/>
    <cellStyle name="一般 13 8 3 6" xfId="16362"/>
    <cellStyle name="一般 13 8 3_包裝指示書(裏)" xfId="7391"/>
    <cellStyle name="一般 13 8 4" xfId="7392"/>
    <cellStyle name="一般 13 8 4 2" xfId="7393"/>
    <cellStyle name="一般 13 8 4 2 2" xfId="7394"/>
    <cellStyle name="一般 13 8 4 2 2 2" xfId="16370"/>
    <cellStyle name="一般 13 8 4 2 3" xfId="16369"/>
    <cellStyle name="一般 13 8 4 3" xfId="7395"/>
    <cellStyle name="一般 13 8 4 3 2" xfId="16371"/>
    <cellStyle name="一般 13 8 4 4" xfId="16368"/>
    <cellStyle name="一般 13 8 4_包裝指示書(裏)" xfId="7396"/>
    <cellStyle name="一般 13 8 5" xfId="7397"/>
    <cellStyle name="一般 13 8 5 2" xfId="7398"/>
    <cellStyle name="一般 13 8 5 2 2" xfId="16373"/>
    <cellStyle name="一般 13 8 5 3" xfId="16372"/>
    <cellStyle name="一般 13 8 6" xfId="7399"/>
    <cellStyle name="一般 13 8 6 2" xfId="7400"/>
    <cellStyle name="一般 13 8 6 2 2" xfId="16375"/>
    <cellStyle name="一般 13 8 6 3" xfId="16374"/>
    <cellStyle name="一般 13 8 7" xfId="7401"/>
    <cellStyle name="一般 13 8 7 2" xfId="7402"/>
    <cellStyle name="一般 13 8 7 2 2" xfId="16377"/>
    <cellStyle name="一般 13 8 7 3" xfId="16376"/>
    <cellStyle name="一般 13 8 8" xfId="7403"/>
    <cellStyle name="一般 13 8 8 2" xfId="7404"/>
    <cellStyle name="一般 13 8 8 2 2" xfId="16379"/>
    <cellStyle name="一般 13 8 8 3" xfId="16378"/>
    <cellStyle name="一般 13 8 9" xfId="7405"/>
    <cellStyle name="一般 13 8 9 2" xfId="16380"/>
    <cellStyle name="一般 13 8_包裝指示書(裏)" xfId="7406"/>
    <cellStyle name="一般 13 9" xfId="7407"/>
    <cellStyle name="一般 13 9 10" xfId="16381"/>
    <cellStyle name="一般 13 9 2" xfId="7408"/>
    <cellStyle name="一般 13 9 2 2" xfId="7409"/>
    <cellStyle name="一般 13 9 2 2 2" xfId="7410"/>
    <cellStyle name="一般 13 9 2 2 2 2" xfId="7411"/>
    <cellStyle name="一般 13 9 2 2 2 2 2" xfId="16385"/>
    <cellStyle name="一般 13 9 2 2 2 3" xfId="16384"/>
    <cellStyle name="一般 13 9 2 2 3" xfId="7412"/>
    <cellStyle name="一般 13 9 2 2 3 2" xfId="16386"/>
    <cellStyle name="一般 13 9 2 2 4" xfId="16383"/>
    <cellStyle name="一般 13 9 2 2_包裝指示書(裏)" xfId="7413"/>
    <cellStyle name="一般 13 9 2 3" xfId="7414"/>
    <cellStyle name="一般 13 9 2 3 2" xfId="7415"/>
    <cellStyle name="一般 13 9 2 3 2 2" xfId="16388"/>
    <cellStyle name="一般 13 9 2 3 3" xfId="16387"/>
    <cellStyle name="一般 13 9 2 4" xfId="7416"/>
    <cellStyle name="一般 13 9 2 4 2" xfId="7417"/>
    <cellStyle name="一般 13 9 2 4 2 2" xfId="16390"/>
    <cellStyle name="一般 13 9 2 4 3" xfId="16389"/>
    <cellStyle name="一般 13 9 2 5" xfId="7418"/>
    <cellStyle name="一般 13 9 2 5 2" xfId="7419"/>
    <cellStyle name="一般 13 9 2 5 2 2" xfId="16392"/>
    <cellStyle name="一般 13 9 2 5 3" xfId="16391"/>
    <cellStyle name="一般 13 9 2 6" xfId="7420"/>
    <cellStyle name="一般 13 9 2 6 2" xfId="7421"/>
    <cellStyle name="一般 13 9 2 6 2 2" xfId="16394"/>
    <cellStyle name="一般 13 9 2 6 3" xfId="16393"/>
    <cellStyle name="一般 13 9 2 7" xfId="7422"/>
    <cellStyle name="一般 13 9 2 7 2" xfId="7423"/>
    <cellStyle name="一般 13 9 2 7 2 2" xfId="16396"/>
    <cellStyle name="一般 13 9 2 7 3" xfId="16395"/>
    <cellStyle name="一般 13 9 2 8" xfId="7424"/>
    <cellStyle name="一般 13 9 2 8 2" xfId="16397"/>
    <cellStyle name="一般 13 9 2 9" xfId="16382"/>
    <cellStyle name="一般 13 9 2_包裝指示書(裏)" xfId="7425"/>
    <cellStyle name="一般 13 9 3" xfId="7426"/>
    <cellStyle name="一般 13 9 3 2" xfId="7427"/>
    <cellStyle name="一般 13 9 3 2 2" xfId="7428"/>
    <cellStyle name="一般 13 9 3 2 2 2" xfId="16400"/>
    <cellStyle name="一般 13 9 3 2 3" xfId="16399"/>
    <cellStyle name="一般 13 9 3 3" xfId="7429"/>
    <cellStyle name="一般 13 9 3 3 2" xfId="16401"/>
    <cellStyle name="一般 13 9 3 4" xfId="7430"/>
    <cellStyle name="一般 13 9 3 4 2" xfId="16402"/>
    <cellStyle name="一般 13 9 3 5" xfId="7431"/>
    <cellStyle name="一般 13 9 3 5 2" xfId="16403"/>
    <cellStyle name="一般 13 9 3 6" xfId="16398"/>
    <cellStyle name="一般 13 9 3_包裝指示書(裏)" xfId="7432"/>
    <cellStyle name="一般 13 9 4" xfId="7433"/>
    <cellStyle name="一般 13 9 4 2" xfId="7434"/>
    <cellStyle name="一般 13 9 4 2 2" xfId="7435"/>
    <cellStyle name="一般 13 9 4 2 2 2" xfId="16406"/>
    <cellStyle name="一般 13 9 4 2 3" xfId="16405"/>
    <cellStyle name="一般 13 9 4 3" xfId="7436"/>
    <cellStyle name="一般 13 9 4 3 2" xfId="16407"/>
    <cellStyle name="一般 13 9 4 4" xfId="16404"/>
    <cellStyle name="一般 13 9 4_包裝指示書(裏)" xfId="7437"/>
    <cellStyle name="一般 13 9 5" xfId="7438"/>
    <cellStyle name="一般 13 9 5 2" xfId="7439"/>
    <cellStyle name="一般 13 9 5 2 2" xfId="16409"/>
    <cellStyle name="一般 13 9 5 3" xfId="16408"/>
    <cellStyle name="一般 13 9 6" xfId="7440"/>
    <cellStyle name="一般 13 9 6 2" xfId="7441"/>
    <cellStyle name="一般 13 9 6 2 2" xfId="16411"/>
    <cellStyle name="一般 13 9 6 3" xfId="16410"/>
    <cellStyle name="一般 13 9 7" xfId="7442"/>
    <cellStyle name="一般 13 9 7 2" xfId="7443"/>
    <cellStyle name="一般 13 9 7 2 2" xfId="16413"/>
    <cellStyle name="一般 13 9 7 3" xfId="16412"/>
    <cellStyle name="一般 13 9 8" xfId="7444"/>
    <cellStyle name="一般 13 9 8 2" xfId="7445"/>
    <cellStyle name="一般 13 9 8 2 2" xfId="16415"/>
    <cellStyle name="一般 13 9 8 3" xfId="16414"/>
    <cellStyle name="一般 13 9 9" xfId="7446"/>
    <cellStyle name="一般 13 9 9 2" xfId="16416"/>
    <cellStyle name="一般 13 9_包裝指示書(裏)" xfId="7447"/>
    <cellStyle name="一般 13_包裝指示書(裏)" xfId="7448"/>
    <cellStyle name="一般 14" xfId="3"/>
    <cellStyle name="一般 14 10" xfId="7450"/>
    <cellStyle name="一般 14 10 2" xfId="7451"/>
    <cellStyle name="一般 14 10 3" xfId="7452"/>
    <cellStyle name="一般 14 10 3 2" xfId="16418"/>
    <cellStyle name="一般 14 10_包裝指示書(裏)" xfId="7453"/>
    <cellStyle name="一般 14 11" xfId="7454"/>
    <cellStyle name="一般 14 11 2" xfId="7455"/>
    <cellStyle name="一般 14 11 2 2" xfId="16420"/>
    <cellStyle name="一般 14 11 3" xfId="16419"/>
    <cellStyle name="一般 14 12" xfId="7456"/>
    <cellStyle name="一般 14 12 2" xfId="7457"/>
    <cellStyle name="一般 14 12 2 2" xfId="16422"/>
    <cellStyle name="一般 14 12 3" xfId="16421"/>
    <cellStyle name="一般 14 13" xfId="7458"/>
    <cellStyle name="一般 14 13 2" xfId="16423"/>
    <cellStyle name="一般 14 14" xfId="16417"/>
    <cellStyle name="一般 14 15" xfId="7449"/>
    <cellStyle name="一般 14 2" xfId="7459"/>
    <cellStyle name="一般 14 2 10" xfId="16424"/>
    <cellStyle name="一般 14 2 2" xfId="7460"/>
    <cellStyle name="一般 14 2 2 2" xfId="7461"/>
    <cellStyle name="一般 14 2 2 2 2" xfId="7462"/>
    <cellStyle name="一般 14 2 2 2 2 2" xfId="7463"/>
    <cellStyle name="一般 14 2 2 2 2 2 2" xfId="16428"/>
    <cellStyle name="一般 14 2 2 2 2 3" xfId="16427"/>
    <cellStyle name="一般 14 2 2 2 3" xfId="7464"/>
    <cellStyle name="一般 14 2 2 2 3 2" xfId="16429"/>
    <cellStyle name="一般 14 2 2 2 4" xfId="16426"/>
    <cellStyle name="一般 14 2 2 2_包裝指示書(裏)" xfId="7465"/>
    <cellStyle name="一般 14 2 2 3" xfId="7466"/>
    <cellStyle name="一般 14 2 2 3 2" xfId="7467"/>
    <cellStyle name="一般 14 2 2 3 2 2" xfId="16431"/>
    <cellStyle name="一般 14 2 2 3 3" xfId="16430"/>
    <cellStyle name="一般 14 2 2 4" xfId="7468"/>
    <cellStyle name="一般 14 2 2 4 2" xfId="7469"/>
    <cellStyle name="一般 14 2 2 4 2 2" xfId="16433"/>
    <cellStyle name="一般 14 2 2 4 3" xfId="16432"/>
    <cellStyle name="一般 14 2 2 5" xfId="7470"/>
    <cellStyle name="一般 14 2 2 5 2" xfId="7471"/>
    <cellStyle name="一般 14 2 2 5 2 2" xfId="16435"/>
    <cellStyle name="一般 14 2 2 5 3" xfId="16434"/>
    <cellStyle name="一般 14 2 2 6" xfId="7472"/>
    <cellStyle name="一般 14 2 2 6 2" xfId="7473"/>
    <cellStyle name="一般 14 2 2 6 2 2" xfId="16437"/>
    <cellStyle name="一般 14 2 2 6 3" xfId="16436"/>
    <cellStyle name="一般 14 2 2 7" xfId="7474"/>
    <cellStyle name="一般 14 2 2 7 2" xfId="7475"/>
    <cellStyle name="一般 14 2 2 7 2 2" xfId="16439"/>
    <cellStyle name="一般 14 2 2 7 3" xfId="16438"/>
    <cellStyle name="一般 14 2 2 8" xfId="7476"/>
    <cellStyle name="一般 14 2 2 8 2" xfId="16440"/>
    <cellStyle name="一般 14 2 2 9" xfId="16425"/>
    <cellStyle name="一般 14 2 2_包裝指示書(裏)" xfId="7477"/>
    <cellStyle name="一般 14 2 3" xfId="7478"/>
    <cellStyle name="一般 14 2 3 2" xfId="7479"/>
    <cellStyle name="一般 14 2 3 2 2" xfId="7480"/>
    <cellStyle name="一般 14 2 3 2 2 2" xfId="16443"/>
    <cellStyle name="一般 14 2 3 2 3" xfId="16442"/>
    <cellStyle name="一般 14 2 3 3" xfId="7481"/>
    <cellStyle name="一般 14 2 3 3 2" xfId="16444"/>
    <cellStyle name="一般 14 2 3 4" xfId="7482"/>
    <cellStyle name="一般 14 2 3 4 2" xfId="16445"/>
    <cellStyle name="一般 14 2 3 5" xfId="7483"/>
    <cellStyle name="一般 14 2 3 5 2" xfId="16446"/>
    <cellStyle name="一般 14 2 3 6" xfId="16441"/>
    <cellStyle name="一般 14 2 3_包裝指示書(裏)" xfId="7484"/>
    <cellStyle name="一般 14 2 4" xfId="7485"/>
    <cellStyle name="一般 14 2 4 2" xfId="7486"/>
    <cellStyle name="一般 14 2 4 2 2" xfId="7487"/>
    <cellStyle name="一般 14 2 4 2 2 2" xfId="16449"/>
    <cellStyle name="一般 14 2 4 2 3" xfId="16448"/>
    <cellStyle name="一般 14 2 4 3" xfId="7488"/>
    <cellStyle name="一般 14 2 4 3 2" xfId="16450"/>
    <cellStyle name="一般 14 2 4 4" xfId="16447"/>
    <cellStyle name="一般 14 2 4_包裝指示書(裏)" xfId="7489"/>
    <cellStyle name="一般 14 2 5" xfId="7490"/>
    <cellStyle name="一般 14 2 5 2" xfId="7491"/>
    <cellStyle name="一般 14 2 5 2 2" xfId="16452"/>
    <cellStyle name="一般 14 2 5 3" xfId="16451"/>
    <cellStyle name="一般 14 2 6" xfId="7492"/>
    <cellStyle name="一般 14 2 6 2" xfId="7493"/>
    <cellStyle name="一般 14 2 6 2 2" xfId="16454"/>
    <cellStyle name="一般 14 2 6 3" xfId="16453"/>
    <cellStyle name="一般 14 2 7" xfId="7494"/>
    <cellStyle name="一般 14 2 7 2" xfId="7495"/>
    <cellStyle name="一般 14 2 7 2 2" xfId="16456"/>
    <cellStyle name="一般 14 2 7 3" xfId="16455"/>
    <cellStyle name="一般 14 2 8" xfId="7496"/>
    <cellStyle name="一般 14 2 8 2" xfId="7497"/>
    <cellStyle name="一般 14 2 8 2 2" xfId="16458"/>
    <cellStyle name="一般 14 2 8 3" xfId="16457"/>
    <cellStyle name="一般 14 2 9" xfId="7498"/>
    <cellStyle name="一般 14 2 9 2" xfId="16459"/>
    <cellStyle name="一般 14 2_包裝指示書(裏)" xfId="7499"/>
    <cellStyle name="一般 14 3" xfId="7500"/>
    <cellStyle name="一般 14 3 10" xfId="16460"/>
    <cellStyle name="一般 14 3 2" xfId="7501"/>
    <cellStyle name="一般 14 3 2 2" xfId="7502"/>
    <cellStyle name="一般 14 3 2 2 2" xfId="7503"/>
    <cellStyle name="一般 14 3 2 2 2 2" xfId="7504"/>
    <cellStyle name="一般 14 3 2 2 2 2 2" xfId="16464"/>
    <cellStyle name="一般 14 3 2 2 2 3" xfId="16463"/>
    <cellStyle name="一般 14 3 2 2 3" xfId="7505"/>
    <cellStyle name="一般 14 3 2 2 3 2" xfId="16465"/>
    <cellStyle name="一般 14 3 2 2 4" xfId="16462"/>
    <cellStyle name="一般 14 3 2 2_包裝指示書(裏)" xfId="7506"/>
    <cellStyle name="一般 14 3 2 3" xfId="7507"/>
    <cellStyle name="一般 14 3 2 3 2" xfId="7508"/>
    <cellStyle name="一般 14 3 2 3 2 2" xfId="16467"/>
    <cellStyle name="一般 14 3 2 3 3" xfId="16466"/>
    <cellStyle name="一般 14 3 2 4" xfId="7509"/>
    <cellStyle name="一般 14 3 2 4 2" xfId="7510"/>
    <cellStyle name="一般 14 3 2 4 2 2" xfId="16469"/>
    <cellStyle name="一般 14 3 2 4 3" xfId="16468"/>
    <cellStyle name="一般 14 3 2 5" xfId="7511"/>
    <cellStyle name="一般 14 3 2 5 2" xfId="7512"/>
    <cellStyle name="一般 14 3 2 5 2 2" xfId="16471"/>
    <cellStyle name="一般 14 3 2 5 3" xfId="16470"/>
    <cellStyle name="一般 14 3 2 6" xfId="7513"/>
    <cellStyle name="一般 14 3 2 6 2" xfId="7514"/>
    <cellStyle name="一般 14 3 2 6 2 2" xfId="16473"/>
    <cellStyle name="一般 14 3 2 6 3" xfId="16472"/>
    <cellStyle name="一般 14 3 2 7" xfId="7515"/>
    <cellStyle name="一般 14 3 2 7 2" xfId="7516"/>
    <cellStyle name="一般 14 3 2 7 2 2" xfId="16475"/>
    <cellStyle name="一般 14 3 2 7 3" xfId="16474"/>
    <cellStyle name="一般 14 3 2 8" xfId="7517"/>
    <cellStyle name="一般 14 3 2 8 2" xfId="16476"/>
    <cellStyle name="一般 14 3 2 9" xfId="16461"/>
    <cellStyle name="一般 14 3 2_包裝指示書(裏)" xfId="7518"/>
    <cellStyle name="一般 14 3 3" xfId="7519"/>
    <cellStyle name="一般 14 3 3 2" xfId="7520"/>
    <cellStyle name="一般 14 3 3 2 2" xfId="7521"/>
    <cellStyle name="一般 14 3 3 2 2 2" xfId="16479"/>
    <cellStyle name="一般 14 3 3 2 3" xfId="16478"/>
    <cellStyle name="一般 14 3 3 3" xfId="7522"/>
    <cellStyle name="一般 14 3 3 3 2" xfId="16480"/>
    <cellStyle name="一般 14 3 3 4" xfId="7523"/>
    <cellStyle name="一般 14 3 3 4 2" xfId="16481"/>
    <cellStyle name="一般 14 3 3 5" xfId="7524"/>
    <cellStyle name="一般 14 3 3 5 2" xfId="16482"/>
    <cellStyle name="一般 14 3 3 6" xfId="16477"/>
    <cellStyle name="一般 14 3 3_包裝指示書(裏)" xfId="7525"/>
    <cellStyle name="一般 14 3 4" xfId="7526"/>
    <cellStyle name="一般 14 3 4 2" xfId="7527"/>
    <cellStyle name="一般 14 3 4 2 2" xfId="16484"/>
    <cellStyle name="一般 14 3 4 3" xfId="16483"/>
    <cellStyle name="一般 14 3 5" xfId="7528"/>
    <cellStyle name="一般 14 3 5 2" xfId="7529"/>
    <cellStyle name="一般 14 3 5 2 2" xfId="16486"/>
    <cellStyle name="一般 14 3 5 3" xfId="16485"/>
    <cellStyle name="一般 14 3 6" xfId="7530"/>
    <cellStyle name="一般 14 3 6 2" xfId="7531"/>
    <cellStyle name="一般 14 3 6 2 2" xfId="16488"/>
    <cellStyle name="一般 14 3 6 3" xfId="16487"/>
    <cellStyle name="一般 14 3 7" xfId="7532"/>
    <cellStyle name="一般 14 3 7 2" xfId="7533"/>
    <cellStyle name="一般 14 3 7 2 2" xfId="16490"/>
    <cellStyle name="一般 14 3 7 3" xfId="16489"/>
    <cellStyle name="一般 14 3 8" xfId="7534"/>
    <cellStyle name="一般 14 3 8 2" xfId="7535"/>
    <cellStyle name="一般 14 3 8 2 2" xfId="16492"/>
    <cellStyle name="一般 14 3 8 3" xfId="16491"/>
    <cellStyle name="一般 14 3 9" xfId="7536"/>
    <cellStyle name="一般 14 3 9 2" xfId="16493"/>
    <cellStyle name="一般 14 3_包裝指示書(裏)" xfId="7537"/>
    <cellStyle name="一般 14 4" xfId="7538"/>
    <cellStyle name="一般 14 4 10" xfId="16494"/>
    <cellStyle name="一般 14 4 2" xfId="7539"/>
    <cellStyle name="一般 14 4 2 2" xfId="7540"/>
    <cellStyle name="一般 14 4 2 2 2" xfId="7541"/>
    <cellStyle name="一般 14 4 2 2 2 2" xfId="7542"/>
    <cellStyle name="一般 14 4 2 2 2 2 2" xfId="16498"/>
    <cellStyle name="一般 14 4 2 2 2 3" xfId="16497"/>
    <cellStyle name="一般 14 4 2 2 3" xfId="7543"/>
    <cellStyle name="一般 14 4 2 2 3 2" xfId="16499"/>
    <cellStyle name="一般 14 4 2 2 4" xfId="16496"/>
    <cellStyle name="一般 14 4 2 2_包裝指示書(裏)" xfId="7544"/>
    <cellStyle name="一般 14 4 2 3" xfId="7545"/>
    <cellStyle name="一般 14 4 2 3 2" xfId="7546"/>
    <cellStyle name="一般 14 4 2 3 2 2" xfId="16501"/>
    <cellStyle name="一般 14 4 2 3 3" xfId="16500"/>
    <cellStyle name="一般 14 4 2 4" xfId="7547"/>
    <cellStyle name="一般 14 4 2 4 2" xfId="7548"/>
    <cellStyle name="一般 14 4 2 4 2 2" xfId="16503"/>
    <cellStyle name="一般 14 4 2 4 3" xfId="16502"/>
    <cellStyle name="一般 14 4 2 5" xfId="7549"/>
    <cellStyle name="一般 14 4 2 5 2" xfId="7550"/>
    <cellStyle name="一般 14 4 2 5 2 2" xfId="16505"/>
    <cellStyle name="一般 14 4 2 5 3" xfId="16504"/>
    <cellStyle name="一般 14 4 2 6" xfId="7551"/>
    <cellStyle name="一般 14 4 2 6 2" xfId="7552"/>
    <cellStyle name="一般 14 4 2 6 2 2" xfId="16507"/>
    <cellStyle name="一般 14 4 2 6 3" xfId="16506"/>
    <cellStyle name="一般 14 4 2 7" xfId="7553"/>
    <cellStyle name="一般 14 4 2 7 2" xfId="7554"/>
    <cellStyle name="一般 14 4 2 7 2 2" xfId="16509"/>
    <cellStyle name="一般 14 4 2 7 3" xfId="16508"/>
    <cellStyle name="一般 14 4 2 8" xfId="7555"/>
    <cellStyle name="一般 14 4 2 8 2" xfId="16510"/>
    <cellStyle name="一般 14 4 2 9" xfId="16495"/>
    <cellStyle name="一般 14 4 2_包裝指示書(裏)" xfId="7556"/>
    <cellStyle name="一般 14 4 3" xfId="7557"/>
    <cellStyle name="一般 14 4 3 2" xfId="7558"/>
    <cellStyle name="一般 14 4 3 2 2" xfId="7559"/>
    <cellStyle name="一般 14 4 3 2 2 2" xfId="16513"/>
    <cellStyle name="一般 14 4 3 2 3" xfId="16512"/>
    <cellStyle name="一般 14 4 3 3" xfId="7560"/>
    <cellStyle name="一般 14 4 3 3 2" xfId="16514"/>
    <cellStyle name="一般 14 4 3 4" xfId="7561"/>
    <cellStyle name="一般 14 4 3 4 2" xfId="16515"/>
    <cellStyle name="一般 14 4 3 5" xfId="7562"/>
    <cellStyle name="一般 14 4 3 5 2" xfId="16516"/>
    <cellStyle name="一般 14 4 3 6" xfId="16511"/>
    <cellStyle name="一般 14 4 3_包裝指示書(裏)" xfId="7563"/>
    <cellStyle name="一般 14 4 4" xfId="7564"/>
    <cellStyle name="一般 14 4 4 2" xfId="7565"/>
    <cellStyle name="一般 14 4 4 2 2" xfId="16518"/>
    <cellStyle name="一般 14 4 4 3" xfId="7566"/>
    <cellStyle name="一般 14 4 4 3 2" xfId="16519"/>
    <cellStyle name="一般 14 4 4 4" xfId="7567"/>
    <cellStyle name="一般 14 4 4 4 2" xfId="16520"/>
    <cellStyle name="一般 14 4 4 5" xfId="7568"/>
    <cellStyle name="一般 14 4 4 5 2" xfId="16521"/>
    <cellStyle name="一般 14 4 4 6" xfId="16517"/>
    <cellStyle name="一般 14 4 5" xfId="7569"/>
    <cellStyle name="一般 14 4 5 2" xfId="7570"/>
    <cellStyle name="一般 14 4 5 2 2" xfId="16523"/>
    <cellStyle name="一般 14 4 5 3" xfId="16522"/>
    <cellStyle name="一般 14 4 6" xfId="7571"/>
    <cellStyle name="一般 14 4 6 2" xfId="7572"/>
    <cellStyle name="一般 14 4 6 2 2" xfId="16525"/>
    <cellStyle name="一般 14 4 6 3" xfId="16524"/>
    <cellStyle name="一般 14 4 7" xfId="7573"/>
    <cellStyle name="一般 14 4 7 2" xfId="7574"/>
    <cellStyle name="一般 14 4 7 2 2" xfId="16527"/>
    <cellStyle name="一般 14 4 7 3" xfId="16526"/>
    <cellStyle name="一般 14 4 8" xfId="7575"/>
    <cellStyle name="一般 14 4 8 2" xfId="7576"/>
    <cellStyle name="一般 14 4 8 2 2" xfId="16529"/>
    <cellStyle name="一般 14 4 8 3" xfId="16528"/>
    <cellStyle name="一般 14 4 9" xfId="7577"/>
    <cellStyle name="一般 14 4 9 2" xfId="16530"/>
    <cellStyle name="一般 14 4_包裝指示書(裏)" xfId="7578"/>
    <cellStyle name="一般 14 5" xfId="7579"/>
    <cellStyle name="一般 14 5 2" xfId="7580"/>
    <cellStyle name="一般 14 5 2 2" xfId="7581"/>
    <cellStyle name="一般 14 5 2 2 2" xfId="7582"/>
    <cellStyle name="一般 14 5 2 2 2 2" xfId="7583"/>
    <cellStyle name="一般 14 5 2 2 2 2 2" xfId="16535"/>
    <cellStyle name="一般 14 5 2 2 2 3" xfId="16534"/>
    <cellStyle name="一般 14 5 2 2 3" xfId="7584"/>
    <cellStyle name="一般 14 5 2 2 3 2" xfId="16536"/>
    <cellStyle name="一般 14 5 2 2 4" xfId="16533"/>
    <cellStyle name="一般 14 5 2 2_包裝指示書(裏)" xfId="7585"/>
    <cellStyle name="一般 14 5 2 3" xfId="7586"/>
    <cellStyle name="一般 14 5 2 3 2" xfId="7587"/>
    <cellStyle name="一般 14 5 2 3 2 2" xfId="16538"/>
    <cellStyle name="一般 14 5 2 3 3" xfId="16537"/>
    <cellStyle name="一般 14 5 2 4" xfId="7588"/>
    <cellStyle name="一般 14 5 2 4 2" xfId="16539"/>
    <cellStyle name="一般 14 5 2 5" xfId="16532"/>
    <cellStyle name="一般 14 5 2_包裝指示書(裏)" xfId="7589"/>
    <cellStyle name="一般 14 5 3" xfId="7590"/>
    <cellStyle name="一般 14 5 3 2" xfId="7591"/>
    <cellStyle name="一般 14 5 3 2 2" xfId="7592"/>
    <cellStyle name="一般 14 5 3 2 2 2" xfId="16542"/>
    <cellStyle name="一般 14 5 3 2 3" xfId="16541"/>
    <cellStyle name="一般 14 5 3 3" xfId="7593"/>
    <cellStyle name="一般 14 5 3 3 2" xfId="16543"/>
    <cellStyle name="一般 14 5 3 4" xfId="16540"/>
    <cellStyle name="一般 14 5 3_包裝指示書(裏)" xfId="7594"/>
    <cellStyle name="一般 14 5 4" xfId="7595"/>
    <cellStyle name="一般 14 5 4 2" xfId="7596"/>
    <cellStyle name="一般 14 5 4 2 2" xfId="16545"/>
    <cellStyle name="一般 14 5 4 3" xfId="16544"/>
    <cellStyle name="一般 14 5 5" xfId="7597"/>
    <cellStyle name="一般 14 5 5 2" xfId="7598"/>
    <cellStyle name="一般 14 5 5 2 2" xfId="16547"/>
    <cellStyle name="一般 14 5 5 3" xfId="16546"/>
    <cellStyle name="一般 14 5 6" xfId="7599"/>
    <cellStyle name="一般 14 5 6 2" xfId="7600"/>
    <cellStyle name="一般 14 5 6 2 2" xfId="16549"/>
    <cellStyle name="一般 14 5 6 3" xfId="16548"/>
    <cellStyle name="一般 14 5 7" xfId="7601"/>
    <cellStyle name="一般 14 5 7 2" xfId="7602"/>
    <cellStyle name="一般 14 5 7 2 2" xfId="16551"/>
    <cellStyle name="一般 14 5 7 3" xfId="16550"/>
    <cellStyle name="一般 14 5 8" xfId="7603"/>
    <cellStyle name="一般 14 5 8 2" xfId="16552"/>
    <cellStyle name="一般 14 5 9" xfId="16531"/>
    <cellStyle name="一般 14 5_包裝指示書(裏)" xfId="7604"/>
    <cellStyle name="一般 14 6" xfId="7605"/>
    <cellStyle name="一般 14 6 2" xfId="7606"/>
    <cellStyle name="一般 14 6 2 2" xfId="7607"/>
    <cellStyle name="一般 14 6 2 2 2" xfId="7608"/>
    <cellStyle name="一般 14 6 2 2 2 2" xfId="16556"/>
    <cellStyle name="一般 14 6 2 2 3" xfId="16555"/>
    <cellStyle name="一般 14 6 2 3" xfId="7609"/>
    <cellStyle name="一般 14 6 2 3 2" xfId="7610"/>
    <cellStyle name="一般 14 6 2 3 2 2" xfId="16558"/>
    <cellStyle name="一般 14 6 2 3 3" xfId="16557"/>
    <cellStyle name="一般 14 6 2 4" xfId="7611"/>
    <cellStyle name="一般 14 6 2 4 2" xfId="16559"/>
    <cellStyle name="一般 14 6 2 5" xfId="16554"/>
    <cellStyle name="一般 14 6 2_包裝指示書(裏)" xfId="7612"/>
    <cellStyle name="一般 14 6 3" xfId="7613"/>
    <cellStyle name="一般 14 6 3 2" xfId="7614"/>
    <cellStyle name="一般 14 6 3_包裝指示書(裏)" xfId="7615"/>
    <cellStyle name="一般 14 6 4" xfId="7616"/>
    <cellStyle name="一般 14 6 5" xfId="7617"/>
    <cellStyle name="一般 14 6 5 2" xfId="16560"/>
    <cellStyle name="一般 14 6 6" xfId="16553"/>
    <cellStyle name="一般 14 6_包裝指示書(裏)" xfId="7618"/>
    <cellStyle name="一般 14 7" xfId="7619"/>
    <cellStyle name="一般 14 7 2" xfId="7620"/>
    <cellStyle name="一般 14 7 2 2" xfId="7621"/>
    <cellStyle name="一般 14 7 2 2 2" xfId="7622"/>
    <cellStyle name="一般 14 7 2 2 2 2" xfId="16564"/>
    <cellStyle name="一般 14 7 2 2 3" xfId="16563"/>
    <cellStyle name="一般 14 7 2 3" xfId="7623"/>
    <cellStyle name="一般 14 7 2 3 2" xfId="7624"/>
    <cellStyle name="一般 14 7 2 3 2 2" xfId="16566"/>
    <cellStyle name="一般 14 7 2 3 3" xfId="16565"/>
    <cellStyle name="一般 14 7 2 4" xfId="7625"/>
    <cellStyle name="一般 14 7 2 4 2" xfId="16567"/>
    <cellStyle name="一般 14 7 2 5" xfId="16562"/>
    <cellStyle name="一般 14 7 2_包裝指示書(裏)" xfId="7626"/>
    <cellStyle name="一般 14 7 3" xfId="7627"/>
    <cellStyle name="一般 14 7 3 2" xfId="7628"/>
    <cellStyle name="一般 14 7 3 2 2" xfId="16569"/>
    <cellStyle name="一般 14 7 3 3" xfId="16568"/>
    <cellStyle name="一般 14 7 4" xfId="7629"/>
    <cellStyle name="一般 14 7 4 2" xfId="7630"/>
    <cellStyle name="一般 14 7 4 2 2" xfId="16571"/>
    <cellStyle name="一般 14 7 4 3" xfId="16570"/>
    <cellStyle name="一般 14 7 5" xfId="7631"/>
    <cellStyle name="一般 14 7 5 2" xfId="16572"/>
    <cellStyle name="一般 14 7 6" xfId="16561"/>
    <cellStyle name="一般 14 7_包裝指示書(裏)" xfId="7632"/>
    <cellStyle name="一般 14 8" xfId="7633"/>
    <cellStyle name="一般 14 8 2" xfId="7634"/>
    <cellStyle name="一般 14 8 2 2" xfId="7635"/>
    <cellStyle name="一般 14 8 2 2 2" xfId="7636"/>
    <cellStyle name="一般 14 8 2 2 2 2" xfId="16576"/>
    <cellStyle name="一般 14 8 2 2 3" xfId="16575"/>
    <cellStyle name="一般 14 8 2 3" xfId="7637"/>
    <cellStyle name="一般 14 8 2 3 2" xfId="7638"/>
    <cellStyle name="一般 14 8 2 3 2 2" xfId="16578"/>
    <cellStyle name="一般 14 8 2 3 3" xfId="16577"/>
    <cellStyle name="一般 14 8 2 4" xfId="7639"/>
    <cellStyle name="一般 14 8 2 4 2" xfId="16579"/>
    <cellStyle name="一般 14 8 2 5" xfId="16574"/>
    <cellStyle name="一般 14 8 2_包裝指示書(裏)" xfId="7640"/>
    <cellStyle name="一般 14 8 3" xfId="7641"/>
    <cellStyle name="一般 14 8 3 2" xfId="7642"/>
    <cellStyle name="一般 14 8 3 2 2" xfId="16581"/>
    <cellStyle name="一般 14 8 3 3" xfId="16580"/>
    <cellStyle name="一般 14 8 4" xfId="7643"/>
    <cellStyle name="一般 14 8 4 2" xfId="7644"/>
    <cellStyle name="一般 14 8 4 2 2" xfId="16583"/>
    <cellStyle name="一般 14 8 4 3" xfId="16582"/>
    <cellStyle name="一般 14 8 5" xfId="7645"/>
    <cellStyle name="一般 14 8 5 2" xfId="16584"/>
    <cellStyle name="一般 14 8 6" xfId="16573"/>
    <cellStyle name="一般 14 8_包裝指示書(裏)" xfId="7646"/>
    <cellStyle name="一般 14 9" xfId="7647"/>
    <cellStyle name="一般 14 9 2" xfId="7648"/>
    <cellStyle name="一般 14 9 2 2" xfId="7649"/>
    <cellStyle name="一般 14 9 2 2 2" xfId="16587"/>
    <cellStyle name="一般 14 9 2 3" xfId="16586"/>
    <cellStyle name="一般 14 9 3" xfId="7650"/>
    <cellStyle name="一般 14 9 3 2" xfId="7651"/>
    <cellStyle name="一般 14 9 3 2 2" xfId="16589"/>
    <cellStyle name="一般 14 9 3 3" xfId="16588"/>
    <cellStyle name="一般 14 9 4" xfId="7652"/>
    <cellStyle name="一般 14 9 4 2" xfId="16590"/>
    <cellStyle name="一般 14 9 5" xfId="16585"/>
    <cellStyle name="一般 14 9_包裝指示書(裏)" xfId="7653"/>
    <cellStyle name="一般 14_包裝指示書(裏)" xfId="7654"/>
    <cellStyle name="一般 15" xfId="7655"/>
    <cellStyle name="一般 15 10" xfId="7656"/>
    <cellStyle name="一般 15 10 2" xfId="16592"/>
    <cellStyle name="一般 15 11" xfId="7657"/>
    <cellStyle name="一般 15 11 2" xfId="16593"/>
    <cellStyle name="一般 15 12" xfId="16591"/>
    <cellStyle name="一般 15 2" xfId="7658"/>
    <cellStyle name="一般 15 2 2" xfId="7659"/>
    <cellStyle name="一般 15 2 2 2" xfId="7660"/>
    <cellStyle name="一般 15 2 2 3" xfId="7661"/>
    <cellStyle name="一般 15 2 2 4" xfId="7662"/>
    <cellStyle name="一般 15 2 2 5" xfId="16594"/>
    <cellStyle name="一般 15 2 3" xfId="7663"/>
    <cellStyle name="一般 15 2 4" xfId="7664"/>
    <cellStyle name="一般 15 2 5" xfId="7665"/>
    <cellStyle name="一般 15 2 5 2" xfId="16595"/>
    <cellStyle name="一般 15 2 6" xfId="7666"/>
    <cellStyle name="一般 15 2 6 2" xfId="16596"/>
    <cellStyle name="一般 15 3" xfId="7667"/>
    <cellStyle name="一般 15 3 10" xfId="16597"/>
    <cellStyle name="一般 15 3 2" xfId="7668"/>
    <cellStyle name="一般 15 3 2 2" xfId="7669"/>
    <cellStyle name="一般 15 3 2 2 2" xfId="7670"/>
    <cellStyle name="一般 15 3 2 2 2 2" xfId="7671"/>
    <cellStyle name="一般 15 3 2 2 2 2 2" xfId="16601"/>
    <cellStyle name="一般 15 3 2 2 2 3" xfId="16600"/>
    <cellStyle name="一般 15 3 2 2 3" xfId="7672"/>
    <cellStyle name="一般 15 3 2 2 3 2" xfId="16602"/>
    <cellStyle name="一般 15 3 2 2 4" xfId="16599"/>
    <cellStyle name="一般 15 3 2 2_包裝指示書(裏)" xfId="7673"/>
    <cellStyle name="一般 15 3 2 3" xfId="7674"/>
    <cellStyle name="一般 15 3 2 3 2" xfId="7675"/>
    <cellStyle name="一般 15 3 2 3 2 2" xfId="16604"/>
    <cellStyle name="一般 15 3 2 3 3" xfId="16603"/>
    <cellStyle name="一般 15 3 2 4" xfId="7676"/>
    <cellStyle name="一般 15 3 2 4 2" xfId="7677"/>
    <cellStyle name="一般 15 3 2 4 2 2" xfId="16606"/>
    <cellStyle name="一般 15 3 2 4 3" xfId="16605"/>
    <cellStyle name="一般 15 3 2 5" xfId="7678"/>
    <cellStyle name="一般 15 3 2 5 2" xfId="7679"/>
    <cellStyle name="一般 15 3 2 5 2 2" xfId="16608"/>
    <cellStyle name="一般 15 3 2 5 3" xfId="16607"/>
    <cellStyle name="一般 15 3 2 6" xfId="7680"/>
    <cellStyle name="一般 15 3 2 6 2" xfId="7681"/>
    <cellStyle name="一般 15 3 2 6 2 2" xfId="16610"/>
    <cellStyle name="一般 15 3 2 6 3" xfId="16609"/>
    <cellStyle name="一般 15 3 2 7" xfId="7682"/>
    <cellStyle name="一般 15 3 2 7 2" xfId="7683"/>
    <cellStyle name="一般 15 3 2 7 2 2" xfId="16612"/>
    <cellStyle name="一般 15 3 2 7 3" xfId="16611"/>
    <cellStyle name="一般 15 3 2 8" xfId="7684"/>
    <cellStyle name="一般 15 3 2 8 2" xfId="16613"/>
    <cellStyle name="一般 15 3 2 9" xfId="16598"/>
    <cellStyle name="一般 15 3 2_包裝指示書(裏)" xfId="7685"/>
    <cellStyle name="一般 15 3 3" xfId="7686"/>
    <cellStyle name="一般 15 3 3 2" xfId="7687"/>
    <cellStyle name="一般 15 3 3 2 2" xfId="7688"/>
    <cellStyle name="一般 15 3 3 2 2 2" xfId="16616"/>
    <cellStyle name="一般 15 3 3 2 3" xfId="16615"/>
    <cellStyle name="一般 15 3 3 3" xfId="7689"/>
    <cellStyle name="一般 15 3 3 3 2" xfId="16617"/>
    <cellStyle name="一般 15 3 3 4" xfId="7690"/>
    <cellStyle name="一般 15 3 3 4 2" xfId="16618"/>
    <cellStyle name="一般 15 3 3 5" xfId="7691"/>
    <cellStyle name="一般 15 3 3 5 2" xfId="16619"/>
    <cellStyle name="一般 15 3 3 6" xfId="16614"/>
    <cellStyle name="一般 15 3 3_包裝指示書(裏)" xfId="7692"/>
    <cellStyle name="一般 15 3 4" xfId="7693"/>
    <cellStyle name="一般 15 3 4 2" xfId="7694"/>
    <cellStyle name="一般 15 3 4 2 2" xfId="16621"/>
    <cellStyle name="一般 15 3 4 3" xfId="16620"/>
    <cellStyle name="一般 15 3 5" xfId="7695"/>
    <cellStyle name="一般 15 3 5 2" xfId="7696"/>
    <cellStyle name="一般 15 3 5 2 2" xfId="16623"/>
    <cellStyle name="一般 15 3 5 3" xfId="16622"/>
    <cellStyle name="一般 15 3 6" xfId="7697"/>
    <cellStyle name="一般 15 3 6 2" xfId="7698"/>
    <cellStyle name="一般 15 3 6 2 2" xfId="16625"/>
    <cellStyle name="一般 15 3 6 3" xfId="16624"/>
    <cellStyle name="一般 15 3 7" xfId="7699"/>
    <cellStyle name="一般 15 3 7 2" xfId="7700"/>
    <cellStyle name="一般 15 3 7 2 2" xfId="16627"/>
    <cellStyle name="一般 15 3 7 3" xfId="16626"/>
    <cellStyle name="一般 15 3 8" xfId="7701"/>
    <cellStyle name="一般 15 3 8 2" xfId="7702"/>
    <cellStyle name="一般 15 3 8 2 2" xfId="16629"/>
    <cellStyle name="一般 15 3 8 3" xfId="16628"/>
    <cellStyle name="一般 15 3 9" xfId="7703"/>
    <cellStyle name="一般 15 3 9 2" xfId="16630"/>
    <cellStyle name="一般 15 3_包裝指示書(裏)" xfId="7704"/>
    <cellStyle name="一般 15 4" xfId="7705"/>
    <cellStyle name="一般 15 4 2" xfId="7706"/>
    <cellStyle name="一般 15 4 2 2" xfId="7707"/>
    <cellStyle name="一般 15 4 2 2 2" xfId="7708"/>
    <cellStyle name="一般 15 4 2 2 2 2" xfId="16634"/>
    <cellStyle name="一般 15 4 2 2 3" xfId="16633"/>
    <cellStyle name="一般 15 4 2 3" xfId="7709"/>
    <cellStyle name="一般 15 4 2 3 2" xfId="16635"/>
    <cellStyle name="一般 15 4 2 4" xfId="16632"/>
    <cellStyle name="一般 15 4 2_包裝指示書(裏)" xfId="7710"/>
    <cellStyle name="一般 15 4 3" xfId="7711"/>
    <cellStyle name="一般 15 4 3 2" xfId="7712"/>
    <cellStyle name="一般 15 4 3 2 2" xfId="16637"/>
    <cellStyle name="一般 15 4 3 3" xfId="16636"/>
    <cellStyle name="一般 15 4 4" xfId="7713"/>
    <cellStyle name="一般 15 4 4 2" xfId="7714"/>
    <cellStyle name="一般 15 4 4 2 2" xfId="16639"/>
    <cellStyle name="一般 15 4 4 3" xfId="16638"/>
    <cellStyle name="一般 15 4 5" xfId="7715"/>
    <cellStyle name="一般 15 4 5 2" xfId="7716"/>
    <cellStyle name="一般 15 4 5 2 2" xfId="16641"/>
    <cellStyle name="一般 15 4 5 3" xfId="16640"/>
    <cellStyle name="一般 15 4 6" xfId="7717"/>
    <cellStyle name="一般 15 4 6 2" xfId="7718"/>
    <cellStyle name="一般 15 4 6 2 2" xfId="16643"/>
    <cellStyle name="一般 15 4 6 3" xfId="16642"/>
    <cellStyle name="一般 15 4 7" xfId="7719"/>
    <cellStyle name="一般 15 4 7 2" xfId="7720"/>
    <cellStyle name="一般 15 4 7 2 2" xfId="16645"/>
    <cellStyle name="一般 15 4 7 3" xfId="16644"/>
    <cellStyle name="一般 15 4 8" xfId="7721"/>
    <cellStyle name="一般 15 4 8 2" xfId="16646"/>
    <cellStyle name="一般 15 4 9" xfId="16631"/>
    <cellStyle name="一般 15 4_包裝指示書(裏)" xfId="7722"/>
    <cellStyle name="一般 15 5" xfId="7723"/>
    <cellStyle name="一般 15 5 2" xfId="7724"/>
    <cellStyle name="一般 15 5 2 2" xfId="7725"/>
    <cellStyle name="一般 15 5 2 2 2" xfId="16649"/>
    <cellStyle name="一般 15 5 2 3" xfId="16648"/>
    <cellStyle name="一般 15 5 3" xfId="7726"/>
    <cellStyle name="一般 15 5 3 2" xfId="16650"/>
    <cellStyle name="一般 15 5 4" xfId="7727"/>
    <cellStyle name="一般 15 5 4 2" xfId="16651"/>
    <cellStyle name="一般 15 5 5" xfId="7728"/>
    <cellStyle name="一般 15 5 5 2" xfId="16652"/>
    <cellStyle name="一般 15 5 6" xfId="16647"/>
    <cellStyle name="一般 15 6" xfId="7729"/>
    <cellStyle name="一般 15 6 2" xfId="7730"/>
    <cellStyle name="一般 15 6 2 2" xfId="16654"/>
    <cellStyle name="一般 15 6 3" xfId="7731"/>
    <cellStyle name="一般 15 6 3 2" xfId="16655"/>
    <cellStyle name="一般 15 6 4" xfId="7732"/>
    <cellStyle name="一般 15 6 4 2" xfId="16656"/>
    <cellStyle name="一般 15 6 5" xfId="7733"/>
    <cellStyle name="一般 15 6 5 2" xfId="16657"/>
    <cellStyle name="一般 15 6 6" xfId="16653"/>
    <cellStyle name="一般 15 7" xfId="7734"/>
    <cellStyle name="一般 15 7 2" xfId="7735"/>
    <cellStyle name="一般 15 7 2 2" xfId="16659"/>
    <cellStyle name="一般 15 7 3" xfId="16658"/>
    <cellStyle name="一般 15 8" xfId="7736"/>
    <cellStyle name="一般 15 8 2" xfId="7737"/>
    <cellStyle name="一般 15 8 2 2" xfId="16661"/>
    <cellStyle name="一般 15 8 3" xfId="16660"/>
    <cellStyle name="一般 15 9" xfId="7738"/>
    <cellStyle name="一般 15 9 2" xfId="7739"/>
    <cellStyle name="一般 15 9 2 2" xfId="16663"/>
    <cellStyle name="一般 15 9 3" xfId="16662"/>
    <cellStyle name="一般 15_包裝指示書(裏)" xfId="7740"/>
    <cellStyle name="一般 16" xfId="7741"/>
    <cellStyle name="一般 16 2" xfId="7742"/>
    <cellStyle name="一般 16 3" xfId="7743"/>
    <cellStyle name="一般 16 4" xfId="7744"/>
    <cellStyle name="一般 16_包裝指示書(裏)" xfId="7745"/>
    <cellStyle name="一般 17" xfId="7746"/>
    <cellStyle name="一般 18" xfId="7747"/>
    <cellStyle name="一般 19" xfId="7748"/>
    <cellStyle name="一般 2" xfId="45"/>
    <cellStyle name="一般 2 10" xfId="46"/>
    <cellStyle name="一般 2 10 2" xfId="6"/>
    <cellStyle name="一般 2 10 2 2" xfId="7"/>
    <cellStyle name="一般 2 10 2 2 2" xfId="47"/>
    <cellStyle name="一般 2 10 2 2 2 2" xfId="7749"/>
    <cellStyle name="一般 2 10 2 2 2 2 2" xfId="7750"/>
    <cellStyle name="一般 2 10 2 2 2 2 2 2" xfId="7751"/>
    <cellStyle name="一般 2 10 2 2 2 2 2_包裝指示書(裏)" xfId="7752"/>
    <cellStyle name="一般 2 10 2 2 2 2 3" xfId="7753"/>
    <cellStyle name="一般 2 10 2 2 2 2 4" xfId="7754"/>
    <cellStyle name="一般 2 10 2 2 2 2 5" xfId="7755"/>
    <cellStyle name="一般 2 10 2 2 2 2 6" xfId="7756"/>
    <cellStyle name="一般 2 10 2 2 2 2_包裝指示書(裏)" xfId="7757"/>
    <cellStyle name="一般 2 10 2 2 2 3" xfId="7758"/>
    <cellStyle name="一般 2 10 2 2 2 3 2" xfId="7759"/>
    <cellStyle name="一般 2 10 2 2 2 3_包裝指示書(裏)" xfId="7760"/>
    <cellStyle name="一般 2 10 2 2 2_包裝指示書(裏)" xfId="7761"/>
    <cellStyle name="一般 2 10 2 2 3" xfId="1137"/>
    <cellStyle name="一般 2 10 2 2 3 2" xfId="7762"/>
    <cellStyle name="一般 2 10 2 2 3 2 2" xfId="7763"/>
    <cellStyle name="一般 2 10 2 2 3 2 2 2" xfId="7764"/>
    <cellStyle name="一般 2 10 2 2 3 2 2 3" xfId="7765"/>
    <cellStyle name="一般 2 10 2 2 3 2 2_包裝指示書(裏)" xfId="7766"/>
    <cellStyle name="一般 2 10 2 2 3 2 3" xfId="7767"/>
    <cellStyle name="一般 2 10 2 2 3 2_包裝指示書(裏)" xfId="7768"/>
    <cellStyle name="一般 2 10 2 2 3 3" xfId="7769"/>
    <cellStyle name="一般 2 10 2 2 3 3 2" xfId="7770"/>
    <cellStyle name="一般 2 10 2 2 3 3 3" xfId="7771"/>
    <cellStyle name="一般 2 10 2 2 3 3_包裝指示書(裏)" xfId="7772"/>
    <cellStyle name="一般 2 10 2 2 3_包裝指示書(裏)" xfId="7773"/>
    <cellStyle name="一般 2 10 2 2 4" xfId="7774"/>
    <cellStyle name="一般 2 10 2 2 5" xfId="7775"/>
    <cellStyle name="一般 2 10 2 2 5 2" xfId="7776"/>
    <cellStyle name="一般 2 10 2 2 5 3" xfId="7777"/>
    <cellStyle name="一般 2 10 2 2 5 4" xfId="7778"/>
    <cellStyle name="一般 2 10 2 2 6" xfId="7779"/>
    <cellStyle name="一般 2 10 2 2 7" xfId="7780"/>
    <cellStyle name="一般 2 10 2 2 8" xfId="7781"/>
    <cellStyle name="一般 2 10 2 2_包裝指示書(裏)" xfId="7782"/>
    <cellStyle name="一般 2 10 2 3" xfId="48"/>
    <cellStyle name="一般 2 10 2 3 2" xfId="7783"/>
    <cellStyle name="一般 2 10 2 3 2 2" xfId="7784"/>
    <cellStyle name="一般 2 10 2 3 2 2 2" xfId="7785"/>
    <cellStyle name="一般 2 10 2 3 2 2 3" xfId="7786"/>
    <cellStyle name="一般 2 10 2 3 2 2 3 2" xfId="7787"/>
    <cellStyle name="一般 2 10 2 3 2 2 4" xfId="7788"/>
    <cellStyle name="一般 2 10 2 3 2 2 5" xfId="7789"/>
    <cellStyle name="一般 2 10 2 3 2 2 6" xfId="7790"/>
    <cellStyle name="一般 2 10 2 3 2 2_包裝指示書(裏)" xfId="7791"/>
    <cellStyle name="一般 2 10 2 3 2 3" xfId="7792"/>
    <cellStyle name="一般 2 10 2 3 2 4" xfId="7793"/>
    <cellStyle name="一般 2 10 2 3 2 5" xfId="7794"/>
    <cellStyle name="一般 2 10 2 3 2 6" xfId="7795"/>
    <cellStyle name="一般 2 10 2 3 2_包裝指示書(裏)" xfId="7796"/>
    <cellStyle name="一般 2 10 2 3 3" xfId="7797"/>
    <cellStyle name="一般 2 10 2 3 3 2" xfId="7798"/>
    <cellStyle name="一般 2 10 2 3 3 3" xfId="7799"/>
    <cellStyle name="一般 2 10 2 3 3 4" xfId="7800"/>
    <cellStyle name="一般 2 10 2 3 3 5" xfId="7801"/>
    <cellStyle name="一般 2 10 2 3 3_包裝指示書(裏)" xfId="7802"/>
    <cellStyle name="一般 2 10 2 3 4" xfId="7803"/>
    <cellStyle name="一般 2 10 2 3_包裝指示書(裏)" xfId="7804"/>
    <cellStyle name="一般 2 10 2 4" xfId="7805"/>
    <cellStyle name="一般 2 10 2 4 2" xfId="7806"/>
    <cellStyle name="一般 2 10 2 4 2 2" xfId="7807"/>
    <cellStyle name="一般 2 10 2 4 2 3" xfId="7808"/>
    <cellStyle name="一般 2 10 2 4 2 4" xfId="7809"/>
    <cellStyle name="一般 2 10 2 4 2 5" xfId="7810"/>
    <cellStyle name="一般 2 10 2 4 2_包裝指示書(裏)" xfId="7811"/>
    <cellStyle name="一般 2 10 2 4 3" xfId="7812"/>
    <cellStyle name="一般 2 10 2 4 4" xfId="7813"/>
    <cellStyle name="一般 2 10 2 4 5" xfId="7814"/>
    <cellStyle name="一般 2 10 2 4 6" xfId="7815"/>
    <cellStyle name="一般 2 10 2 4_包裝指示書(裏)" xfId="7816"/>
    <cellStyle name="一般 2 10 2 5" xfId="7817"/>
    <cellStyle name="一般 2 10 2 5 2" xfId="7818"/>
    <cellStyle name="一般 2 10 2 5 3" xfId="7819"/>
    <cellStyle name="一般 2 10 2 5 4" xfId="7820"/>
    <cellStyle name="一般 2 10 2 5 5" xfId="7821"/>
    <cellStyle name="一般 2 10 2 5_包裝指示書(裏)" xfId="7822"/>
    <cellStyle name="一般 2 10 2_包裝指示書(裏)" xfId="7823"/>
    <cellStyle name="一般 2 10 3" xfId="7824"/>
    <cellStyle name="一般 2 10 3 2" xfId="7825"/>
    <cellStyle name="一般 2 10 3 3" xfId="7826"/>
    <cellStyle name="一般 2 10 3 4" xfId="7827"/>
    <cellStyle name="一般 2 10 3 5" xfId="7828"/>
    <cellStyle name="一般 2 10 3_包裝指示書(裏)" xfId="7829"/>
    <cellStyle name="一般 2 10 4" xfId="7830"/>
    <cellStyle name="一般 2 10_包裝指示書(裏)" xfId="7831"/>
    <cellStyle name="一般 2 11" xfId="49"/>
    <cellStyle name="一般 2 11 2" xfId="50"/>
    <cellStyle name="一般 2 11 2 2" xfId="1100"/>
    <cellStyle name="一般 2 11 2 2 2" xfId="1147"/>
    <cellStyle name="一般 2 11 2 2_包裝指示書(裏)" xfId="7832"/>
    <cellStyle name="一般 2 11 2_包裝指示書(裏)" xfId="7833"/>
    <cellStyle name="一般 2 11 3" xfId="1108"/>
    <cellStyle name="一般 2 11 3 2" xfId="7835"/>
    <cellStyle name="一般 2 11 3 2 2" xfId="7836"/>
    <cellStyle name="一般 2 11 3 2 3" xfId="7837"/>
    <cellStyle name="一般 2 11 3 2_包裝指示書(裏)" xfId="7838"/>
    <cellStyle name="一般 2 11 3 3" xfId="7839"/>
    <cellStyle name="一般 2 11 3 4" xfId="7840"/>
    <cellStyle name="一般 2 11 3 5" xfId="7841"/>
    <cellStyle name="一般 2 11 3 6" xfId="7834"/>
    <cellStyle name="一般 2 11 3_包裝指示書(裏)" xfId="7842"/>
    <cellStyle name="一般 2 11_包裝指示書(裏)" xfId="7843"/>
    <cellStyle name="一般 2 12" xfId="51"/>
    <cellStyle name="一般 2 12 2" xfId="52"/>
    <cellStyle name="一般 2 12 2 2" xfId="7844"/>
    <cellStyle name="一般 2 12 2_包裝指示書(裏)" xfId="7845"/>
    <cellStyle name="一般 2 12 3" xfId="1109"/>
    <cellStyle name="一般 2 12 3 2" xfId="7847"/>
    <cellStyle name="一般 2 12 3 2 2" xfId="7848"/>
    <cellStyle name="一般 2 12 3 2 3" xfId="7849"/>
    <cellStyle name="一般 2 12 3 2_包裝指示書(裏)" xfId="7850"/>
    <cellStyle name="一般 2 12 3 3" xfId="7851"/>
    <cellStyle name="一般 2 12 3 4" xfId="7852"/>
    <cellStyle name="一般 2 12 3 5" xfId="7853"/>
    <cellStyle name="一般 2 12 3 6" xfId="7846"/>
    <cellStyle name="一般 2 12 3_包裝指示書(裏)" xfId="7854"/>
    <cellStyle name="一般 2 12_包裝指示書(裏)" xfId="7855"/>
    <cellStyle name="一般 2 13" xfId="53"/>
    <cellStyle name="一般 2 13 2" xfId="54"/>
    <cellStyle name="一般 2 13 2 2" xfId="7856"/>
    <cellStyle name="一般 2 13 2_包裝指示書(裏)" xfId="7857"/>
    <cellStyle name="一般 2 13 3" xfId="1110"/>
    <cellStyle name="一般 2 13 3 2" xfId="7859"/>
    <cellStyle name="一般 2 13 3 2 2" xfId="7860"/>
    <cellStyle name="一般 2 13 3 2 3" xfId="7861"/>
    <cellStyle name="一般 2 13 3 2_包裝指示書(裏)" xfId="7862"/>
    <cellStyle name="一般 2 13 3 3" xfId="7863"/>
    <cellStyle name="一般 2 13 3 4" xfId="7864"/>
    <cellStyle name="一般 2 13 3 5" xfId="7865"/>
    <cellStyle name="一般 2 13 3 6" xfId="7858"/>
    <cellStyle name="一般 2 13 3_包裝指示書(裏)" xfId="7866"/>
    <cellStyle name="一般 2 13_包裝指示書(裏)" xfId="7867"/>
    <cellStyle name="一般 2 14" xfId="55"/>
    <cellStyle name="一般 2 14 2" xfId="56"/>
    <cellStyle name="一般 2 14 2 2" xfId="7868"/>
    <cellStyle name="一般 2 14 2_包裝指示書(裏)" xfId="7869"/>
    <cellStyle name="一般 2 14 3" xfId="1111"/>
    <cellStyle name="一般 2 14 3 2" xfId="7871"/>
    <cellStyle name="一般 2 14 3 2 2" xfId="7872"/>
    <cellStyle name="一般 2 14 3 2 3" xfId="7873"/>
    <cellStyle name="一般 2 14 3 2_包裝指示書(裏)" xfId="7874"/>
    <cellStyle name="一般 2 14 3 3" xfId="7875"/>
    <cellStyle name="一般 2 14 3 4" xfId="7876"/>
    <cellStyle name="一般 2 14 3 5" xfId="7877"/>
    <cellStyle name="一般 2 14 3 6" xfId="7870"/>
    <cellStyle name="一般 2 14 3_包裝指示書(裏)" xfId="7878"/>
    <cellStyle name="一般 2 14_包裝指示書(裏)" xfId="7879"/>
    <cellStyle name="一般 2 15" xfId="57"/>
    <cellStyle name="一般 2 15 2" xfId="58"/>
    <cellStyle name="一般 2 15 2 2" xfId="7880"/>
    <cellStyle name="一般 2 15 2 2 2" xfId="7881"/>
    <cellStyle name="一般 2 15 2 2 2 2" xfId="7882"/>
    <cellStyle name="一般 2 15 2 2 2 3" xfId="7883"/>
    <cellStyle name="一般 2 15 2 2 2 4" xfId="7884"/>
    <cellStyle name="一般 2 15 2 2 2 5" xfId="7885"/>
    <cellStyle name="一般 2 15 2 2 2_包裝指示書(裏)" xfId="7886"/>
    <cellStyle name="一般 2 15 2 2 3" xfId="7887"/>
    <cellStyle name="一般 2 15 2 2 3 2" xfId="7888"/>
    <cellStyle name="一般 2 15 2 2 3 3" xfId="7889"/>
    <cellStyle name="一般 2 15 2 2 3_包裝指示書(裏)" xfId="7890"/>
    <cellStyle name="一般 2 15 2 2 4" xfId="7891"/>
    <cellStyle name="一般 2 15 2 2 5" xfId="7892"/>
    <cellStyle name="一般 2 15 2 2_包裝指示書(裏)" xfId="7893"/>
    <cellStyle name="一般 2 15 2 3" xfId="7894"/>
    <cellStyle name="一般 2 15 2 3 2" xfId="7895"/>
    <cellStyle name="一般 2 15 2 3 3" xfId="7896"/>
    <cellStyle name="一般 2 15 2 3 4" xfId="7897"/>
    <cellStyle name="一般 2 15 2 3 5" xfId="7898"/>
    <cellStyle name="一般 2 15 2 3_包裝指示書(裏)" xfId="7899"/>
    <cellStyle name="一般 2 15 2 4" xfId="7900"/>
    <cellStyle name="一般 2 15 2_包裝指示書(裏)" xfId="7901"/>
    <cellStyle name="一般 2 15 3" xfId="1112"/>
    <cellStyle name="一般 2 15 3 2" xfId="7903"/>
    <cellStyle name="一般 2 15 3 3" xfId="7904"/>
    <cellStyle name="一般 2 15 3 4" xfId="7905"/>
    <cellStyle name="一般 2 15 3 5" xfId="7906"/>
    <cellStyle name="一般 2 15 3 6" xfId="7902"/>
    <cellStyle name="一般 2 15 3_包裝指示書(裏)" xfId="7907"/>
    <cellStyle name="一般 2 15 4" xfId="7908"/>
    <cellStyle name="一般 2 15_包裝指示書(裏)" xfId="7909"/>
    <cellStyle name="一般 2 16" xfId="7910"/>
    <cellStyle name="一般 2 16 2" xfId="7911"/>
    <cellStyle name="一般 2 16 2 2" xfId="7912"/>
    <cellStyle name="一般 2 16 2 3" xfId="7913"/>
    <cellStyle name="一般 2 16 2_包裝指示書(裏)" xfId="7914"/>
    <cellStyle name="一般 2 16 3" xfId="7915"/>
    <cellStyle name="一般 2 16 4" xfId="7916"/>
    <cellStyle name="一般 2 16 5" xfId="7917"/>
    <cellStyle name="一般 2 16 6" xfId="7918"/>
    <cellStyle name="一般 2 16_包裝指示書(裏)" xfId="7919"/>
    <cellStyle name="一般 2 17" xfId="7920"/>
    <cellStyle name="一般 2 17 2" xfId="7921"/>
    <cellStyle name="一般 2 17 3" xfId="7922"/>
    <cellStyle name="一般 2 17 4" xfId="7923"/>
    <cellStyle name="一般 2 17 5" xfId="7924"/>
    <cellStyle name="一般 2 17_包裝指示書(裏)" xfId="7925"/>
    <cellStyle name="一般 2 18" xfId="7926"/>
    <cellStyle name="一般 2 19" xfId="7927"/>
    <cellStyle name="一般 2 2" xfId="59"/>
    <cellStyle name="一般 2 2 2" xfId="60"/>
    <cellStyle name="一般 2 2 2 2" xfId="61"/>
    <cellStyle name="一般 2 2 2 2 2" xfId="62"/>
    <cellStyle name="一般 2 2 2 2 2 2" xfId="7928"/>
    <cellStyle name="一般 2 2 2 2 2_包裝指示書(裏)" xfId="7929"/>
    <cellStyle name="一般 2 2 2 2 3" xfId="1113"/>
    <cellStyle name="一般 2 2 2 2 3 2" xfId="7931"/>
    <cellStyle name="一般 2 2 2 2 3 3" xfId="7932"/>
    <cellStyle name="一般 2 2 2 2 3 4" xfId="7933"/>
    <cellStyle name="一般 2 2 2 2 3 5" xfId="7934"/>
    <cellStyle name="一般 2 2 2 2 3 6" xfId="7930"/>
    <cellStyle name="一般 2 2 2 2 3_包裝指示書(裏)" xfId="7935"/>
    <cellStyle name="一般 2 2 2 2_包裝指示書(裏)" xfId="7936"/>
    <cellStyle name="一般 2 2 3" xfId="63"/>
    <cellStyle name="一般 2 2 3 2" xfId="7937"/>
    <cellStyle name="一般 2 2 3 3" xfId="7938"/>
    <cellStyle name="一般 2 2 3_包裝指示書(裏)" xfId="7939"/>
    <cellStyle name="一般 2 2 4" xfId="1114"/>
    <cellStyle name="一般 2 2 4 2" xfId="7941"/>
    <cellStyle name="一般 2 2 4 2 2" xfId="7942"/>
    <cellStyle name="一般 2 2 4 2 3" xfId="7943"/>
    <cellStyle name="一般 2 2 4 2_包裝指示書(裏)" xfId="7944"/>
    <cellStyle name="一般 2 2 4 3" xfId="7945"/>
    <cellStyle name="一般 2 2 4 4" xfId="7946"/>
    <cellStyle name="一般 2 2 4 5" xfId="7947"/>
    <cellStyle name="一般 2 2 4 6" xfId="7940"/>
    <cellStyle name="一般 2 2 4_包裝指示書(裏)" xfId="7948"/>
    <cellStyle name="一般 2 2_包裝指示書(裏)" xfId="7949"/>
    <cellStyle name="一般 2 20" xfId="7950"/>
    <cellStyle name="一般 2 23" xfId="7951"/>
    <cellStyle name="一般 2 3" xfId="64"/>
    <cellStyle name="一般 2 3 2" xfId="65"/>
    <cellStyle name="一般 2 3 2 2" xfId="7952"/>
    <cellStyle name="一般 2 3 2_包裝指示書(裏)" xfId="7953"/>
    <cellStyle name="一般 2 3 3" xfId="1115"/>
    <cellStyle name="一般 2 3 3 2" xfId="7955"/>
    <cellStyle name="一般 2 3 3 2 2" xfId="7956"/>
    <cellStyle name="一般 2 3 3 2 3" xfId="7957"/>
    <cellStyle name="一般 2 3 3 2_包裝指示書(裏)" xfId="7958"/>
    <cellStyle name="一般 2 3 3 3" xfId="7959"/>
    <cellStyle name="一般 2 3 3 4" xfId="7960"/>
    <cellStyle name="一般 2 3 3 5" xfId="7961"/>
    <cellStyle name="一般 2 3 3 6" xfId="7954"/>
    <cellStyle name="一般 2 3 3_包裝指示書(裏)" xfId="7962"/>
    <cellStyle name="一般 2 3 4" xfId="7963"/>
    <cellStyle name="一般 2 3 4 2" xfId="7964"/>
    <cellStyle name="一般 2 3 4 3" xfId="7965"/>
    <cellStyle name="一般 2 3 4 4" xfId="7966"/>
    <cellStyle name="一般 2 3 5" xfId="7967"/>
    <cellStyle name="一般 2 3 6" xfId="7968"/>
    <cellStyle name="一般 2 3 7" xfId="7969"/>
    <cellStyle name="一般 2 3_包裝指示書(裏)" xfId="7970"/>
    <cellStyle name="一般 2 4" xfId="66"/>
    <cellStyle name="一般 2 4 2" xfId="67"/>
    <cellStyle name="一般 2 4 2 2" xfId="7971"/>
    <cellStyle name="一般 2 4 2_包裝指示書(裏)" xfId="7972"/>
    <cellStyle name="一般 2 4 3" xfId="1116"/>
    <cellStyle name="一般 2 4 3 2" xfId="7974"/>
    <cellStyle name="一般 2 4 3 2 2" xfId="7975"/>
    <cellStyle name="一般 2 4 3 2 3" xfId="7976"/>
    <cellStyle name="一般 2 4 3 2_包裝指示書(裏)" xfId="7977"/>
    <cellStyle name="一般 2 4 3 3" xfId="7978"/>
    <cellStyle name="一般 2 4 3 4" xfId="7979"/>
    <cellStyle name="一般 2 4 3 5" xfId="7980"/>
    <cellStyle name="一般 2 4 3 6" xfId="7973"/>
    <cellStyle name="一般 2 4 3_包裝指示書(裏)" xfId="7981"/>
    <cellStyle name="一般 2 4_包裝指示書(裏)" xfId="7982"/>
    <cellStyle name="一般 2 5" xfId="68"/>
    <cellStyle name="一般 2 5 2" xfId="69"/>
    <cellStyle name="一般 2 5 2 2" xfId="7983"/>
    <cellStyle name="一般 2 5 2_包裝指示書(裏)" xfId="7984"/>
    <cellStyle name="一般 2 5 3" xfId="1117"/>
    <cellStyle name="一般 2 5 3 2" xfId="7986"/>
    <cellStyle name="一般 2 5 3 2 2" xfId="7987"/>
    <cellStyle name="一般 2 5 3 2 3" xfId="7988"/>
    <cellStyle name="一般 2 5 3 2_包裝指示書(裏)" xfId="7989"/>
    <cellStyle name="一般 2 5 3 3" xfId="7990"/>
    <cellStyle name="一般 2 5 3 4" xfId="7991"/>
    <cellStyle name="一般 2 5 3 5" xfId="7992"/>
    <cellStyle name="一般 2 5 3 6" xfId="7985"/>
    <cellStyle name="一般 2 5 3_包裝指示書(裏)" xfId="7993"/>
    <cellStyle name="一般 2 5_包裝指示書(裏)" xfId="7994"/>
    <cellStyle name="一般 2 6" xfId="70"/>
    <cellStyle name="一般 2 6 2" xfId="71"/>
    <cellStyle name="一般 2 6 2 2" xfId="7995"/>
    <cellStyle name="一般 2 6 2_包裝指示書(裏)" xfId="7996"/>
    <cellStyle name="一般 2 6 3" xfId="1118"/>
    <cellStyle name="一般 2 6 3 2" xfId="7998"/>
    <cellStyle name="一般 2 6 3 2 2" xfId="7999"/>
    <cellStyle name="一般 2 6 3 2 3" xfId="8000"/>
    <cellStyle name="一般 2 6 3 2_包裝指示書(裏)" xfId="8001"/>
    <cellStyle name="一般 2 6 3 3" xfId="8002"/>
    <cellStyle name="一般 2 6 3 4" xfId="8003"/>
    <cellStyle name="一般 2 6 3 5" xfId="8004"/>
    <cellStyle name="一般 2 6 3 6" xfId="7997"/>
    <cellStyle name="一般 2 6 3_包裝指示書(裏)" xfId="8005"/>
    <cellStyle name="一般 2 6_包裝指示書(裏)" xfId="8006"/>
    <cellStyle name="一般 2 7" xfId="72"/>
    <cellStyle name="一般 2 7 2" xfId="73"/>
    <cellStyle name="一般 2 7 2 2" xfId="8007"/>
    <cellStyle name="一般 2 7 2_包裝指示書(裏)" xfId="8008"/>
    <cellStyle name="一般 2 7 3" xfId="1119"/>
    <cellStyle name="一般 2 7 3 2" xfId="8010"/>
    <cellStyle name="一般 2 7 3 2 2" xfId="8011"/>
    <cellStyle name="一般 2 7 3 2 3" xfId="8012"/>
    <cellStyle name="一般 2 7 3 2_包裝指示書(裏)" xfId="8013"/>
    <cellStyle name="一般 2 7 3 3" xfId="8014"/>
    <cellStyle name="一般 2 7 3 4" xfId="8015"/>
    <cellStyle name="一般 2 7 3 5" xfId="8016"/>
    <cellStyle name="一般 2 7 3 6" xfId="8009"/>
    <cellStyle name="一般 2 7 3_包裝指示書(裏)" xfId="8017"/>
    <cellStyle name="一般 2 7_包裝指示書(裏)" xfId="8018"/>
    <cellStyle name="一般 2 8" xfId="74"/>
    <cellStyle name="一般 2 8 2" xfId="75"/>
    <cellStyle name="一般 2 8 2 2" xfId="8019"/>
    <cellStyle name="一般 2 8 2_包裝指示書(裏)" xfId="8020"/>
    <cellStyle name="一般 2 8 3" xfId="1120"/>
    <cellStyle name="一般 2 8 3 2" xfId="8022"/>
    <cellStyle name="一般 2 8 3 2 2" xfId="8023"/>
    <cellStyle name="一般 2 8 3 2 3" xfId="8024"/>
    <cellStyle name="一般 2 8 3 2_包裝指示書(裏)" xfId="8025"/>
    <cellStyle name="一般 2 8 3 3" xfId="8026"/>
    <cellStyle name="一般 2 8 3 4" xfId="8027"/>
    <cellStyle name="一般 2 8 3 5" xfId="8028"/>
    <cellStyle name="一般 2 8 3 6" xfId="8021"/>
    <cellStyle name="一般 2 8 3_包裝指示書(裏)" xfId="8029"/>
    <cellStyle name="一般 2 8_包裝指示書(裏)" xfId="8030"/>
    <cellStyle name="一般 2 9" xfId="76"/>
    <cellStyle name="一般 2 9 2" xfId="77"/>
    <cellStyle name="一般 2 9 2 2" xfId="8031"/>
    <cellStyle name="一般 2 9 2_包裝指示書(裏)" xfId="8032"/>
    <cellStyle name="一般 2 9 3" xfId="1121"/>
    <cellStyle name="一般 2 9 3 2" xfId="8034"/>
    <cellStyle name="一般 2 9 3 2 2" xfId="8035"/>
    <cellStyle name="一般 2 9 3 2 3" xfId="8036"/>
    <cellStyle name="一般 2 9 3 2_包裝指示書(裏)" xfId="8037"/>
    <cellStyle name="一般 2 9 3 3" xfId="8038"/>
    <cellStyle name="一般 2 9 3 4" xfId="8039"/>
    <cellStyle name="一般 2 9 3 5" xfId="8040"/>
    <cellStyle name="一般 2 9 3 6" xfId="8033"/>
    <cellStyle name="一般 2 9 3_包裝指示書(裏)" xfId="8041"/>
    <cellStyle name="一般 2 9_包裝指示書(裏)" xfId="8042"/>
    <cellStyle name="一般 2_1000419五彩鮮蔬鮭魚飯試產一" xfId="78"/>
    <cellStyle name="一般 20" xfId="8043"/>
    <cellStyle name="一般 21" xfId="8044"/>
    <cellStyle name="一般 22" xfId="8045"/>
    <cellStyle name="一般 23" xfId="8046"/>
    <cellStyle name="一般 24" xfId="8047"/>
    <cellStyle name="一般 25" xfId="8048"/>
    <cellStyle name="一般 26" xfId="8049"/>
    <cellStyle name="一般 27" xfId="8050"/>
    <cellStyle name="一般 28" xfId="8051"/>
    <cellStyle name="一般 29" xfId="8052"/>
    <cellStyle name="一般 3" xfId="79"/>
    <cellStyle name="一般 3 10" xfId="8053"/>
    <cellStyle name="一般 3 2" xfId="80"/>
    <cellStyle name="一般 3 3" xfId="81"/>
    <cellStyle name="一般 3 4" xfId="82"/>
    <cellStyle name="一般 3 5" xfId="83"/>
    <cellStyle name="一般 3 5 2" xfId="8054"/>
    <cellStyle name="一般 3 5 2 2" xfId="8055"/>
    <cellStyle name="一般 3 5 2 2 2" xfId="8056"/>
    <cellStyle name="一般 3 5 2 2 3" xfId="8057"/>
    <cellStyle name="一般 3 5 2 2 4" xfId="8058"/>
    <cellStyle name="一般 3 5 2 2 5" xfId="8059"/>
    <cellStyle name="一般 3 5 2 2 6" xfId="8060"/>
    <cellStyle name="一般 3 5 2 2_包裝指示書(裏)" xfId="8061"/>
    <cellStyle name="一般 3 5 2 3" xfId="8062"/>
    <cellStyle name="一般 3 5_包裝指示書(裏)" xfId="8063"/>
    <cellStyle name="一般 3 6" xfId="84"/>
    <cellStyle name="一般 3 7" xfId="85"/>
    <cellStyle name="一般 3 8" xfId="86"/>
    <cellStyle name="一般 3 9" xfId="87"/>
    <cellStyle name="一般 3_(北屏)0714花生太陽蛋三明治.試產版2-1" xfId="88"/>
    <cellStyle name="一般 30" xfId="8064"/>
    <cellStyle name="一般 31" xfId="8065"/>
    <cellStyle name="一般 32" xfId="8066"/>
    <cellStyle name="一般 33" xfId="8067"/>
    <cellStyle name="一般 34" xfId="8068"/>
    <cellStyle name="一般 35" xfId="8069"/>
    <cellStyle name="一般 36" xfId="8070"/>
    <cellStyle name="一般 37" xfId="8071"/>
    <cellStyle name="一般 38" xfId="1141"/>
    <cellStyle name="一般 4" xfId="89"/>
    <cellStyle name="一般 4 2" xfId="90"/>
    <cellStyle name="一般 4 3" xfId="8072"/>
    <cellStyle name="一般 4 4" xfId="8073"/>
    <cellStyle name="一般 4 4 2" xfId="8074"/>
    <cellStyle name="一般 4 4 3" xfId="8075"/>
    <cellStyle name="一般 4 4 4" xfId="8076"/>
    <cellStyle name="一般 4 5" xfId="8077"/>
    <cellStyle name="一般 4 6" xfId="8078"/>
    <cellStyle name="一般 4 7" xfId="8079"/>
    <cellStyle name="一般 5" xfId="91"/>
    <cellStyle name="一般 5 2" xfId="92"/>
    <cellStyle name="一般 5 2 2" xfId="8080"/>
    <cellStyle name="一般 5 2 3" xfId="8081"/>
    <cellStyle name="一般 5 2 4" xfId="8082"/>
    <cellStyle name="一般 5 2_包裝指示書(裏)" xfId="8083"/>
    <cellStyle name="一般 5 3" xfId="93"/>
    <cellStyle name="一般 5 3 2" xfId="8084"/>
    <cellStyle name="一般 5 3 2 2" xfId="8085"/>
    <cellStyle name="一般 5 3 2 2 2" xfId="8086"/>
    <cellStyle name="一般 5 3 2 2 3" xfId="8087"/>
    <cellStyle name="一般 5 3 2 2 4" xfId="8088"/>
    <cellStyle name="一般 5 3 2 2 5" xfId="8089"/>
    <cellStyle name="一般 5 3 2 2_包裝指示書(裏)" xfId="8090"/>
    <cellStyle name="一般 5 3 2 3" xfId="8091"/>
    <cellStyle name="一般 5 3 2 3 2" xfId="8092"/>
    <cellStyle name="一般 5 3 2 3 3" xfId="8093"/>
    <cellStyle name="一般 5 3 2 3_包裝指示書(裏)" xfId="8094"/>
    <cellStyle name="一般 5 3 2 4" xfId="8095"/>
    <cellStyle name="一般 5 3 2 5" xfId="8096"/>
    <cellStyle name="一般 5 3 2_包裝指示書(裏)" xfId="8097"/>
    <cellStyle name="一般 5 3 3" xfId="8098"/>
    <cellStyle name="一般 5 3 3 2" xfId="8099"/>
    <cellStyle name="一般 5 3 3 3" xfId="8100"/>
    <cellStyle name="一般 5 3 3 4" xfId="8101"/>
    <cellStyle name="一般 5 3 3 5" xfId="8102"/>
    <cellStyle name="一般 5 3 3_包裝指示書(裏)" xfId="8103"/>
    <cellStyle name="一般 5 3 4" xfId="8104"/>
    <cellStyle name="一般 5 3_包裝指示書(裏)" xfId="8105"/>
    <cellStyle name="一般 5 4" xfId="8106"/>
    <cellStyle name="一般 5 4 2" xfId="8107"/>
    <cellStyle name="一般 5 4 2 2" xfId="8108"/>
    <cellStyle name="一般 5 4 2 3" xfId="8109"/>
    <cellStyle name="一般 5 4 2_包裝指示書(裏)" xfId="8110"/>
    <cellStyle name="一般 5 4 3" xfId="8111"/>
    <cellStyle name="一般 5 4 4" xfId="8112"/>
    <cellStyle name="一般 5 4 5" xfId="8113"/>
    <cellStyle name="一般 5 4 6" xfId="8114"/>
    <cellStyle name="一般 5 4_包裝指示書(裏)" xfId="8115"/>
    <cellStyle name="一般 5 5" xfId="8116"/>
    <cellStyle name="一般 5 5 2" xfId="8117"/>
    <cellStyle name="一般 5 5 2 2" xfId="8118"/>
    <cellStyle name="一般 5 5 2 3" xfId="8119"/>
    <cellStyle name="一般 5 5 2 4" xfId="8120"/>
    <cellStyle name="一般 5 5 2 5" xfId="8121"/>
    <cellStyle name="一般 5 5 2_包裝指示書(裏)" xfId="8122"/>
    <cellStyle name="一般 5 5 3" xfId="8123"/>
    <cellStyle name="一般 5 5 4" xfId="8124"/>
    <cellStyle name="一般 5 5 5" xfId="8125"/>
    <cellStyle name="一般 5 5 6" xfId="8126"/>
    <cellStyle name="一般 5 5_包裝指示書(裏)" xfId="8127"/>
    <cellStyle name="一般 5 6" xfId="8128"/>
    <cellStyle name="一般 5 6 2" xfId="8129"/>
    <cellStyle name="一般 5 6 3" xfId="8130"/>
    <cellStyle name="一般 5 6 4" xfId="8131"/>
    <cellStyle name="一般 5 7" xfId="8132"/>
    <cellStyle name="一般 5 8" xfId="8133"/>
    <cellStyle name="一般 5 9" xfId="8134"/>
    <cellStyle name="一般 5_包裝指示書(裏)" xfId="8135"/>
    <cellStyle name="一般 6" xfId="94"/>
    <cellStyle name="一般 6 2" xfId="95"/>
    <cellStyle name="一般 6 3" xfId="96"/>
    <cellStyle name="一般 6 3 2" xfId="8136"/>
    <cellStyle name="一般 6 3_包裝指示書(裏)" xfId="8137"/>
    <cellStyle name="一般 6 4" xfId="8138"/>
    <cellStyle name="一般 6 5" xfId="8139"/>
    <cellStyle name="一般 6 5 2" xfId="8140"/>
    <cellStyle name="一般 6 5 3" xfId="8141"/>
    <cellStyle name="一般 6 5 4" xfId="8142"/>
    <cellStyle name="一般 6 6" xfId="8143"/>
    <cellStyle name="一般 6 7" xfId="8144"/>
    <cellStyle name="一般 6 8" xfId="8145"/>
    <cellStyle name="一般 6_1020417Fresh多彩沙拉-確認版(4)" xfId="8146"/>
    <cellStyle name="一般 7" xfId="97"/>
    <cellStyle name="一般 7 2" xfId="98"/>
    <cellStyle name="一般 7 2 2" xfId="8147"/>
    <cellStyle name="一般 7 2 2 2" xfId="8148"/>
    <cellStyle name="一般 7 2 2 2 2" xfId="8149"/>
    <cellStyle name="一般 7 2 2 2 3" xfId="8150"/>
    <cellStyle name="一般 7 2 2 2 4" xfId="8151"/>
    <cellStyle name="一般 7 2 2 3" xfId="8152"/>
    <cellStyle name="一般 7 2 2 4" xfId="8153"/>
    <cellStyle name="一般 7 2 2 5" xfId="8154"/>
    <cellStyle name="一般 7 2 2 6" xfId="8155"/>
    <cellStyle name="一般 7 2 2_包裝指示書(裏)" xfId="8156"/>
    <cellStyle name="一般 7 2 3" xfId="8157"/>
    <cellStyle name="一般 7 2 4" xfId="8158"/>
    <cellStyle name="一般 7 2 4 2" xfId="8159"/>
    <cellStyle name="一般 7 2 4 3" xfId="8160"/>
    <cellStyle name="一般 7 2 4 4" xfId="8161"/>
    <cellStyle name="一般 7 2 5" xfId="8162"/>
    <cellStyle name="一般 7 2 6" xfId="8163"/>
    <cellStyle name="一般 7 2 7" xfId="8164"/>
    <cellStyle name="一般 7 2_包裝指示書(裏)" xfId="8165"/>
    <cellStyle name="一般 7 3" xfId="8166"/>
    <cellStyle name="一般 7 3 2" xfId="8167"/>
    <cellStyle name="一般 7 3 2 2" xfId="8168"/>
    <cellStyle name="一般 7 3 2 3" xfId="8169"/>
    <cellStyle name="一般 7 3 2 4" xfId="8170"/>
    <cellStyle name="一般 7 3 2 5" xfId="8171"/>
    <cellStyle name="一般 7 3 2 6" xfId="8172"/>
    <cellStyle name="一般 7 3 2_包裝指示書(裏)" xfId="8173"/>
    <cellStyle name="一般 7 3 3" xfId="8174"/>
    <cellStyle name="一般 7 3 3 2" xfId="8175"/>
    <cellStyle name="一般 7 3 3_包裝指示書(裏)" xfId="8176"/>
    <cellStyle name="一般 7 3 4" xfId="8177"/>
    <cellStyle name="一般 7 3 5" xfId="8178"/>
    <cellStyle name="一般 7 3 6" xfId="8179"/>
    <cellStyle name="一般 7 3 7" xfId="8180"/>
    <cellStyle name="一般 7 3_包裝指示書(裏)" xfId="8181"/>
    <cellStyle name="一般 7 4" xfId="8182"/>
    <cellStyle name="一般 7 5" xfId="8183"/>
    <cellStyle name="一般 7 6" xfId="8184"/>
    <cellStyle name="一般 7_包裝指示書(裏)" xfId="8185"/>
    <cellStyle name="一般 8" xfId="99"/>
    <cellStyle name="一般 8 2" xfId="8186"/>
    <cellStyle name="一般 8 2 2" xfId="8187"/>
    <cellStyle name="一般 8 2 3" xfId="8188"/>
    <cellStyle name="一般 8 2 4" xfId="8189"/>
    <cellStyle name="一般 8 3" xfId="8190"/>
    <cellStyle name="一般 8 4" xfId="8191"/>
    <cellStyle name="一般 8 5" xfId="8192"/>
    <cellStyle name="一般 8 6" xfId="8193"/>
    <cellStyle name="一般 8_包裝指示書(裏)" xfId="8194"/>
    <cellStyle name="一般 9" xfId="100"/>
    <cellStyle name="一般 9 2" xfId="8195"/>
    <cellStyle name="一般 9 2 2" xfId="8196"/>
    <cellStyle name="一般 9 2 2 2" xfId="8197"/>
    <cellStyle name="一般 9 2 2 3" xfId="8198"/>
    <cellStyle name="一般 9 2 2 4" xfId="8199"/>
    <cellStyle name="一般 9 2 2 5" xfId="8200"/>
    <cellStyle name="一般 9 2 2_包裝指示書(裏)" xfId="8201"/>
    <cellStyle name="一般 9 2 3" xfId="8202"/>
    <cellStyle name="一般 9 2 3 2" xfId="8203"/>
    <cellStyle name="一般 9 2 4" xfId="8204"/>
    <cellStyle name="一般 9 2 5" xfId="8205"/>
    <cellStyle name="一般 9 2 6" xfId="8206"/>
    <cellStyle name="一般 9 2 7" xfId="8207"/>
    <cellStyle name="一般 9 2_包裝指示書(裏)" xfId="8208"/>
    <cellStyle name="一般 9 3" xfId="8209"/>
    <cellStyle name="一般 9 3 2" xfId="8210"/>
    <cellStyle name="一般 9 3 2 2" xfId="8211"/>
    <cellStyle name="一般 9 3 3" xfId="8212"/>
    <cellStyle name="一般 9 3 3 2" xfId="8213"/>
    <cellStyle name="一般 9 3 4" xfId="8214"/>
    <cellStyle name="一般 9 3 5" xfId="8215"/>
    <cellStyle name="一般 9 3 6" xfId="8216"/>
    <cellStyle name="一般 9 3_包裝指示書(裏)" xfId="8217"/>
    <cellStyle name="一般 9 4" xfId="8218"/>
    <cellStyle name="一般 9 5" xfId="8219"/>
    <cellStyle name="一般 9 6" xfId="8220"/>
    <cellStyle name="一般 9 7" xfId="8221"/>
    <cellStyle name="一般 9_包裝指示書(裏)" xfId="8222"/>
    <cellStyle name="千分位 2" xfId="101"/>
    <cellStyle name="千分位 2 2" xfId="1122"/>
    <cellStyle name="千分位 2 2 2" xfId="8223"/>
    <cellStyle name="千分位 2 2 2 2" xfId="8224"/>
    <cellStyle name="千分位 2 2 2 2 2" xfId="8225"/>
    <cellStyle name="千分位 2 2 2 2 3" xfId="8226"/>
    <cellStyle name="千分位 2 2 2 3" xfId="8227"/>
    <cellStyle name="千分位 2 2 2 4" xfId="8228"/>
    <cellStyle name="千分位 2 2 3" xfId="8229"/>
    <cellStyle name="千分位 2 2 3 2" xfId="8230"/>
    <cellStyle name="千分位 2 2 3 3" xfId="8231"/>
    <cellStyle name="千分位 2 2 4" xfId="8232"/>
    <cellStyle name="千分位 2 2 4 2" xfId="8233"/>
    <cellStyle name="千分位 2 2 4 3" xfId="8234"/>
    <cellStyle name="千分位 2 2 4 4" xfId="8235"/>
    <cellStyle name="千分位 2 2 5" xfId="8236"/>
    <cellStyle name="千分位 2 2 6" xfId="8237"/>
    <cellStyle name="千分位 2 2 7" xfId="8238"/>
    <cellStyle name="千分位 2 2 8" xfId="8239"/>
    <cellStyle name="千分位 2 3" xfId="8240"/>
    <cellStyle name="千分位 2 3 2" xfId="8241"/>
    <cellStyle name="千分位 2 3 2 2" xfId="8242"/>
    <cellStyle name="千分位 2 3 2 3" xfId="8243"/>
    <cellStyle name="千分位 2 3 3" xfId="8244"/>
    <cellStyle name="千分位 2 3 4" xfId="8245"/>
    <cellStyle name="千分位 2 4" xfId="8246"/>
    <cellStyle name="千分位 2 4 2" xfId="8247"/>
    <cellStyle name="千分位 2 4 3" xfId="8248"/>
    <cellStyle name="千分位 2 5" xfId="8249"/>
    <cellStyle name="千分位 2 5 2" xfId="8250"/>
    <cellStyle name="千分位 2 5 3" xfId="8251"/>
    <cellStyle name="千分位 2 5 4" xfId="8252"/>
    <cellStyle name="千分位 2 6" xfId="8253"/>
    <cellStyle name="千分位 2 7" xfId="8254"/>
    <cellStyle name="千分位 2 8" xfId="8255"/>
    <cellStyle name="千分位 2 9" xfId="8256"/>
    <cellStyle name="千分位 3" xfId="8257"/>
    <cellStyle name="千分位 3 2" xfId="8258"/>
    <cellStyle name="千分位 3 3" xfId="8259"/>
    <cellStyle name="千分位 4" xfId="8260"/>
    <cellStyle name="千分位[0] 10" xfId="8261"/>
    <cellStyle name="千分位[0] 2" xfId="102"/>
    <cellStyle name="千分位[0] 2 2" xfId="103"/>
    <cellStyle name="千分位[0] 2 2 2" xfId="104"/>
    <cellStyle name="千分位[0] 2 2 2 2" xfId="8262"/>
    <cellStyle name="千分位[0] 2 2 2 2 2" xfId="8263"/>
    <cellStyle name="千分位[0] 2 2 2 3" xfId="8264"/>
    <cellStyle name="千分位[0] 2 2 2 3 2" xfId="1148"/>
    <cellStyle name="千分位[0] 2 2 2 3 2 2" xfId="8265"/>
    <cellStyle name="千分位[0] 2 2 2 3 3" xfId="8266"/>
    <cellStyle name="千分位[0] 2 2 2 4" xfId="8267"/>
    <cellStyle name="千分位[0] 2 2 3" xfId="105"/>
    <cellStyle name="千分位[0] 2 2 3 2" xfId="8268"/>
    <cellStyle name="千分位[0] 2 2 3 2 2" xfId="8269"/>
    <cellStyle name="千分位[0] 2 2 3 2 3" xfId="8270"/>
    <cellStyle name="千分位[0] 2 2 3 3" xfId="8271"/>
    <cellStyle name="千分位[0] 2 2 3 4" xfId="8272"/>
    <cellStyle name="千分位[0] 2 2 4" xfId="8273"/>
    <cellStyle name="千分位[0] 2 2 4 2" xfId="8274"/>
    <cellStyle name="千分位[0] 2 2 4 3" xfId="8275"/>
    <cellStyle name="千分位[0] 2 2 4 4" xfId="8276"/>
    <cellStyle name="千分位[0] 2 2 4 5" xfId="8277"/>
    <cellStyle name="千分位[0] 2 3" xfId="106"/>
    <cellStyle name="千分位[0] 2 3 2" xfId="1101"/>
    <cellStyle name="千分位[0] 2 3 2 2" xfId="8278"/>
    <cellStyle name="千分位[0] 2 3 3" xfId="8279"/>
    <cellStyle name="千分位[0] 2 3 3 2" xfId="8280"/>
    <cellStyle name="千分位[0] 2 3 3 3" xfId="8281"/>
    <cellStyle name="千分位[0] 2 3 4" xfId="8282"/>
    <cellStyle name="千分位[0] 2 4" xfId="8283"/>
    <cellStyle name="千分位[0] 2 4 2" xfId="8284"/>
    <cellStyle name="千分位[0] 2 4 3" xfId="8285"/>
    <cellStyle name="千分位[0] 2 4 4" xfId="8286"/>
    <cellStyle name="千分位[0] 2 4 5" xfId="8287"/>
    <cellStyle name="千分位[0] 2 5" xfId="8288"/>
    <cellStyle name="千分位[0] 2 6" xfId="8289"/>
    <cellStyle name="千分位[0] 3" xfId="107"/>
    <cellStyle name="千分位[0] 3 2" xfId="108"/>
    <cellStyle name="千分位[0] 3 2 2" xfId="8290"/>
    <cellStyle name="千分位[0] 3 3" xfId="1123"/>
    <cellStyle name="千分位[0] 3 3 2" xfId="8292"/>
    <cellStyle name="千分位[0] 3 3 2 2" xfId="8293"/>
    <cellStyle name="千分位[0] 3 3 2 3" xfId="8294"/>
    <cellStyle name="千分位[0] 3 3 3" xfId="8295"/>
    <cellStyle name="千分位[0] 3 3 4" xfId="8296"/>
    <cellStyle name="千分位[0] 3 3 5" xfId="8297"/>
    <cellStyle name="千分位[0] 3 3 6" xfId="8291"/>
    <cellStyle name="千分位[0] 4" xfId="109"/>
    <cellStyle name="千分位[0] 4 2" xfId="110"/>
    <cellStyle name="千分位[0] 4 2 2" xfId="111"/>
    <cellStyle name="千分位[0] 4 2 2 2" xfId="8298"/>
    <cellStyle name="千分位[0] 4 2 3" xfId="8299"/>
    <cellStyle name="千分位[0] 4 2 3 2" xfId="8300"/>
    <cellStyle name="千分位[0] 4 2 3 3" xfId="8301"/>
    <cellStyle name="千分位[0] 4 2 3 4" xfId="8302"/>
    <cellStyle name="千分位[0] 4 2 3 5" xfId="8303"/>
    <cellStyle name="千分位[0] 4 3" xfId="112"/>
    <cellStyle name="千分位[0] 4 3 2" xfId="8304"/>
    <cellStyle name="千分位[0] 4 3 2 2" xfId="8305"/>
    <cellStyle name="千分位[0] 4 3 2 2 2" xfId="8306"/>
    <cellStyle name="千分位[0] 4 3 2 2 3" xfId="8307"/>
    <cellStyle name="千分位[0] 4 3 2 2 4" xfId="8308"/>
    <cellStyle name="千分位[0] 4 3 2 2 5" xfId="8309"/>
    <cellStyle name="千分位[0] 4 3 2 3" xfId="8310"/>
    <cellStyle name="千分位[0] 4 3 2 3 2" xfId="8311"/>
    <cellStyle name="千分位[0] 4 3 2 3 3" xfId="8312"/>
    <cellStyle name="千分位[0] 4 3 2 4" xfId="8313"/>
    <cellStyle name="千分位[0] 4 3 2 5" xfId="8314"/>
    <cellStyle name="千分位[0] 4 3 3" xfId="8315"/>
    <cellStyle name="千分位[0] 4 3 3 2" xfId="8316"/>
    <cellStyle name="千分位[0] 4 3 3 3" xfId="8317"/>
    <cellStyle name="千分位[0] 4 3 3 4" xfId="8318"/>
    <cellStyle name="千分位[0] 4 3 3 5" xfId="8319"/>
    <cellStyle name="千分位[0] 4 3 4" xfId="8320"/>
    <cellStyle name="千分位[0] 4 4" xfId="8321"/>
    <cellStyle name="千分位[0] 4 4 2" xfId="8322"/>
    <cellStyle name="千分位[0] 4 4 2 2" xfId="8323"/>
    <cellStyle name="千分位[0] 4 4 2 2 2" xfId="8324"/>
    <cellStyle name="千分位[0] 4 4 2 2 3" xfId="8325"/>
    <cellStyle name="千分位[0] 4 4 2 3" xfId="8326"/>
    <cellStyle name="千分位[0] 4 4 2 4" xfId="8327"/>
    <cellStyle name="千分位[0] 4 4 3" xfId="8328"/>
    <cellStyle name="千分位[0] 4 4 3 2" xfId="8329"/>
    <cellStyle name="千分位[0] 4 4 3 3" xfId="8330"/>
    <cellStyle name="千分位[0] 4 4 4" xfId="8331"/>
    <cellStyle name="千分位[0] 4 4 5" xfId="8332"/>
    <cellStyle name="千分位[0] 4 5" xfId="8333"/>
    <cellStyle name="千分位[0] 4 5 2" xfId="8334"/>
    <cellStyle name="千分位[0] 4 5 2 2" xfId="8335"/>
    <cellStyle name="千分位[0] 4 5 2 3" xfId="8336"/>
    <cellStyle name="千分位[0] 4 5 2 4" xfId="8337"/>
    <cellStyle name="千分位[0] 4 5 2 5" xfId="8338"/>
    <cellStyle name="千分位[0] 4 5 3" xfId="8339"/>
    <cellStyle name="千分位[0] 4 5 4" xfId="8340"/>
    <cellStyle name="千分位[0] 4 5 5" xfId="8341"/>
    <cellStyle name="千分位[0] 4 5 6" xfId="8342"/>
    <cellStyle name="千分位[0] 5" xfId="113"/>
    <cellStyle name="千分位[0] 5 2" xfId="114"/>
    <cellStyle name="千分位[0] 5 2 2" xfId="1146"/>
    <cellStyle name="千分位[0] 5 2 2 2" xfId="8343"/>
    <cellStyle name="千分位[0] 5 2 2 2 2" xfId="8344"/>
    <cellStyle name="千分位[0] 5 2 2 2 2 2" xfId="8345"/>
    <cellStyle name="千分位[0] 5 2 2 2 2 3" xfId="8346"/>
    <cellStyle name="千分位[0] 5 2 2 2 3" xfId="8347"/>
    <cellStyle name="千分位[0] 5 2 2 2 3 2" xfId="8348"/>
    <cellStyle name="千分位[0] 5 2 2 2 3 2 2" xfId="8349"/>
    <cellStyle name="千分位[0] 5 2 2 2 3 3" xfId="8350"/>
    <cellStyle name="千分位[0] 5 2 2 2 3 4" xfId="8351"/>
    <cellStyle name="千分位[0] 5 2 2 2 4" xfId="8352"/>
    <cellStyle name="千分位[0] 5 2 2 2 4 2" xfId="8353"/>
    <cellStyle name="千分位[0] 5 2 2 2 4 3" xfId="8354"/>
    <cellStyle name="千分位[0] 5 2 2 2 5" xfId="8355"/>
    <cellStyle name="千分位[0] 5 2 2 2 5 2" xfId="8356"/>
    <cellStyle name="千分位[0] 5 2 2 2 5 3" xfId="8357"/>
    <cellStyle name="千分位[0] 5 2 2 2 6" xfId="8358"/>
    <cellStyle name="千分位[0] 5 2 2 2 6 2" xfId="8359"/>
    <cellStyle name="千分位[0] 5 2 2 2 7" xfId="8360"/>
    <cellStyle name="千分位[0] 5 2 2 2 8" xfId="8361"/>
    <cellStyle name="千分位[0] 5 2 2 2 9" xfId="8362"/>
    <cellStyle name="千分位[0] 5 2 2 3" xfId="8363"/>
    <cellStyle name="千分位[0] 5 2 2 3 2" xfId="8364"/>
    <cellStyle name="千分位[0] 5 2 2 3 2 2" xfId="8365"/>
    <cellStyle name="千分位[0] 5 2 2 3 3" xfId="8366"/>
    <cellStyle name="千分位[0] 5 2 2 3 4" xfId="8367"/>
    <cellStyle name="千分位[0] 5 2 2 3 5" xfId="8368"/>
    <cellStyle name="千分位[0] 5 2 2 3 6" xfId="8369"/>
    <cellStyle name="千分位[0] 5 2 2 3 7" xfId="8370"/>
    <cellStyle name="千分位[0] 5 2 2 4" xfId="8371"/>
    <cellStyle name="千分位[0] 5 2 2 4 2" xfId="8372"/>
    <cellStyle name="千分位[0] 5 2 2 4 3" xfId="8373"/>
    <cellStyle name="千分位[0] 5 2 2 5" xfId="8374"/>
    <cellStyle name="千分位[0] 5 2 3" xfId="8375"/>
    <cellStyle name="千分位[0] 5 2 3 10" xfId="8376"/>
    <cellStyle name="千分位[0] 5 2 3 2" xfId="8377"/>
    <cellStyle name="千分位[0] 5 2 3 2 2" xfId="8378"/>
    <cellStyle name="千分位[0] 5 2 3 2 2 2" xfId="8379"/>
    <cellStyle name="千分位[0] 5 2 3 2 3" xfId="8380"/>
    <cellStyle name="千分位[0] 5 2 3 3" xfId="8381"/>
    <cellStyle name="千分位[0] 5 2 3 3 2" xfId="8382"/>
    <cellStyle name="千分位[0] 5 2 3 3 2 2" xfId="8383"/>
    <cellStyle name="千分位[0] 5 2 3 3 3" xfId="8384"/>
    <cellStyle name="千分位[0] 5 2 3 3 4" xfId="8385"/>
    <cellStyle name="千分位[0] 5 2 3 4" xfId="8386"/>
    <cellStyle name="千分位[0] 5 2 3 4 2" xfId="8387"/>
    <cellStyle name="千分位[0] 5 2 3 4 3" xfId="8388"/>
    <cellStyle name="千分位[0] 5 2 3 5" xfId="8389"/>
    <cellStyle name="千分位[0] 5 2 3 5 2" xfId="8390"/>
    <cellStyle name="千分位[0] 5 2 3 5 3" xfId="8391"/>
    <cellStyle name="千分位[0] 5 2 3 6" xfId="8392"/>
    <cellStyle name="千分位[0] 5 2 3 7" xfId="8393"/>
    <cellStyle name="千分位[0] 5 2 3 8" xfId="8394"/>
    <cellStyle name="千分位[0] 5 2 3 9" xfId="8395"/>
    <cellStyle name="千分位[0] 5 2 4" xfId="8396"/>
    <cellStyle name="千分位[0] 5 2 4 2" xfId="8397"/>
    <cellStyle name="千分位[0] 5 2 4 3" xfId="8398"/>
    <cellStyle name="千分位[0] 5 2 5" xfId="8399"/>
    <cellStyle name="千分位[0] 5 2 6" xfId="8400"/>
    <cellStyle name="千分位[0] 5 2 7" xfId="8401"/>
    <cellStyle name="千分位[0] 5 3" xfId="115"/>
    <cellStyle name="千分位[0] 5 3 2" xfId="8402"/>
    <cellStyle name="千分位[0] 5 3 3" xfId="8403"/>
    <cellStyle name="千分位[0] 5 4" xfId="8404"/>
    <cellStyle name="千分位[0] 5 5" xfId="8405"/>
    <cellStyle name="千分位[0] 6" xfId="116"/>
    <cellStyle name="千分位[0] 6 2" xfId="117"/>
    <cellStyle name="千分位[0] 6 2 2" xfId="8406"/>
    <cellStyle name="千分位[0] 6 2 2 2" xfId="8407"/>
    <cellStyle name="千分位[0] 6 2 3" xfId="8408"/>
    <cellStyle name="千分位[0] 6 3" xfId="8409"/>
    <cellStyle name="千分位[0] 6 3 2" xfId="8410"/>
    <cellStyle name="千分位[0] 6 3 2 2" xfId="8411"/>
    <cellStyle name="千分位[0] 6 3 2 2 2" xfId="8412"/>
    <cellStyle name="千分位[0] 6 3 2 3" xfId="8413"/>
    <cellStyle name="千分位[0] 6 3 3" xfId="8414"/>
    <cellStyle name="千分位[0] 6 3 3 2" xfId="8415"/>
    <cellStyle name="千分位[0] 6 3 4" xfId="8416"/>
    <cellStyle name="千分位[0] 6 3 5" xfId="8417"/>
    <cellStyle name="千分位[0] 6 3 6" xfId="8418"/>
    <cellStyle name="千分位[0] 6 4" xfId="8419"/>
    <cellStyle name="千分位[0] 7" xfId="118"/>
    <cellStyle name="千分位[0] 7 2" xfId="8420"/>
    <cellStyle name="千分位[0] 7 2 2" xfId="8421"/>
    <cellStyle name="千分位[0] 7 2 2 2" xfId="8422"/>
    <cellStyle name="千分位[0] 7 2 2 3" xfId="8423"/>
    <cellStyle name="千分位[0] 7 2 2 4" xfId="8424"/>
    <cellStyle name="千分位[0] 7 2 2 5" xfId="8425"/>
    <cellStyle name="千分位[0] 7 2 3" xfId="8426"/>
    <cellStyle name="千分位[0] 7 2 3 2" xfId="8427"/>
    <cellStyle name="千分位[0] 7 3" xfId="8428"/>
    <cellStyle name="千分位[0] 7 3 2" xfId="8429"/>
    <cellStyle name="千分位[0] 7 3 3" xfId="8430"/>
    <cellStyle name="千分位[0] 7 3 4" xfId="8431"/>
    <cellStyle name="千分位[0] 7 3 5" xfId="8432"/>
    <cellStyle name="千分位[0] 7 4" xfId="8433"/>
    <cellStyle name="千分位[0] 7 5" xfId="8434"/>
    <cellStyle name="千分位[0] 8" xfId="4"/>
    <cellStyle name="千分位[0] 8 2" xfId="8436"/>
    <cellStyle name="千分位[0] 8 2 2" xfId="8437"/>
    <cellStyle name="千分位[0] 8 2 2 2" xfId="8438"/>
    <cellStyle name="千分位[0] 8 2 3" xfId="8439"/>
    <cellStyle name="千分位[0] 8 2 4" xfId="8440"/>
    <cellStyle name="千分位[0] 8 2 5" xfId="8441"/>
    <cellStyle name="千分位[0] 8 2 6" xfId="8442"/>
    <cellStyle name="千分位[0] 8 3" xfId="8443"/>
    <cellStyle name="千分位[0] 8 4" xfId="8444"/>
    <cellStyle name="千分位[0] 8 5" xfId="8445"/>
    <cellStyle name="千分位[0] 8 6" xfId="8446"/>
    <cellStyle name="千分位[0] 8 7" xfId="8435"/>
    <cellStyle name="千分位[0] 9" xfId="1098"/>
    <cellStyle name="千分位[0] 9 2" xfId="1104"/>
    <cellStyle name="千分位[0] 9 2 2" xfId="8447"/>
    <cellStyle name="千分位[0] 9 2 2 2" xfId="8448"/>
    <cellStyle name="千分位[0] 9 2 2 3" xfId="8449"/>
    <cellStyle name="千分位[0] 9 2 2 3 2" xfId="8450"/>
    <cellStyle name="千分位[0] 9 2 2 4" xfId="8451"/>
    <cellStyle name="千分位[0] 9 2 3" xfId="8452"/>
    <cellStyle name="千分位[0] 9 3" xfId="8453"/>
    <cellStyle name="中等 2" xfId="119"/>
    <cellStyle name="中等 3" xfId="120"/>
    <cellStyle name="未定義" xfId="121"/>
    <cellStyle name="未定義 2" xfId="122"/>
    <cellStyle name="未定義 3" xfId="8454"/>
    <cellStyle name="合計 2" xfId="123"/>
    <cellStyle name="合計 2 10" xfId="8455"/>
    <cellStyle name="合計 2 11" xfId="8456"/>
    <cellStyle name="合計 2 2" xfId="8457"/>
    <cellStyle name="合計 2 2 2" xfId="8458"/>
    <cellStyle name="合計 2 2 2 2" xfId="8459"/>
    <cellStyle name="合計 2 2 2 2 2" xfId="8460"/>
    <cellStyle name="合計 2 2 2 2 2 2" xfId="8461"/>
    <cellStyle name="合計 2 2 2 2 2 2 2" xfId="8462"/>
    <cellStyle name="合計 2 2 2 2 2 2 2 2" xfId="8463"/>
    <cellStyle name="合計 2 2 2 2 2 2 3" xfId="8464"/>
    <cellStyle name="合計 2 2 2 2 2 2_包裝指示書(裏)" xfId="8465"/>
    <cellStyle name="合計 2 2 2 2 2 3" xfId="8466"/>
    <cellStyle name="合計 2 2 2 2 2 3 2" xfId="8467"/>
    <cellStyle name="合計 2 2 2 2 2 4" xfId="8468"/>
    <cellStyle name="合計 2 2 2 2 2 4 2" xfId="8469"/>
    <cellStyle name="合計 2 2 2 2 2 5" xfId="8470"/>
    <cellStyle name="合計 2 2 2 2 2_包裝指示書(裏)" xfId="8471"/>
    <cellStyle name="合計 2 2 2 2 3" xfId="8472"/>
    <cellStyle name="合計 2 2 2 2 3 2" xfId="8473"/>
    <cellStyle name="合計 2 2 2 2 4" xfId="8474"/>
    <cellStyle name="合計 2 2 2 2 4 2" xfId="8475"/>
    <cellStyle name="合計 2 2 2 2 5" xfId="8476"/>
    <cellStyle name="合計 2 2 2 2 5 2" xfId="8477"/>
    <cellStyle name="合計 2 2 2 2 6" xfId="8478"/>
    <cellStyle name="合計 2 2 2 2_包裝指示書(裏)" xfId="8479"/>
    <cellStyle name="合計 2 2 2 3" xfId="8480"/>
    <cellStyle name="合計 2 2 2 3 2" xfId="8481"/>
    <cellStyle name="合計 2 2 2 3 2 2" xfId="8482"/>
    <cellStyle name="合計 2 2 2 3 2 2 2" xfId="8483"/>
    <cellStyle name="合計 2 2 2 3 2 3" xfId="8484"/>
    <cellStyle name="合計 2 2 2 3 2_包裝指示書(裏)" xfId="8485"/>
    <cellStyle name="合計 2 2 2 3 3" xfId="8486"/>
    <cellStyle name="合計 2 2 2 3 3 2" xfId="8487"/>
    <cellStyle name="合計 2 2 2 3 4" xfId="8488"/>
    <cellStyle name="合計 2 2 2 3 4 2" xfId="8489"/>
    <cellStyle name="合計 2 2 2 3 5" xfId="8490"/>
    <cellStyle name="合計 2 2 2 3_包裝指示書(裏)" xfId="8491"/>
    <cellStyle name="合計 2 2 2 4" xfId="8492"/>
    <cellStyle name="合計 2 2 2 4 2" xfId="8493"/>
    <cellStyle name="合計 2 2 2 5" xfId="8494"/>
    <cellStyle name="合計 2 2 2 5 2" xfId="8495"/>
    <cellStyle name="合計 2 2 2 6" xfId="8496"/>
    <cellStyle name="合計 2 2 2 6 2" xfId="8497"/>
    <cellStyle name="合計 2 2 2 7" xfId="8498"/>
    <cellStyle name="合計 2 2 2_包裝指示書(裏)" xfId="8499"/>
    <cellStyle name="合計 2 2 3" xfId="8500"/>
    <cellStyle name="合計 2 2 3 2" xfId="8501"/>
    <cellStyle name="合計 2 2 3 2 2" xfId="8502"/>
    <cellStyle name="合計 2 2 3 2 2 2" xfId="8503"/>
    <cellStyle name="合計 2 2 3 2 3" xfId="8504"/>
    <cellStyle name="合計 2 2 3 2_包裝指示書(裏)" xfId="8505"/>
    <cellStyle name="合計 2 2 3 3" xfId="8506"/>
    <cellStyle name="合計 2 2 3 3 2" xfId="8507"/>
    <cellStyle name="合計 2 2 3 4" xfId="8508"/>
    <cellStyle name="合計 2 2 3 4 2" xfId="8509"/>
    <cellStyle name="合計 2 2 3 5" xfId="8510"/>
    <cellStyle name="合計 2 2 3_包裝指示書(裏)" xfId="8511"/>
    <cellStyle name="合計 2 2 4" xfId="8512"/>
    <cellStyle name="合計 2 2 4 2" xfId="8513"/>
    <cellStyle name="合計 2 2 5" xfId="8514"/>
    <cellStyle name="合計 2 2 5 2" xfId="8515"/>
    <cellStyle name="合計 2 2 6" xfId="8516"/>
    <cellStyle name="合計 2 2 6 2" xfId="8517"/>
    <cellStyle name="合計 2 2 7" xfId="8518"/>
    <cellStyle name="合計 2 2_包裝指示書(裏)" xfId="8519"/>
    <cellStyle name="合計 2 3" xfId="8520"/>
    <cellStyle name="合計 2 3 2" xfId="8521"/>
    <cellStyle name="合計 2 3 2 2" xfId="8522"/>
    <cellStyle name="合計 2 3 2 2 2" xfId="8523"/>
    <cellStyle name="合計 2 3 2 2 2 2" xfId="8524"/>
    <cellStyle name="合計 2 3 2 2 3" xfId="8525"/>
    <cellStyle name="合計 2 3 2 2_包裝指示書(裏)" xfId="8526"/>
    <cellStyle name="合計 2 3 2 3" xfId="8527"/>
    <cellStyle name="合計 2 3 2 3 2" xfId="8528"/>
    <cellStyle name="合計 2 3 2 4" xfId="8529"/>
    <cellStyle name="合計 2 3 2 4 2" xfId="8530"/>
    <cellStyle name="合計 2 3 2 5" xfId="8531"/>
    <cellStyle name="合計 2 3 2_包裝指示書(裏)" xfId="8532"/>
    <cellStyle name="合計 2 3 3" xfId="8533"/>
    <cellStyle name="合計 2 3 3 2" xfId="8534"/>
    <cellStyle name="合計 2 3 4" xfId="8535"/>
    <cellStyle name="合計 2 3 4 2" xfId="8536"/>
    <cellStyle name="合計 2 3 5" xfId="8537"/>
    <cellStyle name="合計 2 3 5 2" xfId="8538"/>
    <cellStyle name="合計 2 3 6" xfId="8539"/>
    <cellStyle name="合計 2 3_包裝指示書(裏)" xfId="8540"/>
    <cellStyle name="合計 2 4" xfId="8541"/>
    <cellStyle name="合計 2 4 2" xfId="8542"/>
    <cellStyle name="合計 2 4 2 2" xfId="8543"/>
    <cellStyle name="合計 2 4 2 2 2" xfId="8544"/>
    <cellStyle name="合計 2 4 2 3" xfId="8545"/>
    <cellStyle name="合計 2 4 2_包裝指示書(裏)" xfId="8546"/>
    <cellStyle name="合計 2 4 3" xfId="8547"/>
    <cellStyle name="合計 2 4 3 2" xfId="8548"/>
    <cellStyle name="合計 2 4 4" xfId="8549"/>
    <cellStyle name="合計 2 4 4 2" xfId="8550"/>
    <cellStyle name="合計 2 4 5" xfId="8551"/>
    <cellStyle name="合計 2 4_包裝指示書(裏)" xfId="8552"/>
    <cellStyle name="合計 2 5" xfId="8553"/>
    <cellStyle name="合計 2 5 2" xfId="8554"/>
    <cellStyle name="合計 2 5 2 2" xfId="8555"/>
    <cellStyle name="合計 2 5 3" xfId="8556"/>
    <cellStyle name="合計 2 5 3 2" xfId="8557"/>
    <cellStyle name="合計 2 5 4" xfId="8558"/>
    <cellStyle name="合計 2 5_包裝指示書(裏)" xfId="8559"/>
    <cellStyle name="合計 2 6" xfId="8560"/>
    <cellStyle name="合計 2 6 2" xfId="8561"/>
    <cellStyle name="合計 2 6 2 2" xfId="8562"/>
    <cellStyle name="合計 2 6 3" xfId="8563"/>
    <cellStyle name="合計 2 6 3 2" xfId="8564"/>
    <cellStyle name="合計 2 6 4" xfId="8565"/>
    <cellStyle name="合計 2 6_包裝指示書(裏)" xfId="8566"/>
    <cellStyle name="合計 2 7" xfId="8567"/>
    <cellStyle name="合計 2 7 2" xfId="8568"/>
    <cellStyle name="合計 2 7 2 2" xfId="8569"/>
    <cellStyle name="合計 2 7 3" xfId="8570"/>
    <cellStyle name="合計 2 7 3 2" xfId="8571"/>
    <cellStyle name="合計 2 7 4" xfId="8572"/>
    <cellStyle name="合計 2 7_包裝指示書(裏)" xfId="8573"/>
    <cellStyle name="合計 2 8" xfId="8574"/>
    <cellStyle name="合計 2 8 2" xfId="8575"/>
    <cellStyle name="合計 2 8 2 2" xfId="8576"/>
    <cellStyle name="合計 2 8 3" xfId="8577"/>
    <cellStyle name="合計 2 8 3 2" xfId="8578"/>
    <cellStyle name="合計 2 8 4" xfId="8579"/>
    <cellStyle name="合計 2 8_包裝指示書(裏)" xfId="8580"/>
    <cellStyle name="合計 2 9" xfId="8581"/>
    <cellStyle name="合計 2 9 2" xfId="8582"/>
    <cellStyle name="合計 2_包裝指示書(裏)" xfId="8583"/>
    <cellStyle name="合計 3" xfId="124"/>
    <cellStyle name="合計 3 10" xfId="8584"/>
    <cellStyle name="合計 3 11" xfId="8585"/>
    <cellStyle name="合計 3 2" xfId="8586"/>
    <cellStyle name="合計 3 2 2" xfId="8587"/>
    <cellStyle name="合計 3 2 2 2" xfId="8588"/>
    <cellStyle name="合計 3 2 2 2 2" xfId="8589"/>
    <cellStyle name="合計 3 2 2 2 2 2" xfId="8590"/>
    <cellStyle name="合計 3 2 2 2 2 2 2" xfId="8591"/>
    <cellStyle name="合計 3 2 2 2 2 2 2 2" xfId="8592"/>
    <cellStyle name="合計 3 2 2 2 2 2 3" xfId="8593"/>
    <cellStyle name="合計 3 2 2 2 2 2_包裝指示書(裏)" xfId="8594"/>
    <cellStyle name="合計 3 2 2 2 2 3" xfId="8595"/>
    <cellStyle name="合計 3 2 2 2 2 3 2" xfId="8596"/>
    <cellStyle name="合計 3 2 2 2 2 4" xfId="8597"/>
    <cellStyle name="合計 3 2 2 2 2 4 2" xfId="8598"/>
    <cellStyle name="合計 3 2 2 2 2 5" xfId="8599"/>
    <cellStyle name="合計 3 2 2 2 2_包裝指示書(裏)" xfId="8600"/>
    <cellStyle name="合計 3 2 2 2 3" xfId="8601"/>
    <cellStyle name="合計 3 2 2 2 3 2" xfId="8602"/>
    <cellStyle name="合計 3 2 2 2 4" xfId="8603"/>
    <cellStyle name="合計 3 2 2 2 4 2" xfId="8604"/>
    <cellStyle name="合計 3 2 2 2 5" xfId="8605"/>
    <cellStyle name="合計 3 2 2 2 5 2" xfId="8606"/>
    <cellStyle name="合計 3 2 2 2 6" xfId="8607"/>
    <cellStyle name="合計 3 2 2 2_包裝指示書(裏)" xfId="8608"/>
    <cellStyle name="合計 3 2 2 3" xfId="8609"/>
    <cellStyle name="合計 3 2 2 3 2" xfId="8610"/>
    <cellStyle name="合計 3 2 2 3 2 2" xfId="8611"/>
    <cellStyle name="合計 3 2 2 3 2 2 2" xfId="8612"/>
    <cellStyle name="合計 3 2 2 3 2 3" xfId="8613"/>
    <cellStyle name="合計 3 2 2 3 2_包裝指示書(裏)" xfId="8614"/>
    <cellStyle name="合計 3 2 2 3 3" xfId="8615"/>
    <cellStyle name="合計 3 2 2 3 3 2" xfId="8616"/>
    <cellStyle name="合計 3 2 2 3 4" xfId="8617"/>
    <cellStyle name="合計 3 2 2 3 4 2" xfId="8618"/>
    <cellStyle name="合計 3 2 2 3 5" xfId="8619"/>
    <cellStyle name="合計 3 2 2 3_包裝指示書(裏)" xfId="8620"/>
    <cellStyle name="合計 3 2 2 4" xfId="8621"/>
    <cellStyle name="合計 3 2 2 4 2" xfId="8622"/>
    <cellStyle name="合計 3 2 2 5" xfId="8623"/>
    <cellStyle name="合計 3 2 2 5 2" xfId="8624"/>
    <cellStyle name="合計 3 2 2 6" xfId="8625"/>
    <cellStyle name="合計 3 2 2 6 2" xfId="8626"/>
    <cellStyle name="合計 3 2 2 7" xfId="8627"/>
    <cellStyle name="合計 3 2 2_包裝指示書(裏)" xfId="8628"/>
    <cellStyle name="合計 3 2 3" xfId="8629"/>
    <cellStyle name="合計 3 2 3 2" xfId="8630"/>
    <cellStyle name="合計 3 2 3 2 2" xfId="8631"/>
    <cellStyle name="合計 3 2 3 2 2 2" xfId="8632"/>
    <cellStyle name="合計 3 2 3 2 3" xfId="8633"/>
    <cellStyle name="合計 3 2 3 2_包裝指示書(裏)" xfId="8634"/>
    <cellStyle name="合計 3 2 3 3" xfId="8635"/>
    <cellStyle name="合計 3 2 3 3 2" xfId="8636"/>
    <cellStyle name="合計 3 2 3 4" xfId="8637"/>
    <cellStyle name="合計 3 2 3 4 2" xfId="8638"/>
    <cellStyle name="合計 3 2 3 5" xfId="8639"/>
    <cellStyle name="合計 3 2 3_包裝指示書(裏)" xfId="8640"/>
    <cellStyle name="合計 3 2 4" xfId="8641"/>
    <cellStyle name="合計 3 2 4 2" xfId="8642"/>
    <cellStyle name="合計 3 2 5" xfId="8643"/>
    <cellStyle name="合計 3 2 5 2" xfId="8644"/>
    <cellStyle name="合計 3 2 6" xfId="8645"/>
    <cellStyle name="合計 3 2 6 2" xfId="8646"/>
    <cellStyle name="合計 3 2 7" xfId="8647"/>
    <cellStyle name="合計 3 2_包裝指示書(裏)" xfId="8648"/>
    <cellStyle name="合計 3 3" xfId="8649"/>
    <cellStyle name="合計 3 3 2" xfId="8650"/>
    <cellStyle name="合計 3 3 2 2" xfId="8651"/>
    <cellStyle name="合計 3 3 2 2 2" xfId="8652"/>
    <cellStyle name="合計 3 3 2 2 2 2" xfId="8653"/>
    <cellStyle name="合計 3 3 2 2 3" xfId="8654"/>
    <cellStyle name="合計 3 3 2 2_包裝指示書(裏)" xfId="8655"/>
    <cellStyle name="合計 3 3 2 3" xfId="8656"/>
    <cellStyle name="合計 3 3 2 3 2" xfId="8657"/>
    <cellStyle name="合計 3 3 2 4" xfId="8658"/>
    <cellStyle name="合計 3 3 2 4 2" xfId="8659"/>
    <cellStyle name="合計 3 3 2 5" xfId="8660"/>
    <cellStyle name="合計 3 3 2_包裝指示書(裏)" xfId="8661"/>
    <cellStyle name="合計 3 3 3" xfId="8662"/>
    <cellStyle name="合計 3 3 3 2" xfId="8663"/>
    <cellStyle name="合計 3 3 4" xfId="8664"/>
    <cellStyle name="合計 3 3 4 2" xfId="8665"/>
    <cellStyle name="合計 3 3 5" xfId="8666"/>
    <cellStyle name="合計 3 3 5 2" xfId="8667"/>
    <cellStyle name="合計 3 3 6" xfId="8668"/>
    <cellStyle name="合計 3 3_包裝指示書(裏)" xfId="8669"/>
    <cellStyle name="合計 3 4" xfId="8670"/>
    <cellStyle name="合計 3 4 2" xfId="8671"/>
    <cellStyle name="合計 3 4 2 2" xfId="8672"/>
    <cellStyle name="合計 3 4 2 2 2" xfId="8673"/>
    <cellStyle name="合計 3 4 2 3" xfId="8674"/>
    <cellStyle name="合計 3 4 2_包裝指示書(裏)" xfId="8675"/>
    <cellStyle name="合計 3 4 3" xfId="8676"/>
    <cellStyle name="合計 3 4 3 2" xfId="8677"/>
    <cellStyle name="合計 3 4 4" xfId="8678"/>
    <cellStyle name="合計 3 4 4 2" xfId="8679"/>
    <cellStyle name="合計 3 4 5" xfId="8680"/>
    <cellStyle name="合計 3 4_包裝指示書(裏)" xfId="8681"/>
    <cellStyle name="合計 3 5" xfId="8682"/>
    <cellStyle name="合計 3 5 2" xfId="8683"/>
    <cellStyle name="合計 3 5 2 2" xfId="8684"/>
    <cellStyle name="合計 3 5 3" xfId="8685"/>
    <cellStyle name="合計 3 5 3 2" xfId="8686"/>
    <cellStyle name="合計 3 5 4" xfId="8687"/>
    <cellStyle name="合計 3 5_包裝指示書(裏)" xfId="8688"/>
    <cellStyle name="合計 3 6" xfId="8689"/>
    <cellStyle name="合計 3 6 2" xfId="8690"/>
    <cellStyle name="合計 3 6 2 2" xfId="8691"/>
    <cellStyle name="合計 3 6 3" xfId="8692"/>
    <cellStyle name="合計 3 6 3 2" xfId="8693"/>
    <cellStyle name="合計 3 6 4" xfId="8694"/>
    <cellStyle name="合計 3 6_包裝指示書(裏)" xfId="8695"/>
    <cellStyle name="合計 3 7" xfId="8696"/>
    <cellStyle name="合計 3 7 2" xfId="8697"/>
    <cellStyle name="合計 3 7 2 2" xfId="8698"/>
    <cellStyle name="合計 3 7 3" xfId="8699"/>
    <cellStyle name="合計 3 7 3 2" xfId="8700"/>
    <cellStyle name="合計 3 7 4" xfId="8701"/>
    <cellStyle name="合計 3 7_包裝指示書(裏)" xfId="8702"/>
    <cellStyle name="合計 3 8" xfId="8703"/>
    <cellStyle name="合計 3 8 2" xfId="8704"/>
    <cellStyle name="合計 3 8 2 2" xfId="8705"/>
    <cellStyle name="合計 3 8 3" xfId="8706"/>
    <cellStyle name="合計 3 8 3 2" xfId="8707"/>
    <cellStyle name="合計 3 8 4" xfId="8708"/>
    <cellStyle name="合計 3 8_包裝指示書(裏)" xfId="8709"/>
    <cellStyle name="合計 3 9" xfId="8710"/>
    <cellStyle name="合計 3 9 2" xfId="8711"/>
    <cellStyle name="合計 3_包裝指示書(裏)" xfId="8712"/>
    <cellStyle name="好 2" xfId="125"/>
    <cellStyle name="好 3" xfId="126"/>
    <cellStyle name="好_(北屏)0714花生太陽蛋三明治.試產版2-1" xfId="127"/>
    <cellStyle name="好_(全)日式炸雞親子飯_2012.12.04改" xfId="128"/>
    <cellStyle name="好_(晉欣)0714花生太陽蛋" xfId="129"/>
    <cellStyle name="好_(晉欣)990928勝利豬排三明治--廠務版" xfId="130"/>
    <cellStyle name="好_(晉欣)洋芋炸雞排三明治" xfId="131"/>
    <cellStyle name="好_(晉欣)黃金起士咖哩豬排三明治" xfId="132"/>
    <cellStyle name="好_02芹香海帶" xfId="133"/>
    <cellStyle name="好_0426魚香肉絲-晉欣調理版" xfId="134"/>
    <cellStyle name="好_04豆瓣桂筍" xfId="135"/>
    <cellStyle name="好_0524冷藏北京酢醬麵-晉欣調理版" xfId="136"/>
    <cellStyle name="好_07鮮菇總?" xfId="8713"/>
    <cellStyle name="好_07鮮菇總滙" xfId="137"/>
    <cellStyle name="好_0917日式味噌豚鍋" xfId="138"/>
    <cellStyle name="好_0917台式麻辣鍋" xfId="139"/>
    <cellStyle name="好_0923日式味噌豚鍋" xfId="140"/>
    <cellStyle name="好_1000104薑汁燒肉米堡-確(1)" xfId="141"/>
    <cellStyle name="好_1000411火腿洋芋沙拉佐鮮蔬 試產版2" xfId="142"/>
    <cellStyle name="好_1000411義式雞蛋沙拉 確認版(1)-加貼膠帶版" xfId="143"/>
    <cellStyle name="好_1000412手工雞蛋沙拉三明治.試產版(2)" xfId="144"/>
    <cellStyle name="好_1000531厚切豬排蛋三明治.試1版" xfId="145"/>
    <cellStyle name="好_1001220大口炭烤起司牛肉堡-上市版-屏榮" xfId="146"/>
    <cellStyle name="好_1020417Fresh多彩沙拉-確認版(4)" xfId="8714"/>
    <cellStyle name="好_1023日式味噌豚鍋-A" xfId="147"/>
    <cellStyle name="好_10沙茶肉片" xfId="148"/>
    <cellStyle name="好_20100511照燒香雞堡飯糰確1版(廠務)" xfId="149"/>
    <cellStyle name="好_35元麻辣燙" xfId="150"/>
    <cellStyle name="好_951219火腿蛋炒飯-980331" xfId="151"/>
    <cellStyle name="好_96.10.23中式紫米傳統飯糰─廠務版" xfId="152"/>
    <cellStyle name="好_970112冷藏熱烈一番味噌拉麵(調理版)" xfId="153"/>
    <cellStyle name="好_970127冷藏壹番涼麵.確認版(1)" xfId="154"/>
    <cellStyle name="好_970318海苔雞便當(調理版)" xfId="155"/>
    <cellStyle name="好_970401陽光三明治-超厚豬排晉欣版)" xfId="156"/>
    <cellStyle name="好_970414冷藏正宗鰹露蕎麥涼麵.(調理版)" xfId="157"/>
    <cellStyle name="好_970421沙茶魷魚羹(調理版)" xfId="158"/>
    <cellStyle name="好_970505火腿蛋炒飯(調理版)" xfId="159"/>
    <cellStyle name="好_970505冷藏超大份量肉醬義大利麵(調理版)" xfId="160"/>
    <cellStyle name="好_970519陽光鮪魚沙拉(調理版)" xfId="161"/>
    <cellStyle name="好_970520薑汁燒肉便當(廠務版)" xfId="162"/>
    <cellStyle name="好_970520薑汁燒肉便當(調理版)" xfId="163"/>
    <cellStyle name="好_970609冷藏香烤豬排鐵板麵-蘑菇醬.(調理版)" xfId="164"/>
    <cellStyle name="好_970610台式烤肉飯(廠務版)(配菜更換為雪裏紅)" xfId="165"/>
    <cellStyle name="好_970624鮪魚手卷" xfId="166"/>
    <cellStyle name="好_970624鮪魚飯糰" xfId="167"/>
    <cellStyle name="好_970714冷藏韓式泡菜冷麵(調理版)" xfId="168"/>
    <cellStyle name="好_970715香辣雞腿排便當(調理版)" xfId="169"/>
    <cellStyle name="好_970722傳統池上便當-確10" xfId="170"/>
    <cellStyle name="好_970728冷藏日式炒麵(調理版)" xfId="171"/>
    <cellStyle name="好_970729黃金鮪魚&amp;手工蛋沙三明治-廠務版" xfId="172"/>
    <cellStyle name="好_970729黃金鮪魚&amp;手工蛋沙三明治確(3)版" xfId="173"/>
    <cellStyle name="好_970729雙色薯沙三明治確(4)版" xfId="174"/>
    <cellStyle name="好_970730冷藏香烤豬排鐵板麵-更改大口肉片蘑菇醬.(調理版)" xfId="175"/>
    <cellStyle name="好_970804冷藏北海道奶油鮭魚焗烤麵.確認版(5)" xfId="176"/>
    <cellStyle name="好_970804冷藏北海道鮭魚義大利焗烤麵(調理版)" xfId="177"/>
    <cellStyle name="好_970811陽光火腿蛋沙拉(調理版)-1" xfId="178"/>
    <cellStyle name="好_970818沙茶豬柳燴飯(調理版)" xfId="179"/>
    <cellStyle name="好_970819 彰化老店排骨便當-確6" xfId="180"/>
    <cellStyle name="好_970902日式燒肉便浶廠務版)" xfId="181"/>
    <cellStyle name="好_970902日式燒肉便浶t務版)" xfId="8715"/>
    <cellStyle name="好_970902日式燒肉便當(廠務版)" xfId="182"/>
    <cellStyle name="好_970902日式燒肉便當(調理版)" xfId="183"/>
    <cellStyle name="好_970908雙餡獨享PIZZA(調理版)" xfId="184"/>
    <cellStyle name="好_970915冷藏起司培根焗麵(調理版)" xfId="185"/>
    <cellStyle name="好_970915冷藏起司培根焗麵-基因改造(調理版)" xfId="186"/>
    <cellStyle name="好_970922宮保雞丁雞燴飯-調理版" xfId="187"/>
    <cellStyle name="好_970923黃金鮪魚蛋三明治-晉欣" xfId="188"/>
    <cellStyle name="好_970929鍋燒意麵-基因改造(調理版)" xfId="189"/>
    <cellStyle name="好_970930傳統壽司組合確3版" xfId="190"/>
    <cellStyle name="好_971002超值便當" xfId="191"/>
    <cellStyle name="好_971008過年便當" xfId="192"/>
    <cellStyle name="好_971020冷藏排骨麵-廠務版-改麵價" xfId="193"/>
    <cellStyle name="好_971021椒鹽雞腿便當(0922提報)" xfId="194"/>
    <cellStyle name="好_971103冷藏一番亭熱烈擔擔麵(調理版)" xfId="195"/>
    <cellStyle name="好_971103沙茶豬肉火鍋.晉欣調理版" xfId="196"/>
    <cellStyle name="好_971103韓式泡菜火鍋.晉欣調理版" xfId="197"/>
    <cellStyle name="好_971110奶油嫩雞義大利麵(調理版)" xfId="198"/>
    <cellStyle name="好_971118北海道鮭魚飯糰廠務版" xfId="199"/>
    <cellStyle name="好_971201冷藏蕃茄海鮮焗麵(調理版)" xfId="200"/>
    <cellStyle name="好_971204福氣團圓便當(豆干版)補提報-2" xfId="201"/>
    <cellStyle name="好_971208冷藏美式燻腸義大利麵-(調理版)" xfId="202"/>
    <cellStyle name="好_971208冷藏美式燻腸義大利麵修改毛利-(廠務版)-加10%水?度下修-加貼標" xfId="8716"/>
    <cellStyle name="好_971208冷藏美式燻腸義大利麵修改毛利-(廠務版)-加10%水塩度下修-加貼標" xfId="203"/>
    <cellStyle name="好_971215超BIG-肉絲蛋炒飯-晉欣調理版無SOYAUP" xfId="204"/>
    <cellStyle name="好_971216中式蔥蛋烤香腸飯糰-調理(換香腸)" xfId="205"/>
    <cellStyle name="好_971222咖哩烏龍麵(調理版)" xfId="206"/>
    <cellStyle name="好_971223池上招牌飯包.確6" xfId="207"/>
    <cellStyle name="好_980?23醬爆牛肉-晉欣調理版" xfId="8717"/>
    <cellStyle name="好_980106咖哩雞肉鍋飯--確7" xfId="208"/>
    <cellStyle name="好_980106花壽司組合確1版" xfId="209"/>
    <cellStyle name="好_980112七福卷確2版-廠務" xfId="210"/>
    <cellStyle name="好_980120麻辣豆腐鍋飯--春節期間盒裝豆腐分切3" xfId="211"/>
    <cellStyle name="好_980202黑胡椒豬柳燴飯-確(1)" xfId="212"/>
    <cellStyle name="好_980203古早味傳統香腸飯--確3" xfId="213"/>
    <cellStyle name="好_980210蒙古烤肉鍋飯--確2" xfId="214"/>
    <cellStyle name="好_980216什錦花椰菜(1)" xfId="215"/>
    <cellStyle name="好_980216什錦花椰菜-廠務(5)" xfId="216"/>
    <cellStyle name="好_980216培根高麗菜(6)" xfId="217"/>
    <cellStyle name="好_980216黑胡椒雞鐵板刈包-確(2)" xfId="218"/>
    <cellStyle name="好_980216醬爆牛肉(5)--改?度" xfId="8718"/>
    <cellStyle name="好_980216醬爆牛肉(5)--改塩度" xfId="219"/>
    <cellStyle name="好_980217肉鬆玉米三明治確2版" xfId="220"/>
    <cellStyle name="好_980223元氣-咖哩雞蛋包飯確4版-廠務" xfId="221"/>
    <cellStyle name="好_980303椒鹽香雞排便當-確4(製造日980308  9：00修改總重)" xfId="222"/>
    <cellStyle name="好_980310陽光三明治-黃金蝦堡確3版" xfId="223"/>
    <cellStyle name="好_980310新超值-香炸雞排便當--確7(炸時間修正" xfId="224"/>
    <cellStyle name="好_980310新超值-香炸雞排便當--確8(更換主菜--大成)" xfId="225"/>
    <cellStyle name="好_980310新超值-香炸雞排便當--確8(更換主菜--大成)高麗菜更改配方" xfId="226"/>
    <cellStyle name="好_980317起士牛肉堡確3版廠務版" xfId="227"/>
    <cellStyle name="好_980317新超值-醬燒烤雞便當--確5(乾木耳絲)" xfId="228"/>
    <cellStyle name="好_980323什錦花椰菜-確(1)" xfId="229"/>
    <cellStyle name="好_980323什錦花椰菜-調理版(2)" xfId="230"/>
    <cellStyle name="好_980323脆炒中卷-晉欣調理版" xfId="231"/>
    <cellStyle name="好_980323脆炒中卷-調理版(2)" xfId="232"/>
    <cellStyle name="好_980323培根高麗菜-調理版(2)" xfId="233"/>
    <cellStyle name="好_980323黑胡椒豬柳丁-晉欣調理版" xfId="234"/>
    <cellStyle name="好_980323黑胡椒豬柳-晉欣調理版" xfId="235"/>
    <cellStyle name="好_980323黑胡椒豬柳-調理版(2)" xfId="236"/>
    <cellStyle name="好_980323辣子雞丁-晉欣調理版" xfId="237"/>
    <cellStyle name="好_980323辣子雞丁-調理版(2)" xfId="238"/>
    <cellStyle name="好_980323醬爆牛肉- 確(1)" xfId="239"/>
    <cellStyle name="好_980323醬爆牛肉- 調理版(2)" xfId="240"/>
    <cellStyle name="好_980323醬爆牛肉-晉欣調理版" xfId="241"/>
    <cellStyle name="好_980324筍香拌飯-炸豬排便當-確4" xfId="242"/>
    <cellStyle name="好_980330冷藏香菇肉羹麵(確一)" xfId="243"/>
    <cellStyle name="好_980330冷藏義式臘腸焗烤飯.(調理版)" xfId="244"/>
    <cellStyle name="好_980406什錦豆腐-晉欣調理版" xfId="245"/>
    <cellStyle name="好_980413什錦豆腐-晉欣調理版" xfId="246"/>
    <cellStyle name="好_980413螞蟻上樹-晉欣調理版" xfId="247"/>
    <cellStyle name="好_980414辣子雞丁-晉欣調理版" xfId="248"/>
    <cellStyle name="好_980414韓式梨汁牛肉飯糰確2版" xfId="249"/>
    <cellStyle name="好_980420-肉燥高麗菜-確(3)" xfId="250"/>
    <cellStyle name="好_980420豉汁燒肉--晉欣調理版" xfId="251"/>
    <cellStyle name="好_980420陽光多彩鮮蔬沙拉-確七" xfId="252"/>
    <cellStyle name="好_980421招牌火腿蛋三明治確1版" xfId="253"/>
    <cellStyle name="好_980427冷藏哨子麵-晉欣調理版" xfId="254"/>
    <cellStyle name="好_980427花椰時蔬-晉欣調理版" xfId="255"/>
    <cellStyle name="好_980427彩椒肉絲-晉欣調理版" xfId="256"/>
    <cellStyle name="好_980427魚香干絲-晉欣調理版" xfId="257"/>
    <cellStyle name="好_980428素京醬排骨便當-廠務版" xfId="258"/>
    <cellStyle name="好_980428素京醬排骨便當-確11" xfId="259"/>
    <cellStyle name="好_980504彩椒肉絲-晉欣試吃品調理版" xfId="260"/>
    <cellStyle name="好_980504彩椒肉絲-晉欣調理版" xfId="261"/>
    <cellStyle name="好_980504醬燒魚-晉欣調理版" xfId="262"/>
    <cellStyle name="好_980504鐵板百頁-晉欣調理版" xfId="263"/>
    <cellStyle name="好_980505香菇肉羹飯-調理版(1)" xfId="264"/>
    <cellStyle name="好_980505彰化老店排骨便當-確11" xfId="265"/>
    <cellStyle name="好_980511冷藏超大份量肉醬義大利麵.(調理版)" xfId="266"/>
    <cellStyle name="好_980511陽光火腿鮮蔬沙拉-確二" xfId="267"/>
    <cellStyle name="好_980518冷藏什錦冬粉-確五" xfId="268"/>
    <cellStyle name="好_980518冷藏功夫麵-試產一" xfId="269"/>
    <cellStyle name="好_980519超值雙享–烤雞+京醬肉片便當0506-確6" xfId="270"/>
    <cellStyle name="好_980526法式烤春雞三明治試1版" xfId="271"/>
    <cellStyle name="好_980601冷藏奶油培根義大利麵-確四" xfId="272"/>
    <cellStyle name="好_980601彩椒肉絲-晉欣調理版" xfId="273"/>
    <cellStyle name="好_980608冷藏沙茶綜合羹冬粉.(晉欣調理版)" xfId="274"/>
    <cellStyle name="好_980609三杯雞便當-確3" xfId="275"/>
    <cellStyle name="好_980609沙拉稻荷2入確3版" xfId="276"/>
    <cellStyle name="好_980615沙茶牛肉- 晉欣調理版" xfId="277"/>
    <cellStyle name="好_980616起士玉米蛋三明治.試產版-晉欣" xfId="278"/>
    <cellStyle name="好_980622三杯雞丁- 晉欣調理版" xfId="279"/>
    <cellStyle name="好_980706陽光和風野菜沙拉-晉欣調理版" xfId="280"/>
    <cellStyle name="好_980714法式烤春雞三明治確4版" xfId="281"/>
    <cellStyle name="好_980714法式烤春雞三明治確6版" xfId="282"/>
    <cellStyle name="好_980714法式烤春雞三明治確6版-廠務" xfId="283"/>
    <cellStyle name="好_980714法式烤春雞三明治確9版" xfId="284"/>
    <cellStyle name="好_980714花生太陽蛋三明治確2版" xfId="285"/>
    <cellStyle name="好_980714蔥燒排骨便當確3版" xfId="286"/>
    <cellStyle name="好_980721彩椒肉絲.試產(1)" xfId="287"/>
    <cellStyle name="好_980721港式雙寶飯確3版廠務版" xfId="288"/>
    <cellStyle name="好_980721鮪魚蛋沙拉三明治確6版" xfId="289"/>
    <cellStyle name="好_980727冷藏貢丸米粉湯晉欣調理版" xfId="290"/>
    <cellStyle name="好_980727筍香肉絲" xfId="291"/>
    <cellStyle name="好_980727筍香肉絲-試(2)" xfId="292"/>
    <cellStyle name="好_980727辣子雞丁- 晉欣調理版" xfId="293"/>
    <cellStyle name="好_980728蜜汁香雞排便當-確6" xfId="294"/>
    <cellStyle name="好_980825日式三色雞便當確3版" xfId="295"/>
    <cellStyle name="好_980907冷藏花生錦絲涼麵.晉欣調理版" xfId="296"/>
    <cellStyle name="好_980908洋芋炸雞排三明治廠務版(指示書修正)" xfId="297"/>
    <cellStyle name="好_980922日式咖哩雞飯糰確1版" xfId="298"/>
    <cellStyle name="好_980922和風咖哩雞排便當確1版" xfId="299"/>
    <cellStyle name="好_980922黃金起士咖哩豬排三明治.試產版(1)" xfId="300"/>
    <cellStyle name="好_980922黃金起士咖哩豬排三明治-試1版" xfId="301"/>
    <cellStyle name="好_980栣23醬爆牛肉-晉欣調理版" xfId="302"/>
    <cellStyle name="好_981006迷你便當-三色便當(晉欣)" xfId="303"/>
    <cellStyle name="好_981006黃金蛋皮-普羅旺斯雞排飯糰試2版" xfId="304"/>
    <cellStyle name="好_981006新超值-宮保雞丁便當-確6-廠務版" xfId="305"/>
    <cellStyle name="好_981013黃金起士咖哩豬排三明治-確1版" xfId="306"/>
    <cellStyle name="好_981019冷藏蔥燒牛肉麵-晉欣試產1" xfId="307"/>
    <cellStyle name="好_981020大口義式香草腿排飯糰確1版" xfId="308"/>
    <cellStyle name="好_981020大口義式香草腿排飯糰確3版" xfId="309"/>
    <cellStyle name="好_981109冷藏牛肉湯麵晉欣廠務版" xfId="310"/>
    <cellStyle name="好_981109冷藏波隆納肉醬義大利麵 晉欣調理版" xfId="311"/>
    <cellStyle name="好_981116冷藏台南鍋燒意麵(晉欣調理版)" xfId="312"/>
    <cellStyle name="好_981116冷藏韓式泡菜鍋-廠務" xfId="313"/>
    <cellStyle name="好_981117熱炒68-黑胡椒豬柳便當確3版" xfId="314"/>
    <cellStyle name="好_981117熱炒68-黑胡椒豬柳便當確4版(更改九層塔)" xfId="315"/>
    <cellStyle name="好_981117熱炒系列-三杯雞" xfId="316"/>
    <cellStyle name="好_981117熱炒系列-三杯雞丁" xfId="317"/>
    <cellStyle name="好_981117熱炒系列-黑胡椒豬柳" xfId="318"/>
    <cellStyle name="好_981207冷藏赤?豚骨拉麵晉欣調理版" xfId="8719"/>
    <cellStyle name="好_981207冷藏赤坂豚骨拉麵晉欣調理版" xfId="319"/>
    <cellStyle name="好_981214冷藏府城擔仔麵晉欣調理版" xfId="320"/>
    <cellStyle name="好_981215中式蔥蛋烤香腸飯糰試1版" xfId="321"/>
    <cellStyle name="好_981215豬肉漢堡試1版" xfId="322"/>
    <cellStyle name="好_981221冷藏奶油龍蝦義大利麵確認版" xfId="323"/>
    <cellStyle name="好_981229火腿起司飯糰試1版" xfId="324"/>
    <cellStyle name="好_981229迷你-香菇雞便當確5版" xfId="325"/>
    <cellStyle name="好_98818蟹肉沙拉飯糰確1版" xfId="326"/>
    <cellStyle name="好_98818蟹肉沙拉飯糰確1版-廠2010" xfId="327"/>
    <cellStyle name="好_990104沙茶牛肉- 晉欣廠務版" xfId="328"/>
    <cellStyle name="好_990105新超值-黃金豬排便當確3版" xfId="329"/>
    <cellStyle name="好_990126冷藏帕瑪森起司焗麵-晉欣調理版" xfId="330"/>
    <cellStyle name="好_990126虎福卷確3版" xfId="331"/>
    <cellStyle name="好_990222冷藏蛋奶培根義大利麵 晉欣調理版" xfId="332"/>
    <cellStyle name="好_990222冷藏番茄肉醬義大利晉欣確認版0126" xfId="333"/>
    <cellStyle name="好_990311泰式辣炒牛肉" xfId="334"/>
    <cellStyle name="好_990405川味麻辣涼麵-晉欣廠務版" xfId="335"/>
    <cellStyle name="好_990405蝦醬高麗菜-晉欣廠務版(愛味佳能7)" xfId="336"/>
    <cellStyle name="好_990412陽光多彩鮮蔬沙拉-晉欣廠務版" xfId="337"/>
    <cellStyle name="好_990412陽光多彩鮮蔬沙拉-調理版" xfId="338"/>
    <cellStyle name="好_990412義式雞蛋沙拉-晉欣廠務版(蒸馬鈴薯丁)" xfId="339"/>
    <cellStyle name="好_990413千層火腿鮮蔬三明治確1版(廠)" xfId="340"/>
    <cellStyle name="好_990419和風黑醋蕃茄菇沙拉-晉欣廠務版" xfId="341"/>
    <cellStyle name="好_990419馬鈴薯沙拉佐鮮蔬-晉欣廠務版" xfId="342"/>
    <cellStyle name="好_990419馬鈴薯沙拉佐鮮蔬晉欣調理版" xfId="343"/>
    <cellStyle name="好_990419馬鈴薯沙拉佐鮮蔬-試產版" xfId="344"/>
    <cellStyle name="好_990426陽光鮪魚沙拉-晉欣廠務版_增加秤重標準" xfId="345"/>
    <cellStyle name="好_990510冷藏起司雞排義大利麵.晉欣試產版" xfId="346"/>
    <cellStyle name="好_990510冷藏韓式涼麵晉欣廠務版-蒸泡菜" xfId="347"/>
    <cellStyle name="好_990510冷藏韓式涼麵-試產版" xfId="348"/>
    <cellStyle name="好_990510冷藏韓式涼麵-調理版" xfId="349"/>
    <cellStyle name="好_990531冷藏蒜炒羅勒培根義大利麵 晉欣調理版" xfId="350"/>
    <cellStyle name="好_990531辛口咖哩雞燴飯-晉欣調理版" xfId="351"/>
    <cellStyle name="好_990531陽光多彩鮮蔬沙拉-廠務版" xfId="352"/>
    <cellStyle name="好_990608滷香雞腿便當確2版" xfId="353"/>
    <cellStyle name="好_990614冷藏讚岐烏龍冷麵廠務版" xfId="354"/>
    <cellStyle name="好_990614冷藏讚岐烏龍冷麵調理版" xfId="355"/>
    <cellStyle name="好_990614馬鈴薯沙拉佐鮮蔬-千島晉欣廠務版" xfId="356"/>
    <cellStyle name="好_990614馬鈴薯沙拉佐鮮蔬-千島晉欣廠務版-紫高麗絲、牛番茄修正" xfId="357"/>
    <cellStyle name="好_990614鄉村甜薯沙拉晉欣廠務版-紅地瓜修正" xfId="358"/>
    <cellStyle name="好_990628火腿蛋蛋炒飯-晉欣調理版" xfId="359"/>
    <cellStyle name="好_990705燻雞玉米沙拉.廠務版" xfId="360"/>
    <cellStyle name="好_990721XO醬蛋炒飯-晉欣版" xfId="361"/>
    <cellStyle name="好_990721火腿蛋蛋炒飯-晉欣版" xfId="362"/>
    <cellStyle name="好_99076傳統滷味便當0402確認(1)晉欣" xfId="363"/>
    <cellStyle name="好_990802冷藏奶油燻雞義大利麵.北屏" xfId="364"/>
    <cellStyle name="好_990802冷藏隨手杯黑胡椒麵晉欣廠務版" xfId="365"/>
    <cellStyle name="好_990824彰化老店排骨飯-晉欣" xfId="366"/>
    <cellStyle name="好_990831花壽司調理修正cas號碼" xfId="367"/>
    <cellStyle name="好_990906火腿玉子沙拉-晉欣廠務版" xfId="368"/>
    <cellStyle name="好_990928勝利豬排三明治--廠務版修正" xfId="369"/>
    <cellStyle name="好_991004冷藏清水排骨酥麵晉欣調理版" xfId="370"/>
    <cellStyle name="好_991116黃金日式咖哩豬排三明治-廠務版1" xfId="371"/>
    <cellStyle name="好_BIG蕃茄炒飯" xfId="372"/>
    <cellStyle name="好_HMR-炸豆腐" xfId="373"/>
    <cellStyle name="好_人氣雙手卷(地瓜版)" xfId="374"/>
    <cellStyle name="好_人氣雙手卷OK" xfId="375"/>
    <cellStyle name="好_千層火腿玉米沙拉三明治" xfId="376"/>
    <cellStyle name="好_大口肉鬆蛋飯糰─華福" xfId="377"/>
    <cellStyle name="好_大口咖哩豬排飯糰試1版(廠務)" xfId="378"/>
    <cellStyle name="好_大口炭烤豬排飯糰" xfId="379"/>
    <cellStyle name="好_大口黃金蛋皮飯糰" xfId="380"/>
    <cellStyle name="好_大口黃金蛋皮飯糰(黑胡椒洋蔥)" xfId="381"/>
    <cellStyle name="好_大口黑胡椒牛肉漢堡飯糰" xfId="382"/>
    <cellStyle name="好_大吉大利三明治" xfId="383"/>
    <cellStyle name="好_中式黑胡椒醬" xfId="384"/>
    <cellStyle name="好_中式傳統肉鬆飯糰" xfId="385"/>
    <cellStyle name="好_中式傳統糯米飯糰(廠務)試1" xfId="386"/>
    <cellStyle name="好_中式蔥蛋烤香腸飯糰" xfId="387"/>
    <cellStyle name="好_什錦燴飯" xfId="388"/>
    <cellStyle name="好_元氣壽司雙組合" xfId="389"/>
    <cellStyle name="好_元氣蝦堡三明治-美生菜-行銷會議成本試算60g" xfId="390"/>
    <cellStyle name="好_午餐壽司組合" xfId="391"/>
    <cellStyle name="好_手工雞沙肉醬-焗烤厚片" xfId="392"/>
    <cellStyle name="好_日本一番三明治-鮪魚-2" xfId="393"/>
    <cellStyle name="好_日式三色雞便當" xfId="394"/>
    <cellStyle name="好_日式味噌豚鍋--白味噌醬" xfId="395"/>
    <cellStyle name="好_日式味噌豚鍋--紅味噌醬" xfId="396"/>
    <cellStyle name="好_日式咖哩雞肉飯糰" xfId="397"/>
    <cellStyle name="好_日式炒麵堡" xfId="398"/>
    <cellStyle name="好_日式洋蔥味噌鮭魚鍋" xfId="399"/>
    <cellStyle name="好_日式唐揚雞親子飯_2012.11.15" xfId="400"/>
    <cellStyle name="好_日式章魚-PIZZA" xfId="401"/>
    <cellStyle name="好_日式雞唐揚便當自製" xfId="402"/>
    <cellStyle name="好_木須肉0325" xfId="403"/>
    <cellStyle name="好_火腿三明治" xfId="404"/>
    <cellStyle name="好_火腿起司生菜沙拉-晉欣廠務版" xfId="405"/>
    <cellStyle name="好_火腿鮪魚三明治" xfId="406"/>
    <cellStyle name="好_功夫麵" xfId="407"/>
    <cellStyle name="好_包裝指示書(裏)" xfId="8720"/>
    <cellStyle name="好_古奈屋咖哩烏龍麵--禂度上修(奶油麵粉50g)" xfId="408"/>
    <cellStyle name="好_台式麻辣鍋" xfId="409"/>
    <cellStyle name="好_台式鹹粥" xfId="410"/>
    <cellStyle name="好_奶油摩佐起司焗麵" xfId="411"/>
    <cellStyle name="好_奶油龍蝦焗麵(調理版)" xfId="412"/>
    <cellStyle name="好_奶油龍蝦義大利麵" xfId="413"/>
    <cellStyle name="好_奶油雞丁焗烤麵" xfId="414"/>
    <cellStyle name="好_玉子火腿沙拉" xfId="415"/>
    <cellStyle name="好_玉米蛋沙三明治(20元)" xfId="416"/>
    <cellStyle name="好_白豆醬?魚" xfId="8721"/>
    <cellStyle name="好_白豆醬鲂魚" xfId="417"/>
    <cellStyle name="好_吐司規範" xfId="418"/>
    <cellStyle name="好_池上招牌便當-1" xfId="419"/>
    <cellStyle name="好_肉順?沙拉三明治$18(模仿)" xfId="8722"/>
    <cellStyle name="好_肉順ږ沙拉三明治$18(模仿)" xfId="420"/>
    <cellStyle name="好_肉鬆火腿蛋堡" xfId="421"/>
    <cellStyle name="好_肉鬆蛋沙拉三明治$18" xfId="422"/>
    <cellStyle name="好_肉鬆蛋沙拉三明治$18(模仿)" xfId="423"/>
    <cellStyle name="好_肉鬆鮪魚三明治-105" xfId="424"/>
    <cellStyle name="好_西西里海鮮焗烤飯" xfId="425"/>
    <cellStyle name="好_西西里鮪魚蔬菜焗烤飯" xfId="426"/>
    <cellStyle name="好_冷藏九州豚骨拉麵半個蛋" xfId="427"/>
    <cellStyle name="好_冷藏奶油燻雞義大利麵 晉欣試產版" xfId="428"/>
    <cellStyle name="好_冷藏奶油燻雞義大利麵 晉欣調理版" xfId="429"/>
    <cellStyle name="好_冷藏沙茶乾拌麵" xfId="430"/>
    <cellStyle name="好_冷藏沙茶燒肉炒麵-改正好的" xfId="431"/>
    <cellStyle name="好_冷藏咖哩炒麵" xfId="432"/>
    <cellStyle name="好_冷藏紅燒牛肉麵" xfId="433"/>
    <cellStyle name="好_冷藏美式燻腸義大利麵(南區)" xfId="434"/>
    <cellStyle name="好_冷藏香菇雞麵線" xfId="435"/>
    <cellStyle name="好_冷藏海鮮湯麵" xfId="436"/>
    <cellStyle name="好_冷藏海鮮湯麵-干貝" xfId="437"/>
    <cellStyle name="好_冷藏海鮮麵" xfId="438"/>
    <cellStyle name="好_冷藏魚香乾拌麵" xfId="439"/>
    <cellStyle name="好_冷藏榨菜肉絲乾麵- 晉欣調理版" xfId="440"/>
    <cellStyle name="好_冷藏精燉肉燥乾拌麵-升級版" xfId="441"/>
    <cellStyle name="好_冷藏精燉肉燥乾拌麵-調理版0627" xfId="442"/>
    <cellStyle name="好_冷藏蔥燒牛肉麵--35g" xfId="443"/>
    <cellStyle name="好_冷藏蘑菇雞排鐵板麵" xfId="444"/>
    <cellStyle name="好_沙茶肉片炒麵A" xfId="445"/>
    <cellStyle name="好_沙茶肉片燴飯" xfId="446"/>
    <cellStyle name="好_沙茶豬肉便當" xfId="447"/>
    <cellStyle name="好_和風雞絲飯糰-鹽" xfId="448"/>
    <cellStyle name="好_咖哩焗烤飯" xfId="449"/>
    <cellStyle name="好_咖哩豬便當-0618" xfId="450"/>
    <cellStyle name="好_咖哩鍋便當" xfId="451"/>
    <cellStyle name="好_咖哩雞肉烏龍麵" xfId="452"/>
    <cellStyle name="好_咖哩雞肉焗烤飯" xfId="453"/>
    <cellStyle name="好_法式烤春雞三明治" xfId="454"/>
    <cellStyle name="好_炒雞肉絲參考配方" xfId="455"/>
    <cellStyle name="好_芙蓉桂筍-(晉欣調理版)" xfId="456"/>
    <cellStyle name="好_芹香豆干" xfId="457"/>
    <cellStyle name="好_青椒牛柳" xfId="458"/>
    <cellStyle name="好_屏榮-1000412手工雞蛋沙拉三明治.試產版(1)" xfId="459"/>
    <cellStyle name="好_屏榮-1000412手工雞蛋沙拉三明治.試產版(1) (version 1)" xfId="460"/>
    <cellStyle name="好_洋蔥牛肉" xfId="461"/>
    <cellStyle name="好_洋蔥牛肉片" xfId="462"/>
    <cellStyle name="好_紅酒牛肉-燴炒飯" xfId="463"/>
    <cellStyle name="好_紅酒牛肉-燴炒飯(2)" xfId="464"/>
    <cellStyle name="好_紅燒羊肉AJ700 - 寬條冬粉" xfId="465"/>
    <cellStyle name="好_紅燒魯肉" xfId="466"/>
    <cellStyle name="好_美乃滋明太子飯糰" xfId="467"/>
    <cellStyle name="好_美乃滋明太子飯糰(夾心)" xfId="468"/>
    <cellStyle name="好_茄汁雞丁蛋飯糰" xfId="469"/>
    <cellStyle name="好_茄汁雞排堡飯糰(新)" xfId="470"/>
    <cellStyle name="好_香烤豬排蘑菇醬鐵板麵-更改大口肉片" xfId="471"/>
    <cellStyle name="好_香草烤雞三明治" xfId="472"/>
    <cellStyle name="好_香菇肉羹飯" xfId="473"/>
    <cellStyle name="好_香蒜培根義大利麵-區" xfId="474"/>
    <cellStyle name="好_家鄉居雞" xfId="475"/>
    <cellStyle name="好_拿坡里義大利麵-燻雞瑞輝" xfId="476"/>
    <cellStyle name="好_泰式辣炒牛肉" xfId="477"/>
    <cellStyle name="好_烤肉三明治(肉2片美生菜版)改" xfId="478"/>
    <cellStyle name="好_烤肉香腸三明治(肉1.5片小黃瓜版)" xfId="479"/>
    <cellStyle name="好_烤豬肉片三明治( 蛋片版)" xfId="480"/>
    <cellStyle name="好_烤豬肉片三明治(火腿版)" xfId="481"/>
    <cellStyle name="好_起士火腿烤蛋堡" xfId="482"/>
    <cellStyle name="好_起士火腿蛋堡" xfId="483"/>
    <cellStyle name="好_迷你便當-香菇雞" xfId="484"/>
    <cellStyle name="好_商務-香炸雞排_2012.12.04" xfId="485"/>
    <cellStyle name="好_清蒸?魚" xfId="8723"/>
    <cellStyle name="好_清蒸鲂魚" xfId="486"/>
    <cellStyle name="好_焗烤奶油明太子飯糰" xfId="487"/>
    <cellStyle name="好_焗烤鮭魚飯糰" xfId="488"/>
    <cellStyle name="好_野菇拌飯" xfId="489"/>
    <cellStyle name="好_普羅旺斯烤雞蛋皮飯糰" xfId="490"/>
    <cellStyle name="好_椒麻雞" xfId="491"/>
    <cellStyle name="好_番茄肉醬義大利麵" xfId="492"/>
    <cellStyle name="好_番茄雞肉義大利麵-區" xfId="493"/>
    <cellStyle name="好_超厚火腿多汁蛋沙拉三明治" xfId="494"/>
    <cellStyle name="好_超厚火腿多汁鮪魚三明治" xfId="495"/>
    <cellStyle name="好_開陽滷白菜" xfId="496"/>
    <cellStyle name="好_陽春湯麵-" xfId="497"/>
    <cellStyle name="好_黃金起士?醬薯餅三明治" xfId="8724"/>
    <cellStyle name="好_黃金起士双醬薯餅三明治" xfId="498"/>
    <cellStyle name="好_黑胡椒肉片鐵板麵" xfId="499"/>
    <cellStyle name="好_黑胡椒肉片鐵板麵--黑胡椒醬" xfId="500"/>
    <cellStyle name="好_黑胡椒肉排鐵板麵" xfId="501"/>
    <cellStyle name="好_黑胡椒豬肉燴麵" xfId="502"/>
    <cellStyle name="好_圓形飯糰-烤蛋" xfId="503"/>
    <cellStyle name="好_新超值Ⅱ-雞排+糖醋豬肉便當" xfId="504"/>
    <cellStyle name="好_新超值-沙茶豬肉便當" xfId="505"/>
    <cellStyle name="好_新增Microsoft Excel 工作表" xfId="506"/>
    <cellStyle name="好_煙燻鮭魚細卷" xfId="507"/>
    <cellStyle name="好_煙燻鮭魚細卷-鮭魚改用芙滋+華昇的" xfId="508"/>
    <cellStyle name="好_照燒燻雞三明治" xfId="509"/>
    <cellStyle name="好_照燒雞三明治" xfId="510"/>
    <cellStyle name="好_照燒鱒鮭沙拉飯糰(105)" xfId="511"/>
    <cellStyle name="好_義式起司牛肉堡" xfId="512"/>
    <cellStyle name="好_壽司三明治-外" xfId="513"/>
    <cellStyle name="好_滷雞腿便當1--OK" xfId="514"/>
    <cellStyle name="好_滷雞腿便當2--OK" xfId="515"/>
    <cellStyle name="好_蒙古鍋" xfId="516"/>
    <cellStyle name="好_蒲燒鯛魚飯糰(140片)-1221試-提報" xfId="517"/>
    <cellStyle name="好_辣味鮪魚飯糰" xfId="518"/>
    <cellStyle name="好_辣味雞胸排便當" xfId="519"/>
    <cellStyle name="好_辣醬肉燥麵" xfId="520"/>
    <cellStyle name="好_墨西哥牛肉堡" xfId="521"/>
    <cellStyle name="好_熱炒系列-三杯尤魚" xfId="522"/>
    <cellStyle name="好_熱炒系列-回鍋肉" xfId="523"/>
    <cellStyle name="好_熱炒系列-黑胡椒豬柳" xfId="524"/>
    <cellStyle name="好_熱炒系列-蜜汁排骨-1" xfId="525"/>
    <cellStyle name="好_稻荷壽司2入" xfId="526"/>
    <cellStyle name="好_稻荷壽司2入1" xfId="527"/>
    <cellStyle name="好_蔥油雞" xfId="528"/>
    <cellStyle name="好_蔬菜類非綠色蔬菜" xfId="529"/>
    <cellStyle name="好_複本 980915日式三色雞便當色差" xfId="530"/>
    <cellStyle name="好_複製 -990427焗烤茄汁肉醬飯糰試2版" xfId="531"/>
    <cellStyle name="好_複製 -咖哩雞肉焗烤飯" xfId="532"/>
    <cellStyle name="好_豬肉蛋堡(黑胡椒版)" xfId="533"/>
    <cellStyle name="好_豬排蛋中式飯糰" xfId="534"/>
    <cellStyle name="好_醋溜肉片" xfId="535"/>
    <cellStyle name="好_魷魚羹湯" xfId="536"/>
    <cellStyle name="好_燒烤牛肉堡" xfId="537"/>
    <cellStyle name="好_燒烤風-韓式烤肉飯" xfId="538"/>
    <cellStyle name="好_糖醋甜不辣" xfId="539"/>
    <cellStyle name="好_糖醋雞丁" xfId="540"/>
    <cellStyle name="好_蕃茄炒飯" xfId="541"/>
    <cellStyle name="好_蕃茄蛋炒飯調理版" xfId="542"/>
    <cellStyle name="好_鴛鴦鍋-麻辣+昆布柴魚" xfId="543"/>
    <cellStyle name="好_總會三明治" xfId="544"/>
    <cellStyle name="好_醣醋G丁" xfId="545"/>
    <cellStyle name="好_鍋燒意麵--後加沙茶" xfId="546"/>
    <cellStyle name="好_韓式泡菜鍋" xfId="547"/>
    <cellStyle name="好_韓式炊飯炊飯飯糰調理版" xfId="548"/>
    <cellStyle name="好_鮪魚三明治" xfId="549"/>
    <cellStyle name="好_鮪魚茄汁薯餅法式三明治(小黃瓜)" xfId="550"/>
    <cellStyle name="好_鮪魚蛋沙拉三明治試1" xfId="551"/>
    <cellStyle name="好_鮭魚沙拉飯糰(陶30g)" xfId="552"/>
    <cellStyle name="好_鮭魚雞蛋沙拉" xfId="553"/>
    <cellStyle name="好_鮮菇總?" xfId="8725"/>
    <cellStyle name="好_鮮菇總滙" xfId="554"/>
    <cellStyle name="好_鮮蔬肉鬆三明治" xfId="555"/>
    <cellStyle name="好_燻雞沙威瑪" xfId="556"/>
    <cellStyle name="好_醬汁雞肉飯糰" xfId="557"/>
    <cellStyle name="好_雙蛋多汁三明治" xfId="558"/>
    <cellStyle name="好_雙響纖蔬沙拉三明治" xfId="559"/>
    <cellStyle name="好_雙響纖蔬沙拉三明治(j五彩)" xfId="560"/>
    <cellStyle name="好_雞蛋沙拉三明治" xfId="561"/>
    <cellStyle name="好_雞蛋馬鈴薯沙拉三明治" xfId="562"/>
    <cellStyle name="好_羅勒海瓜子義大利麵" xfId="563"/>
    <cellStyle name="好_蟹肉絲豆腐煲" xfId="564"/>
    <cellStyle name="好_蘑菇腿排鐵板麵" xfId="565"/>
    <cellStyle name="好_蘑菇醬鐵板麵-確認--拉麵" xfId="566"/>
    <cellStyle name="好_蠔油時蔬" xfId="567"/>
    <cellStyle name="好_鹹魚雞粒炒飯" xfId="568"/>
    <cellStyle name="好_鐵板豆腐" xfId="569"/>
    <cellStyle name="好_鹽飯960822" xfId="570"/>
    <cellStyle name="百分比 10" xfId="1150"/>
    <cellStyle name="百分比 11" xfId="8726"/>
    <cellStyle name="百分比 2" xfId="571"/>
    <cellStyle name="百分比 2 10" xfId="572"/>
    <cellStyle name="百分比 2 10 2" xfId="573"/>
    <cellStyle name="百分比 2 10 2 2" xfId="1102"/>
    <cellStyle name="百分比 2 10 2 2 2" xfId="8727"/>
    <cellStyle name="百分比 2 10 2 3" xfId="8728"/>
    <cellStyle name="百分比 2 10 3" xfId="1124"/>
    <cellStyle name="百分比 2 10 3 2" xfId="8729"/>
    <cellStyle name="百分比 2 10 3 2 2" xfId="8730"/>
    <cellStyle name="百分比 2 10 3 2 2 2" xfId="8731"/>
    <cellStyle name="百分比 2 10 3 2 3" xfId="8732"/>
    <cellStyle name="百分比 2 10 3 3" xfId="8733"/>
    <cellStyle name="百分比 2 10 3 3 2" xfId="8734"/>
    <cellStyle name="百分比 2 10 3 4" xfId="8735"/>
    <cellStyle name="百分比 2 10 3 5" xfId="8736"/>
    <cellStyle name="百分比 2 10 3 6" xfId="8737"/>
    <cellStyle name="百分比 2 11" xfId="574"/>
    <cellStyle name="百分比 2 11 2" xfId="575"/>
    <cellStyle name="百分比 2 11 2 2" xfId="8738"/>
    <cellStyle name="百分比 2 11 3" xfId="1125"/>
    <cellStyle name="百分比 2 11 3 2" xfId="8740"/>
    <cellStyle name="百分比 2 11 3 2 2" xfId="8741"/>
    <cellStyle name="百分比 2 11 3 2 3" xfId="8742"/>
    <cellStyle name="百分比 2 11 3 3" xfId="8743"/>
    <cellStyle name="百分比 2 11 3 4" xfId="8744"/>
    <cellStyle name="百分比 2 11 3 5" xfId="8745"/>
    <cellStyle name="百分比 2 11 3 6" xfId="8739"/>
    <cellStyle name="百分比 2 12" xfId="576"/>
    <cellStyle name="百分比 2 12 2" xfId="577"/>
    <cellStyle name="百分比 2 12 2 2" xfId="8746"/>
    <cellStyle name="百分比 2 12 3" xfId="1126"/>
    <cellStyle name="百分比 2 12 3 2" xfId="8748"/>
    <cellStyle name="百分比 2 12 3 2 2" xfId="8749"/>
    <cellStyle name="百分比 2 12 3 2 3" xfId="8750"/>
    <cellStyle name="百分比 2 12 3 3" xfId="8751"/>
    <cellStyle name="百分比 2 12 3 4" xfId="8752"/>
    <cellStyle name="百分比 2 12 3 5" xfId="8753"/>
    <cellStyle name="百分比 2 12 3 6" xfId="8747"/>
    <cellStyle name="百分比 2 13" xfId="578"/>
    <cellStyle name="百分比 2 13 2" xfId="579"/>
    <cellStyle name="百分比 2 13 2 2" xfId="8754"/>
    <cellStyle name="百分比 2 13 3" xfId="1127"/>
    <cellStyle name="百分比 2 13 3 2" xfId="8756"/>
    <cellStyle name="百分比 2 13 3 2 2" xfId="8757"/>
    <cellStyle name="百分比 2 13 3 2 3" xfId="8758"/>
    <cellStyle name="百分比 2 13 3 3" xfId="8759"/>
    <cellStyle name="百分比 2 13 3 4" xfId="8760"/>
    <cellStyle name="百分比 2 13 3 5" xfId="8761"/>
    <cellStyle name="百分比 2 13 3 6" xfId="8755"/>
    <cellStyle name="百分比 2 14" xfId="580"/>
    <cellStyle name="百分比 2 14 2" xfId="581"/>
    <cellStyle name="百分比 2 14 2 2" xfId="8762"/>
    <cellStyle name="百分比 2 14 3" xfId="1128"/>
    <cellStyle name="百分比 2 14 3 2" xfId="8764"/>
    <cellStyle name="百分比 2 14 3 2 2" xfId="8765"/>
    <cellStyle name="百分比 2 14 3 2 3" xfId="8766"/>
    <cellStyle name="百分比 2 14 3 3" xfId="8767"/>
    <cellStyle name="百分比 2 14 3 4" xfId="8768"/>
    <cellStyle name="百分比 2 14 3 5" xfId="8769"/>
    <cellStyle name="百分比 2 14 3 6" xfId="8763"/>
    <cellStyle name="百分比 2 15" xfId="582"/>
    <cellStyle name="百分比 2 16" xfId="8770"/>
    <cellStyle name="百分比 2 17" xfId="8771"/>
    <cellStyle name="百分比 2 18" xfId="8772"/>
    <cellStyle name="百分比 2 2" xfId="583"/>
    <cellStyle name="百分比 2 2 2" xfId="584"/>
    <cellStyle name="百分比 2 2 2 2" xfId="585"/>
    <cellStyle name="百分比 2 2 2 2 2" xfId="586"/>
    <cellStyle name="百分比 2 2 2 2 2 2" xfId="8773"/>
    <cellStyle name="百分比 2 2 2 2 2 2 2" xfId="8774"/>
    <cellStyle name="百分比 2 2 2 2 2 2 2 2" xfId="8775"/>
    <cellStyle name="百分比 2 2 2 2 2 2 3" xfId="8776"/>
    <cellStyle name="百分比 2 2 2 2 2 3" xfId="8777"/>
    <cellStyle name="百分比 2 2 2 2 2 4" xfId="8778"/>
    <cellStyle name="百分比 2 2 2 2 3" xfId="587"/>
    <cellStyle name="百分比 2 2 2 2 3 2" xfId="8779"/>
    <cellStyle name="百分比 2 2 2 2 3 2 2" xfId="8780"/>
    <cellStyle name="百分比 2 2 2 2 3 2 3" xfId="8781"/>
    <cellStyle name="百分比 2 2 2 2 3 3" xfId="8782"/>
    <cellStyle name="百分比 2 2 2 2 3 4" xfId="8783"/>
    <cellStyle name="百分比 2 2 2 2 4" xfId="8784"/>
    <cellStyle name="百分比 2 2 2 2 4 2" xfId="8785"/>
    <cellStyle name="百分比 2 2 2 2 4 3" xfId="8786"/>
    <cellStyle name="百分比 2 2 2 2 4 4" xfId="8787"/>
    <cellStyle name="百分比 2 2 2 2 4 5" xfId="8788"/>
    <cellStyle name="百分比 2 2 3" xfId="588"/>
    <cellStyle name="百分比 2 2 3 2" xfId="8789"/>
    <cellStyle name="百分比 2 2 4" xfId="8790"/>
    <cellStyle name="百分比 2 2 4 2" xfId="8791"/>
    <cellStyle name="百分比 2 2 4 3" xfId="8792"/>
    <cellStyle name="百分比 2 2 4 4" xfId="8793"/>
    <cellStyle name="百分比 2 2 4 5" xfId="8794"/>
    <cellStyle name="百分比 2 3" xfId="589"/>
    <cellStyle name="百分比 2 3 2" xfId="590"/>
    <cellStyle name="百分比 2 3 2 2" xfId="8795"/>
    <cellStyle name="百分比 2 3 3" xfId="1129"/>
    <cellStyle name="百分比 2 3 3 2" xfId="8797"/>
    <cellStyle name="百分比 2 3 3 2 2" xfId="8798"/>
    <cellStyle name="百分比 2 3 3 2 3" xfId="8799"/>
    <cellStyle name="百分比 2 3 3 3" xfId="8800"/>
    <cellStyle name="百分比 2 3 3 4" xfId="8801"/>
    <cellStyle name="百分比 2 3 3 5" xfId="8802"/>
    <cellStyle name="百分比 2 3 3 6" xfId="8796"/>
    <cellStyle name="百分比 2 4" xfId="591"/>
    <cellStyle name="百分比 2 4 2" xfId="592"/>
    <cellStyle name="百分比 2 4 2 2" xfId="8803"/>
    <cellStyle name="百分比 2 4 3" xfId="1130"/>
    <cellStyle name="百分比 2 4 3 2" xfId="8805"/>
    <cellStyle name="百分比 2 4 3 2 2" xfId="8806"/>
    <cellStyle name="百分比 2 4 3 2 3" xfId="8807"/>
    <cellStyle name="百分比 2 4 3 3" xfId="8808"/>
    <cellStyle name="百分比 2 4 3 4" xfId="8809"/>
    <cellStyle name="百分比 2 4 3 5" xfId="8810"/>
    <cellStyle name="百分比 2 4 3 6" xfId="8804"/>
    <cellStyle name="百分比 2 5" xfId="593"/>
    <cellStyle name="百分比 2 5 2" xfId="594"/>
    <cellStyle name="百分比 2 5 2 2" xfId="8811"/>
    <cellStyle name="百分比 2 5 3" xfId="1131"/>
    <cellStyle name="百分比 2 5 3 2" xfId="8813"/>
    <cellStyle name="百分比 2 5 3 2 2" xfId="8814"/>
    <cellStyle name="百分比 2 5 3 2 3" xfId="8815"/>
    <cellStyle name="百分比 2 5 3 3" xfId="8816"/>
    <cellStyle name="百分比 2 5 3 4" xfId="8817"/>
    <cellStyle name="百分比 2 5 3 5" xfId="8818"/>
    <cellStyle name="百分比 2 5 3 6" xfId="8812"/>
    <cellStyle name="百分比 2 6" xfId="595"/>
    <cellStyle name="百分比 2 6 2" xfId="596"/>
    <cellStyle name="百分比 2 6 2 2" xfId="8819"/>
    <cellStyle name="百分比 2 6 3" xfId="1132"/>
    <cellStyle name="百分比 2 6 3 2" xfId="8821"/>
    <cellStyle name="百分比 2 6 3 2 2" xfId="8822"/>
    <cellStyle name="百分比 2 6 3 2 3" xfId="8823"/>
    <cellStyle name="百分比 2 6 3 3" xfId="8824"/>
    <cellStyle name="百分比 2 6 3 4" xfId="8825"/>
    <cellStyle name="百分比 2 6 3 5" xfId="8826"/>
    <cellStyle name="百分比 2 6 3 6" xfId="8820"/>
    <cellStyle name="百分比 2 7" xfId="597"/>
    <cellStyle name="百分比 2 7 2" xfId="598"/>
    <cellStyle name="百分比 2 7 2 2" xfId="8827"/>
    <cellStyle name="百分比 2 7 3" xfId="1133"/>
    <cellStyle name="百分比 2 7 3 2" xfId="8829"/>
    <cellStyle name="百分比 2 7 3 2 2" xfId="8830"/>
    <cellStyle name="百分比 2 7 3 2 3" xfId="8831"/>
    <cellStyle name="百分比 2 7 3 3" xfId="8832"/>
    <cellStyle name="百分比 2 7 3 4" xfId="8833"/>
    <cellStyle name="百分比 2 7 3 5" xfId="8834"/>
    <cellStyle name="百分比 2 7 3 6" xfId="8828"/>
    <cellStyle name="百分比 2 8" xfId="599"/>
    <cellStyle name="百分比 2 8 2" xfId="600"/>
    <cellStyle name="百分比 2 8 2 2" xfId="8835"/>
    <cellStyle name="百分比 2 8 3" xfId="1134"/>
    <cellStyle name="百分比 2 8 3 2" xfId="8837"/>
    <cellStyle name="百分比 2 8 3 2 2" xfId="8838"/>
    <cellStyle name="百分比 2 8 3 2 3" xfId="8839"/>
    <cellStyle name="百分比 2 8 3 3" xfId="8840"/>
    <cellStyle name="百分比 2 8 3 4" xfId="8841"/>
    <cellStyle name="百分比 2 8 3 5" xfId="8842"/>
    <cellStyle name="百分比 2 8 3 6" xfId="8836"/>
    <cellStyle name="百分比 2 9" xfId="601"/>
    <cellStyle name="百分比 2 9 2" xfId="602"/>
    <cellStyle name="百分比 2 9 2 2" xfId="8843"/>
    <cellStyle name="百分比 2 9 3" xfId="1135"/>
    <cellStyle name="百分比 2 9 3 2" xfId="8845"/>
    <cellStyle name="百分比 2 9 3 2 2" xfId="8846"/>
    <cellStyle name="百分比 2 9 3 2 3" xfId="8847"/>
    <cellStyle name="百分比 2 9 3 2_包裝指示書(裏)" xfId="8848"/>
    <cellStyle name="百分比 2 9 3 3" xfId="8849"/>
    <cellStyle name="百分比 2 9 3 4" xfId="8850"/>
    <cellStyle name="百分比 2 9 3 5" xfId="8851"/>
    <cellStyle name="百分比 2 9 3 6" xfId="8844"/>
    <cellStyle name="百分比 2 9 3_包裝指示書(裏)" xfId="8852"/>
    <cellStyle name="百分比 3" xfId="603"/>
    <cellStyle name="百分比 3 2" xfId="604"/>
    <cellStyle name="百分比 3_包裝指示書(裏)" xfId="8853"/>
    <cellStyle name="百分比 4" xfId="605"/>
    <cellStyle name="百分比 4 2" xfId="606"/>
    <cellStyle name="百分比 4 2 2" xfId="607"/>
    <cellStyle name="百分比 4 2 2 2" xfId="8854"/>
    <cellStyle name="百分比 4 2 2 2 2" xfId="8855"/>
    <cellStyle name="百分比 4 2 2 2 3" xfId="8856"/>
    <cellStyle name="百分比 4 2 2 2 4" xfId="8857"/>
    <cellStyle name="百分比 4 2 2 2 5" xfId="8858"/>
    <cellStyle name="百分比 4 2 2 2 6" xfId="8859"/>
    <cellStyle name="百分比 4 2 2 2_包裝指示書(裏)" xfId="8860"/>
    <cellStyle name="百分比 4 2 2 3" xfId="8861"/>
    <cellStyle name="百分比 4 2 2_包裝指示書(裏)" xfId="8862"/>
    <cellStyle name="百分比 4 2 3" xfId="8863"/>
    <cellStyle name="百分比 4 2 3 2" xfId="8864"/>
    <cellStyle name="百分比 4 2 3 2 2" xfId="8865"/>
    <cellStyle name="百分比 4 2 3 3" xfId="8866"/>
    <cellStyle name="百分比 4 2 3 3 2" xfId="8867"/>
    <cellStyle name="百分比 4 2 3 4" xfId="8868"/>
    <cellStyle name="百分比 4 2 3 5" xfId="8869"/>
    <cellStyle name="百分比 4 2 3 6" xfId="8870"/>
    <cellStyle name="百分比 4 2 3_包裝指示書(裏)" xfId="8871"/>
    <cellStyle name="百分比 4 2 4" xfId="8872"/>
    <cellStyle name="百分比 4 2_包裝指示書(裏)" xfId="8873"/>
    <cellStyle name="百分比 4 3" xfId="608"/>
    <cellStyle name="百分比 4 3 2" xfId="8874"/>
    <cellStyle name="百分比 4 3 2 2" xfId="8875"/>
    <cellStyle name="百分比 4 3 2 2 2" xfId="8876"/>
    <cellStyle name="百分比 4 3 2 2 3" xfId="8877"/>
    <cellStyle name="百分比 4 3 2 2 4" xfId="8878"/>
    <cellStyle name="百分比 4 3 2 2 5" xfId="8879"/>
    <cellStyle name="百分比 4 3 2 2_包裝指示書(裏)" xfId="8880"/>
    <cellStyle name="百分比 4 3 2 3" xfId="8881"/>
    <cellStyle name="百分比 4 3 2 3 2" xfId="8882"/>
    <cellStyle name="百分比 4 3 2 3 3" xfId="8883"/>
    <cellStyle name="百分比 4 3 2 3_包裝指示書(裏)" xfId="8884"/>
    <cellStyle name="百分比 4 3 2 4" xfId="8885"/>
    <cellStyle name="百分比 4 3 2 5" xfId="8886"/>
    <cellStyle name="百分比 4 3 2_包裝指示書(裏)" xfId="8887"/>
    <cellStyle name="百分比 4 3 3" xfId="8888"/>
    <cellStyle name="百分比 4 3 3 2" xfId="8889"/>
    <cellStyle name="百分比 4 3 3 3" xfId="8890"/>
    <cellStyle name="百分比 4 3 3 4" xfId="8891"/>
    <cellStyle name="百分比 4 3 3 5" xfId="8892"/>
    <cellStyle name="百分比 4 3 3_包裝指示書(裏)" xfId="8893"/>
    <cellStyle name="百分比 4 3 4" xfId="8894"/>
    <cellStyle name="百分比 4 3_包裝指示書(裏)" xfId="8895"/>
    <cellStyle name="百分比 4 4" xfId="609"/>
    <cellStyle name="百分比 4 4 2" xfId="8896"/>
    <cellStyle name="百分比 4 4 2 2" xfId="8897"/>
    <cellStyle name="百分比 4 4 2 2 2" xfId="8898"/>
    <cellStyle name="百分比 4 4 2 2_包裝指示書(裏)" xfId="8899"/>
    <cellStyle name="百分比 4 4 2 3" xfId="8900"/>
    <cellStyle name="百分比 4 4 2_包裝指示書(裏)" xfId="8901"/>
    <cellStyle name="百分比 4 4 3" xfId="8902"/>
    <cellStyle name="百分比 4 4 3 2" xfId="8903"/>
    <cellStyle name="百分比 4 4 3 3" xfId="8904"/>
    <cellStyle name="百分比 4 4 3 4" xfId="8905"/>
    <cellStyle name="百分比 4 4 3 5" xfId="8906"/>
    <cellStyle name="百分比 4 4 3 6" xfId="8907"/>
    <cellStyle name="百分比 4 4 3_包裝指示書(裏)" xfId="8908"/>
    <cellStyle name="百分比 4 4 4" xfId="8909"/>
    <cellStyle name="百分比 4 4_包裝指示書(裏)" xfId="8910"/>
    <cellStyle name="百分比 4 5" xfId="8911"/>
    <cellStyle name="百分比 4 5 2" xfId="8912"/>
    <cellStyle name="百分比 4 5 2 2" xfId="8913"/>
    <cellStyle name="百分比 4 5 2 2 2" xfId="8914"/>
    <cellStyle name="百分比 4 5 2 2_包裝指示書(裏)" xfId="8915"/>
    <cellStyle name="百分比 4 5 2 3" xfId="8916"/>
    <cellStyle name="百分比 4 5 2 4" xfId="8917"/>
    <cellStyle name="百分比 4 5 2_包裝指示書(裏)" xfId="8918"/>
    <cellStyle name="百分比 4 5 3" xfId="8919"/>
    <cellStyle name="百分比 4 5 3 2" xfId="8920"/>
    <cellStyle name="百分比 4 5 3_包裝指示書(裏)" xfId="8921"/>
    <cellStyle name="百分比 4 5 4" xfId="8922"/>
    <cellStyle name="百分比 4 5 5" xfId="8923"/>
    <cellStyle name="百分比 4 5 6" xfId="8924"/>
    <cellStyle name="百分比 4 5 7" xfId="8925"/>
    <cellStyle name="百分比 4 5_包裝指示書(裏)" xfId="8926"/>
    <cellStyle name="百分比 4_包裝指示書(裏)" xfId="8927"/>
    <cellStyle name="百分比 5" xfId="610"/>
    <cellStyle name="百分比 5 2" xfId="611"/>
    <cellStyle name="百分比 5 2 2" xfId="8928"/>
    <cellStyle name="百分比 5 2 2 2" xfId="8929"/>
    <cellStyle name="百分比 5 2 2 3" xfId="8930"/>
    <cellStyle name="百分比 5 2 2 4" xfId="8931"/>
    <cellStyle name="百分比 5 2 2 5" xfId="8932"/>
    <cellStyle name="百分比 5 2 2 6" xfId="8933"/>
    <cellStyle name="百分比 5 2 2_包裝指示書(裏)" xfId="8934"/>
    <cellStyle name="百分比 5 2 3" xfId="8935"/>
    <cellStyle name="百分比 5 2 4" xfId="8936"/>
    <cellStyle name="百分比 5 2_包裝指示書(裏)" xfId="8937"/>
    <cellStyle name="百分比 5 3" xfId="612"/>
    <cellStyle name="百分比 5 3 2" xfId="8938"/>
    <cellStyle name="百分比 5 3_包裝指示書(裏)" xfId="8939"/>
    <cellStyle name="百分比 5 4" xfId="8940"/>
    <cellStyle name="百分比 5 5" xfId="8941"/>
    <cellStyle name="百分比 5_包裝指示書(裏)" xfId="8942"/>
    <cellStyle name="百分比 6" xfId="613"/>
    <cellStyle name="百分比 6 2" xfId="614"/>
    <cellStyle name="百分比 6 2 2" xfId="8943"/>
    <cellStyle name="百分比 6 2 2 2" xfId="8944"/>
    <cellStyle name="百分比 6 2 2_包裝指示書(裏)" xfId="8945"/>
    <cellStyle name="百分比 6 2 3" xfId="8946"/>
    <cellStyle name="百分比 6 2_包裝指示書(裏)" xfId="8947"/>
    <cellStyle name="百分比 6 3" xfId="8948"/>
    <cellStyle name="百分比 6 3 2" xfId="8949"/>
    <cellStyle name="百分比 6 3 2 2" xfId="8950"/>
    <cellStyle name="百分比 6 3 2 2 2" xfId="8951"/>
    <cellStyle name="百分比 6 3 2 2_包裝指示書(裏)" xfId="8952"/>
    <cellStyle name="百分比 6 3 2 3" xfId="8953"/>
    <cellStyle name="百分比 6 3 2 4" xfId="8954"/>
    <cellStyle name="百分比 6 3 2 5" xfId="8955"/>
    <cellStyle name="百分比 6 3 2 6" xfId="8956"/>
    <cellStyle name="百分比 6 3 2_包裝指示書(裏)" xfId="8957"/>
    <cellStyle name="百分比 6 3 3" xfId="8958"/>
    <cellStyle name="百分比 6 3 3 2" xfId="8959"/>
    <cellStyle name="百分比 6 3 3_包裝指示書(裏)" xfId="8960"/>
    <cellStyle name="百分比 6 3 4" xfId="8961"/>
    <cellStyle name="百分比 6 3 5" xfId="8962"/>
    <cellStyle name="百分比 6 3_包裝指示書(裏)" xfId="8963"/>
    <cellStyle name="百分比 6 4" xfId="8964"/>
    <cellStyle name="百分比 6 5" xfId="8965"/>
    <cellStyle name="百分比 6 6" xfId="8966"/>
    <cellStyle name="百分比 6_包裝指示書(裏)" xfId="8967"/>
    <cellStyle name="百分比 7" xfId="615"/>
    <cellStyle name="百分比 7 2" xfId="8968"/>
    <cellStyle name="百分比 7 2 2" xfId="8969"/>
    <cellStyle name="百分比 7 2 2 2" xfId="8970"/>
    <cellStyle name="百分比 7 2 2 3" xfId="8971"/>
    <cellStyle name="百分比 7 2 2 4" xfId="8972"/>
    <cellStyle name="百分比 7 2 2 5" xfId="8973"/>
    <cellStyle name="百分比 7 2 2_包裝指示書(裏)" xfId="8974"/>
    <cellStyle name="百分比 7 2 3" xfId="8975"/>
    <cellStyle name="百分比 7 2 3 2" xfId="8976"/>
    <cellStyle name="百分比 7 2 3 2 2" xfId="8977"/>
    <cellStyle name="百分比 7 2 3 2_包裝指示書(裏)" xfId="8978"/>
    <cellStyle name="百分比 7 2 3 3" xfId="8979"/>
    <cellStyle name="百分比 7 2 3 4" xfId="8980"/>
    <cellStyle name="百分比 7 2 3 5" xfId="8981"/>
    <cellStyle name="百分比 7 2 3 6" xfId="8982"/>
    <cellStyle name="百分比 7 2 3_包裝指示書(裏)" xfId="8983"/>
    <cellStyle name="百分比 7 2 4" xfId="8984"/>
    <cellStyle name="百分比 7 2_包裝指示書(裏)" xfId="8985"/>
    <cellStyle name="百分比 7 3" xfId="8986"/>
    <cellStyle name="百分比 7 3 2" xfId="8987"/>
    <cellStyle name="百分比 7 3 3" xfId="8988"/>
    <cellStyle name="百分比 7 3 4" xfId="8989"/>
    <cellStyle name="百分比 7 3 5" xfId="8990"/>
    <cellStyle name="百分比 7 3_包裝指示書(裏)" xfId="8991"/>
    <cellStyle name="百分比 7 4" xfId="8992"/>
    <cellStyle name="百分比 7 5" xfId="8993"/>
    <cellStyle name="百分比 7_包裝指示書(裏)" xfId="8994"/>
    <cellStyle name="百分比 8" xfId="5"/>
    <cellStyle name="百分比 8 2" xfId="8996"/>
    <cellStyle name="百分比 8 2 2" xfId="8997"/>
    <cellStyle name="百分比 8 2 3" xfId="8998"/>
    <cellStyle name="百分比 8 2_包裝指示書(裏)" xfId="8999"/>
    <cellStyle name="百分比 8 3" xfId="9000"/>
    <cellStyle name="百分比 8 3 2" xfId="9001"/>
    <cellStyle name="百分比 8 3 2 2" xfId="9002"/>
    <cellStyle name="百分比 8 3 2_包裝指示書(裏)" xfId="9003"/>
    <cellStyle name="百分比 8 3 3" xfId="9004"/>
    <cellStyle name="百分比 8 3 4" xfId="9005"/>
    <cellStyle name="百分比 8 3_包裝指示書(裏)" xfId="9006"/>
    <cellStyle name="百分比 8 4" xfId="9007"/>
    <cellStyle name="百分比 8 5" xfId="9008"/>
    <cellStyle name="百分比 8 6" xfId="9009"/>
    <cellStyle name="百分比 8 7" xfId="8995"/>
    <cellStyle name="百分比 8_包裝指示書(裏)" xfId="9010"/>
    <cellStyle name="百分比 9" xfId="1099"/>
    <cellStyle name="百分比 9 2" xfId="1105"/>
    <cellStyle name="百分比 9 2 2" xfId="9011"/>
    <cellStyle name="百分比 9 2 2 2" xfId="9012"/>
    <cellStyle name="百分比 9 2 2 2 2" xfId="9013"/>
    <cellStyle name="百分比 9 2 2 2_包裝指示書(裏)" xfId="9014"/>
    <cellStyle name="百分比 9 2 2 3" xfId="9015"/>
    <cellStyle name="百分比 9 2 2_包裝指示書(裏)" xfId="9016"/>
    <cellStyle name="百分比 9 2 3" xfId="9017"/>
    <cellStyle name="百分比 9 2_包裝指示書(裏)" xfId="9018"/>
    <cellStyle name="百分比 9 3" xfId="9019"/>
    <cellStyle name="百分比 9_包裝指示書(裏)" xfId="9020"/>
    <cellStyle name="計算方式 2" xfId="616"/>
    <cellStyle name="計算方式 2 10" xfId="9021"/>
    <cellStyle name="計算方式 2 11" xfId="9022"/>
    <cellStyle name="計算方式 2 2" xfId="9023"/>
    <cellStyle name="計算方式 2 2 2" xfId="9024"/>
    <cellStyle name="計算方式 2 2 2 2" xfId="9025"/>
    <cellStyle name="計算方式 2 2 2 2 2" xfId="9026"/>
    <cellStyle name="計算方式 2 2 2 2 2 2" xfId="9027"/>
    <cellStyle name="計算方式 2 2 2 2 2 2 2" xfId="9028"/>
    <cellStyle name="計算方式 2 2 2 2 2 2 2 2" xfId="9029"/>
    <cellStyle name="計算方式 2 2 2 2 2 2 3" xfId="9030"/>
    <cellStyle name="計算方式 2 2 2 2 2 2_包裝指示書(裏)" xfId="9031"/>
    <cellStyle name="計算方式 2 2 2 2 2 3" xfId="9032"/>
    <cellStyle name="計算方式 2 2 2 2 2 3 2" xfId="9033"/>
    <cellStyle name="計算方式 2 2 2 2 2 4" xfId="9034"/>
    <cellStyle name="計算方式 2 2 2 2 2 4 2" xfId="9035"/>
    <cellStyle name="計算方式 2 2 2 2 2 5" xfId="9036"/>
    <cellStyle name="計算方式 2 2 2 2 2_包裝指示書(裏)" xfId="9037"/>
    <cellStyle name="計算方式 2 2 2 2 3" xfId="9038"/>
    <cellStyle name="計算方式 2 2 2 2 3 2" xfId="9039"/>
    <cellStyle name="計算方式 2 2 2 2 4" xfId="9040"/>
    <cellStyle name="計算方式 2 2 2 2 4 2" xfId="9041"/>
    <cellStyle name="計算方式 2 2 2 2 5" xfId="9042"/>
    <cellStyle name="計算方式 2 2 2 2 5 2" xfId="9043"/>
    <cellStyle name="計算方式 2 2 2 2 6" xfId="9044"/>
    <cellStyle name="計算方式 2 2 2 2_包裝指示書(裏)" xfId="9045"/>
    <cellStyle name="計算方式 2 2 2 3" xfId="9046"/>
    <cellStyle name="計算方式 2 2 2 3 2" xfId="9047"/>
    <cellStyle name="計算方式 2 2 2 3 2 2" xfId="9048"/>
    <cellStyle name="計算方式 2 2 2 3 2 2 2" xfId="9049"/>
    <cellStyle name="計算方式 2 2 2 3 2 3" xfId="9050"/>
    <cellStyle name="計算方式 2 2 2 3 2_包裝指示書(裏)" xfId="9051"/>
    <cellStyle name="計算方式 2 2 2 3 3" xfId="9052"/>
    <cellStyle name="計算方式 2 2 2 3 3 2" xfId="9053"/>
    <cellStyle name="計算方式 2 2 2 3 4" xfId="9054"/>
    <cellStyle name="計算方式 2 2 2 3 4 2" xfId="9055"/>
    <cellStyle name="計算方式 2 2 2 3 5" xfId="9056"/>
    <cellStyle name="計算方式 2 2 2 3_包裝指示書(裏)" xfId="9057"/>
    <cellStyle name="計算方式 2 2 2 4" xfId="9058"/>
    <cellStyle name="計算方式 2 2 2 4 2" xfId="9059"/>
    <cellStyle name="計算方式 2 2 2 5" xfId="9060"/>
    <cellStyle name="計算方式 2 2 2 5 2" xfId="9061"/>
    <cellStyle name="計算方式 2 2 2 6" xfId="9062"/>
    <cellStyle name="計算方式 2 2 2 6 2" xfId="9063"/>
    <cellStyle name="計算方式 2 2 2 7" xfId="9064"/>
    <cellStyle name="計算方式 2 2 2_包裝指示書(裏)" xfId="9065"/>
    <cellStyle name="計算方式 2 2 3" xfId="9066"/>
    <cellStyle name="計算方式 2 2 3 2" xfId="9067"/>
    <cellStyle name="計算方式 2 2 3 2 2" xfId="9068"/>
    <cellStyle name="計算方式 2 2 3 2 2 2" xfId="9069"/>
    <cellStyle name="計算方式 2 2 3 2 3" xfId="9070"/>
    <cellStyle name="計算方式 2 2 3 2_包裝指示書(裏)" xfId="9071"/>
    <cellStyle name="計算方式 2 2 3 3" xfId="9072"/>
    <cellStyle name="計算方式 2 2 3 3 2" xfId="9073"/>
    <cellStyle name="計算方式 2 2 3 4" xfId="9074"/>
    <cellStyle name="計算方式 2 2 3 4 2" xfId="9075"/>
    <cellStyle name="計算方式 2 2 3 5" xfId="9076"/>
    <cellStyle name="計算方式 2 2 3_包裝指示書(裏)" xfId="9077"/>
    <cellStyle name="計算方式 2 2 4" xfId="9078"/>
    <cellStyle name="計算方式 2 2 4 2" xfId="9079"/>
    <cellStyle name="計算方式 2 2 5" xfId="9080"/>
    <cellStyle name="計算方式 2 2 5 2" xfId="9081"/>
    <cellStyle name="計算方式 2 2 6" xfId="9082"/>
    <cellStyle name="計算方式 2 2 6 2" xfId="9083"/>
    <cellStyle name="計算方式 2 2 7" xfId="9084"/>
    <cellStyle name="計算方式 2 2_包裝指示書(裏)" xfId="9085"/>
    <cellStyle name="計算方式 2 3" xfId="9086"/>
    <cellStyle name="計算方式 2 3 2" xfId="9087"/>
    <cellStyle name="計算方式 2 3 2 2" xfId="9088"/>
    <cellStyle name="計算方式 2 3 2 2 2" xfId="9089"/>
    <cellStyle name="計算方式 2 3 2 2 2 2" xfId="9090"/>
    <cellStyle name="計算方式 2 3 2 2 3" xfId="9091"/>
    <cellStyle name="計算方式 2 3 2 2_包裝指示書(裏)" xfId="9092"/>
    <cellStyle name="計算方式 2 3 2 3" xfId="9093"/>
    <cellStyle name="計算方式 2 3 2 3 2" xfId="9094"/>
    <cellStyle name="計算方式 2 3 2 4" xfId="9095"/>
    <cellStyle name="計算方式 2 3 2 4 2" xfId="9096"/>
    <cellStyle name="計算方式 2 3 2 5" xfId="9097"/>
    <cellStyle name="計算方式 2 3 2_包裝指示書(裏)" xfId="9098"/>
    <cellStyle name="計算方式 2 3 3" xfId="9099"/>
    <cellStyle name="計算方式 2 3 3 2" xfId="9100"/>
    <cellStyle name="計算方式 2 3 4" xfId="9101"/>
    <cellStyle name="計算方式 2 3 4 2" xfId="9102"/>
    <cellStyle name="計算方式 2 3 5" xfId="9103"/>
    <cellStyle name="計算方式 2 3 5 2" xfId="9104"/>
    <cellStyle name="計算方式 2 3 6" xfId="9105"/>
    <cellStyle name="計算方式 2 3_包裝指示書(裏)" xfId="9106"/>
    <cellStyle name="計算方式 2 4" xfId="9107"/>
    <cellStyle name="計算方式 2 4 2" xfId="9108"/>
    <cellStyle name="計算方式 2 4 2 2" xfId="9109"/>
    <cellStyle name="計算方式 2 4 2 2 2" xfId="9110"/>
    <cellStyle name="計算方式 2 4 2 3" xfId="9111"/>
    <cellStyle name="計算方式 2 4 2_包裝指示書(裏)" xfId="9112"/>
    <cellStyle name="計算方式 2 4 3" xfId="9113"/>
    <cellStyle name="計算方式 2 4 3 2" xfId="9114"/>
    <cellStyle name="計算方式 2 4 4" xfId="9115"/>
    <cellStyle name="計算方式 2 4 4 2" xfId="9116"/>
    <cellStyle name="計算方式 2 4 5" xfId="9117"/>
    <cellStyle name="計算方式 2 4_包裝指示書(裏)" xfId="9118"/>
    <cellStyle name="計算方式 2 5" xfId="9119"/>
    <cellStyle name="計算方式 2 5 2" xfId="9120"/>
    <cellStyle name="計算方式 2 5 2 2" xfId="9121"/>
    <cellStyle name="計算方式 2 5 2 2 2" xfId="9122"/>
    <cellStyle name="計算方式 2 5 2 3" xfId="9123"/>
    <cellStyle name="計算方式 2 5 2 3 2" xfId="9124"/>
    <cellStyle name="計算方式 2 5 2 4" xfId="9125"/>
    <cellStyle name="計算方式 2 5 2_包裝指示書(裏)" xfId="9126"/>
    <cellStyle name="計算方式 2 5 3" xfId="9127"/>
    <cellStyle name="計算方式 2 5 3 2" xfId="9128"/>
    <cellStyle name="計算方式 2 5 4" xfId="9129"/>
    <cellStyle name="計算方式 2 5 4 2" xfId="9130"/>
    <cellStyle name="計算方式 2 5 5" xfId="9131"/>
    <cellStyle name="計算方式 2 5_包裝指示書(裏)" xfId="9132"/>
    <cellStyle name="計算方式 2 6" xfId="9133"/>
    <cellStyle name="計算方式 2 6 2" xfId="9134"/>
    <cellStyle name="計算方式 2 6 2 2" xfId="9135"/>
    <cellStyle name="計算方式 2 6 2 2 2" xfId="9136"/>
    <cellStyle name="計算方式 2 6 2 3" xfId="9137"/>
    <cellStyle name="計算方式 2 6 2 3 2" xfId="9138"/>
    <cellStyle name="計算方式 2 6 2 4" xfId="9139"/>
    <cellStyle name="計算方式 2 6 2_包裝指示書(裏)" xfId="9140"/>
    <cellStyle name="計算方式 2 6 3" xfId="9141"/>
    <cellStyle name="計算方式 2 6 3 2" xfId="9142"/>
    <cellStyle name="計算方式 2 6 4" xfId="9143"/>
    <cellStyle name="計算方式 2 6 4 2" xfId="9144"/>
    <cellStyle name="計算方式 2 6 5" xfId="9145"/>
    <cellStyle name="計算方式 2 6_包裝指示書(裏)" xfId="9146"/>
    <cellStyle name="計算方式 2 7" xfId="9147"/>
    <cellStyle name="計算方式 2 7 2" xfId="9148"/>
    <cellStyle name="計算方式 2 7 2 2" xfId="9149"/>
    <cellStyle name="計算方式 2 7 2 2 2" xfId="9150"/>
    <cellStyle name="計算方式 2 7 2 3" xfId="9151"/>
    <cellStyle name="計算方式 2 7 2 3 2" xfId="9152"/>
    <cellStyle name="計算方式 2 7 2 4" xfId="9153"/>
    <cellStyle name="計算方式 2 7 2_包裝指示書(裏)" xfId="9154"/>
    <cellStyle name="計算方式 2 7 3" xfId="9155"/>
    <cellStyle name="計算方式 2 7 3 2" xfId="9156"/>
    <cellStyle name="計算方式 2 7 4" xfId="9157"/>
    <cellStyle name="計算方式 2 7 4 2" xfId="9158"/>
    <cellStyle name="計算方式 2 7 5" xfId="9159"/>
    <cellStyle name="計算方式 2 7_包裝指示書(裏)" xfId="9160"/>
    <cellStyle name="計算方式 2 8" xfId="9161"/>
    <cellStyle name="計算方式 2 8 2" xfId="9162"/>
    <cellStyle name="計算方式 2 8 2 2" xfId="9163"/>
    <cellStyle name="計算方式 2 8 3" xfId="9164"/>
    <cellStyle name="計算方式 2 8 3 2" xfId="9165"/>
    <cellStyle name="計算方式 2 8 4" xfId="9166"/>
    <cellStyle name="計算方式 2 8_包裝指示書(裏)" xfId="9167"/>
    <cellStyle name="計算方式 2 9" xfId="9168"/>
    <cellStyle name="計算方式 2 9 2" xfId="9169"/>
    <cellStyle name="計算方式 2_包裝指示書(裏)" xfId="9170"/>
    <cellStyle name="計算方式 3" xfId="617"/>
    <cellStyle name="計算方式 3 10" xfId="9171"/>
    <cellStyle name="計算方式 3 11" xfId="9172"/>
    <cellStyle name="計算方式 3 2" xfId="9173"/>
    <cellStyle name="計算方式 3 2 2" xfId="9174"/>
    <cellStyle name="計算方式 3 2 2 2" xfId="9175"/>
    <cellStyle name="計算方式 3 2 2 2 2" xfId="9176"/>
    <cellStyle name="計算方式 3 2 2 2 2 2" xfId="9177"/>
    <cellStyle name="計算方式 3 2 2 2 2 2 2" xfId="9178"/>
    <cellStyle name="計算方式 3 2 2 2 2 2 2 2" xfId="9179"/>
    <cellStyle name="計算方式 3 2 2 2 2 2 3" xfId="9180"/>
    <cellStyle name="計算方式 3 2 2 2 2 2_包裝指示書(裏)" xfId="9181"/>
    <cellStyle name="計算方式 3 2 2 2 2 3" xfId="9182"/>
    <cellStyle name="計算方式 3 2 2 2 2 3 2" xfId="9183"/>
    <cellStyle name="計算方式 3 2 2 2 2 4" xfId="9184"/>
    <cellStyle name="計算方式 3 2 2 2 2 4 2" xfId="9185"/>
    <cellStyle name="計算方式 3 2 2 2 2 5" xfId="9186"/>
    <cellStyle name="計算方式 3 2 2 2 2_包裝指示書(裏)" xfId="9187"/>
    <cellStyle name="計算方式 3 2 2 2 3" xfId="9188"/>
    <cellStyle name="計算方式 3 2 2 2 3 2" xfId="9189"/>
    <cellStyle name="計算方式 3 2 2 2 4" xfId="9190"/>
    <cellStyle name="計算方式 3 2 2 2 4 2" xfId="9191"/>
    <cellStyle name="計算方式 3 2 2 2 5" xfId="9192"/>
    <cellStyle name="計算方式 3 2 2 2 5 2" xfId="9193"/>
    <cellStyle name="計算方式 3 2 2 2 6" xfId="9194"/>
    <cellStyle name="計算方式 3 2 2 2_包裝指示書(裏)" xfId="9195"/>
    <cellStyle name="計算方式 3 2 2 3" xfId="9196"/>
    <cellStyle name="計算方式 3 2 2 3 2" xfId="9197"/>
    <cellStyle name="計算方式 3 2 2 3 2 2" xfId="9198"/>
    <cellStyle name="計算方式 3 2 2 3 2 2 2" xfId="9199"/>
    <cellStyle name="計算方式 3 2 2 3 2 3" xfId="9200"/>
    <cellStyle name="計算方式 3 2 2 3 2_包裝指示書(裏)" xfId="9201"/>
    <cellStyle name="計算方式 3 2 2 3 3" xfId="9202"/>
    <cellStyle name="計算方式 3 2 2 3 3 2" xfId="9203"/>
    <cellStyle name="計算方式 3 2 2 3 4" xfId="9204"/>
    <cellStyle name="計算方式 3 2 2 3 4 2" xfId="9205"/>
    <cellStyle name="計算方式 3 2 2 3 5" xfId="9206"/>
    <cellStyle name="計算方式 3 2 2 3_包裝指示書(裏)" xfId="9207"/>
    <cellStyle name="計算方式 3 2 2 4" xfId="9208"/>
    <cellStyle name="計算方式 3 2 2 4 2" xfId="9209"/>
    <cellStyle name="計算方式 3 2 2 5" xfId="9210"/>
    <cellStyle name="計算方式 3 2 2 5 2" xfId="9211"/>
    <cellStyle name="計算方式 3 2 2 6" xfId="9212"/>
    <cellStyle name="計算方式 3 2 2 6 2" xfId="9213"/>
    <cellStyle name="計算方式 3 2 2 7" xfId="9214"/>
    <cellStyle name="計算方式 3 2 2_包裝指示書(裏)" xfId="9215"/>
    <cellStyle name="計算方式 3 2 3" xfId="9216"/>
    <cellStyle name="計算方式 3 2 3 2" xfId="9217"/>
    <cellStyle name="計算方式 3 2 3 2 2" xfId="9218"/>
    <cellStyle name="計算方式 3 2 3 2 2 2" xfId="9219"/>
    <cellStyle name="計算方式 3 2 3 2 3" xfId="9220"/>
    <cellStyle name="計算方式 3 2 3 2_包裝指示書(裏)" xfId="9221"/>
    <cellStyle name="計算方式 3 2 3 3" xfId="9222"/>
    <cellStyle name="計算方式 3 2 3 3 2" xfId="9223"/>
    <cellStyle name="計算方式 3 2 3 4" xfId="9224"/>
    <cellStyle name="計算方式 3 2 3 4 2" xfId="9225"/>
    <cellStyle name="計算方式 3 2 3 5" xfId="9226"/>
    <cellStyle name="計算方式 3 2 3_包裝指示書(裏)" xfId="9227"/>
    <cellStyle name="計算方式 3 2 4" xfId="9228"/>
    <cellStyle name="計算方式 3 2 4 2" xfId="9229"/>
    <cellStyle name="計算方式 3 2 5" xfId="9230"/>
    <cellStyle name="計算方式 3 2 5 2" xfId="9231"/>
    <cellStyle name="計算方式 3 2 6" xfId="9232"/>
    <cellStyle name="計算方式 3 2 6 2" xfId="9233"/>
    <cellStyle name="計算方式 3 2 7" xfId="9234"/>
    <cellStyle name="計算方式 3 2_包裝指示書(裏)" xfId="9235"/>
    <cellStyle name="計算方式 3 3" xfId="9236"/>
    <cellStyle name="計算方式 3 3 2" xfId="9237"/>
    <cellStyle name="計算方式 3 3 2 2" xfId="9238"/>
    <cellStyle name="計算方式 3 3 2 2 2" xfId="9239"/>
    <cellStyle name="計算方式 3 3 2 2 2 2" xfId="9240"/>
    <cellStyle name="計算方式 3 3 2 2 3" xfId="9241"/>
    <cellStyle name="計算方式 3 3 2 2_包裝指示書(裏)" xfId="9242"/>
    <cellStyle name="計算方式 3 3 2 3" xfId="9243"/>
    <cellStyle name="計算方式 3 3 2 3 2" xfId="9244"/>
    <cellStyle name="計算方式 3 3 2 4" xfId="9245"/>
    <cellStyle name="計算方式 3 3 2 4 2" xfId="9246"/>
    <cellStyle name="計算方式 3 3 2 5" xfId="9247"/>
    <cellStyle name="計算方式 3 3 2_包裝指示書(裏)" xfId="9248"/>
    <cellStyle name="計算方式 3 3 3" xfId="9249"/>
    <cellStyle name="計算方式 3 3 3 2" xfId="9250"/>
    <cellStyle name="計算方式 3 3 4" xfId="9251"/>
    <cellStyle name="計算方式 3 3 4 2" xfId="9252"/>
    <cellStyle name="計算方式 3 3 5" xfId="9253"/>
    <cellStyle name="計算方式 3 3 5 2" xfId="9254"/>
    <cellStyle name="計算方式 3 3 6" xfId="9255"/>
    <cellStyle name="計算方式 3 3_包裝指示書(裏)" xfId="9256"/>
    <cellStyle name="計算方式 3 4" xfId="9257"/>
    <cellStyle name="計算方式 3 4 2" xfId="9258"/>
    <cellStyle name="計算方式 3 4 2 2" xfId="9259"/>
    <cellStyle name="計算方式 3 4 2 2 2" xfId="9260"/>
    <cellStyle name="計算方式 3 4 2 3" xfId="9261"/>
    <cellStyle name="計算方式 3 4 2_包裝指示書(裏)" xfId="9262"/>
    <cellStyle name="計算方式 3 4 3" xfId="9263"/>
    <cellStyle name="計算方式 3 4 3 2" xfId="9264"/>
    <cellStyle name="計算方式 3 4 4" xfId="9265"/>
    <cellStyle name="計算方式 3 4 4 2" xfId="9266"/>
    <cellStyle name="計算方式 3 4 5" xfId="9267"/>
    <cellStyle name="計算方式 3 4_包裝指示書(裏)" xfId="9268"/>
    <cellStyle name="計算方式 3 5" xfId="9269"/>
    <cellStyle name="計算方式 3 5 2" xfId="9270"/>
    <cellStyle name="計算方式 3 5 2 2" xfId="9271"/>
    <cellStyle name="計算方式 3 5 2 2 2" xfId="9272"/>
    <cellStyle name="計算方式 3 5 2 3" xfId="9273"/>
    <cellStyle name="計算方式 3 5 2 3 2" xfId="9274"/>
    <cellStyle name="計算方式 3 5 2 4" xfId="9275"/>
    <cellStyle name="計算方式 3 5 2_包裝指示書(裏)" xfId="9276"/>
    <cellStyle name="計算方式 3 5 3" xfId="9277"/>
    <cellStyle name="計算方式 3 5 3 2" xfId="9278"/>
    <cellStyle name="計算方式 3 5 4" xfId="9279"/>
    <cellStyle name="計算方式 3 5 4 2" xfId="9280"/>
    <cellStyle name="計算方式 3 5 5" xfId="9281"/>
    <cellStyle name="計算方式 3 5_包裝指示書(裏)" xfId="9282"/>
    <cellStyle name="計算方式 3 6" xfId="9283"/>
    <cellStyle name="計算方式 3 6 2" xfId="9284"/>
    <cellStyle name="計算方式 3 6 2 2" xfId="9285"/>
    <cellStyle name="計算方式 3 6 2 2 2" xfId="9286"/>
    <cellStyle name="計算方式 3 6 2 3" xfId="9287"/>
    <cellStyle name="計算方式 3 6 2 3 2" xfId="9288"/>
    <cellStyle name="計算方式 3 6 2 4" xfId="9289"/>
    <cellStyle name="計算方式 3 6 2_包裝指示書(裏)" xfId="9290"/>
    <cellStyle name="計算方式 3 6 3" xfId="9291"/>
    <cellStyle name="計算方式 3 6 3 2" xfId="9292"/>
    <cellStyle name="計算方式 3 6 4" xfId="9293"/>
    <cellStyle name="計算方式 3 6 4 2" xfId="9294"/>
    <cellStyle name="計算方式 3 6 5" xfId="9295"/>
    <cellStyle name="計算方式 3 6_包裝指示書(裏)" xfId="9296"/>
    <cellStyle name="計算方式 3 7" xfId="9297"/>
    <cellStyle name="計算方式 3 7 2" xfId="9298"/>
    <cellStyle name="計算方式 3 7 2 2" xfId="9299"/>
    <cellStyle name="計算方式 3 7 2 2 2" xfId="9300"/>
    <cellStyle name="計算方式 3 7 2 3" xfId="9301"/>
    <cellStyle name="計算方式 3 7 2 3 2" xfId="9302"/>
    <cellStyle name="計算方式 3 7 2 4" xfId="9303"/>
    <cellStyle name="計算方式 3 7 2_包裝指示書(裏)" xfId="9304"/>
    <cellStyle name="計算方式 3 7 3" xfId="9305"/>
    <cellStyle name="計算方式 3 7 3 2" xfId="9306"/>
    <cellStyle name="計算方式 3 7 4" xfId="9307"/>
    <cellStyle name="計算方式 3 7 4 2" xfId="9308"/>
    <cellStyle name="計算方式 3 7 5" xfId="9309"/>
    <cellStyle name="計算方式 3 7_包裝指示書(裏)" xfId="9310"/>
    <cellStyle name="計算方式 3 8" xfId="9311"/>
    <cellStyle name="計算方式 3 8 2" xfId="9312"/>
    <cellStyle name="計算方式 3 8 2 2" xfId="9313"/>
    <cellStyle name="計算方式 3 8 3" xfId="9314"/>
    <cellStyle name="計算方式 3 8 3 2" xfId="9315"/>
    <cellStyle name="計算方式 3 8 4" xfId="9316"/>
    <cellStyle name="計算方式 3 8_包裝指示書(裏)" xfId="9317"/>
    <cellStyle name="計算方式 3 9" xfId="9318"/>
    <cellStyle name="計算方式 3 9 2" xfId="9319"/>
    <cellStyle name="計算方式 3_包裝指示書(裏)" xfId="9320"/>
    <cellStyle name="貨幣 [0] 2" xfId="9321"/>
    <cellStyle name="貨幣 [0] 2 2" xfId="9322"/>
    <cellStyle name="貨幣 [0] 2 2 2" xfId="9323"/>
    <cellStyle name="貨幣 [0] 2 2 3" xfId="9324"/>
    <cellStyle name="貨幣 [0] 2 2_包裝指示書(裏)" xfId="9325"/>
    <cellStyle name="貨幣 [0] 2 3" xfId="9326"/>
    <cellStyle name="貨幣 [0] 2 4" xfId="9327"/>
    <cellStyle name="貨幣 [0] 2_包裝指示書(裏)" xfId="9328"/>
    <cellStyle name="貨幣 [0] 3" xfId="9329"/>
    <cellStyle name="貨幣 [0] 3 2" xfId="9330"/>
    <cellStyle name="貨幣 [0] 3 3" xfId="9331"/>
    <cellStyle name="貨幣 [0] 3_包裝指示書(裏)" xfId="9332"/>
    <cellStyle name="貨幣 [0] 4" xfId="9333"/>
    <cellStyle name="貨幣 [0] 4 2" xfId="9334"/>
    <cellStyle name="貨幣 2" xfId="9335"/>
    <cellStyle name="貨幣 2 2" xfId="9336"/>
    <cellStyle name="貨幣 2_包裝指示書(裏)" xfId="9337"/>
    <cellStyle name="貨幣 3" xfId="9338"/>
    <cellStyle name="連結的儲存格 2" xfId="618"/>
    <cellStyle name="連結的儲存格 3" xfId="619"/>
    <cellStyle name="備註 2" xfId="620"/>
    <cellStyle name="備註 2 10" xfId="9339"/>
    <cellStyle name="備註 2 10 2" xfId="9340"/>
    <cellStyle name="備註 2 10 2 2" xfId="9341"/>
    <cellStyle name="備註 2 10 3" xfId="9342"/>
    <cellStyle name="備註 2 10 3 2" xfId="9343"/>
    <cellStyle name="備註 2 10 4" xfId="9344"/>
    <cellStyle name="備註 2 10_包裝指示書(裏)" xfId="9345"/>
    <cellStyle name="備註 2 11" xfId="9346"/>
    <cellStyle name="備註 2 11 2" xfId="9347"/>
    <cellStyle name="備註 2 12" xfId="9348"/>
    <cellStyle name="備註 2 13" xfId="9349"/>
    <cellStyle name="備註 2 2" xfId="621"/>
    <cellStyle name="備註 2 2 10" xfId="9350"/>
    <cellStyle name="備註 2 2 11" xfId="9351"/>
    <cellStyle name="備註 2 2 2" xfId="9352"/>
    <cellStyle name="備註 2 2 2 2" xfId="9353"/>
    <cellStyle name="備註 2 2 2 2 2" xfId="9354"/>
    <cellStyle name="備註 2 2 2 2 2 2" xfId="9355"/>
    <cellStyle name="備註 2 2 2 2 2 2 2" xfId="9356"/>
    <cellStyle name="備註 2 2 2 2 2 2 2 2" xfId="9357"/>
    <cellStyle name="備註 2 2 2 2 2 2 2 2 2" xfId="9358"/>
    <cellStyle name="備註 2 2 2 2 2 2 2 3" xfId="9359"/>
    <cellStyle name="備註 2 2 2 2 2 2 2_包裝指示書(裏)" xfId="9360"/>
    <cellStyle name="備註 2 2 2 2 2 2 3" xfId="9361"/>
    <cellStyle name="備註 2 2 2 2 2 2 3 2" xfId="9362"/>
    <cellStyle name="備註 2 2 2 2 2 2 4" xfId="9363"/>
    <cellStyle name="備註 2 2 2 2 2 2 4 2" xfId="9364"/>
    <cellStyle name="備註 2 2 2 2 2 2 5" xfId="9365"/>
    <cellStyle name="備註 2 2 2 2 2 2_包裝指示書(裏)" xfId="9366"/>
    <cellStyle name="備註 2 2 2 2 2 3" xfId="9367"/>
    <cellStyle name="備註 2 2 2 2 2 3 2" xfId="9368"/>
    <cellStyle name="備註 2 2 2 2 2 4" xfId="9369"/>
    <cellStyle name="備註 2 2 2 2 2 4 2" xfId="9370"/>
    <cellStyle name="備註 2 2 2 2 2 5" xfId="9371"/>
    <cellStyle name="備註 2 2 2 2 2 5 2" xfId="9372"/>
    <cellStyle name="備註 2 2 2 2 2 6" xfId="9373"/>
    <cellStyle name="備註 2 2 2 2 2_包裝指示書(裏)" xfId="9374"/>
    <cellStyle name="備註 2 2 2 2 3" xfId="9375"/>
    <cellStyle name="備註 2 2 2 2 3 2" xfId="9376"/>
    <cellStyle name="備註 2 2 2 2 3 2 2" xfId="9377"/>
    <cellStyle name="備註 2 2 2 2 3 2 2 2" xfId="9378"/>
    <cellStyle name="備註 2 2 2 2 3 2 3" xfId="9379"/>
    <cellStyle name="備註 2 2 2 2 3 2_包裝指示書(裏)" xfId="9380"/>
    <cellStyle name="備註 2 2 2 2 3 3" xfId="9381"/>
    <cellStyle name="備註 2 2 2 2 3 3 2" xfId="9382"/>
    <cellStyle name="備註 2 2 2 2 3 4" xfId="9383"/>
    <cellStyle name="備註 2 2 2 2 3 4 2" xfId="9384"/>
    <cellStyle name="備註 2 2 2 2 3 5" xfId="9385"/>
    <cellStyle name="備註 2 2 2 2 3_包裝指示書(裏)" xfId="9386"/>
    <cellStyle name="備註 2 2 2 2 4" xfId="9387"/>
    <cellStyle name="備註 2 2 2 2 4 2" xfId="9388"/>
    <cellStyle name="備註 2 2 2 2 5" xfId="9389"/>
    <cellStyle name="備註 2 2 2 2 5 2" xfId="9390"/>
    <cellStyle name="備註 2 2 2 2 6" xfId="9391"/>
    <cellStyle name="備註 2 2 2 2 6 2" xfId="9392"/>
    <cellStyle name="備註 2 2 2 2 7" xfId="9393"/>
    <cellStyle name="備註 2 2 2 2_包裝指示書(裏)" xfId="9394"/>
    <cellStyle name="備註 2 2 2 3" xfId="9395"/>
    <cellStyle name="備註 2 2 2 3 2" xfId="9396"/>
    <cellStyle name="備註 2 2 2 3 2 2" xfId="9397"/>
    <cellStyle name="備註 2 2 2 3 2 2 2" xfId="9398"/>
    <cellStyle name="備註 2 2 2 3 2 3" xfId="9399"/>
    <cellStyle name="備註 2 2 2 3 2_包裝指示書(裏)" xfId="9400"/>
    <cellStyle name="備註 2 2 2 3 3" xfId="9401"/>
    <cellStyle name="備註 2 2 2 3 3 2" xfId="9402"/>
    <cellStyle name="備註 2 2 2 3 4" xfId="9403"/>
    <cellStyle name="備註 2 2 2 3 4 2" xfId="9404"/>
    <cellStyle name="備註 2 2 2 3 5" xfId="9405"/>
    <cellStyle name="備註 2 2 2 3_包裝指示書(裏)" xfId="9406"/>
    <cellStyle name="備註 2 2 2 4" xfId="9407"/>
    <cellStyle name="備註 2 2 2 4 2" xfId="9408"/>
    <cellStyle name="備註 2 2 2 5" xfId="9409"/>
    <cellStyle name="備註 2 2 2 5 2" xfId="9410"/>
    <cellStyle name="備註 2 2 2 6" xfId="9411"/>
    <cellStyle name="備註 2 2 2 6 2" xfId="9412"/>
    <cellStyle name="備註 2 2 2 7" xfId="9413"/>
    <cellStyle name="備註 2 2 2_包裝指示書(裏)" xfId="9414"/>
    <cellStyle name="備註 2 2 3" xfId="9415"/>
    <cellStyle name="備註 2 2 3 2" xfId="9416"/>
    <cellStyle name="備註 2 2 3 2 2" xfId="9417"/>
    <cellStyle name="備註 2 2 3 2 2 2" xfId="9418"/>
    <cellStyle name="備註 2 2 3 2 2 2 2" xfId="9419"/>
    <cellStyle name="備註 2 2 3 2 2 3" xfId="9420"/>
    <cellStyle name="備註 2 2 3 2 2_包裝指示書(裏)" xfId="9421"/>
    <cellStyle name="備註 2 2 3 2 3" xfId="9422"/>
    <cellStyle name="備註 2 2 3 2 3 2" xfId="9423"/>
    <cellStyle name="備註 2 2 3 2 4" xfId="9424"/>
    <cellStyle name="備註 2 2 3 2 4 2" xfId="9425"/>
    <cellStyle name="備註 2 2 3 2 5" xfId="9426"/>
    <cellStyle name="備註 2 2 3 2_包裝指示書(裏)" xfId="9427"/>
    <cellStyle name="備註 2 2 3 3" xfId="9428"/>
    <cellStyle name="備註 2 2 3 3 2" xfId="9429"/>
    <cellStyle name="備註 2 2 3 4" xfId="9430"/>
    <cellStyle name="備註 2 2 3 4 2" xfId="9431"/>
    <cellStyle name="備註 2 2 3 5" xfId="9432"/>
    <cellStyle name="備註 2 2 3 5 2" xfId="9433"/>
    <cellStyle name="備註 2 2 3 6" xfId="9434"/>
    <cellStyle name="備註 2 2 3_包裝指示書(裏)" xfId="9435"/>
    <cellStyle name="備註 2 2 4" xfId="9436"/>
    <cellStyle name="備註 2 2 4 2" xfId="9437"/>
    <cellStyle name="備註 2 2 4 2 2" xfId="9438"/>
    <cellStyle name="備註 2 2 4 2 2 2" xfId="9439"/>
    <cellStyle name="備註 2 2 4 2 3" xfId="9440"/>
    <cellStyle name="備註 2 2 4 2_包裝指示書(裏)" xfId="9441"/>
    <cellStyle name="備註 2 2 4 3" xfId="9442"/>
    <cellStyle name="備註 2 2 4 3 2" xfId="9443"/>
    <cellStyle name="備註 2 2 4 4" xfId="9444"/>
    <cellStyle name="備註 2 2 4 4 2" xfId="9445"/>
    <cellStyle name="備註 2 2 4 5" xfId="9446"/>
    <cellStyle name="備註 2 2 4_包裝指示書(裏)" xfId="9447"/>
    <cellStyle name="備註 2 2 5" xfId="9448"/>
    <cellStyle name="備註 2 2 5 2" xfId="9449"/>
    <cellStyle name="備註 2 2 5 2 2" xfId="9450"/>
    <cellStyle name="備註 2 2 5 2 2 2" xfId="9451"/>
    <cellStyle name="備註 2 2 5 2 3" xfId="9452"/>
    <cellStyle name="備註 2 2 5 2 3 2" xfId="9453"/>
    <cellStyle name="備註 2 2 5 2 4" xfId="9454"/>
    <cellStyle name="備註 2 2 5 2_包裝指示書(裏)" xfId="9455"/>
    <cellStyle name="備註 2 2 5 3" xfId="9456"/>
    <cellStyle name="備註 2 2 5 3 2" xfId="9457"/>
    <cellStyle name="備註 2 2 5 4" xfId="9458"/>
    <cellStyle name="備註 2 2 5 4 2" xfId="9459"/>
    <cellStyle name="備註 2 2 5 5" xfId="9460"/>
    <cellStyle name="備註 2 2 5_包裝指示書(裏)" xfId="9461"/>
    <cellStyle name="備註 2 2 6" xfId="9462"/>
    <cellStyle name="備註 2 2 6 2" xfId="9463"/>
    <cellStyle name="備註 2 2 6 2 2" xfId="9464"/>
    <cellStyle name="備註 2 2 6 2 2 2" xfId="9465"/>
    <cellStyle name="備註 2 2 6 2 3" xfId="9466"/>
    <cellStyle name="備註 2 2 6 2 3 2" xfId="9467"/>
    <cellStyle name="備註 2 2 6 2 4" xfId="9468"/>
    <cellStyle name="備註 2 2 6 2_包裝指示書(裏)" xfId="9469"/>
    <cellStyle name="備註 2 2 6 3" xfId="9470"/>
    <cellStyle name="備註 2 2 6 3 2" xfId="9471"/>
    <cellStyle name="備註 2 2 6 4" xfId="9472"/>
    <cellStyle name="備註 2 2 6 4 2" xfId="9473"/>
    <cellStyle name="備註 2 2 6 5" xfId="9474"/>
    <cellStyle name="備註 2 2 6_包裝指示書(裏)" xfId="9475"/>
    <cellStyle name="備註 2 2 7" xfId="9476"/>
    <cellStyle name="備註 2 2 7 2" xfId="9477"/>
    <cellStyle name="備註 2 2 7 2 2" xfId="9478"/>
    <cellStyle name="備註 2 2 7 2 2 2" xfId="9479"/>
    <cellStyle name="備註 2 2 7 2 3" xfId="9480"/>
    <cellStyle name="備註 2 2 7 2 3 2" xfId="9481"/>
    <cellStyle name="備註 2 2 7 2 4" xfId="9482"/>
    <cellStyle name="備註 2 2 7 2_包裝指示書(裏)" xfId="9483"/>
    <cellStyle name="備註 2 2 7 3" xfId="9484"/>
    <cellStyle name="備註 2 2 7 3 2" xfId="9485"/>
    <cellStyle name="備註 2 2 7 4" xfId="9486"/>
    <cellStyle name="備註 2 2 7 4 2" xfId="9487"/>
    <cellStyle name="備註 2 2 7 5" xfId="9488"/>
    <cellStyle name="備註 2 2 7_包裝指示書(裏)" xfId="9489"/>
    <cellStyle name="備註 2 2 8" xfId="9490"/>
    <cellStyle name="備註 2 2 8 2" xfId="9491"/>
    <cellStyle name="備註 2 2 8 2 2" xfId="9492"/>
    <cellStyle name="備註 2 2 8 3" xfId="9493"/>
    <cellStyle name="備註 2 2 8 3 2" xfId="9494"/>
    <cellStyle name="備註 2 2 8 4" xfId="9495"/>
    <cellStyle name="備註 2 2 8_包裝指示書(裏)" xfId="9496"/>
    <cellStyle name="備註 2 2 9" xfId="9497"/>
    <cellStyle name="備註 2 2 9 2" xfId="9498"/>
    <cellStyle name="備註 2 2_包裝指示書(裏)" xfId="9499"/>
    <cellStyle name="備註 2 3" xfId="1136"/>
    <cellStyle name="備註 2 3 10" xfId="9501"/>
    <cellStyle name="備註 2 3 11" xfId="9502"/>
    <cellStyle name="備註 2 3 12" xfId="9500"/>
    <cellStyle name="備註 2 3 2" xfId="9503"/>
    <cellStyle name="備註 2 3 2 10" xfId="9504"/>
    <cellStyle name="備註 2 3 2 2" xfId="9505"/>
    <cellStyle name="備註 2 3 2 2 2" xfId="9506"/>
    <cellStyle name="備註 2 3 2 2 2 2" xfId="9507"/>
    <cellStyle name="備註 2 3 2 2 2 2 2" xfId="9508"/>
    <cellStyle name="備註 2 3 2 2 2 2 2 2" xfId="9509"/>
    <cellStyle name="備註 2 3 2 2 2 2 2 2 2" xfId="9510"/>
    <cellStyle name="備註 2 3 2 2 2 2 2 3" xfId="9511"/>
    <cellStyle name="備註 2 3 2 2 2 2 2_包裝指示書(裏)" xfId="9512"/>
    <cellStyle name="備註 2 3 2 2 2 2 3" xfId="9513"/>
    <cellStyle name="備註 2 3 2 2 2 2 3 2" xfId="9514"/>
    <cellStyle name="備註 2 3 2 2 2 2 4" xfId="9515"/>
    <cellStyle name="備註 2 3 2 2 2 2 4 2" xfId="9516"/>
    <cellStyle name="備註 2 3 2 2 2 2 5" xfId="9517"/>
    <cellStyle name="備註 2 3 2 2 2 2_包裝指示書(裏)" xfId="9518"/>
    <cellStyle name="備註 2 3 2 2 2 3" xfId="9519"/>
    <cellStyle name="備註 2 3 2 2 2 3 2" xfId="9520"/>
    <cellStyle name="備註 2 3 2 2 2 4" xfId="9521"/>
    <cellStyle name="備註 2 3 2 2 2 4 2" xfId="9522"/>
    <cellStyle name="備註 2 3 2 2 2 5" xfId="9523"/>
    <cellStyle name="備註 2 3 2 2 2 5 2" xfId="9524"/>
    <cellStyle name="備註 2 3 2 2 2 6" xfId="9525"/>
    <cellStyle name="備註 2 3 2 2 2_包裝指示書(裏)" xfId="9526"/>
    <cellStyle name="備註 2 3 2 2 3" xfId="9527"/>
    <cellStyle name="備註 2 3 2 2 3 2" xfId="9528"/>
    <cellStyle name="備註 2 3 2 2 3 2 2" xfId="9529"/>
    <cellStyle name="備註 2 3 2 2 3 2 2 2" xfId="9530"/>
    <cellStyle name="備註 2 3 2 2 3 2 3" xfId="9531"/>
    <cellStyle name="備註 2 3 2 2 3 2_包裝指示書(裏)" xfId="9532"/>
    <cellStyle name="備註 2 3 2 2 3 3" xfId="9533"/>
    <cellStyle name="備註 2 3 2 2 3 3 2" xfId="9534"/>
    <cellStyle name="備註 2 3 2 2 3 4" xfId="9535"/>
    <cellStyle name="備註 2 3 2 2 3 4 2" xfId="9536"/>
    <cellStyle name="備註 2 3 2 2 3 5" xfId="9537"/>
    <cellStyle name="備註 2 3 2 2 3_包裝指示書(裏)" xfId="9538"/>
    <cellStyle name="備註 2 3 2 2 4" xfId="9539"/>
    <cellStyle name="備註 2 3 2 2 4 2" xfId="9540"/>
    <cellStyle name="備註 2 3 2 2 5" xfId="9541"/>
    <cellStyle name="備註 2 3 2 2 5 2" xfId="9542"/>
    <cellStyle name="備註 2 3 2 2 6" xfId="9543"/>
    <cellStyle name="備註 2 3 2 2 6 2" xfId="9544"/>
    <cellStyle name="備註 2 3 2 2 7" xfId="9545"/>
    <cellStyle name="備註 2 3 2 2_包裝指示書(裏)" xfId="9546"/>
    <cellStyle name="備註 2 3 2 3" xfId="9547"/>
    <cellStyle name="備註 2 3 2 3 2" xfId="9548"/>
    <cellStyle name="備註 2 3 2 3 2 2" xfId="9549"/>
    <cellStyle name="備註 2 3 2 3 2 2 2" xfId="9550"/>
    <cellStyle name="備註 2 3 2 3 2 3" xfId="9551"/>
    <cellStyle name="備註 2 3 2 3 2 3 2" xfId="9552"/>
    <cellStyle name="備註 2 3 2 3 2 4" xfId="9553"/>
    <cellStyle name="備註 2 3 2 3 2_包裝指示書(裏)" xfId="9554"/>
    <cellStyle name="備註 2 3 2 3 3" xfId="9555"/>
    <cellStyle name="備註 2 3 2 3 3 2" xfId="9556"/>
    <cellStyle name="備註 2 3 2 3 4" xfId="9557"/>
    <cellStyle name="備註 2 3 2 3 4 2" xfId="9558"/>
    <cellStyle name="備註 2 3 2 3 5" xfId="9559"/>
    <cellStyle name="備註 2 3 2 3_包裝指示書(裏)" xfId="9560"/>
    <cellStyle name="備註 2 3 2 4" xfId="9561"/>
    <cellStyle name="備註 2 3 2 4 2" xfId="9562"/>
    <cellStyle name="備註 2 3 2 4 2 2" xfId="9563"/>
    <cellStyle name="備註 2 3 2 4 2 2 2" xfId="9564"/>
    <cellStyle name="備註 2 3 2 4 2 3" xfId="9565"/>
    <cellStyle name="備註 2 3 2 4 2 3 2" xfId="9566"/>
    <cellStyle name="備註 2 3 2 4 2 4" xfId="9567"/>
    <cellStyle name="備註 2 3 2 4 2_包裝指示書(裏)" xfId="9568"/>
    <cellStyle name="備註 2 3 2 4 3" xfId="9569"/>
    <cellStyle name="備註 2 3 2 4 3 2" xfId="9570"/>
    <cellStyle name="備註 2 3 2 4 4" xfId="9571"/>
    <cellStyle name="備註 2 3 2 4 4 2" xfId="9572"/>
    <cellStyle name="備註 2 3 2 4 5" xfId="9573"/>
    <cellStyle name="備註 2 3 2 4_包裝指示書(裏)" xfId="9574"/>
    <cellStyle name="備註 2 3 2 5" xfId="9575"/>
    <cellStyle name="備註 2 3 2 5 2" xfId="9576"/>
    <cellStyle name="備註 2 3 2 5 2 2" xfId="9577"/>
    <cellStyle name="備註 2 3 2 5 2 2 2" xfId="9578"/>
    <cellStyle name="備註 2 3 2 5 2 3" xfId="9579"/>
    <cellStyle name="備註 2 3 2 5 2 3 2" xfId="9580"/>
    <cellStyle name="備註 2 3 2 5 2 4" xfId="9581"/>
    <cellStyle name="備註 2 3 2 5 2_包裝指示書(裏)" xfId="9582"/>
    <cellStyle name="備註 2 3 2 5 3" xfId="9583"/>
    <cellStyle name="備註 2 3 2 5 3 2" xfId="9584"/>
    <cellStyle name="備註 2 3 2 5 4" xfId="9585"/>
    <cellStyle name="備註 2 3 2 5 4 2" xfId="9586"/>
    <cellStyle name="備註 2 3 2 5 5" xfId="9587"/>
    <cellStyle name="備註 2 3 2 5_包裝指示書(裏)" xfId="9588"/>
    <cellStyle name="備註 2 3 2 6" xfId="9589"/>
    <cellStyle name="備註 2 3 2 6 2" xfId="9590"/>
    <cellStyle name="備註 2 3 2 6 2 2" xfId="9591"/>
    <cellStyle name="備註 2 3 2 6 2 2 2" xfId="9592"/>
    <cellStyle name="備註 2 3 2 6 2 3" xfId="9593"/>
    <cellStyle name="備註 2 3 2 6 2 3 2" xfId="9594"/>
    <cellStyle name="備註 2 3 2 6 2 4" xfId="9595"/>
    <cellStyle name="備註 2 3 2 6 2_包裝指示書(裏)" xfId="9596"/>
    <cellStyle name="備註 2 3 2 6 3" xfId="9597"/>
    <cellStyle name="備註 2 3 2 6 3 2" xfId="9598"/>
    <cellStyle name="備註 2 3 2 6 4" xfId="9599"/>
    <cellStyle name="備註 2 3 2 6 4 2" xfId="9600"/>
    <cellStyle name="備註 2 3 2 6 5" xfId="9601"/>
    <cellStyle name="備註 2 3 2 6_包裝指示書(裏)" xfId="9602"/>
    <cellStyle name="備註 2 3 2 7" xfId="9603"/>
    <cellStyle name="備註 2 3 2 7 2" xfId="9604"/>
    <cellStyle name="備註 2 3 2 7 2 2" xfId="9605"/>
    <cellStyle name="備註 2 3 2 7 3" xfId="9606"/>
    <cellStyle name="備註 2 3 2 7 3 2" xfId="9607"/>
    <cellStyle name="備註 2 3 2 7 4" xfId="9608"/>
    <cellStyle name="備註 2 3 2 7_包裝指示書(裏)" xfId="9609"/>
    <cellStyle name="備註 2 3 2 8" xfId="9610"/>
    <cellStyle name="備註 2 3 2 8 2" xfId="9611"/>
    <cellStyle name="備註 2 3 2 9" xfId="9612"/>
    <cellStyle name="備註 2 3 2_包裝指示書(裏)" xfId="9613"/>
    <cellStyle name="備註 2 3 3" xfId="9614"/>
    <cellStyle name="備註 2 3 3 2" xfId="9615"/>
    <cellStyle name="備註 2 3 3 2 2" xfId="9616"/>
    <cellStyle name="備註 2 3 3 2 2 2" xfId="9617"/>
    <cellStyle name="備註 2 3 3 2 2 2 2" xfId="9618"/>
    <cellStyle name="備註 2 3 3 2 2 3" xfId="9619"/>
    <cellStyle name="備註 2 3 3 2 2_包裝指示書(裏)" xfId="9620"/>
    <cellStyle name="備註 2 3 3 2 3" xfId="9621"/>
    <cellStyle name="備註 2 3 3 2 3 2" xfId="9622"/>
    <cellStyle name="備註 2 3 3 2 4" xfId="9623"/>
    <cellStyle name="備註 2 3 3 2 4 2" xfId="9624"/>
    <cellStyle name="備註 2 3 3 2 5" xfId="9625"/>
    <cellStyle name="備註 2 3 3 2_包裝指示書(裏)" xfId="9626"/>
    <cellStyle name="備註 2 3 3 3" xfId="9627"/>
    <cellStyle name="備註 2 3 3 3 2" xfId="9628"/>
    <cellStyle name="備註 2 3 3 4" xfId="9629"/>
    <cellStyle name="備註 2 3 3 4 2" xfId="9630"/>
    <cellStyle name="備註 2 3 3 5" xfId="9631"/>
    <cellStyle name="備註 2 3 3 5 2" xfId="9632"/>
    <cellStyle name="備註 2 3 3 6" xfId="9633"/>
    <cellStyle name="備註 2 3 3_包裝指示書(裏)" xfId="9634"/>
    <cellStyle name="備註 2 3 4" xfId="9635"/>
    <cellStyle name="備註 2 3 4 2" xfId="9636"/>
    <cellStyle name="備註 2 3 4 2 2" xfId="9637"/>
    <cellStyle name="備註 2 3 4 2 2 2" xfId="9638"/>
    <cellStyle name="備註 2 3 4 2 3" xfId="9639"/>
    <cellStyle name="備註 2 3 4 2 3 2" xfId="9640"/>
    <cellStyle name="備註 2 3 4 2 4" xfId="9641"/>
    <cellStyle name="備註 2 3 4 2_包裝指示書(裏)" xfId="9642"/>
    <cellStyle name="備註 2 3 4 3" xfId="9643"/>
    <cellStyle name="備註 2 3 4 3 2" xfId="9644"/>
    <cellStyle name="備註 2 3 4 4" xfId="9645"/>
    <cellStyle name="備註 2 3 4 4 2" xfId="9646"/>
    <cellStyle name="備註 2 3 4 5" xfId="9647"/>
    <cellStyle name="備註 2 3 4_包裝指示書(裏)" xfId="9648"/>
    <cellStyle name="備註 2 3 5" xfId="9649"/>
    <cellStyle name="備註 2 3 5 2" xfId="9650"/>
    <cellStyle name="備註 2 3 5 2 2" xfId="9651"/>
    <cellStyle name="備註 2 3 5 2 2 2" xfId="9652"/>
    <cellStyle name="備註 2 3 5 2 3" xfId="9653"/>
    <cellStyle name="備註 2 3 5 2 3 2" xfId="9654"/>
    <cellStyle name="備註 2 3 5 2 4" xfId="9655"/>
    <cellStyle name="備註 2 3 5 2_包裝指示書(裏)" xfId="9656"/>
    <cellStyle name="備註 2 3 5 3" xfId="9657"/>
    <cellStyle name="備註 2 3 5 3 2" xfId="9658"/>
    <cellStyle name="備註 2 3 5 4" xfId="9659"/>
    <cellStyle name="備註 2 3 5 4 2" xfId="9660"/>
    <cellStyle name="備註 2 3 5 5" xfId="9661"/>
    <cellStyle name="備註 2 3 5_包裝指示書(裏)" xfId="9662"/>
    <cellStyle name="備註 2 3 6" xfId="9663"/>
    <cellStyle name="備註 2 3 6 2" xfId="9664"/>
    <cellStyle name="備註 2 3 6 2 2" xfId="9665"/>
    <cellStyle name="備註 2 3 6 2 2 2" xfId="9666"/>
    <cellStyle name="備註 2 3 6 2 3" xfId="9667"/>
    <cellStyle name="備註 2 3 6 2 3 2" xfId="9668"/>
    <cellStyle name="備註 2 3 6 2 4" xfId="9669"/>
    <cellStyle name="備註 2 3 6 2_包裝指示書(裏)" xfId="9670"/>
    <cellStyle name="備註 2 3 6 3" xfId="9671"/>
    <cellStyle name="備註 2 3 6 3 2" xfId="9672"/>
    <cellStyle name="備註 2 3 6 4" xfId="9673"/>
    <cellStyle name="備註 2 3 6 4 2" xfId="9674"/>
    <cellStyle name="備註 2 3 6 5" xfId="9675"/>
    <cellStyle name="備註 2 3 6_包裝指示書(裏)" xfId="9676"/>
    <cellStyle name="備註 2 3 7" xfId="9677"/>
    <cellStyle name="備註 2 3 7 2" xfId="9678"/>
    <cellStyle name="備註 2 3 7 2 2" xfId="9679"/>
    <cellStyle name="備註 2 3 7 2 2 2" xfId="9680"/>
    <cellStyle name="備註 2 3 7 2 3" xfId="9681"/>
    <cellStyle name="備註 2 3 7 2 3 2" xfId="9682"/>
    <cellStyle name="備註 2 3 7 2 4" xfId="9683"/>
    <cellStyle name="備註 2 3 7 2_包裝指示書(裏)" xfId="9684"/>
    <cellStyle name="備註 2 3 7 3" xfId="9685"/>
    <cellStyle name="備註 2 3 7 3 2" xfId="9686"/>
    <cellStyle name="備註 2 3 7 4" xfId="9687"/>
    <cellStyle name="備註 2 3 7 4 2" xfId="9688"/>
    <cellStyle name="備註 2 3 7 5" xfId="9689"/>
    <cellStyle name="備註 2 3 7_包裝指示書(裏)" xfId="9690"/>
    <cellStyle name="備註 2 3 8" xfId="9691"/>
    <cellStyle name="備註 2 3 8 2" xfId="9692"/>
    <cellStyle name="備註 2 3 8 2 2" xfId="9693"/>
    <cellStyle name="備註 2 3 8 3" xfId="9694"/>
    <cellStyle name="備註 2 3 8 3 2" xfId="9695"/>
    <cellStyle name="備註 2 3 8 4" xfId="9696"/>
    <cellStyle name="備註 2 3 8_包裝指示書(裏)" xfId="9697"/>
    <cellStyle name="備註 2 3 9" xfId="9698"/>
    <cellStyle name="備註 2 3 9 2" xfId="9699"/>
    <cellStyle name="備註 2 3_包裝指示書(裏)" xfId="9700"/>
    <cellStyle name="備註 2 4" xfId="9701"/>
    <cellStyle name="備註 2 4 2" xfId="9702"/>
    <cellStyle name="備註 2 4 2 2" xfId="9703"/>
    <cellStyle name="備註 2 4 2 2 2" xfId="9704"/>
    <cellStyle name="備註 2 4 2 2 2 2" xfId="9705"/>
    <cellStyle name="備註 2 4 2 2 2 2 2" xfId="9706"/>
    <cellStyle name="備註 2 4 2 2 2 2 2 2" xfId="9707"/>
    <cellStyle name="備註 2 4 2 2 2 2 3" xfId="9708"/>
    <cellStyle name="備註 2 4 2 2 2 2_包裝指示書(裏)" xfId="9709"/>
    <cellStyle name="備註 2 4 2 2 2 3" xfId="9710"/>
    <cellStyle name="備註 2 4 2 2 2 3 2" xfId="9711"/>
    <cellStyle name="備註 2 4 2 2 2 4" xfId="9712"/>
    <cellStyle name="備註 2 4 2 2 2 4 2" xfId="9713"/>
    <cellStyle name="備註 2 4 2 2 2 5" xfId="9714"/>
    <cellStyle name="備註 2 4 2 2 2_包裝指示書(裏)" xfId="9715"/>
    <cellStyle name="備註 2 4 2 2 3" xfId="9716"/>
    <cellStyle name="備註 2 4 2 2 3 2" xfId="9717"/>
    <cellStyle name="備註 2 4 2 2 4" xfId="9718"/>
    <cellStyle name="備註 2 4 2 2 4 2" xfId="9719"/>
    <cellStyle name="備註 2 4 2 2 5" xfId="9720"/>
    <cellStyle name="備註 2 4 2 2 5 2" xfId="9721"/>
    <cellStyle name="備註 2 4 2 2 6" xfId="9722"/>
    <cellStyle name="備註 2 4 2 2_包裝指示書(裏)" xfId="9723"/>
    <cellStyle name="備註 2 4 2 3" xfId="9724"/>
    <cellStyle name="備註 2 4 2 3 2" xfId="9725"/>
    <cellStyle name="備註 2 4 2 3 2 2" xfId="9726"/>
    <cellStyle name="備註 2 4 2 3 2 2 2" xfId="9727"/>
    <cellStyle name="備註 2 4 2 3 2 3" xfId="9728"/>
    <cellStyle name="備註 2 4 2 3 2_包裝指示書(裏)" xfId="9729"/>
    <cellStyle name="備註 2 4 2 3 3" xfId="9730"/>
    <cellStyle name="備註 2 4 2 3 3 2" xfId="9731"/>
    <cellStyle name="備註 2 4 2 3 4" xfId="9732"/>
    <cellStyle name="備註 2 4 2 3 4 2" xfId="9733"/>
    <cellStyle name="備註 2 4 2 3 5" xfId="9734"/>
    <cellStyle name="備註 2 4 2 3_包裝指示書(裏)" xfId="9735"/>
    <cellStyle name="備註 2 4 2 4" xfId="9736"/>
    <cellStyle name="備註 2 4 2 4 2" xfId="9737"/>
    <cellStyle name="備註 2 4 2 5" xfId="9738"/>
    <cellStyle name="備註 2 4 2 5 2" xfId="9739"/>
    <cellStyle name="備註 2 4 2 6" xfId="9740"/>
    <cellStyle name="備註 2 4 2 6 2" xfId="9741"/>
    <cellStyle name="備註 2 4 2 7" xfId="9742"/>
    <cellStyle name="備註 2 4 2_包裝指示書(裏)" xfId="9743"/>
    <cellStyle name="備註 2 4 3" xfId="9744"/>
    <cellStyle name="備註 2 4 3 2" xfId="9745"/>
    <cellStyle name="備註 2 4 3 2 2" xfId="9746"/>
    <cellStyle name="備註 2 4 3 2 2 2" xfId="9747"/>
    <cellStyle name="備註 2 4 3 2 3" xfId="9748"/>
    <cellStyle name="備註 2 4 3 2_包裝指示書(裏)" xfId="9749"/>
    <cellStyle name="備註 2 4 3 3" xfId="9750"/>
    <cellStyle name="備註 2 4 3 3 2" xfId="9751"/>
    <cellStyle name="備註 2 4 3 4" xfId="9752"/>
    <cellStyle name="備註 2 4 3 4 2" xfId="9753"/>
    <cellStyle name="備註 2 4 3 5" xfId="9754"/>
    <cellStyle name="備註 2 4 3_包裝指示書(裏)" xfId="9755"/>
    <cellStyle name="備註 2 4 4" xfId="9756"/>
    <cellStyle name="備註 2 4 4 2" xfId="9757"/>
    <cellStyle name="備註 2 4 5" xfId="9758"/>
    <cellStyle name="備註 2 4 5 2" xfId="9759"/>
    <cellStyle name="備註 2 4 6" xfId="9760"/>
    <cellStyle name="備註 2 4 6 2" xfId="9761"/>
    <cellStyle name="備註 2 4 7" xfId="9762"/>
    <cellStyle name="備註 2 4_包裝指示書(裏)" xfId="9763"/>
    <cellStyle name="備註 2 5" xfId="9764"/>
    <cellStyle name="備註 2 5 2" xfId="9765"/>
    <cellStyle name="備註 2 5 2 2" xfId="9766"/>
    <cellStyle name="備註 2 5 2 2 2" xfId="9767"/>
    <cellStyle name="備註 2 5 2 2 2 2" xfId="9768"/>
    <cellStyle name="備註 2 5 2 2 3" xfId="9769"/>
    <cellStyle name="備註 2 5 2 2_包裝指示書(裏)" xfId="9770"/>
    <cellStyle name="備註 2 5 2 3" xfId="9771"/>
    <cellStyle name="備註 2 5 2 3 2" xfId="9772"/>
    <cellStyle name="備註 2 5 2 4" xfId="9773"/>
    <cellStyle name="備註 2 5 2 4 2" xfId="9774"/>
    <cellStyle name="備註 2 5 2 5" xfId="9775"/>
    <cellStyle name="備註 2 5 2_包裝指示書(裏)" xfId="9776"/>
    <cellStyle name="備註 2 5 3" xfId="9777"/>
    <cellStyle name="備註 2 5 3 2" xfId="9778"/>
    <cellStyle name="備註 2 5 4" xfId="9779"/>
    <cellStyle name="備註 2 5 4 2" xfId="9780"/>
    <cellStyle name="備註 2 5 5" xfId="9781"/>
    <cellStyle name="備註 2 5 5 2" xfId="9782"/>
    <cellStyle name="備註 2 5 6" xfId="9783"/>
    <cellStyle name="備註 2 5_包裝指示書(裏)" xfId="9784"/>
    <cellStyle name="備註 2 6" xfId="9785"/>
    <cellStyle name="備註 2 6 2" xfId="9786"/>
    <cellStyle name="備註 2 6 2 2" xfId="9787"/>
    <cellStyle name="備註 2 6 2 2 2" xfId="9788"/>
    <cellStyle name="備註 2 6 2 3" xfId="9789"/>
    <cellStyle name="備註 2 6 2_包裝指示書(裏)" xfId="9790"/>
    <cellStyle name="備註 2 6 3" xfId="9791"/>
    <cellStyle name="備註 2 6 3 2" xfId="9792"/>
    <cellStyle name="備註 2 6 4" xfId="9793"/>
    <cellStyle name="備註 2 6 4 2" xfId="9794"/>
    <cellStyle name="備註 2 6 5" xfId="9795"/>
    <cellStyle name="備註 2 6_包裝指示書(裏)" xfId="9796"/>
    <cellStyle name="備註 2 7" xfId="9797"/>
    <cellStyle name="備註 2 7 2" xfId="9798"/>
    <cellStyle name="備註 2 7 2 2" xfId="9799"/>
    <cellStyle name="備註 2 7 2 2 2" xfId="9800"/>
    <cellStyle name="備註 2 7 2 3" xfId="9801"/>
    <cellStyle name="備註 2 7 2 3 2" xfId="9802"/>
    <cellStyle name="備註 2 7 2 4" xfId="9803"/>
    <cellStyle name="備註 2 7 2_包裝指示書(裏)" xfId="9804"/>
    <cellStyle name="備註 2 7 3" xfId="9805"/>
    <cellStyle name="備註 2 7 3 2" xfId="9806"/>
    <cellStyle name="備註 2 7 4" xfId="9807"/>
    <cellStyle name="備註 2 7 4 2" xfId="9808"/>
    <cellStyle name="備註 2 7 5" xfId="9809"/>
    <cellStyle name="備註 2 7_包裝指示書(裏)" xfId="9810"/>
    <cellStyle name="備註 2 8" xfId="9811"/>
    <cellStyle name="備註 2 8 2" xfId="9812"/>
    <cellStyle name="備註 2 8 2 2" xfId="9813"/>
    <cellStyle name="備註 2 8 2 2 2" xfId="9814"/>
    <cellStyle name="備註 2 8 2 3" xfId="9815"/>
    <cellStyle name="備註 2 8 2 3 2" xfId="9816"/>
    <cellStyle name="備註 2 8 2 4" xfId="9817"/>
    <cellStyle name="備註 2 8 2_包裝指示書(裏)" xfId="9818"/>
    <cellStyle name="備註 2 8 3" xfId="9819"/>
    <cellStyle name="備註 2 8 3 2" xfId="9820"/>
    <cellStyle name="備註 2 8 4" xfId="9821"/>
    <cellStyle name="備註 2 8 4 2" xfId="9822"/>
    <cellStyle name="備註 2 8 5" xfId="9823"/>
    <cellStyle name="備註 2 8_包裝指示書(裏)" xfId="9824"/>
    <cellStyle name="備註 2 9" xfId="9825"/>
    <cellStyle name="備註 2 9 2" xfId="9826"/>
    <cellStyle name="備註 2 9 2 2" xfId="9827"/>
    <cellStyle name="備註 2 9 2 2 2" xfId="9828"/>
    <cellStyle name="備註 2 9 2 3" xfId="9829"/>
    <cellStyle name="備註 2 9 2 3 2" xfId="9830"/>
    <cellStyle name="備註 2 9 2 4" xfId="9831"/>
    <cellStyle name="備註 2 9 2_包裝指示書(裏)" xfId="9832"/>
    <cellStyle name="備註 2 9 3" xfId="9833"/>
    <cellStyle name="備註 2 9 3 2" xfId="9834"/>
    <cellStyle name="備註 2 9 4" xfId="9835"/>
    <cellStyle name="備註 2 9 4 2" xfId="9836"/>
    <cellStyle name="備註 2 9 5" xfId="9837"/>
    <cellStyle name="備註 2 9_包裝指示書(裏)" xfId="9838"/>
    <cellStyle name="備註 2_包裝指示書(裏)" xfId="9839"/>
    <cellStyle name="備註 3" xfId="622"/>
    <cellStyle name="備註 3 10" xfId="9840"/>
    <cellStyle name="備註 3 10 2" xfId="9841"/>
    <cellStyle name="備註 3 11" xfId="9842"/>
    <cellStyle name="備註 3 12" xfId="9843"/>
    <cellStyle name="備註 3 2" xfId="9844"/>
    <cellStyle name="備註 3 2 10" xfId="9845"/>
    <cellStyle name="備註 3 2 11" xfId="9846"/>
    <cellStyle name="備註 3 2 2" xfId="9847"/>
    <cellStyle name="備註 3 2 2 10" xfId="9848"/>
    <cellStyle name="備註 3 2 2 2" xfId="9849"/>
    <cellStyle name="備註 3 2 2 2 2" xfId="9850"/>
    <cellStyle name="備註 3 2 2 2 2 2" xfId="9851"/>
    <cellStyle name="備註 3 2 2 2 2 2 2" xfId="9852"/>
    <cellStyle name="備註 3 2 2 2 2 2 2 2" xfId="9853"/>
    <cellStyle name="備註 3 2 2 2 2 2 2 2 2" xfId="9854"/>
    <cellStyle name="備註 3 2 2 2 2 2 2 3" xfId="9855"/>
    <cellStyle name="備註 3 2 2 2 2 2 2_包裝指示書(裏)" xfId="9856"/>
    <cellStyle name="備註 3 2 2 2 2 2 3" xfId="9857"/>
    <cellStyle name="備註 3 2 2 2 2 2 3 2" xfId="9858"/>
    <cellStyle name="備註 3 2 2 2 2 2 4" xfId="9859"/>
    <cellStyle name="備註 3 2 2 2 2 2 4 2" xfId="9860"/>
    <cellStyle name="備註 3 2 2 2 2 2 5" xfId="9861"/>
    <cellStyle name="備註 3 2 2 2 2 2_包裝指示書(裏)" xfId="9862"/>
    <cellStyle name="備註 3 2 2 2 2 3" xfId="9863"/>
    <cellStyle name="備註 3 2 2 2 2 3 2" xfId="9864"/>
    <cellStyle name="備註 3 2 2 2 2 4" xfId="9865"/>
    <cellStyle name="備註 3 2 2 2 2 4 2" xfId="9866"/>
    <cellStyle name="備註 3 2 2 2 2 5" xfId="9867"/>
    <cellStyle name="備註 3 2 2 2 2 5 2" xfId="9868"/>
    <cellStyle name="備註 3 2 2 2 2 6" xfId="9869"/>
    <cellStyle name="備註 3 2 2 2 2_包裝指示書(裏)" xfId="9870"/>
    <cellStyle name="備註 3 2 2 2 3" xfId="9871"/>
    <cellStyle name="備註 3 2 2 2 3 2" xfId="9872"/>
    <cellStyle name="備註 3 2 2 2 3 2 2" xfId="9873"/>
    <cellStyle name="備註 3 2 2 2 3 2 2 2" xfId="9874"/>
    <cellStyle name="備註 3 2 2 2 3 2 3" xfId="9875"/>
    <cellStyle name="備註 3 2 2 2 3 2_包裝指示書(裏)" xfId="9876"/>
    <cellStyle name="備註 3 2 2 2 3 3" xfId="9877"/>
    <cellStyle name="備註 3 2 2 2 3 3 2" xfId="9878"/>
    <cellStyle name="備註 3 2 2 2 3 4" xfId="9879"/>
    <cellStyle name="備註 3 2 2 2 3 4 2" xfId="9880"/>
    <cellStyle name="備註 3 2 2 2 3 5" xfId="9881"/>
    <cellStyle name="備註 3 2 2 2 3_包裝指示書(裏)" xfId="9882"/>
    <cellStyle name="備註 3 2 2 2 4" xfId="9883"/>
    <cellStyle name="備註 3 2 2 2 4 2" xfId="9884"/>
    <cellStyle name="備註 3 2 2 2 5" xfId="9885"/>
    <cellStyle name="備註 3 2 2 2 5 2" xfId="9886"/>
    <cellStyle name="備註 3 2 2 2 6" xfId="9887"/>
    <cellStyle name="備註 3 2 2 2 6 2" xfId="9888"/>
    <cellStyle name="備註 3 2 2 2 7" xfId="9889"/>
    <cellStyle name="備註 3 2 2 2_包裝指示書(裏)" xfId="9890"/>
    <cellStyle name="備註 3 2 2 3" xfId="9891"/>
    <cellStyle name="備註 3 2 2 3 2" xfId="9892"/>
    <cellStyle name="備註 3 2 2 3 2 2" xfId="9893"/>
    <cellStyle name="備註 3 2 2 3 2 2 2" xfId="9894"/>
    <cellStyle name="備註 3 2 2 3 2 3" xfId="9895"/>
    <cellStyle name="備註 3 2 2 3 2 3 2" xfId="9896"/>
    <cellStyle name="備註 3 2 2 3 2 4" xfId="9897"/>
    <cellStyle name="備註 3 2 2 3 2_包裝指示書(裏)" xfId="9898"/>
    <cellStyle name="備註 3 2 2 3 3" xfId="9899"/>
    <cellStyle name="備註 3 2 2 3 3 2" xfId="9900"/>
    <cellStyle name="備註 3 2 2 3 4" xfId="9901"/>
    <cellStyle name="備註 3 2 2 3 4 2" xfId="9902"/>
    <cellStyle name="備註 3 2 2 3 5" xfId="9903"/>
    <cellStyle name="備註 3 2 2 3_包裝指示書(裏)" xfId="9904"/>
    <cellStyle name="備註 3 2 2 4" xfId="9905"/>
    <cellStyle name="備註 3 2 2 4 2" xfId="9906"/>
    <cellStyle name="備註 3 2 2 4 2 2" xfId="9907"/>
    <cellStyle name="備註 3 2 2 4 2 2 2" xfId="9908"/>
    <cellStyle name="備註 3 2 2 4 2 3" xfId="9909"/>
    <cellStyle name="備註 3 2 2 4 2 3 2" xfId="9910"/>
    <cellStyle name="備註 3 2 2 4 2 4" xfId="9911"/>
    <cellStyle name="備註 3 2 2 4 2_包裝指示書(裏)" xfId="9912"/>
    <cellStyle name="備註 3 2 2 4 3" xfId="9913"/>
    <cellStyle name="備註 3 2 2 4 3 2" xfId="9914"/>
    <cellStyle name="備註 3 2 2 4 4" xfId="9915"/>
    <cellStyle name="備註 3 2 2 4 4 2" xfId="9916"/>
    <cellStyle name="備註 3 2 2 4 5" xfId="9917"/>
    <cellStyle name="備註 3 2 2 4_包裝指示書(裏)" xfId="9918"/>
    <cellStyle name="備註 3 2 2 5" xfId="9919"/>
    <cellStyle name="備註 3 2 2 5 2" xfId="9920"/>
    <cellStyle name="備註 3 2 2 5 2 2" xfId="9921"/>
    <cellStyle name="備註 3 2 2 5 2 2 2" xfId="9922"/>
    <cellStyle name="備註 3 2 2 5 2 3" xfId="9923"/>
    <cellStyle name="備註 3 2 2 5 2 3 2" xfId="9924"/>
    <cellStyle name="備註 3 2 2 5 2 4" xfId="9925"/>
    <cellStyle name="備註 3 2 2 5 2_包裝指示書(裏)" xfId="9926"/>
    <cellStyle name="備註 3 2 2 5 3" xfId="9927"/>
    <cellStyle name="備註 3 2 2 5 3 2" xfId="9928"/>
    <cellStyle name="備註 3 2 2 5 4" xfId="9929"/>
    <cellStyle name="備註 3 2 2 5 4 2" xfId="9930"/>
    <cellStyle name="備註 3 2 2 5 5" xfId="9931"/>
    <cellStyle name="備註 3 2 2 5_包裝指示書(裏)" xfId="9932"/>
    <cellStyle name="備註 3 2 2 6" xfId="9933"/>
    <cellStyle name="備註 3 2 2 6 2" xfId="9934"/>
    <cellStyle name="備註 3 2 2 6 2 2" xfId="9935"/>
    <cellStyle name="備註 3 2 2 6 2 2 2" xfId="9936"/>
    <cellStyle name="備註 3 2 2 6 2 3" xfId="9937"/>
    <cellStyle name="備註 3 2 2 6 2 3 2" xfId="9938"/>
    <cellStyle name="備註 3 2 2 6 2 4" xfId="9939"/>
    <cellStyle name="備註 3 2 2 6 2_包裝指示書(裏)" xfId="9940"/>
    <cellStyle name="備註 3 2 2 6 3" xfId="9941"/>
    <cellStyle name="備註 3 2 2 6 3 2" xfId="9942"/>
    <cellStyle name="備註 3 2 2 6 4" xfId="9943"/>
    <cellStyle name="備註 3 2 2 6 4 2" xfId="9944"/>
    <cellStyle name="備註 3 2 2 6 5" xfId="9945"/>
    <cellStyle name="備註 3 2 2 6_包裝指示書(裏)" xfId="9946"/>
    <cellStyle name="備註 3 2 2 7" xfId="9947"/>
    <cellStyle name="備註 3 2 2 7 2" xfId="9948"/>
    <cellStyle name="備註 3 2 2 7 2 2" xfId="9949"/>
    <cellStyle name="備註 3 2 2 7 3" xfId="9950"/>
    <cellStyle name="備註 3 2 2 7 3 2" xfId="9951"/>
    <cellStyle name="備註 3 2 2 7 4" xfId="9952"/>
    <cellStyle name="備註 3 2 2 7_包裝指示書(裏)" xfId="9953"/>
    <cellStyle name="備註 3 2 2 8" xfId="9954"/>
    <cellStyle name="備註 3 2 2 8 2" xfId="9955"/>
    <cellStyle name="備註 3 2 2 9" xfId="9956"/>
    <cellStyle name="備註 3 2 2_包裝指示書(裏)" xfId="9957"/>
    <cellStyle name="備註 3 2 3" xfId="9958"/>
    <cellStyle name="備註 3 2 3 2" xfId="9959"/>
    <cellStyle name="備註 3 2 3 2 2" xfId="9960"/>
    <cellStyle name="備註 3 2 3 2 2 2" xfId="9961"/>
    <cellStyle name="備註 3 2 3 2 2 2 2" xfId="9962"/>
    <cellStyle name="備註 3 2 3 2 2 3" xfId="9963"/>
    <cellStyle name="備註 3 2 3 2 2_包裝指示書(裏)" xfId="9964"/>
    <cellStyle name="備註 3 2 3 2 3" xfId="9965"/>
    <cellStyle name="備註 3 2 3 2 3 2" xfId="9966"/>
    <cellStyle name="備註 3 2 3 2 4" xfId="9967"/>
    <cellStyle name="備註 3 2 3 2 4 2" xfId="9968"/>
    <cellStyle name="備註 3 2 3 2 5" xfId="9969"/>
    <cellStyle name="備註 3 2 3 2_包裝指示書(裏)" xfId="9970"/>
    <cellStyle name="備註 3 2 3 3" xfId="9971"/>
    <cellStyle name="備註 3 2 3 3 2" xfId="9972"/>
    <cellStyle name="備註 3 2 3 4" xfId="9973"/>
    <cellStyle name="備註 3 2 3 4 2" xfId="9974"/>
    <cellStyle name="備註 3 2 3 5" xfId="9975"/>
    <cellStyle name="備註 3 2 3 5 2" xfId="9976"/>
    <cellStyle name="備註 3 2 3 6" xfId="9977"/>
    <cellStyle name="備註 3 2 3_包裝指示書(裏)" xfId="9978"/>
    <cellStyle name="備註 3 2 4" xfId="9979"/>
    <cellStyle name="備註 3 2 4 2" xfId="9980"/>
    <cellStyle name="備註 3 2 4 2 2" xfId="9981"/>
    <cellStyle name="備註 3 2 4 2 2 2" xfId="9982"/>
    <cellStyle name="備註 3 2 4 2 3" xfId="9983"/>
    <cellStyle name="備註 3 2 4 2 3 2" xfId="9984"/>
    <cellStyle name="備註 3 2 4 2 4" xfId="9985"/>
    <cellStyle name="備註 3 2 4 2_包裝指示書(裏)" xfId="9986"/>
    <cellStyle name="備註 3 2 4 3" xfId="9987"/>
    <cellStyle name="備註 3 2 4 3 2" xfId="9988"/>
    <cellStyle name="備註 3 2 4 4" xfId="9989"/>
    <cellStyle name="備註 3 2 4 4 2" xfId="9990"/>
    <cellStyle name="備註 3 2 4 5" xfId="9991"/>
    <cellStyle name="備註 3 2 4_包裝指示書(裏)" xfId="9992"/>
    <cellStyle name="備註 3 2 5" xfId="9993"/>
    <cellStyle name="備註 3 2 5 2" xfId="9994"/>
    <cellStyle name="備註 3 2 5 2 2" xfId="9995"/>
    <cellStyle name="備註 3 2 5 2 2 2" xfId="9996"/>
    <cellStyle name="備註 3 2 5 2 3" xfId="9997"/>
    <cellStyle name="備註 3 2 5 2 3 2" xfId="9998"/>
    <cellStyle name="備註 3 2 5 2 4" xfId="9999"/>
    <cellStyle name="備註 3 2 5 2_包裝指示書(裏)" xfId="10000"/>
    <cellStyle name="備註 3 2 5 3" xfId="10001"/>
    <cellStyle name="備註 3 2 5 3 2" xfId="10002"/>
    <cellStyle name="備註 3 2 5 4" xfId="10003"/>
    <cellStyle name="備註 3 2 5 4 2" xfId="10004"/>
    <cellStyle name="備註 3 2 5 5" xfId="10005"/>
    <cellStyle name="備註 3 2 5_包裝指示書(裏)" xfId="10006"/>
    <cellStyle name="備註 3 2 6" xfId="10007"/>
    <cellStyle name="備註 3 2 6 2" xfId="10008"/>
    <cellStyle name="備註 3 2 6 2 2" xfId="10009"/>
    <cellStyle name="備註 3 2 6 2 2 2" xfId="10010"/>
    <cellStyle name="備註 3 2 6 2 3" xfId="10011"/>
    <cellStyle name="備註 3 2 6 2 3 2" xfId="10012"/>
    <cellStyle name="備註 3 2 6 2 4" xfId="10013"/>
    <cellStyle name="備註 3 2 6 2_包裝指示書(裏)" xfId="10014"/>
    <cellStyle name="備註 3 2 6 3" xfId="10015"/>
    <cellStyle name="備註 3 2 6 3 2" xfId="10016"/>
    <cellStyle name="備註 3 2 6 4" xfId="10017"/>
    <cellStyle name="備註 3 2 6 4 2" xfId="10018"/>
    <cellStyle name="備註 3 2 6 5" xfId="10019"/>
    <cellStyle name="備註 3 2 6_包裝指示書(裏)" xfId="10020"/>
    <cellStyle name="備註 3 2 7" xfId="10021"/>
    <cellStyle name="備註 3 2 7 2" xfId="10022"/>
    <cellStyle name="備註 3 2 7 2 2" xfId="10023"/>
    <cellStyle name="備註 3 2 7 2 2 2" xfId="10024"/>
    <cellStyle name="備註 3 2 7 2 3" xfId="10025"/>
    <cellStyle name="備註 3 2 7 2 3 2" xfId="10026"/>
    <cellStyle name="備註 3 2 7 2 4" xfId="10027"/>
    <cellStyle name="備註 3 2 7 2_包裝指示書(裏)" xfId="10028"/>
    <cellStyle name="備註 3 2 7 3" xfId="10029"/>
    <cellStyle name="備註 3 2 7 3 2" xfId="10030"/>
    <cellStyle name="備註 3 2 7 4" xfId="10031"/>
    <cellStyle name="備註 3 2 7 4 2" xfId="10032"/>
    <cellStyle name="備註 3 2 7 5" xfId="10033"/>
    <cellStyle name="備註 3 2 7_包裝指示書(裏)" xfId="10034"/>
    <cellStyle name="備註 3 2 8" xfId="10035"/>
    <cellStyle name="備註 3 2 8 2" xfId="10036"/>
    <cellStyle name="備註 3 2 8 2 2" xfId="10037"/>
    <cellStyle name="備註 3 2 8 3" xfId="10038"/>
    <cellStyle name="備註 3 2 8 3 2" xfId="10039"/>
    <cellStyle name="備註 3 2 8 4" xfId="10040"/>
    <cellStyle name="備註 3 2 8_包裝指示書(裏)" xfId="10041"/>
    <cellStyle name="備註 3 2 9" xfId="10042"/>
    <cellStyle name="備註 3 2 9 2" xfId="10043"/>
    <cellStyle name="備註 3 2_包裝指示書(裏)" xfId="10044"/>
    <cellStyle name="備註 3 3" xfId="10045"/>
    <cellStyle name="備註 3 3 2" xfId="10046"/>
    <cellStyle name="備註 3 3 2 2" xfId="10047"/>
    <cellStyle name="備註 3 3 2 2 2" xfId="10048"/>
    <cellStyle name="備註 3 3 2 2 2 2" xfId="10049"/>
    <cellStyle name="備註 3 3 2 2 2 2 2" xfId="10050"/>
    <cellStyle name="備註 3 3 2 2 2 2 2 2" xfId="10051"/>
    <cellStyle name="備註 3 3 2 2 2 2 3" xfId="10052"/>
    <cellStyle name="備註 3 3 2 2 2 2_包裝指示書(裏)" xfId="10053"/>
    <cellStyle name="備註 3 3 2 2 2 3" xfId="10054"/>
    <cellStyle name="備註 3 3 2 2 2 3 2" xfId="10055"/>
    <cellStyle name="備註 3 3 2 2 2 4" xfId="10056"/>
    <cellStyle name="備註 3 3 2 2 2 4 2" xfId="10057"/>
    <cellStyle name="備註 3 3 2 2 2 5" xfId="10058"/>
    <cellStyle name="備註 3 3 2 2 2_包裝指示書(裏)" xfId="10059"/>
    <cellStyle name="備註 3 3 2 2 3" xfId="10060"/>
    <cellStyle name="備註 3 3 2 2 3 2" xfId="10061"/>
    <cellStyle name="備註 3 3 2 2 4" xfId="10062"/>
    <cellStyle name="備註 3 3 2 2 4 2" xfId="10063"/>
    <cellStyle name="備註 3 3 2 2 5" xfId="10064"/>
    <cellStyle name="備註 3 3 2 2 5 2" xfId="10065"/>
    <cellStyle name="備註 3 3 2 2 6" xfId="10066"/>
    <cellStyle name="備註 3 3 2 2_包裝指示書(裏)" xfId="10067"/>
    <cellStyle name="備註 3 3 2 3" xfId="10068"/>
    <cellStyle name="備註 3 3 2 3 2" xfId="10069"/>
    <cellStyle name="備註 3 3 2 3 2 2" xfId="10070"/>
    <cellStyle name="備註 3 3 2 3 2 2 2" xfId="10071"/>
    <cellStyle name="備註 3 3 2 3 2 3" xfId="10072"/>
    <cellStyle name="備註 3 3 2 3 2_包裝指示書(裏)" xfId="10073"/>
    <cellStyle name="備註 3 3 2 3 3" xfId="10074"/>
    <cellStyle name="備註 3 3 2 3 3 2" xfId="10075"/>
    <cellStyle name="備註 3 3 2 3 4" xfId="10076"/>
    <cellStyle name="備註 3 3 2 3 4 2" xfId="10077"/>
    <cellStyle name="備註 3 3 2 3 5" xfId="10078"/>
    <cellStyle name="備註 3 3 2 3_包裝指示書(裏)" xfId="10079"/>
    <cellStyle name="備註 3 3 2 4" xfId="10080"/>
    <cellStyle name="備註 3 3 2 4 2" xfId="10081"/>
    <cellStyle name="備註 3 3 2 5" xfId="10082"/>
    <cellStyle name="備註 3 3 2 5 2" xfId="10083"/>
    <cellStyle name="備註 3 3 2 6" xfId="10084"/>
    <cellStyle name="備註 3 3 2 6 2" xfId="10085"/>
    <cellStyle name="備註 3 3 2 7" xfId="10086"/>
    <cellStyle name="備註 3 3 2_包裝指示書(裏)" xfId="10087"/>
    <cellStyle name="備註 3 3 3" xfId="10088"/>
    <cellStyle name="備註 3 3 3 2" xfId="10089"/>
    <cellStyle name="備註 3 3 3 2 2" xfId="10090"/>
    <cellStyle name="備註 3 3 3 2 2 2" xfId="10091"/>
    <cellStyle name="備註 3 3 3 2 3" xfId="10092"/>
    <cellStyle name="備註 3 3 3 2_包裝指示書(裏)" xfId="10093"/>
    <cellStyle name="備註 3 3 3 3" xfId="10094"/>
    <cellStyle name="備註 3 3 3 3 2" xfId="10095"/>
    <cellStyle name="備註 3 3 3 4" xfId="10096"/>
    <cellStyle name="備註 3 3 3 4 2" xfId="10097"/>
    <cellStyle name="備註 3 3 3 5" xfId="10098"/>
    <cellStyle name="備註 3 3 3_包裝指示書(裏)" xfId="10099"/>
    <cellStyle name="備註 3 3 4" xfId="10100"/>
    <cellStyle name="備註 3 3 4 2" xfId="10101"/>
    <cellStyle name="備註 3 3 5" xfId="10102"/>
    <cellStyle name="備註 3 3 5 2" xfId="10103"/>
    <cellStyle name="備註 3 3 6" xfId="10104"/>
    <cellStyle name="備註 3 3 6 2" xfId="10105"/>
    <cellStyle name="備註 3 3 7" xfId="10106"/>
    <cellStyle name="備註 3 3_包裝指示書(裏)" xfId="10107"/>
    <cellStyle name="備註 3 4" xfId="10108"/>
    <cellStyle name="備註 3 4 2" xfId="10109"/>
    <cellStyle name="備註 3 4 2 2" xfId="10110"/>
    <cellStyle name="備註 3 4 2 2 2" xfId="10111"/>
    <cellStyle name="備註 3 4 2 2 2 2" xfId="10112"/>
    <cellStyle name="備註 3 4 2 2 3" xfId="10113"/>
    <cellStyle name="備註 3 4 2 2_包裝指示書(裏)" xfId="10114"/>
    <cellStyle name="備註 3 4 2 3" xfId="10115"/>
    <cellStyle name="備註 3 4 2 3 2" xfId="10116"/>
    <cellStyle name="備註 3 4 2 4" xfId="10117"/>
    <cellStyle name="備註 3 4 2 4 2" xfId="10118"/>
    <cellStyle name="備註 3 4 2 5" xfId="10119"/>
    <cellStyle name="備註 3 4 2_包裝指示書(裏)" xfId="10120"/>
    <cellStyle name="備註 3 4 3" xfId="10121"/>
    <cellStyle name="備註 3 4 3 2" xfId="10122"/>
    <cellStyle name="備註 3 4 4" xfId="10123"/>
    <cellStyle name="備註 3 4 4 2" xfId="10124"/>
    <cellStyle name="備註 3 4 5" xfId="10125"/>
    <cellStyle name="備註 3 4 5 2" xfId="10126"/>
    <cellStyle name="備註 3 4 6" xfId="10127"/>
    <cellStyle name="備註 3 4_包裝指示書(裏)" xfId="10128"/>
    <cellStyle name="備註 3 5" xfId="10129"/>
    <cellStyle name="備註 3 5 2" xfId="10130"/>
    <cellStyle name="備註 3 5 2 2" xfId="10131"/>
    <cellStyle name="備註 3 5 2 2 2" xfId="10132"/>
    <cellStyle name="備註 3 5 2 3" xfId="10133"/>
    <cellStyle name="備註 3 5 2_包裝指示書(裏)" xfId="10134"/>
    <cellStyle name="備註 3 5 3" xfId="10135"/>
    <cellStyle name="備註 3 5 3 2" xfId="10136"/>
    <cellStyle name="備註 3 5 4" xfId="10137"/>
    <cellStyle name="備註 3 5 4 2" xfId="10138"/>
    <cellStyle name="備註 3 5 5" xfId="10139"/>
    <cellStyle name="備註 3 5_包裝指示書(裏)" xfId="10140"/>
    <cellStyle name="備註 3 6" xfId="10141"/>
    <cellStyle name="備註 3 6 2" xfId="10142"/>
    <cellStyle name="備註 3 6 2 2" xfId="10143"/>
    <cellStyle name="備註 3 6 2 2 2" xfId="10144"/>
    <cellStyle name="備註 3 6 2 3" xfId="10145"/>
    <cellStyle name="備註 3 6 2 3 2" xfId="10146"/>
    <cellStyle name="備註 3 6 2 4" xfId="10147"/>
    <cellStyle name="備註 3 6 2_包裝指示書(裏)" xfId="10148"/>
    <cellStyle name="備註 3 6 3" xfId="10149"/>
    <cellStyle name="備註 3 6 3 2" xfId="10150"/>
    <cellStyle name="備註 3 6 4" xfId="10151"/>
    <cellStyle name="備註 3 6 4 2" xfId="10152"/>
    <cellStyle name="備註 3 6 5" xfId="10153"/>
    <cellStyle name="備註 3 6_包裝指示書(裏)" xfId="10154"/>
    <cellStyle name="備註 3 7" xfId="10155"/>
    <cellStyle name="備註 3 7 2" xfId="10156"/>
    <cellStyle name="備註 3 7 2 2" xfId="10157"/>
    <cellStyle name="備註 3 7 2 2 2" xfId="10158"/>
    <cellStyle name="備註 3 7 2 3" xfId="10159"/>
    <cellStyle name="備註 3 7 2 3 2" xfId="10160"/>
    <cellStyle name="備註 3 7 2 4" xfId="10161"/>
    <cellStyle name="備註 3 7 2_包裝指示書(裏)" xfId="10162"/>
    <cellStyle name="備註 3 7 3" xfId="10163"/>
    <cellStyle name="備註 3 7 3 2" xfId="10164"/>
    <cellStyle name="備註 3 7 4" xfId="10165"/>
    <cellStyle name="備註 3 7 4 2" xfId="10166"/>
    <cellStyle name="備註 3 7 5" xfId="10167"/>
    <cellStyle name="備註 3 7_包裝指示書(裏)" xfId="10168"/>
    <cellStyle name="備註 3 8" xfId="10169"/>
    <cellStyle name="備註 3 8 2" xfId="10170"/>
    <cellStyle name="備註 3 8 2 2" xfId="10171"/>
    <cellStyle name="備註 3 8 2 2 2" xfId="10172"/>
    <cellStyle name="備註 3 8 2 3" xfId="10173"/>
    <cellStyle name="備註 3 8 2 3 2" xfId="10174"/>
    <cellStyle name="備註 3 8 2 4" xfId="10175"/>
    <cellStyle name="備註 3 8 2_包裝指示書(裏)" xfId="10176"/>
    <cellStyle name="備註 3 8 3" xfId="10177"/>
    <cellStyle name="備註 3 8 3 2" xfId="10178"/>
    <cellStyle name="備註 3 8 4" xfId="10179"/>
    <cellStyle name="備註 3 8 4 2" xfId="10180"/>
    <cellStyle name="備註 3 8 5" xfId="10181"/>
    <cellStyle name="備註 3 8_包裝指示書(裏)" xfId="10182"/>
    <cellStyle name="備註 3 9" xfId="10183"/>
    <cellStyle name="備註 3 9 2" xfId="10184"/>
    <cellStyle name="備註 3 9 2 2" xfId="10185"/>
    <cellStyle name="備註 3 9 3" xfId="10186"/>
    <cellStyle name="備註 3 9 3 2" xfId="10187"/>
    <cellStyle name="備註 3 9 4" xfId="10188"/>
    <cellStyle name="備註 3 9_包裝指示書(裏)" xfId="10189"/>
    <cellStyle name="備註 3_包裝指示書(裏)" xfId="10190"/>
    <cellStyle name="說明文字 2" xfId="623"/>
    <cellStyle name="說明文字 3" xfId="624"/>
    <cellStyle name="輔色1 2" xfId="625"/>
    <cellStyle name="輔色1 3" xfId="626"/>
    <cellStyle name="輔色2 2" xfId="627"/>
    <cellStyle name="輔色2 3" xfId="628"/>
    <cellStyle name="輔色3 2" xfId="629"/>
    <cellStyle name="輔色3 3" xfId="630"/>
    <cellStyle name="輔色4 2" xfId="631"/>
    <cellStyle name="輔色4 3" xfId="632"/>
    <cellStyle name="輔色5 2" xfId="633"/>
    <cellStyle name="輔色5 3" xfId="634"/>
    <cellStyle name="輔色6 2" xfId="635"/>
    <cellStyle name="輔色6 3" xfId="636"/>
    <cellStyle name="標準_040129Dessert_material" xfId="10191"/>
    <cellStyle name="標題 1 2" xfId="637"/>
    <cellStyle name="標題 1 3" xfId="638"/>
    <cellStyle name="標題 2 2" xfId="639"/>
    <cellStyle name="標題 2 3" xfId="640"/>
    <cellStyle name="標題 3 2" xfId="641"/>
    <cellStyle name="標題 3 2 2" xfId="10192"/>
    <cellStyle name="標題 3 2 3" xfId="10193"/>
    <cellStyle name="標題 3 2_包裝指示書(裏)" xfId="10194"/>
    <cellStyle name="標題 3 3" xfId="642"/>
    <cellStyle name="標題 3 3 2" xfId="10195"/>
    <cellStyle name="標題 3 3 3" xfId="10196"/>
    <cellStyle name="標題 3 3_包裝指示書(裏)" xfId="10197"/>
    <cellStyle name="標題 4 2" xfId="643"/>
    <cellStyle name="標題 4 3" xfId="644"/>
    <cellStyle name="標題 5" xfId="645"/>
    <cellStyle name="標題 6" xfId="646"/>
    <cellStyle name="輸入 2" xfId="647"/>
    <cellStyle name="輸入 2 10" xfId="10198"/>
    <cellStyle name="輸入 2 11" xfId="10199"/>
    <cellStyle name="輸入 2 2" xfId="10200"/>
    <cellStyle name="輸入 2 2 2" xfId="10201"/>
    <cellStyle name="輸入 2 2 2 2" xfId="10202"/>
    <cellStyle name="輸入 2 2 2 2 2" xfId="10203"/>
    <cellStyle name="輸入 2 2 2 2 2 2" xfId="10204"/>
    <cellStyle name="輸入 2 2 2 2 2 2 2" xfId="10205"/>
    <cellStyle name="輸入 2 2 2 2 2 2 2 2" xfId="10206"/>
    <cellStyle name="輸入 2 2 2 2 2 2 3" xfId="10207"/>
    <cellStyle name="輸入 2 2 2 2 2 2_包裝指示書(裏)" xfId="10208"/>
    <cellStyle name="輸入 2 2 2 2 2 3" xfId="10209"/>
    <cellStyle name="輸入 2 2 2 2 2 3 2" xfId="10210"/>
    <cellStyle name="輸入 2 2 2 2 2 4" xfId="10211"/>
    <cellStyle name="輸入 2 2 2 2 2 4 2" xfId="10212"/>
    <cellStyle name="輸入 2 2 2 2 2 5" xfId="10213"/>
    <cellStyle name="輸入 2 2 2 2 2_包裝指示書(裏)" xfId="10214"/>
    <cellStyle name="輸入 2 2 2 2 3" xfId="10215"/>
    <cellStyle name="輸入 2 2 2 2 3 2" xfId="10216"/>
    <cellStyle name="輸入 2 2 2 2 4" xfId="10217"/>
    <cellStyle name="輸入 2 2 2 2 4 2" xfId="10218"/>
    <cellStyle name="輸入 2 2 2 2 5" xfId="10219"/>
    <cellStyle name="輸入 2 2 2 2 5 2" xfId="10220"/>
    <cellStyle name="輸入 2 2 2 2 6" xfId="10221"/>
    <cellStyle name="輸入 2 2 2 2_包裝指示書(裏)" xfId="10222"/>
    <cellStyle name="輸入 2 2 2 3" xfId="10223"/>
    <cellStyle name="輸入 2 2 2 3 2" xfId="10224"/>
    <cellStyle name="輸入 2 2 2 3 2 2" xfId="10225"/>
    <cellStyle name="輸入 2 2 2 3 2 2 2" xfId="10226"/>
    <cellStyle name="輸入 2 2 2 3 2 3" xfId="10227"/>
    <cellStyle name="輸入 2 2 2 3 2_包裝指示書(裏)" xfId="10228"/>
    <cellStyle name="輸入 2 2 2 3 3" xfId="10229"/>
    <cellStyle name="輸入 2 2 2 3 3 2" xfId="10230"/>
    <cellStyle name="輸入 2 2 2 3 4" xfId="10231"/>
    <cellStyle name="輸入 2 2 2 3 4 2" xfId="10232"/>
    <cellStyle name="輸入 2 2 2 3 5" xfId="10233"/>
    <cellStyle name="輸入 2 2 2 3_包裝指示書(裏)" xfId="10234"/>
    <cellStyle name="輸入 2 2 2 4" xfId="10235"/>
    <cellStyle name="輸入 2 2 2 4 2" xfId="10236"/>
    <cellStyle name="輸入 2 2 2 5" xfId="10237"/>
    <cellStyle name="輸入 2 2 2 5 2" xfId="10238"/>
    <cellStyle name="輸入 2 2 2 6" xfId="10239"/>
    <cellStyle name="輸入 2 2 2 6 2" xfId="10240"/>
    <cellStyle name="輸入 2 2 2 7" xfId="10241"/>
    <cellStyle name="輸入 2 2 2_包裝指示書(裏)" xfId="10242"/>
    <cellStyle name="輸入 2 2 3" xfId="10243"/>
    <cellStyle name="輸入 2 2 3 2" xfId="10244"/>
    <cellStyle name="輸入 2 2 3 2 2" xfId="10245"/>
    <cellStyle name="輸入 2 2 3 2 2 2" xfId="10246"/>
    <cellStyle name="輸入 2 2 3 2 3" xfId="10247"/>
    <cellStyle name="輸入 2 2 3 2_包裝指示書(裏)" xfId="10248"/>
    <cellStyle name="輸入 2 2 3 3" xfId="10249"/>
    <cellStyle name="輸入 2 2 3 3 2" xfId="10250"/>
    <cellStyle name="輸入 2 2 3 4" xfId="10251"/>
    <cellStyle name="輸入 2 2 3 4 2" xfId="10252"/>
    <cellStyle name="輸入 2 2 3 5" xfId="10253"/>
    <cellStyle name="輸入 2 2 3_包裝指示書(裏)" xfId="10254"/>
    <cellStyle name="輸入 2 2 4" xfId="10255"/>
    <cellStyle name="輸入 2 2 4 2" xfId="10256"/>
    <cellStyle name="輸入 2 2 5" xfId="10257"/>
    <cellStyle name="輸入 2 2 5 2" xfId="10258"/>
    <cellStyle name="輸入 2 2 6" xfId="10259"/>
    <cellStyle name="輸入 2 2 6 2" xfId="10260"/>
    <cellStyle name="輸入 2 2 7" xfId="10261"/>
    <cellStyle name="輸入 2 2_包裝指示書(裏)" xfId="10262"/>
    <cellStyle name="輸入 2 3" xfId="10263"/>
    <cellStyle name="輸入 2 3 2" xfId="10264"/>
    <cellStyle name="輸入 2 3 2 2" xfId="10265"/>
    <cellStyle name="輸入 2 3 2 2 2" xfId="10266"/>
    <cellStyle name="輸入 2 3 2 2 2 2" xfId="10267"/>
    <cellStyle name="輸入 2 3 2 2 3" xfId="10268"/>
    <cellStyle name="輸入 2 3 2 2_包裝指示書(裏)" xfId="10269"/>
    <cellStyle name="輸入 2 3 2 3" xfId="10270"/>
    <cellStyle name="輸入 2 3 2 3 2" xfId="10271"/>
    <cellStyle name="輸入 2 3 2 4" xfId="10272"/>
    <cellStyle name="輸入 2 3 2 4 2" xfId="10273"/>
    <cellStyle name="輸入 2 3 2 5" xfId="10274"/>
    <cellStyle name="輸入 2 3 2_包裝指示書(裏)" xfId="10275"/>
    <cellStyle name="輸入 2 3 3" xfId="10276"/>
    <cellStyle name="輸入 2 3 3 2" xfId="10277"/>
    <cellStyle name="輸入 2 3 4" xfId="10278"/>
    <cellStyle name="輸入 2 3 4 2" xfId="10279"/>
    <cellStyle name="輸入 2 3 5" xfId="10280"/>
    <cellStyle name="輸入 2 3 5 2" xfId="10281"/>
    <cellStyle name="輸入 2 3 6" xfId="10282"/>
    <cellStyle name="輸入 2 3_包裝指示書(裏)" xfId="10283"/>
    <cellStyle name="輸入 2 4" xfId="10284"/>
    <cellStyle name="輸入 2 4 2" xfId="10285"/>
    <cellStyle name="輸入 2 4 2 2" xfId="10286"/>
    <cellStyle name="輸入 2 4 2 2 2" xfId="10287"/>
    <cellStyle name="輸入 2 4 2 3" xfId="10288"/>
    <cellStyle name="輸入 2 4 2_包裝指示書(裏)" xfId="10289"/>
    <cellStyle name="輸入 2 4 3" xfId="10290"/>
    <cellStyle name="輸入 2 4 3 2" xfId="10291"/>
    <cellStyle name="輸入 2 4 4" xfId="10292"/>
    <cellStyle name="輸入 2 4 4 2" xfId="10293"/>
    <cellStyle name="輸入 2 4 5" xfId="10294"/>
    <cellStyle name="輸入 2 4_包裝指示書(裏)" xfId="10295"/>
    <cellStyle name="輸入 2 5" xfId="10296"/>
    <cellStyle name="輸入 2 5 2" xfId="10297"/>
    <cellStyle name="輸入 2 5 2 2" xfId="10298"/>
    <cellStyle name="輸入 2 5 2 2 2" xfId="10299"/>
    <cellStyle name="輸入 2 5 2 3" xfId="10300"/>
    <cellStyle name="輸入 2 5 2 3 2" xfId="10301"/>
    <cellStyle name="輸入 2 5 2 4" xfId="10302"/>
    <cellStyle name="輸入 2 5 2_包裝指示書(裏)" xfId="10303"/>
    <cellStyle name="輸入 2 5 3" xfId="10304"/>
    <cellStyle name="輸入 2 5 3 2" xfId="10305"/>
    <cellStyle name="輸入 2 5 4" xfId="10306"/>
    <cellStyle name="輸入 2 5 4 2" xfId="10307"/>
    <cellStyle name="輸入 2 5 5" xfId="10308"/>
    <cellStyle name="輸入 2 5_包裝指示書(裏)" xfId="10309"/>
    <cellStyle name="輸入 2 6" xfId="10310"/>
    <cellStyle name="輸入 2 6 2" xfId="10311"/>
    <cellStyle name="輸入 2 6 2 2" xfId="10312"/>
    <cellStyle name="輸入 2 6 2 2 2" xfId="10313"/>
    <cellStyle name="輸入 2 6 2 3" xfId="10314"/>
    <cellStyle name="輸入 2 6 2 3 2" xfId="10315"/>
    <cellStyle name="輸入 2 6 2 4" xfId="10316"/>
    <cellStyle name="輸入 2 6 2_包裝指示書(裏)" xfId="10317"/>
    <cellStyle name="輸入 2 6 3" xfId="10318"/>
    <cellStyle name="輸入 2 6 3 2" xfId="10319"/>
    <cellStyle name="輸入 2 6 4" xfId="10320"/>
    <cellStyle name="輸入 2 6 4 2" xfId="10321"/>
    <cellStyle name="輸入 2 6 5" xfId="10322"/>
    <cellStyle name="輸入 2 6_包裝指示書(裏)" xfId="10323"/>
    <cellStyle name="輸入 2 7" xfId="10324"/>
    <cellStyle name="輸入 2 7 2" xfId="10325"/>
    <cellStyle name="輸入 2 7 2 2" xfId="10326"/>
    <cellStyle name="輸入 2 7 2 2 2" xfId="10327"/>
    <cellStyle name="輸入 2 7 2 3" xfId="10328"/>
    <cellStyle name="輸入 2 7 2 3 2" xfId="10329"/>
    <cellStyle name="輸入 2 7 2 4" xfId="10330"/>
    <cellStyle name="輸入 2 7 2_包裝指示書(裏)" xfId="10331"/>
    <cellStyle name="輸入 2 7 3" xfId="10332"/>
    <cellStyle name="輸入 2 7 3 2" xfId="10333"/>
    <cellStyle name="輸入 2 7 4" xfId="10334"/>
    <cellStyle name="輸入 2 7 4 2" xfId="10335"/>
    <cellStyle name="輸入 2 7 5" xfId="10336"/>
    <cellStyle name="輸入 2 7_包裝指示書(裏)" xfId="10337"/>
    <cellStyle name="輸入 2 8" xfId="10338"/>
    <cellStyle name="輸入 2 8 2" xfId="10339"/>
    <cellStyle name="輸入 2 8 2 2" xfId="10340"/>
    <cellStyle name="輸入 2 8 3" xfId="10341"/>
    <cellStyle name="輸入 2 8 3 2" xfId="10342"/>
    <cellStyle name="輸入 2 8 4" xfId="10343"/>
    <cellStyle name="輸入 2 8_包裝指示書(裏)" xfId="10344"/>
    <cellStyle name="輸入 2 9" xfId="10345"/>
    <cellStyle name="輸入 2 9 2" xfId="10346"/>
    <cellStyle name="輸入 2_包裝指示書(裏)" xfId="10347"/>
    <cellStyle name="輸入 3" xfId="648"/>
    <cellStyle name="輸入 3 10" xfId="10348"/>
    <cellStyle name="輸入 3 11" xfId="10349"/>
    <cellStyle name="輸入 3 2" xfId="10350"/>
    <cellStyle name="輸入 3 2 2" xfId="10351"/>
    <cellStyle name="輸入 3 2 2 2" xfId="10352"/>
    <cellStyle name="輸入 3 2 2 2 2" xfId="10353"/>
    <cellStyle name="輸入 3 2 2 2 2 2" xfId="10354"/>
    <cellStyle name="輸入 3 2 2 2 2 2 2" xfId="10355"/>
    <cellStyle name="輸入 3 2 2 2 2 2 2 2" xfId="10356"/>
    <cellStyle name="輸入 3 2 2 2 2 2 3" xfId="10357"/>
    <cellStyle name="輸入 3 2 2 2 2 2_包裝指示書(裏)" xfId="10358"/>
    <cellStyle name="輸入 3 2 2 2 2 3" xfId="10359"/>
    <cellStyle name="輸入 3 2 2 2 2 3 2" xfId="10360"/>
    <cellStyle name="輸入 3 2 2 2 2 4" xfId="10361"/>
    <cellStyle name="輸入 3 2 2 2 2 4 2" xfId="10362"/>
    <cellStyle name="輸入 3 2 2 2 2 5" xfId="10363"/>
    <cellStyle name="輸入 3 2 2 2 2_包裝指示書(裏)" xfId="10364"/>
    <cellStyle name="輸入 3 2 2 2 3" xfId="10365"/>
    <cellStyle name="輸入 3 2 2 2 3 2" xfId="10366"/>
    <cellStyle name="輸入 3 2 2 2 4" xfId="10367"/>
    <cellStyle name="輸入 3 2 2 2 4 2" xfId="10368"/>
    <cellStyle name="輸入 3 2 2 2 5" xfId="10369"/>
    <cellStyle name="輸入 3 2 2 2 5 2" xfId="10370"/>
    <cellStyle name="輸入 3 2 2 2 6" xfId="10371"/>
    <cellStyle name="輸入 3 2 2 2_包裝指示書(裏)" xfId="10372"/>
    <cellStyle name="輸入 3 2 2 3" xfId="10373"/>
    <cellStyle name="輸入 3 2 2 3 2" xfId="10374"/>
    <cellStyle name="輸入 3 2 2 3 2 2" xfId="10375"/>
    <cellStyle name="輸入 3 2 2 3 2 2 2" xfId="10376"/>
    <cellStyle name="輸入 3 2 2 3 2 3" xfId="10377"/>
    <cellStyle name="輸入 3 2 2 3 2_包裝指示書(裏)" xfId="10378"/>
    <cellStyle name="輸入 3 2 2 3 3" xfId="10379"/>
    <cellStyle name="輸入 3 2 2 3 3 2" xfId="10380"/>
    <cellStyle name="輸入 3 2 2 3 4" xfId="10381"/>
    <cellStyle name="輸入 3 2 2 3 4 2" xfId="10382"/>
    <cellStyle name="輸入 3 2 2 3 5" xfId="10383"/>
    <cellStyle name="輸入 3 2 2 3_包裝指示書(裏)" xfId="10384"/>
    <cellStyle name="輸入 3 2 2 4" xfId="10385"/>
    <cellStyle name="輸入 3 2 2 4 2" xfId="10386"/>
    <cellStyle name="輸入 3 2 2 5" xfId="10387"/>
    <cellStyle name="輸入 3 2 2 5 2" xfId="10388"/>
    <cellStyle name="輸入 3 2 2 6" xfId="10389"/>
    <cellStyle name="輸入 3 2 2 6 2" xfId="10390"/>
    <cellStyle name="輸入 3 2 2 7" xfId="10391"/>
    <cellStyle name="輸入 3 2 2_包裝指示書(裏)" xfId="10392"/>
    <cellStyle name="輸入 3 2 3" xfId="10393"/>
    <cellStyle name="輸入 3 2 3 2" xfId="10394"/>
    <cellStyle name="輸入 3 2 3 2 2" xfId="10395"/>
    <cellStyle name="輸入 3 2 3 2 2 2" xfId="10396"/>
    <cellStyle name="輸入 3 2 3 2 3" xfId="10397"/>
    <cellStyle name="輸入 3 2 3 2_包裝指示書(裏)" xfId="10398"/>
    <cellStyle name="輸入 3 2 3 3" xfId="10399"/>
    <cellStyle name="輸入 3 2 3 3 2" xfId="10400"/>
    <cellStyle name="輸入 3 2 3 4" xfId="10401"/>
    <cellStyle name="輸入 3 2 3 4 2" xfId="10402"/>
    <cellStyle name="輸入 3 2 3 5" xfId="10403"/>
    <cellStyle name="輸入 3 2 3_包裝指示書(裏)" xfId="10404"/>
    <cellStyle name="輸入 3 2 4" xfId="10405"/>
    <cellStyle name="輸入 3 2 4 2" xfId="10406"/>
    <cellStyle name="輸入 3 2 5" xfId="10407"/>
    <cellStyle name="輸入 3 2 5 2" xfId="10408"/>
    <cellStyle name="輸入 3 2 6" xfId="10409"/>
    <cellStyle name="輸入 3 2 6 2" xfId="10410"/>
    <cellStyle name="輸入 3 2 7" xfId="10411"/>
    <cellStyle name="輸入 3 2_包裝指示書(裏)" xfId="10412"/>
    <cellStyle name="輸入 3 3" xfId="10413"/>
    <cellStyle name="輸入 3 3 2" xfId="10414"/>
    <cellStyle name="輸入 3 3 2 2" xfId="10415"/>
    <cellStyle name="輸入 3 3 2 2 2" xfId="10416"/>
    <cellStyle name="輸入 3 3 2 2 2 2" xfId="10417"/>
    <cellStyle name="輸入 3 3 2 2 3" xfId="10418"/>
    <cellStyle name="輸入 3 3 2 2_包裝指示書(裏)" xfId="10419"/>
    <cellStyle name="輸入 3 3 2 3" xfId="10420"/>
    <cellStyle name="輸入 3 3 2 3 2" xfId="10421"/>
    <cellStyle name="輸入 3 3 2 4" xfId="10422"/>
    <cellStyle name="輸入 3 3 2 4 2" xfId="10423"/>
    <cellStyle name="輸入 3 3 2 5" xfId="10424"/>
    <cellStyle name="輸入 3 3 2_包裝指示書(裏)" xfId="10425"/>
    <cellStyle name="輸入 3 3 3" xfId="10426"/>
    <cellStyle name="輸入 3 3 3 2" xfId="10427"/>
    <cellStyle name="輸入 3 3 4" xfId="10428"/>
    <cellStyle name="輸入 3 3 4 2" xfId="10429"/>
    <cellStyle name="輸入 3 3 5" xfId="10430"/>
    <cellStyle name="輸入 3 3 5 2" xfId="10431"/>
    <cellStyle name="輸入 3 3 6" xfId="10432"/>
    <cellStyle name="輸入 3 3_包裝指示書(裏)" xfId="10433"/>
    <cellStyle name="輸入 3 4" xfId="10434"/>
    <cellStyle name="輸入 3 4 2" xfId="10435"/>
    <cellStyle name="輸入 3 4 2 2" xfId="10436"/>
    <cellStyle name="輸入 3 4 2 2 2" xfId="10437"/>
    <cellStyle name="輸入 3 4 2 3" xfId="10438"/>
    <cellStyle name="輸入 3 4 2_包裝指示書(裏)" xfId="10439"/>
    <cellStyle name="輸入 3 4 3" xfId="10440"/>
    <cellStyle name="輸入 3 4 3 2" xfId="10441"/>
    <cellStyle name="輸入 3 4 4" xfId="10442"/>
    <cellStyle name="輸入 3 4 4 2" xfId="10443"/>
    <cellStyle name="輸入 3 4 5" xfId="10444"/>
    <cellStyle name="輸入 3 4_包裝指示書(裏)" xfId="10445"/>
    <cellStyle name="輸入 3 5" xfId="10446"/>
    <cellStyle name="輸入 3 5 2" xfId="10447"/>
    <cellStyle name="輸入 3 5 2 2" xfId="10448"/>
    <cellStyle name="輸入 3 5 2 2 2" xfId="10449"/>
    <cellStyle name="輸入 3 5 2 3" xfId="10450"/>
    <cellStyle name="輸入 3 5 2 3 2" xfId="10451"/>
    <cellStyle name="輸入 3 5 2 4" xfId="10452"/>
    <cellStyle name="輸入 3 5 2_包裝指示書(裏)" xfId="10453"/>
    <cellStyle name="輸入 3 5 3" xfId="10454"/>
    <cellStyle name="輸入 3 5 3 2" xfId="10455"/>
    <cellStyle name="輸入 3 5 4" xfId="10456"/>
    <cellStyle name="輸入 3 5 4 2" xfId="10457"/>
    <cellStyle name="輸入 3 5 5" xfId="10458"/>
    <cellStyle name="輸入 3 5_包裝指示書(裏)" xfId="10459"/>
    <cellStyle name="輸入 3 6" xfId="10460"/>
    <cellStyle name="輸入 3 6 2" xfId="10461"/>
    <cellStyle name="輸入 3 6 2 2" xfId="10462"/>
    <cellStyle name="輸入 3 6 2 2 2" xfId="10463"/>
    <cellStyle name="輸入 3 6 2 3" xfId="10464"/>
    <cellStyle name="輸入 3 6 2 3 2" xfId="10465"/>
    <cellStyle name="輸入 3 6 2 4" xfId="10466"/>
    <cellStyle name="輸入 3 6 2_包裝指示書(裏)" xfId="10467"/>
    <cellStyle name="輸入 3 6 3" xfId="10468"/>
    <cellStyle name="輸入 3 6 3 2" xfId="10469"/>
    <cellStyle name="輸入 3 6 4" xfId="10470"/>
    <cellStyle name="輸入 3 6 4 2" xfId="10471"/>
    <cellStyle name="輸入 3 6 5" xfId="10472"/>
    <cellStyle name="輸入 3 6_包裝指示書(裏)" xfId="10473"/>
    <cellStyle name="輸入 3 7" xfId="10474"/>
    <cellStyle name="輸入 3 7 2" xfId="10475"/>
    <cellStyle name="輸入 3 7 2 2" xfId="10476"/>
    <cellStyle name="輸入 3 7 2 2 2" xfId="10477"/>
    <cellStyle name="輸入 3 7 2 3" xfId="10478"/>
    <cellStyle name="輸入 3 7 2 3 2" xfId="10479"/>
    <cellStyle name="輸入 3 7 2 4" xfId="10480"/>
    <cellStyle name="輸入 3 7 2_包裝指示書(裏)" xfId="10481"/>
    <cellStyle name="輸入 3 7 3" xfId="10482"/>
    <cellStyle name="輸入 3 7 3 2" xfId="10483"/>
    <cellStyle name="輸入 3 7 4" xfId="10484"/>
    <cellStyle name="輸入 3 7 4 2" xfId="10485"/>
    <cellStyle name="輸入 3 7 5" xfId="10486"/>
    <cellStyle name="輸入 3 7_包裝指示書(裏)" xfId="10487"/>
    <cellStyle name="輸入 3 8" xfId="10488"/>
    <cellStyle name="輸入 3 8 2" xfId="10489"/>
    <cellStyle name="輸入 3 8 2 2" xfId="10490"/>
    <cellStyle name="輸入 3 8 3" xfId="10491"/>
    <cellStyle name="輸入 3 8 3 2" xfId="10492"/>
    <cellStyle name="輸入 3 8 4" xfId="10493"/>
    <cellStyle name="輸入 3 8_包裝指示書(裏)" xfId="10494"/>
    <cellStyle name="輸入 3 9" xfId="10495"/>
    <cellStyle name="輸入 3 9 2" xfId="10496"/>
    <cellStyle name="輸入 3_包裝指示書(裏)" xfId="10497"/>
    <cellStyle name="輸出 2" xfId="649"/>
    <cellStyle name="輸出 2 10" xfId="10498"/>
    <cellStyle name="輸出 2 2" xfId="10499"/>
    <cellStyle name="輸出 2 2 2" xfId="10500"/>
    <cellStyle name="輸出 2 2 2 2" xfId="10501"/>
    <cellStyle name="輸出 2 2 2 2 2" xfId="10502"/>
    <cellStyle name="輸出 2 2 2 2 2 2" xfId="10503"/>
    <cellStyle name="輸出 2 2 2 2 3" xfId="10504"/>
    <cellStyle name="輸出 2 2 2 2_包裝指示書(裏)" xfId="10505"/>
    <cellStyle name="輸出 2 2 2 3" xfId="10506"/>
    <cellStyle name="輸出 2 2 2 3 2" xfId="10507"/>
    <cellStyle name="輸出 2 2 2 4" xfId="10508"/>
    <cellStyle name="輸出 2 2 2 4 2" xfId="10509"/>
    <cellStyle name="輸出 2 2 2 5" xfId="10510"/>
    <cellStyle name="輸出 2 2 2_包裝指示書(裏)" xfId="10511"/>
    <cellStyle name="輸出 2 2 3" xfId="10512"/>
    <cellStyle name="輸出 2 2 3 2" xfId="10513"/>
    <cellStyle name="輸出 2 2 4" xfId="10514"/>
    <cellStyle name="輸出 2 2 4 2" xfId="10515"/>
    <cellStyle name="輸出 2 2 5" xfId="10516"/>
    <cellStyle name="輸出 2 2 5 2" xfId="10517"/>
    <cellStyle name="輸出 2 2 6" xfId="10518"/>
    <cellStyle name="輸出 2 2_包裝指示書(裏)" xfId="10519"/>
    <cellStyle name="輸出 2 3" xfId="10520"/>
    <cellStyle name="輸出 2 3 2" xfId="10521"/>
    <cellStyle name="輸出 2 3 2 2" xfId="10522"/>
    <cellStyle name="輸出 2 3 2 2 2" xfId="10523"/>
    <cellStyle name="輸出 2 3 2 3" xfId="10524"/>
    <cellStyle name="輸出 2 3 2_包裝指示書(裏)" xfId="10525"/>
    <cellStyle name="輸出 2 3 3" xfId="10526"/>
    <cellStyle name="輸出 2 3 3 2" xfId="10527"/>
    <cellStyle name="輸出 2 3 4" xfId="10528"/>
    <cellStyle name="輸出 2 3 4 2" xfId="10529"/>
    <cellStyle name="輸出 2 3 5" xfId="10530"/>
    <cellStyle name="輸出 2 3_包裝指示書(裏)" xfId="10531"/>
    <cellStyle name="輸出 2 4" xfId="10532"/>
    <cellStyle name="輸出 2 4 2" xfId="10533"/>
    <cellStyle name="輸出 2 4 2 2" xfId="10534"/>
    <cellStyle name="輸出 2 4 3" xfId="10535"/>
    <cellStyle name="輸出 2 4 3 2" xfId="10536"/>
    <cellStyle name="輸出 2 4 4" xfId="10537"/>
    <cellStyle name="輸出 2 4_包裝指示書(裏)" xfId="10538"/>
    <cellStyle name="輸出 2 5" xfId="10539"/>
    <cellStyle name="輸出 2 5 2" xfId="10540"/>
    <cellStyle name="輸出 2 5 2 2" xfId="10541"/>
    <cellStyle name="輸出 2 5 3" xfId="10542"/>
    <cellStyle name="輸出 2 5 3 2" xfId="10543"/>
    <cellStyle name="輸出 2 5 4" xfId="10544"/>
    <cellStyle name="輸出 2 5_包裝指示書(裏)" xfId="10545"/>
    <cellStyle name="輸出 2 6" xfId="10546"/>
    <cellStyle name="輸出 2 6 2" xfId="10547"/>
    <cellStyle name="輸出 2 6 2 2" xfId="10548"/>
    <cellStyle name="輸出 2 6 3" xfId="10549"/>
    <cellStyle name="輸出 2 6 3 2" xfId="10550"/>
    <cellStyle name="輸出 2 6 4" xfId="10551"/>
    <cellStyle name="輸出 2 6_包裝指示書(裏)" xfId="10552"/>
    <cellStyle name="輸出 2 7" xfId="10553"/>
    <cellStyle name="輸出 2 7 2" xfId="10554"/>
    <cellStyle name="輸出 2 7 2 2" xfId="10555"/>
    <cellStyle name="輸出 2 7 3" xfId="10556"/>
    <cellStyle name="輸出 2 7 3 2" xfId="10557"/>
    <cellStyle name="輸出 2 7 4" xfId="10558"/>
    <cellStyle name="輸出 2 7_包裝指示書(裏)" xfId="10559"/>
    <cellStyle name="輸出 2 8" xfId="10560"/>
    <cellStyle name="輸出 2 8 2" xfId="10561"/>
    <cellStyle name="輸出 2 9" xfId="10562"/>
    <cellStyle name="輸出 2_包裝指示書(裏)" xfId="10563"/>
    <cellStyle name="輸出 3" xfId="650"/>
    <cellStyle name="輸出 3 10" xfId="10564"/>
    <cellStyle name="輸出 3 2" xfId="10565"/>
    <cellStyle name="輸出 3 2 2" xfId="10566"/>
    <cellStyle name="輸出 3 2 2 2" xfId="10567"/>
    <cellStyle name="輸出 3 2 2 2 2" xfId="10568"/>
    <cellStyle name="輸出 3 2 2 2 2 2" xfId="10569"/>
    <cellStyle name="輸出 3 2 2 2 3" xfId="10570"/>
    <cellStyle name="輸出 3 2 2 2_包裝指示書(裏)" xfId="10571"/>
    <cellStyle name="輸出 3 2 2 3" xfId="10572"/>
    <cellStyle name="輸出 3 2 2 3 2" xfId="10573"/>
    <cellStyle name="輸出 3 2 2 4" xfId="10574"/>
    <cellStyle name="輸出 3 2 2 4 2" xfId="10575"/>
    <cellStyle name="輸出 3 2 2 5" xfId="10576"/>
    <cellStyle name="輸出 3 2 2_包裝指示書(裏)" xfId="10577"/>
    <cellStyle name="輸出 3 2 3" xfId="10578"/>
    <cellStyle name="輸出 3 2 3 2" xfId="10579"/>
    <cellStyle name="輸出 3 2 4" xfId="10580"/>
    <cellStyle name="輸出 3 2 4 2" xfId="10581"/>
    <cellStyle name="輸出 3 2 5" xfId="10582"/>
    <cellStyle name="輸出 3 2 5 2" xfId="10583"/>
    <cellStyle name="輸出 3 2 6" xfId="10584"/>
    <cellStyle name="輸出 3 2_包裝指示書(裏)" xfId="10585"/>
    <cellStyle name="輸出 3 3" xfId="10586"/>
    <cellStyle name="輸出 3 3 2" xfId="10587"/>
    <cellStyle name="輸出 3 3 2 2" xfId="10588"/>
    <cellStyle name="輸出 3 3 2 2 2" xfId="10589"/>
    <cellStyle name="輸出 3 3 2 3" xfId="10590"/>
    <cellStyle name="輸出 3 3 2_包裝指示書(裏)" xfId="10591"/>
    <cellStyle name="輸出 3 3 3" xfId="10592"/>
    <cellStyle name="輸出 3 3 3 2" xfId="10593"/>
    <cellStyle name="輸出 3 3 4" xfId="10594"/>
    <cellStyle name="輸出 3 3 4 2" xfId="10595"/>
    <cellStyle name="輸出 3 3 5" xfId="10596"/>
    <cellStyle name="輸出 3 3_包裝指示書(裏)" xfId="10597"/>
    <cellStyle name="輸出 3 4" xfId="10598"/>
    <cellStyle name="輸出 3 4 2" xfId="10599"/>
    <cellStyle name="輸出 3 4 2 2" xfId="10600"/>
    <cellStyle name="輸出 3 4 3" xfId="10601"/>
    <cellStyle name="輸出 3 4 3 2" xfId="10602"/>
    <cellStyle name="輸出 3 4 4" xfId="10603"/>
    <cellStyle name="輸出 3 4_包裝指示書(裏)" xfId="10604"/>
    <cellStyle name="輸出 3 5" xfId="10605"/>
    <cellStyle name="輸出 3 5 2" xfId="10606"/>
    <cellStyle name="輸出 3 5 2 2" xfId="10607"/>
    <cellStyle name="輸出 3 5 3" xfId="10608"/>
    <cellStyle name="輸出 3 5 3 2" xfId="10609"/>
    <cellStyle name="輸出 3 5 4" xfId="10610"/>
    <cellStyle name="輸出 3 5_包裝指示書(裏)" xfId="10611"/>
    <cellStyle name="輸出 3 6" xfId="10612"/>
    <cellStyle name="輸出 3 6 2" xfId="10613"/>
    <cellStyle name="輸出 3 6 2 2" xfId="10614"/>
    <cellStyle name="輸出 3 6 3" xfId="10615"/>
    <cellStyle name="輸出 3 6 3 2" xfId="10616"/>
    <cellStyle name="輸出 3 6 4" xfId="10617"/>
    <cellStyle name="輸出 3 6_包裝指示書(裏)" xfId="10618"/>
    <cellStyle name="輸出 3 7" xfId="10619"/>
    <cellStyle name="輸出 3 7 2" xfId="10620"/>
    <cellStyle name="輸出 3 7 2 2" xfId="10621"/>
    <cellStyle name="輸出 3 7 3" xfId="10622"/>
    <cellStyle name="輸出 3 7 3 2" xfId="10623"/>
    <cellStyle name="輸出 3 7 4" xfId="10624"/>
    <cellStyle name="輸出 3 7_包裝指示書(裏)" xfId="10625"/>
    <cellStyle name="輸出 3 8" xfId="10626"/>
    <cellStyle name="輸出 3 8 2" xfId="10627"/>
    <cellStyle name="輸出 3 9" xfId="10628"/>
    <cellStyle name="輸出 3_包裝指示書(裏)" xfId="10629"/>
    <cellStyle name="檢查儲存格 2" xfId="651"/>
    <cellStyle name="檢查儲存格 3" xfId="652"/>
    <cellStyle name="壞 2" xfId="653"/>
    <cellStyle name="壞 3" xfId="654"/>
    <cellStyle name="壞_(北屏)0714花生太陽蛋三明治.試產版2-1" xfId="655"/>
    <cellStyle name="壞_(北屏)0714花生太陽蛋三明治.試產版2-1_包裝指示書(裏)" xfId="10630"/>
    <cellStyle name="壞_(全)日式炸雞親子飯_2012.12.04改" xfId="656"/>
    <cellStyle name="壞_(全)日式炸雞親子飯_2012.12.04改_包裝指示書(裏)" xfId="10631"/>
    <cellStyle name="壞_(晉欣)0714花生太陽蛋" xfId="657"/>
    <cellStyle name="壞_(晉欣)0714花生太陽蛋_包裝指示書(裏)" xfId="10632"/>
    <cellStyle name="壞_(晉欣)990928勝利豬排三明治--廠務版" xfId="658"/>
    <cellStyle name="壞_(晉欣)990928勝利豬排三明治--廠務版_包裝指示書(裏)" xfId="10633"/>
    <cellStyle name="壞_(晉欣)洋芋炸雞排三明治" xfId="659"/>
    <cellStyle name="壞_(晉欣)洋芋炸雞排三明治_包裝指示書(裏)" xfId="10634"/>
    <cellStyle name="壞_(晉欣)黃金起士咖哩豬排三明治" xfId="660"/>
    <cellStyle name="壞_(晉欣)黃金起士咖哩豬排三明治_包裝指示書(裏)" xfId="10635"/>
    <cellStyle name="壞_02芹香海帶" xfId="661"/>
    <cellStyle name="壞_02芹香海帶_包裝指示書(裏)" xfId="10636"/>
    <cellStyle name="壞_0426魚香肉絲-晉欣調理版" xfId="662"/>
    <cellStyle name="壞_0426魚香肉絲-晉欣調理版_包裝指示書(裏)" xfId="10637"/>
    <cellStyle name="壞_04豆瓣桂筍" xfId="663"/>
    <cellStyle name="壞_04豆瓣桂筍_包裝指示書(裏)" xfId="10638"/>
    <cellStyle name="壞_0524冷藏北京酢醬麵-晉欣調理版" xfId="664"/>
    <cellStyle name="壞_0524冷藏北京酢醬麵-晉欣調理版_包裝指示書(裏)" xfId="10639"/>
    <cellStyle name="壞_07鮮菇總?" xfId="10640"/>
    <cellStyle name="壞_07鮮菇總滙" xfId="665"/>
    <cellStyle name="壞_0917日式味噌豚鍋" xfId="666"/>
    <cellStyle name="壞_0917日式味噌豚鍋_包裝指示書(裏)" xfId="10641"/>
    <cellStyle name="壞_0917台式麻辣鍋" xfId="667"/>
    <cellStyle name="壞_0917台式麻辣鍋_包裝指示書(裏)" xfId="10642"/>
    <cellStyle name="壞_0923日式味噌豚鍋" xfId="668"/>
    <cellStyle name="壞_0923日式味噌豚鍋_包裝指示書(裏)" xfId="10643"/>
    <cellStyle name="壞_1000104薑汁燒肉米堡-確(1)" xfId="669"/>
    <cellStyle name="壞_1000104薑汁燒肉米堡-確(1)_包裝指示書(裏)" xfId="10644"/>
    <cellStyle name="壞_1000411火腿洋芋沙拉佐鮮蔬 試產版2" xfId="670"/>
    <cellStyle name="壞_1000411火腿洋芋沙拉佐鮮蔬 試產版2_包裝指示書(裏)" xfId="10645"/>
    <cellStyle name="壞_1000411義式雞蛋沙拉 確認版(1)-加貼膠帶版" xfId="671"/>
    <cellStyle name="壞_1000411義式雞蛋沙拉 確認版(1)-加貼膠帶版_包裝指示書(裏)" xfId="10646"/>
    <cellStyle name="壞_1000412手工雞蛋沙拉三明治.試產版(2)" xfId="672"/>
    <cellStyle name="壞_1000412手工雞蛋沙拉三明治.試產版(2)_包裝指示書(裏)" xfId="10647"/>
    <cellStyle name="壞_1000531厚切豬排蛋三明治.試1版" xfId="673"/>
    <cellStyle name="壞_1000531厚切豬排蛋三明治.試1版_包裝指示書(裏)" xfId="10648"/>
    <cellStyle name="壞_1001220大口炭烤起司牛肉堡-上市版-屏榮" xfId="674"/>
    <cellStyle name="壞_1001220大口炭烤起司牛肉堡-上市版-屏榮_包裝指示書(裏)" xfId="10649"/>
    <cellStyle name="壞_1020417Fresh多彩沙拉-確認版(4)" xfId="10650"/>
    <cellStyle name="壞_1020417Fresh多彩沙拉-確認版(4)_包裝指示書(裏)" xfId="10651"/>
    <cellStyle name="壞_1023日式味噌豚鍋-A" xfId="675"/>
    <cellStyle name="壞_1023日式味噌豚鍋-A_包裝指示書(裏)" xfId="10652"/>
    <cellStyle name="壞_10沙茶肉片" xfId="676"/>
    <cellStyle name="壞_10沙茶肉片_包裝指示書(裏)" xfId="10653"/>
    <cellStyle name="壞_20100511照燒香雞堡飯糰確1版(廠務)" xfId="677"/>
    <cellStyle name="壞_20100511照燒香雞堡飯糰確1版(廠務)_包裝指示書(裏)" xfId="10654"/>
    <cellStyle name="壞_35元麻辣燙" xfId="678"/>
    <cellStyle name="壞_35元麻辣燙_包裝指示書(裏)" xfId="10655"/>
    <cellStyle name="壞_951219火腿蛋炒飯-980331" xfId="679"/>
    <cellStyle name="壞_951219火腿蛋炒飯-980331_包裝指示書(裏)" xfId="10656"/>
    <cellStyle name="壞_96.10.23中式紫米傳統飯糰─廠務版" xfId="680"/>
    <cellStyle name="壞_96.10.23中式紫米傳統飯糰─廠務版_包裝指示書(裏)" xfId="10657"/>
    <cellStyle name="壞_970112冷藏熱烈一番味噌拉麵(調理版)" xfId="681"/>
    <cellStyle name="壞_970112冷藏熱烈一番味噌拉麵(調理版)_包裝指示書(裏)" xfId="10658"/>
    <cellStyle name="壞_970127冷藏壹番涼麵.確認版(1)" xfId="682"/>
    <cellStyle name="壞_970127冷藏壹番涼麵.確認版(1)_包裝指示書(裏)" xfId="10659"/>
    <cellStyle name="壞_970318海苔雞便當(調理版)" xfId="683"/>
    <cellStyle name="壞_970318海苔雞便當(調理版)_包裝指示書(裏)" xfId="10660"/>
    <cellStyle name="壞_970401陽光三明治-超厚豬排晉欣版)" xfId="684"/>
    <cellStyle name="壞_970401陽光三明治-超厚豬排晉欣版)_包裝指示書(裏)" xfId="10661"/>
    <cellStyle name="壞_970414冷藏正宗鰹露蕎麥涼麵.(調理版)" xfId="685"/>
    <cellStyle name="壞_970414冷藏正宗鰹露蕎麥涼麵.(調理版)_包裝指示書(裏)" xfId="10662"/>
    <cellStyle name="壞_970421沙茶魷魚羹(調理版)" xfId="686"/>
    <cellStyle name="壞_970421沙茶魷魚羹(調理版)_包裝指示書(裏)" xfId="10663"/>
    <cellStyle name="壞_970505火腿蛋炒飯(調理版)" xfId="687"/>
    <cellStyle name="壞_970505火腿蛋炒飯(調理版)_包裝指示書(裏)" xfId="10664"/>
    <cellStyle name="壞_970505冷藏超大份量肉醬義大利麵(調理版)" xfId="688"/>
    <cellStyle name="壞_970505冷藏超大份量肉醬義大利麵(調理版)_包裝指示書(裏)" xfId="10665"/>
    <cellStyle name="壞_970519陽光鮪魚沙拉(調理版)" xfId="689"/>
    <cellStyle name="壞_970519陽光鮪魚沙拉(調理版)_包裝指示書(裏)" xfId="10666"/>
    <cellStyle name="壞_970520薑汁燒肉便當(廠務版)" xfId="690"/>
    <cellStyle name="壞_970520薑汁燒肉便當(廠務版)_包裝指示書(裏)" xfId="10667"/>
    <cellStyle name="壞_970520薑汁燒肉便當(調理版)" xfId="691"/>
    <cellStyle name="壞_970520薑汁燒肉便當(調理版)_包裝指示書(裏)" xfId="10668"/>
    <cellStyle name="壞_970609冷藏香烤豬排鐵板麵-蘑菇醬.(調理版)" xfId="692"/>
    <cellStyle name="壞_970609冷藏香烤豬排鐵板麵-蘑菇醬.(調理版)_包裝指示書(裏)" xfId="10669"/>
    <cellStyle name="壞_970610台式烤肉飯(廠務版)(配菜更換為雪裏紅)" xfId="693"/>
    <cellStyle name="壞_970610台式烤肉飯(廠務版)(配菜更換為雪裏紅)_包裝指示書(裏)" xfId="10670"/>
    <cellStyle name="壞_970624鮪魚手卷" xfId="694"/>
    <cellStyle name="壞_970624鮪魚手卷_包裝指示書(裏)" xfId="10671"/>
    <cellStyle name="壞_970624鮪魚飯糰" xfId="695"/>
    <cellStyle name="壞_970624鮪魚飯糰_包裝指示書(裏)" xfId="10672"/>
    <cellStyle name="壞_970714冷藏韓式泡菜冷麵(調理版)" xfId="696"/>
    <cellStyle name="壞_970714冷藏韓式泡菜冷麵(調理版)_包裝指示書(裏)" xfId="10673"/>
    <cellStyle name="壞_970715香辣雞腿排便當(調理版)" xfId="697"/>
    <cellStyle name="壞_970715香辣雞腿排便當(調理版)_包裝指示書(裏)" xfId="10674"/>
    <cellStyle name="壞_970722傳統池上便當-確10" xfId="698"/>
    <cellStyle name="壞_970722傳統池上便當-確10_包裝指示書(裏)" xfId="10675"/>
    <cellStyle name="壞_970728冷藏日式炒麵(調理版)" xfId="699"/>
    <cellStyle name="壞_970728冷藏日式炒麵(調理版)_包裝指示書(裏)" xfId="10676"/>
    <cellStyle name="壞_970729黃金鮪魚&amp;手工蛋沙三明治-廠務版" xfId="700"/>
    <cellStyle name="壞_970729黃金鮪魚&amp;手工蛋沙三明治-廠務版_包裝指示書(裏)" xfId="10677"/>
    <cellStyle name="壞_970729黃金鮪魚&amp;手工蛋沙三明治確(3)版" xfId="701"/>
    <cellStyle name="壞_970729黃金鮪魚&amp;手工蛋沙三明治確(3)版_包裝指示書(裏)" xfId="10678"/>
    <cellStyle name="壞_970729雙色薯沙三明治確(4)版" xfId="702"/>
    <cellStyle name="壞_970729雙色薯沙三明治確(4)版_包裝指示書(裏)" xfId="10679"/>
    <cellStyle name="壞_970730冷藏香烤豬排鐵板麵-更改大口肉片蘑菇醬.(調理版)" xfId="703"/>
    <cellStyle name="壞_970730冷藏香烤豬排鐵板麵-更改大口肉片蘑菇醬.(調理版)_包裝指示書(裏)" xfId="10680"/>
    <cellStyle name="壞_970804冷藏北海道奶油鮭魚焗烤麵.確認版(5)" xfId="704"/>
    <cellStyle name="壞_970804冷藏北海道奶油鮭魚焗烤麵.確認版(5)_包裝指示書(裏)" xfId="10681"/>
    <cellStyle name="壞_970804冷藏北海道鮭魚義大利焗烤麵(調理版)" xfId="705"/>
    <cellStyle name="壞_970804冷藏北海道鮭魚義大利焗烤麵(調理版)_包裝指示書(裏)" xfId="10682"/>
    <cellStyle name="壞_970811陽光火腿蛋沙拉(調理版)-1" xfId="706"/>
    <cellStyle name="壞_970811陽光火腿蛋沙拉(調理版)-1_包裝指示書(裏)" xfId="10683"/>
    <cellStyle name="壞_970818沙茶豬柳燴飯(調理版)" xfId="707"/>
    <cellStyle name="壞_970818沙茶豬柳燴飯(調理版)_包裝指示書(裏)" xfId="10684"/>
    <cellStyle name="壞_970819 彰化老店排骨便當-確6" xfId="708"/>
    <cellStyle name="壞_970819 彰化老店排骨便當-確6_包裝指示書(裏)" xfId="10685"/>
    <cellStyle name="壞_970902日式燒肉便當(廠務版)" xfId="709"/>
    <cellStyle name="壞_970902日式燒肉便當(廠務版)_包裝指示書(裏)" xfId="10686"/>
    <cellStyle name="壞_970902日式燒肉便當(調理版)" xfId="710"/>
    <cellStyle name="壞_970902日式燒肉便當(調理版)_包裝指示書(裏)" xfId="10687"/>
    <cellStyle name="壞_970908雙餡獨享PIZZA(調理版)" xfId="711"/>
    <cellStyle name="壞_970908雙餡獨享PIZZA(調理版)_包裝指示書(裏)" xfId="10688"/>
    <cellStyle name="壞_970915冷藏起司培根焗麵(調理版)" xfId="712"/>
    <cellStyle name="壞_970915冷藏起司培根焗麵(調理版)_包裝指示書(裏)" xfId="10689"/>
    <cellStyle name="壞_970915冷藏起司培根焗麵-基因改造(調理版)" xfId="713"/>
    <cellStyle name="壞_970915冷藏起司培根焗麵-基因改造(調理版)_包裝指示書(裏)" xfId="10690"/>
    <cellStyle name="壞_970922宮保雞丁雞燴飯-調理版" xfId="714"/>
    <cellStyle name="壞_970922宮保雞丁雞燴飯-調理版_包裝指示書(裏)" xfId="10691"/>
    <cellStyle name="壞_970923黃金鮪魚蛋三明治-晉欣" xfId="715"/>
    <cellStyle name="壞_970923黃金鮪魚蛋三明治-晉欣_包裝指示書(裏)" xfId="10692"/>
    <cellStyle name="壞_970929鍋燒意麵-基因改造(調理版)" xfId="716"/>
    <cellStyle name="壞_970929鍋燒意麵-基因改造(調理版)_包裝指示書(裏)" xfId="10693"/>
    <cellStyle name="壞_970930傳統壽司組合確3版" xfId="717"/>
    <cellStyle name="壞_970930傳統壽司組合確3版_包裝指示書(裏)" xfId="10694"/>
    <cellStyle name="壞_971002超值便當" xfId="718"/>
    <cellStyle name="壞_971002超值便當_包裝指示書(裏)" xfId="10695"/>
    <cellStyle name="壞_971008過年便當" xfId="719"/>
    <cellStyle name="壞_971008過年便當_包裝指示書(裏)" xfId="10696"/>
    <cellStyle name="壞_971020冷藏排骨麵-廠務版-改麵價" xfId="720"/>
    <cellStyle name="壞_971020冷藏排骨麵-廠務版-改麵價_包裝指示書(裏)" xfId="10697"/>
    <cellStyle name="壞_971021椒鹽雞腿便當(0922提報)" xfId="721"/>
    <cellStyle name="壞_971021椒鹽雞腿便當(0922提報)_包裝指示書(裏)" xfId="10698"/>
    <cellStyle name="壞_971103冷藏一番亭熱烈擔擔麵(調理版)" xfId="722"/>
    <cellStyle name="壞_971103冷藏一番亭熱烈擔擔麵(調理版)_包裝指示書(裏)" xfId="10699"/>
    <cellStyle name="壞_971103沙茶豬肉火鍋.晉欣調理版" xfId="723"/>
    <cellStyle name="壞_971103沙茶豬肉火鍋.晉欣調理版_包裝指示書(裏)" xfId="10700"/>
    <cellStyle name="壞_971103韓式泡菜火鍋.晉欣調理版" xfId="724"/>
    <cellStyle name="壞_971103韓式泡菜火鍋.晉欣調理版_包裝指示書(裏)" xfId="10701"/>
    <cellStyle name="壞_971110奶油嫩雞義大利麵(調理版)" xfId="725"/>
    <cellStyle name="壞_971110奶油嫩雞義大利麵(調理版)_包裝指示書(裏)" xfId="10702"/>
    <cellStyle name="壞_971118北海道鮭魚飯糰廠務版" xfId="726"/>
    <cellStyle name="壞_971118北海道鮭魚飯糰廠務版_包裝指示書(裏)" xfId="10703"/>
    <cellStyle name="壞_971201冷藏蕃茄海鮮焗麵(調理版)" xfId="727"/>
    <cellStyle name="壞_971201冷藏蕃茄海鮮焗麵(調理版)_包裝指示書(裏)" xfId="10704"/>
    <cellStyle name="壞_971204福氣團圓便當(豆干版)補提報-2" xfId="728"/>
    <cellStyle name="壞_971204福氣團圓便當(豆干版)補提報-2_包裝指示書(裏)" xfId="10705"/>
    <cellStyle name="壞_971208冷藏美式燻腸義大利麵-(調理版)" xfId="729"/>
    <cellStyle name="壞_971208冷藏美式燻腸義大利麵-(調理版)_包裝指示書(裏)" xfId="10706"/>
    <cellStyle name="壞_971208冷藏美式燻腸義大利麵修改毛利-(廠務版)-加10%水?度下修-加貼標" xfId="10707"/>
    <cellStyle name="壞_971208冷藏美式燻腸義大利麵修改毛利-(廠務版)-加10%水塩度下修-加貼標" xfId="730"/>
    <cellStyle name="壞_971215超BIG-肉絲蛋炒飯-晉欣調理版無SOYAUP" xfId="731"/>
    <cellStyle name="壞_971215超BIG-肉絲蛋炒飯-晉欣調理版無SOYAUP_包裝指示書(裏)" xfId="10708"/>
    <cellStyle name="壞_971216中式蔥蛋烤香腸飯糰-調理(換香腸)" xfId="732"/>
    <cellStyle name="壞_971216中式蔥蛋烤香腸飯糰-調理(換香腸)_包裝指示書(裏)" xfId="10709"/>
    <cellStyle name="壞_971222咖哩烏龍麵(調理版)" xfId="733"/>
    <cellStyle name="壞_971222咖哩烏龍麵(調理版)_包裝指示書(裏)" xfId="10710"/>
    <cellStyle name="壞_971223池上招牌飯包.確6" xfId="734"/>
    <cellStyle name="壞_971223池上招牌飯包.確6_包裝指示書(裏)" xfId="10711"/>
    <cellStyle name="壞_980106咖哩雞肉鍋飯--確7" xfId="735"/>
    <cellStyle name="壞_980106咖哩雞肉鍋飯--確7_包裝指示書(裏)" xfId="10712"/>
    <cellStyle name="壞_980106花壽司組合確1版" xfId="736"/>
    <cellStyle name="壞_980106花壽司組合確1版_包裝指示書(裏)" xfId="10713"/>
    <cellStyle name="壞_980112七福卷確2版-廠務" xfId="737"/>
    <cellStyle name="壞_980112七福卷確2版-廠務_包裝指示書(裏)" xfId="10714"/>
    <cellStyle name="壞_980120麻辣豆腐鍋飯--春節期間盒裝豆腐分切3" xfId="738"/>
    <cellStyle name="壞_980120麻辣豆腐鍋飯--春節期間盒裝豆腐分切3_包裝指示書(裏)" xfId="10715"/>
    <cellStyle name="壞_980202黑胡椒豬柳燴飯-確(1)" xfId="739"/>
    <cellStyle name="壞_980202黑胡椒豬柳燴飯-確(1)_包裝指示書(裏)" xfId="10716"/>
    <cellStyle name="壞_980203古早味傳統香腸飯--確3" xfId="740"/>
    <cellStyle name="壞_980203古早味傳統香腸飯--確3_包裝指示書(裏)" xfId="10717"/>
    <cellStyle name="壞_980210蒙古烤肉鍋飯--確2" xfId="741"/>
    <cellStyle name="壞_980210蒙古烤肉鍋飯--確2_包裝指示書(裏)" xfId="10718"/>
    <cellStyle name="壞_980216什錦花椰菜(1)" xfId="742"/>
    <cellStyle name="壞_980216什錦花椰菜(1)_包裝指示書(裏)" xfId="10719"/>
    <cellStyle name="壞_980216什錦花椰菜-廠務(5)" xfId="743"/>
    <cellStyle name="壞_980216什錦花椰菜-廠務(5)_包裝指示書(裏)" xfId="10720"/>
    <cellStyle name="壞_980216培根高麗菜(6)" xfId="744"/>
    <cellStyle name="壞_980216培根高麗菜(6)_包裝指示書(裏)" xfId="10721"/>
    <cellStyle name="壞_980216黑胡椒雞鐵板刈包-確(2)" xfId="745"/>
    <cellStyle name="壞_980216黑胡椒雞鐵板刈包-確(2)_包裝指示書(裏)" xfId="10722"/>
    <cellStyle name="壞_980216醬爆牛肉(5)--改?度" xfId="10723"/>
    <cellStyle name="壞_980216醬爆牛肉(5)--改塩度" xfId="746"/>
    <cellStyle name="壞_980217肉鬆玉米三明治確2版" xfId="747"/>
    <cellStyle name="壞_980217肉鬆玉米三明治確2版_包裝指示書(裏)" xfId="10724"/>
    <cellStyle name="壞_980223元氣-咖哩雞蛋包飯確4版-廠務" xfId="748"/>
    <cellStyle name="壞_980223元氣-咖哩雞蛋包飯確4版-廠務_包裝指示書(裏)" xfId="10725"/>
    <cellStyle name="壞_980303椒鹽香雞排便當-確4(製造日980308  9：00修改總重)" xfId="749"/>
    <cellStyle name="壞_980303椒鹽香雞排便當-確4(製造日980308  9：00修改總重)_包裝指示書(裏)" xfId="10726"/>
    <cellStyle name="壞_980310陽光三明治-黃金蝦堡確3版" xfId="750"/>
    <cellStyle name="壞_980310陽光三明治-黃金蝦堡確3版_包裝指示書(裏)" xfId="10727"/>
    <cellStyle name="壞_980310新超值-香炸雞排便當--確7(炸時間修正" xfId="751"/>
    <cellStyle name="壞_980310新超值-香炸雞排便當--確7(炸時間修正_包裝指示書(裏)" xfId="10728"/>
    <cellStyle name="壞_980310新超值-香炸雞排便當--確8(更換主菜--大成)" xfId="752"/>
    <cellStyle name="壞_980310新超值-香炸雞排便當--確8(更換主菜--大成)_包裝指示書(裏)" xfId="10729"/>
    <cellStyle name="壞_980310新超值-香炸雞排便當--確8(更換主菜--大成)高麗菜更改配方" xfId="753"/>
    <cellStyle name="壞_980310新超值-香炸雞排便當--確8(更換主菜--大成)高麗菜更改配方_包裝指示書(裏)" xfId="10730"/>
    <cellStyle name="壞_980317起士牛肉堡確3版廠務版" xfId="754"/>
    <cellStyle name="壞_980317起士牛肉堡確3版廠務版_包裝指示書(裏)" xfId="10731"/>
    <cellStyle name="壞_980317新超值-醬燒烤雞便當--確5(乾木耳絲)" xfId="755"/>
    <cellStyle name="壞_980317新超值-醬燒烤雞便當--確5(乾木耳絲)_包裝指示書(裏)" xfId="10732"/>
    <cellStyle name="壞_980323什錦花椰菜-確(1)" xfId="756"/>
    <cellStyle name="壞_980323什錦花椰菜-確(1)_包裝指示書(裏)" xfId="10733"/>
    <cellStyle name="壞_980323什錦花椰菜-調理版(2)" xfId="757"/>
    <cellStyle name="壞_980323什錦花椰菜-調理版(2)_包裝指示書(裏)" xfId="10734"/>
    <cellStyle name="壞_980323脆炒中卷-晉欣調理版" xfId="758"/>
    <cellStyle name="壞_980323脆炒中卷-晉欣調理版_包裝指示書(裏)" xfId="10735"/>
    <cellStyle name="壞_980323脆炒中卷-調理版(2)" xfId="759"/>
    <cellStyle name="壞_980323脆炒中卷-調理版(2)_包裝指示書(裏)" xfId="10736"/>
    <cellStyle name="壞_980323培根高麗菜-調理版(2)" xfId="760"/>
    <cellStyle name="壞_980323培根高麗菜-調理版(2)_包裝指示書(裏)" xfId="10737"/>
    <cellStyle name="壞_980323黑胡椒豬柳丁-晉欣調理版" xfId="761"/>
    <cellStyle name="壞_980323黑胡椒豬柳丁-晉欣調理版_包裝指示書(裏)" xfId="10738"/>
    <cellStyle name="壞_980323黑胡椒豬柳-晉欣調理版" xfId="762"/>
    <cellStyle name="壞_980323黑胡椒豬柳-晉欣調理版_包裝指示書(裏)" xfId="10739"/>
    <cellStyle name="壞_980323黑胡椒豬柳-調理版(2)" xfId="763"/>
    <cellStyle name="壞_980323黑胡椒豬柳-調理版(2)_包裝指示書(裏)" xfId="10740"/>
    <cellStyle name="壞_980323辣子雞丁-晉欣調理版" xfId="764"/>
    <cellStyle name="壞_980323辣子雞丁-晉欣調理版_包裝指示書(裏)" xfId="10741"/>
    <cellStyle name="壞_980323辣子雞丁-調理版(2)" xfId="765"/>
    <cellStyle name="壞_980323辣子雞丁-調理版(2)_包裝指示書(裏)" xfId="10742"/>
    <cellStyle name="壞_980323醬爆牛肉- 確(1)" xfId="766"/>
    <cellStyle name="壞_980323醬爆牛肉- 確(1)_包裝指示書(裏)" xfId="10743"/>
    <cellStyle name="壞_980323醬爆牛肉- 調理版(2)" xfId="767"/>
    <cellStyle name="壞_980323醬爆牛肉- 調理版(2)_包裝指示書(裏)" xfId="10744"/>
    <cellStyle name="壞_980323醬爆牛肉-晉欣調理版" xfId="768"/>
    <cellStyle name="壞_980323醬爆牛肉-晉欣調理版_包裝指示書(裏)" xfId="10745"/>
    <cellStyle name="壞_980324筍香拌飯-炸豬排便當-確4" xfId="769"/>
    <cellStyle name="壞_980324筍香拌飯-炸豬排便當-確4_包裝指示書(裏)" xfId="10746"/>
    <cellStyle name="壞_980330冷藏香菇肉羹麵(確一)" xfId="770"/>
    <cellStyle name="壞_980330冷藏香菇肉羹麵(確一)_包裝指示書(裏)" xfId="10747"/>
    <cellStyle name="壞_980330冷藏義式臘腸焗烤飯.(調理版)" xfId="771"/>
    <cellStyle name="壞_980330冷藏義式臘腸焗烤飯.(調理版)_包裝指示書(裏)" xfId="10748"/>
    <cellStyle name="壞_980406什錦豆腐-晉欣調理版" xfId="772"/>
    <cellStyle name="壞_980406什錦豆腐-晉欣調理版_包裝指示書(裏)" xfId="10749"/>
    <cellStyle name="壞_980413什錦豆腐-晉欣調理版" xfId="773"/>
    <cellStyle name="壞_980413什錦豆腐-晉欣調理版_包裝指示書(裏)" xfId="10750"/>
    <cellStyle name="壞_980413螞蟻上樹-晉欣調理版" xfId="774"/>
    <cellStyle name="壞_980413螞蟻上樹-晉欣調理版_包裝指示書(裏)" xfId="10751"/>
    <cellStyle name="壞_980414辣子雞丁-晉欣調理版" xfId="775"/>
    <cellStyle name="壞_980414辣子雞丁-晉欣調理版_包裝指示書(裏)" xfId="10752"/>
    <cellStyle name="壞_980414韓式梨汁牛肉飯糰確2版" xfId="776"/>
    <cellStyle name="壞_980414韓式梨汁牛肉飯糰確2版_包裝指示書(裏)" xfId="10753"/>
    <cellStyle name="壞_980420-肉燥高麗菜-確(3)" xfId="777"/>
    <cellStyle name="壞_980420-肉燥高麗菜-確(3)_包裝指示書(裏)" xfId="10754"/>
    <cellStyle name="壞_980420豉汁燒肉--晉欣調理版" xfId="778"/>
    <cellStyle name="壞_980420豉汁燒肉--晉欣調理版_包裝指示書(裏)" xfId="10755"/>
    <cellStyle name="壞_980420陽光多彩鮮蔬沙拉-確七" xfId="779"/>
    <cellStyle name="壞_980420陽光多彩鮮蔬沙拉-確七_包裝指示書(裏)" xfId="10756"/>
    <cellStyle name="壞_980421招牌火腿蛋三明治確1版" xfId="780"/>
    <cellStyle name="壞_980421招牌火腿蛋三明治確1版_包裝指示書(裏)" xfId="10757"/>
    <cellStyle name="壞_980427冷藏哨子麵-晉欣調理版" xfId="781"/>
    <cellStyle name="壞_980427冷藏哨子麵-晉欣調理版_包裝指示書(裏)" xfId="10758"/>
    <cellStyle name="壞_980427花椰時蔬-晉欣調理版" xfId="782"/>
    <cellStyle name="壞_980427花椰時蔬-晉欣調理版_包裝指示書(裏)" xfId="10759"/>
    <cellStyle name="壞_980427彩椒肉絲-晉欣調理版" xfId="783"/>
    <cellStyle name="壞_980427彩椒肉絲-晉欣調理版_包裝指示書(裏)" xfId="10760"/>
    <cellStyle name="壞_980427魚香干絲-晉欣調理版" xfId="784"/>
    <cellStyle name="壞_980427魚香干絲-晉欣調理版_包裝指示書(裏)" xfId="10761"/>
    <cellStyle name="壞_980428素京醬排骨便當-廠務版" xfId="785"/>
    <cellStyle name="壞_980428素京醬排骨便當-廠務版_包裝指示書(裏)" xfId="10762"/>
    <cellStyle name="壞_980428素京醬排骨便當-確11" xfId="786"/>
    <cellStyle name="壞_980428素京醬排骨便當-確11_包裝指示書(裏)" xfId="10763"/>
    <cellStyle name="壞_980504彩椒肉絲-晉欣試吃品調理版" xfId="787"/>
    <cellStyle name="壞_980504彩椒肉絲-晉欣試吃品調理版_包裝指示書(裏)" xfId="10764"/>
    <cellStyle name="壞_980504彩椒肉絲-晉欣調理版" xfId="788"/>
    <cellStyle name="壞_980504彩椒肉絲-晉欣調理版_包裝指示書(裏)" xfId="10765"/>
    <cellStyle name="壞_980504醬燒魚-晉欣調理版" xfId="789"/>
    <cellStyle name="壞_980504醬燒魚-晉欣調理版_包裝指示書(裏)" xfId="10766"/>
    <cellStyle name="壞_980504鐵板百頁-晉欣調理版" xfId="790"/>
    <cellStyle name="壞_980504鐵板百頁-晉欣調理版_包裝指示書(裏)" xfId="10767"/>
    <cellStyle name="壞_980505香菇肉羹飯-調理版(1)" xfId="791"/>
    <cellStyle name="壞_980505香菇肉羹飯-調理版(1)_包裝指示書(裏)" xfId="10768"/>
    <cellStyle name="壞_980505彰化老店排骨便當-確11" xfId="792"/>
    <cellStyle name="壞_980505彰化老店排骨便當-確11_包裝指示書(裏)" xfId="10769"/>
    <cellStyle name="壞_980511冷藏超大份量肉醬義大利麵.(調理版)" xfId="793"/>
    <cellStyle name="壞_980511冷藏超大份量肉醬義大利麵.(調理版)_包裝指示書(裏)" xfId="10770"/>
    <cellStyle name="壞_980511陽光火腿鮮蔬沙拉-確二" xfId="794"/>
    <cellStyle name="壞_980511陽光火腿鮮蔬沙拉-確二_包裝指示書(裏)" xfId="10771"/>
    <cellStyle name="壞_980518冷藏什錦冬粉-確五" xfId="795"/>
    <cellStyle name="壞_980518冷藏什錦冬粉-確五_包裝指示書(裏)" xfId="10772"/>
    <cellStyle name="壞_980518冷藏功夫麵-試產一" xfId="796"/>
    <cellStyle name="壞_980518冷藏功夫麵-試產一_包裝指示書(裏)" xfId="10773"/>
    <cellStyle name="壞_980519超值雙享–烤雞+京醬肉片便當0506-確6" xfId="797"/>
    <cellStyle name="壞_980519超值雙享–烤雞+京醬肉片便當0506-確6_包裝指示書(裏)" xfId="10774"/>
    <cellStyle name="壞_980526法式烤春雞三明治試1版" xfId="798"/>
    <cellStyle name="壞_980526法式烤春雞三明治試1版_包裝指示書(裏)" xfId="10775"/>
    <cellStyle name="壞_980601冷藏奶油培根義大利麵-確四" xfId="799"/>
    <cellStyle name="壞_980601冷藏奶油培根義大利麵-確四_包裝指示書(裏)" xfId="10776"/>
    <cellStyle name="壞_980601彩椒肉絲-晉欣調理版" xfId="800"/>
    <cellStyle name="壞_980601彩椒肉絲-晉欣調理版_包裝指示書(裏)" xfId="10777"/>
    <cellStyle name="壞_980608冷藏沙茶綜合羹冬粉.(晉欣調理版)" xfId="801"/>
    <cellStyle name="壞_980608冷藏沙茶綜合羹冬粉.(晉欣調理版)_包裝指示書(裏)" xfId="10778"/>
    <cellStyle name="壞_980609三杯雞便當-確3" xfId="802"/>
    <cellStyle name="壞_980609三杯雞便當-確3_包裝指示書(裏)" xfId="10779"/>
    <cellStyle name="壞_980609沙拉稻荷2入確3版" xfId="803"/>
    <cellStyle name="壞_980609沙拉稻荷2入確3版_包裝指示書(裏)" xfId="10780"/>
    <cellStyle name="壞_980615沙茶牛肉- 晉欣調理版" xfId="804"/>
    <cellStyle name="壞_980615沙茶牛肉- 晉欣調理版_包裝指示書(裏)" xfId="10781"/>
    <cellStyle name="壞_980616起士玉米蛋三明治.試產版-晉欣" xfId="805"/>
    <cellStyle name="壞_980616起士玉米蛋三明治.試產版-晉欣_包裝指示書(裏)" xfId="10782"/>
    <cellStyle name="壞_980622三杯雞丁- 晉欣調理版" xfId="806"/>
    <cellStyle name="壞_980622三杯雞丁- 晉欣調理版_包裝指示書(裏)" xfId="10783"/>
    <cellStyle name="壞_980706陽光和風野菜沙拉-晉欣調理版" xfId="807"/>
    <cellStyle name="壞_980706陽光和風野菜沙拉-晉欣調理版_包裝指示書(裏)" xfId="10784"/>
    <cellStyle name="壞_980714法式烤春雞三明治確4版" xfId="808"/>
    <cellStyle name="壞_980714法式烤春雞三明治確4版_包裝指示書(裏)" xfId="10785"/>
    <cellStyle name="壞_980714法式烤春雞三明治確6版" xfId="809"/>
    <cellStyle name="壞_980714法式烤春雞三明治確6版_包裝指示書(裏)" xfId="10786"/>
    <cellStyle name="壞_980714法式烤春雞三明治確6版-廠務" xfId="810"/>
    <cellStyle name="壞_980714法式烤春雞三明治確6版-廠務_包裝指示書(裏)" xfId="10787"/>
    <cellStyle name="壞_980714法式烤春雞三明治確9版" xfId="811"/>
    <cellStyle name="壞_980714法式烤春雞三明治確9版_包裝指示書(裏)" xfId="10788"/>
    <cellStyle name="壞_980714花生太陽蛋三明治確2版" xfId="812"/>
    <cellStyle name="壞_980714花生太陽蛋三明治確2版_包裝指示書(裏)" xfId="10789"/>
    <cellStyle name="壞_980714蔥燒排骨便當確3版" xfId="813"/>
    <cellStyle name="壞_980714蔥燒排骨便當確3版_包裝指示書(裏)" xfId="10790"/>
    <cellStyle name="壞_980721彩椒肉絲.試產(1)" xfId="814"/>
    <cellStyle name="壞_980721彩椒肉絲.試產(1)_包裝指示書(裏)" xfId="10791"/>
    <cellStyle name="壞_980721港式雙寶飯確3版廠務版" xfId="815"/>
    <cellStyle name="壞_980721港式雙寶飯確3版廠務版_包裝指示書(裏)" xfId="10792"/>
    <cellStyle name="壞_980721鮪魚蛋沙拉三明治確6版" xfId="816"/>
    <cellStyle name="壞_980721鮪魚蛋沙拉三明治確6版_包裝指示書(裏)" xfId="10793"/>
    <cellStyle name="壞_980727冷藏貢丸米粉湯晉欣調理版" xfId="817"/>
    <cellStyle name="壞_980727冷藏貢丸米粉湯晉欣調理版_包裝指示書(裏)" xfId="10794"/>
    <cellStyle name="壞_980727筍香肉絲" xfId="818"/>
    <cellStyle name="壞_980727筍香肉絲_包裝指示書(裏)" xfId="10795"/>
    <cellStyle name="壞_980727筍香肉絲-試(2)" xfId="819"/>
    <cellStyle name="壞_980727筍香肉絲-試(2)_包裝指示書(裏)" xfId="10796"/>
    <cellStyle name="壞_980727辣子雞丁- 晉欣調理版" xfId="820"/>
    <cellStyle name="壞_980727辣子雞丁- 晉欣調理版_包裝指示書(裏)" xfId="10797"/>
    <cellStyle name="壞_980728蜜汁香雞排便當-確6" xfId="821"/>
    <cellStyle name="壞_980728蜜汁香雞排便當-確6_包裝指示書(裏)" xfId="10798"/>
    <cellStyle name="壞_980825日式三色雞便當確3版" xfId="822"/>
    <cellStyle name="壞_980825日式三色雞便當確3版_包裝指示書(裏)" xfId="10799"/>
    <cellStyle name="壞_980907冷藏花生錦絲涼麵.晉欣調理版" xfId="823"/>
    <cellStyle name="壞_980907冷藏花生錦絲涼麵.晉欣調理版_包裝指示書(裏)" xfId="10800"/>
    <cellStyle name="壞_980908洋芋炸雞排三明治廠務版(指示書修正)" xfId="824"/>
    <cellStyle name="壞_980908洋芋炸雞排三明治廠務版(指示書修正)_包裝指示書(裏)" xfId="10801"/>
    <cellStyle name="壞_980922日式咖哩雞飯糰確1版" xfId="825"/>
    <cellStyle name="壞_980922日式咖哩雞飯糰確1版_包裝指示書(裏)" xfId="10802"/>
    <cellStyle name="壞_980922和風咖哩雞排便當確1版" xfId="826"/>
    <cellStyle name="壞_980922和風咖哩雞排便當確1版_包裝指示書(裏)" xfId="10803"/>
    <cellStyle name="壞_980922黃金起士咖哩豬排三明治.試產版(1)" xfId="827"/>
    <cellStyle name="壞_980922黃金起士咖哩豬排三明治.試產版(1)_包裝指示書(裏)" xfId="10804"/>
    <cellStyle name="壞_980922黃金起士咖哩豬排三明治-試1版" xfId="828"/>
    <cellStyle name="壞_980922黃金起士咖哩豬排三明治-試1版_包裝指示書(裏)" xfId="10805"/>
    <cellStyle name="壞_981006迷你便當-三色便當(晉欣)" xfId="829"/>
    <cellStyle name="壞_981006迷你便當-三色便當(晉欣)_包裝指示書(裏)" xfId="10806"/>
    <cellStyle name="壞_981006黃金蛋皮-普羅旺斯雞排飯糰試2版" xfId="830"/>
    <cellStyle name="壞_981006黃金蛋皮-普羅旺斯雞排飯糰試2版_包裝指示書(裏)" xfId="10807"/>
    <cellStyle name="壞_981006新超值-宮保雞丁便當-確6-廠務版" xfId="831"/>
    <cellStyle name="壞_981006新超值-宮保雞丁便當-確6-廠務版_包裝指示書(裏)" xfId="10808"/>
    <cellStyle name="壞_981013黃金起士咖哩豬排三明治-確1版" xfId="832"/>
    <cellStyle name="壞_981013黃金起士咖哩豬排三明治-確1版_包裝指示書(裏)" xfId="10809"/>
    <cellStyle name="壞_981019冷藏蔥燒牛肉麵-晉欣試產1" xfId="833"/>
    <cellStyle name="壞_981019冷藏蔥燒牛肉麵-晉欣試產1_包裝指示書(裏)" xfId="10810"/>
    <cellStyle name="壞_981020大口義式香草腿排飯糰確1版" xfId="834"/>
    <cellStyle name="壞_981020大口義式香草腿排飯糰確1版_包裝指示書(裏)" xfId="10811"/>
    <cellStyle name="壞_981020大口義式香草腿排飯糰確3版" xfId="835"/>
    <cellStyle name="壞_981020大口義式香草腿排飯糰確3版_包裝指示書(裏)" xfId="10812"/>
    <cellStyle name="壞_981109冷藏牛肉湯麵晉欣廠務版" xfId="836"/>
    <cellStyle name="壞_981109冷藏牛肉湯麵晉欣廠務版_包裝指示書(裏)" xfId="10813"/>
    <cellStyle name="壞_981109冷藏波隆納肉醬義大利麵 晉欣調理版" xfId="837"/>
    <cellStyle name="壞_981109冷藏波隆納肉醬義大利麵 晉欣調理版_包裝指示書(裏)" xfId="10814"/>
    <cellStyle name="壞_981116冷藏台南鍋燒意麵(晉欣調理版)" xfId="838"/>
    <cellStyle name="壞_981116冷藏台南鍋燒意麵(晉欣調理版)_包裝指示書(裏)" xfId="10815"/>
    <cellStyle name="壞_981116冷藏韓式泡菜鍋-廠務" xfId="839"/>
    <cellStyle name="壞_981116冷藏韓式泡菜鍋-廠務_包裝指示書(裏)" xfId="10816"/>
    <cellStyle name="壞_981117熱炒68-黑胡椒豬柳便當確3版" xfId="840"/>
    <cellStyle name="壞_981117熱炒68-黑胡椒豬柳便當確3版_包裝指示書(裏)" xfId="10817"/>
    <cellStyle name="壞_981117熱炒68-黑胡椒豬柳便當確4版(更改九層塔)" xfId="841"/>
    <cellStyle name="壞_981117熱炒68-黑胡椒豬柳便當確4版(更改九層塔)_包裝指示書(裏)" xfId="10818"/>
    <cellStyle name="壞_981117熱炒系列-三杯雞" xfId="842"/>
    <cellStyle name="壞_981117熱炒系列-三杯雞_包裝指示書(裏)" xfId="10819"/>
    <cellStyle name="壞_981117熱炒系列-三杯雞丁" xfId="843"/>
    <cellStyle name="壞_981117熱炒系列-三杯雞丁_包裝指示書(裏)" xfId="10820"/>
    <cellStyle name="壞_981117熱炒系列-黑胡椒豬柳" xfId="844"/>
    <cellStyle name="壞_981117熱炒系列-黑胡椒豬柳_包裝指示書(裏)" xfId="10821"/>
    <cellStyle name="壞_981207冷藏赤?豚骨拉麵晉欣調理版" xfId="10822"/>
    <cellStyle name="壞_981207冷藏赤坂豚骨拉麵晉欣調理版" xfId="845"/>
    <cellStyle name="壞_981214冷藏府城擔仔麵晉欣調理版" xfId="846"/>
    <cellStyle name="壞_981214冷藏府城擔仔麵晉欣調理版_包裝指示書(裏)" xfId="10823"/>
    <cellStyle name="壞_981215中式蔥蛋烤香腸飯糰試1版" xfId="847"/>
    <cellStyle name="壞_981215中式蔥蛋烤香腸飯糰試1版_包裝指示書(裏)" xfId="10824"/>
    <cellStyle name="壞_981215豬肉漢堡試1版" xfId="848"/>
    <cellStyle name="壞_981215豬肉漢堡試1版_包裝指示書(裏)" xfId="10825"/>
    <cellStyle name="壞_981221冷藏奶油龍蝦義大利麵確認版" xfId="849"/>
    <cellStyle name="壞_981221冷藏奶油龍蝦義大利麵確認版_包裝指示書(裏)" xfId="10826"/>
    <cellStyle name="壞_981229火腿起司飯糰試1版" xfId="850"/>
    <cellStyle name="壞_981229火腿起司飯糰試1版_包裝指示書(裏)" xfId="10827"/>
    <cellStyle name="壞_981229迷你-香菇雞便當確5版" xfId="851"/>
    <cellStyle name="壞_981229迷你-香菇雞便當確5版_包裝指示書(裏)" xfId="10828"/>
    <cellStyle name="壞_98818蟹肉沙拉飯糰確1版" xfId="852"/>
    <cellStyle name="壞_98818蟹肉沙拉飯糰確1版_包裝指示書(裏)" xfId="10829"/>
    <cellStyle name="壞_98818蟹肉沙拉飯糰確1版-廠2010" xfId="853"/>
    <cellStyle name="壞_98818蟹肉沙拉飯糰確1版-廠2010_包裝指示書(裏)" xfId="10830"/>
    <cellStyle name="壞_990104沙茶牛肉- 晉欣廠務版" xfId="854"/>
    <cellStyle name="壞_990104沙茶牛肉- 晉欣廠務版_包裝指示書(裏)" xfId="10831"/>
    <cellStyle name="壞_990105新超值-黃金豬排便當確3版" xfId="855"/>
    <cellStyle name="壞_990105新超值-黃金豬排便當確3版_包裝指示書(裏)" xfId="10832"/>
    <cellStyle name="壞_990126冷藏帕瑪森起司焗麵-晉欣調理版" xfId="856"/>
    <cellStyle name="壞_990126冷藏帕瑪森起司焗麵-晉欣調理版_包裝指示書(裏)" xfId="10833"/>
    <cellStyle name="壞_990126虎福卷確3版" xfId="857"/>
    <cellStyle name="壞_990126虎福卷確3版_包裝指示書(裏)" xfId="10834"/>
    <cellStyle name="壞_990222冷藏蛋奶培根義大利麵 晉欣調理版" xfId="858"/>
    <cellStyle name="壞_990222冷藏蛋奶培根義大利麵 晉欣調理版_包裝指示書(裏)" xfId="10835"/>
    <cellStyle name="壞_990222冷藏番茄肉醬義大利晉欣確認版0126" xfId="859"/>
    <cellStyle name="壞_990222冷藏番茄肉醬義大利晉欣確認版0126_包裝指示書(裏)" xfId="10836"/>
    <cellStyle name="壞_990311泰式辣炒牛肉" xfId="860"/>
    <cellStyle name="壞_990311泰式辣炒牛肉_包裝指示書(裏)" xfId="10837"/>
    <cellStyle name="壞_990405川味麻辣涼麵-晉欣廠務版" xfId="861"/>
    <cellStyle name="壞_990405川味麻辣涼麵-晉欣廠務版_包裝指示書(裏)" xfId="10838"/>
    <cellStyle name="壞_990405蝦醬高麗菜-晉欣廠務版(愛味佳能7)" xfId="862"/>
    <cellStyle name="壞_990405蝦醬高麗菜-晉欣廠務版(愛味佳能7)_包裝指示書(裏)" xfId="10839"/>
    <cellStyle name="壞_990412陽光多彩鮮蔬沙拉-晉欣廠務版" xfId="863"/>
    <cellStyle name="壞_990412陽光多彩鮮蔬沙拉-晉欣廠務版_包裝指示書(裏)" xfId="10840"/>
    <cellStyle name="壞_990412陽光多彩鮮蔬沙拉-調理版" xfId="864"/>
    <cellStyle name="壞_990412陽光多彩鮮蔬沙拉-調理版_包裝指示書(裏)" xfId="10841"/>
    <cellStyle name="壞_990412義式雞蛋沙拉-晉欣廠務版(蒸馬鈴薯丁)" xfId="865"/>
    <cellStyle name="壞_990412義式雞蛋沙拉-晉欣廠務版(蒸馬鈴薯丁)_包裝指示書(裏)" xfId="10842"/>
    <cellStyle name="壞_990413千層火腿鮮蔬三明治確1版(廠)" xfId="866"/>
    <cellStyle name="壞_990413千層火腿鮮蔬三明治確1版(廠)_包裝指示書(裏)" xfId="10843"/>
    <cellStyle name="壞_990419和風黑醋蕃茄菇沙拉-晉欣廠務版" xfId="867"/>
    <cellStyle name="壞_990419和風黑醋蕃茄菇沙拉-晉欣廠務版_包裝指示書(裏)" xfId="10844"/>
    <cellStyle name="壞_990419馬鈴薯沙拉佐鮮蔬-晉欣廠務版" xfId="868"/>
    <cellStyle name="壞_990419馬鈴薯沙拉佐鮮蔬-晉欣廠務版_包裝指示書(裏)" xfId="10845"/>
    <cellStyle name="壞_990419馬鈴薯沙拉佐鮮蔬晉欣調理版" xfId="869"/>
    <cellStyle name="壞_990419馬鈴薯沙拉佐鮮蔬晉欣調理版_包裝指示書(裏)" xfId="10846"/>
    <cellStyle name="壞_990419馬鈴薯沙拉佐鮮蔬-試產版" xfId="870"/>
    <cellStyle name="壞_990419馬鈴薯沙拉佐鮮蔬-試產版_包裝指示書(裏)" xfId="10847"/>
    <cellStyle name="壞_990426陽光鮪魚沙拉-晉欣廠務版_增加秤重標準" xfId="871"/>
    <cellStyle name="壞_990426陽光鮪魚沙拉-晉欣廠務版_增加秤重標準_包裝指示書(裏)" xfId="10848"/>
    <cellStyle name="壞_990510冷藏起司雞排義大利麵.晉欣試產版" xfId="872"/>
    <cellStyle name="壞_990510冷藏起司雞排義大利麵.晉欣試產版_包裝指示書(裏)" xfId="10849"/>
    <cellStyle name="壞_990510冷藏韓式涼麵晉欣廠務版-蒸泡菜" xfId="873"/>
    <cellStyle name="壞_990510冷藏韓式涼麵晉欣廠務版-蒸泡菜_包裝指示書(裏)" xfId="10850"/>
    <cellStyle name="壞_990510冷藏韓式涼麵-試產版" xfId="874"/>
    <cellStyle name="壞_990510冷藏韓式涼麵-試產版_包裝指示書(裏)" xfId="10851"/>
    <cellStyle name="壞_990510冷藏韓式涼麵-調理版" xfId="875"/>
    <cellStyle name="壞_990510冷藏韓式涼麵-調理版_包裝指示書(裏)" xfId="10852"/>
    <cellStyle name="壞_990531冷藏蒜炒羅勒培根義大利麵 晉欣調理版" xfId="876"/>
    <cellStyle name="壞_990531冷藏蒜炒羅勒培根義大利麵 晉欣調理版_包裝指示書(裏)" xfId="10853"/>
    <cellStyle name="壞_990531辛口咖哩雞燴飯-晉欣調理版" xfId="877"/>
    <cellStyle name="壞_990531辛口咖哩雞燴飯-晉欣調理版_包裝指示書(裏)" xfId="10854"/>
    <cellStyle name="壞_990531陽光多彩鮮蔬沙拉-廠務版" xfId="878"/>
    <cellStyle name="壞_990531陽光多彩鮮蔬沙拉-廠務版_包裝指示書(裏)" xfId="10855"/>
    <cellStyle name="壞_990608滷香雞腿便當確2版" xfId="879"/>
    <cellStyle name="壞_990608滷香雞腿便當確2版_包裝指示書(裏)" xfId="10856"/>
    <cellStyle name="壞_990614冷藏讚岐烏龍冷麵廠務版" xfId="880"/>
    <cellStyle name="壞_990614冷藏讚岐烏龍冷麵廠務版_包裝指示書(裏)" xfId="10857"/>
    <cellStyle name="壞_990614冷藏讚岐烏龍冷麵調理版" xfId="881"/>
    <cellStyle name="壞_990614冷藏讚岐烏龍冷麵調理版_包裝指示書(裏)" xfId="10858"/>
    <cellStyle name="壞_990614馬鈴薯沙拉佐鮮蔬-千島晉欣廠務版" xfId="882"/>
    <cellStyle name="壞_990614馬鈴薯沙拉佐鮮蔬-千島晉欣廠務版_包裝指示書(裏)" xfId="10859"/>
    <cellStyle name="壞_990614馬鈴薯沙拉佐鮮蔬-千島晉欣廠務版-紫高麗絲、牛番茄修正" xfId="883"/>
    <cellStyle name="壞_990614馬鈴薯沙拉佐鮮蔬-千島晉欣廠務版-紫高麗絲、牛番茄修正_包裝指示書(裏)" xfId="10860"/>
    <cellStyle name="壞_990614鄉村甜薯沙拉晉欣廠務版-紅地瓜修正" xfId="884"/>
    <cellStyle name="壞_990614鄉村甜薯沙拉晉欣廠務版-紅地瓜修正_包裝指示書(裏)" xfId="10861"/>
    <cellStyle name="壞_990628火腿蛋蛋炒飯-晉欣調理版" xfId="885"/>
    <cellStyle name="壞_990628火腿蛋蛋炒飯-晉欣調理版_包裝指示書(裏)" xfId="10862"/>
    <cellStyle name="壞_990705燻雞玉米沙拉.廠務版" xfId="886"/>
    <cellStyle name="壞_990705燻雞玉米沙拉.廠務版_包裝指示書(裏)" xfId="10863"/>
    <cellStyle name="壞_990721XO醬蛋炒飯-晉欣版" xfId="887"/>
    <cellStyle name="壞_990721XO醬蛋炒飯-晉欣版_包裝指示書(裏)" xfId="10864"/>
    <cellStyle name="壞_990721火腿蛋蛋炒飯-晉欣版" xfId="888"/>
    <cellStyle name="壞_990721火腿蛋蛋炒飯-晉欣版_包裝指示書(裏)" xfId="10865"/>
    <cellStyle name="壞_99076傳統滷味便當0402確認(1)晉欣" xfId="889"/>
    <cellStyle name="壞_99076傳統滷味便當0402確認(1)晉欣_包裝指示書(裏)" xfId="10866"/>
    <cellStyle name="壞_990802冷藏奶油燻雞義大利麵.北屏" xfId="890"/>
    <cellStyle name="壞_990802冷藏奶油燻雞義大利麵.北屏_包裝指示書(裏)" xfId="10867"/>
    <cellStyle name="壞_990802冷藏隨手杯黑胡椒麵晉欣廠務版" xfId="891"/>
    <cellStyle name="壞_990802冷藏隨手杯黑胡椒麵晉欣廠務版_包裝指示書(裏)" xfId="10868"/>
    <cellStyle name="壞_990824彰化老店排骨飯-晉欣" xfId="892"/>
    <cellStyle name="壞_990824彰化老店排骨飯-晉欣_包裝指示書(裏)" xfId="10869"/>
    <cellStyle name="壞_990831花壽司調理修正cas號碼" xfId="893"/>
    <cellStyle name="壞_990831花壽司調理修正cas號碼_包裝指示書(裏)" xfId="10870"/>
    <cellStyle name="壞_990906火腿玉子沙拉-晉欣廠務版" xfId="894"/>
    <cellStyle name="壞_990906火腿玉子沙拉-晉欣廠務版_包裝指示書(裏)" xfId="10871"/>
    <cellStyle name="壞_990928勝利豬排三明治--廠務版修正" xfId="895"/>
    <cellStyle name="壞_990928勝利豬排三明治--廠務版修正_包裝指示書(裏)" xfId="10872"/>
    <cellStyle name="壞_991004冷藏清水排骨酥麵晉欣調理版" xfId="896"/>
    <cellStyle name="壞_991004冷藏清水排骨酥麵晉欣調理版_包裝指示書(裏)" xfId="10873"/>
    <cellStyle name="壞_991116黃金日式咖哩豬排三明治-廠務版1" xfId="897"/>
    <cellStyle name="壞_991116黃金日式咖哩豬排三明治-廠務版1_包裝指示書(裏)" xfId="10874"/>
    <cellStyle name="壞_BIG蕃茄炒飯" xfId="898"/>
    <cellStyle name="壞_BIG蕃茄炒飯_包裝指示書(裏)" xfId="10875"/>
    <cellStyle name="壞_HMR-炸豆腐" xfId="899"/>
    <cellStyle name="壞_HMR-炸豆腐_包裝指示書(裏)" xfId="10876"/>
    <cellStyle name="壞_人氣雙手卷(地瓜版)" xfId="900"/>
    <cellStyle name="壞_人氣雙手卷(地瓜版)_包裝指示書(裏)" xfId="10877"/>
    <cellStyle name="壞_人氣雙手卷OK" xfId="901"/>
    <cellStyle name="壞_人氣雙手卷OK_包裝指示書(裏)" xfId="10878"/>
    <cellStyle name="壞_千層火腿玉米沙拉三明治" xfId="902"/>
    <cellStyle name="壞_千層火腿玉米沙拉三明治_包裝指示書(裏)" xfId="10879"/>
    <cellStyle name="壞_大口肉鬆蛋飯糰─華福" xfId="903"/>
    <cellStyle name="壞_大口肉鬆蛋飯糰─華福_包裝指示書(裏)" xfId="10880"/>
    <cellStyle name="壞_大口咖哩豬排飯糰試1版(廠務)" xfId="904"/>
    <cellStyle name="壞_大口咖哩豬排飯糰試1版(廠務)_包裝指示書(裏)" xfId="10881"/>
    <cellStyle name="壞_大口炭烤豬排飯糰" xfId="905"/>
    <cellStyle name="壞_大口炭烤豬排飯糰_包裝指示書(裏)" xfId="10882"/>
    <cellStyle name="壞_大口黃金蛋皮飯糰" xfId="906"/>
    <cellStyle name="壞_大口黃金蛋皮飯糰(黑胡椒洋蔥)" xfId="907"/>
    <cellStyle name="壞_大口黃金蛋皮飯糰(黑胡椒洋蔥)_包裝指示書(裏)" xfId="10883"/>
    <cellStyle name="壞_大口黃金蛋皮飯糰_包裝指示書(裏)" xfId="10884"/>
    <cellStyle name="壞_大口黑胡椒牛肉漢堡飯糰" xfId="908"/>
    <cellStyle name="壞_大口黑胡椒牛肉漢堡飯糰_包裝指示書(裏)" xfId="10885"/>
    <cellStyle name="壞_大吉大利三明治" xfId="909"/>
    <cellStyle name="壞_大吉大利三明治_包裝指示書(裏)" xfId="10886"/>
    <cellStyle name="壞_中式黑胡椒醬" xfId="910"/>
    <cellStyle name="壞_中式黑胡椒醬_包裝指示書(裏)" xfId="10887"/>
    <cellStyle name="壞_中式傳統肉鬆飯糰" xfId="911"/>
    <cellStyle name="壞_中式傳統肉鬆飯糰_包裝指示書(裏)" xfId="10888"/>
    <cellStyle name="壞_中式傳統糯米飯糰(廠務)試1" xfId="912"/>
    <cellStyle name="壞_中式傳統糯米飯糰(廠務)試1_包裝指示書(裏)" xfId="10889"/>
    <cellStyle name="壞_中式蔥蛋烤香腸飯糰" xfId="913"/>
    <cellStyle name="壞_中式蔥蛋烤香腸飯糰_包裝指示書(裏)" xfId="10890"/>
    <cellStyle name="壞_什錦燴飯" xfId="914"/>
    <cellStyle name="壞_什錦燴飯_包裝指示書(裏)" xfId="10891"/>
    <cellStyle name="壞_元氣壽司雙組合" xfId="915"/>
    <cellStyle name="壞_元氣壽司雙組合_包裝指示書(裏)" xfId="10892"/>
    <cellStyle name="壞_元氣蝦堡三明治-美生菜-行銷會議成本試算60g" xfId="916"/>
    <cellStyle name="壞_元氣蝦堡三明治-美生菜-行銷會議成本試算60g_包裝指示書(裏)" xfId="10893"/>
    <cellStyle name="壞_午餐壽司組合" xfId="917"/>
    <cellStyle name="壞_午餐壽司組合_包裝指示書(裏)" xfId="10894"/>
    <cellStyle name="壞_手工雞沙肉醬-焗烤厚片" xfId="918"/>
    <cellStyle name="壞_手工雞沙肉醬-焗烤厚片_包裝指示書(裏)" xfId="10895"/>
    <cellStyle name="壞_日本一番三明治-鮪魚-2" xfId="919"/>
    <cellStyle name="壞_日本一番三明治-鮪魚-2_包裝指示書(裏)" xfId="10896"/>
    <cellStyle name="壞_日式三色雞便當" xfId="920"/>
    <cellStyle name="壞_日式三色雞便當_包裝指示書(裏)" xfId="10897"/>
    <cellStyle name="壞_日式味噌豚鍋--白味噌醬" xfId="921"/>
    <cellStyle name="壞_日式味噌豚鍋--白味噌醬_包裝指示書(裏)" xfId="10898"/>
    <cellStyle name="壞_日式味噌豚鍋--紅味噌醬" xfId="922"/>
    <cellStyle name="壞_日式味噌豚鍋--紅味噌醬_包裝指示書(裏)" xfId="10899"/>
    <cellStyle name="壞_日式咖哩雞肉飯糰" xfId="923"/>
    <cellStyle name="壞_日式咖哩雞肉飯糰_包裝指示書(裏)" xfId="10900"/>
    <cellStyle name="壞_日式炒麵堡" xfId="924"/>
    <cellStyle name="壞_日式炒麵堡_包裝指示書(裏)" xfId="10901"/>
    <cellStyle name="壞_日式洋蔥味噌鮭魚鍋" xfId="925"/>
    <cellStyle name="壞_日式洋蔥味噌鮭魚鍋_包裝指示書(裏)" xfId="10902"/>
    <cellStyle name="壞_日式唐揚雞親子飯_2012.11.15" xfId="926"/>
    <cellStyle name="壞_日式唐揚雞親子飯_2012.11.15_包裝指示書(裏)" xfId="10903"/>
    <cellStyle name="壞_日式章魚-PIZZA" xfId="927"/>
    <cellStyle name="壞_日式章魚-PIZZA_包裝指示書(裏)" xfId="10904"/>
    <cellStyle name="壞_日式雞唐揚便當自製" xfId="928"/>
    <cellStyle name="壞_日式雞唐揚便當自製_包裝指示書(裏)" xfId="10905"/>
    <cellStyle name="壞_木須肉0325" xfId="929"/>
    <cellStyle name="壞_木須肉0325_包裝指示書(裏)" xfId="10906"/>
    <cellStyle name="壞_火腿三明治" xfId="930"/>
    <cellStyle name="壞_火腿三明治_包裝指示書(裏)" xfId="10907"/>
    <cellStyle name="壞_火腿起司生菜沙拉-晉欣廠務版" xfId="931"/>
    <cellStyle name="壞_火腿起司生菜沙拉-晉欣廠務版_包裝指示書(裏)" xfId="10908"/>
    <cellStyle name="壞_火腿鮪魚三明治" xfId="932"/>
    <cellStyle name="壞_火腿鮪魚三明治_包裝指示書(裏)" xfId="10909"/>
    <cellStyle name="壞_功夫麵" xfId="933"/>
    <cellStyle name="壞_功夫麵_包裝指示書(裏)" xfId="10910"/>
    <cellStyle name="壞_包裝指示書(裏)" xfId="10911"/>
    <cellStyle name="壞_古奈屋咖哩烏龍麵--禂度上修(奶油麵粉50g)" xfId="934"/>
    <cellStyle name="壞_古奈屋咖哩烏龍麵--禂度上修(奶油麵粉50g)_包裝指示書(裏)" xfId="10912"/>
    <cellStyle name="壞_台式麻辣鍋" xfId="935"/>
    <cellStyle name="壞_台式麻辣鍋_包裝指示書(裏)" xfId="10913"/>
    <cellStyle name="壞_台式鹹粥" xfId="936"/>
    <cellStyle name="壞_台式鹹粥_包裝指示書(裏)" xfId="10914"/>
    <cellStyle name="壞_奶油摩佐起司焗麵" xfId="937"/>
    <cellStyle name="壞_奶油摩佐起司焗麵_包裝指示書(裏)" xfId="10915"/>
    <cellStyle name="壞_奶油龍蝦焗麵(調理版)" xfId="938"/>
    <cellStyle name="壞_奶油龍蝦焗麵(調理版)_包裝指示書(裏)" xfId="10916"/>
    <cellStyle name="壞_奶油龍蝦義大利麵" xfId="939"/>
    <cellStyle name="壞_奶油龍蝦義大利麵_包裝指示書(裏)" xfId="10917"/>
    <cellStyle name="壞_奶油雞丁焗烤麵" xfId="940"/>
    <cellStyle name="壞_奶油雞丁焗烤麵_包裝指示書(裏)" xfId="10918"/>
    <cellStyle name="壞_玉子火腿沙拉" xfId="941"/>
    <cellStyle name="壞_玉子火腿沙拉_包裝指示書(裏)" xfId="10919"/>
    <cellStyle name="壞_玉米蛋沙三明治(20元)" xfId="942"/>
    <cellStyle name="壞_玉米蛋沙三明治(20元)_包裝指示書(裏)" xfId="10920"/>
    <cellStyle name="壞_白豆醬?魚" xfId="10921"/>
    <cellStyle name="壞_白豆醬鲂魚" xfId="943"/>
    <cellStyle name="壞_吐司規範" xfId="944"/>
    <cellStyle name="壞_吐司規範_包裝指示書(裏)" xfId="10922"/>
    <cellStyle name="壞_池上招牌便當-1" xfId="945"/>
    <cellStyle name="壞_池上招牌便當-1_包裝指示書(裏)" xfId="10923"/>
    <cellStyle name="壞_肉鬆火腿蛋堡" xfId="946"/>
    <cellStyle name="壞_肉鬆火腿蛋堡_包裝指示書(裏)" xfId="10924"/>
    <cellStyle name="壞_肉鬆蛋沙拉三明治$18" xfId="947"/>
    <cellStyle name="壞_肉鬆蛋沙拉三明治$18(模仿)" xfId="948"/>
    <cellStyle name="壞_肉鬆蛋沙拉三明治$18(模仿)_包裝指示書(裏)" xfId="10925"/>
    <cellStyle name="壞_肉鬆蛋沙拉三明治$18_包裝指示書(裏)" xfId="10926"/>
    <cellStyle name="壞_肉鬆鮪魚三明治-105" xfId="949"/>
    <cellStyle name="壞_肉鬆鮪魚三明治-105_包裝指示書(裏)" xfId="10927"/>
    <cellStyle name="壞_西西里海鮮焗烤飯" xfId="950"/>
    <cellStyle name="壞_西西里海鮮焗烤飯_包裝指示書(裏)" xfId="10928"/>
    <cellStyle name="壞_西西里鮪魚蔬菜焗烤飯" xfId="951"/>
    <cellStyle name="壞_西西里鮪魚蔬菜焗烤飯_包裝指示書(裏)" xfId="10929"/>
    <cellStyle name="壞_冷藏九州豚骨拉麵半個蛋" xfId="952"/>
    <cellStyle name="壞_冷藏九州豚骨拉麵半個蛋_包裝指示書(裏)" xfId="10930"/>
    <cellStyle name="壞_冷藏奶油燻雞義大利麵 晉欣試產版" xfId="953"/>
    <cellStyle name="壞_冷藏奶油燻雞義大利麵 晉欣試產版_包裝指示書(裏)" xfId="10931"/>
    <cellStyle name="壞_冷藏奶油燻雞義大利麵 晉欣調理版" xfId="954"/>
    <cellStyle name="壞_冷藏奶油燻雞義大利麵 晉欣調理版_包裝指示書(裏)" xfId="10932"/>
    <cellStyle name="壞_冷藏沙茶乾拌麵" xfId="955"/>
    <cellStyle name="壞_冷藏沙茶乾拌麵_包裝指示書(裏)" xfId="10933"/>
    <cellStyle name="壞_冷藏沙茶燒肉炒麵-改正好的" xfId="956"/>
    <cellStyle name="壞_冷藏沙茶燒肉炒麵-改正好的_包裝指示書(裏)" xfId="10934"/>
    <cellStyle name="壞_冷藏咖哩炒麵" xfId="957"/>
    <cellStyle name="壞_冷藏咖哩炒麵_包裝指示書(裏)" xfId="10935"/>
    <cellStyle name="壞_冷藏紅燒牛肉麵" xfId="958"/>
    <cellStyle name="壞_冷藏紅燒牛肉麵_包裝指示書(裏)" xfId="10936"/>
    <cellStyle name="壞_冷藏美式燻腸義大利麵(南區)" xfId="959"/>
    <cellStyle name="壞_冷藏美式燻腸義大利麵(南區)_包裝指示書(裏)" xfId="10937"/>
    <cellStyle name="壞_冷藏香菇雞麵線" xfId="960"/>
    <cellStyle name="壞_冷藏香菇雞麵線_包裝指示書(裏)" xfId="10938"/>
    <cellStyle name="壞_冷藏海鮮湯麵" xfId="961"/>
    <cellStyle name="壞_冷藏海鮮湯麵_包裝指示書(裏)" xfId="10939"/>
    <cellStyle name="壞_冷藏海鮮湯麵-干貝" xfId="962"/>
    <cellStyle name="壞_冷藏海鮮湯麵-干貝_包裝指示書(裏)" xfId="10940"/>
    <cellStyle name="壞_冷藏海鮮麵" xfId="963"/>
    <cellStyle name="壞_冷藏海鮮麵_包裝指示書(裏)" xfId="10941"/>
    <cellStyle name="壞_冷藏魚香乾拌麵" xfId="964"/>
    <cellStyle name="壞_冷藏魚香乾拌麵_包裝指示書(裏)" xfId="10942"/>
    <cellStyle name="壞_冷藏榨菜肉絲乾麵- 晉欣調理版" xfId="965"/>
    <cellStyle name="壞_冷藏榨菜肉絲乾麵- 晉欣調理版_包裝指示書(裏)" xfId="10943"/>
    <cellStyle name="壞_冷藏精燉肉燥乾拌麵-升級版" xfId="966"/>
    <cellStyle name="壞_冷藏精燉肉燥乾拌麵-升級版_包裝指示書(裏)" xfId="10944"/>
    <cellStyle name="壞_冷藏精燉肉燥乾拌麵-調理版0627" xfId="967"/>
    <cellStyle name="壞_冷藏精燉肉燥乾拌麵-調理版0627_包裝指示書(裏)" xfId="10945"/>
    <cellStyle name="壞_冷藏蔥燒牛肉麵--35g" xfId="968"/>
    <cellStyle name="壞_冷藏蔥燒牛肉麵--35g_包裝指示書(裏)" xfId="10946"/>
    <cellStyle name="壞_冷藏蘑菇雞排鐵板麵" xfId="969"/>
    <cellStyle name="壞_冷藏蘑菇雞排鐵板麵_包裝指示書(裏)" xfId="10947"/>
    <cellStyle name="壞_沙茶肉片炒麵A" xfId="970"/>
    <cellStyle name="壞_沙茶肉片炒麵A_包裝指示書(裏)" xfId="10948"/>
    <cellStyle name="壞_沙茶肉片燴飯" xfId="971"/>
    <cellStyle name="壞_沙茶肉片燴飯_包裝指示書(裏)" xfId="10949"/>
    <cellStyle name="壞_沙茶豬肉便當" xfId="972"/>
    <cellStyle name="壞_沙茶豬肉便當_包裝指示書(裏)" xfId="10950"/>
    <cellStyle name="壞_和風雞絲飯糰-鹽" xfId="973"/>
    <cellStyle name="壞_和風雞絲飯糰-鹽_包裝指示書(裏)" xfId="10951"/>
    <cellStyle name="壞_咖哩焗烤飯" xfId="974"/>
    <cellStyle name="壞_咖哩焗烤飯_包裝指示書(裏)" xfId="10952"/>
    <cellStyle name="壞_咖哩豬便當-0618" xfId="975"/>
    <cellStyle name="壞_咖哩豬便當-0618_包裝指示書(裏)" xfId="10953"/>
    <cellStyle name="壞_咖哩鍋便當" xfId="976"/>
    <cellStyle name="壞_咖哩鍋便當_包裝指示書(裏)" xfId="10954"/>
    <cellStyle name="壞_咖哩雞肉烏龍麵" xfId="977"/>
    <cellStyle name="壞_咖哩雞肉烏龍麵_包裝指示書(裏)" xfId="10955"/>
    <cellStyle name="壞_咖哩雞肉焗烤飯" xfId="978"/>
    <cellStyle name="壞_咖哩雞肉焗烤飯_包裝指示書(裏)" xfId="10956"/>
    <cellStyle name="壞_法式烤春雞三明治" xfId="979"/>
    <cellStyle name="壞_法式烤春雞三明治_包裝指示書(裏)" xfId="10957"/>
    <cellStyle name="壞_炒雞肉絲參考配方" xfId="980"/>
    <cellStyle name="壞_炒雞肉絲參考配方_包裝指示書(裏)" xfId="10958"/>
    <cellStyle name="壞_芙蓉桂筍-(晉欣調理版)" xfId="981"/>
    <cellStyle name="壞_芙蓉桂筍-(晉欣調理版)_包裝指示書(裏)" xfId="10959"/>
    <cellStyle name="壞_芹香豆干" xfId="982"/>
    <cellStyle name="壞_芹香豆干_包裝指示書(裏)" xfId="10960"/>
    <cellStyle name="壞_青椒牛柳" xfId="983"/>
    <cellStyle name="壞_青椒牛柳_包裝指示書(裏)" xfId="10961"/>
    <cellStyle name="壞_屏榮-1000412手工雞蛋沙拉三明治.試產版(1)" xfId="984"/>
    <cellStyle name="壞_屏榮-1000412手工雞蛋沙拉三明治.試產版(1) (version 1)" xfId="985"/>
    <cellStyle name="壞_屏榮-1000412手工雞蛋沙拉三明治.試產版(1) (version 1)_包裝指示書(裏)" xfId="10962"/>
    <cellStyle name="壞_屏榮-1000412手工雞蛋沙拉三明治.試產版(1)_包裝指示書(裏)" xfId="10963"/>
    <cellStyle name="壞_洋蔥牛肉" xfId="986"/>
    <cellStyle name="壞_洋蔥牛肉_包裝指示書(裏)" xfId="10964"/>
    <cellStyle name="壞_洋蔥牛肉片" xfId="987"/>
    <cellStyle name="壞_洋蔥牛肉片_包裝指示書(裏)" xfId="10965"/>
    <cellStyle name="壞_紅酒牛肉-燴炒飯" xfId="988"/>
    <cellStyle name="壞_紅酒牛肉-燴炒飯(2)" xfId="989"/>
    <cellStyle name="壞_紅酒牛肉-燴炒飯(2)_包裝指示書(裏)" xfId="10966"/>
    <cellStyle name="壞_紅酒牛肉-燴炒飯_包裝指示書(裏)" xfId="10967"/>
    <cellStyle name="壞_紅燒羊肉AJ700 - 寬條冬粉" xfId="990"/>
    <cellStyle name="壞_紅燒羊肉AJ700 - 寬條冬粉_包裝指示書(裏)" xfId="10968"/>
    <cellStyle name="壞_紅燒魯肉" xfId="991"/>
    <cellStyle name="壞_紅燒魯肉_包裝指示書(裏)" xfId="10969"/>
    <cellStyle name="壞_美乃滋明太子飯糰" xfId="992"/>
    <cellStyle name="壞_美乃滋明太子飯糰(夾心)" xfId="993"/>
    <cellStyle name="壞_美乃滋明太子飯糰(夾心)_包裝指示書(裏)" xfId="10970"/>
    <cellStyle name="壞_美乃滋明太子飯糰_包裝指示書(裏)" xfId="10971"/>
    <cellStyle name="壞_茄汁雞丁蛋飯糰" xfId="994"/>
    <cellStyle name="壞_茄汁雞丁蛋飯糰_包裝指示書(裏)" xfId="10972"/>
    <cellStyle name="壞_茄汁雞排堡飯糰(新)" xfId="995"/>
    <cellStyle name="壞_茄汁雞排堡飯糰(新)_包裝指示書(裏)" xfId="10973"/>
    <cellStyle name="壞_香烤豬排蘑菇醬鐵板麵-更改大口肉片" xfId="996"/>
    <cellStyle name="壞_香烤豬排蘑菇醬鐵板麵-更改大口肉片_包裝指示書(裏)" xfId="10974"/>
    <cellStyle name="壞_香草烤雞三明治" xfId="997"/>
    <cellStyle name="壞_香草烤雞三明治_包裝指示書(裏)" xfId="10975"/>
    <cellStyle name="壞_香菇肉羹飯" xfId="998"/>
    <cellStyle name="壞_香菇肉羹飯_包裝指示書(裏)" xfId="10976"/>
    <cellStyle name="壞_香蒜培根義大利麵-區" xfId="999"/>
    <cellStyle name="壞_香蒜培根義大利麵-區_包裝指示書(裏)" xfId="10977"/>
    <cellStyle name="壞_家鄉居雞" xfId="1000"/>
    <cellStyle name="壞_家鄉居雞_包裝指示書(裏)" xfId="10978"/>
    <cellStyle name="壞_拿坡里義大利麵-燻雞瑞輝" xfId="1001"/>
    <cellStyle name="壞_拿坡里義大利麵-燻雞瑞輝_包裝指示書(裏)" xfId="10979"/>
    <cellStyle name="壞_泰式辣炒牛肉" xfId="1002"/>
    <cellStyle name="壞_泰式辣炒牛肉_包裝指示書(裏)" xfId="10980"/>
    <cellStyle name="壞_烤肉三明治(肉2片美生菜版)改" xfId="1003"/>
    <cellStyle name="壞_烤肉三明治(肉2片美生菜版)改_包裝指示書(裏)" xfId="10981"/>
    <cellStyle name="壞_烤肉香腸三明治(肉1.5片小黃瓜版)" xfId="1004"/>
    <cellStyle name="壞_烤肉香腸三明治(肉1.5片小黃瓜版)_包裝指示書(裏)" xfId="10982"/>
    <cellStyle name="壞_烤豬肉片三明治( 蛋片版)" xfId="1005"/>
    <cellStyle name="壞_烤豬肉片三明治( 蛋片版)_包裝指示書(裏)" xfId="10983"/>
    <cellStyle name="壞_烤豬肉片三明治(火腿版)" xfId="1006"/>
    <cellStyle name="壞_烤豬肉片三明治(火腿版)_包裝指示書(裏)" xfId="10984"/>
    <cellStyle name="壞_起士火腿烤蛋堡" xfId="1007"/>
    <cellStyle name="壞_起士火腿烤蛋堡_包裝指示書(裏)" xfId="10985"/>
    <cellStyle name="壞_起士火腿蛋堡" xfId="1008"/>
    <cellStyle name="壞_起士火腿蛋堡_包裝指示書(裏)" xfId="10986"/>
    <cellStyle name="壞_迷你便當-香菇雞" xfId="1009"/>
    <cellStyle name="壞_迷你便當-香菇雞_包裝指示書(裏)" xfId="10987"/>
    <cellStyle name="壞_商務-香炸雞排_2012.12.04" xfId="1010"/>
    <cellStyle name="壞_商務-香炸雞排_2012.12.04_包裝指示書(裏)" xfId="10988"/>
    <cellStyle name="壞_清蒸?魚" xfId="10989"/>
    <cellStyle name="壞_清蒸鲂魚" xfId="1011"/>
    <cellStyle name="壞_焗烤奶油明太子飯糰" xfId="1012"/>
    <cellStyle name="壞_焗烤奶油明太子飯糰_包裝指示書(裏)" xfId="10990"/>
    <cellStyle name="壞_焗烤鮭魚飯糰" xfId="1013"/>
    <cellStyle name="壞_焗烤鮭魚飯糰_包裝指示書(裏)" xfId="10991"/>
    <cellStyle name="壞_野菇拌飯" xfId="1014"/>
    <cellStyle name="壞_野菇拌飯_包裝指示書(裏)" xfId="10992"/>
    <cellStyle name="壞_普羅旺斯烤雞蛋皮飯糰" xfId="1015"/>
    <cellStyle name="壞_普羅旺斯烤雞蛋皮飯糰_包裝指示書(裏)" xfId="10993"/>
    <cellStyle name="壞_椒麻雞" xfId="1016"/>
    <cellStyle name="壞_椒麻雞_包裝指示書(裏)" xfId="10994"/>
    <cellStyle name="壞_番茄肉醬義大利麵" xfId="1017"/>
    <cellStyle name="壞_番茄肉醬義大利麵_包裝指示書(裏)" xfId="10995"/>
    <cellStyle name="壞_番茄雞肉義大利麵-區" xfId="1018"/>
    <cellStyle name="壞_番茄雞肉義大利麵-區_包裝指示書(裏)" xfId="10996"/>
    <cellStyle name="壞_超厚火腿多汁蛋沙拉三明治" xfId="1019"/>
    <cellStyle name="壞_超厚火腿多汁蛋沙拉三明治_包裝指示書(裏)" xfId="10997"/>
    <cellStyle name="壞_超厚火腿多汁鮪魚三明治" xfId="1020"/>
    <cellStyle name="壞_超厚火腿多汁鮪魚三明治_包裝指示書(裏)" xfId="10998"/>
    <cellStyle name="壞_開陽滷白菜" xfId="1021"/>
    <cellStyle name="壞_開陽滷白菜_包裝指示書(裏)" xfId="10999"/>
    <cellStyle name="壞_陽春湯麵-" xfId="1022"/>
    <cellStyle name="壞_陽春湯麵-_包裝指示書(裏)" xfId="11000"/>
    <cellStyle name="壞_黃金起士?醬薯餅三明治" xfId="11001"/>
    <cellStyle name="壞_黃金起士双醬薯餅三明治" xfId="1023"/>
    <cellStyle name="壞_黑胡椒肉片鐵板麵" xfId="1024"/>
    <cellStyle name="壞_黑胡椒肉片鐵板麵_包裝指示書(裏)" xfId="11002"/>
    <cellStyle name="壞_黑胡椒肉片鐵板麵--黑胡椒醬" xfId="1025"/>
    <cellStyle name="壞_黑胡椒肉片鐵板麵--黑胡椒醬_包裝指示書(裏)" xfId="11003"/>
    <cellStyle name="壞_黑胡椒肉排鐵板麵" xfId="1026"/>
    <cellStyle name="壞_黑胡椒肉排鐵板麵_包裝指示書(裏)" xfId="11004"/>
    <cellStyle name="壞_黑胡椒豬肉燴麵" xfId="1027"/>
    <cellStyle name="壞_黑胡椒豬肉燴麵_包裝指示書(裏)" xfId="11005"/>
    <cellStyle name="壞_圓形飯糰-烤蛋" xfId="1028"/>
    <cellStyle name="壞_圓形飯糰-烤蛋_包裝指示書(裏)" xfId="11006"/>
    <cellStyle name="壞_新超值Ⅱ-雞排+糖醋豬肉便當" xfId="1029"/>
    <cellStyle name="壞_新超值Ⅱ-雞排+糖醋豬肉便當_包裝指示書(裏)" xfId="11007"/>
    <cellStyle name="壞_新超值-沙茶豬肉便當" xfId="1030"/>
    <cellStyle name="壞_新超值-沙茶豬肉便當_包裝指示書(裏)" xfId="11008"/>
    <cellStyle name="壞_新增Microsoft Excel 工作表" xfId="1031"/>
    <cellStyle name="壞_新增Microsoft Excel 工作表_包裝指示書(裏)" xfId="11009"/>
    <cellStyle name="壞_煙燻鮭魚細卷" xfId="1032"/>
    <cellStyle name="壞_煙燻鮭魚細卷_包裝指示書(裏)" xfId="11010"/>
    <cellStyle name="壞_煙燻鮭魚細卷-鮭魚改用芙滋+華昇的" xfId="1033"/>
    <cellStyle name="壞_煙燻鮭魚細卷-鮭魚改用芙滋+華昇的_包裝指示書(裏)" xfId="11011"/>
    <cellStyle name="壞_照燒燻雞三明治" xfId="1034"/>
    <cellStyle name="壞_照燒燻雞三明治_包裝指示書(裏)" xfId="11012"/>
    <cellStyle name="壞_照燒雞三明治" xfId="1035"/>
    <cellStyle name="壞_照燒雞三明治_包裝指示書(裏)" xfId="11013"/>
    <cellStyle name="壞_照燒鱒鮭沙拉飯糰(105)" xfId="1036"/>
    <cellStyle name="壞_照燒鱒鮭沙拉飯糰(105)_包裝指示書(裏)" xfId="11014"/>
    <cellStyle name="壞_義式起司牛肉堡" xfId="1037"/>
    <cellStyle name="壞_義式起司牛肉堡_包裝指示書(裏)" xfId="11015"/>
    <cellStyle name="壞_壽司三明治-外" xfId="1038"/>
    <cellStyle name="壞_壽司三明治-外_包裝指示書(裏)" xfId="11016"/>
    <cellStyle name="壞_滷雞腿便當1--OK" xfId="1039"/>
    <cellStyle name="壞_滷雞腿便當1--OK_包裝指示書(裏)" xfId="11017"/>
    <cellStyle name="壞_滷雞腿便當2--OK" xfId="1040"/>
    <cellStyle name="壞_滷雞腿便當2--OK_包裝指示書(裏)" xfId="11018"/>
    <cellStyle name="壞_蒙古鍋" xfId="1041"/>
    <cellStyle name="壞_蒙古鍋_包裝指示書(裏)" xfId="11019"/>
    <cellStyle name="壞_蒲燒鯛魚飯糰(140片)-1221試-提報" xfId="1042"/>
    <cellStyle name="壞_蒲燒鯛魚飯糰(140片)-1221試-提報_包裝指示書(裏)" xfId="11020"/>
    <cellStyle name="壞_辣味鮪魚飯糰" xfId="1043"/>
    <cellStyle name="壞_辣味鮪魚飯糰_包裝指示書(裏)" xfId="11021"/>
    <cellStyle name="壞_辣味雞胸排便當" xfId="1044"/>
    <cellStyle name="壞_辣味雞胸排便當_包裝指示書(裏)" xfId="11022"/>
    <cellStyle name="壞_辣醬肉燥麵" xfId="1045"/>
    <cellStyle name="壞_辣醬肉燥麵_包裝指示書(裏)" xfId="11023"/>
    <cellStyle name="壞_墨西哥牛肉堡" xfId="1046"/>
    <cellStyle name="壞_墨西哥牛肉堡_包裝指示書(裏)" xfId="11024"/>
    <cellStyle name="壞_熱炒系列-三杯尤魚" xfId="1047"/>
    <cellStyle name="壞_熱炒系列-三杯尤魚_包裝指示書(裏)" xfId="11025"/>
    <cellStyle name="壞_熱炒系列-回鍋肉" xfId="1048"/>
    <cellStyle name="壞_熱炒系列-回鍋肉_包裝指示書(裏)" xfId="11026"/>
    <cellStyle name="壞_熱炒系列-黑胡椒豬柳" xfId="1049"/>
    <cellStyle name="壞_熱炒系列-黑胡椒豬柳_包裝指示書(裏)" xfId="11027"/>
    <cellStyle name="壞_熱炒系列-蜜汁排骨-1" xfId="1050"/>
    <cellStyle name="壞_熱炒系列-蜜汁排骨-1_包裝指示書(裏)" xfId="11028"/>
    <cellStyle name="壞_稻荷壽司2入" xfId="1051"/>
    <cellStyle name="壞_稻荷壽司2入_包裝指示書(裏)" xfId="11029"/>
    <cellStyle name="壞_稻荷壽司2入1" xfId="1052"/>
    <cellStyle name="壞_稻荷壽司2入1_包裝指示書(裏)" xfId="11030"/>
    <cellStyle name="壞_蔥油雞" xfId="1053"/>
    <cellStyle name="壞_蔥油雞_包裝指示書(裏)" xfId="11031"/>
    <cellStyle name="壞_蔬菜類非綠色蔬菜" xfId="1054"/>
    <cellStyle name="壞_蔬菜類非綠色蔬菜_包裝指示書(裏)" xfId="11032"/>
    <cellStyle name="壞_複本 980915日式三色雞便當色差" xfId="1055"/>
    <cellStyle name="壞_複本 980915日式三色雞便當色差_包裝指示書(裏)" xfId="11033"/>
    <cellStyle name="壞_複製 -990427焗烤茄汁肉醬飯糰試2版" xfId="1056"/>
    <cellStyle name="壞_複製 -990427焗烤茄汁肉醬飯糰試2版_包裝指示書(裏)" xfId="11034"/>
    <cellStyle name="壞_複製 -咖哩雞肉焗烤飯" xfId="1057"/>
    <cellStyle name="壞_複製 -咖哩雞肉焗烤飯_包裝指示書(裏)" xfId="11035"/>
    <cellStyle name="壞_豬肉蛋堡(黑胡椒版)" xfId="1058"/>
    <cellStyle name="壞_豬肉蛋堡(黑胡椒版)_包裝指示書(裏)" xfId="11036"/>
    <cellStyle name="壞_豬排蛋中式飯糰" xfId="1059"/>
    <cellStyle name="壞_豬排蛋中式飯糰_包裝指示書(裏)" xfId="11037"/>
    <cellStyle name="壞_醋溜肉片" xfId="1060"/>
    <cellStyle name="壞_醋溜肉片_包裝指示書(裏)" xfId="11038"/>
    <cellStyle name="壞_魷魚羹湯" xfId="1061"/>
    <cellStyle name="壞_魷魚羹湯_包裝指示書(裏)" xfId="11039"/>
    <cellStyle name="壞_燒烤牛肉堡" xfId="1062"/>
    <cellStyle name="壞_燒烤牛肉堡_包裝指示書(裏)" xfId="11040"/>
    <cellStyle name="壞_燒烤風-韓式烤肉飯" xfId="1063"/>
    <cellStyle name="壞_燒烤風-韓式烤肉飯_包裝指示書(裏)" xfId="11041"/>
    <cellStyle name="壞_糖醋甜不辣" xfId="1064"/>
    <cellStyle name="壞_糖醋甜不辣_包裝指示書(裏)" xfId="11042"/>
    <cellStyle name="壞_糖醋雞丁" xfId="1065"/>
    <cellStyle name="壞_糖醋雞丁_包裝指示書(裏)" xfId="11043"/>
    <cellStyle name="壞_蕃茄炒飯" xfId="1066"/>
    <cellStyle name="壞_蕃茄炒飯_包裝指示書(裏)" xfId="11044"/>
    <cellStyle name="壞_蕃茄蛋炒飯調理版" xfId="1067"/>
    <cellStyle name="壞_蕃茄蛋炒飯調理版_包裝指示書(裏)" xfId="11045"/>
    <cellStyle name="壞_鴛鴦鍋-麻辣+昆布柴魚" xfId="1068"/>
    <cellStyle name="壞_鴛鴦鍋-麻辣+昆布柴魚_包裝指示書(裏)" xfId="11046"/>
    <cellStyle name="壞_總會三明治" xfId="1069"/>
    <cellStyle name="壞_總會三明治_包裝指示書(裏)" xfId="11047"/>
    <cellStyle name="壞_醣醋G丁" xfId="1070"/>
    <cellStyle name="壞_醣醋G丁_包裝指示書(裏)" xfId="11048"/>
    <cellStyle name="壞_鍋燒意麵--後加沙茶" xfId="1071"/>
    <cellStyle name="壞_鍋燒意麵--後加沙茶_包裝指示書(裏)" xfId="11049"/>
    <cellStyle name="壞_韓式泡菜鍋" xfId="1072"/>
    <cellStyle name="壞_韓式泡菜鍋_包裝指示書(裏)" xfId="11050"/>
    <cellStyle name="壞_韓式炊飯炊飯飯糰調理版" xfId="1073"/>
    <cellStyle name="壞_韓式炊飯炊飯飯糰調理版_包裝指示書(裏)" xfId="11051"/>
    <cellStyle name="壞_鮪魚三明治" xfId="1074"/>
    <cellStyle name="壞_鮪魚三明治_包裝指示書(裏)" xfId="11052"/>
    <cellStyle name="壞_鮪魚茄汁薯餅法式三明治(小黃瓜)" xfId="1075"/>
    <cellStyle name="壞_鮪魚茄汁薯餅法式三明治(小黃瓜)_包裝指示書(裏)" xfId="11053"/>
    <cellStyle name="壞_鮪魚蛋沙拉三明治試1" xfId="1076"/>
    <cellStyle name="壞_鮪魚蛋沙拉三明治試1_包裝指示書(裏)" xfId="11054"/>
    <cellStyle name="壞_鮭魚沙拉飯糰(陶30g)" xfId="1077"/>
    <cellStyle name="壞_鮭魚沙拉飯糰(陶30g)_包裝指示書(裏)" xfId="11055"/>
    <cellStyle name="壞_鮭魚雞蛋沙拉" xfId="1078"/>
    <cellStyle name="壞_鮭魚雞蛋沙拉_包裝指示書(裏)" xfId="11056"/>
    <cellStyle name="壞_鮮菇總?" xfId="11057"/>
    <cellStyle name="壞_鮮菇總滙" xfId="1079"/>
    <cellStyle name="壞_鮮蔬肉鬆三明治" xfId="1080"/>
    <cellStyle name="壞_鮮蔬肉鬆三明治_包裝指示書(裏)" xfId="11058"/>
    <cellStyle name="壞_燻雞沙威瑪" xfId="1081"/>
    <cellStyle name="壞_燻雞沙威瑪_包裝指示書(裏)" xfId="11059"/>
    <cellStyle name="壞_醬汁雞肉飯糰" xfId="1082"/>
    <cellStyle name="壞_醬汁雞肉飯糰_包裝指示書(裏)" xfId="11060"/>
    <cellStyle name="壞_雙蛋多汁三明治" xfId="1083"/>
    <cellStyle name="壞_雙蛋多汁三明治_包裝指示書(裏)" xfId="11061"/>
    <cellStyle name="壞_雙響纖蔬沙拉三明治" xfId="1084"/>
    <cellStyle name="壞_雙響纖蔬沙拉三明治(j五彩)" xfId="1085"/>
    <cellStyle name="壞_雙響纖蔬沙拉三明治(j五彩)_包裝指示書(裏)" xfId="11062"/>
    <cellStyle name="壞_雙響纖蔬沙拉三明治_包裝指示書(裏)" xfId="11063"/>
    <cellStyle name="壞_雞蛋沙拉三明治" xfId="1086"/>
    <cellStyle name="壞_雞蛋沙拉三明治_包裝指示書(裏)" xfId="11064"/>
    <cellStyle name="壞_雞蛋馬鈴薯沙拉三明治" xfId="1087"/>
    <cellStyle name="壞_雞蛋馬鈴薯沙拉三明治_包裝指示書(裏)" xfId="11065"/>
    <cellStyle name="壞_羅勒海瓜子義大利麵" xfId="1088"/>
    <cellStyle name="壞_羅勒海瓜子義大利麵_包裝指示書(裏)" xfId="11066"/>
    <cellStyle name="壞_蟹肉絲豆腐煲" xfId="1089"/>
    <cellStyle name="壞_蟹肉絲豆腐煲_包裝指示書(裏)" xfId="11067"/>
    <cellStyle name="壞_蘑菇腿排鐵板麵" xfId="1090"/>
    <cellStyle name="壞_蘑菇腿排鐵板麵_包裝指示書(裏)" xfId="11068"/>
    <cellStyle name="壞_蘑菇醬鐵板麵-確認--拉麵" xfId="1091"/>
    <cellStyle name="壞_蘑菇醬鐵板麵-確認--拉麵_包裝指示書(裏)" xfId="11069"/>
    <cellStyle name="壞_蠔油時蔬" xfId="1092"/>
    <cellStyle name="壞_蠔油時蔬_包裝指示書(裏)" xfId="11070"/>
    <cellStyle name="壞_鹹魚雞粒炒飯" xfId="1093"/>
    <cellStyle name="壞_鹹魚雞粒炒飯_包裝指示書(裏)" xfId="11071"/>
    <cellStyle name="壞_鐵板豆腐" xfId="1094"/>
    <cellStyle name="壞_鐵板豆腐_包裝指示書(裏)" xfId="11072"/>
    <cellStyle name="壞_鹽飯960822" xfId="1095"/>
    <cellStyle name="壞_鹽飯960822_包裝指示書(裏)" xfId="11073"/>
    <cellStyle name="警告文字 2" xfId="1096"/>
    <cellStyle name="警告文字 3" xfId="1097"/>
  </cellStyles>
  <dxfs count="123">
    <dxf>
      <font>
        <sz val="10"/>
        <color rgb="FF006100"/>
        <name val="微軟正黑體"/>
      </font>
      <fill>
        <patternFill>
          <bgColor rgb="FFC6EFCE"/>
        </patternFill>
      </fill>
    </dxf>
    <dxf>
      <font>
        <sz val="10"/>
        <color rgb="FF808080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FF2CC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FF2CC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 patternType="solid">
          <bgColor rgb="FFFFF2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1F77B4"/>
      <rgbColor rgb="FFBFBFBF"/>
      <rgbColor rgb="FF808080"/>
      <rgbColor rgb="FF9999FF"/>
      <rgbColor rgb="FFC0504D"/>
      <rgbColor rgb="FFFFFFCC"/>
      <rgbColor rgb="FFEAF6F1"/>
      <rgbColor rgb="FF660066"/>
      <rgbColor rgb="FFFF8080"/>
      <rgbColor rgb="FF1F5FA8"/>
      <rgbColor rgb="FFD9D9D9"/>
      <rgbColor rgb="FF000080"/>
      <rgbColor rgb="FFFF00FF"/>
      <rgbColor rgb="FFFFFF00"/>
      <rgbColor rgb="FF00FFFF"/>
      <rgbColor rgb="FF800080"/>
      <rgbColor rgb="FF800000"/>
      <rgbColor rgb="FF00A44A"/>
      <rgbColor rgb="FF0000FF"/>
      <rgbColor rgb="FF00CCFF"/>
      <rgbColor rgb="FFEDEDED"/>
      <rgbColor rgb="FFC6EFCE"/>
      <rgbColor rgb="FFFFEB9C"/>
      <rgbColor rgb="FFFDECEA"/>
      <rgbColor rgb="FFFAEEDA"/>
      <rgbColor rgb="FFCC99FF"/>
      <rgbColor rgb="FFFFC7CE"/>
      <rgbColor rgb="FF4F81BD"/>
      <rgbColor rgb="FF4BACC6"/>
      <rgbColor rgb="FF9BBB59"/>
      <rgbColor rgb="FFFFCC00"/>
      <rgbColor rgb="FFFF9900"/>
      <rgbColor rgb="FFE07B00"/>
      <rgbColor rgb="FF8064A2"/>
      <rgbColor rgb="FF878787"/>
      <rgbColor rgb="FF003366"/>
      <rgbColor rgb="FF2A9DB0"/>
      <rgbColor rgb="FF003300"/>
      <rgbColor rgb="FF2E7D32"/>
      <rgbColor rgb="FF993300"/>
      <rgbColor rgb="FF7B4FA6"/>
      <rgbColor rgb="FF333399"/>
      <rgbColor rgb="FF4444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zh-TW" altLang="en-US" sz="1800" b="1" strike="noStrike" spc="-1">
                <a:solidFill>
                  <a:srgbClr val="000000"/>
                </a:solidFill>
                <a:latin typeface="Calibri"/>
              </a:rPr>
              <a:t>品項數分類分布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總覽!$C$11</c:f>
              <c:strCache>
                <c:ptCount val="1"/>
                <c:pt idx="0">
                  <c:v>品項數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AE28-43F5-8E85-FAAB026E6BD8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E28-43F5-8E85-FAAB026E6BD8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E28-43F5-8E85-FAAB026E6BD8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AE28-43F5-8E85-FAAB026E6BD8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AE28-43F5-8E85-FAAB026E6BD8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zh-TW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E28-43F5-8E85-FAAB026E6BD8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zh-TW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E28-43F5-8E85-FAAB026E6BD8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zh-TW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E28-43F5-8E85-FAAB026E6BD8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zh-TW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E28-43F5-8E85-FAAB026E6BD8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zh-TW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E28-43F5-8E85-FAAB026E6B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總覽!$B$12:$B$16</c:f>
              <c:strCache>
                <c:ptCount val="5"/>
                <c:pt idx="0">
                  <c:v>18℃</c:v>
                </c:pt>
                <c:pt idx="1">
                  <c:v>4℃飯</c:v>
                </c:pt>
                <c:pt idx="2">
                  <c:v>4℃麵</c:v>
                </c:pt>
                <c:pt idx="3">
                  <c:v>4℃其他</c:v>
                </c:pt>
                <c:pt idx="4">
                  <c:v>冷凍品</c:v>
                </c:pt>
              </c:strCache>
            </c:strRef>
          </c:cat>
          <c:val>
            <c:numRef>
              <c:f>總覽!$C$12:$C$16</c:f>
              <c:numCache>
                <c:formatCode>General</c:formatCode>
                <c:ptCount val="5"/>
                <c:pt idx="0">
                  <c:v>0</c:v>
                </c:pt>
                <c:pt idx="1">
                  <c:v>28</c:v>
                </c:pt>
                <c:pt idx="2">
                  <c:v>4</c:v>
                </c:pt>
                <c:pt idx="3">
                  <c:v>47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E28-43F5-8E85-FAAB026E6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zh-TW" altLang="en-US" sz="1800" b="1" strike="noStrike" spc="-1">
                <a:solidFill>
                  <a:srgbClr val="000000"/>
                </a:solidFill>
                <a:latin typeface="Calibri"/>
              </a:rPr>
              <a:t>各調理設備應用半成品數（依分類堆疊）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設備應用統計!$C$16</c:f>
              <c:strCache>
                <c:ptCount val="1"/>
                <c:pt idx="0">
                  <c:v>18℃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設備應用統計!$B$17:$B$28</c:f>
              <c:strCache>
                <c:ptCount val="12"/>
                <c:pt idx="0">
                  <c:v>炊飯</c:v>
                </c:pt>
                <c:pt idx="1">
                  <c:v>煮麵</c:v>
                </c:pt>
                <c:pt idx="2">
                  <c:v>烤箱</c:v>
                </c:pt>
                <c:pt idx="3">
                  <c:v>炙燒</c:v>
                </c:pt>
                <c:pt idx="4">
                  <c:v>蒸箱</c:v>
                </c:pt>
                <c:pt idx="5">
                  <c:v>油炸機</c:v>
                </c:pt>
                <c:pt idx="6">
                  <c:v>二重釜</c:v>
                </c:pt>
                <c:pt idx="7">
                  <c:v>平釜(日)</c:v>
                </c:pt>
                <c:pt idx="8">
                  <c:v>平釜(台)</c:v>
                </c:pt>
                <c:pt idx="9">
                  <c:v>蛋皮機</c:v>
                </c:pt>
                <c:pt idx="10">
                  <c:v>壓力鍋</c:v>
                </c:pt>
                <c:pt idx="11">
                  <c:v>無使用調理設備</c:v>
                </c:pt>
              </c:strCache>
            </c:strRef>
          </c:cat>
          <c:val>
            <c:numRef>
              <c:f>設備應用統計!$C$17:$C$28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FB-46D8-925A-02B30A50ABE7}"/>
            </c:ext>
          </c:extLst>
        </c:ser>
        <c:ser>
          <c:idx val="1"/>
          <c:order val="1"/>
          <c:tx>
            <c:strRef>
              <c:f>設備應用統計!$D$16</c:f>
              <c:strCache>
                <c:ptCount val="1"/>
                <c:pt idx="0">
                  <c:v>4℃飯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設備應用統計!$B$17:$B$28</c:f>
              <c:strCache>
                <c:ptCount val="12"/>
                <c:pt idx="0">
                  <c:v>炊飯</c:v>
                </c:pt>
                <c:pt idx="1">
                  <c:v>煮麵</c:v>
                </c:pt>
                <c:pt idx="2">
                  <c:v>烤箱</c:v>
                </c:pt>
                <c:pt idx="3">
                  <c:v>炙燒</c:v>
                </c:pt>
                <c:pt idx="4">
                  <c:v>蒸箱</c:v>
                </c:pt>
                <c:pt idx="5">
                  <c:v>油炸機</c:v>
                </c:pt>
                <c:pt idx="6">
                  <c:v>二重釜</c:v>
                </c:pt>
                <c:pt idx="7">
                  <c:v>平釜(日)</c:v>
                </c:pt>
                <c:pt idx="8">
                  <c:v>平釜(台)</c:v>
                </c:pt>
                <c:pt idx="9">
                  <c:v>蛋皮機</c:v>
                </c:pt>
                <c:pt idx="10">
                  <c:v>壓力鍋</c:v>
                </c:pt>
                <c:pt idx="11">
                  <c:v>無使用調理設備</c:v>
                </c:pt>
              </c:strCache>
            </c:strRef>
          </c:cat>
          <c:val>
            <c:numRef>
              <c:f>設備應用統計!$D$17:$D$28</c:f>
              <c:numCache>
                <c:formatCode>General</c:formatCode>
                <c:ptCount val="12"/>
                <c:pt idx="0">
                  <c:v>28</c:v>
                </c:pt>
                <c:pt idx="1">
                  <c:v>0</c:v>
                </c:pt>
                <c:pt idx="2">
                  <c:v>19</c:v>
                </c:pt>
                <c:pt idx="3">
                  <c:v>3</c:v>
                </c:pt>
                <c:pt idx="4">
                  <c:v>9</c:v>
                </c:pt>
                <c:pt idx="5">
                  <c:v>4</c:v>
                </c:pt>
                <c:pt idx="6">
                  <c:v>74</c:v>
                </c:pt>
                <c:pt idx="7">
                  <c:v>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FB-46D8-925A-02B30A50ABE7}"/>
            </c:ext>
          </c:extLst>
        </c:ser>
        <c:ser>
          <c:idx val="2"/>
          <c:order val="2"/>
          <c:tx>
            <c:strRef>
              <c:f>設備應用統計!$E$16</c:f>
              <c:strCache>
                <c:ptCount val="1"/>
                <c:pt idx="0">
                  <c:v>4℃麵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設備應用統計!$B$17:$B$28</c:f>
              <c:strCache>
                <c:ptCount val="12"/>
                <c:pt idx="0">
                  <c:v>炊飯</c:v>
                </c:pt>
                <c:pt idx="1">
                  <c:v>煮麵</c:v>
                </c:pt>
                <c:pt idx="2">
                  <c:v>烤箱</c:v>
                </c:pt>
                <c:pt idx="3">
                  <c:v>炙燒</c:v>
                </c:pt>
                <c:pt idx="4">
                  <c:v>蒸箱</c:v>
                </c:pt>
                <c:pt idx="5">
                  <c:v>油炸機</c:v>
                </c:pt>
                <c:pt idx="6">
                  <c:v>二重釜</c:v>
                </c:pt>
                <c:pt idx="7">
                  <c:v>平釜(日)</c:v>
                </c:pt>
                <c:pt idx="8">
                  <c:v>平釜(台)</c:v>
                </c:pt>
                <c:pt idx="9">
                  <c:v>蛋皮機</c:v>
                </c:pt>
                <c:pt idx="10">
                  <c:v>壓力鍋</c:v>
                </c:pt>
                <c:pt idx="11">
                  <c:v>無使用調理設備</c:v>
                </c:pt>
              </c:strCache>
            </c:strRef>
          </c:cat>
          <c:val>
            <c:numRef>
              <c:f>設備應用統計!$E$17:$E$28</c:f>
              <c:numCache>
                <c:formatCode>General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FB-46D8-925A-02B30A50ABE7}"/>
            </c:ext>
          </c:extLst>
        </c:ser>
        <c:ser>
          <c:idx val="3"/>
          <c:order val="3"/>
          <c:tx>
            <c:strRef>
              <c:f>設備應用統計!$F$16</c:f>
              <c:strCache>
                <c:ptCount val="1"/>
                <c:pt idx="0">
                  <c:v>4℃其他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設備應用統計!$B$17:$B$28</c:f>
              <c:strCache>
                <c:ptCount val="12"/>
                <c:pt idx="0">
                  <c:v>炊飯</c:v>
                </c:pt>
                <c:pt idx="1">
                  <c:v>煮麵</c:v>
                </c:pt>
                <c:pt idx="2">
                  <c:v>烤箱</c:v>
                </c:pt>
                <c:pt idx="3">
                  <c:v>炙燒</c:v>
                </c:pt>
                <c:pt idx="4">
                  <c:v>蒸箱</c:v>
                </c:pt>
                <c:pt idx="5">
                  <c:v>油炸機</c:v>
                </c:pt>
                <c:pt idx="6">
                  <c:v>二重釜</c:v>
                </c:pt>
                <c:pt idx="7">
                  <c:v>平釜(日)</c:v>
                </c:pt>
                <c:pt idx="8">
                  <c:v>平釜(台)</c:v>
                </c:pt>
                <c:pt idx="9">
                  <c:v>蛋皮機</c:v>
                </c:pt>
                <c:pt idx="10">
                  <c:v>壓力鍋</c:v>
                </c:pt>
                <c:pt idx="11">
                  <c:v>無使用調理設備</c:v>
                </c:pt>
              </c:strCache>
            </c:strRef>
          </c:cat>
          <c:val>
            <c:numRef>
              <c:f>設備應用統計!$F$17:$F$28</c:f>
              <c:numCache>
                <c:formatCode>General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26</c:v>
                </c:pt>
                <c:pt idx="3">
                  <c:v>0</c:v>
                </c:pt>
                <c:pt idx="4">
                  <c:v>8</c:v>
                </c:pt>
                <c:pt idx="5">
                  <c:v>4</c:v>
                </c:pt>
                <c:pt idx="6">
                  <c:v>28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FB-46D8-925A-02B30A50ABE7}"/>
            </c:ext>
          </c:extLst>
        </c:ser>
        <c:ser>
          <c:idx val="4"/>
          <c:order val="4"/>
          <c:tx>
            <c:strRef>
              <c:f>設備應用統計!$G$16</c:f>
              <c:strCache>
                <c:ptCount val="1"/>
                <c:pt idx="0">
                  <c:v>冷凍品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設備應用統計!$B$17:$B$28</c:f>
              <c:strCache>
                <c:ptCount val="12"/>
                <c:pt idx="0">
                  <c:v>炊飯</c:v>
                </c:pt>
                <c:pt idx="1">
                  <c:v>煮麵</c:v>
                </c:pt>
                <c:pt idx="2">
                  <c:v>烤箱</c:v>
                </c:pt>
                <c:pt idx="3">
                  <c:v>炙燒</c:v>
                </c:pt>
                <c:pt idx="4">
                  <c:v>蒸箱</c:v>
                </c:pt>
                <c:pt idx="5">
                  <c:v>油炸機</c:v>
                </c:pt>
                <c:pt idx="6">
                  <c:v>二重釜</c:v>
                </c:pt>
                <c:pt idx="7">
                  <c:v>平釜(日)</c:v>
                </c:pt>
                <c:pt idx="8">
                  <c:v>平釜(台)</c:v>
                </c:pt>
                <c:pt idx="9">
                  <c:v>蛋皮機</c:v>
                </c:pt>
                <c:pt idx="10">
                  <c:v>壓力鍋</c:v>
                </c:pt>
                <c:pt idx="11">
                  <c:v>無使用調理設備</c:v>
                </c:pt>
              </c:strCache>
            </c:strRef>
          </c:cat>
          <c:val>
            <c:numRef>
              <c:f>設備應用統計!$G$17:$G$28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FB-46D8-925A-02B30A50A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5649808"/>
        <c:axId val="395652944"/>
      </c:barChart>
      <c:catAx>
        <c:axId val="39564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395652944"/>
        <c:crosses val="autoZero"/>
        <c:auto val="1"/>
        <c:lblAlgn val="ctr"/>
        <c:lblOffset val="100"/>
        <c:noMultiLvlLbl val="0"/>
      </c:catAx>
      <c:valAx>
        <c:axId val="3956529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zh-TW" altLang="en-US" sz="1000" b="1" strike="noStrike" spc="-1">
                    <a:solidFill>
                      <a:srgbClr val="000000"/>
                    </a:solidFill>
                    <a:latin typeface="Calibri"/>
                  </a:rPr>
                  <a:t>半成品數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3956498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12</xdr:col>
      <xdr:colOff>542160</xdr:colOff>
      <xdr:row>14</xdr:row>
      <xdr:rowOff>181885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133560</xdr:rowOff>
    </xdr:from>
    <xdr:to>
      <xdr:col>10</xdr:col>
      <xdr:colOff>40320</xdr:colOff>
      <xdr:row>46</xdr:row>
      <xdr:rowOff>134640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4441"/>
  </sheetPr>
  <dimension ref="B1:F321"/>
  <sheetViews>
    <sheetView showGridLines="0" topLeftCell="A4" zoomScaleNormal="100" workbookViewId="0">
      <selection activeCell="I19" sqref="I19"/>
    </sheetView>
  </sheetViews>
  <sheetFormatPr defaultColWidth="8.7265625" defaultRowHeight="14.5"/>
  <cols>
    <col min="1" max="1" width="3" customWidth="1"/>
    <col min="2" max="2" width="20" customWidth="1"/>
    <col min="3" max="6" width="22" customWidth="1"/>
    <col min="7" max="7" width="3" customWidth="1"/>
  </cols>
  <sheetData>
    <row r="1" spans="2:6" ht="30" customHeight="1">
      <c r="B1" s="2" t="s">
        <v>0</v>
      </c>
      <c r="C1" s="2"/>
      <c r="D1" s="2"/>
      <c r="E1" s="2"/>
      <c r="F1" s="2"/>
    </row>
    <row r="3" spans="2:6" ht="15.5">
      <c r="B3" s="1" t="s">
        <v>1</v>
      </c>
      <c r="E3" s="1" t="s">
        <v>2</v>
      </c>
    </row>
    <row r="4" spans="2:6">
      <c r="B4" s="2" t="s">
        <v>3</v>
      </c>
      <c r="C4" s="3" t="s">
        <v>254</v>
      </c>
      <c r="E4" s="4" t="s">
        <v>4</v>
      </c>
      <c r="F4" s="5">
        <f>SUM(MAX('18℃'!$Z$5:$Z$304),MAX('4℃飯'!$AA$5:$AA$302),MAX('4℃麵'!$AA$5:$AA$305),MAX('4℃其他'!$AA$5:$AA$302),MAX(冷凍品!$Z$5:$Z$304))</f>
        <v>79</v>
      </c>
    </row>
    <row r="5" spans="2:6">
      <c r="B5" s="2" t="s">
        <v>5</v>
      </c>
      <c r="C5" s="47">
        <v>46220</v>
      </c>
      <c r="E5" s="4" t="s">
        <v>6</v>
      </c>
      <c r="F5" s="5">
        <f>COUNTA('18℃'!$D$5:$D$304)+COUNTA('4℃飯'!$E$5:$E$302)+COUNTA('4℃麵'!$E$5:$E$305)+COUNTA('4℃其他'!$E$5:$E$302)+COUNTA(冷凍品!$D$5:$D$304)</f>
        <v>422</v>
      </c>
    </row>
    <row r="6" spans="2:6">
      <c r="B6" s="2" t="s">
        <v>7</v>
      </c>
      <c r="C6" s="3" t="s">
        <v>345</v>
      </c>
      <c r="E6" s="4" t="s">
        <v>8</v>
      </c>
      <c r="F6" s="5">
        <f>COUNTIF('18℃'!$U$5:$U$304,"⚠*")+COUNTIF('4℃飯'!$V$5:$V$302,"⚠*")+COUNTIF('4℃麵'!$V$5:$V$305,"⚠*")+COUNTIF('4℃其他'!$V$5:$V$302,"⚠*")+COUNTIF(冷凍品!$U$5:$U$304,"⚠*")</f>
        <v>0</v>
      </c>
    </row>
    <row r="7" spans="2:6">
      <c r="B7" s="27"/>
      <c r="C7" s="27"/>
      <c r="E7" s="4" t="s">
        <v>9</v>
      </c>
      <c r="F7" s="5">
        <f>COUNTIF('18℃'!$U$5:$U$304,"▲ 單一設備依賴")+COUNTIF('4℃飯'!$V$5:$V$302,"▲ 單一設備依賴")+COUNTIF('4℃麵'!$V$5:$V$305,"▲ 單一設備依賴")+COUNTIF('4℃其他'!$V$5:$V$302,"▲ 單一設備依賴")+COUNTIF(冷凍品!$U$5:$U$304,"▲ 單一設備依賴")</f>
        <v>198</v>
      </c>
    </row>
    <row r="8" spans="2:6">
      <c r="E8" s="4" t="s">
        <v>10</v>
      </c>
      <c r="F8" s="5">
        <f>COUNTIF('18℃'!$U$5:$U$304,"○ 免調理")+COUNTIF('4℃飯'!$V$5:$V$302,"○ 免調理")+COUNTIF('4℃麵'!$V$5:$V$305,"○ 免調理")+COUNTIF('4℃其他'!$V$5:$V$302,"○ 免調理")+COUNTIF(冷凍品!$U$5:$U$304,"○ 免調理")</f>
        <v>209</v>
      </c>
    </row>
    <row r="10" spans="2:6" ht="15.5">
      <c r="B10" s="1" t="s">
        <v>11</v>
      </c>
    </row>
    <row r="11" spans="2:6">
      <c r="B11" s="6" t="s">
        <v>12</v>
      </c>
      <c r="C11" s="6" t="s">
        <v>13</v>
      </c>
      <c r="D11" s="6" t="s">
        <v>14</v>
      </c>
      <c r="E11" s="6" t="s">
        <v>15</v>
      </c>
      <c r="F11" s="6" t="s">
        <v>16</v>
      </c>
    </row>
    <row r="12" spans="2:6">
      <c r="B12" s="7" t="s">
        <v>17</v>
      </c>
      <c r="C12" s="7">
        <f>MAX('18℃'!$Z$5:$Z$304)</f>
        <v>0</v>
      </c>
      <c r="D12" s="8">
        <f>IF($F$4=0,0,C12/$F$4)</f>
        <v>0</v>
      </c>
      <c r="E12" s="7">
        <f>COUNTA('18℃'!$D$5:$D$304)</f>
        <v>0</v>
      </c>
      <c r="F12" s="8">
        <f>IF($F$5=0,0,E12/$F$5)</f>
        <v>0</v>
      </c>
    </row>
    <row r="13" spans="2:6">
      <c r="B13" s="7" t="s">
        <v>18</v>
      </c>
      <c r="C13" s="7">
        <f>MAX('4℃飯'!$AA$5:$AA$302)</f>
        <v>28</v>
      </c>
      <c r="D13" s="8">
        <f>IF($F$4=0,0,C13/$F$4)</f>
        <v>0.35443037974683544</v>
      </c>
      <c r="E13" s="7">
        <f>COUNTA('4℃飯'!$E$5:$E$302)</f>
        <v>164</v>
      </c>
      <c r="F13" s="8">
        <f>IF($F$5=0,0,E13/$F$5)</f>
        <v>0.38862559241706163</v>
      </c>
    </row>
    <row r="14" spans="2:6">
      <c r="B14" s="7" t="s">
        <v>19</v>
      </c>
      <c r="C14" s="7">
        <f>MAX('4℃麵'!$AA$5:$AA$305)</f>
        <v>4</v>
      </c>
      <c r="D14" s="8">
        <f>IF($F$4=0,0,C14/$F$4)</f>
        <v>5.0632911392405063E-2</v>
      </c>
      <c r="E14" s="7">
        <f>COUNTA('4℃麵'!$E$5:$E$305)</f>
        <v>23</v>
      </c>
      <c r="F14" s="8">
        <f>IF($F$5=0,0,E14/$F$5)</f>
        <v>5.4502369668246446E-2</v>
      </c>
    </row>
    <row r="15" spans="2:6">
      <c r="B15" s="7" t="s">
        <v>20</v>
      </c>
      <c r="C15" s="7">
        <f>MAX('4℃其他'!$AA$5:$AA$302)</f>
        <v>47</v>
      </c>
      <c r="D15" s="8">
        <f>IF($F$4=0,0,C15/$F$4)</f>
        <v>0.59493670886075944</v>
      </c>
      <c r="E15" s="7">
        <f>COUNTA('4℃其他'!$E$5:$E$302)</f>
        <v>235</v>
      </c>
      <c r="F15" s="8">
        <f>IF($F$5=0,0,E15/$F$5)</f>
        <v>0.55687203791469198</v>
      </c>
    </row>
    <row r="16" spans="2:6">
      <c r="B16" s="9" t="s">
        <v>21</v>
      </c>
      <c r="C16" s="7">
        <f>MAX(冷凍品!$Z$5:$Z$304)</f>
        <v>0</v>
      </c>
      <c r="D16" s="8">
        <f>IF($F$4=0,0,C16/$F$4)</f>
        <v>0</v>
      </c>
      <c r="E16" s="7">
        <f>COUNTA(冷凍品!$D$5:$D$304)</f>
        <v>0</v>
      </c>
      <c r="F16" s="8">
        <f>IF($F$5=0,0,E16/$F$5)</f>
        <v>0</v>
      </c>
    </row>
    <row r="17" spans="2:6">
      <c r="B17" s="10" t="s">
        <v>22</v>
      </c>
      <c r="C17" s="10">
        <f>SUM(C12:C16)</f>
        <v>79</v>
      </c>
      <c r="D17" s="11"/>
      <c r="E17" s="10">
        <f>SUM(E12:E16)</f>
        <v>422</v>
      </c>
      <c r="F17" s="11"/>
    </row>
    <row r="19" spans="2:6" ht="15.5">
      <c r="B19" s="1" t="s">
        <v>23</v>
      </c>
    </row>
    <row r="20" spans="2:6">
      <c r="B20" s="12" t="s">
        <v>17</v>
      </c>
      <c r="C20" s="13" t="s">
        <v>24</v>
      </c>
      <c r="D20" s="14" t="s">
        <v>25</v>
      </c>
      <c r="E20" s="15" t="s">
        <v>26</v>
      </c>
      <c r="F20" s="16" t="s">
        <v>21</v>
      </c>
    </row>
    <row r="21" spans="2:6">
      <c r="B21" s="17" t="str">
        <f>"品項數："&amp;MAX('18℃'!$Z$5:$Z$304)</f>
        <v>品項數：0</v>
      </c>
      <c r="C21" s="17" t="str">
        <f>"品項數："&amp;MAX('4℃飯'!$AA$5:$AA$302)</f>
        <v>品項數：28</v>
      </c>
      <c r="D21" s="17" t="str">
        <f>"品項數："&amp;MAX('4℃麵'!$AA$5:$AA$305)</f>
        <v>品項數：4</v>
      </c>
      <c r="E21" s="17" t="str">
        <f>"品項數："&amp;MAX('4℃其他'!$AA$5:$AA$302)</f>
        <v>品項數：47</v>
      </c>
      <c r="F21" s="17" t="str">
        <f>"品項數："&amp;MAX(冷凍品!$Z$5:$Z$304)</f>
        <v>品項數：0</v>
      </c>
    </row>
    <row r="22" spans="2:6">
      <c r="B22" s="18" t="str">
        <f>IF(1&gt;MAX('18℃'!$Z$5:$Z$304),"",HYPERLINK("#'18℃'!C"&amp;(MATCH(1,'18℃'!$Z$5:$Z$304,0)+4),INDEX('18℃'!$C$5:$C$304,MATCH(1,'18℃'!$Z$5:$Z$304,0))))</f>
        <v/>
      </c>
      <c r="C22" s="18" t="str">
        <f>IF(1&gt;MAX('4℃飯'!$AA$5:$AA$302),"",HYPERLINK("#'4℃飯'!D"&amp;(MATCH(1,'4℃飯'!$AA$5:$AA$302,0)+4),INDEX('4℃飯'!$D$5:$D$302,MATCH(1,'4℃飯'!$AA$5:$AA$302,0))))</f>
        <v>鐵板滑蛋炸豬排丼</v>
      </c>
      <c r="D22" s="18" t="str">
        <f>IF(1&gt;MAX('4℃麵'!$AA$5:$AA$305),"",HYPERLINK("#'4℃麵'!D"&amp;(MATCH(1,'4℃麵'!$AA$5:$AA$305,0)+4),INDEX('4℃麵'!$D$5:$D$305,MATCH(1,'4℃麵'!$AA$5:$AA$305,0))))</f>
        <v>台式麻醬涼麵</v>
      </c>
      <c r="E22" s="18" t="str">
        <f>IF(1&gt;MAX('4℃其他'!$AA$5:$AA$302),"",HYPERLINK("#'4℃其他'!D"&amp;(MATCH(1,'4℃其他'!$AA$5:$AA$302,0)+4),INDEX('4℃其他'!$D$5:$D$302,MATCH(1,'4℃其他'!$AA$5:$AA$302,0))))</f>
        <v>厚蛋時蔬握沙拉</v>
      </c>
      <c r="F22" s="18" t="str">
        <f>IF(1&gt;MAX(冷凍品!$Z$5:$Z$304),"",HYPERLINK("#'冷凍品'!C"&amp;(MATCH(1,冷凍品!$Z$5:$Z$304,0)+4),INDEX(冷凍品!$C$5:$C$304,MATCH(1,冷凍品!$Z$5:$Z$304,0))))</f>
        <v/>
      </c>
    </row>
    <row r="23" spans="2:6">
      <c r="B23" s="18" t="str">
        <f>IF(2&gt;MAX('18℃'!$Z$5:$Z$304),"",HYPERLINK("#'18℃'!C"&amp;(MATCH(2,'18℃'!$Z$5:$Z$304,0)+4),INDEX('18℃'!$C$5:$C$304,MATCH(2,'18℃'!$Z$5:$Z$304,0))))</f>
        <v/>
      </c>
      <c r="C23" s="18" t="str">
        <f>IF(2&gt;MAX('4℃飯'!$AA$5:$AA$302),"",HYPERLINK("#'4℃飯'!D"&amp;(MATCH(2,'4℃飯'!$AA$5:$AA$302,0)+4),INDEX('4℃飯'!$D$5:$D$302,MATCH(2,'4℃飯'!$AA$5:$AA$302,0))))</f>
        <v>炙烤醬香燒豚飯</v>
      </c>
      <c r="D23" s="18" t="str">
        <f>IF(2&gt;MAX('4℃麵'!$AA$5:$AA$305),"",HYPERLINK("#'4℃麵'!D"&amp;(MATCH(2,'4℃麵'!$AA$5:$AA$305,0)+4),INDEX('4℃麵'!$D$5:$D$305,MATCH(2,'4℃麵'!$AA$5:$AA$305,0))))</f>
        <v>鰹魚烏龍冷麵</v>
      </c>
      <c r="E23" s="18" t="str">
        <f>IF(2&gt;MAX('4℃其他'!$AA$5:$AA$302),"",HYPERLINK("#'4℃其他'!D"&amp;(MATCH(2,'4℃其他'!$AA$5:$AA$302,0)+4),INDEX('4℃其他'!$D$5:$D$302,MATCH(2,'4℃其他'!$AA$5:$AA$302,0))))</f>
        <v>莎莎烤雞麵沙拉</v>
      </c>
      <c r="F23" s="18" t="str">
        <f>IF(2&gt;MAX(冷凍品!$Z$5:$Z$304),"",HYPERLINK("#'冷凍品'!C"&amp;(MATCH(2,冷凍品!$Z$5:$Z$304,0)+4),INDEX(冷凍品!$C$5:$C$304,MATCH(2,冷凍品!$Z$5:$Z$304,0))))</f>
        <v/>
      </c>
    </row>
    <row r="24" spans="2:6">
      <c r="B24" s="18" t="str">
        <f>IF(3&gt;MAX('18℃'!$Z$5:$Z$304),"",HYPERLINK("#'18℃'!C"&amp;(MATCH(3,'18℃'!$Z$5:$Z$304,0)+4),INDEX('18℃'!$C$5:$C$304,MATCH(3,'18℃'!$Z$5:$Z$304,0))))</f>
        <v/>
      </c>
      <c r="C24" s="18" t="str">
        <f>IF(3&gt;MAX('4℃飯'!$AA$5:$AA$302),"",HYPERLINK("#'4℃飯'!D"&amp;(MATCH(3,'4℃飯'!$AA$5:$AA$302,0)+4),INDEX('4℃飯'!$D$5:$D$302,MATCH(3,'4℃飯'!$AA$5:$AA$302,0))))</f>
        <v>壹號醬雞豚雙拼</v>
      </c>
      <c r="D24" s="18" t="str">
        <f>IF(3&gt;MAX('4℃麵'!$AA$5:$AA$305),"",HYPERLINK("#'4℃麵'!D"&amp;(MATCH(3,'4℃麵'!$AA$5:$AA$305,0)+4),INDEX('4℃麵'!$D$5:$D$305,MATCH(3,'4℃麵'!$AA$5:$AA$305,0))))</f>
        <v>泰式炒河粉</v>
      </c>
      <c r="E24" s="18" t="str">
        <f>IF(3&gt;MAX('4℃其他'!$AA$5:$AA$302),"",HYPERLINK("#'4℃其他'!D"&amp;(MATCH(3,'4℃其他'!$AA$5:$AA$302,0)+4),INDEX('4℃其他'!$D$5:$D$302,MATCH(3,'4℃其他'!$AA$5:$AA$302,0))))</f>
        <v>青檸烤雞握沙拉</v>
      </c>
      <c r="F24" s="18" t="str">
        <f>IF(3&gt;MAX(冷凍品!$Z$5:$Z$304),"",HYPERLINK("#'冷凍品'!C"&amp;(MATCH(3,冷凍品!$Z$5:$Z$304,0)+4),INDEX(冷凍品!$C$5:$C$304,MATCH(3,冷凍品!$Z$5:$Z$304,0))))</f>
        <v/>
      </c>
    </row>
    <row r="25" spans="2:6">
      <c r="B25" s="18" t="str">
        <f>IF(4&gt;MAX('18℃'!$Z$5:$Z$304),"",HYPERLINK("#'18℃'!C"&amp;(MATCH(4,'18℃'!$Z$5:$Z$304,0)+4),INDEX('18℃'!$C$5:$C$304,MATCH(4,'18℃'!$Z$5:$Z$304,0))))</f>
        <v/>
      </c>
      <c r="C25" s="18" t="str">
        <f>IF(4&gt;MAX('4℃飯'!$AA$5:$AA$302),"",HYPERLINK("#'4℃飯'!D"&amp;(MATCH(4,'4℃飯'!$AA$5:$AA$302,0)+4),INDEX('4℃飯'!$D$5:$D$302,MATCH(4,'4℃飯'!$AA$5:$AA$302,0))))</f>
        <v>香辣醬蒜味香腸蛋炒飯</v>
      </c>
      <c r="D25" s="18" t="str">
        <f>IF(4&gt;MAX('4℃麵'!$AA$5:$AA$305),"",HYPERLINK("#'4℃麵'!D"&amp;(MATCH(4,'4℃麵'!$AA$5:$AA$305,0)+4),INDEX('4℃麵'!$D$5:$D$305,MATCH(4,'4℃麵'!$AA$5:$AA$305,0))))</f>
        <v>嫩烤魚排佐花椰菜義大利麵</v>
      </c>
      <c r="E25" s="18" t="str">
        <f>IF(4&gt;MAX('4℃其他'!$AA$5:$AA$302),"",HYPERLINK("#'4℃其他'!D"&amp;(MATCH(4,'4℃其他'!$AA$5:$AA$302,0)+4),INDEX('4℃其他'!$D$5:$D$302,MATCH(4,'4℃其他'!$AA$5:$AA$302,0))))</f>
        <v>青醬優格雞肉握沙拉</v>
      </c>
      <c r="F25" s="18" t="str">
        <f>IF(4&gt;MAX(冷凍品!$Z$5:$Z$304),"",HYPERLINK("#'冷凍品'!C"&amp;(MATCH(4,冷凍品!$Z$5:$Z$304,0)+4),INDEX(冷凍品!$C$5:$C$304,MATCH(4,冷凍品!$Z$5:$Z$304,0))))</f>
        <v/>
      </c>
    </row>
    <row r="26" spans="2:6">
      <c r="B26" s="18" t="str">
        <f>IF(5&gt;MAX('18℃'!$Z$5:$Z$304),"",HYPERLINK("#'18℃'!C"&amp;(MATCH(5,'18℃'!$Z$5:$Z$304,0)+4),INDEX('18℃'!$C$5:$C$304,MATCH(5,'18℃'!$Z$5:$Z$304,0))))</f>
        <v/>
      </c>
      <c r="C26" s="18" t="str">
        <f>IF(5&gt;MAX('4℃飯'!$AA$5:$AA$302),"",HYPERLINK("#'4℃飯'!D"&amp;(MATCH(5,'4℃飯'!$AA$5:$AA$302,0)+4),INDEX('4℃飯'!$D$5:$D$302,MATCH(5,'4℃飯'!$AA$5:$AA$302,0))))</f>
        <v>藤椒雞丁炒飯</v>
      </c>
      <c r="D26" s="18" t="str">
        <f>IF(5&gt;MAX('4℃麵'!$AA$5:$AA$305),"",HYPERLINK("#'4℃麵'!D"&amp;(MATCH(5,'4℃麵'!$AA$5:$AA$305,0)+4),INDEX('4℃麵'!$D$5:$D$305,MATCH(5,'4℃麵'!$AA$5:$AA$305,0))))</f>
        <v/>
      </c>
      <c r="E26" s="18" t="str">
        <f>IF(5&gt;MAX('4℃其他'!$AA$5:$AA$302),"",HYPERLINK("#'4℃其他'!D"&amp;(MATCH(5,'4℃其他'!$AA$5:$AA$302,0)+4),INDEX('4℃其他'!$D$5:$D$302,MATCH(5,'4℃其他'!$AA$5:$AA$302,0))))</f>
        <v>蔥鹽雞肉麵沙拉</v>
      </c>
      <c r="F26" s="18" t="str">
        <f>IF(5&gt;MAX(冷凍品!$Z$5:$Z$304),"",HYPERLINK("#'冷凍品'!C"&amp;(MATCH(5,冷凍品!$Z$5:$Z$304,0)+4),INDEX(冷凍品!$C$5:$C$304,MATCH(5,冷凍品!$Z$5:$Z$304,0))))</f>
        <v/>
      </c>
    </row>
    <row r="27" spans="2:6">
      <c r="B27" s="18" t="str">
        <f>IF(6&gt;MAX('18℃'!$Z$5:$Z$304),"",HYPERLINK("#'18℃'!C"&amp;(MATCH(6,'18℃'!$Z$5:$Z$304,0)+4),INDEX('18℃'!$C$5:$C$304,MATCH(6,'18℃'!$Z$5:$Z$304,0))))</f>
        <v/>
      </c>
      <c r="C27" s="18" t="str">
        <f>IF(6&gt;MAX('4℃飯'!$AA$5:$AA$302),"",HYPERLINK("#'4℃飯'!D"&amp;(MATCH(6,'4℃飯'!$AA$5:$AA$302,0)+4),INDEX('4℃飯'!$D$5:$D$302,MATCH(6,'4℃飯'!$AA$5:$AA$302,0))))</f>
        <v>川味麻婆燒豆腐燴飯</v>
      </c>
      <c r="D27" s="18" t="str">
        <f>IF(6&gt;MAX('4℃麵'!$AA$5:$AA$305),"",HYPERLINK("#'4℃麵'!D"&amp;(MATCH(6,'4℃麵'!$AA$5:$AA$305,0)+4),INDEX('4℃麵'!$D$5:$D$305,MATCH(6,'4℃麵'!$AA$5:$AA$305,0))))</f>
        <v/>
      </c>
      <c r="E27" s="18" t="str">
        <f>IF(6&gt;MAX('4℃其他'!$AA$5:$AA$302),"",HYPERLINK("#'4℃其他'!D"&amp;(MATCH(6,'4℃其他'!$AA$5:$AA$302,0)+4),INDEX('4℃其他'!$D$5:$D$302,MATCH(6,'4℃其他'!$AA$5:$AA$302,0))))</f>
        <v>地瓜瓜握沙拉</v>
      </c>
      <c r="F27" s="18" t="str">
        <f>IF(6&gt;MAX(冷凍品!$Z$5:$Z$304),"",HYPERLINK("#'冷凍品'!C"&amp;(MATCH(6,冷凍品!$Z$5:$Z$304,0)+4),INDEX(冷凍品!$C$5:$C$304,MATCH(6,冷凍品!$Z$5:$Z$304,0))))</f>
        <v/>
      </c>
    </row>
    <row r="28" spans="2:6">
      <c r="B28" s="18" t="str">
        <f>IF(7&gt;MAX('18℃'!$Z$5:$Z$304),"",HYPERLINK("#'18℃'!C"&amp;(MATCH(7,'18℃'!$Z$5:$Z$304,0)+4),INDEX('18℃'!$C$5:$C$304,MATCH(7,'18℃'!$Z$5:$Z$304,0))))</f>
        <v/>
      </c>
      <c r="C28" s="18" t="str">
        <f>IF(7&gt;MAX('4℃飯'!$AA$5:$AA$302),"",HYPERLINK("#'4℃飯'!D"&amp;(MATCH(7,'4℃飯'!$AA$5:$AA$302,0)+4),INDEX('4℃飯'!$D$5:$D$302,MATCH(7,'4℃飯'!$AA$5:$AA$302,0))))</f>
        <v>金咖哩濃厚辛口咖哩飯</v>
      </c>
      <c r="D28" s="18" t="str">
        <f>IF(7&gt;MAX('4℃麵'!$AA$5:$AA$305),"",HYPERLINK("#'4℃麵'!D"&amp;(MATCH(7,'4℃麵'!$AA$5:$AA$305,0)+4),INDEX('4℃麵'!$D$5:$D$305,MATCH(7,'4℃麵'!$AA$5:$AA$305,0))))</f>
        <v/>
      </c>
      <c r="E28" s="18" t="str">
        <f>IF(7&gt;MAX('4℃其他'!$AA$5:$AA$302),"",HYPERLINK("#'4℃其他'!D"&amp;(MATCH(7,'4℃其他'!$AA$5:$AA$302,0)+4),INDEX('4℃其他'!$D$5:$D$302,MATCH(7,'4℃其他'!$AA$5:$AA$302,0))))</f>
        <v>香雞蛋堡</v>
      </c>
      <c r="F28" s="18" t="str">
        <f>IF(7&gt;MAX(冷凍品!$Z$5:$Z$304),"",HYPERLINK("#'冷凍品'!C"&amp;(MATCH(7,冷凍品!$Z$5:$Z$304,0)+4),INDEX(冷凍品!$C$5:$C$304,MATCH(7,冷凍品!$Z$5:$Z$304,0))))</f>
        <v/>
      </c>
    </row>
    <row r="29" spans="2:6">
      <c r="B29" s="18" t="str">
        <f>IF(8&gt;MAX('18℃'!$Z$5:$Z$304),"",HYPERLINK("#'18℃'!C"&amp;(MATCH(8,'18℃'!$Z$5:$Z$304,0)+4),INDEX('18℃'!$C$5:$C$304,MATCH(8,'18℃'!$Z$5:$Z$304,0))))</f>
        <v/>
      </c>
      <c r="C29" s="18" t="str">
        <f>IF(8&gt;MAX('4℃飯'!$AA$5:$AA$302),"",HYPERLINK("#'4℃飯'!D"&amp;(MATCH(8,'4℃飯'!$AA$5:$AA$302,0)+4),INDEX('4℃飯'!$D$5:$D$302,MATCH(8,'4℃飯'!$AA$5:$AA$302,0))))</f>
        <v>金咖哩果香甘口咖哩飯</v>
      </c>
      <c r="D29" s="18" t="str">
        <f>IF(8&gt;MAX('4℃麵'!$AA$5:$AA$305),"",HYPERLINK("#'4℃麵'!D"&amp;(MATCH(8,'4℃麵'!$AA$5:$AA$305,0)+4),INDEX('4℃麵'!$D$5:$D$305,MATCH(8,'4℃麵'!$AA$5:$AA$305,0))))</f>
        <v/>
      </c>
      <c r="E29" s="18" t="str">
        <f>IF(8&gt;MAX('4℃其他'!$AA$5:$AA$302),"",HYPERLINK("#'4℃其他'!D"&amp;(MATCH(8,'4℃其他'!$AA$5:$AA$302,0)+4),INDEX('4℃其他'!$D$5:$D$302,MATCH(8,'4℃其他'!$AA$5:$AA$302,0))))</f>
        <v>經典雙牛起司堡</v>
      </c>
      <c r="F29" s="18" t="str">
        <f>IF(8&gt;MAX(冷凍品!$Z$5:$Z$304),"",HYPERLINK("#'冷凍品'!C"&amp;(MATCH(8,冷凍品!$Z$5:$Z$304,0)+4),INDEX(冷凍品!$C$5:$C$304,MATCH(8,冷凍品!$Z$5:$Z$304,0))))</f>
        <v/>
      </c>
    </row>
    <row r="30" spans="2:6">
      <c r="B30" s="18" t="str">
        <f>IF(9&gt;MAX('18℃'!$Z$5:$Z$304),"",HYPERLINK("#'18℃'!C"&amp;(MATCH(9,'18℃'!$Z$5:$Z$304,0)+4),INDEX('18℃'!$C$5:$C$304,MATCH(9,'18℃'!$Z$5:$Z$304,0))))</f>
        <v/>
      </c>
      <c r="C30" s="18" t="str">
        <f>IF(9&gt;MAX('4℃飯'!$AA$5:$AA$302),"",HYPERLINK("#'4℃飯'!D"&amp;(MATCH(9,'4℃飯'!$AA$5:$AA$302,0)+4),INDEX('4℃飯'!$D$5:$D$302,MATCH(9,'4℃飯'!$AA$5:$AA$302,0))))</f>
        <v>港式香滑嫩蛋牛肉燴飯</v>
      </c>
      <c r="D30" s="18" t="str">
        <f>IF(9&gt;MAX('4℃麵'!$AA$5:$AA$305),"",HYPERLINK("#'4℃麵'!D"&amp;(MATCH(9,'4℃麵'!$AA$5:$AA$305,0)+4),INDEX('4℃麵'!$D$5:$D$305,MATCH(9,'4℃麵'!$AA$5:$AA$305,0))))</f>
        <v/>
      </c>
      <c r="E30" s="18" t="str">
        <f>IF(9&gt;MAX('4℃其他'!$AA$5:$AA$302),"",HYPERLINK("#'4℃其他'!D"&amp;(MATCH(9,'4℃其他'!$AA$5:$AA$302,0)+4),INDEX('4℃其他'!$D$5:$D$302,MATCH(9,'4℃其他'!$AA$5:$AA$302,0))))</f>
        <v>豬肉起司堡</v>
      </c>
      <c r="F30" s="18" t="str">
        <f>IF(9&gt;MAX(冷凍品!$Z$5:$Z$304),"",HYPERLINK("#'冷凍品'!C"&amp;(MATCH(9,冷凍品!$Z$5:$Z$304,0)+4),INDEX(冷凍品!$C$5:$C$304,MATCH(9,冷凍品!$Z$5:$Z$304,0))))</f>
        <v/>
      </c>
    </row>
    <row r="31" spans="2:6">
      <c r="B31" s="18" t="str">
        <f>IF(10&gt;MAX('18℃'!$Z$5:$Z$304),"",HYPERLINK("#'18℃'!C"&amp;(MATCH(10,'18℃'!$Z$5:$Z$304,0)+4),INDEX('18℃'!$C$5:$C$304,MATCH(10,'18℃'!$Z$5:$Z$304,0))))</f>
        <v/>
      </c>
      <c r="C31" s="18" t="str">
        <f>IF(10&gt;MAX('4℃飯'!$AA$5:$AA$302),"",HYPERLINK("#'4℃飯'!D"&amp;(MATCH(10,'4℃飯'!$AA$5:$AA$302,0)+4),INDEX('4℃飯'!$D$5:$D$302,MATCH(10,'4℃飯'!$AA$5:$AA$302,0))))</f>
        <v>泰式綠咖哩雞</v>
      </c>
      <c r="D31" s="18" t="str">
        <f>IF(10&gt;MAX('4℃麵'!$AA$5:$AA$305),"",HYPERLINK("#'4℃麵'!D"&amp;(MATCH(10,'4℃麵'!$AA$5:$AA$305,0)+4),INDEX('4℃麵'!$D$5:$D$305,MATCH(10,'4℃麵'!$AA$5:$AA$305,0))))</f>
        <v/>
      </c>
      <c r="E31" s="18" t="str">
        <f>IF(10&gt;MAX('4℃其他'!$AA$5:$AA$302),"",HYPERLINK("#'4℃其他'!D"&amp;(MATCH(10,'4℃其他'!$AA$5:$AA$302,0)+4),INDEX('4℃其他'!$D$5:$D$302,MATCH(10,'4℃其他'!$AA$5:$AA$302,0))))</f>
        <v>豬肉起司蛋堡</v>
      </c>
      <c r="F31" s="18" t="str">
        <f>IF(10&gt;MAX(冷凍品!$Z$5:$Z$304),"",HYPERLINK("#'冷凍品'!C"&amp;(MATCH(10,冷凍品!$Z$5:$Z$304,0)+4),INDEX(冷凍品!$C$5:$C$304,MATCH(10,冷凍品!$Z$5:$Z$304,0))))</f>
        <v/>
      </c>
    </row>
    <row r="32" spans="2:6">
      <c r="B32" s="18" t="str">
        <f>IF(11&gt;MAX('18℃'!$Z$5:$Z$304),"",HYPERLINK("#'18℃'!C"&amp;(MATCH(11,'18℃'!$Z$5:$Z$304,0)+4),INDEX('18℃'!$C$5:$C$304,MATCH(11,'18℃'!$Z$5:$Z$304,0))))</f>
        <v/>
      </c>
      <c r="C32" s="18" t="str">
        <f>IF(11&gt;MAX('4℃飯'!$AA$5:$AA$302),"",HYPERLINK("#'4℃飯'!D"&amp;(MATCH(11,'4℃飯'!$AA$5:$AA$302,0)+4),INDEX('4℃飯'!$D$5:$D$302,MATCH(11,'4℃飯'!$AA$5:$AA$302,0))))</f>
        <v>打拋風味豬肉飯</v>
      </c>
      <c r="D32" s="18" t="str">
        <f>IF(11&gt;MAX('4℃麵'!$AA$5:$AA$305),"",HYPERLINK("#'4℃麵'!D"&amp;(MATCH(11,'4℃麵'!$AA$5:$AA$305,0)+4),INDEX('4℃麵'!$D$5:$D$305,MATCH(11,'4℃麵'!$AA$5:$AA$305,0))))</f>
        <v/>
      </c>
      <c r="E32" s="18" t="str">
        <f>IF(11&gt;MAX('4℃其他'!$AA$5:$AA$302),"",HYPERLINK("#'4℃其他'!D"&amp;(MATCH(11,'4℃其他'!$AA$5:$AA$302,0)+4),INDEX('4℃其他'!$D$5:$D$302,MATCH(11,'4℃其他'!$AA$5:$AA$302,0))))</f>
        <v>美式雞腿堡</v>
      </c>
      <c r="F32" s="18" t="str">
        <f>IF(11&gt;MAX(冷凍品!$Z$5:$Z$304),"",HYPERLINK("#'冷凍品'!C"&amp;(MATCH(11,冷凍品!$Z$5:$Z$304,0)+4),INDEX(冷凍品!$C$5:$C$304,MATCH(11,冷凍品!$Z$5:$Z$304,0))))</f>
        <v/>
      </c>
    </row>
    <row r="33" spans="2:6">
      <c r="B33" s="18" t="str">
        <f>IF(12&gt;MAX('18℃'!$Z$5:$Z$304),"",HYPERLINK("#'18℃'!C"&amp;(MATCH(12,'18℃'!$Z$5:$Z$304,0)+4),INDEX('18℃'!$C$5:$C$304,MATCH(12,'18℃'!$Z$5:$Z$304,0))))</f>
        <v/>
      </c>
      <c r="C33" s="18" t="str">
        <f>IF(12&gt;MAX('4℃飯'!$AA$5:$AA$302),"",HYPERLINK("#'4℃飯'!D"&amp;(MATCH(12,'4℃飯'!$AA$5:$AA$302,0)+4),INDEX('4℃飯'!$D$5:$D$302,MATCH(12,'4℃飯'!$AA$5:$AA$302,0))))</f>
        <v>厚香料優格咖哩雞排飯</v>
      </c>
      <c r="D33" s="18" t="str">
        <f>IF(12&gt;MAX('4℃麵'!$AA$5:$AA$305),"",HYPERLINK("#'4℃麵'!D"&amp;(MATCH(12,'4℃麵'!$AA$5:$AA$305,0)+4),INDEX('4℃麵'!$D$5:$D$305,MATCH(12,'4℃麵'!$AA$5:$AA$305,0))))</f>
        <v/>
      </c>
      <c r="E33" s="18" t="str">
        <f>IF(12&gt;MAX('4℃其他'!$AA$5:$AA$302),"",HYPERLINK("#'4℃其他'!D"&amp;(MATCH(12,'4℃其他'!$AA$5:$AA$302,0)+4),INDEX('4℃其他'!$D$5:$D$302,MATCH(12,'4℃其他'!$AA$5:$AA$302,0))))</f>
        <v>厚豆腐蛋白蕈菇豬肉堡</v>
      </c>
      <c r="F33" s="18" t="str">
        <f>IF(12&gt;MAX(冷凍品!$Z$5:$Z$304),"",HYPERLINK("#'冷凍品'!C"&amp;(MATCH(12,冷凍品!$Z$5:$Z$304,0)+4),INDEX(冷凍品!$C$5:$C$304,MATCH(12,冷凍品!$Z$5:$Z$304,0))))</f>
        <v/>
      </c>
    </row>
    <row r="34" spans="2:6">
      <c r="B34" s="18" t="str">
        <f>IF(13&gt;MAX('18℃'!$Z$5:$Z$304),"",HYPERLINK("#'18℃'!C"&amp;(MATCH(13,'18℃'!$Z$5:$Z$304,0)+4),INDEX('18℃'!$C$5:$C$304,MATCH(13,'18℃'!$Z$5:$Z$304,0))))</f>
        <v/>
      </c>
      <c r="C34" s="18" t="str">
        <f>IF(13&gt;MAX('4℃飯'!$AA$5:$AA$302),"",HYPERLINK("#'4℃飯'!D"&amp;(MATCH(13,'4℃飯'!$AA$5:$AA$302,0)+4),INDEX('4℃飯'!$D$5:$D$302,MATCH(13,'4℃飯'!$AA$5:$AA$302,0))))</f>
        <v>玉米濃湯焗烤飯</v>
      </c>
      <c r="D34" s="18" t="str">
        <f>IF(13&gt;MAX('4℃麵'!$AA$5:$AA$305),"",HYPERLINK("#'4℃麵'!D"&amp;(MATCH(13,'4℃麵'!$AA$5:$AA$305,0)+4),INDEX('4℃麵'!$D$5:$D$305,MATCH(13,'4℃麵'!$AA$5:$AA$305,0))))</f>
        <v/>
      </c>
      <c r="E34" s="18" t="str">
        <f>IF(13&gt;MAX('4℃其他'!$AA$5:$AA$302),"",HYPERLINK("#'4℃其他'!D"&amp;(MATCH(13,'4℃其他'!$AA$5:$AA$302,0)+4),INDEX('4℃其他'!$D$5:$D$302,MATCH(13,'4℃其他'!$AA$5:$AA$302,0))))</f>
        <v>黃金魚堡(114年)</v>
      </c>
      <c r="F34" s="18" t="str">
        <f>IF(13&gt;MAX(冷凍品!$Z$5:$Z$304),"",HYPERLINK("#'冷凍品'!C"&amp;(MATCH(13,冷凍品!$Z$5:$Z$304,0)+4),INDEX(冷凍品!$C$5:$C$304,MATCH(13,冷凍品!$Z$5:$Z$304,0))))</f>
        <v/>
      </c>
    </row>
    <row r="35" spans="2:6">
      <c r="B35" s="18" t="str">
        <f>IF(14&gt;MAX('18℃'!$Z$5:$Z$304),"",HYPERLINK("#'18℃'!C"&amp;(MATCH(14,'18℃'!$Z$5:$Z$304,0)+4),INDEX('18℃'!$C$5:$C$304,MATCH(14,'18℃'!$Z$5:$Z$304,0))))</f>
        <v/>
      </c>
      <c r="C35" s="18" t="str">
        <f>IF(14&gt;MAX('4℃飯'!$AA$5:$AA$302),"",HYPERLINK("#'4℃飯'!D"&amp;(MATCH(14,'4℃飯'!$AA$5:$AA$302,0)+4),INDEX('4℃飯'!$D$5:$D$302,MATCH(14,'4℃飯'!$AA$5:$AA$302,0))))</f>
        <v>美味蟹煲</v>
      </c>
      <c r="D35" s="18" t="str">
        <f>IF(14&gt;MAX('4℃麵'!$AA$5:$AA$305),"",HYPERLINK("#'4℃麵'!D"&amp;(MATCH(14,'4℃麵'!$AA$5:$AA$305,0)+4),INDEX('4℃麵'!$D$5:$D$305,MATCH(14,'4℃麵'!$AA$5:$AA$305,0))))</f>
        <v/>
      </c>
      <c r="E35" s="18" t="str">
        <f>IF(14&gt;MAX('4℃其他'!$AA$5:$AA$302),"",HYPERLINK("#'4℃其他'!D"&amp;(MATCH(14,'4℃其他'!$AA$5:$AA$302,0)+4),INDEX('4℃其他'!$D$5:$D$302,MATCH(14,'4℃其他'!$AA$5:$AA$302,0))))</f>
        <v>元氣起司鱈魚堡</v>
      </c>
      <c r="F35" s="18" t="str">
        <f>IF(14&gt;MAX(冷凍品!$Z$5:$Z$304),"",HYPERLINK("#'冷凍品'!C"&amp;(MATCH(14,冷凍品!$Z$5:$Z$304,0)+4),INDEX(冷凍品!$C$5:$C$304,MATCH(14,冷凍品!$Z$5:$Z$304,0))))</f>
        <v/>
      </c>
    </row>
    <row r="36" spans="2:6">
      <c r="B36" s="18" t="str">
        <f>IF(15&gt;MAX('18℃'!$Z$5:$Z$304),"",HYPERLINK("#'18℃'!C"&amp;(MATCH(15,'18℃'!$Z$5:$Z$304,0)+4),INDEX('18℃'!$C$5:$C$304,MATCH(15,'18℃'!$Z$5:$Z$304,0))))</f>
        <v/>
      </c>
      <c r="C36" s="18" t="str">
        <f>IF(15&gt;MAX('4℃飯'!$AA$5:$AA$302),"",HYPERLINK("#'4℃飯'!D"&amp;(MATCH(15,'4℃飯'!$AA$5:$AA$302,0)+4),INDEX('4℃飯'!$D$5:$D$302,MATCH(15,'4℃飯'!$AA$5:$AA$302,0))))</f>
        <v>韓式泡菜豬肉豆腐丼飯</v>
      </c>
      <c r="D36" s="18" t="str">
        <f>IF(15&gt;MAX('4℃麵'!$AA$5:$AA$305),"",HYPERLINK("#'4℃麵'!D"&amp;(MATCH(15,'4℃麵'!$AA$5:$AA$305,0)+4),INDEX('4℃麵'!$D$5:$D$305,MATCH(15,'4℃麵'!$AA$5:$AA$305,0))))</f>
        <v/>
      </c>
      <c r="E36" s="18" t="str">
        <f>IF(15&gt;MAX('4℃其他'!$AA$5:$AA$302),"",HYPERLINK("#'4℃其他'!D"&amp;(MATCH(15,'4℃其他'!$AA$5:$AA$302,0)+4),INDEX('4℃其他'!$D$5:$D$302,MATCH(15,'4℃其他'!$AA$5:$AA$302,0))))</f>
        <v>剝皮辣椒雞湯</v>
      </c>
      <c r="F36" s="18" t="str">
        <f>IF(15&gt;MAX(冷凍品!$Z$5:$Z$304),"",HYPERLINK("#'冷凍品'!C"&amp;(MATCH(15,冷凍品!$Z$5:$Z$304,0)+4),INDEX(冷凍品!$C$5:$C$304,MATCH(15,冷凍品!$Z$5:$Z$304,0))))</f>
        <v/>
      </c>
    </row>
    <row r="37" spans="2:6">
      <c r="B37" s="18" t="str">
        <f>IF(16&gt;MAX('18℃'!$Z$5:$Z$304),"",HYPERLINK("#'18℃'!C"&amp;(MATCH(16,'18℃'!$Z$5:$Z$304,0)+4),INDEX('18℃'!$C$5:$C$304,MATCH(16,'18℃'!$Z$5:$Z$304,0))))</f>
        <v/>
      </c>
      <c r="C37" s="18" t="str">
        <f>IF(16&gt;MAX('4℃飯'!$AA$5:$AA$302),"",HYPERLINK("#'4℃飯'!D"&amp;(MATCH(16,'4℃飯'!$AA$5:$AA$302,0)+4),INDEX('4℃飯'!$D$5:$D$302,MATCH(16,'4℃飯'!$AA$5:$AA$302,0))))</f>
        <v>日式炙烤親子丼</v>
      </c>
      <c r="D37" s="18" t="str">
        <f>IF(16&gt;MAX('4℃麵'!$AA$5:$AA$305),"",HYPERLINK("#'4℃麵'!D"&amp;(MATCH(16,'4℃麵'!$AA$5:$AA$305,0)+4),INDEX('4℃麵'!$D$5:$D$305,MATCH(16,'4℃麵'!$AA$5:$AA$305,0))))</f>
        <v/>
      </c>
      <c r="E37" s="18" t="str">
        <f>IF(16&gt;MAX('4℃其他'!$AA$5:$AA$302),"",HYPERLINK("#'4℃其他'!D"&amp;(MATCH(16,'4℃其他'!$AA$5:$AA$302,0)+4),INDEX('4℃其他'!$D$5:$D$302,MATCH(16,'4℃其他'!$AA$5:$AA$302,0))))</f>
        <v>香菇雞燉湯</v>
      </c>
      <c r="F37" s="18" t="str">
        <f>IF(16&gt;MAX(冷凍品!$Z$5:$Z$304),"",HYPERLINK("#'冷凍品'!C"&amp;(MATCH(16,冷凍品!$Z$5:$Z$304,0)+4),INDEX(冷凍品!$C$5:$C$304,MATCH(16,冷凍品!$Z$5:$Z$304,0))))</f>
        <v/>
      </c>
    </row>
    <row r="38" spans="2:6">
      <c r="B38" s="18" t="str">
        <f>IF(17&gt;MAX('18℃'!$Z$5:$Z$304),"",HYPERLINK("#'18℃'!C"&amp;(MATCH(17,'18℃'!$Z$5:$Z$304,0)+4),INDEX('18℃'!$C$5:$C$304,MATCH(17,'18℃'!$Z$5:$Z$304,0))))</f>
        <v/>
      </c>
      <c r="C38" s="18" t="str">
        <f>IF(17&gt;MAX('4℃飯'!$AA$5:$AA$302),"",HYPERLINK("#'4℃飯'!D"&amp;(MATCH(17,'4℃飯'!$AA$5:$AA$302,0)+4),INDEX('4℃飯'!$D$5:$D$302,MATCH(17,'4℃飯'!$AA$5:$AA$302,0))))</f>
        <v>爆炒雞丁飯</v>
      </c>
      <c r="D38" s="18" t="str">
        <f>IF(17&gt;MAX('4℃麵'!$AA$5:$AA$305),"",HYPERLINK("#'4℃麵'!D"&amp;(MATCH(17,'4℃麵'!$AA$5:$AA$305,0)+4),INDEX('4℃麵'!$D$5:$D$305,MATCH(17,'4℃麵'!$AA$5:$AA$305,0))))</f>
        <v/>
      </c>
      <c r="E38" s="18" t="str">
        <f>IF(17&gt;MAX('4℃其他'!$AA$5:$AA$302),"",HYPERLINK("#'4℃其他'!D"&amp;(MATCH(17,'4℃其他'!$AA$5:$AA$302,0)+4),INDEX('4℃其他'!$D$5:$D$302,MATCH(17,'4℃其他'!$AA$5:$AA$302,0))))</f>
        <v>火腿起司蛋三明治</v>
      </c>
      <c r="F38" s="18" t="str">
        <f>IF(17&gt;MAX(冷凍品!$Z$5:$Z$304),"",HYPERLINK("#'冷凍品'!C"&amp;(MATCH(17,冷凍品!$Z$5:$Z$304,0)+4),INDEX(冷凍品!$C$5:$C$304,MATCH(17,冷凍品!$Z$5:$Z$304,0))))</f>
        <v/>
      </c>
    </row>
    <row r="39" spans="2:6">
      <c r="B39" s="18" t="str">
        <f>IF(18&gt;MAX('18℃'!$Z$5:$Z$304),"",HYPERLINK("#'18℃'!C"&amp;(MATCH(18,'18℃'!$Z$5:$Z$304,0)+4),INDEX('18℃'!$C$5:$C$304,MATCH(18,'18℃'!$Z$5:$Z$304,0))))</f>
        <v/>
      </c>
      <c r="C39" s="18" t="str">
        <f>IF(18&gt;MAX('4℃飯'!$AA$5:$AA$302),"",HYPERLINK("#'4℃飯'!D"&amp;(MATCH(18,'4℃飯'!$AA$5:$AA$302,0)+4),INDEX('4℃飯'!$D$5:$D$302,MATCH(18,'4℃飯'!$AA$5:$AA$302,0))))</f>
        <v>泰式檸檬魚飯</v>
      </c>
      <c r="D39" s="18" t="str">
        <f>IF(18&gt;MAX('4℃麵'!$AA$5:$AA$305),"",HYPERLINK("#'4℃麵'!D"&amp;(MATCH(18,'4℃麵'!$AA$5:$AA$305,0)+4),INDEX('4℃麵'!$D$5:$D$305,MATCH(18,'4℃麵'!$AA$5:$AA$305,0))))</f>
        <v/>
      </c>
      <c r="E39" s="18" t="str">
        <f>IF(18&gt;MAX('4℃其他'!$AA$5:$AA$302),"",HYPERLINK("#'4℃其他'!D"&amp;(MATCH(18,'4℃其他'!$AA$5:$AA$302,0)+4),INDEX('4℃其他'!$D$5:$D$302,MATCH(18,'4℃其他'!$AA$5:$AA$302,0))))</f>
        <v>紐奧良風味烤雞鮮蔬三明治</v>
      </c>
      <c r="F39" s="18" t="str">
        <f>IF(18&gt;MAX(冷凍品!$Z$5:$Z$304),"",HYPERLINK("#'冷凍品'!C"&amp;(MATCH(18,冷凍品!$Z$5:$Z$304,0)+4),INDEX(冷凍品!$C$5:$C$304,MATCH(18,冷凍品!$Z$5:$Z$304,0))))</f>
        <v/>
      </c>
    </row>
    <row r="40" spans="2:6">
      <c r="B40" s="18" t="str">
        <f>IF(19&gt;MAX('18℃'!$Z$5:$Z$304),"",HYPERLINK("#'18℃'!C"&amp;(MATCH(19,'18℃'!$Z$5:$Z$304,0)+4),INDEX('18℃'!$C$5:$C$304,MATCH(19,'18℃'!$Z$5:$Z$304,0))))</f>
        <v/>
      </c>
      <c r="C40" s="18" t="str">
        <f>IF(19&gt;MAX('4℃飯'!$AA$5:$AA$302),"",HYPERLINK("#'4℃飯'!D"&amp;(MATCH(19,'4℃飯'!$AA$5:$AA$302,0)+4),INDEX('4℃飯'!$D$5:$D$302,MATCH(19,'4℃飯'!$AA$5:$AA$302,0))))</f>
        <v>香菇雞粥</v>
      </c>
      <c r="D40" s="18" t="str">
        <f>IF(19&gt;MAX('4℃麵'!$AA$5:$AA$305),"",HYPERLINK("#'4℃麵'!D"&amp;(MATCH(19,'4℃麵'!$AA$5:$AA$305,0)+4),INDEX('4℃麵'!$D$5:$D$305,MATCH(19,'4℃麵'!$AA$5:$AA$305,0))))</f>
        <v/>
      </c>
      <c r="E40" s="18" t="str">
        <f>IF(19&gt;MAX('4℃其他'!$AA$5:$AA$302),"",HYPERLINK("#'4℃其他'!D"&amp;(MATCH(19,'4℃其他'!$AA$5:$AA$302,0)+4),INDEX('4℃其他'!$D$5:$D$302,MATCH(19,'4℃其他'!$AA$5:$AA$302,0))))</f>
        <v>經典火腿玉米蛋三明治</v>
      </c>
      <c r="F40" s="18" t="str">
        <f>IF(19&gt;MAX(冷凍品!$Z$5:$Z$304),"",HYPERLINK("#'冷凍品'!C"&amp;(MATCH(19,冷凍品!$Z$5:$Z$304,0)+4),INDEX(冷凍品!$C$5:$C$304,MATCH(19,冷凍品!$Z$5:$Z$304,0))))</f>
        <v/>
      </c>
    </row>
    <row r="41" spans="2:6">
      <c r="B41" s="18" t="str">
        <f>IF(20&gt;MAX('18℃'!$Z$5:$Z$304),"",HYPERLINK("#'18℃'!C"&amp;(MATCH(20,'18℃'!$Z$5:$Z$304,0)+4),INDEX('18℃'!$C$5:$C$304,MATCH(20,'18℃'!$Z$5:$Z$304,0))))</f>
        <v/>
      </c>
      <c r="C41" s="18" t="str">
        <f>IF(20&gt;MAX('4℃飯'!$AA$5:$AA$302),"",HYPERLINK("#'4℃飯'!D"&amp;(MATCH(20,'4℃飯'!$AA$5:$AA$302,0)+4),INDEX('4℃飯'!$D$5:$D$302,MATCH(20,'4℃飯'!$AA$5:$AA$302,0))))</f>
        <v>柚見極炙烤牛</v>
      </c>
      <c r="D41" s="18" t="str">
        <f>IF(20&gt;MAX('4℃麵'!$AA$5:$AA$305),"",HYPERLINK("#'4℃麵'!D"&amp;(MATCH(20,'4℃麵'!$AA$5:$AA$305,0)+4),INDEX('4℃麵'!$D$5:$D$305,MATCH(20,'4℃麵'!$AA$5:$AA$305,0))))</f>
        <v/>
      </c>
      <c r="E41" s="18" t="str">
        <f>IF(20&gt;MAX('4℃其他'!$AA$5:$AA$302),"",HYPERLINK("#'4℃其他'!D"&amp;(MATCH(20,'4℃其他'!$AA$5:$AA$302,0)+4),INDEX('4℃其他'!$D$5:$D$302,MATCH(20,'4℃其他'!$AA$5:$AA$302,0))))</f>
        <v>雞蛋沙拉三明治</v>
      </c>
      <c r="F41" s="18" t="str">
        <f>IF(20&gt;MAX(冷凍品!$Z$5:$Z$304),"",HYPERLINK("#'冷凍品'!C"&amp;(MATCH(20,冷凍品!$Z$5:$Z$304,0)+4),INDEX(冷凍品!$C$5:$C$304,MATCH(20,冷凍品!$Z$5:$Z$304,0))))</f>
        <v/>
      </c>
    </row>
    <row r="42" spans="2:6">
      <c r="B42" s="18" t="str">
        <f>IF(21&gt;MAX('18℃'!$Z$5:$Z$304),"",HYPERLINK("#'18℃'!C"&amp;(MATCH(21,'18℃'!$Z$5:$Z$304,0)+4),INDEX('18℃'!$C$5:$C$304,MATCH(21,'18℃'!$Z$5:$Z$304,0))))</f>
        <v/>
      </c>
      <c r="C42" s="18" t="str">
        <f>IF(21&gt;MAX('4℃飯'!$AA$5:$AA$302),"",HYPERLINK("#'4℃飯'!D"&amp;(MATCH(21,'4℃飯'!$AA$5:$AA$302,0)+4),INDEX('4℃飯'!$D$5:$D$302,MATCH(21,'4℃飯'!$AA$5:$AA$302,0))))</f>
        <v>叉燒蛋炒飯</v>
      </c>
      <c r="D42" s="18" t="str">
        <f>IF(21&gt;MAX('4℃麵'!$AA$5:$AA$305),"",HYPERLINK("#'4℃麵'!D"&amp;(MATCH(21,'4℃麵'!$AA$5:$AA$305,0)+4),INDEX('4℃麵'!$D$5:$D$305,MATCH(21,'4℃麵'!$AA$5:$AA$305,0))))</f>
        <v/>
      </c>
      <c r="E42" s="18" t="str">
        <f>IF(21&gt;MAX('4℃其他'!$AA$5:$AA$302),"",HYPERLINK("#'4℃其他'!D"&amp;(MATCH(21,'4℃其他'!$AA$5:$AA$302,0)+4),INDEX('4℃其他'!$D$5:$D$302,MATCH(21,'4℃其他'!$AA$5:$AA$302,0))))</f>
        <v>肉鬆火腿三明治(115年)</v>
      </c>
      <c r="F42" s="18" t="str">
        <f>IF(21&gt;MAX(冷凍品!$Z$5:$Z$304),"",HYPERLINK("#'冷凍品'!C"&amp;(MATCH(21,冷凍品!$Z$5:$Z$304,0)+4),INDEX(冷凍品!$C$5:$C$304,MATCH(21,冷凍品!$Z$5:$Z$304,0))))</f>
        <v/>
      </c>
    </row>
    <row r="43" spans="2:6">
      <c r="B43" s="18" t="str">
        <f>IF(22&gt;MAX('18℃'!$Z$5:$Z$304),"",HYPERLINK("#'18℃'!C"&amp;(MATCH(22,'18℃'!$Z$5:$Z$304,0)+4),INDEX('18℃'!$C$5:$C$304,MATCH(22,'18℃'!$Z$5:$Z$304,0))))</f>
        <v/>
      </c>
      <c r="C43" s="18" t="str">
        <f>IF(22&gt;MAX('4℃飯'!$AA$5:$AA$302),"",HYPERLINK("#'4℃飯'!D"&amp;(MATCH(22,'4℃飯'!$AA$5:$AA$302,0)+4),INDEX('4℃飯'!$D$5:$D$302,MATCH(22,'4℃飯'!$AA$5:$AA$302,0))))</f>
        <v>金沙醬牛豚雙饗飯</v>
      </c>
      <c r="D43" s="18" t="str">
        <f>IF(22&gt;MAX('4℃麵'!$AA$5:$AA$305),"",HYPERLINK("#'4℃麵'!D"&amp;(MATCH(22,'4℃麵'!$AA$5:$AA$305,0)+4),INDEX('4℃麵'!$D$5:$D$305,MATCH(22,'4℃麵'!$AA$5:$AA$305,0))))</f>
        <v/>
      </c>
      <c r="E43" s="18" t="str">
        <f>IF(22&gt;MAX('4℃其他'!$AA$5:$AA$302),"",HYPERLINK("#'4℃其他'!D"&amp;(MATCH(22,'4℃其他'!$AA$5:$AA$302,0)+4),INDEX('4℃其他'!$D$5:$D$302,MATCH(22,'4℃其他'!$AA$5:$AA$302,0))))</f>
        <v>醬燒烤雞三明治(115年)</v>
      </c>
      <c r="F43" s="18" t="str">
        <f>IF(22&gt;MAX(冷凍品!$Z$5:$Z$304),"",HYPERLINK("#'冷凍品'!C"&amp;(MATCH(22,冷凍品!$Z$5:$Z$304,0)+4),INDEX(冷凍品!$C$5:$C$304,MATCH(22,冷凍品!$Z$5:$Z$304,0))))</f>
        <v/>
      </c>
    </row>
    <row r="44" spans="2:6">
      <c r="B44" s="18" t="str">
        <f>IF(23&gt;MAX('18℃'!$Z$5:$Z$304),"",HYPERLINK("#'18℃'!C"&amp;(MATCH(23,'18℃'!$Z$5:$Z$304,0)+4),INDEX('18℃'!$C$5:$C$304,MATCH(23,'18℃'!$Z$5:$Z$304,0))))</f>
        <v/>
      </c>
      <c r="C44" s="18" t="str">
        <f>IF(23&gt;MAX('4℃飯'!$AA$5:$AA$302),"",HYPERLINK("#'4℃飯'!D"&amp;(MATCH(23,'4℃飯'!$AA$5:$AA$302,0)+4),INDEX('4℃飯'!$D$5:$D$302,MATCH(23,'4℃飯'!$AA$5:$AA$302,0))))</f>
        <v>港式滑蛋牛肉燴飯</v>
      </c>
      <c r="D44" s="18" t="str">
        <f>IF(23&gt;MAX('4℃麵'!$AA$5:$AA$305),"",HYPERLINK("#'4℃麵'!D"&amp;(MATCH(23,'4℃麵'!$AA$5:$AA$305,0)+4),INDEX('4℃麵'!$D$5:$D$305,MATCH(23,'4℃麵'!$AA$5:$AA$305,0))))</f>
        <v/>
      </c>
      <c r="E44" s="18" t="str">
        <f>IF(23&gt;MAX('4℃其他'!$AA$5:$AA$302),"",HYPERLINK("#'4℃其他'!D"&amp;(MATCH(23,'4℃其他'!$AA$5:$AA$302,0)+4),INDEX('4℃其他'!$D$5:$D$302,MATCH(23,'4℃其他'!$AA$5:$AA$302,0))))</f>
        <v>好多蛋三明治</v>
      </c>
      <c r="F44" s="18" t="str">
        <f>IF(23&gt;MAX(冷凍品!$Z$5:$Z$304),"",HYPERLINK("#'冷凍品'!C"&amp;(MATCH(23,冷凍品!$Z$5:$Z$304,0)+4),INDEX(冷凍品!$C$5:$C$304,MATCH(23,冷凍品!$Z$5:$Z$304,0))))</f>
        <v/>
      </c>
    </row>
    <row r="45" spans="2:6">
      <c r="B45" s="18" t="str">
        <f>IF(24&gt;MAX('18℃'!$Z$5:$Z$304),"",HYPERLINK("#'18℃'!C"&amp;(MATCH(24,'18℃'!$Z$5:$Z$304,0)+4),INDEX('18℃'!$C$5:$C$304,MATCH(24,'18℃'!$Z$5:$Z$304,0))))</f>
        <v/>
      </c>
      <c r="C45" s="18" t="str">
        <f>IF(24&gt;MAX('4℃飯'!$AA$5:$AA$302),"",HYPERLINK("#'4℃飯'!D"&amp;(MATCH(24,'4℃飯'!$AA$5:$AA$302,0)+4),INDEX('4℃飯'!$D$5:$D$302,MATCH(24,'4℃飯'!$AA$5:$AA$302,0))))</f>
        <v>熊本麥味噌炸豬排丼飯</v>
      </c>
      <c r="D45" s="18" t="str">
        <f>IF(24&gt;MAX('4℃麵'!$AA$5:$AA$305),"",HYPERLINK("#'4℃麵'!D"&amp;(MATCH(24,'4℃麵'!$AA$5:$AA$305,0)+4),INDEX('4℃麵'!$D$5:$D$305,MATCH(24,'4℃麵'!$AA$5:$AA$305,0))))</f>
        <v/>
      </c>
      <c r="E45" s="18" t="str">
        <f>IF(24&gt;MAX('4℃其他'!$AA$5:$AA$302),"",HYPERLINK("#'4℃其他'!D"&amp;(MATCH(24,'4℃其他'!$AA$5:$AA$302,0)+4),INDEX('4℃其他'!$D$5:$D$302,MATCH(24,'4℃其他'!$AA$5:$AA$302,0))))</f>
        <v>經典總匯三明治(115年)</v>
      </c>
      <c r="F45" s="18" t="str">
        <f>IF(24&gt;MAX(冷凍品!$Z$5:$Z$304),"",HYPERLINK("#'冷凍品'!C"&amp;(MATCH(24,冷凍品!$Z$5:$Z$304,0)+4),INDEX(冷凍品!$C$5:$C$304,MATCH(24,冷凍品!$Z$5:$Z$304,0))))</f>
        <v/>
      </c>
    </row>
    <row r="46" spans="2:6">
      <c r="B46" s="18" t="str">
        <f>IF(25&gt;MAX('18℃'!$Z$5:$Z$304),"",HYPERLINK("#'18℃'!C"&amp;(MATCH(25,'18℃'!$Z$5:$Z$304,0)+4),INDEX('18℃'!$C$5:$C$304,MATCH(25,'18℃'!$Z$5:$Z$304,0))))</f>
        <v/>
      </c>
      <c r="C46" s="18" t="str">
        <f>IF(25&gt;MAX('4℃飯'!$AA$5:$AA$302),"",HYPERLINK("#'4℃飯'!D"&amp;(MATCH(25,'4℃飯'!$AA$5:$AA$302,0)+4),INDEX('4℃飯'!$D$5:$D$302,MATCH(25,'4℃飯'!$AA$5:$AA$302,0))))</f>
        <v>排骨蛋炒飯</v>
      </c>
      <c r="D46" s="18" t="str">
        <f>IF(25&gt;MAX('4℃麵'!$AA$5:$AA$305),"",HYPERLINK("#'4℃麵'!D"&amp;(MATCH(25,'4℃麵'!$AA$5:$AA$305,0)+4),INDEX('4℃麵'!$D$5:$D$305,MATCH(25,'4℃麵'!$AA$5:$AA$305,0))))</f>
        <v/>
      </c>
      <c r="E46" s="18" t="str">
        <f>IF(25&gt;MAX('4℃其他'!$AA$5:$AA$302),"",HYPERLINK("#'4℃其他'!D"&amp;(MATCH(25,'4℃其他'!$AA$5:$AA$302,0)+4),INDEX('4℃其他'!$D$5:$D$302,MATCH(25,'4℃其他'!$AA$5:$AA$302,0))))</f>
        <v>鮪魚起司溏心蛋三明治(115年)</v>
      </c>
      <c r="F46" s="18" t="str">
        <f>IF(25&gt;MAX(冷凍品!$Z$5:$Z$304),"",HYPERLINK("#'冷凍品'!C"&amp;(MATCH(25,冷凍品!$Z$5:$Z$304,0)+4),INDEX(冷凍品!$C$5:$C$304,MATCH(25,冷凍品!$Z$5:$Z$304,0))))</f>
        <v/>
      </c>
    </row>
    <row r="47" spans="2:6">
      <c r="B47" s="18" t="str">
        <f>IF(26&gt;MAX('18℃'!$Z$5:$Z$304),"",HYPERLINK("#'18℃'!C"&amp;(MATCH(26,'18℃'!$Z$5:$Z$304,0)+4),INDEX('18℃'!$C$5:$C$304,MATCH(26,'18℃'!$Z$5:$Z$304,0))))</f>
        <v/>
      </c>
      <c r="C47" s="18" t="str">
        <f>IF(26&gt;MAX('4℃飯'!$AA$5:$AA$302),"",HYPERLINK("#'4℃飯'!D"&amp;(MATCH(26,'4℃飯'!$AA$5:$AA$302,0)+4),INDEX('4℃飯'!$D$5:$D$302,MATCH(26,'4℃飯'!$AA$5:$AA$302,0))))</f>
        <v>青辣椒檸檬炭香漢堡排飯</v>
      </c>
      <c r="D47" s="18" t="str">
        <f>IF(26&gt;MAX('4℃麵'!$AA$5:$AA$305),"",HYPERLINK("#'4℃麵'!D"&amp;(MATCH(26,'4℃麵'!$AA$5:$AA$305,0)+4),INDEX('4℃麵'!$D$5:$D$305,MATCH(26,'4℃麵'!$AA$5:$AA$305,0))))</f>
        <v/>
      </c>
      <c r="E47" s="18" t="str">
        <f>IF(26&gt;MAX('4℃其他'!$AA$5:$AA$302),"",HYPERLINK("#'4℃其他'!D"&amp;(MATCH(26,'4℃其他'!$AA$5:$AA$302,0)+4),INDEX('4℃其他'!$D$5:$D$302,MATCH(26,'4℃其他'!$AA$5:$AA$302,0))))</f>
        <v>榛果摩卡脆脆三明治</v>
      </c>
      <c r="F47" s="18" t="str">
        <f>IF(26&gt;MAX(冷凍品!$Z$5:$Z$304),"",HYPERLINK("#'冷凍品'!C"&amp;(MATCH(26,冷凍品!$Z$5:$Z$304,0)+4),INDEX(冷凍品!$C$5:$C$304,MATCH(26,冷凍品!$Z$5:$Z$304,0))))</f>
        <v/>
      </c>
    </row>
    <row r="48" spans="2:6">
      <c r="B48" s="18" t="str">
        <f>IF(27&gt;MAX('18℃'!$Z$5:$Z$304),"",HYPERLINK("#'18℃'!C"&amp;(MATCH(27,'18℃'!$Z$5:$Z$304,0)+4),INDEX('18℃'!$C$5:$C$304,MATCH(27,'18℃'!$Z$5:$Z$304,0))))</f>
        <v/>
      </c>
      <c r="C48" s="18" t="str">
        <f>IF(27&gt;MAX('4℃飯'!$AA$5:$AA$302),"",HYPERLINK("#'4℃飯'!D"&amp;(MATCH(27,'4℃飯'!$AA$5:$AA$302,0)+4),INDEX('4℃飯'!$D$5:$D$302,MATCH(27,'4℃飯'!$AA$5:$AA$302,0))))</f>
        <v>韓式泡菜海陸豆腐丼飯</v>
      </c>
      <c r="D48" s="18" t="str">
        <f>IF(27&gt;MAX('4℃麵'!$AA$5:$AA$305),"",HYPERLINK("#'4℃麵'!D"&amp;(MATCH(27,'4℃麵'!$AA$5:$AA$305,0)+4),INDEX('4℃麵'!$D$5:$D$305,MATCH(27,'4℃麵'!$AA$5:$AA$305,0))))</f>
        <v/>
      </c>
      <c r="E48" s="18" t="str">
        <f>IF(27&gt;MAX('4℃其他'!$AA$5:$AA$302),"",HYPERLINK("#'4℃其他'!D"&amp;(MATCH(27,'4℃其他'!$AA$5:$AA$302,0)+4),INDEX('4℃其他'!$D$5:$D$302,MATCH(27,'4℃其他'!$AA$5:$AA$302,0))))</f>
        <v>茄汁厚起司三明治</v>
      </c>
      <c r="F48" s="18" t="str">
        <f>IF(27&gt;MAX(冷凍品!$Z$5:$Z$304),"",HYPERLINK("#'冷凍品'!C"&amp;(MATCH(27,冷凍品!$Z$5:$Z$304,0)+4),INDEX(冷凍品!$C$5:$C$304,MATCH(27,冷凍品!$Z$5:$Z$304,0))))</f>
        <v/>
      </c>
    </row>
    <row r="49" spans="2:6">
      <c r="B49" s="18" t="str">
        <f>IF(28&gt;MAX('18℃'!$Z$5:$Z$304),"",HYPERLINK("#'18℃'!C"&amp;(MATCH(28,'18℃'!$Z$5:$Z$304,0)+4),INDEX('18℃'!$C$5:$C$304,MATCH(28,'18℃'!$Z$5:$Z$304,0))))</f>
        <v/>
      </c>
      <c r="C49" s="18" t="str">
        <f>IF(28&gt;MAX('4℃飯'!$AA$5:$AA$302),"",HYPERLINK("#'4℃飯'!D"&amp;(MATCH(28,'4℃飯'!$AA$5:$AA$302,0)+4),INDEX('4℃飯'!$D$5:$D$302,MATCH(28,'4℃飯'!$AA$5:$AA$302,0))))</f>
        <v>鮭魚蛋炒飯</v>
      </c>
      <c r="D49" s="18" t="str">
        <f>IF(28&gt;MAX('4℃麵'!$AA$5:$AA$305),"",HYPERLINK("#'4℃麵'!D"&amp;(MATCH(28,'4℃麵'!$AA$5:$AA$305,0)+4),INDEX('4℃麵'!$D$5:$D$305,MATCH(28,'4℃麵'!$AA$5:$AA$305,0))))</f>
        <v/>
      </c>
      <c r="E49" s="18" t="str">
        <f>IF(28&gt;MAX('4℃其他'!$AA$5:$AA$302),"",HYPERLINK("#'4℃其他'!D"&amp;(MATCH(28,'4℃其他'!$AA$5:$AA$302,0)+4),INDEX('4℃其他'!$D$5:$D$302,MATCH(28,'4℃其他'!$AA$5:$AA$302,0))))</f>
        <v>起司芋見肉鬆三明治</v>
      </c>
      <c r="F49" s="18" t="str">
        <f>IF(28&gt;MAX(冷凍品!$Z$5:$Z$304),"",HYPERLINK("#'冷凍品'!C"&amp;(MATCH(28,冷凍品!$Z$5:$Z$304,0)+4),INDEX(冷凍品!$C$5:$C$304,MATCH(28,冷凍品!$Z$5:$Z$304,0))))</f>
        <v/>
      </c>
    </row>
    <row r="50" spans="2:6">
      <c r="B50" s="18" t="str">
        <f>IF(29&gt;MAX('18℃'!$Z$5:$Z$304),"",HYPERLINK("#'18℃'!C"&amp;(MATCH(29,'18℃'!$Z$5:$Z$304,0)+4),INDEX('18℃'!$C$5:$C$304,MATCH(29,'18℃'!$Z$5:$Z$304,0))))</f>
        <v/>
      </c>
      <c r="C50" s="18" t="str">
        <f>IF(29&gt;MAX('4℃飯'!$AA$5:$AA$302),"",HYPERLINK("#'4℃飯'!D"&amp;(MATCH(29,'4℃飯'!$AA$5:$AA$302,0)+4),INDEX('4℃飯'!$D$5:$D$302,MATCH(29,'4℃飯'!$AA$5:$AA$302,0))))</f>
        <v/>
      </c>
      <c r="D50" s="18" t="str">
        <f>IF(29&gt;MAX('4℃麵'!$AA$5:$AA$305),"",HYPERLINK("#'4℃麵'!D"&amp;(MATCH(29,'4℃麵'!$AA$5:$AA$305,0)+4),INDEX('4℃麵'!$D$5:$D$305,MATCH(29,'4℃麵'!$AA$5:$AA$305,0))))</f>
        <v/>
      </c>
      <c r="E50" s="18" t="str">
        <f>IF(29&gt;MAX('4℃其他'!$AA$5:$AA$302),"",HYPERLINK("#'4℃其他'!D"&amp;(MATCH(29,'4℃其他'!$AA$5:$AA$302,0)+4),INDEX('4℃其他'!$D$5:$D$302,MATCH(29,'4℃其他'!$AA$5:$AA$302,0))))</f>
        <v>五彩鮮蔬三明治</v>
      </c>
      <c r="F50" s="18" t="str">
        <f>IF(29&gt;MAX(冷凍品!$Z$5:$Z$304),"",HYPERLINK("#'冷凍品'!C"&amp;(MATCH(29,冷凍品!$Z$5:$Z$304,0)+4),INDEX(冷凍品!$C$5:$C$304,MATCH(29,冷凍品!$Z$5:$Z$304,0))))</f>
        <v/>
      </c>
    </row>
    <row r="51" spans="2:6">
      <c r="B51" s="18" t="str">
        <f>IF(30&gt;MAX('18℃'!$Z$5:$Z$304),"",HYPERLINK("#'18℃'!C"&amp;(MATCH(30,'18℃'!$Z$5:$Z$304,0)+4),INDEX('18℃'!$C$5:$C$304,MATCH(30,'18℃'!$Z$5:$Z$304,0))))</f>
        <v/>
      </c>
      <c r="C51" s="18" t="str">
        <f>IF(30&gt;MAX('4℃飯'!$AA$5:$AA$302),"",HYPERLINK("#'4℃飯'!D"&amp;(MATCH(30,'4℃飯'!$AA$5:$AA$302,0)+4),INDEX('4℃飯'!$D$5:$D$302,MATCH(30,'4℃飯'!$AA$5:$AA$302,0))))</f>
        <v/>
      </c>
      <c r="D51" s="18" t="str">
        <f>IF(30&gt;MAX('4℃麵'!$AA$5:$AA$305),"",HYPERLINK("#'4℃麵'!D"&amp;(MATCH(30,'4℃麵'!$AA$5:$AA$305,0)+4),INDEX('4℃麵'!$D$5:$D$305,MATCH(30,'4℃麵'!$AA$5:$AA$305,0))))</f>
        <v/>
      </c>
      <c r="E51" s="18" t="str">
        <f>IF(30&gt;MAX('4℃其他'!$AA$5:$AA$302),"",HYPERLINK("#'4℃其他'!D"&amp;(MATCH(30,'4℃其他'!$AA$5:$AA$302,0)+4),INDEX('4℃其他'!$D$5:$D$302,MATCH(30,'4℃其他'!$AA$5:$AA$302,0))))</f>
        <v>金黃玉米蛋三明治</v>
      </c>
      <c r="F51" s="18" t="str">
        <f>IF(30&gt;MAX(冷凍品!$Z$5:$Z$304),"",HYPERLINK("#'冷凍品'!C"&amp;(MATCH(30,冷凍品!$Z$5:$Z$304,0)+4),INDEX(冷凍品!$C$5:$C$304,MATCH(30,冷凍品!$Z$5:$Z$304,0))))</f>
        <v/>
      </c>
    </row>
    <row r="52" spans="2:6">
      <c r="B52" s="18" t="str">
        <f>IF(31&gt;MAX('18℃'!$Z$5:$Z$304),"",HYPERLINK("#'18℃'!C"&amp;(MATCH(31,'18℃'!$Z$5:$Z$304,0)+4),INDEX('18℃'!$C$5:$C$304,MATCH(31,'18℃'!$Z$5:$Z$304,0))))</f>
        <v/>
      </c>
      <c r="C52" s="18" t="str">
        <f>IF(31&gt;MAX('4℃飯'!$AA$5:$AA$302),"",HYPERLINK("#'4℃飯'!D"&amp;(MATCH(31,'4℃飯'!$AA$5:$AA$302,0)+4),INDEX('4℃飯'!$D$5:$D$302,MATCH(31,'4℃飯'!$AA$5:$AA$302,0))))</f>
        <v/>
      </c>
      <c r="D52" s="18" t="str">
        <f>IF(31&gt;MAX('4℃麵'!$AA$5:$AA$305),"",HYPERLINK("#'4℃麵'!D"&amp;(MATCH(31,'4℃麵'!$AA$5:$AA$305,0)+4),INDEX('4℃麵'!$D$5:$D$305,MATCH(31,'4℃麵'!$AA$5:$AA$305,0))))</f>
        <v/>
      </c>
      <c r="E52" s="18" t="str">
        <f>IF(31&gt;MAX('4℃其他'!$AA$5:$AA$302),"",HYPERLINK("#'4℃其他'!D"&amp;(MATCH(31,'4℃其他'!$AA$5:$AA$302,0)+4),INDEX('4℃其他'!$D$5:$D$302,MATCH(31,'4℃其他'!$AA$5:$AA$302,0))))</f>
        <v>水果聖代三明治</v>
      </c>
      <c r="F52" s="18" t="str">
        <f>IF(31&gt;MAX(冷凍品!$Z$5:$Z$304),"",HYPERLINK("#'冷凍品'!C"&amp;(MATCH(31,冷凍品!$Z$5:$Z$304,0)+4),INDEX(冷凍品!$C$5:$C$304,MATCH(31,冷凍品!$Z$5:$Z$304,0))))</f>
        <v/>
      </c>
    </row>
    <row r="53" spans="2:6">
      <c r="B53" s="18" t="str">
        <f>IF(32&gt;MAX('18℃'!$Z$5:$Z$304),"",HYPERLINK("#'18℃'!C"&amp;(MATCH(32,'18℃'!$Z$5:$Z$304,0)+4),INDEX('18℃'!$C$5:$C$304,MATCH(32,'18℃'!$Z$5:$Z$304,0))))</f>
        <v/>
      </c>
      <c r="C53" s="18" t="str">
        <f>IF(32&gt;MAX('4℃飯'!$AA$5:$AA$302),"",HYPERLINK("#'4℃飯'!D"&amp;(MATCH(32,'4℃飯'!$AA$5:$AA$302,0)+4),INDEX('4℃飯'!$D$5:$D$302,MATCH(32,'4℃飯'!$AA$5:$AA$302,0))))</f>
        <v/>
      </c>
      <c r="D53" s="18" t="str">
        <f>IF(32&gt;MAX('4℃麵'!$AA$5:$AA$305),"",HYPERLINK("#'4℃麵'!D"&amp;(MATCH(32,'4℃麵'!$AA$5:$AA$305,0)+4),INDEX('4℃麵'!$D$5:$D$305,MATCH(32,'4℃麵'!$AA$5:$AA$305,0))))</f>
        <v/>
      </c>
      <c r="E53" s="18" t="str">
        <f>IF(32&gt;MAX('4℃其他'!$AA$5:$AA$302),"",HYPERLINK("#'4℃其他'!D"&amp;(MATCH(32,'4℃其他'!$AA$5:$AA$302,0)+4),INDEX('4℃其他'!$D$5:$D$302,MATCH(32,'4℃其他'!$AA$5:$AA$302,0))))</f>
        <v>紅豆黑糖麻糬三明治</v>
      </c>
      <c r="F53" s="18" t="str">
        <f>IF(32&gt;MAX(冷凍品!$Z$5:$Z$304),"",HYPERLINK("#'冷凍品'!C"&amp;(MATCH(32,冷凍品!$Z$5:$Z$304,0)+4),INDEX(冷凍品!$C$5:$C$304,MATCH(32,冷凍品!$Z$5:$Z$304,0))))</f>
        <v/>
      </c>
    </row>
    <row r="54" spans="2:6">
      <c r="B54" s="18" t="str">
        <f>IF(33&gt;MAX('18℃'!$Z$5:$Z$304),"",HYPERLINK("#'18℃'!C"&amp;(MATCH(33,'18℃'!$Z$5:$Z$304,0)+4),INDEX('18℃'!$C$5:$C$304,MATCH(33,'18℃'!$Z$5:$Z$304,0))))</f>
        <v/>
      </c>
      <c r="C54" s="18" t="str">
        <f>IF(33&gt;MAX('4℃飯'!$AA$5:$AA$302),"",HYPERLINK("#'4℃飯'!D"&amp;(MATCH(33,'4℃飯'!$AA$5:$AA$302,0)+4),INDEX('4℃飯'!$D$5:$D$302,MATCH(33,'4℃飯'!$AA$5:$AA$302,0))))</f>
        <v/>
      </c>
      <c r="D54" s="18" t="str">
        <f>IF(33&gt;MAX('4℃麵'!$AA$5:$AA$305),"",HYPERLINK("#'4℃麵'!D"&amp;(MATCH(33,'4℃麵'!$AA$5:$AA$305,0)+4),INDEX('4℃麵'!$D$5:$D$305,MATCH(33,'4℃麵'!$AA$5:$AA$305,0))))</f>
        <v/>
      </c>
      <c r="E54" s="18" t="str">
        <f>IF(33&gt;MAX('4℃其他'!$AA$5:$AA$302),"",HYPERLINK("#'4℃其他'!D"&amp;(MATCH(33,'4℃其他'!$AA$5:$AA$302,0)+4),INDEX('4℃其他'!$D$5:$D$302,MATCH(33,'4℃其他'!$AA$5:$AA$302,0))))</f>
        <v>雙泰奶QQ三明治</v>
      </c>
      <c r="F54" s="18" t="str">
        <f>IF(33&gt;MAX(冷凍品!$Z$5:$Z$304),"",HYPERLINK("#'冷凍品'!C"&amp;(MATCH(33,冷凍品!$Z$5:$Z$304,0)+4),INDEX(冷凍品!$C$5:$C$304,MATCH(33,冷凍品!$Z$5:$Z$304,0))))</f>
        <v/>
      </c>
    </row>
    <row r="55" spans="2:6">
      <c r="B55" s="18" t="str">
        <f>IF(34&gt;MAX('18℃'!$Z$5:$Z$304),"",HYPERLINK("#'18℃'!C"&amp;(MATCH(34,'18℃'!$Z$5:$Z$304,0)+4),INDEX('18℃'!$C$5:$C$304,MATCH(34,'18℃'!$Z$5:$Z$304,0))))</f>
        <v/>
      </c>
      <c r="C55" s="18" t="str">
        <f>IF(34&gt;MAX('4℃飯'!$AA$5:$AA$302),"",HYPERLINK("#'4℃飯'!D"&amp;(MATCH(34,'4℃飯'!$AA$5:$AA$302,0)+4),INDEX('4℃飯'!$D$5:$D$302,MATCH(34,'4℃飯'!$AA$5:$AA$302,0))))</f>
        <v/>
      </c>
      <c r="D55" s="18" t="str">
        <f>IF(34&gt;MAX('4℃麵'!$AA$5:$AA$305),"",HYPERLINK("#'4℃麵'!D"&amp;(MATCH(34,'4℃麵'!$AA$5:$AA$305,0)+4),INDEX('4℃麵'!$D$5:$D$305,MATCH(34,'4℃麵'!$AA$5:$AA$305,0))))</f>
        <v/>
      </c>
      <c r="E55" s="18" t="str">
        <f>IF(34&gt;MAX('4℃其他'!$AA$5:$AA$302),"",HYPERLINK("#'4℃其他'!D"&amp;(MATCH(34,'4℃其他'!$AA$5:$AA$302,0)+4),INDEX('4℃其他'!$D$5:$D$302,MATCH(34,'4℃其他'!$AA$5:$AA$302,0))))</f>
        <v>超HOT雞腿堡</v>
      </c>
      <c r="F55" s="18" t="str">
        <f>IF(34&gt;MAX(冷凍品!$Z$5:$Z$304),"",HYPERLINK("#'冷凍品'!C"&amp;(MATCH(34,冷凍品!$Z$5:$Z$304,0)+4),INDEX(冷凍品!$C$5:$C$304,MATCH(34,冷凍品!$Z$5:$Z$304,0))))</f>
        <v/>
      </c>
    </row>
    <row r="56" spans="2:6">
      <c r="B56" s="18" t="str">
        <f>IF(35&gt;MAX('18℃'!$Z$5:$Z$304),"",HYPERLINK("#'18℃'!C"&amp;(MATCH(35,'18℃'!$Z$5:$Z$304,0)+4),INDEX('18℃'!$C$5:$C$304,MATCH(35,'18℃'!$Z$5:$Z$304,0))))</f>
        <v/>
      </c>
      <c r="C56" s="18" t="str">
        <f>IF(35&gt;MAX('4℃飯'!$AA$5:$AA$302),"",HYPERLINK("#'4℃飯'!D"&amp;(MATCH(35,'4℃飯'!$AA$5:$AA$302,0)+4),INDEX('4℃飯'!$D$5:$D$302,MATCH(35,'4℃飯'!$AA$5:$AA$302,0))))</f>
        <v/>
      </c>
      <c r="D56" s="18" t="str">
        <f>IF(35&gt;MAX('4℃麵'!$AA$5:$AA$305),"",HYPERLINK("#'4℃麵'!D"&amp;(MATCH(35,'4℃麵'!$AA$5:$AA$305,0)+4),INDEX('4℃麵'!$D$5:$D$305,MATCH(35,'4℃麵'!$AA$5:$AA$305,0))))</f>
        <v/>
      </c>
      <c r="E56" s="18" t="str">
        <f>IF(35&gt;MAX('4℃其他'!$AA$5:$AA$302),"",HYPERLINK("#'4℃其他'!D"&amp;(MATCH(35,'4℃其他'!$AA$5:$AA$302,0)+4),INDEX('4℃其他'!$D$5:$D$302,MATCH(35,'4℃其他'!$AA$5:$AA$302,0))))</f>
        <v>厚蛋時蔬握沙拉(切換墨西哥餅皮-原味(8英吋)新+美生菜版)</v>
      </c>
      <c r="F56" s="18" t="str">
        <f>IF(35&gt;MAX(冷凍品!$Z$5:$Z$304),"",HYPERLINK("#'冷凍品'!C"&amp;(MATCH(35,冷凍品!$Z$5:$Z$304,0)+4),INDEX(冷凍品!$C$5:$C$304,MATCH(35,冷凍品!$Z$5:$Z$304,0))))</f>
        <v/>
      </c>
    </row>
    <row r="57" spans="2:6">
      <c r="B57" s="18" t="str">
        <f>IF(36&gt;MAX('18℃'!$Z$5:$Z$304),"",HYPERLINK("#'18℃'!C"&amp;(MATCH(36,'18℃'!$Z$5:$Z$304,0)+4),INDEX('18℃'!$C$5:$C$304,MATCH(36,'18℃'!$Z$5:$Z$304,0))))</f>
        <v/>
      </c>
      <c r="C57" s="18" t="str">
        <f>IF(36&gt;MAX('4℃飯'!$AA$5:$AA$302),"",HYPERLINK("#'4℃飯'!D"&amp;(MATCH(36,'4℃飯'!$AA$5:$AA$302,0)+4),INDEX('4℃飯'!$D$5:$D$302,MATCH(36,'4℃飯'!$AA$5:$AA$302,0))))</f>
        <v/>
      </c>
      <c r="D57" s="18" t="str">
        <f>IF(36&gt;MAX('4℃麵'!$AA$5:$AA$305),"",HYPERLINK("#'4℃麵'!D"&amp;(MATCH(36,'4℃麵'!$AA$5:$AA$305,0)+4),INDEX('4℃麵'!$D$5:$D$305,MATCH(36,'4℃麵'!$AA$5:$AA$305,0))))</f>
        <v/>
      </c>
      <c r="E57" s="18" t="str">
        <f>IF(36&gt;MAX('4℃其他'!$AA$5:$AA$302),"",HYPERLINK("#'4℃其他'!D"&amp;(MATCH(36,'4℃其他'!$AA$5:$AA$302,0)+4),INDEX('4℃其他'!$D$5:$D$302,MATCH(36,'4℃其他'!$AA$5:$AA$302,0))))</f>
        <v>厚蛋時蔬握沙拉(區)(切換墨西哥餅皮-原味(8英吋)新+美生菜版)</v>
      </c>
      <c r="F57" s="18" t="str">
        <f>IF(36&gt;MAX(冷凍品!$Z$5:$Z$304),"",HYPERLINK("#'冷凍品'!C"&amp;(MATCH(36,冷凍品!$Z$5:$Z$304,0)+4),INDEX(冷凍品!$C$5:$C$304,MATCH(36,冷凍品!$Z$5:$Z$304,0))))</f>
        <v/>
      </c>
    </row>
    <row r="58" spans="2:6">
      <c r="B58" s="18" t="str">
        <f>IF(37&gt;MAX('18℃'!$Z$5:$Z$304),"",HYPERLINK("#'18℃'!C"&amp;(MATCH(37,'18℃'!$Z$5:$Z$304,0)+4),INDEX('18℃'!$C$5:$C$304,MATCH(37,'18℃'!$Z$5:$Z$304,0))))</f>
        <v/>
      </c>
      <c r="C58" s="18" t="str">
        <f>IF(37&gt;MAX('4℃飯'!$AA$5:$AA$302),"",HYPERLINK("#'4℃飯'!D"&amp;(MATCH(37,'4℃飯'!$AA$5:$AA$302,0)+4),INDEX('4℃飯'!$D$5:$D$302,MATCH(37,'4℃飯'!$AA$5:$AA$302,0))))</f>
        <v/>
      </c>
      <c r="D58" s="18" t="str">
        <f>IF(37&gt;MAX('4℃麵'!$AA$5:$AA$305),"",HYPERLINK("#'4℃麵'!D"&amp;(MATCH(37,'4℃麵'!$AA$5:$AA$305,0)+4),INDEX('4℃麵'!$D$5:$D$305,MATCH(37,'4℃麵'!$AA$5:$AA$305,0))))</f>
        <v/>
      </c>
      <c r="E58" s="18" t="str">
        <f>IF(37&gt;MAX('4℃其他'!$AA$5:$AA$302),"",HYPERLINK("#'4℃其他'!D"&amp;(MATCH(37,'4℃其他'!$AA$5:$AA$302,0)+4),INDEX('4℃其他'!$D$5:$D$302,MATCH(37,'4℃其他'!$AA$5:$AA$302,0))))</f>
        <v>益活雞力能量堡</v>
      </c>
      <c r="F58" s="18" t="str">
        <f>IF(37&gt;MAX(冷凍品!$Z$5:$Z$304),"",HYPERLINK("#'冷凍品'!C"&amp;(MATCH(37,冷凍品!$Z$5:$Z$304,0)+4),INDEX(冷凍品!$C$5:$C$304,MATCH(37,冷凍品!$Z$5:$Z$304,0))))</f>
        <v/>
      </c>
    </row>
    <row r="59" spans="2:6">
      <c r="B59" s="18" t="str">
        <f>IF(38&gt;MAX('18℃'!$Z$5:$Z$304),"",HYPERLINK("#'18℃'!C"&amp;(MATCH(38,'18℃'!$Z$5:$Z$304,0)+4),INDEX('18℃'!$C$5:$C$304,MATCH(38,'18℃'!$Z$5:$Z$304,0))))</f>
        <v/>
      </c>
      <c r="C59" s="18" t="str">
        <f>IF(38&gt;MAX('4℃飯'!$AA$5:$AA$302),"",HYPERLINK("#'4℃飯'!D"&amp;(MATCH(38,'4℃飯'!$AA$5:$AA$302,0)+4),INDEX('4℃飯'!$D$5:$D$302,MATCH(38,'4℃飯'!$AA$5:$AA$302,0))))</f>
        <v/>
      </c>
      <c r="D59" s="18" t="str">
        <f>IF(38&gt;MAX('4℃麵'!$AA$5:$AA$305),"",HYPERLINK("#'4℃麵'!D"&amp;(MATCH(38,'4℃麵'!$AA$5:$AA$305,0)+4),INDEX('4℃麵'!$D$5:$D$305,MATCH(38,'4℃麵'!$AA$5:$AA$305,0))))</f>
        <v/>
      </c>
      <c r="E59" s="18" t="str">
        <f>IF(38&gt;MAX('4℃其他'!$AA$5:$AA$302),"",HYPERLINK("#'4℃其他'!D"&amp;(MATCH(38,'4℃其他'!$AA$5:$AA$302,0)+4),INDEX('4℃其他'!$D$5:$D$302,MATCH(38,'4℃其他'!$AA$5:$AA$302,0))))</f>
        <v>好多菜三明治</v>
      </c>
      <c r="F59" s="18" t="str">
        <f>IF(38&gt;MAX(冷凍品!$Z$5:$Z$304),"",HYPERLINK("#'冷凍品'!C"&amp;(MATCH(38,冷凍品!$Z$5:$Z$304,0)+4),INDEX(冷凍品!$C$5:$C$304,MATCH(38,冷凍品!$Z$5:$Z$304,0))))</f>
        <v/>
      </c>
    </row>
    <row r="60" spans="2:6">
      <c r="B60" s="18" t="str">
        <f>IF(39&gt;MAX('18℃'!$Z$5:$Z$304),"",HYPERLINK("#'18℃'!C"&amp;(MATCH(39,'18℃'!$Z$5:$Z$304,0)+4),INDEX('18℃'!$C$5:$C$304,MATCH(39,'18℃'!$Z$5:$Z$304,0))))</f>
        <v/>
      </c>
      <c r="C60" s="18" t="str">
        <f>IF(39&gt;MAX('4℃飯'!$AA$5:$AA$302),"",HYPERLINK("#'4℃飯'!D"&amp;(MATCH(39,'4℃飯'!$AA$5:$AA$302,0)+4),INDEX('4℃飯'!$D$5:$D$302,MATCH(39,'4℃飯'!$AA$5:$AA$302,0))))</f>
        <v/>
      </c>
      <c r="D60" s="18" t="str">
        <f>IF(39&gt;MAX('4℃麵'!$AA$5:$AA$305),"",HYPERLINK("#'4℃麵'!D"&amp;(MATCH(39,'4℃麵'!$AA$5:$AA$305,0)+4),INDEX('4℃麵'!$D$5:$D$305,MATCH(39,'4℃麵'!$AA$5:$AA$305,0))))</f>
        <v/>
      </c>
      <c r="E60" s="18" t="str">
        <f>IF(39&gt;MAX('4℃其他'!$AA$5:$AA$302),"",HYPERLINK("#'4℃其他'!D"&amp;(MATCH(39,'4℃其他'!$AA$5:$AA$302,0)+4),INDEX('4℃其他'!$D$5:$D$302,MATCH(39,'4℃其他'!$AA$5:$AA$302,0))))</f>
        <v>陽光地瓜總匯三明治</v>
      </c>
      <c r="F60" s="18" t="str">
        <f>IF(39&gt;MAX(冷凍品!$Z$5:$Z$304),"",HYPERLINK("#'冷凍品'!C"&amp;(MATCH(39,冷凍品!$Z$5:$Z$304,0)+4),INDEX(冷凍品!$C$5:$C$304,MATCH(39,冷凍品!$Z$5:$Z$304,0))))</f>
        <v/>
      </c>
    </row>
    <row r="61" spans="2:6">
      <c r="B61" s="18" t="str">
        <f>IF(40&gt;MAX('18℃'!$Z$5:$Z$304),"",HYPERLINK("#'18℃'!C"&amp;(MATCH(40,'18℃'!$Z$5:$Z$304,0)+4),INDEX('18℃'!$C$5:$C$304,MATCH(40,'18℃'!$Z$5:$Z$304,0))))</f>
        <v/>
      </c>
      <c r="C61" s="18" t="str">
        <f>IF(40&gt;MAX('4℃飯'!$AA$5:$AA$302),"",HYPERLINK("#'4℃飯'!D"&amp;(MATCH(40,'4℃飯'!$AA$5:$AA$302,0)+4),INDEX('4℃飯'!$D$5:$D$302,MATCH(40,'4℃飯'!$AA$5:$AA$302,0))))</f>
        <v/>
      </c>
      <c r="D61" s="18" t="str">
        <f>IF(40&gt;MAX('4℃麵'!$AA$5:$AA$305),"",HYPERLINK("#'4℃麵'!D"&amp;(MATCH(40,'4℃麵'!$AA$5:$AA$305,0)+4),INDEX('4℃麵'!$D$5:$D$305,MATCH(40,'4℃麵'!$AA$5:$AA$305,0))))</f>
        <v/>
      </c>
      <c r="E61" s="18" t="str">
        <f>IF(40&gt;MAX('4℃其他'!$AA$5:$AA$302),"",HYPERLINK("#'4℃其他'!D"&amp;(MATCH(40,'4℃其他'!$AA$5:$AA$302,0)+4),INDEX('4℃其他'!$D$5:$D$302,MATCH(40,'4℃其他'!$AA$5:$AA$302,0))))</f>
        <v>輕乳酪巧克力三明治</v>
      </c>
      <c r="F61" s="18" t="str">
        <f>IF(40&gt;MAX(冷凍品!$Z$5:$Z$304),"",HYPERLINK("#'冷凍品'!C"&amp;(MATCH(40,冷凍品!$Z$5:$Z$304,0)+4),INDEX(冷凍品!$C$5:$C$304,MATCH(40,冷凍品!$Z$5:$Z$304,0))))</f>
        <v/>
      </c>
    </row>
    <row r="62" spans="2:6">
      <c r="B62" s="18" t="str">
        <f>IF(41&gt;MAX('18℃'!$Z$5:$Z$304),"",HYPERLINK("#'18℃'!C"&amp;(MATCH(41,'18℃'!$Z$5:$Z$304,0)+4),INDEX('18℃'!$C$5:$C$304,MATCH(41,'18℃'!$Z$5:$Z$304,0))))</f>
        <v/>
      </c>
      <c r="C62" s="18" t="str">
        <f>IF(41&gt;MAX('4℃飯'!$AA$5:$AA$302),"",HYPERLINK("#'4℃飯'!D"&amp;(MATCH(41,'4℃飯'!$AA$5:$AA$302,0)+4),INDEX('4℃飯'!$D$5:$D$302,MATCH(41,'4℃飯'!$AA$5:$AA$302,0))))</f>
        <v/>
      </c>
      <c r="D62" s="18" t="str">
        <f>IF(41&gt;MAX('4℃麵'!$AA$5:$AA$305),"",HYPERLINK("#'4℃麵'!D"&amp;(MATCH(41,'4℃麵'!$AA$5:$AA$305,0)+4),INDEX('4℃麵'!$D$5:$D$305,MATCH(41,'4℃麵'!$AA$5:$AA$305,0))))</f>
        <v/>
      </c>
      <c r="E62" s="18" t="str">
        <f>IF(41&gt;MAX('4℃其他'!$AA$5:$AA$302),"",HYPERLINK("#'4℃其他'!D"&amp;(MATCH(41,'4℃其他'!$AA$5:$AA$302,0)+4),INDEX('4℃其他'!$D$5:$D$302,MATCH(41,'4℃其他'!$AA$5:$AA$302,0))))</f>
        <v>煙燻風味捲捲腸堡</v>
      </c>
      <c r="F62" s="18" t="str">
        <f>IF(41&gt;MAX(冷凍品!$Z$5:$Z$304),"",HYPERLINK("#'冷凍品'!C"&amp;(MATCH(41,冷凍品!$Z$5:$Z$304,0)+4),INDEX(冷凍品!$C$5:$C$304,MATCH(41,冷凍品!$Z$5:$Z$304,0))))</f>
        <v/>
      </c>
    </row>
    <row r="63" spans="2:6">
      <c r="B63" s="18" t="str">
        <f>IF(42&gt;MAX('18℃'!$Z$5:$Z$304),"",HYPERLINK("#'18℃'!C"&amp;(MATCH(42,'18℃'!$Z$5:$Z$304,0)+4),INDEX('18℃'!$C$5:$C$304,MATCH(42,'18℃'!$Z$5:$Z$304,0))))</f>
        <v/>
      </c>
      <c r="C63" s="18" t="str">
        <f>IF(42&gt;MAX('4℃飯'!$AA$5:$AA$302),"",HYPERLINK("#'4℃飯'!D"&amp;(MATCH(42,'4℃飯'!$AA$5:$AA$302,0)+4),INDEX('4℃飯'!$D$5:$D$302,MATCH(42,'4℃飯'!$AA$5:$AA$302,0))))</f>
        <v/>
      </c>
      <c r="D63" s="18" t="str">
        <f>IF(42&gt;MAX('4℃麵'!$AA$5:$AA$305),"",HYPERLINK("#'4℃麵'!D"&amp;(MATCH(42,'4℃麵'!$AA$5:$AA$305,0)+4),INDEX('4℃麵'!$D$5:$D$305,MATCH(42,'4℃麵'!$AA$5:$AA$305,0))))</f>
        <v/>
      </c>
      <c r="E63" s="18" t="str">
        <f>IF(42&gt;MAX('4℃其他'!$AA$5:$AA$302),"",HYPERLINK("#'4℃其他'!D"&amp;(MATCH(42,'4℃其他'!$AA$5:$AA$302,0)+4),INDEX('4℃其他'!$D$5:$D$302,MATCH(42,'4℃其他'!$AA$5:$AA$302,0))))</f>
        <v>藍莓優格三明治</v>
      </c>
      <c r="F63" s="18" t="str">
        <f>IF(42&gt;MAX(冷凍品!$Z$5:$Z$304),"",HYPERLINK("#'冷凍品'!C"&amp;(MATCH(42,冷凍品!$Z$5:$Z$304,0)+4),INDEX(冷凍品!$C$5:$C$304,MATCH(42,冷凍品!$Z$5:$Z$304,0))))</f>
        <v/>
      </c>
    </row>
    <row r="64" spans="2:6">
      <c r="B64" s="18" t="str">
        <f>IF(43&gt;MAX('18℃'!$Z$5:$Z$304),"",HYPERLINK("#'18℃'!C"&amp;(MATCH(43,'18℃'!$Z$5:$Z$304,0)+4),INDEX('18℃'!$C$5:$C$304,MATCH(43,'18℃'!$Z$5:$Z$304,0))))</f>
        <v/>
      </c>
      <c r="C64" s="18" t="str">
        <f>IF(43&gt;MAX('4℃飯'!$AA$5:$AA$302),"",HYPERLINK("#'4℃飯'!D"&amp;(MATCH(43,'4℃飯'!$AA$5:$AA$302,0)+4),INDEX('4℃飯'!$D$5:$D$302,MATCH(43,'4℃飯'!$AA$5:$AA$302,0))))</f>
        <v/>
      </c>
      <c r="D64" s="18" t="str">
        <f>IF(43&gt;MAX('4℃麵'!$AA$5:$AA$305),"",HYPERLINK("#'4℃麵'!D"&amp;(MATCH(43,'4℃麵'!$AA$5:$AA$305,0)+4),INDEX('4℃麵'!$D$5:$D$305,MATCH(43,'4℃麵'!$AA$5:$AA$305,0))))</f>
        <v/>
      </c>
      <c r="E64" s="18" t="str">
        <f>IF(43&gt;MAX('4℃其他'!$AA$5:$AA$302),"",HYPERLINK("#'4℃其他'!D"&amp;(MATCH(43,'4℃其他'!$AA$5:$AA$302,0)+4),INDEX('4℃其他'!$D$5:$D$302,MATCH(43,'4℃其他'!$AA$5:$AA$302,0))))</f>
        <v>古早味香鬆起司三明治</v>
      </c>
      <c r="F64" s="18" t="str">
        <f>IF(43&gt;MAX(冷凍品!$Z$5:$Z$304),"",HYPERLINK("#'冷凍品'!C"&amp;(MATCH(43,冷凍品!$Z$5:$Z$304,0)+4),INDEX(冷凍品!$C$5:$C$304,MATCH(43,冷凍品!$Z$5:$Z$304,0))))</f>
        <v/>
      </c>
    </row>
    <row r="65" spans="2:6">
      <c r="B65" s="18" t="str">
        <f>IF(44&gt;MAX('18℃'!$Z$5:$Z$304),"",HYPERLINK("#'18℃'!C"&amp;(MATCH(44,'18℃'!$Z$5:$Z$304,0)+4),INDEX('18℃'!$C$5:$C$304,MATCH(44,'18℃'!$Z$5:$Z$304,0))))</f>
        <v/>
      </c>
      <c r="C65" s="18" t="str">
        <f>IF(44&gt;MAX('4℃飯'!$AA$5:$AA$302),"",HYPERLINK("#'4℃飯'!D"&amp;(MATCH(44,'4℃飯'!$AA$5:$AA$302,0)+4),INDEX('4℃飯'!$D$5:$D$302,MATCH(44,'4℃飯'!$AA$5:$AA$302,0))))</f>
        <v/>
      </c>
      <c r="D65" s="18" t="str">
        <f>IF(44&gt;MAX('4℃麵'!$AA$5:$AA$305),"",HYPERLINK("#'4℃麵'!D"&amp;(MATCH(44,'4℃麵'!$AA$5:$AA$305,0)+4),INDEX('4℃麵'!$D$5:$D$305,MATCH(44,'4℃麵'!$AA$5:$AA$305,0))))</f>
        <v/>
      </c>
      <c r="E65" s="18" t="str">
        <f>IF(44&gt;MAX('4℃其他'!$AA$5:$AA$302),"",HYPERLINK("#'4℃其他'!D"&amp;(MATCH(44,'4℃其他'!$AA$5:$AA$302,0)+4),INDEX('4℃其他'!$D$5:$D$302,MATCH(44,'4℃其他'!$AA$5:$AA$302,0))))</f>
        <v>巧克力肉鬆三明治</v>
      </c>
      <c r="F65" s="18" t="str">
        <f>IF(44&gt;MAX(冷凍品!$Z$5:$Z$304),"",HYPERLINK("#'冷凍品'!C"&amp;(MATCH(44,冷凍品!$Z$5:$Z$304,0)+4),INDEX(冷凍品!$C$5:$C$304,MATCH(44,冷凍品!$Z$5:$Z$304,0))))</f>
        <v/>
      </c>
    </row>
    <row r="66" spans="2:6">
      <c r="B66" s="18" t="str">
        <f>IF(45&gt;MAX('18℃'!$Z$5:$Z$304),"",HYPERLINK("#'18℃'!C"&amp;(MATCH(45,'18℃'!$Z$5:$Z$304,0)+4),INDEX('18℃'!$C$5:$C$304,MATCH(45,'18℃'!$Z$5:$Z$304,0))))</f>
        <v/>
      </c>
      <c r="C66" s="18" t="str">
        <f>IF(45&gt;MAX('4℃飯'!$AA$5:$AA$302),"",HYPERLINK("#'4℃飯'!D"&amp;(MATCH(45,'4℃飯'!$AA$5:$AA$302,0)+4),INDEX('4℃飯'!$D$5:$D$302,MATCH(45,'4℃飯'!$AA$5:$AA$302,0))))</f>
        <v/>
      </c>
      <c r="D66" s="18" t="str">
        <f>IF(45&gt;MAX('4℃麵'!$AA$5:$AA$305),"",HYPERLINK("#'4℃麵'!D"&amp;(MATCH(45,'4℃麵'!$AA$5:$AA$305,0)+4),INDEX('4℃麵'!$D$5:$D$305,MATCH(45,'4℃麵'!$AA$5:$AA$305,0))))</f>
        <v/>
      </c>
      <c r="E66" s="18" t="str">
        <f>IF(45&gt;MAX('4℃其他'!$AA$5:$AA$302),"",HYPERLINK("#'4℃其他'!D"&amp;(MATCH(45,'4℃其他'!$AA$5:$AA$302,0)+4),INDEX('4℃其他'!$D$5:$D$302,MATCH(45,'4℃其他'!$AA$5:$AA$302,0))))</f>
        <v>彩蔬纖麥麵沙拉(區)</v>
      </c>
      <c r="F66" s="18" t="str">
        <f>IF(45&gt;MAX(冷凍品!$Z$5:$Z$304),"",HYPERLINK("#'冷凍品'!C"&amp;(MATCH(45,冷凍品!$Z$5:$Z$304,0)+4),INDEX(冷凍品!$C$5:$C$304,MATCH(45,冷凍品!$Z$5:$Z$304,0))))</f>
        <v/>
      </c>
    </row>
    <row r="67" spans="2:6">
      <c r="B67" s="18" t="str">
        <f>IF(46&gt;MAX('18℃'!$Z$5:$Z$304),"",HYPERLINK("#'18℃'!C"&amp;(MATCH(46,'18℃'!$Z$5:$Z$304,0)+4),INDEX('18℃'!$C$5:$C$304,MATCH(46,'18℃'!$Z$5:$Z$304,0))))</f>
        <v/>
      </c>
      <c r="C67" s="18" t="str">
        <f>IF(46&gt;MAX('4℃飯'!$AA$5:$AA$302),"",HYPERLINK("#'4℃飯'!D"&amp;(MATCH(46,'4℃飯'!$AA$5:$AA$302,0)+4),INDEX('4℃飯'!$D$5:$D$302,MATCH(46,'4℃飯'!$AA$5:$AA$302,0))))</f>
        <v/>
      </c>
      <c r="D67" s="18" t="str">
        <f>IF(46&gt;MAX('4℃麵'!$AA$5:$AA$305),"",HYPERLINK("#'4℃麵'!D"&amp;(MATCH(46,'4℃麵'!$AA$5:$AA$305,0)+4),INDEX('4℃麵'!$D$5:$D$305,MATCH(46,'4℃麵'!$AA$5:$AA$305,0))))</f>
        <v/>
      </c>
      <c r="E67" s="18" t="str">
        <f>IF(46&gt;MAX('4℃其他'!$AA$5:$AA$302),"",HYPERLINK("#'4℃其他'!D"&amp;(MATCH(46,'4℃其他'!$AA$5:$AA$302,0)+4),INDEX('4℃其他'!$D$5:$D$302,MATCH(46,'4℃其他'!$AA$5:$AA$302,0))))</f>
        <v>熔岩起司火腿堡</v>
      </c>
      <c r="F67" s="18" t="str">
        <f>IF(46&gt;MAX(冷凍品!$Z$5:$Z$304),"",HYPERLINK("#'冷凍品'!C"&amp;(MATCH(46,冷凍品!$Z$5:$Z$304,0)+4),INDEX(冷凍品!$C$5:$C$304,MATCH(46,冷凍品!$Z$5:$Z$304,0))))</f>
        <v/>
      </c>
    </row>
    <row r="68" spans="2:6">
      <c r="B68" s="18" t="str">
        <f>IF(47&gt;MAX('18℃'!$Z$5:$Z$304),"",HYPERLINK("#'18℃'!C"&amp;(MATCH(47,'18℃'!$Z$5:$Z$304,0)+4),INDEX('18℃'!$C$5:$C$304,MATCH(47,'18℃'!$Z$5:$Z$304,0))))</f>
        <v/>
      </c>
      <c r="C68" s="18" t="str">
        <f>IF(47&gt;MAX('4℃飯'!$AA$5:$AA$302),"",HYPERLINK("#'4℃飯'!D"&amp;(MATCH(47,'4℃飯'!$AA$5:$AA$302,0)+4),INDEX('4℃飯'!$D$5:$D$302,MATCH(47,'4℃飯'!$AA$5:$AA$302,0))))</f>
        <v/>
      </c>
      <c r="D68" s="18" t="str">
        <f>IF(47&gt;MAX('4℃麵'!$AA$5:$AA$305),"",HYPERLINK("#'4℃麵'!D"&amp;(MATCH(47,'4℃麵'!$AA$5:$AA$305,0)+4),INDEX('4℃麵'!$D$5:$D$305,MATCH(47,'4℃麵'!$AA$5:$AA$305,0))))</f>
        <v/>
      </c>
      <c r="E68" s="18" t="str">
        <f>IF(47&gt;MAX('4℃其他'!$AA$5:$AA$302),"",HYPERLINK("#'4℃其他'!D"&amp;(MATCH(47,'4℃其他'!$AA$5:$AA$302,0)+4),INDEX('4℃其他'!$D$5:$D$302,MATCH(47,'4℃其他'!$AA$5:$AA$302,0))))</f>
        <v>雙蛋白薯餅起司堡</v>
      </c>
      <c r="F68" s="18" t="str">
        <f>IF(47&gt;MAX(冷凍品!$Z$5:$Z$304),"",HYPERLINK("#'冷凍品'!C"&amp;(MATCH(47,冷凍品!$Z$5:$Z$304,0)+4),INDEX(冷凍品!$C$5:$C$304,MATCH(47,冷凍品!$Z$5:$Z$304,0))))</f>
        <v/>
      </c>
    </row>
    <row r="69" spans="2:6">
      <c r="B69" s="18" t="str">
        <f>IF(48&gt;MAX('18℃'!$Z$5:$Z$304),"",HYPERLINK("#'18℃'!C"&amp;(MATCH(48,'18℃'!$Z$5:$Z$304,0)+4),INDEX('18℃'!$C$5:$C$304,MATCH(48,'18℃'!$Z$5:$Z$304,0))))</f>
        <v/>
      </c>
      <c r="C69" s="18" t="str">
        <f>IF(48&gt;MAX('4℃飯'!$AA$5:$AA$302),"",HYPERLINK("#'4℃飯'!D"&amp;(MATCH(48,'4℃飯'!$AA$5:$AA$302,0)+4),INDEX('4℃飯'!$D$5:$D$302,MATCH(48,'4℃飯'!$AA$5:$AA$302,0))))</f>
        <v/>
      </c>
      <c r="D69" s="18" t="str">
        <f>IF(48&gt;MAX('4℃麵'!$AA$5:$AA$305),"",HYPERLINK("#'4℃麵'!D"&amp;(MATCH(48,'4℃麵'!$AA$5:$AA$305,0)+4),INDEX('4℃麵'!$D$5:$D$305,MATCH(48,'4℃麵'!$AA$5:$AA$305,0))))</f>
        <v/>
      </c>
      <c r="E69" s="18" t="str">
        <f>IF(48&gt;MAX('4℃其他'!$AA$5:$AA$302),"",HYPERLINK("#'4℃其他'!D"&amp;(MATCH(48,'4℃其他'!$AA$5:$AA$302,0)+4),INDEX('4℃其他'!$D$5:$D$302,MATCH(48,'4℃其他'!$AA$5:$AA$302,0))))</f>
        <v/>
      </c>
      <c r="F69" s="18" t="str">
        <f>IF(48&gt;MAX(冷凍品!$Z$5:$Z$304),"",HYPERLINK("#'冷凍品'!C"&amp;(MATCH(48,冷凍品!$Z$5:$Z$304,0)+4),INDEX(冷凍品!$C$5:$C$304,MATCH(48,冷凍品!$Z$5:$Z$304,0))))</f>
        <v/>
      </c>
    </row>
    <row r="70" spans="2:6">
      <c r="B70" s="18" t="str">
        <f>IF(49&gt;MAX('18℃'!$Z$5:$Z$304),"",HYPERLINK("#'18℃'!C"&amp;(MATCH(49,'18℃'!$Z$5:$Z$304,0)+4),INDEX('18℃'!$C$5:$C$304,MATCH(49,'18℃'!$Z$5:$Z$304,0))))</f>
        <v/>
      </c>
      <c r="C70" s="18" t="str">
        <f>IF(49&gt;MAX('4℃飯'!$AA$5:$AA$302),"",HYPERLINK("#'4℃飯'!D"&amp;(MATCH(49,'4℃飯'!$AA$5:$AA$302,0)+4),INDEX('4℃飯'!$D$5:$D$302,MATCH(49,'4℃飯'!$AA$5:$AA$302,0))))</f>
        <v/>
      </c>
      <c r="D70" s="18" t="str">
        <f>IF(49&gt;MAX('4℃麵'!$AA$5:$AA$305),"",HYPERLINK("#'4℃麵'!D"&amp;(MATCH(49,'4℃麵'!$AA$5:$AA$305,0)+4),INDEX('4℃麵'!$D$5:$D$305,MATCH(49,'4℃麵'!$AA$5:$AA$305,0))))</f>
        <v/>
      </c>
      <c r="E70" s="18" t="str">
        <f>IF(49&gt;MAX('4℃其他'!$AA$5:$AA$302),"",HYPERLINK("#'4℃其他'!D"&amp;(MATCH(49,'4℃其他'!$AA$5:$AA$302,0)+4),INDEX('4℃其他'!$D$5:$D$302,MATCH(49,'4℃其他'!$AA$5:$AA$302,0))))</f>
        <v/>
      </c>
      <c r="F70" s="18" t="str">
        <f>IF(49&gt;MAX(冷凍品!$Z$5:$Z$304),"",HYPERLINK("#'冷凍品'!C"&amp;(MATCH(49,冷凍品!$Z$5:$Z$304,0)+4),INDEX(冷凍品!$C$5:$C$304,MATCH(49,冷凍品!$Z$5:$Z$304,0))))</f>
        <v/>
      </c>
    </row>
    <row r="71" spans="2:6">
      <c r="B71" s="18" t="str">
        <f>IF(50&gt;MAX('18℃'!$Z$5:$Z$304),"",HYPERLINK("#'18℃'!C"&amp;(MATCH(50,'18℃'!$Z$5:$Z$304,0)+4),INDEX('18℃'!$C$5:$C$304,MATCH(50,'18℃'!$Z$5:$Z$304,0))))</f>
        <v/>
      </c>
      <c r="C71" s="18" t="str">
        <f>IF(50&gt;MAX('4℃飯'!$AA$5:$AA$302),"",HYPERLINK("#'4℃飯'!D"&amp;(MATCH(50,'4℃飯'!$AA$5:$AA$302,0)+4),INDEX('4℃飯'!$D$5:$D$302,MATCH(50,'4℃飯'!$AA$5:$AA$302,0))))</f>
        <v/>
      </c>
      <c r="D71" s="18" t="str">
        <f>IF(50&gt;MAX('4℃麵'!$AA$5:$AA$305),"",HYPERLINK("#'4℃麵'!D"&amp;(MATCH(50,'4℃麵'!$AA$5:$AA$305,0)+4),INDEX('4℃麵'!$D$5:$D$305,MATCH(50,'4℃麵'!$AA$5:$AA$305,0))))</f>
        <v/>
      </c>
      <c r="E71" s="18" t="str">
        <f>IF(50&gt;MAX('4℃其他'!$AA$5:$AA$302),"",HYPERLINK("#'4℃其他'!D"&amp;(MATCH(50,'4℃其他'!$AA$5:$AA$302,0)+4),INDEX('4℃其他'!$D$5:$D$302,MATCH(50,'4℃其他'!$AA$5:$AA$302,0))))</f>
        <v/>
      </c>
      <c r="F71" s="18" t="str">
        <f>IF(50&gt;MAX(冷凍品!$Z$5:$Z$304),"",HYPERLINK("#'冷凍品'!C"&amp;(MATCH(50,冷凍品!$Z$5:$Z$304,0)+4),INDEX(冷凍品!$C$5:$C$304,MATCH(50,冷凍品!$Z$5:$Z$304,0))))</f>
        <v/>
      </c>
    </row>
    <row r="72" spans="2:6">
      <c r="B72" s="18" t="str">
        <f>IF(51&gt;MAX('18℃'!$Z$5:$Z$304),"",HYPERLINK("#'18℃'!C"&amp;(MATCH(51,'18℃'!$Z$5:$Z$304,0)+4),INDEX('18℃'!$C$5:$C$304,MATCH(51,'18℃'!$Z$5:$Z$304,0))))</f>
        <v/>
      </c>
      <c r="C72" s="18" t="str">
        <f>IF(51&gt;MAX('4℃飯'!$AA$5:$AA$302),"",HYPERLINK("#'4℃飯'!D"&amp;(MATCH(51,'4℃飯'!$AA$5:$AA$302,0)+4),INDEX('4℃飯'!$D$5:$D$302,MATCH(51,'4℃飯'!$AA$5:$AA$302,0))))</f>
        <v/>
      </c>
      <c r="D72" s="18" t="str">
        <f>IF(51&gt;MAX('4℃麵'!$AA$5:$AA$305),"",HYPERLINK("#'4℃麵'!D"&amp;(MATCH(51,'4℃麵'!$AA$5:$AA$305,0)+4),INDEX('4℃麵'!$D$5:$D$305,MATCH(51,'4℃麵'!$AA$5:$AA$305,0))))</f>
        <v/>
      </c>
      <c r="E72" s="18" t="str">
        <f>IF(51&gt;MAX('4℃其他'!$AA$5:$AA$302),"",HYPERLINK("#'4℃其他'!D"&amp;(MATCH(51,'4℃其他'!$AA$5:$AA$302,0)+4),INDEX('4℃其他'!$D$5:$D$302,MATCH(51,'4℃其他'!$AA$5:$AA$302,0))))</f>
        <v/>
      </c>
      <c r="F72" s="18" t="str">
        <f>IF(51&gt;MAX(冷凍品!$Z$5:$Z$304),"",HYPERLINK("#'冷凍品'!C"&amp;(MATCH(51,冷凍品!$Z$5:$Z$304,0)+4),INDEX(冷凍品!$C$5:$C$304,MATCH(51,冷凍品!$Z$5:$Z$304,0))))</f>
        <v/>
      </c>
    </row>
    <row r="73" spans="2:6">
      <c r="B73" s="18" t="str">
        <f>IF(52&gt;MAX('18℃'!$Z$5:$Z$304),"",HYPERLINK("#'18℃'!C"&amp;(MATCH(52,'18℃'!$Z$5:$Z$304,0)+4),INDEX('18℃'!$C$5:$C$304,MATCH(52,'18℃'!$Z$5:$Z$304,0))))</f>
        <v/>
      </c>
      <c r="C73" s="18" t="str">
        <f>IF(52&gt;MAX('4℃飯'!$AA$5:$AA$302),"",HYPERLINK("#'4℃飯'!D"&amp;(MATCH(52,'4℃飯'!$AA$5:$AA$302,0)+4),INDEX('4℃飯'!$D$5:$D$302,MATCH(52,'4℃飯'!$AA$5:$AA$302,0))))</f>
        <v/>
      </c>
      <c r="D73" s="18" t="str">
        <f>IF(52&gt;MAX('4℃麵'!$AA$5:$AA$305),"",HYPERLINK("#'4℃麵'!D"&amp;(MATCH(52,'4℃麵'!$AA$5:$AA$305,0)+4),INDEX('4℃麵'!$D$5:$D$305,MATCH(52,'4℃麵'!$AA$5:$AA$305,0))))</f>
        <v/>
      </c>
      <c r="E73" s="18" t="str">
        <f>IF(52&gt;MAX('4℃其他'!$AA$5:$AA$302),"",HYPERLINK("#'4℃其他'!D"&amp;(MATCH(52,'4℃其他'!$AA$5:$AA$302,0)+4),INDEX('4℃其他'!$D$5:$D$302,MATCH(52,'4℃其他'!$AA$5:$AA$302,0))))</f>
        <v/>
      </c>
      <c r="F73" s="18" t="str">
        <f>IF(52&gt;MAX(冷凍品!$Z$5:$Z$304),"",HYPERLINK("#'冷凍品'!C"&amp;(MATCH(52,冷凍品!$Z$5:$Z$304,0)+4),INDEX(冷凍品!$C$5:$C$304,MATCH(52,冷凍品!$Z$5:$Z$304,0))))</f>
        <v/>
      </c>
    </row>
    <row r="74" spans="2:6">
      <c r="B74" s="18" t="str">
        <f>IF(53&gt;MAX('18℃'!$Z$5:$Z$304),"",HYPERLINK("#'18℃'!C"&amp;(MATCH(53,'18℃'!$Z$5:$Z$304,0)+4),INDEX('18℃'!$C$5:$C$304,MATCH(53,'18℃'!$Z$5:$Z$304,0))))</f>
        <v/>
      </c>
      <c r="C74" s="18" t="str">
        <f>IF(53&gt;MAX('4℃飯'!$AA$5:$AA$302),"",HYPERLINK("#'4℃飯'!D"&amp;(MATCH(53,'4℃飯'!$AA$5:$AA$302,0)+4),INDEX('4℃飯'!$D$5:$D$302,MATCH(53,'4℃飯'!$AA$5:$AA$302,0))))</f>
        <v/>
      </c>
      <c r="D74" s="18" t="str">
        <f>IF(53&gt;MAX('4℃麵'!$AA$5:$AA$305),"",HYPERLINK("#'4℃麵'!D"&amp;(MATCH(53,'4℃麵'!$AA$5:$AA$305,0)+4),INDEX('4℃麵'!$D$5:$D$305,MATCH(53,'4℃麵'!$AA$5:$AA$305,0))))</f>
        <v/>
      </c>
      <c r="E74" s="18" t="str">
        <f>IF(53&gt;MAX('4℃其他'!$AA$5:$AA$302),"",HYPERLINK("#'4℃其他'!D"&amp;(MATCH(53,'4℃其他'!$AA$5:$AA$302,0)+4),INDEX('4℃其他'!$D$5:$D$302,MATCH(53,'4℃其他'!$AA$5:$AA$302,0))))</f>
        <v/>
      </c>
      <c r="F74" s="18" t="str">
        <f>IF(53&gt;MAX(冷凍品!$Z$5:$Z$304),"",HYPERLINK("#'冷凍品'!C"&amp;(MATCH(53,冷凍品!$Z$5:$Z$304,0)+4),INDEX(冷凍品!$C$5:$C$304,MATCH(53,冷凍品!$Z$5:$Z$304,0))))</f>
        <v/>
      </c>
    </row>
    <row r="75" spans="2:6">
      <c r="B75" s="18" t="str">
        <f>IF(54&gt;MAX('18℃'!$Z$5:$Z$304),"",HYPERLINK("#'18℃'!C"&amp;(MATCH(54,'18℃'!$Z$5:$Z$304,0)+4),INDEX('18℃'!$C$5:$C$304,MATCH(54,'18℃'!$Z$5:$Z$304,0))))</f>
        <v/>
      </c>
      <c r="C75" s="18" t="str">
        <f>IF(54&gt;MAX('4℃飯'!$AA$5:$AA$302),"",HYPERLINK("#'4℃飯'!D"&amp;(MATCH(54,'4℃飯'!$AA$5:$AA$302,0)+4),INDEX('4℃飯'!$D$5:$D$302,MATCH(54,'4℃飯'!$AA$5:$AA$302,0))))</f>
        <v/>
      </c>
      <c r="D75" s="18" t="str">
        <f>IF(54&gt;MAX('4℃麵'!$AA$5:$AA$305),"",HYPERLINK("#'4℃麵'!D"&amp;(MATCH(54,'4℃麵'!$AA$5:$AA$305,0)+4),INDEX('4℃麵'!$D$5:$D$305,MATCH(54,'4℃麵'!$AA$5:$AA$305,0))))</f>
        <v/>
      </c>
      <c r="E75" s="18" t="str">
        <f>IF(54&gt;MAX('4℃其他'!$AA$5:$AA$302),"",HYPERLINK("#'4℃其他'!D"&amp;(MATCH(54,'4℃其他'!$AA$5:$AA$302,0)+4),INDEX('4℃其他'!$D$5:$D$302,MATCH(54,'4℃其他'!$AA$5:$AA$302,0))))</f>
        <v/>
      </c>
      <c r="F75" s="18" t="str">
        <f>IF(54&gt;MAX(冷凍品!$Z$5:$Z$304),"",HYPERLINK("#'冷凍品'!C"&amp;(MATCH(54,冷凍品!$Z$5:$Z$304,0)+4),INDEX(冷凍品!$C$5:$C$304,MATCH(54,冷凍品!$Z$5:$Z$304,0))))</f>
        <v/>
      </c>
    </row>
    <row r="76" spans="2:6">
      <c r="B76" s="18" t="str">
        <f>IF(55&gt;MAX('18℃'!$Z$5:$Z$304),"",HYPERLINK("#'18℃'!C"&amp;(MATCH(55,'18℃'!$Z$5:$Z$304,0)+4),INDEX('18℃'!$C$5:$C$304,MATCH(55,'18℃'!$Z$5:$Z$304,0))))</f>
        <v/>
      </c>
      <c r="C76" s="18" t="str">
        <f>IF(55&gt;MAX('4℃飯'!$AA$5:$AA$302),"",HYPERLINK("#'4℃飯'!D"&amp;(MATCH(55,'4℃飯'!$AA$5:$AA$302,0)+4),INDEX('4℃飯'!$D$5:$D$302,MATCH(55,'4℃飯'!$AA$5:$AA$302,0))))</f>
        <v/>
      </c>
      <c r="D76" s="18" t="str">
        <f>IF(55&gt;MAX('4℃麵'!$AA$5:$AA$305),"",HYPERLINK("#'4℃麵'!D"&amp;(MATCH(55,'4℃麵'!$AA$5:$AA$305,0)+4),INDEX('4℃麵'!$D$5:$D$305,MATCH(55,'4℃麵'!$AA$5:$AA$305,0))))</f>
        <v/>
      </c>
      <c r="E76" s="18" t="str">
        <f>IF(55&gt;MAX('4℃其他'!$AA$5:$AA$302),"",HYPERLINK("#'4℃其他'!D"&amp;(MATCH(55,'4℃其他'!$AA$5:$AA$302,0)+4),INDEX('4℃其他'!$D$5:$D$302,MATCH(55,'4℃其他'!$AA$5:$AA$302,0))))</f>
        <v/>
      </c>
      <c r="F76" s="18" t="str">
        <f>IF(55&gt;MAX(冷凍品!$Z$5:$Z$304),"",HYPERLINK("#'冷凍品'!C"&amp;(MATCH(55,冷凍品!$Z$5:$Z$304,0)+4),INDEX(冷凍品!$C$5:$C$304,MATCH(55,冷凍品!$Z$5:$Z$304,0))))</f>
        <v/>
      </c>
    </row>
    <row r="77" spans="2:6">
      <c r="B77" s="18" t="str">
        <f>IF(56&gt;MAX('18℃'!$Z$5:$Z$304),"",HYPERLINK("#'18℃'!C"&amp;(MATCH(56,'18℃'!$Z$5:$Z$304,0)+4),INDEX('18℃'!$C$5:$C$304,MATCH(56,'18℃'!$Z$5:$Z$304,0))))</f>
        <v/>
      </c>
      <c r="C77" s="18" t="str">
        <f>IF(56&gt;MAX('4℃飯'!$AA$5:$AA$302),"",HYPERLINK("#'4℃飯'!D"&amp;(MATCH(56,'4℃飯'!$AA$5:$AA$302,0)+4),INDEX('4℃飯'!$D$5:$D$302,MATCH(56,'4℃飯'!$AA$5:$AA$302,0))))</f>
        <v/>
      </c>
      <c r="D77" s="18" t="str">
        <f>IF(56&gt;MAX('4℃麵'!$AA$5:$AA$305),"",HYPERLINK("#'4℃麵'!D"&amp;(MATCH(56,'4℃麵'!$AA$5:$AA$305,0)+4),INDEX('4℃麵'!$D$5:$D$305,MATCH(56,'4℃麵'!$AA$5:$AA$305,0))))</f>
        <v/>
      </c>
      <c r="E77" s="18" t="str">
        <f>IF(56&gt;MAX('4℃其他'!$AA$5:$AA$302),"",HYPERLINK("#'4℃其他'!D"&amp;(MATCH(56,'4℃其他'!$AA$5:$AA$302,0)+4),INDEX('4℃其他'!$D$5:$D$302,MATCH(56,'4℃其他'!$AA$5:$AA$302,0))))</f>
        <v/>
      </c>
      <c r="F77" s="18" t="str">
        <f>IF(56&gt;MAX(冷凍品!$Z$5:$Z$304),"",HYPERLINK("#'冷凍品'!C"&amp;(MATCH(56,冷凍品!$Z$5:$Z$304,0)+4),INDEX(冷凍品!$C$5:$C$304,MATCH(56,冷凍品!$Z$5:$Z$304,0))))</f>
        <v/>
      </c>
    </row>
    <row r="78" spans="2:6">
      <c r="B78" s="18" t="str">
        <f>IF(57&gt;MAX('18℃'!$Z$5:$Z$304),"",HYPERLINK("#'18℃'!C"&amp;(MATCH(57,'18℃'!$Z$5:$Z$304,0)+4),INDEX('18℃'!$C$5:$C$304,MATCH(57,'18℃'!$Z$5:$Z$304,0))))</f>
        <v/>
      </c>
      <c r="C78" s="18" t="str">
        <f>IF(57&gt;MAX('4℃飯'!$AA$5:$AA$302),"",HYPERLINK("#'4℃飯'!D"&amp;(MATCH(57,'4℃飯'!$AA$5:$AA$302,0)+4),INDEX('4℃飯'!$D$5:$D$302,MATCH(57,'4℃飯'!$AA$5:$AA$302,0))))</f>
        <v/>
      </c>
      <c r="D78" s="18" t="str">
        <f>IF(57&gt;MAX('4℃麵'!$AA$5:$AA$305),"",HYPERLINK("#'4℃麵'!D"&amp;(MATCH(57,'4℃麵'!$AA$5:$AA$305,0)+4),INDEX('4℃麵'!$D$5:$D$305,MATCH(57,'4℃麵'!$AA$5:$AA$305,0))))</f>
        <v/>
      </c>
      <c r="E78" s="18" t="str">
        <f>IF(57&gt;MAX('4℃其他'!$AA$5:$AA$302),"",HYPERLINK("#'4℃其他'!D"&amp;(MATCH(57,'4℃其他'!$AA$5:$AA$302,0)+4),INDEX('4℃其他'!$D$5:$D$302,MATCH(57,'4℃其他'!$AA$5:$AA$302,0))))</f>
        <v/>
      </c>
      <c r="F78" s="18" t="str">
        <f>IF(57&gt;MAX(冷凍品!$Z$5:$Z$304),"",HYPERLINK("#'冷凍品'!C"&amp;(MATCH(57,冷凍品!$Z$5:$Z$304,0)+4),INDEX(冷凍品!$C$5:$C$304,MATCH(57,冷凍品!$Z$5:$Z$304,0))))</f>
        <v/>
      </c>
    </row>
    <row r="79" spans="2:6">
      <c r="B79" s="18" t="str">
        <f>IF(58&gt;MAX('18℃'!$Z$5:$Z$304),"",HYPERLINK("#'18℃'!C"&amp;(MATCH(58,'18℃'!$Z$5:$Z$304,0)+4),INDEX('18℃'!$C$5:$C$304,MATCH(58,'18℃'!$Z$5:$Z$304,0))))</f>
        <v/>
      </c>
      <c r="C79" s="18" t="str">
        <f>IF(58&gt;MAX('4℃飯'!$AA$5:$AA$302),"",HYPERLINK("#'4℃飯'!D"&amp;(MATCH(58,'4℃飯'!$AA$5:$AA$302,0)+4),INDEX('4℃飯'!$D$5:$D$302,MATCH(58,'4℃飯'!$AA$5:$AA$302,0))))</f>
        <v/>
      </c>
      <c r="D79" s="18" t="str">
        <f>IF(58&gt;MAX('4℃麵'!$AA$5:$AA$305),"",HYPERLINK("#'4℃麵'!D"&amp;(MATCH(58,'4℃麵'!$AA$5:$AA$305,0)+4),INDEX('4℃麵'!$D$5:$D$305,MATCH(58,'4℃麵'!$AA$5:$AA$305,0))))</f>
        <v/>
      </c>
      <c r="E79" s="18" t="str">
        <f>IF(58&gt;MAX('4℃其他'!$AA$5:$AA$302),"",HYPERLINK("#'4℃其他'!D"&amp;(MATCH(58,'4℃其他'!$AA$5:$AA$302,0)+4),INDEX('4℃其他'!$D$5:$D$302,MATCH(58,'4℃其他'!$AA$5:$AA$302,0))))</f>
        <v/>
      </c>
      <c r="F79" s="18" t="str">
        <f>IF(58&gt;MAX(冷凍品!$Z$5:$Z$304),"",HYPERLINK("#'冷凍品'!C"&amp;(MATCH(58,冷凍品!$Z$5:$Z$304,0)+4),INDEX(冷凍品!$C$5:$C$304,MATCH(58,冷凍品!$Z$5:$Z$304,0))))</f>
        <v/>
      </c>
    </row>
    <row r="80" spans="2:6">
      <c r="B80" s="18" t="str">
        <f>IF(59&gt;MAX('18℃'!$Z$5:$Z$304),"",HYPERLINK("#'18℃'!C"&amp;(MATCH(59,'18℃'!$Z$5:$Z$304,0)+4),INDEX('18℃'!$C$5:$C$304,MATCH(59,'18℃'!$Z$5:$Z$304,0))))</f>
        <v/>
      </c>
      <c r="C80" s="18" t="str">
        <f>IF(59&gt;MAX('4℃飯'!$AA$5:$AA$302),"",HYPERLINK("#'4℃飯'!D"&amp;(MATCH(59,'4℃飯'!$AA$5:$AA$302,0)+4),INDEX('4℃飯'!$D$5:$D$302,MATCH(59,'4℃飯'!$AA$5:$AA$302,0))))</f>
        <v/>
      </c>
      <c r="D80" s="18" t="str">
        <f>IF(59&gt;MAX('4℃麵'!$AA$5:$AA$305),"",HYPERLINK("#'4℃麵'!D"&amp;(MATCH(59,'4℃麵'!$AA$5:$AA$305,0)+4),INDEX('4℃麵'!$D$5:$D$305,MATCH(59,'4℃麵'!$AA$5:$AA$305,0))))</f>
        <v/>
      </c>
      <c r="E80" s="18" t="str">
        <f>IF(59&gt;MAX('4℃其他'!$AA$5:$AA$302),"",HYPERLINK("#'4℃其他'!D"&amp;(MATCH(59,'4℃其他'!$AA$5:$AA$302,0)+4),INDEX('4℃其他'!$D$5:$D$302,MATCH(59,'4℃其他'!$AA$5:$AA$302,0))))</f>
        <v/>
      </c>
      <c r="F80" s="18" t="str">
        <f>IF(59&gt;MAX(冷凍品!$Z$5:$Z$304),"",HYPERLINK("#'冷凍品'!C"&amp;(MATCH(59,冷凍品!$Z$5:$Z$304,0)+4),INDEX(冷凍品!$C$5:$C$304,MATCH(59,冷凍品!$Z$5:$Z$304,0))))</f>
        <v/>
      </c>
    </row>
    <row r="81" spans="2:6">
      <c r="B81" s="18" t="str">
        <f>IF(60&gt;MAX('18℃'!$Z$5:$Z$304),"",HYPERLINK("#'18℃'!C"&amp;(MATCH(60,'18℃'!$Z$5:$Z$304,0)+4),INDEX('18℃'!$C$5:$C$304,MATCH(60,'18℃'!$Z$5:$Z$304,0))))</f>
        <v/>
      </c>
      <c r="C81" s="18" t="str">
        <f>IF(60&gt;MAX('4℃飯'!$AA$5:$AA$302),"",HYPERLINK("#'4℃飯'!D"&amp;(MATCH(60,'4℃飯'!$AA$5:$AA$302,0)+4),INDEX('4℃飯'!$D$5:$D$302,MATCH(60,'4℃飯'!$AA$5:$AA$302,0))))</f>
        <v/>
      </c>
      <c r="D81" s="18" t="str">
        <f>IF(60&gt;MAX('4℃麵'!$AA$5:$AA$305),"",HYPERLINK("#'4℃麵'!D"&amp;(MATCH(60,'4℃麵'!$AA$5:$AA$305,0)+4),INDEX('4℃麵'!$D$5:$D$305,MATCH(60,'4℃麵'!$AA$5:$AA$305,0))))</f>
        <v/>
      </c>
      <c r="E81" s="18" t="str">
        <f>IF(60&gt;MAX('4℃其他'!$AA$5:$AA$302),"",HYPERLINK("#'4℃其他'!D"&amp;(MATCH(60,'4℃其他'!$AA$5:$AA$302,0)+4),INDEX('4℃其他'!$D$5:$D$302,MATCH(60,'4℃其他'!$AA$5:$AA$302,0))))</f>
        <v/>
      </c>
      <c r="F81" s="18" t="str">
        <f>IF(60&gt;MAX(冷凍品!$Z$5:$Z$304),"",HYPERLINK("#'冷凍品'!C"&amp;(MATCH(60,冷凍品!$Z$5:$Z$304,0)+4),INDEX(冷凍品!$C$5:$C$304,MATCH(60,冷凍品!$Z$5:$Z$304,0))))</f>
        <v/>
      </c>
    </row>
    <row r="82" spans="2:6">
      <c r="B82" s="18" t="str">
        <f>IF(61&gt;MAX('18℃'!$Z$5:$Z$304),"",HYPERLINK("#'18℃'!C"&amp;(MATCH(61,'18℃'!$Z$5:$Z$304,0)+4),INDEX('18℃'!$C$5:$C$304,MATCH(61,'18℃'!$Z$5:$Z$304,0))))</f>
        <v/>
      </c>
      <c r="C82" s="18" t="str">
        <f>IF(61&gt;MAX('4℃飯'!$AA$5:$AA$302),"",HYPERLINK("#'4℃飯'!D"&amp;(MATCH(61,'4℃飯'!$AA$5:$AA$302,0)+4),INDEX('4℃飯'!$D$5:$D$302,MATCH(61,'4℃飯'!$AA$5:$AA$302,0))))</f>
        <v/>
      </c>
      <c r="D82" s="18" t="str">
        <f>IF(61&gt;MAX('4℃麵'!$AA$5:$AA$305),"",HYPERLINK("#'4℃麵'!D"&amp;(MATCH(61,'4℃麵'!$AA$5:$AA$305,0)+4),INDEX('4℃麵'!$D$5:$D$305,MATCH(61,'4℃麵'!$AA$5:$AA$305,0))))</f>
        <v/>
      </c>
      <c r="E82" s="18" t="str">
        <f>IF(61&gt;MAX('4℃其他'!$AA$5:$AA$302),"",HYPERLINK("#'4℃其他'!D"&amp;(MATCH(61,'4℃其他'!$AA$5:$AA$302,0)+4),INDEX('4℃其他'!$D$5:$D$302,MATCH(61,'4℃其他'!$AA$5:$AA$302,0))))</f>
        <v/>
      </c>
      <c r="F82" s="18" t="str">
        <f>IF(61&gt;MAX(冷凍品!$Z$5:$Z$304),"",HYPERLINK("#'冷凍品'!C"&amp;(MATCH(61,冷凍品!$Z$5:$Z$304,0)+4),INDEX(冷凍品!$C$5:$C$304,MATCH(61,冷凍品!$Z$5:$Z$304,0))))</f>
        <v/>
      </c>
    </row>
    <row r="83" spans="2:6">
      <c r="B83" s="18" t="str">
        <f>IF(62&gt;MAX('18℃'!$Z$5:$Z$304),"",HYPERLINK("#'18℃'!C"&amp;(MATCH(62,'18℃'!$Z$5:$Z$304,0)+4),INDEX('18℃'!$C$5:$C$304,MATCH(62,'18℃'!$Z$5:$Z$304,0))))</f>
        <v/>
      </c>
      <c r="C83" s="18" t="str">
        <f>IF(62&gt;MAX('4℃飯'!$AA$5:$AA$302),"",HYPERLINK("#'4℃飯'!D"&amp;(MATCH(62,'4℃飯'!$AA$5:$AA$302,0)+4),INDEX('4℃飯'!$D$5:$D$302,MATCH(62,'4℃飯'!$AA$5:$AA$302,0))))</f>
        <v/>
      </c>
      <c r="D83" s="18" t="str">
        <f>IF(62&gt;MAX('4℃麵'!$AA$5:$AA$305),"",HYPERLINK("#'4℃麵'!D"&amp;(MATCH(62,'4℃麵'!$AA$5:$AA$305,0)+4),INDEX('4℃麵'!$D$5:$D$305,MATCH(62,'4℃麵'!$AA$5:$AA$305,0))))</f>
        <v/>
      </c>
      <c r="E83" s="18" t="str">
        <f>IF(62&gt;MAX('4℃其他'!$AA$5:$AA$302),"",HYPERLINK("#'4℃其他'!D"&amp;(MATCH(62,'4℃其他'!$AA$5:$AA$302,0)+4),INDEX('4℃其他'!$D$5:$D$302,MATCH(62,'4℃其他'!$AA$5:$AA$302,0))))</f>
        <v/>
      </c>
      <c r="F83" s="18" t="str">
        <f>IF(62&gt;MAX(冷凍品!$Z$5:$Z$304),"",HYPERLINK("#'冷凍品'!C"&amp;(MATCH(62,冷凍品!$Z$5:$Z$304,0)+4),INDEX(冷凍品!$C$5:$C$304,MATCH(62,冷凍品!$Z$5:$Z$304,0))))</f>
        <v/>
      </c>
    </row>
    <row r="84" spans="2:6">
      <c r="B84" s="18" t="str">
        <f>IF(63&gt;MAX('18℃'!$Z$5:$Z$304),"",HYPERLINK("#'18℃'!C"&amp;(MATCH(63,'18℃'!$Z$5:$Z$304,0)+4),INDEX('18℃'!$C$5:$C$304,MATCH(63,'18℃'!$Z$5:$Z$304,0))))</f>
        <v/>
      </c>
      <c r="C84" s="18" t="str">
        <f>IF(63&gt;MAX('4℃飯'!$AA$5:$AA$302),"",HYPERLINK("#'4℃飯'!D"&amp;(MATCH(63,'4℃飯'!$AA$5:$AA$302,0)+4),INDEX('4℃飯'!$D$5:$D$302,MATCH(63,'4℃飯'!$AA$5:$AA$302,0))))</f>
        <v/>
      </c>
      <c r="D84" s="18" t="str">
        <f>IF(63&gt;MAX('4℃麵'!$AA$5:$AA$305),"",HYPERLINK("#'4℃麵'!D"&amp;(MATCH(63,'4℃麵'!$AA$5:$AA$305,0)+4),INDEX('4℃麵'!$D$5:$D$305,MATCH(63,'4℃麵'!$AA$5:$AA$305,0))))</f>
        <v/>
      </c>
      <c r="E84" s="18" t="str">
        <f>IF(63&gt;MAX('4℃其他'!$AA$5:$AA$302),"",HYPERLINK("#'4℃其他'!D"&amp;(MATCH(63,'4℃其他'!$AA$5:$AA$302,0)+4),INDEX('4℃其他'!$D$5:$D$302,MATCH(63,'4℃其他'!$AA$5:$AA$302,0))))</f>
        <v/>
      </c>
      <c r="F84" s="18" t="str">
        <f>IF(63&gt;MAX(冷凍品!$Z$5:$Z$304),"",HYPERLINK("#'冷凍品'!C"&amp;(MATCH(63,冷凍品!$Z$5:$Z$304,0)+4),INDEX(冷凍品!$C$5:$C$304,MATCH(63,冷凍品!$Z$5:$Z$304,0))))</f>
        <v/>
      </c>
    </row>
    <row r="85" spans="2:6">
      <c r="B85" s="18" t="str">
        <f>IF(64&gt;MAX('18℃'!$Z$5:$Z$304),"",HYPERLINK("#'18℃'!C"&amp;(MATCH(64,'18℃'!$Z$5:$Z$304,0)+4),INDEX('18℃'!$C$5:$C$304,MATCH(64,'18℃'!$Z$5:$Z$304,0))))</f>
        <v/>
      </c>
      <c r="C85" s="18" t="str">
        <f>IF(64&gt;MAX('4℃飯'!$AA$5:$AA$302),"",HYPERLINK("#'4℃飯'!D"&amp;(MATCH(64,'4℃飯'!$AA$5:$AA$302,0)+4),INDEX('4℃飯'!$D$5:$D$302,MATCH(64,'4℃飯'!$AA$5:$AA$302,0))))</f>
        <v/>
      </c>
      <c r="D85" s="18" t="str">
        <f>IF(64&gt;MAX('4℃麵'!$AA$5:$AA$305),"",HYPERLINK("#'4℃麵'!D"&amp;(MATCH(64,'4℃麵'!$AA$5:$AA$305,0)+4),INDEX('4℃麵'!$D$5:$D$305,MATCH(64,'4℃麵'!$AA$5:$AA$305,0))))</f>
        <v/>
      </c>
      <c r="E85" s="18" t="str">
        <f>IF(64&gt;MAX('4℃其他'!$AA$5:$AA$302),"",HYPERLINK("#'4℃其他'!D"&amp;(MATCH(64,'4℃其他'!$AA$5:$AA$302,0)+4),INDEX('4℃其他'!$D$5:$D$302,MATCH(64,'4℃其他'!$AA$5:$AA$302,0))))</f>
        <v/>
      </c>
      <c r="F85" s="18" t="str">
        <f>IF(64&gt;MAX(冷凍品!$Z$5:$Z$304),"",HYPERLINK("#'冷凍品'!C"&amp;(MATCH(64,冷凍品!$Z$5:$Z$304,0)+4),INDEX(冷凍品!$C$5:$C$304,MATCH(64,冷凍品!$Z$5:$Z$304,0))))</f>
        <v/>
      </c>
    </row>
    <row r="86" spans="2:6">
      <c r="B86" s="18" t="str">
        <f>IF(65&gt;MAX('18℃'!$Z$5:$Z$304),"",HYPERLINK("#'18℃'!C"&amp;(MATCH(65,'18℃'!$Z$5:$Z$304,0)+4),INDEX('18℃'!$C$5:$C$304,MATCH(65,'18℃'!$Z$5:$Z$304,0))))</f>
        <v/>
      </c>
      <c r="C86" s="18" t="str">
        <f>IF(65&gt;MAX('4℃飯'!$AA$5:$AA$302),"",HYPERLINK("#'4℃飯'!D"&amp;(MATCH(65,'4℃飯'!$AA$5:$AA$302,0)+4),INDEX('4℃飯'!$D$5:$D$302,MATCH(65,'4℃飯'!$AA$5:$AA$302,0))))</f>
        <v/>
      </c>
      <c r="D86" s="18" t="str">
        <f>IF(65&gt;MAX('4℃麵'!$AA$5:$AA$305),"",HYPERLINK("#'4℃麵'!D"&amp;(MATCH(65,'4℃麵'!$AA$5:$AA$305,0)+4),INDEX('4℃麵'!$D$5:$D$305,MATCH(65,'4℃麵'!$AA$5:$AA$305,0))))</f>
        <v/>
      </c>
      <c r="E86" s="18" t="str">
        <f>IF(65&gt;MAX('4℃其他'!$AA$5:$AA$302),"",HYPERLINK("#'4℃其他'!D"&amp;(MATCH(65,'4℃其他'!$AA$5:$AA$302,0)+4),INDEX('4℃其他'!$D$5:$D$302,MATCH(65,'4℃其他'!$AA$5:$AA$302,0))))</f>
        <v/>
      </c>
      <c r="F86" s="18" t="str">
        <f>IF(65&gt;MAX(冷凍品!$Z$5:$Z$304),"",HYPERLINK("#'冷凍品'!C"&amp;(MATCH(65,冷凍品!$Z$5:$Z$304,0)+4),INDEX(冷凍品!$C$5:$C$304,MATCH(65,冷凍品!$Z$5:$Z$304,0))))</f>
        <v/>
      </c>
    </row>
    <row r="87" spans="2:6">
      <c r="B87" s="18" t="str">
        <f>IF(66&gt;MAX('18℃'!$Z$5:$Z$304),"",HYPERLINK("#'18℃'!C"&amp;(MATCH(66,'18℃'!$Z$5:$Z$304,0)+4),INDEX('18℃'!$C$5:$C$304,MATCH(66,'18℃'!$Z$5:$Z$304,0))))</f>
        <v/>
      </c>
      <c r="C87" s="18" t="str">
        <f>IF(66&gt;MAX('4℃飯'!$AA$5:$AA$302),"",HYPERLINK("#'4℃飯'!D"&amp;(MATCH(66,'4℃飯'!$AA$5:$AA$302,0)+4),INDEX('4℃飯'!$D$5:$D$302,MATCH(66,'4℃飯'!$AA$5:$AA$302,0))))</f>
        <v/>
      </c>
      <c r="D87" s="18" t="str">
        <f>IF(66&gt;MAX('4℃麵'!$AA$5:$AA$305),"",HYPERLINK("#'4℃麵'!D"&amp;(MATCH(66,'4℃麵'!$AA$5:$AA$305,0)+4),INDEX('4℃麵'!$D$5:$D$305,MATCH(66,'4℃麵'!$AA$5:$AA$305,0))))</f>
        <v/>
      </c>
      <c r="E87" s="18" t="str">
        <f>IF(66&gt;MAX('4℃其他'!$AA$5:$AA$302),"",HYPERLINK("#'4℃其他'!D"&amp;(MATCH(66,'4℃其他'!$AA$5:$AA$302,0)+4),INDEX('4℃其他'!$D$5:$D$302,MATCH(66,'4℃其他'!$AA$5:$AA$302,0))))</f>
        <v/>
      </c>
      <c r="F87" s="18" t="str">
        <f>IF(66&gt;MAX(冷凍品!$Z$5:$Z$304),"",HYPERLINK("#'冷凍品'!C"&amp;(MATCH(66,冷凍品!$Z$5:$Z$304,0)+4),INDEX(冷凍品!$C$5:$C$304,MATCH(66,冷凍品!$Z$5:$Z$304,0))))</f>
        <v/>
      </c>
    </row>
    <row r="88" spans="2:6">
      <c r="B88" s="18" t="str">
        <f>IF(67&gt;MAX('18℃'!$Z$5:$Z$304),"",HYPERLINK("#'18℃'!C"&amp;(MATCH(67,'18℃'!$Z$5:$Z$304,0)+4),INDEX('18℃'!$C$5:$C$304,MATCH(67,'18℃'!$Z$5:$Z$304,0))))</f>
        <v/>
      </c>
      <c r="C88" s="18" t="str">
        <f>IF(67&gt;MAX('4℃飯'!$AA$5:$AA$302),"",HYPERLINK("#'4℃飯'!D"&amp;(MATCH(67,'4℃飯'!$AA$5:$AA$302,0)+4),INDEX('4℃飯'!$D$5:$D$302,MATCH(67,'4℃飯'!$AA$5:$AA$302,0))))</f>
        <v/>
      </c>
      <c r="D88" s="18" t="str">
        <f>IF(67&gt;MAX('4℃麵'!$AA$5:$AA$305),"",HYPERLINK("#'4℃麵'!D"&amp;(MATCH(67,'4℃麵'!$AA$5:$AA$305,0)+4),INDEX('4℃麵'!$D$5:$D$305,MATCH(67,'4℃麵'!$AA$5:$AA$305,0))))</f>
        <v/>
      </c>
      <c r="E88" s="18" t="str">
        <f>IF(67&gt;MAX('4℃其他'!$AA$5:$AA$302),"",HYPERLINK("#'4℃其他'!D"&amp;(MATCH(67,'4℃其他'!$AA$5:$AA$302,0)+4),INDEX('4℃其他'!$D$5:$D$302,MATCH(67,'4℃其他'!$AA$5:$AA$302,0))))</f>
        <v/>
      </c>
      <c r="F88" s="18" t="str">
        <f>IF(67&gt;MAX(冷凍品!$Z$5:$Z$304),"",HYPERLINK("#'冷凍品'!C"&amp;(MATCH(67,冷凍品!$Z$5:$Z$304,0)+4),INDEX(冷凍品!$C$5:$C$304,MATCH(67,冷凍品!$Z$5:$Z$304,0))))</f>
        <v/>
      </c>
    </row>
    <row r="89" spans="2:6">
      <c r="B89" s="18" t="str">
        <f>IF(68&gt;MAX('18℃'!$Z$5:$Z$304),"",HYPERLINK("#'18℃'!C"&amp;(MATCH(68,'18℃'!$Z$5:$Z$304,0)+4),INDEX('18℃'!$C$5:$C$304,MATCH(68,'18℃'!$Z$5:$Z$304,0))))</f>
        <v/>
      </c>
      <c r="C89" s="18" t="str">
        <f>IF(68&gt;MAX('4℃飯'!$AA$5:$AA$302),"",HYPERLINK("#'4℃飯'!D"&amp;(MATCH(68,'4℃飯'!$AA$5:$AA$302,0)+4),INDEX('4℃飯'!$D$5:$D$302,MATCH(68,'4℃飯'!$AA$5:$AA$302,0))))</f>
        <v/>
      </c>
      <c r="D89" s="18" t="str">
        <f>IF(68&gt;MAX('4℃麵'!$AA$5:$AA$305),"",HYPERLINK("#'4℃麵'!D"&amp;(MATCH(68,'4℃麵'!$AA$5:$AA$305,0)+4),INDEX('4℃麵'!$D$5:$D$305,MATCH(68,'4℃麵'!$AA$5:$AA$305,0))))</f>
        <v/>
      </c>
      <c r="E89" s="18" t="str">
        <f>IF(68&gt;MAX('4℃其他'!$AA$5:$AA$302),"",HYPERLINK("#'4℃其他'!D"&amp;(MATCH(68,'4℃其他'!$AA$5:$AA$302,0)+4),INDEX('4℃其他'!$D$5:$D$302,MATCH(68,'4℃其他'!$AA$5:$AA$302,0))))</f>
        <v/>
      </c>
      <c r="F89" s="18" t="str">
        <f>IF(68&gt;MAX(冷凍品!$Z$5:$Z$304),"",HYPERLINK("#'冷凍品'!C"&amp;(MATCH(68,冷凍品!$Z$5:$Z$304,0)+4),INDEX(冷凍品!$C$5:$C$304,MATCH(68,冷凍品!$Z$5:$Z$304,0))))</f>
        <v/>
      </c>
    </row>
    <row r="90" spans="2:6">
      <c r="B90" s="18" t="str">
        <f>IF(69&gt;MAX('18℃'!$Z$5:$Z$304),"",HYPERLINK("#'18℃'!C"&amp;(MATCH(69,'18℃'!$Z$5:$Z$304,0)+4),INDEX('18℃'!$C$5:$C$304,MATCH(69,'18℃'!$Z$5:$Z$304,0))))</f>
        <v/>
      </c>
      <c r="C90" s="18" t="str">
        <f>IF(69&gt;MAX('4℃飯'!$AA$5:$AA$302),"",HYPERLINK("#'4℃飯'!D"&amp;(MATCH(69,'4℃飯'!$AA$5:$AA$302,0)+4),INDEX('4℃飯'!$D$5:$D$302,MATCH(69,'4℃飯'!$AA$5:$AA$302,0))))</f>
        <v/>
      </c>
      <c r="D90" s="18" t="str">
        <f>IF(69&gt;MAX('4℃麵'!$AA$5:$AA$305),"",HYPERLINK("#'4℃麵'!D"&amp;(MATCH(69,'4℃麵'!$AA$5:$AA$305,0)+4),INDEX('4℃麵'!$D$5:$D$305,MATCH(69,'4℃麵'!$AA$5:$AA$305,0))))</f>
        <v/>
      </c>
      <c r="E90" s="18" t="str">
        <f>IF(69&gt;MAX('4℃其他'!$AA$5:$AA$302),"",HYPERLINK("#'4℃其他'!D"&amp;(MATCH(69,'4℃其他'!$AA$5:$AA$302,0)+4),INDEX('4℃其他'!$D$5:$D$302,MATCH(69,'4℃其他'!$AA$5:$AA$302,0))))</f>
        <v/>
      </c>
      <c r="F90" s="18" t="str">
        <f>IF(69&gt;MAX(冷凍品!$Z$5:$Z$304),"",HYPERLINK("#'冷凍品'!C"&amp;(MATCH(69,冷凍品!$Z$5:$Z$304,0)+4),INDEX(冷凍品!$C$5:$C$304,MATCH(69,冷凍品!$Z$5:$Z$304,0))))</f>
        <v/>
      </c>
    </row>
    <row r="91" spans="2:6">
      <c r="B91" s="18" t="str">
        <f>IF(70&gt;MAX('18℃'!$Z$5:$Z$304),"",HYPERLINK("#'18℃'!C"&amp;(MATCH(70,'18℃'!$Z$5:$Z$304,0)+4),INDEX('18℃'!$C$5:$C$304,MATCH(70,'18℃'!$Z$5:$Z$304,0))))</f>
        <v/>
      </c>
      <c r="C91" s="18" t="str">
        <f>IF(70&gt;MAX('4℃飯'!$AA$5:$AA$302),"",HYPERLINK("#'4℃飯'!D"&amp;(MATCH(70,'4℃飯'!$AA$5:$AA$302,0)+4),INDEX('4℃飯'!$D$5:$D$302,MATCH(70,'4℃飯'!$AA$5:$AA$302,0))))</f>
        <v/>
      </c>
      <c r="D91" s="18" t="str">
        <f>IF(70&gt;MAX('4℃麵'!$AA$5:$AA$305),"",HYPERLINK("#'4℃麵'!D"&amp;(MATCH(70,'4℃麵'!$AA$5:$AA$305,0)+4),INDEX('4℃麵'!$D$5:$D$305,MATCH(70,'4℃麵'!$AA$5:$AA$305,0))))</f>
        <v/>
      </c>
      <c r="E91" s="18" t="str">
        <f>IF(70&gt;MAX('4℃其他'!$AA$5:$AA$302),"",HYPERLINK("#'4℃其他'!D"&amp;(MATCH(70,'4℃其他'!$AA$5:$AA$302,0)+4),INDEX('4℃其他'!$D$5:$D$302,MATCH(70,'4℃其他'!$AA$5:$AA$302,0))))</f>
        <v/>
      </c>
      <c r="F91" s="18" t="str">
        <f>IF(70&gt;MAX(冷凍品!$Z$5:$Z$304),"",HYPERLINK("#'冷凍品'!C"&amp;(MATCH(70,冷凍品!$Z$5:$Z$304,0)+4),INDEX(冷凍品!$C$5:$C$304,MATCH(70,冷凍品!$Z$5:$Z$304,0))))</f>
        <v/>
      </c>
    </row>
    <row r="92" spans="2:6">
      <c r="B92" s="18" t="str">
        <f>IF(71&gt;MAX('18℃'!$Z$5:$Z$304),"",HYPERLINK("#'18℃'!C"&amp;(MATCH(71,'18℃'!$Z$5:$Z$304,0)+4),INDEX('18℃'!$C$5:$C$304,MATCH(71,'18℃'!$Z$5:$Z$304,0))))</f>
        <v/>
      </c>
      <c r="C92" s="18" t="str">
        <f>IF(71&gt;MAX('4℃飯'!$AA$5:$AA$302),"",HYPERLINK("#'4℃飯'!D"&amp;(MATCH(71,'4℃飯'!$AA$5:$AA$302,0)+4),INDEX('4℃飯'!$D$5:$D$302,MATCH(71,'4℃飯'!$AA$5:$AA$302,0))))</f>
        <v/>
      </c>
      <c r="D92" s="18" t="str">
        <f>IF(71&gt;MAX('4℃麵'!$AA$5:$AA$305),"",HYPERLINK("#'4℃麵'!D"&amp;(MATCH(71,'4℃麵'!$AA$5:$AA$305,0)+4),INDEX('4℃麵'!$D$5:$D$305,MATCH(71,'4℃麵'!$AA$5:$AA$305,0))))</f>
        <v/>
      </c>
      <c r="E92" s="18" t="str">
        <f>IF(71&gt;MAX('4℃其他'!$AA$5:$AA$302),"",HYPERLINK("#'4℃其他'!D"&amp;(MATCH(71,'4℃其他'!$AA$5:$AA$302,0)+4),INDEX('4℃其他'!$D$5:$D$302,MATCH(71,'4℃其他'!$AA$5:$AA$302,0))))</f>
        <v/>
      </c>
      <c r="F92" s="18" t="str">
        <f>IF(71&gt;MAX(冷凍品!$Z$5:$Z$304),"",HYPERLINK("#'冷凍品'!C"&amp;(MATCH(71,冷凍品!$Z$5:$Z$304,0)+4),INDEX(冷凍品!$C$5:$C$304,MATCH(71,冷凍品!$Z$5:$Z$304,0))))</f>
        <v/>
      </c>
    </row>
    <row r="93" spans="2:6">
      <c r="B93" s="18" t="str">
        <f>IF(72&gt;MAX('18℃'!$Z$5:$Z$304),"",HYPERLINK("#'18℃'!C"&amp;(MATCH(72,'18℃'!$Z$5:$Z$304,0)+4),INDEX('18℃'!$C$5:$C$304,MATCH(72,'18℃'!$Z$5:$Z$304,0))))</f>
        <v/>
      </c>
      <c r="C93" s="18" t="str">
        <f>IF(72&gt;MAX('4℃飯'!$AA$5:$AA$302),"",HYPERLINK("#'4℃飯'!D"&amp;(MATCH(72,'4℃飯'!$AA$5:$AA$302,0)+4),INDEX('4℃飯'!$D$5:$D$302,MATCH(72,'4℃飯'!$AA$5:$AA$302,0))))</f>
        <v/>
      </c>
      <c r="D93" s="18" t="str">
        <f>IF(72&gt;MAX('4℃麵'!$AA$5:$AA$305),"",HYPERLINK("#'4℃麵'!D"&amp;(MATCH(72,'4℃麵'!$AA$5:$AA$305,0)+4),INDEX('4℃麵'!$D$5:$D$305,MATCH(72,'4℃麵'!$AA$5:$AA$305,0))))</f>
        <v/>
      </c>
      <c r="E93" s="18" t="str">
        <f>IF(72&gt;MAX('4℃其他'!$AA$5:$AA$302),"",HYPERLINK("#'4℃其他'!D"&amp;(MATCH(72,'4℃其他'!$AA$5:$AA$302,0)+4),INDEX('4℃其他'!$D$5:$D$302,MATCH(72,'4℃其他'!$AA$5:$AA$302,0))))</f>
        <v/>
      </c>
      <c r="F93" s="18" t="str">
        <f>IF(72&gt;MAX(冷凍品!$Z$5:$Z$304),"",HYPERLINK("#'冷凍品'!C"&amp;(MATCH(72,冷凍品!$Z$5:$Z$304,0)+4),INDEX(冷凍品!$C$5:$C$304,MATCH(72,冷凍品!$Z$5:$Z$304,0))))</f>
        <v/>
      </c>
    </row>
    <row r="94" spans="2:6">
      <c r="B94" s="18" t="str">
        <f>IF(73&gt;MAX('18℃'!$Z$5:$Z$304),"",HYPERLINK("#'18℃'!C"&amp;(MATCH(73,'18℃'!$Z$5:$Z$304,0)+4),INDEX('18℃'!$C$5:$C$304,MATCH(73,'18℃'!$Z$5:$Z$304,0))))</f>
        <v/>
      </c>
      <c r="C94" s="18" t="str">
        <f>IF(73&gt;MAX('4℃飯'!$AA$5:$AA$302),"",HYPERLINK("#'4℃飯'!D"&amp;(MATCH(73,'4℃飯'!$AA$5:$AA$302,0)+4),INDEX('4℃飯'!$D$5:$D$302,MATCH(73,'4℃飯'!$AA$5:$AA$302,0))))</f>
        <v/>
      </c>
      <c r="D94" s="18" t="str">
        <f>IF(73&gt;MAX('4℃麵'!$AA$5:$AA$305),"",HYPERLINK("#'4℃麵'!D"&amp;(MATCH(73,'4℃麵'!$AA$5:$AA$305,0)+4),INDEX('4℃麵'!$D$5:$D$305,MATCH(73,'4℃麵'!$AA$5:$AA$305,0))))</f>
        <v/>
      </c>
      <c r="E94" s="18" t="str">
        <f>IF(73&gt;MAX('4℃其他'!$AA$5:$AA$302),"",HYPERLINK("#'4℃其他'!D"&amp;(MATCH(73,'4℃其他'!$AA$5:$AA$302,0)+4),INDEX('4℃其他'!$D$5:$D$302,MATCH(73,'4℃其他'!$AA$5:$AA$302,0))))</f>
        <v/>
      </c>
      <c r="F94" s="18" t="str">
        <f>IF(73&gt;MAX(冷凍品!$Z$5:$Z$304),"",HYPERLINK("#'冷凍品'!C"&amp;(MATCH(73,冷凍品!$Z$5:$Z$304,0)+4),INDEX(冷凍品!$C$5:$C$304,MATCH(73,冷凍品!$Z$5:$Z$304,0))))</f>
        <v/>
      </c>
    </row>
    <row r="95" spans="2:6">
      <c r="B95" s="18" t="str">
        <f>IF(74&gt;MAX('18℃'!$Z$5:$Z$304),"",HYPERLINK("#'18℃'!C"&amp;(MATCH(74,'18℃'!$Z$5:$Z$304,0)+4),INDEX('18℃'!$C$5:$C$304,MATCH(74,'18℃'!$Z$5:$Z$304,0))))</f>
        <v/>
      </c>
      <c r="C95" s="18" t="str">
        <f>IF(74&gt;MAX('4℃飯'!$AA$5:$AA$302),"",HYPERLINK("#'4℃飯'!D"&amp;(MATCH(74,'4℃飯'!$AA$5:$AA$302,0)+4),INDEX('4℃飯'!$D$5:$D$302,MATCH(74,'4℃飯'!$AA$5:$AA$302,0))))</f>
        <v/>
      </c>
      <c r="D95" s="18" t="str">
        <f>IF(74&gt;MAX('4℃麵'!$AA$5:$AA$305),"",HYPERLINK("#'4℃麵'!D"&amp;(MATCH(74,'4℃麵'!$AA$5:$AA$305,0)+4),INDEX('4℃麵'!$D$5:$D$305,MATCH(74,'4℃麵'!$AA$5:$AA$305,0))))</f>
        <v/>
      </c>
      <c r="E95" s="18" t="str">
        <f>IF(74&gt;MAX('4℃其他'!$AA$5:$AA$302),"",HYPERLINK("#'4℃其他'!D"&amp;(MATCH(74,'4℃其他'!$AA$5:$AA$302,0)+4),INDEX('4℃其他'!$D$5:$D$302,MATCH(74,'4℃其他'!$AA$5:$AA$302,0))))</f>
        <v/>
      </c>
      <c r="F95" s="18" t="str">
        <f>IF(74&gt;MAX(冷凍品!$Z$5:$Z$304),"",HYPERLINK("#'冷凍品'!C"&amp;(MATCH(74,冷凍品!$Z$5:$Z$304,0)+4),INDEX(冷凍品!$C$5:$C$304,MATCH(74,冷凍品!$Z$5:$Z$304,0))))</f>
        <v/>
      </c>
    </row>
    <row r="96" spans="2:6">
      <c r="B96" s="18" t="str">
        <f>IF(75&gt;MAX('18℃'!$Z$5:$Z$304),"",HYPERLINK("#'18℃'!C"&amp;(MATCH(75,'18℃'!$Z$5:$Z$304,0)+4),INDEX('18℃'!$C$5:$C$304,MATCH(75,'18℃'!$Z$5:$Z$304,0))))</f>
        <v/>
      </c>
      <c r="C96" s="18" t="str">
        <f>IF(75&gt;MAX('4℃飯'!$AA$5:$AA$302),"",HYPERLINK("#'4℃飯'!D"&amp;(MATCH(75,'4℃飯'!$AA$5:$AA$302,0)+4),INDEX('4℃飯'!$D$5:$D$302,MATCH(75,'4℃飯'!$AA$5:$AA$302,0))))</f>
        <v/>
      </c>
      <c r="D96" s="18" t="str">
        <f>IF(75&gt;MAX('4℃麵'!$AA$5:$AA$305),"",HYPERLINK("#'4℃麵'!D"&amp;(MATCH(75,'4℃麵'!$AA$5:$AA$305,0)+4),INDEX('4℃麵'!$D$5:$D$305,MATCH(75,'4℃麵'!$AA$5:$AA$305,0))))</f>
        <v/>
      </c>
      <c r="E96" s="18" t="str">
        <f>IF(75&gt;MAX('4℃其他'!$AA$5:$AA$302),"",HYPERLINK("#'4℃其他'!D"&amp;(MATCH(75,'4℃其他'!$AA$5:$AA$302,0)+4),INDEX('4℃其他'!$D$5:$D$302,MATCH(75,'4℃其他'!$AA$5:$AA$302,0))))</f>
        <v/>
      </c>
      <c r="F96" s="18" t="str">
        <f>IF(75&gt;MAX(冷凍品!$Z$5:$Z$304),"",HYPERLINK("#'冷凍品'!C"&amp;(MATCH(75,冷凍品!$Z$5:$Z$304,0)+4),INDEX(冷凍品!$C$5:$C$304,MATCH(75,冷凍品!$Z$5:$Z$304,0))))</f>
        <v/>
      </c>
    </row>
    <row r="97" spans="2:6">
      <c r="B97" s="18" t="str">
        <f>IF(76&gt;MAX('18℃'!$Z$5:$Z$304),"",HYPERLINK("#'18℃'!C"&amp;(MATCH(76,'18℃'!$Z$5:$Z$304,0)+4),INDEX('18℃'!$C$5:$C$304,MATCH(76,'18℃'!$Z$5:$Z$304,0))))</f>
        <v/>
      </c>
      <c r="C97" s="18" t="str">
        <f>IF(76&gt;MAX('4℃飯'!$AA$5:$AA$302),"",HYPERLINK("#'4℃飯'!D"&amp;(MATCH(76,'4℃飯'!$AA$5:$AA$302,0)+4),INDEX('4℃飯'!$D$5:$D$302,MATCH(76,'4℃飯'!$AA$5:$AA$302,0))))</f>
        <v/>
      </c>
      <c r="D97" s="18" t="str">
        <f>IF(76&gt;MAX('4℃麵'!$AA$5:$AA$305),"",HYPERLINK("#'4℃麵'!D"&amp;(MATCH(76,'4℃麵'!$AA$5:$AA$305,0)+4),INDEX('4℃麵'!$D$5:$D$305,MATCH(76,'4℃麵'!$AA$5:$AA$305,0))))</f>
        <v/>
      </c>
      <c r="E97" s="18" t="str">
        <f>IF(76&gt;MAX('4℃其他'!$AA$5:$AA$302),"",HYPERLINK("#'4℃其他'!D"&amp;(MATCH(76,'4℃其他'!$AA$5:$AA$302,0)+4),INDEX('4℃其他'!$D$5:$D$302,MATCH(76,'4℃其他'!$AA$5:$AA$302,0))))</f>
        <v/>
      </c>
      <c r="F97" s="18" t="str">
        <f>IF(76&gt;MAX(冷凍品!$Z$5:$Z$304),"",HYPERLINK("#'冷凍品'!C"&amp;(MATCH(76,冷凍品!$Z$5:$Z$304,0)+4),INDEX(冷凍品!$C$5:$C$304,MATCH(76,冷凍品!$Z$5:$Z$304,0))))</f>
        <v/>
      </c>
    </row>
    <row r="98" spans="2:6">
      <c r="B98" s="18" t="str">
        <f>IF(77&gt;MAX('18℃'!$Z$5:$Z$304),"",HYPERLINK("#'18℃'!C"&amp;(MATCH(77,'18℃'!$Z$5:$Z$304,0)+4),INDEX('18℃'!$C$5:$C$304,MATCH(77,'18℃'!$Z$5:$Z$304,0))))</f>
        <v/>
      </c>
      <c r="C98" s="18" t="str">
        <f>IF(77&gt;MAX('4℃飯'!$AA$5:$AA$302),"",HYPERLINK("#'4℃飯'!D"&amp;(MATCH(77,'4℃飯'!$AA$5:$AA$302,0)+4),INDEX('4℃飯'!$D$5:$D$302,MATCH(77,'4℃飯'!$AA$5:$AA$302,0))))</f>
        <v/>
      </c>
      <c r="D98" s="18" t="str">
        <f>IF(77&gt;MAX('4℃麵'!$AA$5:$AA$305),"",HYPERLINK("#'4℃麵'!D"&amp;(MATCH(77,'4℃麵'!$AA$5:$AA$305,0)+4),INDEX('4℃麵'!$D$5:$D$305,MATCH(77,'4℃麵'!$AA$5:$AA$305,0))))</f>
        <v/>
      </c>
      <c r="E98" s="18" t="str">
        <f>IF(77&gt;MAX('4℃其他'!$AA$5:$AA$302),"",HYPERLINK("#'4℃其他'!D"&amp;(MATCH(77,'4℃其他'!$AA$5:$AA$302,0)+4),INDEX('4℃其他'!$D$5:$D$302,MATCH(77,'4℃其他'!$AA$5:$AA$302,0))))</f>
        <v/>
      </c>
      <c r="F98" s="18" t="str">
        <f>IF(77&gt;MAX(冷凍品!$Z$5:$Z$304),"",HYPERLINK("#'冷凍品'!C"&amp;(MATCH(77,冷凍品!$Z$5:$Z$304,0)+4),INDEX(冷凍品!$C$5:$C$304,MATCH(77,冷凍品!$Z$5:$Z$304,0))))</f>
        <v/>
      </c>
    </row>
    <row r="99" spans="2:6">
      <c r="B99" s="18" t="str">
        <f>IF(78&gt;MAX('18℃'!$Z$5:$Z$304),"",HYPERLINK("#'18℃'!C"&amp;(MATCH(78,'18℃'!$Z$5:$Z$304,0)+4),INDEX('18℃'!$C$5:$C$304,MATCH(78,'18℃'!$Z$5:$Z$304,0))))</f>
        <v/>
      </c>
      <c r="C99" s="18" t="str">
        <f>IF(78&gt;MAX('4℃飯'!$AA$5:$AA$302),"",HYPERLINK("#'4℃飯'!D"&amp;(MATCH(78,'4℃飯'!$AA$5:$AA$302,0)+4),INDEX('4℃飯'!$D$5:$D$302,MATCH(78,'4℃飯'!$AA$5:$AA$302,0))))</f>
        <v/>
      </c>
      <c r="D99" s="18" t="str">
        <f>IF(78&gt;MAX('4℃麵'!$AA$5:$AA$305),"",HYPERLINK("#'4℃麵'!D"&amp;(MATCH(78,'4℃麵'!$AA$5:$AA$305,0)+4),INDEX('4℃麵'!$D$5:$D$305,MATCH(78,'4℃麵'!$AA$5:$AA$305,0))))</f>
        <v/>
      </c>
      <c r="E99" s="18" t="str">
        <f>IF(78&gt;MAX('4℃其他'!$AA$5:$AA$302),"",HYPERLINK("#'4℃其他'!D"&amp;(MATCH(78,'4℃其他'!$AA$5:$AA$302,0)+4),INDEX('4℃其他'!$D$5:$D$302,MATCH(78,'4℃其他'!$AA$5:$AA$302,0))))</f>
        <v/>
      </c>
      <c r="F99" s="18" t="str">
        <f>IF(78&gt;MAX(冷凍品!$Z$5:$Z$304),"",HYPERLINK("#'冷凍品'!C"&amp;(MATCH(78,冷凍品!$Z$5:$Z$304,0)+4),INDEX(冷凍品!$C$5:$C$304,MATCH(78,冷凍品!$Z$5:$Z$304,0))))</f>
        <v/>
      </c>
    </row>
    <row r="100" spans="2:6">
      <c r="B100" s="18" t="str">
        <f>IF(79&gt;MAX('18℃'!$Z$5:$Z$304),"",HYPERLINK("#'18℃'!C"&amp;(MATCH(79,'18℃'!$Z$5:$Z$304,0)+4),INDEX('18℃'!$C$5:$C$304,MATCH(79,'18℃'!$Z$5:$Z$304,0))))</f>
        <v/>
      </c>
      <c r="C100" s="18" t="str">
        <f>IF(79&gt;MAX('4℃飯'!$AA$5:$AA$302),"",HYPERLINK("#'4℃飯'!D"&amp;(MATCH(79,'4℃飯'!$AA$5:$AA$302,0)+4),INDEX('4℃飯'!$D$5:$D$302,MATCH(79,'4℃飯'!$AA$5:$AA$302,0))))</f>
        <v/>
      </c>
      <c r="D100" s="18" t="str">
        <f>IF(79&gt;MAX('4℃麵'!$AA$5:$AA$305),"",HYPERLINK("#'4℃麵'!D"&amp;(MATCH(79,'4℃麵'!$AA$5:$AA$305,0)+4),INDEX('4℃麵'!$D$5:$D$305,MATCH(79,'4℃麵'!$AA$5:$AA$305,0))))</f>
        <v/>
      </c>
      <c r="E100" s="18" t="str">
        <f>IF(79&gt;MAX('4℃其他'!$AA$5:$AA$302),"",HYPERLINK("#'4℃其他'!D"&amp;(MATCH(79,'4℃其他'!$AA$5:$AA$302,0)+4),INDEX('4℃其他'!$D$5:$D$302,MATCH(79,'4℃其他'!$AA$5:$AA$302,0))))</f>
        <v/>
      </c>
      <c r="F100" s="18" t="str">
        <f>IF(79&gt;MAX(冷凍品!$Z$5:$Z$304),"",HYPERLINK("#'冷凍品'!C"&amp;(MATCH(79,冷凍品!$Z$5:$Z$304,0)+4),INDEX(冷凍品!$C$5:$C$304,MATCH(79,冷凍品!$Z$5:$Z$304,0))))</f>
        <v/>
      </c>
    </row>
    <row r="101" spans="2:6">
      <c r="B101" s="18" t="str">
        <f>IF(80&gt;MAX('18℃'!$Z$5:$Z$304),"",HYPERLINK("#'18℃'!C"&amp;(MATCH(80,'18℃'!$Z$5:$Z$304,0)+4),INDEX('18℃'!$C$5:$C$304,MATCH(80,'18℃'!$Z$5:$Z$304,0))))</f>
        <v/>
      </c>
      <c r="C101" s="18" t="str">
        <f>IF(80&gt;MAX('4℃飯'!$AA$5:$AA$302),"",HYPERLINK("#'4℃飯'!D"&amp;(MATCH(80,'4℃飯'!$AA$5:$AA$302,0)+4),INDEX('4℃飯'!$D$5:$D$302,MATCH(80,'4℃飯'!$AA$5:$AA$302,0))))</f>
        <v/>
      </c>
      <c r="D101" s="18" t="str">
        <f>IF(80&gt;MAX('4℃麵'!$AA$5:$AA$305),"",HYPERLINK("#'4℃麵'!D"&amp;(MATCH(80,'4℃麵'!$AA$5:$AA$305,0)+4),INDEX('4℃麵'!$D$5:$D$305,MATCH(80,'4℃麵'!$AA$5:$AA$305,0))))</f>
        <v/>
      </c>
      <c r="E101" s="18" t="str">
        <f>IF(80&gt;MAX('4℃其他'!$AA$5:$AA$302),"",HYPERLINK("#'4℃其他'!D"&amp;(MATCH(80,'4℃其他'!$AA$5:$AA$302,0)+4),INDEX('4℃其他'!$D$5:$D$302,MATCH(80,'4℃其他'!$AA$5:$AA$302,0))))</f>
        <v/>
      </c>
      <c r="F101" s="18" t="str">
        <f>IF(80&gt;MAX(冷凍品!$Z$5:$Z$304),"",HYPERLINK("#'冷凍品'!C"&amp;(MATCH(80,冷凍品!$Z$5:$Z$304,0)+4),INDEX(冷凍品!$C$5:$C$304,MATCH(80,冷凍品!$Z$5:$Z$304,0))))</f>
        <v/>
      </c>
    </row>
    <row r="102" spans="2:6">
      <c r="B102" s="18" t="str">
        <f>IF(81&gt;MAX('18℃'!$Z$5:$Z$304),"",HYPERLINK("#'18℃'!C"&amp;(MATCH(81,'18℃'!$Z$5:$Z$304,0)+4),INDEX('18℃'!$C$5:$C$304,MATCH(81,'18℃'!$Z$5:$Z$304,0))))</f>
        <v/>
      </c>
      <c r="C102" s="18" t="str">
        <f>IF(81&gt;MAX('4℃飯'!$AA$5:$AA$302),"",HYPERLINK("#'4℃飯'!D"&amp;(MATCH(81,'4℃飯'!$AA$5:$AA$302,0)+4),INDEX('4℃飯'!$D$5:$D$302,MATCH(81,'4℃飯'!$AA$5:$AA$302,0))))</f>
        <v/>
      </c>
      <c r="D102" s="18" t="str">
        <f>IF(81&gt;MAX('4℃麵'!$AA$5:$AA$305),"",HYPERLINK("#'4℃麵'!D"&amp;(MATCH(81,'4℃麵'!$AA$5:$AA$305,0)+4),INDEX('4℃麵'!$D$5:$D$305,MATCH(81,'4℃麵'!$AA$5:$AA$305,0))))</f>
        <v/>
      </c>
      <c r="E102" s="18" t="str">
        <f>IF(81&gt;MAX('4℃其他'!$AA$5:$AA$302),"",HYPERLINK("#'4℃其他'!D"&amp;(MATCH(81,'4℃其他'!$AA$5:$AA$302,0)+4),INDEX('4℃其他'!$D$5:$D$302,MATCH(81,'4℃其他'!$AA$5:$AA$302,0))))</f>
        <v/>
      </c>
      <c r="F102" s="18" t="str">
        <f>IF(81&gt;MAX(冷凍品!$Z$5:$Z$304),"",HYPERLINK("#'冷凍品'!C"&amp;(MATCH(81,冷凍品!$Z$5:$Z$304,0)+4),INDEX(冷凍品!$C$5:$C$304,MATCH(81,冷凍品!$Z$5:$Z$304,0))))</f>
        <v/>
      </c>
    </row>
    <row r="103" spans="2:6">
      <c r="B103" s="18" t="str">
        <f>IF(82&gt;MAX('18℃'!$Z$5:$Z$304),"",HYPERLINK("#'18℃'!C"&amp;(MATCH(82,'18℃'!$Z$5:$Z$304,0)+4),INDEX('18℃'!$C$5:$C$304,MATCH(82,'18℃'!$Z$5:$Z$304,0))))</f>
        <v/>
      </c>
      <c r="C103" s="18" t="str">
        <f>IF(82&gt;MAX('4℃飯'!$AA$5:$AA$302),"",HYPERLINK("#'4℃飯'!D"&amp;(MATCH(82,'4℃飯'!$AA$5:$AA$302,0)+4),INDEX('4℃飯'!$D$5:$D$302,MATCH(82,'4℃飯'!$AA$5:$AA$302,0))))</f>
        <v/>
      </c>
      <c r="D103" s="18" t="str">
        <f>IF(82&gt;MAX('4℃麵'!$AA$5:$AA$305),"",HYPERLINK("#'4℃麵'!D"&amp;(MATCH(82,'4℃麵'!$AA$5:$AA$305,0)+4),INDEX('4℃麵'!$D$5:$D$305,MATCH(82,'4℃麵'!$AA$5:$AA$305,0))))</f>
        <v/>
      </c>
      <c r="E103" s="18" t="str">
        <f>IF(82&gt;MAX('4℃其他'!$AA$5:$AA$302),"",HYPERLINK("#'4℃其他'!D"&amp;(MATCH(82,'4℃其他'!$AA$5:$AA$302,0)+4),INDEX('4℃其他'!$D$5:$D$302,MATCH(82,'4℃其他'!$AA$5:$AA$302,0))))</f>
        <v/>
      </c>
      <c r="F103" s="18" t="str">
        <f>IF(82&gt;MAX(冷凍品!$Z$5:$Z$304),"",HYPERLINK("#'冷凍品'!C"&amp;(MATCH(82,冷凍品!$Z$5:$Z$304,0)+4),INDEX(冷凍品!$C$5:$C$304,MATCH(82,冷凍品!$Z$5:$Z$304,0))))</f>
        <v/>
      </c>
    </row>
    <row r="104" spans="2:6">
      <c r="B104" s="18" t="str">
        <f>IF(83&gt;MAX('18℃'!$Z$5:$Z$304),"",HYPERLINK("#'18℃'!C"&amp;(MATCH(83,'18℃'!$Z$5:$Z$304,0)+4),INDEX('18℃'!$C$5:$C$304,MATCH(83,'18℃'!$Z$5:$Z$304,0))))</f>
        <v/>
      </c>
      <c r="C104" s="18" t="str">
        <f>IF(83&gt;MAX('4℃飯'!$AA$5:$AA$302),"",HYPERLINK("#'4℃飯'!D"&amp;(MATCH(83,'4℃飯'!$AA$5:$AA$302,0)+4),INDEX('4℃飯'!$D$5:$D$302,MATCH(83,'4℃飯'!$AA$5:$AA$302,0))))</f>
        <v/>
      </c>
      <c r="D104" s="18" t="str">
        <f>IF(83&gt;MAX('4℃麵'!$AA$5:$AA$305),"",HYPERLINK("#'4℃麵'!D"&amp;(MATCH(83,'4℃麵'!$AA$5:$AA$305,0)+4),INDEX('4℃麵'!$D$5:$D$305,MATCH(83,'4℃麵'!$AA$5:$AA$305,0))))</f>
        <v/>
      </c>
      <c r="E104" s="18" t="str">
        <f>IF(83&gt;MAX('4℃其他'!$AA$5:$AA$302),"",HYPERLINK("#'4℃其他'!D"&amp;(MATCH(83,'4℃其他'!$AA$5:$AA$302,0)+4),INDEX('4℃其他'!$D$5:$D$302,MATCH(83,'4℃其他'!$AA$5:$AA$302,0))))</f>
        <v/>
      </c>
      <c r="F104" s="18" t="str">
        <f>IF(83&gt;MAX(冷凍品!$Z$5:$Z$304),"",HYPERLINK("#'冷凍品'!C"&amp;(MATCH(83,冷凍品!$Z$5:$Z$304,0)+4),INDEX(冷凍品!$C$5:$C$304,MATCH(83,冷凍品!$Z$5:$Z$304,0))))</f>
        <v/>
      </c>
    </row>
    <row r="105" spans="2:6">
      <c r="B105" s="18" t="str">
        <f>IF(84&gt;MAX('18℃'!$Z$5:$Z$304),"",HYPERLINK("#'18℃'!C"&amp;(MATCH(84,'18℃'!$Z$5:$Z$304,0)+4),INDEX('18℃'!$C$5:$C$304,MATCH(84,'18℃'!$Z$5:$Z$304,0))))</f>
        <v/>
      </c>
      <c r="C105" s="18" t="str">
        <f>IF(84&gt;MAX('4℃飯'!$AA$5:$AA$302),"",HYPERLINK("#'4℃飯'!D"&amp;(MATCH(84,'4℃飯'!$AA$5:$AA$302,0)+4),INDEX('4℃飯'!$D$5:$D$302,MATCH(84,'4℃飯'!$AA$5:$AA$302,0))))</f>
        <v/>
      </c>
      <c r="D105" s="18" t="str">
        <f>IF(84&gt;MAX('4℃麵'!$AA$5:$AA$305),"",HYPERLINK("#'4℃麵'!D"&amp;(MATCH(84,'4℃麵'!$AA$5:$AA$305,0)+4),INDEX('4℃麵'!$D$5:$D$305,MATCH(84,'4℃麵'!$AA$5:$AA$305,0))))</f>
        <v/>
      </c>
      <c r="E105" s="18" t="str">
        <f>IF(84&gt;MAX('4℃其他'!$AA$5:$AA$302),"",HYPERLINK("#'4℃其他'!D"&amp;(MATCH(84,'4℃其他'!$AA$5:$AA$302,0)+4),INDEX('4℃其他'!$D$5:$D$302,MATCH(84,'4℃其他'!$AA$5:$AA$302,0))))</f>
        <v/>
      </c>
      <c r="F105" s="18" t="str">
        <f>IF(84&gt;MAX(冷凍品!$Z$5:$Z$304),"",HYPERLINK("#'冷凍品'!C"&amp;(MATCH(84,冷凍品!$Z$5:$Z$304,0)+4),INDEX(冷凍品!$C$5:$C$304,MATCH(84,冷凍品!$Z$5:$Z$304,0))))</f>
        <v/>
      </c>
    </row>
    <row r="106" spans="2:6">
      <c r="B106" s="18" t="str">
        <f>IF(85&gt;MAX('18℃'!$Z$5:$Z$304),"",HYPERLINK("#'18℃'!C"&amp;(MATCH(85,'18℃'!$Z$5:$Z$304,0)+4),INDEX('18℃'!$C$5:$C$304,MATCH(85,'18℃'!$Z$5:$Z$304,0))))</f>
        <v/>
      </c>
      <c r="C106" s="18" t="str">
        <f>IF(85&gt;MAX('4℃飯'!$AA$5:$AA$302),"",HYPERLINK("#'4℃飯'!D"&amp;(MATCH(85,'4℃飯'!$AA$5:$AA$302,0)+4),INDEX('4℃飯'!$D$5:$D$302,MATCH(85,'4℃飯'!$AA$5:$AA$302,0))))</f>
        <v/>
      </c>
      <c r="D106" s="18" t="str">
        <f>IF(85&gt;MAX('4℃麵'!$AA$5:$AA$305),"",HYPERLINK("#'4℃麵'!D"&amp;(MATCH(85,'4℃麵'!$AA$5:$AA$305,0)+4),INDEX('4℃麵'!$D$5:$D$305,MATCH(85,'4℃麵'!$AA$5:$AA$305,0))))</f>
        <v/>
      </c>
      <c r="E106" s="18" t="str">
        <f>IF(85&gt;MAX('4℃其他'!$AA$5:$AA$302),"",HYPERLINK("#'4℃其他'!D"&amp;(MATCH(85,'4℃其他'!$AA$5:$AA$302,0)+4),INDEX('4℃其他'!$D$5:$D$302,MATCH(85,'4℃其他'!$AA$5:$AA$302,0))))</f>
        <v/>
      </c>
      <c r="F106" s="18" t="str">
        <f>IF(85&gt;MAX(冷凍品!$Z$5:$Z$304),"",HYPERLINK("#'冷凍品'!C"&amp;(MATCH(85,冷凍品!$Z$5:$Z$304,0)+4),INDEX(冷凍品!$C$5:$C$304,MATCH(85,冷凍品!$Z$5:$Z$304,0))))</f>
        <v/>
      </c>
    </row>
    <row r="107" spans="2:6">
      <c r="B107" s="18" t="str">
        <f>IF(86&gt;MAX('18℃'!$Z$5:$Z$304),"",HYPERLINK("#'18℃'!C"&amp;(MATCH(86,'18℃'!$Z$5:$Z$304,0)+4),INDEX('18℃'!$C$5:$C$304,MATCH(86,'18℃'!$Z$5:$Z$304,0))))</f>
        <v/>
      </c>
      <c r="C107" s="18" t="str">
        <f>IF(86&gt;MAX('4℃飯'!$AA$5:$AA$302),"",HYPERLINK("#'4℃飯'!D"&amp;(MATCH(86,'4℃飯'!$AA$5:$AA$302,0)+4),INDEX('4℃飯'!$D$5:$D$302,MATCH(86,'4℃飯'!$AA$5:$AA$302,0))))</f>
        <v/>
      </c>
      <c r="D107" s="18" t="str">
        <f>IF(86&gt;MAX('4℃麵'!$AA$5:$AA$305),"",HYPERLINK("#'4℃麵'!D"&amp;(MATCH(86,'4℃麵'!$AA$5:$AA$305,0)+4),INDEX('4℃麵'!$D$5:$D$305,MATCH(86,'4℃麵'!$AA$5:$AA$305,0))))</f>
        <v/>
      </c>
      <c r="E107" s="18" t="str">
        <f>IF(86&gt;MAX('4℃其他'!$AA$5:$AA$302),"",HYPERLINK("#'4℃其他'!D"&amp;(MATCH(86,'4℃其他'!$AA$5:$AA$302,0)+4),INDEX('4℃其他'!$D$5:$D$302,MATCH(86,'4℃其他'!$AA$5:$AA$302,0))))</f>
        <v/>
      </c>
      <c r="F107" s="18" t="str">
        <f>IF(86&gt;MAX(冷凍品!$Z$5:$Z$304),"",HYPERLINK("#'冷凍品'!C"&amp;(MATCH(86,冷凍品!$Z$5:$Z$304,0)+4),INDEX(冷凍品!$C$5:$C$304,MATCH(86,冷凍品!$Z$5:$Z$304,0))))</f>
        <v/>
      </c>
    </row>
    <row r="108" spans="2:6">
      <c r="B108" s="18" t="str">
        <f>IF(87&gt;MAX('18℃'!$Z$5:$Z$304),"",HYPERLINK("#'18℃'!C"&amp;(MATCH(87,'18℃'!$Z$5:$Z$304,0)+4),INDEX('18℃'!$C$5:$C$304,MATCH(87,'18℃'!$Z$5:$Z$304,0))))</f>
        <v/>
      </c>
      <c r="C108" s="18" t="str">
        <f>IF(87&gt;MAX('4℃飯'!$AA$5:$AA$302),"",HYPERLINK("#'4℃飯'!D"&amp;(MATCH(87,'4℃飯'!$AA$5:$AA$302,0)+4),INDEX('4℃飯'!$D$5:$D$302,MATCH(87,'4℃飯'!$AA$5:$AA$302,0))))</f>
        <v/>
      </c>
      <c r="D108" s="18" t="str">
        <f>IF(87&gt;MAX('4℃麵'!$AA$5:$AA$305),"",HYPERLINK("#'4℃麵'!D"&amp;(MATCH(87,'4℃麵'!$AA$5:$AA$305,0)+4),INDEX('4℃麵'!$D$5:$D$305,MATCH(87,'4℃麵'!$AA$5:$AA$305,0))))</f>
        <v/>
      </c>
      <c r="E108" s="18" t="str">
        <f>IF(87&gt;MAX('4℃其他'!$AA$5:$AA$302),"",HYPERLINK("#'4℃其他'!D"&amp;(MATCH(87,'4℃其他'!$AA$5:$AA$302,0)+4),INDEX('4℃其他'!$D$5:$D$302,MATCH(87,'4℃其他'!$AA$5:$AA$302,0))))</f>
        <v/>
      </c>
      <c r="F108" s="18" t="str">
        <f>IF(87&gt;MAX(冷凍品!$Z$5:$Z$304),"",HYPERLINK("#'冷凍品'!C"&amp;(MATCH(87,冷凍品!$Z$5:$Z$304,0)+4),INDEX(冷凍品!$C$5:$C$304,MATCH(87,冷凍品!$Z$5:$Z$304,0))))</f>
        <v/>
      </c>
    </row>
    <row r="109" spans="2:6">
      <c r="B109" s="18" t="str">
        <f>IF(88&gt;MAX('18℃'!$Z$5:$Z$304),"",HYPERLINK("#'18℃'!C"&amp;(MATCH(88,'18℃'!$Z$5:$Z$304,0)+4),INDEX('18℃'!$C$5:$C$304,MATCH(88,'18℃'!$Z$5:$Z$304,0))))</f>
        <v/>
      </c>
      <c r="C109" s="18" t="str">
        <f>IF(88&gt;MAX('4℃飯'!$AA$5:$AA$302),"",HYPERLINK("#'4℃飯'!D"&amp;(MATCH(88,'4℃飯'!$AA$5:$AA$302,0)+4),INDEX('4℃飯'!$D$5:$D$302,MATCH(88,'4℃飯'!$AA$5:$AA$302,0))))</f>
        <v/>
      </c>
      <c r="D109" s="18" t="str">
        <f>IF(88&gt;MAX('4℃麵'!$AA$5:$AA$305),"",HYPERLINK("#'4℃麵'!D"&amp;(MATCH(88,'4℃麵'!$AA$5:$AA$305,0)+4),INDEX('4℃麵'!$D$5:$D$305,MATCH(88,'4℃麵'!$AA$5:$AA$305,0))))</f>
        <v/>
      </c>
      <c r="E109" s="18" t="str">
        <f>IF(88&gt;MAX('4℃其他'!$AA$5:$AA$302),"",HYPERLINK("#'4℃其他'!D"&amp;(MATCH(88,'4℃其他'!$AA$5:$AA$302,0)+4),INDEX('4℃其他'!$D$5:$D$302,MATCH(88,'4℃其他'!$AA$5:$AA$302,0))))</f>
        <v/>
      </c>
      <c r="F109" s="18" t="str">
        <f>IF(88&gt;MAX(冷凍品!$Z$5:$Z$304),"",HYPERLINK("#'冷凍品'!C"&amp;(MATCH(88,冷凍品!$Z$5:$Z$304,0)+4),INDEX(冷凍品!$C$5:$C$304,MATCH(88,冷凍品!$Z$5:$Z$304,0))))</f>
        <v/>
      </c>
    </row>
    <row r="110" spans="2:6">
      <c r="B110" s="18" t="str">
        <f>IF(89&gt;MAX('18℃'!$Z$5:$Z$304),"",HYPERLINK("#'18℃'!C"&amp;(MATCH(89,'18℃'!$Z$5:$Z$304,0)+4),INDEX('18℃'!$C$5:$C$304,MATCH(89,'18℃'!$Z$5:$Z$304,0))))</f>
        <v/>
      </c>
      <c r="C110" s="18" t="str">
        <f>IF(89&gt;MAX('4℃飯'!$AA$5:$AA$302),"",HYPERLINK("#'4℃飯'!D"&amp;(MATCH(89,'4℃飯'!$AA$5:$AA$302,0)+4),INDEX('4℃飯'!$D$5:$D$302,MATCH(89,'4℃飯'!$AA$5:$AA$302,0))))</f>
        <v/>
      </c>
      <c r="D110" s="18" t="str">
        <f>IF(89&gt;MAX('4℃麵'!$AA$5:$AA$305),"",HYPERLINK("#'4℃麵'!D"&amp;(MATCH(89,'4℃麵'!$AA$5:$AA$305,0)+4),INDEX('4℃麵'!$D$5:$D$305,MATCH(89,'4℃麵'!$AA$5:$AA$305,0))))</f>
        <v/>
      </c>
      <c r="E110" s="18" t="str">
        <f>IF(89&gt;MAX('4℃其他'!$AA$5:$AA$302),"",HYPERLINK("#'4℃其他'!D"&amp;(MATCH(89,'4℃其他'!$AA$5:$AA$302,0)+4),INDEX('4℃其他'!$D$5:$D$302,MATCH(89,'4℃其他'!$AA$5:$AA$302,0))))</f>
        <v/>
      </c>
      <c r="F110" s="18" t="str">
        <f>IF(89&gt;MAX(冷凍品!$Z$5:$Z$304),"",HYPERLINK("#'冷凍品'!C"&amp;(MATCH(89,冷凍品!$Z$5:$Z$304,0)+4),INDEX(冷凍品!$C$5:$C$304,MATCH(89,冷凍品!$Z$5:$Z$304,0))))</f>
        <v/>
      </c>
    </row>
    <row r="111" spans="2:6">
      <c r="B111" s="18" t="str">
        <f>IF(90&gt;MAX('18℃'!$Z$5:$Z$304),"",HYPERLINK("#'18℃'!C"&amp;(MATCH(90,'18℃'!$Z$5:$Z$304,0)+4),INDEX('18℃'!$C$5:$C$304,MATCH(90,'18℃'!$Z$5:$Z$304,0))))</f>
        <v/>
      </c>
      <c r="C111" s="18" t="str">
        <f>IF(90&gt;MAX('4℃飯'!$AA$5:$AA$302),"",HYPERLINK("#'4℃飯'!D"&amp;(MATCH(90,'4℃飯'!$AA$5:$AA$302,0)+4),INDEX('4℃飯'!$D$5:$D$302,MATCH(90,'4℃飯'!$AA$5:$AA$302,0))))</f>
        <v/>
      </c>
      <c r="D111" s="18" t="str">
        <f>IF(90&gt;MAX('4℃麵'!$AA$5:$AA$305),"",HYPERLINK("#'4℃麵'!D"&amp;(MATCH(90,'4℃麵'!$AA$5:$AA$305,0)+4),INDEX('4℃麵'!$D$5:$D$305,MATCH(90,'4℃麵'!$AA$5:$AA$305,0))))</f>
        <v/>
      </c>
      <c r="E111" s="18" t="str">
        <f>IF(90&gt;MAX('4℃其他'!$AA$5:$AA$302),"",HYPERLINK("#'4℃其他'!D"&amp;(MATCH(90,'4℃其他'!$AA$5:$AA$302,0)+4),INDEX('4℃其他'!$D$5:$D$302,MATCH(90,'4℃其他'!$AA$5:$AA$302,0))))</f>
        <v/>
      </c>
      <c r="F111" s="18" t="str">
        <f>IF(90&gt;MAX(冷凍品!$Z$5:$Z$304),"",HYPERLINK("#'冷凍品'!C"&amp;(MATCH(90,冷凍品!$Z$5:$Z$304,0)+4),INDEX(冷凍品!$C$5:$C$304,MATCH(90,冷凍品!$Z$5:$Z$304,0))))</f>
        <v/>
      </c>
    </row>
    <row r="112" spans="2:6">
      <c r="B112" s="18" t="str">
        <f>IF(91&gt;MAX('18℃'!$Z$5:$Z$304),"",HYPERLINK("#'18℃'!C"&amp;(MATCH(91,'18℃'!$Z$5:$Z$304,0)+4),INDEX('18℃'!$C$5:$C$304,MATCH(91,'18℃'!$Z$5:$Z$304,0))))</f>
        <v/>
      </c>
      <c r="C112" s="18" t="str">
        <f>IF(91&gt;MAX('4℃飯'!$AA$5:$AA$302),"",HYPERLINK("#'4℃飯'!D"&amp;(MATCH(91,'4℃飯'!$AA$5:$AA$302,0)+4),INDEX('4℃飯'!$D$5:$D$302,MATCH(91,'4℃飯'!$AA$5:$AA$302,0))))</f>
        <v/>
      </c>
      <c r="D112" s="18" t="str">
        <f>IF(91&gt;MAX('4℃麵'!$AA$5:$AA$305),"",HYPERLINK("#'4℃麵'!D"&amp;(MATCH(91,'4℃麵'!$AA$5:$AA$305,0)+4),INDEX('4℃麵'!$D$5:$D$305,MATCH(91,'4℃麵'!$AA$5:$AA$305,0))))</f>
        <v/>
      </c>
      <c r="E112" s="18" t="str">
        <f>IF(91&gt;MAX('4℃其他'!$AA$5:$AA$302),"",HYPERLINK("#'4℃其他'!D"&amp;(MATCH(91,'4℃其他'!$AA$5:$AA$302,0)+4),INDEX('4℃其他'!$D$5:$D$302,MATCH(91,'4℃其他'!$AA$5:$AA$302,0))))</f>
        <v/>
      </c>
      <c r="F112" s="18" t="str">
        <f>IF(91&gt;MAX(冷凍品!$Z$5:$Z$304),"",HYPERLINK("#'冷凍品'!C"&amp;(MATCH(91,冷凍品!$Z$5:$Z$304,0)+4),INDEX(冷凍品!$C$5:$C$304,MATCH(91,冷凍品!$Z$5:$Z$304,0))))</f>
        <v/>
      </c>
    </row>
    <row r="113" spans="2:6">
      <c r="B113" s="18" t="str">
        <f>IF(92&gt;MAX('18℃'!$Z$5:$Z$304),"",HYPERLINK("#'18℃'!C"&amp;(MATCH(92,'18℃'!$Z$5:$Z$304,0)+4),INDEX('18℃'!$C$5:$C$304,MATCH(92,'18℃'!$Z$5:$Z$304,0))))</f>
        <v/>
      </c>
      <c r="C113" s="18" t="str">
        <f>IF(92&gt;MAX('4℃飯'!$AA$5:$AA$302),"",HYPERLINK("#'4℃飯'!D"&amp;(MATCH(92,'4℃飯'!$AA$5:$AA$302,0)+4),INDEX('4℃飯'!$D$5:$D$302,MATCH(92,'4℃飯'!$AA$5:$AA$302,0))))</f>
        <v/>
      </c>
      <c r="D113" s="18" t="str">
        <f>IF(92&gt;MAX('4℃麵'!$AA$5:$AA$305),"",HYPERLINK("#'4℃麵'!D"&amp;(MATCH(92,'4℃麵'!$AA$5:$AA$305,0)+4),INDEX('4℃麵'!$D$5:$D$305,MATCH(92,'4℃麵'!$AA$5:$AA$305,0))))</f>
        <v/>
      </c>
      <c r="E113" s="18" t="str">
        <f>IF(92&gt;MAX('4℃其他'!$AA$5:$AA$302),"",HYPERLINK("#'4℃其他'!D"&amp;(MATCH(92,'4℃其他'!$AA$5:$AA$302,0)+4),INDEX('4℃其他'!$D$5:$D$302,MATCH(92,'4℃其他'!$AA$5:$AA$302,0))))</f>
        <v/>
      </c>
      <c r="F113" s="18" t="str">
        <f>IF(92&gt;MAX(冷凍品!$Z$5:$Z$304),"",HYPERLINK("#'冷凍品'!C"&amp;(MATCH(92,冷凍品!$Z$5:$Z$304,0)+4),INDEX(冷凍品!$C$5:$C$304,MATCH(92,冷凍品!$Z$5:$Z$304,0))))</f>
        <v/>
      </c>
    </row>
    <row r="114" spans="2:6">
      <c r="B114" s="18" t="str">
        <f>IF(93&gt;MAX('18℃'!$Z$5:$Z$304),"",HYPERLINK("#'18℃'!C"&amp;(MATCH(93,'18℃'!$Z$5:$Z$304,0)+4),INDEX('18℃'!$C$5:$C$304,MATCH(93,'18℃'!$Z$5:$Z$304,0))))</f>
        <v/>
      </c>
      <c r="C114" s="18" t="str">
        <f>IF(93&gt;MAX('4℃飯'!$AA$5:$AA$302),"",HYPERLINK("#'4℃飯'!D"&amp;(MATCH(93,'4℃飯'!$AA$5:$AA$302,0)+4),INDEX('4℃飯'!$D$5:$D$302,MATCH(93,'4℃飯'!$AA$5:$AA$302,0))))</f>
        <v/>
      </c>
      <c r="D114" s="18" t="str">
        <f>IF(93&gt;MAX('4℃麵'!$AA$5:$AA$305),"",HYPERLINK("#'4℃麵'!D"&amp;(MATCH(93,'4℃麵'!$AA$5:$AA$305,0)+4),INDEX('4℃麵'!$D$5:$D$305,MATCH(93,'4℃麵'!$AA$5:$AA$305,0))))</f>
        <v/>
      </c>
      <c r="E114" s="18" t="str">
        <f>IF(93&gt;MAX('4℃其他'!$AA$5:$AA$302),"",HYPERLINK("#'4℃其他'!D"&amp;(MATCH(93,'4℃其他'!$AA$5:$AA$302,0)+4),INDEX('4℃其他'!$D$5:$D$302,MATCH(93,'4℃其他'!$AA$5:$AA$302,0))))</f>
        <v/>
      </c>
      <c r="F114" s="18" t="str">
        <f>IF(93&gt;MAX(冷凍品!$Z$5:$Z$304),"",HYPERLINK("#'冷凍品'!C"&amp;(MATCH(93,冷凍品!$Z$5:$Z$304,0)+4),INDEX(冷凍品!$C$5:$C$304,MATCH(93,冷凍品!$Z$5:$Z$304,0))))</f>
        <v/>
      </c>
    </row>
    <row r="115" spans="2:6">
      <c r="B115" s="18" t="str">
        <f>IF(94&gt;MAX('18℃'!$Z$5:$Z$304),"",HYPERLINK("#'18℃'!C"&amp;(MATCH(94,'18℃'!$Z$5:$Z$304,0)+4),INDEX('18℃'!$C$5:$C$304,MATCH(94,'18℃'!$Z$5:$Z$304,0))))</f>
        <v/>
      </c>
      <c r="C115" s="18" t="str">
        <f>IF(94&gt;MAX('4℃飯'!$AA$5:$AA$302),"",HYPERLINK("#'4℃飯'!D"&amp;(MATCH(94,'4℃飯'!$AA$5:$AA$302,0)+4),INDEX('4℃飯'!$D$5:$D$302,MATCH(94,'4℃飯'!$AA$5:$AA$302,0))))</f>
        <v/>
      </c>
      <c r="D115" s="18" t="str">
        <f>IF(94&gt;MAX('4℃麵'!$AA$5:$AA$305),"",HYPERLINK("#'4℃麵'!D"&amp;(MATCH(94,'4℃麵'!$AA$5:$AA$305,0)+4),INDEX('4℃麵'!$D$5:$D$305,MATCH(94,'4℃麵'!$AA$5:$AA$305,0))))</f>
        <v/>
      </c>
      <c r="E115" s="18" t="str">
        <f>IF(94&gt;MAX('4℃其他'!$AA$5:$AA$302),"",HYPERLINK("#'4℃其他'!D"&amp;(MATCH(94,'4℃其他'!$AA$5:$AA$302,0)+4),INDEX('4℃其他'!$D$5:$D$302,MATCH(94,'4℃其他'!$AA$5:$AA$302,0))))</f>
        <v/>
      </c>
      <c r="F115" s="18" t="str">
        <f>IF(94&gt;MAX(冷凍品!$Z$5:$Z$304),"",HYPERLINK("#'冷凍品'!C"&amp;(MATCH(94,冷凍品!$Z$5:$Z$304,0)+4),INDEX(冷凍品!$C$5:$C$304,MATCH(94,冷凍品!$Z$5:$Z$304,0))))</f>
        <v/>
      </c>
    </row>
    <row r="116" spans="2:6">
      <c r="B116" s="18" t="str">
        <f>IF(95&gt;MAX('18℃'!$Z$5:$Z$304),"",HYPERLINK("#'18℃'!C"&amp;(MATCH(95,'18℃'!$Z$5:$Z$304,0)+4),INDEX('18℃'!$C$5:$C$304,MATCH(95,'18℃'!$Z$5:$Z$304,0))))</f>
        <v/>
      </c>
      <c r="C116" s="18" t="str">
        <f>IF(95&gt;MAX('4℃飯'!$AA$5:$AA$302),"",HYPERLINK("#'4℃飯'!D"&amp;(MATCH(95,'4℃飯'!$AA$5:$AA$302,0)+4),INDEX('4℃飯'!$D$5:$D$302,MATCH(95,'4℃飯'!$AA$5:$AA$302,0))))</f>
        <v/>
      </c>
      <c r="D116" s="18" t="str">
        <f>IF(95&gt;MAX('4℃麵'!$AA$5:$AA$305),"",HYPERLINK("#'4℃麵'!D"&amp;(MATCH(95,'4℃麵'!$AA$5:$AA$305,0)+4),INDEX('4℃麵'!$D$5:$D$305,MATCH(95,'4℃麵'!$AA$5:$AA$305,0))))</f>
        <v/>
      </c>
      <c r="E116" s="18" t="str">
        <f>IF(95&gt;MAX('4℃其他'!$AA$5:$AA$302),"",HYPERLINK("#'4℃其他'!D"&amp;(MATCH(95,'4℃其他'!$AA$5:$AA$302,0)+4),INDEX('4℃其他'!$D$5:$D$302,MATCH(95,'4℃其他'!$AA$5:$AA$302,0))))</f>
        <v/>
      </c>
      <c r="F116" s="18" t="str">
        <f>IF(95&gt;MAX(冷凍品!$Z$5:$Z$304),"",HYPERLINK("#'冷凍品'!C"&amp;(MATCH(95,冷凍品!$Z$5:$Z$304,0)+4),INDEX(冷凍品!$C$5:$C$304,MATCH(95,冷凍品!$Z$5:$Z$304,0))))</f>
        <v/>
      </c>
    </row>
    <row r="117" spans="2:6">
      <c r="B117" s="18" t="str">
        <f>IF(96&gt;MAX('18℃'!$Z$5:$Z$304),"",HYPERLINK("#'18℃'!C"&amp;(MATCH(96,'18℃'!$Z$5:$Z$304,0)+4),INDEX('18℃'!$C$5:$C$304,MATCH(96,'18℃'!$Z$5:$Z$304,0))))</f>
        <v/>
      </c>
      <c r="C117" s="18" t="str">
        <f>IF(96&gt;MAX('4℃飯'!$AA$5:$AA$302),"",HYPERLINK("#'4℃飯'!D"&amp;(MATCH(96,'4℃飯'!$AA$5:$AA$302,0)+4),INDEX('4℃飯'!$D$5:$D$302,MATCH(96,'4℃飯'!$AA$5:$AA$302,0))))</f>
        <v/>
      </c>
      <c r="D117" s="18" t="str">
        <f>IF(96&gt;MAX('4℃麵'!$AA$5:$AA$305),"",HYPERLINK("#'4℃麵'!D"&amp;(MATCH(96,'4℃麵'!$AA$5:$AA$305,0)+4),INDEX('4℃麵'!$D$5:$D$305,MATCH(96,'4℃麵'!$AA$5:$AA$305,0))))</f>
        <v/>
      </c>
      <c r="E117" s="18" t="str">
        <f>IF(96&gt;MAX('4℃其他'!$AA$5:$AA$302),"",HYPERLINK("#'4℃其他'!D"&amp;(MATCH(96,'4℃其他'!$AA$5:$AA$302,0)+4),INDEX('4℃其他'!$D$5:$D$302,MATCH(96,'4℃其他'!$AA$5:$AA$302,0))))</f>
        <v/>
      </c>
      <c r="F117" s="18" t="str">
        <f>IF(96&gt;MAX(冷凍品!$Z$5:$Z$304),"",HYPERLINK("#'冷凍品'!C"&amp;(MATCH(96,冷凍品!$Z$5:$Z$304,0)+4),INDEX(冷凍品!$C$5:$C$304,MATCH(96,冷凍品!$Z$5:$Z$304,0))))</f>
        <v/>
      </c>
    </row>
    <row r="118" spans="2:6">
      <c r="B118" s="18" t="str">
        <f>IF(97&gt;MAX('18℃'!$Z$5:$Z$304),"",HYPERLINK("#'18℃'!C"&amp;(MATCH(97,'18℃'!$Z$5:$Z$304,0)+4),INDEX('18℃'!$C$5:$C$304,MATCH(97,'18℃'!$Z$5:$Z$304,0))))</f>
        <v/>
      </c>
      <c r="C118" s="18" t="str">
        <f>IF(97&gt;MAX('4℃飯'!$AA$5:$AA$302),"",HYPERLINK("#'4℃飯'!D"&amp;(MATCH(97,'4℃飯'!$AA$5:$AA$302,0)+4),INDEX('4℃飯'!$D$5:$D$302,MATCH(97,'4℃飯'!$AA$5:$AA$302,0))))</f>
        <v/>
      </c>
      <c r="D118" s="18" t="str">
        <f>IF(97&gt;MAX('4℃麵'!$AA$5:$AA$305),"",HYPERLINK("#'4℃麵'!D"&amp;(MATCH(97,'4℃麵'!$AA$5:$AA$305,0)+4),INDEX('4℃麵'!$D$5:$D$305,MATCH(97,'4℃麵'!$AA$5:$AA$305,0))))</f>
        <v/>
      </c>
      <c r="E118" s="18" t="str">
        <f>IF(97&gt;MAX('4℃其他'!$AA$5:$AA$302),"",HYPERLINK("#'4℃其他'!D"&amp;(MATCH(97,'4℃其他'!$AA$5:$AA$302,0)+4),INDEX('4℃其他'!$D$5:$D$302,MATCH(97,'4℃其他'!$AA$5:$AA$302,0))))</f>
        <v/>
      </c>
      <c r="F118" s="18" t="str">
        <f>IF(97&gt;MAX(冷凍品!$Z$5:$Z$304),"",HYPERLINK("#'冷凍品'!C"&amp;(MATCH(97,冷凍品!$Z$5:$Z$304,0)+4),INDEX(冷凍品!$C$5:$C$304,MATCH(97,冷凍品!$Z$5:$Z$304,0))))</f>
        <v/>
      </c>
    </row>
    <row r="119" spans="2:6">
      <c r="B119" s="18" t="str">
        <f>IF(98&gt;MAX('18℃'!$Z$5:$Z$304),"",HYPERLINK("#'18℃'!C"&amp;(MATCH(98,'18℃'!$Z$5:$Z$304,0)+4),INDEX('18℃'!$C$5:$C$304,MATCH(98,'18℃'!$Z$5:$Z$304,0))))</f>
        <v/>
      </c>
      <c r="C119" s="18" t="str">
        <f>IF(98&gt;MAX('4℃飯'!$AA$5:$AA$302),"",HYPERLINK("#'4℃飯'!D"&amp;(MATCH(98,'4℃飯'!$AA$5:$AA$302,0)+4),INDEX('4℃飯'!$D$5:$D$302,MATCH(98,'4℃飯'!$AA$5:$AA$302,0))))</f>
        <v/>
      </c>
      <c r="D119" s="18" t="str">
        <f>IF(98&gt;MAX('4℃麵'!$AA$5:$AA$305),"",HYPERLINK("#'4℃麵'!D"&amp;(MATCH(98,'4℃麵'!$AA$5:$AA$305,0)+4),INDEX('4℃麵'!$D$5:$D$305,MATCH(98,'4℃麵'!$AA$5:$AA$305,0))))</f>
        <v/>
      </c>
      <c r="E119" s="18" t="str">
        <f>IF(98&gt;MAX('4℃其他'!$AA$5:$AA$302),"",HYPERLINK("#'4℃其他'!D"&amp;(MATCH(98,'4℃其他'!$AA$5:$AA$302,0)+4),INDEX('4℃其他'!$D$5:$D$302,MATCH(98,'4℃其他'!$AA$5:$AA$302,0))))</f>
        <v/>
      </c>
      <c r="F119" s="18" t="str">
        <f>IF(98&gt;MAX(冷凍品!$Z$5:$Z$304),"",HYPERLINK("#'冷凍品'!C"&amp;(MATCH(98,冷凍品!$Z$5:$Z$304,0)+4),INDEX(冷凍品!$C$5:$C$304,MATCH(98,冷凍品!$Z$5:$Z$304,0))))</f>
        <v/>
      </c>
    </row>
    <row r="120" spans="2:6">
      <c r="B120" s="18" t="str">
        <f>IF(99&gt;MAX('18℃'!$Z$5:$Z$304),"",HYPERLINK("#'18℃'!C"&amp;(MATCH(99,'18℃'!$Z$5:$Z$304,0)+4),INDEX('18℃'!$C$5:$C$304,MATCH(99,'18℃'!$Z$5:$Z$304,0))))</f>
        <v/>
      </c>
      <c r="C120" s="18" t="str">
        <f>IF(99&gt;MAX('4℃飯'!$AA$5:$AA$302),"",HYPERLINK("#'4℃飯'!D"&amp;(MATCH(99,'4℃飯'!$AA$5:$AA$302,0)+4),INDEX('4℃飯'!$D$5:$D$302,MATCH(99,'4℃飯'!$AA$5:$AA$302,0))))</f>
        <v/>
      </c>
      <c r="D120" s="18" t="str">
        <f>IF(99&gt;MAX('4℃麵'!$AA$5:$AA$305),"",HYPERLINK("#'4℃麵'!D"&amp;(MATCH(99,'4℃麵'!$AA$5:$AA$305,0)+4),INDEX('4℃麵'!$D$5:$D$305,MATCH(99,'4℃麵'!$AA$5:$AA$305,0))))</f>
        <v/>
      </c>
      <c r="E120" s="18" t="str">
        <f>IF(99&gt;MAX('4℃其他'!$AA$5:$AA$302),"",HYPERLINK("#'4℃其他'!D"&amp;(MATCH(99,'4℃其他'!$AA$5:$AA$302,0)+4),INDEX('4℃其他'!$D$5:$D$302,MATCH(99,'4℃其他'!$AA$5:$AA$302,0))))</f>
        <v/>
      </c>
      <c r="F120" s="18" t="str">
        <f>IF(99&gt;MAX(冷凍品!$Z$5:$Z$304),"",HYPERLINK("#'冷凍品'!C"&amp;(MATCH(99,冷凍品!$Z$5:$Z$304,0)+4),INDEX(冷凍品!$C$5:$C$304,MATCH(99,冷凍品!$Z$5:$Z$304,0))))</f>
        <v/>
      </c>
    </row>
    <row r="121" spans="2:6">
      <c r="B121" s="18" t="str">
        <f>IF(100&gt;MAX('18℃'!$Z$5:$Z$304),"",HYPERLINK("#'18℃'!C"&amp;(MATCH(100,'18℃'!$Z$5:$Z$304,0)+4),INDEX('18℃'!$C$5:$C$304,MATCH(100,'18℃'!$Z$5:$Z$304,0))))</f>
        <v/>
      </c>
      <c r="C121" s="18" t="str">
        <f>IF(100&gt;MAX('4℃飯'!$AA$5:$AA$302),"",HYPERLINK("#'4℃飯'!D"&amp;(MATCH(100,'4℃飯'!$AA$5:$AA$302,0)+4),INDEX('4℃飯'!$D$5:$D$302,MATCH(100,'4℃飯'!$AA$5:$AA$302,0))))</f>
        <v/>
      </c>
      <c r="D121" s="18" t="str">
        <f>IF(100&gt;MAX('4℃麵'!$AA$5:$AA$305),"",HYPERLINK("#'4℃麵'!D"&amp;(MATCH(100,'4℃麵'!$AA$5:$AA$305,0)+4),INDEX('4℃麵'!$D$5:$D$305,MATCH(100,'4℃麵'!$AA$5:$AA$305,0))))</f>
        <v/>
      </c>
      <c r="E121" s="18" t="str">
        <f>IF(100&gt;MAX('4℃其他'!$AA$5:$AA$302),"",HYPERLINK("#'4℃其他'!D"&amp;(MATCH(100,'4℃其他'!$AA$5:$AA$302,0)+4),INDEX('4℃其他'!$D$5:$D$302,MATCH(100,'4℃其他'!$AA$5:$AA$302,0))))</f>
        <v/>
      </c>
      <c r="F121" s="18" t="str">
        <f>IF(100&gt;MAX(冷凍品!$Z$5:$Z$304),"",HYPERLINK("#'冷凍品'!C"&amp;(MATCH(100,冷凍品!$Z$5:$Z$304,0)+4),INDEX(冷凍品!$C$5:$C$304,MATCH(100,冷凍品!$Z$5:$Z$304,0))))</f>
        <v/>
      </c>
    </row>
    <row r="122" spans="2:6">
      <c r="B122" s="18" t="str">
        <f>IF(101&gt;MAX('18℃'!$Z$5:$Z$304),"",HYPERLINK("#'18℃'!C"&amp;(MATCH(101,'18℃'!$Z$5:$Z$304,0)+4),INDEX('18℃'!$C$5:$C$304,MATCH(101,'18℃'!$Z$5:$Z$304,0))))</f>
        <v/>
      </c>
      <c r="C122" s="18" t="str">
        <f>IF(101&gt;MAX('4℃飯'!$AA$5:$AA$302),"",HYPERLINK("#'4℃飯'!D"&amp;(MATCH(101,'4℃飯'!$AA$5:$AA$302,0)+4),INDEX('4℃飯'!$D$5:$D$302,MATCH(101,'4℃飯'!$AA$5:$AA$302,0))))</f>
        <v/>
      </c>
      <c r="D122" s="18" t="str">
        <f>IF(101&gt;MAX('4℃麵'!$AA$5:$AA$305),"",HYPERLINK("#'4℃麵'!D"&amp;(MATCH(101,'4℃麵'!$AA$5:$AA$305,0)+4),INDEX('4℃麵'!$D$5:$D$305,MATCH(101,'4℃麵'!$AA$5:$AA$305,0))))</f>
        <v/>
      </c>
      <c r="E122" s="18" t="str">
        <f>IF(101&gt;MAX('4℃其他'!$AA$5:$AA$302),"",HYPERLINK("#'4℃其他'!D"&amp;(MATCH(101,'4℃其他'!$AA$5:$AA$302,0)+4),INDEX('4℃其他'!$D$5:$D$302,MATCH(101,'4℃其他'!$AA$5:$AA$302,0))))</f>
        <v/>
      </c>
      <c r="F122" s="18" t="str">
        <f>IF(101&gt;MAX(冷凍品!$Z$5:$Z$304),"",HYPERLINK("#'冷凍品'!C"&amp;(MATCH(101,冷凍品!$Z$5:$Z$304,0)+4),INDEX(冷凍品!$C$5:$C$304,MATCH(101,冷凍品!$Z$5:$Z$304,0))))</f>
        <v/>
      </c>
    </row>
    <row r="123" spans="2:6">
      <c r="B123" s="18" t="str">
        <f>IF(102&gt;MAX('18℃'!$Z$5:$Z$304),"",HYPERLINK("#'18℃'!C"&amp;(MATCH(102,'18℃'!$Z$5:$Z$304,0)+4),INDEX('18℃'!$C$5:$C$304,MATCH(102,'18℃'!$Z$5:$Z$304,0))))</f>
        <v/>
      </c>
      <c r="C123" s="18" t="str">
        <f>IF(102&gt;MAX('4℃飯'!$AA$5:$AA$302),"",HYPERLINK("#'4℃飯'!D"&amp;(MATCH(102,'4℃飯'!$AA$5:$AA$302,0)+4),INDEX('4℃飯'!$D$5:$D$302,MATCH(102,'4℃飯'!$AA$5:$AA$302,0))))</f>
        <v/>
      </c>
      <c r="D123" s="18" t="str">
        <f>IF(102&gt;MAX('4℃麵'!$AA$5:$AA$305),"",HYPERLINK("#'4℃麵'!D"&amp;(MATCH(102,'4℃麵'!$AA$5:$AA$305,0)+4),INDEX('4℃麵'!$D$5:$D$305,MATCH(102,'4℃麵'!$AA$5:$AA$305,0))))</f>
        <v/>
      </c>
      <c r="E123" s="18" t="str">
        <f>IF(102&gt;MAX('4℃其他'!$AA$5:$AA$302),"",HYPERLINK("#'4℃其他'!D"&amp;(MATCH(102,'4℃其他'!$AA$5:$AA$302,0)+4),INDEX('4℃其他'!$D$5:$D$302,MATCH(102,'4℃其他'!$AA$5:$AA$302,0))))</f>
        <v/>
      </c>
      <c r="F123" s="18" t="str">
        <f>IF(102&gt;MAX(冷凍品!$Z$5:$Z$304),"",HYPERLINK("#'冷凍品'!C"&amp;(MATCH(102,冷凍品!$Z$5:$Z$304,0)+4),INDEX(冷凍品!$C$5:$C$304,MATCH(102,冷凍品!$Z$5:$Z$304,0))))</f>
        <v/>
      </c>
    </row>
    <row r="124" spans="2:6">
      <c r="B124" s="18" t="str">
        <f>IF(103&gt;MAX('18℃'!$Z$5:$Z$304),"",HYPERLINK("#'18℃'!C"&amp;(MATCH(103,'18℃'!$Z$5:$Z$304,0)+4),INDEX('18℃'!$C$5:$C$304,MATCH(103,'18℃'!$Z$5:$Z$304,0))))</f>
        <v/>
      </c>
      <c r="C124" s="18" t="str">
        <f>IF(103&gt;MAX('4℃飯'!$AA$5:$AA$302),"",HYPERLINK("#'4℃飯'!D"&amp;(MATCH(103,'4℃飯'!$AA$5:$AA$302,0)+4),INDEX('4℃飯'!$D$5:$D$302,MATCH(103,'4℃飯'!$AA$5:$AA$302,0))))</f>
        <v/>
      </c>
      <c r="D124" s="18" t="str">
        <f>IF(103&gt;MAX('4℃麵'!$AA$5:$AA$305),"",HYPERLINK("#'4℃麵'!D"&amp;(MATCH(103,'4℃麵'!$AA$5:$AA$305,0)+4),INDEX('4℃麵'!$D$5:$D$305,MATCH(103,'4℃麵'!$AA$5:$AA$305,0))))</f>
        <v/>
      </c>
      <c r="E124" s="18" t="str">
        <f>IF(103&gt;MAX('4℃其他'!$AA$5:$AA$302),"",HYPERLINK("#'4℃其他'!D"&amp;(MATCH(103,'4℃其他'!$AA$5:$AA$302,0)+4),INDEX('4℃其他'!$D$5:$D$302,MATCH(103,'4℃其他'!$AA$5:$AA$302,0))))</f>
        <v/>
      </c>
      <c r="F124" s="18" t="str">
        <f>IF(103&gt;MAX(冷凍品!$Z$5:$Z$304),"",HYPERLINK("#'冷凍品'!C"&amp;(MATCH(103,冷凍品!$Z$5:$Z$304,0)+4),INDEX(冷凍品!$C$5:$C$304,MATCH(103,冷凍品!$Z$5:$Z$304,0))))</f>
        <v/>
      </c>
    </row>
    <row r="125" spans="2:6">
      <c r="B125" s="18" t="str">
        <f>IF(104&gt;MAX('18℃'!$Z$5:$Z$304),"",HYPERLINK("#'18℃'!C"&amp;(MATCH(104,'18℃'!$Z$5:$Z$304,0)+4),INDEX('18℃'!$C$5:$C$304,MATCH(104,'18℃'!$Z$5:$Z$304,0))))</f>
        <v/>
      </c>
      <c r="C125" s="18" t="str">
        <f>IF(104&gt;MAX('4℃飯'!$AA$5:$AA$302),"",HYPERLINK("#'4℃飯'!D"&amp;(MATCH(104,'4℃飯'!$AA$5:$AA$302,0)+4),INDEX('4℃飯'!$D$5:$D$302,MATCH(104,'4℃飯'!$AA$5:$AA$302,0))))</f>
        <v/>
      </c>
      <c r="D125" s="18" t="str">
        <f>IF(104&gt;MAX('4℃麵'!$AA$5:$AA$305),"",HYPERLINK("#'4℃麵'!D"&amp;(MATCH(104,'4℃麵'!$AA$5:$AA$305,0)+4),INDEX('4℃麵'!$D$5:$D$305,MATCH(104,'4℃麵'!$AA$5:$AA$305,0))))</f>
        <v/>
      </c>
      <c r="E125" s="18" t="str">
        <f>IF(104&gt;MAX('4℃其他'!$AA$5:$AA$302),"",HYPERLINK("#'4℃其他'!D"&amp;(MATCH(104,'4℃其他'!$AA$5:$AA$302,0)+4),INDEX('4℃其他'!$D$5:$D$302,MATCH(104,'4℃其他'!$AA$5:$AA$302,0))))</f>
        <v/>
      </c>
      <c r="F125" s="18" t="str">
        <f>IF(104&gt;MAX(冷凍品!$Z$5:$Z$304),"",HYPERLINK("#'冷凍品'!C"&amp;(MATCH(104,冷凍品!$Z$5:$Z$304,0)+4),INDEX(冷凍品!$C$5:$C$304,MATCH(104,冷凍品!$Z$5:$Z$304,0))))</f>
        <v/>
      </c>
    </row>
    <row r="126" spans="2:6">
      <c r="B126" s="18" t="str">
        <f>IF(105&gt;MAX('18℃'!$Z$5:$Z$304),"",HYPERLINK("#'18℃'!C"&amp;(MATCH(105,'18℃'!$Z$5:$Z$304,0)+4),INDEX('18℃'!$C$5:$C$304,MATCH(105,'18℃'!$Z$5:$Z$304,0))))</f>
        <v/>
      </c>
      <c r="C126" s="18" t="str">
        <f>IF(105&gt;MAX('4℃飯'!$AA$5:$AA$302),"",HYPERLINK("#'4℃飯'!D"&amp;(MATCH(105,'4℃飯'!$AA$5:$AA$302,0)+4),INDEX('4℃飯'!$D$5:$D$302,MATCH(105,'4℃飯'!$AA$5:$AA$302,0))))</f>
        <v/>
      </c>
      <c r="D126" s="18" t="str">
        <f>IF(105&gt;MAX('4℃麵'!$AA$5:$AA$305),"",HYPERLINK("#'4℃麵'!D"&amp;(MATCH(105,'4℃麵'!$AA$5:$AA$305,0)+4),INDEX('4℃麵'!$D$5:$D$305,MATCH(105,'4℃麵'!$AA$5:$AA$305,0))))</f>
        <v/>
      </c>
      <c r="E126" s="18" t="str">
        <f>IF(105&gt;MAX('4℃其他'!$AA$5:$AA$302),"",HYPERLINK("#'4℃其他'!D"&amp;(MATCH(105,'4℃其他'!$AA$5:$AA$302,0)+4),INDEX('4℃其他'!$D$5:$D$302,MATCH(105,'4℃其他'!$AA$5:$AA$302,0))))</f>
        <v/>
      </c>
      <c r="F126" s="18" t="str">
        <f>IF(105&gt;MAX(冷凍品!$Z$5:$Z$304),"",HYPERLINK("#'冷凍品'!C"&amp;(MATCH(105,冷凍品!$Z$5:$Z$304,0)+4),INDEX(冷凍品!$C$5:$C$304,MATCH(105,冷凍品!$Z$5:$Z$304,0))))</f>
        <v/>
      </c>
    </row>
    <row r="127" spans="2:6">
      <c r="B127" s="18" t="str">
        <f>IF(106&gt;MAX('18℃'!$Z$5:$Z$304),"",HYPERLINK("#'18℃'!C"&amp;(MATCH(106,'18℃'!$Z$5:$Z$304,0)+4),INDEX('18℃'!$C$5:$C$304,MATCH(106,'18℃'!$Z$5:$Z$304,0))))</f>
        <v/>
      </c>
      <c r="C127" s="18" t="str">
        <f>IF(106&gt;MAX('4℃飯'!$AA$5:$AA$302),"",HYPERLINK("#'4℃飯'!D"&amp;(MATCH(106,'4℃飯'!$AA$5:$AA$302,0)+4),INDEX('4℃飯'!$D$5:$D$302,MATCH(106,'4℃飯'!$AA$5:$AA$302,0))))</f>
        <v/>
      </c>
      <c r="D127" s="18" t="str">
        <f>IF(106&gt;MAX('4℃麵'!$AA$5:$AA$305),"",HYPERLINK("#'4℃麵'!D"&amp;(MATCH(106,'4℃麵'!$AA$5:$AA$305,0)+4),INDEX('4℃麵'!$D$5:$D$305,MATCH(106,'4℃麵'!$AA$5:$AA$305,0))))</f>
        <v/>
      </c>
      <c r="E127" s="18" t="str">
        <f>IF(106&gt;MAX('4℃其他'!$AA$5:$AA$302),"",HYPERLINK("#'4℃其他'!D"&amp;(MATCH(106,'4℃其他'!$AA$5:$AA$302,0)+4),INDEX('4℃其他'!$D$5:$D$302,MATCH(106,'4℃其他'!$AA$5:$AA$302,0))))</f>
        <v/>
      </c>
      <c r="F127" s="18" t="str">
        <f>IF(106&gt;MAX(冷凍品!$Z$5:$Z$304),"",HYPERLINK("#'冷凍品'!C"&amp;(MATCH(106,冷凍品!$Z$5:$Z$304,0)+4),INDEX(冷凍品!$C$5:$C$304,MATCH(106,冷凍品!$Z$5:$Z$304,0))))</f>
        <v/>
      </c>
    </row>
    <row r="128" spans="2:6">
      <c r="B128" s="18" t="str">
        <f>IF(107&gt;MAX('18℃'!$Z$5:$Z$304),"",HYPERLINK("#'18℃'!C"&amp;(MATCH(107,'18℃'!$Z$5:$Z$304,0)+4),INDEX('18℃'!$C$5:$C$304,MATCH(107,'18℃'!$Z$5:$Z$304,0))))</f>
        <v/>
      </c>
      <c r="C128" s="18" t="str">
        <f>IF(107&gt;MAX('4℃飯'!$AA$5:$AA$302),"",HYPERLINK("#'4℃飯'!D"&amp;(MATCH(107,'4℃飯'!$AA$5:$AA$302,0)+4),INDEX('4℃飯'!$D$5:$D$302,MATCH(107,'4℃飯'!$AA$5:$AA$302,0))))</f>
        <v/>
      </c>
      <c r="D128" s="18" t="str">
        <f>IF(107&gt;MAX('4℃麵'!$AA$5:$AA$305),"",HYPERLINK("#'4℃麵'!D"&amp;(MATCH(107,'4℃麵'!$AA$5:$AA$305,0)+4),INDEX('4℃麵'!$D$5:$D$305,MATCH(107,'4℃麵'!$AA$5:$AA$305,0))))</f>
        <v/>
      </c>
      <c r="E128" s="18" t="str">
        <f>IF(107&gt;MAX('4℃其他'!$AA$5:$AA$302),"",HYPERLINK("#'4℃其他'!D"&amp;(MATCH(107,'4℃其他'!$AA$5:$AA$302,0)+4),INDEX('4℃其他'!$D$5:$D$302,MATCH(107,'4℃其他'!$AA$5:$AA$302,0))))</f>
        <v/>
      </c>
      <c r="F128" s="18" t="str">
        <f>IF(107&gt;MAX(冷凍品!$Z$5:$Z$304),"",HYPERLINK("#'冷凍品'!C"&amp;(MATCH(107,冷凍品!$Z$5:$Z$304,0)+4),INDEX(冷凍品!$C$5:$C$304,MATCH(107,冷凍品!$Z$5:$Z$304,0))))</f>
        <v/>
      </c>
    </row>
    <row r="129" spans="2:6">
      <c r="B129" s="18" t="str">
        <f>IF(108&gt;MAX('18℃'!$Z$5:$Z$304),"",HYPERLINK("#'18℃'!C"&amp;(MATCH(108,'18℃'!$Z$5:$Z$304,0)+4),INDEX('18℃'!$C$5:$C$304,MATCH(108,'18℃'!$Z$5:$Z$304,0))))</f>
        <v/>
      </c>
      <c r="C129" s="18" t="str">
        <f>IF(108&gt;MAX('4℃飯'!$AA$5:$AA$302),"",HYPERLINK("#'4℃飯'!D"&amp;(MATCH(108,'4℃飯'!$AA$5:$AA$302,0)+4),INDEX('4℃飯'!$D$5:$D$302,MATCH(108,'4℃飯'!$AA$5:$AA$302,0))))</f>
        <v/>
      </c>
      <c r="D129" s="18" t="str">
        <f>IF(108&gt;MAX('4℃麵'!$AA$5:$AA$305),"",HYPERLINK("#'4℃麵'!D"&amp;(MATCH(108,'4℃麵'!$AA$5:$AA$305,0)+4),INDEX('4℃麵'!$D$5:$D$305,MATCH(108,'4℃麵'!$AA$5:$AA$305,0))))</f>
        <v/>
      </c>
      <c r="E129" s="18" t="str">
        <f>IF(108&gt;MAX('4℃其他'!$AA$5:$AA$302),"",HYPERLINK("#'4℃其他'!D"&amp;(MATCH(108,'4℃其他'!$AA$5:$AA$302,0)+4),INDEX('4℃其他'!$D$5:$D$302,MATCH(108,'4℃其他'!$AA$5:$AA$302,0))))</f>
        <v/>
      </c>
      <c r="F129" s="18" t="str">
        <f>IF(108&gt;MAX(冷凍品!$Z$5:$Z$304),"",HYPERLINK("#'冷凍品'!C"&amp;(MATCH(108,冷凍品!$Z$5:$Z$304,0)+4),INDEX(冷凍品!$C$5:$C$304,MATCH(108,冷凍品!$Z$5:$Z$304,0))))</f>
        <v/>
      </c>
    </row>
    <row r="130" spans="2:6">
      <c r="B130" s="18" t="str">
        <f>IF(109&gt;MAX('18℃'!$Z$5:$Z$304),"",HYPERLINK("#'18℃'!C"&amp;(MATCH(109,'18℃'!$Z$5:$Z$304,0)+4),INDEX('18℃'!$C$5:$C$304,MATCH(109,'18℃'!$Z$5:$Z$304,0))))</f>
        <v/>
      </c>
      <c r="C130" s="18" t="str">
        <f>IF(109&gt;MAX('4℃飯'!$AA$5:$AA$302),"",HYPERLINK("#'4℃飯'!D"&amp;(MATCH(109,'4℃飯'!$AA$5:$AA$302,0)+4),INDEX('4℃飯'!$D$5:$D$302,MATCH(109,'4℃飯'!$AA$5:$AA$302,0))))</f>
        <v/>
      </c>
      <c r="D130" s="18" t="str">
        <f>IF(109&gt;MAX('4℃麵'!$AA$5:$AA$305),"",HYPERLINK("#'4℃麵'!D"&amp;(MATCH(109,'4℃麵'!$AA$5:$AA$305,0)+4),INDEX('4℃麵'!$D$5:$D$305,MATCH(109,'4℃麵'!$AA$5:$AA$305,0))))</f>
        <v/>
      </c>
      <c r="E130" s="18" t="str">
        <f>IF(109&gt;MAX('4℃其他'!$AA$5:$AA$302),"",HYPERLINK("#'4℃其他'!D"&amp;(MATCH(109,'4℃其他'!$AA$5:$AA$302,0)+4),INDEX('4℃其他'!$D$5:$D$302,MATCH(109,'4℃其他'!$AA$5:$AA$302,0))))</f>
        <v/>
      </c>
      <c r="F130" s="18" t="str">
        <f>IF(109&gt;MAX(冷凍品!$Z$5:$Z$304),"",HYPERLINK("#'冷凍品'!C"&amp;(MATCH(109,冷凍品!$Z$5:$Z$304,0)+4),INDEX(冷凍品!$C$5:$C$304,MATCH(109,冷凍品!$Z$5:$Z$304,0))))</f>
        <v/>
      </c>
    </row>
    <row r="131" spans="2:6">
      <c r="B131" s="18" t="str">
        <f>IF(110&gt;MAX('18℃'!$Z$5:$Z$304),"",HYPERLINK("#'18℃'!C"&amp;(MATCH(110,'18℃'!$Z$5:$Z$304,0)+4),INDEX('18℃'!$C$5:$C$304,MATCH(110,'18℃'!$Z$5:$Z$304,0))))</f>
        <v/>
      </c>
      <c r="C131" s="18" t="str">
        <f>IF(110&gt;MAX('4℃飯'!$AA$5:$AA$302),"",HYPERLINK("#'4℃飯'!D"&amp;(MATCH(110,'4℃飯'!$AA$5:$AA$302,0)+4),INDEX('4℃飯'!$D$5:$D$302,MATCH(110,'4℃飯'!$AA$5:$AA$302,0))))</f>
        <v/>
      </c>
      <c r="D131" s="18" t="str">
        <f>IF(110&gt;MAX('4℃麵'!$AA$5:$AA$305),"",HYPERLINK("#'4℃麵'!D"&amp;(MATCH(110,'4℃麵'!$AA$5:$AA$305,0)+4),INDEX('4℃麵'!$D$5:$D$305,MATCH(110,'4℃麵'!$AA$5:$AA$305,0))))</f>
        <v/>
      </c>
      <c r="E131" s="18" t="str">
        <f>IF(110&gt;MAX('4℃其他'!$AA$5:$AA$302),"",HYPERLINK("#'4℃其他'!D"&amp;(MATCH(110,'4℃其他'!$AA$5:$AA$302,0)+4),INDEX('4℃其他'!$D$5:$D$302,MATCH(110,'4℃其他'!$AA$5:$AA$302,0))))</f>
        <v/>
      </c>
      <c r="F131" s="18" t="str">
        <f>IF(110&gt;MAX(冷凍品!$Z$5:$Z$304),"",HYPERLINK("#'冷凍品'!C"&amp;(MATCH(110,冷凍品!$Z$5:$Z$304,0)+4),INDEX(冷凍品!$C$5:$C$304,MATCH(110,冷凍品!$Z$5:$Z$304,0))))</f>
        <v/>
      </c>
    </row>
    <row r="132" spans="2:6">
      <c r="B132" s="18" t="str">
        <f>IF(111&gt;MAX('18℃'!$Z$5:$Z$304),"",HYPERLINK("#'18℃'!C"&amp;(MATCH(111,'18℃'!$Z$5:$Z$304,0)+4),INDEX('18℃'!$C$5:$C$304,MATCH(111,'18℃'!$Z$5:$Z$304,0))))</f>
        <v/>
      </c>
      <c r="C132" s="18" t="str">
        <f>IF(111&gt;MAX('4℃飯'!$AA$5:$AA$302),"",HYPERLINK("#'4℃飯'!D"&amp;(MATCH(111,'4℃飯'!$AA$5:$AA$302,0)+4),INDEX('4℃飯'!$D$5:$D$302,MATCH(111,'4℃飯'!$AA$5:$AA$302,0))))</f>
        <v/>
      </c>
      <c r="D132" s="18" t="str">
        <f>IF(111&gt;MAX('4℃麵'!$AA$5:$AA$305),"",HYPERLINK("#'4℃麵'!D"&amp;(MATCH(111,'4℃麵'!$AA$5:$AA$305,0)+4),INDEX('4℃麵'!$D$5:$D$305,MATCH(111,'4℃麵'!$AA$5:$AA$305,0))))</f>
        <v/>
      </c>
      <c r="E132" s="18" t="str">
        <f>IF(111&gt;MAX('4℃其他'!$AA$5:$AA$302),"",HYPERLINK("#'4℃其他'!D"&amp;(MATCH(111,'4℃其他'!$AA$5:$AA$302,0)+4),INDEX('4℃其他'!$D$5:$D$302,MATCH(111,'4℃其他'!$AA$5:$AA$302,0))))</f>
        <v/>
      </c>
      <c r="F132" s="18" t="str">
        <f>IF(111&gt;MAX(冷凍品!$Z$5:$Z$304),"",HYPERLINK("#'冷凍品'!C"&amp;(MATCH(111,冷凍品!$Z$5:$Z$304,0)+4),INDEX(冷凍品!$C$5:$C$304,MATCH(111,冷凍品!$Z$5:$Z$304,0))))</f>
        <v/>
      </c>
    </row>
    <row r="133" spans="2:6">
      <c r="B133" s="18" t="str">
        <f>IF(112&gt;MAX('18℃'!$Z$5:$Z$304),"",HYPERLINK("#'18℃'!C"&amp;(MATCH(112,'18℃'!$Z$5:$Z$304,0)+4),INDEX('18℃'!$C$5:$C$304,MATCH(112,'18℃'!$Z$5:$Z$304,0))))</f>
        <v/>
      </c>
      <c r="C133" s="18" t="str">
        <f>IF(112&gt;MAX('4℃飯'!$AA$5:$AA$302),"",HYPERLINK("#'4℃飯'!D"&amp;(MATCH(112,'4℃飯'!$AA$5:$AA$302,0)+4),INDEX('4℃飯'!$D$5:$D$302,MATCH(112,'4℃飯'!$AA$5:$AA$302,0))))</f>
        <v/>
      </c>
      <c r="D133" s="18" t="str">
        <f>IF(112&gt;MAX('4℃麵'!$AA$5:$AA$305),"",HYPERLINK("#'4℃麵'!D"&amp;(MATCH(112,'4℃麵'!$AA$5:$AA$305,0)+4),INDEX('4℃麵'!$D$5:$D$305,MATCH(112,'4℃麵'!$AA$5:$AA$305,0))))</f>
        <v/>
      </c>
      <c r="E133" s="18" t="str">
        <f>IF(112&gt;MAX('4℃其他'!$AA$5:$AA$302),"",HYPERLINK("#'4℃其他'!D"&amp;(MATCH(112,'4℃其他'!$AA$5:$AA$302,0)+4),INDEX('4℃其他'!$D$5:$D$302,MATCH(112,'4℃其他'!$AA$5:$AA$302,0))))</f>
        <v/>
      </c>
      <c r="F133" s="18" t="str">
        <f>IF(112&gt;MAX(冷凍品!$Z$5:$Z$304),"",HYPERLINK("#'冷凍品'!C"&amp;(MATCH(112,冷凍品!$Z$5:$Z$304,0)+4),INDEX(冷凍品!$C$5:$C$304,MATCH(112,冷凍品!$Z$5:$Z$304,0))))</f>
        <v/>
      </c>
    </row>
    <row r="134" spans="2:6">
      <c r="B134" s="18" t="str">
        <f>IF(113&gt;MAX('18℃'!$Z$5:$Z$304),"",HYPERLINK("#'18℃'!C"&amp;(MATCH(113,'18℃'!$Z$5:$Z$304,0)+4),INDEX('18℃'!$C$5:$C$304,MATCH(113,'18℃'!$Z$5:$Z$304,0))))</f>
        <v/>
      </c>
      <c r="C134" s="18" t="str">
        <f>IF(113&gt;MAX('4℃飯'!$AA$5:$AA$302),"",HYPERLINK("#'4℃飯'!D"&amp;(MATCH(113,'4℃飯'!$AA$5:$AA$302,0)+4),INDEX('4℃飯'!$D$5:$D$302,MATCH(113,'4℃飯'!$AA$5:$AA$302,0))))</f>
        <v/>
      </c>
      <c r="D134" s="18" t="str">
        <f>IF(113&gt;MAX('4℃麵'!$AA$5:$AA$305),"",HYPERLINK("#'4℃麵'!D"&amp;(MATCH(113,'4℃麵'!$AA$5:$AA$305,0)+4),INDEX('4℃麵'!$D$5:$D$305,MATCH(113,'4℃麵'!$AA$5:$AA$305,0))))</f>
        <v/>
      </c>
      <c r="E134" s="18" t="str">
        <f>IF(113&gt;MAX('4℃其他'!$AA$5:$AA$302),"",HYPERLINK("#'4℃其他'!D"&amp;(MATCH(113,'4℃其他'!$AA$5:$AA$302,0)+4),INDEX('4℃其他'!$D$5:$D$302,MATCH(113,'4℃其他'!$AA$5:$AA$302,0))))</f>
        <v/>
      </c>
      <c r="F134" s="18" t="str">
        <f>IF(113&gt;MAX(冷凍品!$Z$5:$Z$304),"",HYPERLINK("#'冷凍品'!C"&amp;(MATCH(113,冷凍品!$Z$5:$Z$304,0)+4),INDEX(冷凍品!$C$5:$C$304,MATCH(113,冷凍品!$Z$5:$Z$304,0))))</f>
        <v/>
      </c>
    </row>
    <row r="135" spans="2:6">
      <c r="B135" s="18" t="str">
        <f>IF(114&gt;MAX('18℃'!$Z$5:$Z$304),"",HYPERLINK("#'18℃'!C"&amp;(MATCH(114,'18℃'!$Z$5:$Z$304,0)+4),INDEX('18℃'!$C$5:$C$304,MATCH(114,'18℃'!$Z$5:$Z$304,0))))</f>
        <v/>
      </c>
      <c r="C135" s="18" t="str">
        <f>IF(114&gt;MAX('4℃飯'!$AA$5:$AA$302),"",HYPERLINK("#'4℃飯'!D"&amp;(MATCH(114,'4℃飯'!$AA$5:$AA$302,0)+4),INDEX('4℃飯'!$D$5:$D$302,MATCH(114,'4℃飯'!$AA$5:$AA$302,0))))</f>
        <v/>
      </c>
      <c r="D135" s="18" t="str">
        <f>IF(114&gt;MAX('4℃麵'!$AA$5:$AA$305),"",HYPERLINK("#'4℃麵'!D"&amp;(MATCH(114,'4℃麵'!$AA$5:$AA$305,0)+4),INDEX('4℃麵'!$D$5:$D$305,MATCH(114,'4℃麵'!$AA$5:$AA$305,0))))</f>
        <v/>
      </c>
      <c r="E135" s="18" t="str">
        <f>IF(114&gt;MAX('4℃其他'!$AA$5:$AA$302),"",HYPERLINK("#'4℃其他'!D"&amp;(MATCH(114,'4℃其他'!$AA$5:$AA$302,0)+4),INDEX('4℃其他'!$D$5:$D$302,MATCH(114,'4℃其他'!$AA$5:$AA$302,0))))</f>
        <v/>
      </c>
      <c r="F135" s="18" t="str">
        <f>IF(114&gt;MAX(冷凍品!$Z$5:$Z$304),"",HYPERLINK("#'冷凍品'!C"&amp;(MATCH(114,冷凍品!$Z$5:$Z$304,0)+4),INDEX(冷凍品!$C$5:$C$304,MATCH(114,冷凍品!$Z$5:$Z$304,0))))</f>
        <v/>
      </c>
    </row>
    <row r="136" spans="2:6">
      <c r="B136" s="18" t="str">
        <f>IF(115&gt;MAX('18℃'!$Z$5:$Z$304),"",HYPERLINK("#'18℃'!C"&amp;(MATCH(115,'18℃'!$Z$5:$Z$304,0)+4),INDEX('18℃'!$C$5:$C$304,MATCH(115,'18℃'!$Z$5:$Z$304,0))))</f>
        <v/>
      </c>
      <c r="C136" s="18" t="str">
        <f>IF(115&gt;MAX('4℃飯'!$AA$5:$AA$302),"",HYPERLINK("#'4℃飯'!D"&amp;(MATCH(115,'4℃飯'!$AA$5:$AA$302,0)+4),INDEX('4℃飯'!$D$5:$D$302,MATCH(115,'4℃飯'!$AA$5:$AA$302,0))))</f>
        <v/>
      </c>
      <c r="D136" s="18" t="str">
        <f>IF(115&gt;MAX('4℃麵'!$AA$5:$AA$305),"",HYPERLINK("#'4℃麵'!D"&amp;(MATCH(115,'4℃麵'!$AA$5:$AA$305,0)+4),INDEX('4℃麵'!$D$5:$D$305,MATCH(115,'4℃麵'!$AA$5:$AA$305,0))))</f>
        <v/>
      </c>
      <c r="E136" s="18" t="str">
        <f>IF(115&gt;MAX('4℃其他'!$AA$5:$AA$302),"",HYPERLINK("#'4℃其他'!D"&amp;(MATCH(115,'4℃其他'!$AA$5:$AA$302,0)+4),INDEX('4℃其他'!$D$5:$D$302,MATCH(115,'4℃其他'!$AA$5:$AA$302,0))))</f>
        <v/>
      </c>
      <c r="F136" s="18" t="str">
        <f>IF(115&gt;MAX(冷凍品!$Z$5:$Z$304),"",HYPERLINK("#'冷凍品'!C"&amp;(MATCH(115,冷凍品!$Z$5:$Z$304,0)+4),INDEX(冷凍品!$C$5:$C$304,MATCH(115,冷凍品!$Z$5:$Z$304,0))))</f>
        <v/>
      </c>
    </row>
    <row r="137" spans="2:6">
      <c r="B137" s="18" t="str">
        <f>IF(116&gt;MAX('18℃'!$Z$5:$Z$304),"",HYPERLINK("#'18℃'!C"&amp;(MATCH(116,'18℃'!$Z$5:$Z$304,0)+4),INDEX('18℃'!$C$5:$C$304,MATCH(116,'18℃'!$Z$5:$Z$304,0))))</f>
        <v/>
      </c>
      <c r="C137" s="18" t="str">
        <f>IF(116&gt;MAX('4℃飯'!$AA$5:$AA$302),"",HYPERLINK("#'4℃飯'!D"&amp;(MATCH(116,'4℃飯'!$AA$5:$AA$302,0)+4),INDEX('4℃飯'!$D$5:$D$302,MATCH(116,'4℃飯'!$AA$5:$AA$302,0))))</f>
        <v/>
      </c>
      <c r="D137" s="18" t="str">
        <f>IF(116&gt;MAX('4℃麵'!$AA$5:$AA$305),"",HYPERLINK("#'4℃麵'!D"&amp;(MATCH(116,'4℃麵'!$AA$5:$AA$305,0)+4),INDEX('4℃麵'!$D$5:$D$305,MATCH(116,'4℃麵'!$AA$5:$AA$305,0))))</f>
        <v/>
      </c>
      <c r="E137" s="18" t="str">
        <f>IF(116&gt;MAX('4℃其他'!$AA$5:$AA$302),"",HYPERLINK("#'4℃其他'!D"&amp;(MATCH(116,'4℃其他'!$AA$5:$AA$302,0)+4),INDEX('4℃其他'!$D$5:$D$302,MATCH(116,'4℃其他'!$AA$5:$AA$302,0))))</f>
        <v/>
      </c>
      <c r="F137" s="18" t="str">
        <f>IF(116&gt;MAX(冷凍品!$Z$5:$Z$304),"",HYPERLINK("#'冷凍品'!C"&amp;(MATCH(116,冷凍品!$Z$5:$Z$304,0)+4),INDEX(冷凍品!$C$5:$C$304,MATCH(116,冷凍品!$Z$5:$Z$304,0))))</f>
        <v/>
      </c>
    </row>
    <row r="138" spans="2:6">
      <c r="B138" s="18" t="str">
        <f>IF(117&gt;MAX('18℃'!$Z$5:$Z$304),"",HYPERLINK("#'18℃'!C"&amp;(MATCH(117,'18℃'!$Z$5:$Z$304,0)+4),INDEX('18℃'!$C$5:$C$304,MATCH(117,'18℃'!$Z$5:$Z$304,0))))</f>
        <v/>
      </c>
      <c r="C138" s="18" t="str">
        <f>IF(117&gt;MAX('4℃飯'!$AA$5:$AA$302),"",HYPERLINK("#'4℃飯'!D"&amp;(MATCH(117,'4℃飯'!$AA$5:$AA$302,0)+4),INDEX('4℃飯'!$D$5:$D$302,MATCH(117,'4℃飯'!$AA$5:$AA$302,0))))</f>
        <v/>
      </c>
      <c r="D138" s="18" t="str">
        <f>IF(117&gt;MAX('4℃麵'!$AA$5:$AA$305),"",HYPERLINK("#'4℃麵'!D"&amp;(MATCH(117,'4℃麵'!$AA$5:$AA$305,0)+4),INDEX('4℃麵'!$D$5:$D$305,MATCH(117,'4℃麵'!$AA$5:$AA$305,0))))</f>
        <v/>
      </c>
      <c r="E138" s="18" t="str">
        <f>IF(117&gt;MAX('4℃其他'!$AA$5:$AA$302),"",HYPERLINK("#'4℃其他'!D"&amp;(MATCH(117,'4℃其他'!$AA$5:$AA$302,0)+4),INDEX('4℃其他'!$D$5:$D$302,MATCH(117,'4℃其他'!$AA$5:$AA$302,0))))</f>
        <v/>
      </c>
      <c r="F138" s="18" t="str">
        <f>IF(117&gt;MAX(冷凍品!$Z$5:$Z$304),"",HYPERLINK("#'冷凍品'!C"&amp;(MATCH(117,冷凍品!$Z$5:$Z$304,0)+4),INDEX(冷凍品!$C$5:$C$304,MATCH(117,冷凍品!$Z$5:$Z$304,0))))</f>
        <v/>
      </c>
    </row>
    <row r="139" spans="2:6">
      <c r="B139" s="18" t="str">
        <f>IF(118&gt;MAX('18℃'!$Z$5:$Z$304),"",HYPERLINK("#'18℃'!C"&amp;(MATCH(118,'18℃'!$Z$5:$Z$304,0)+4),INDEX('18℃'!$C$5:$C$304,MATCH(118,'18℃'!$Z$5:$Z$304,0))))</f>
        <v/>
      </c>
      <c r="C139" s="18" t="str">
        <f>IF(118&gt;MAX('4℃飯'!$AA$5:$AA$302),"",HYPERLINK("#'4℃飯'!D"&amp;(MATCH(118,'4℃飯'!$AA$5:$AA$302,0)+4),INDEX('4℃飯'!$D$5:$D$302,MATCH(118,'4℃飯'!$AA$5:$AA$302,0))))</f>
        <v/>
      </c>
      <c r="D139" s="18" t="str">
        <f>IF(118&gt;MAX('4℃麵'!$AA$5:$AA$305),"",HYPERLINK("#'4℃麵'!D"&amp;(MATCH(118,'4℃麵'!$AA$5:$AA$305,0)+4),INDEX('4℃麵'!$D$5:$D$305,MATCH(118,'4℃麵'!$AA$5:$AA$305,0))))</f>
        <v/>
      </c>
      <c r="E139" s="18" t="str">
        <f>IF(118&gt;MAX('4℃其他'!$AA$5:$AA$302),"",HYPERLINK("#'4℃其他'!D"&amp;(MATCH(118,'4℃其他'!$AA$5:$AA$302,0)+4),INDEX('4℃其他'!$D$5:$D$302,MATCH(118,'4℃其他'!$AA$5:$AA$302,0))))</f>
        <v/>
      </c>
      <c r="F139" s="18" t="str">
        <f>IF(118&gt;MAX(冷凍品!$Z$5:$Z$304),"",HYPERLINK("#'冷凍品'!C"&amp;(MATCH(118,冷凍品!$Z$5:$Z$304,0)+4),INDEX(冷凍品!$C$5:$C$304,MATCH(118,冷凍品!$Z$5:$Z$304,0))))</f>
        <v/>
      </c>
    </row>
    <row r="140" spans="2:6">
      <c r="B140" s="18" t="str">
        <f>IF(119&gt;MAX('18℃'!$Z$5:$Z$304),"",HYPERLINK("#'18℃'!C"&amp;(MATCH(119,'18℃'!$Z$5:$Z$304,0)+4),INDEX('18℃'!$C$5:$C$304,MATCH(119,'18℃'!$Z$5:$Z$304,0))))</f>
        <v/>
      </c>
      <c r="C140" s="18" t="str">
        <f>IF(119&gt;MAX('4℃飯'!$AA$5:$AA$302),"",HYPERLINK("#'4℃飯'!D"&amp;(MATCH(119,'4℃飯'!$AA$5:$AA$302,0)+4),INDEX('4℃飯'!$D$5:$D$302,MATCH(119,'4℃飯'!$AA$5:$AA$302,0))))</f>
        <v/>
      </c>
      <c r="D140" s="18" t="str">
        <f>IF(119&gt;MAX('4℃麵'!$AA$5:$AA$305),"",HYPERLINK("#'4℃麵'!D"&amp;(MATCH(119,'4℃麵'!$AA$5:$AA$305,0)+4),INDEX('4℃麵'!$D$5:$D$305,MATCH(119,'4℃麵'!$AA$5:$AA$305,0))))</f>
        <v/>
      </c>
      <c r="E140" s="18" t="str">
        <f>IF(119&gt;MAX('4℃其他'!$AA$5:$AA$302),"",HYPERLINK("#'4℃其他'!D"&amp;(MATCH(119,'4℃其他'!$AA$5:$AA$302,0)+4),INDEX('4℃其他'!$D$5:$D$302,MATCH(119,'4℃其他'!$AA$5:$AA$302,0))))</f>
        <v/>
      </c>
      <c r="F140" s="18" t="str">
        <f>IF(119&gt;MAX(冷凍品!$Z$5:$Z$304),"",HYPERLINK("#'冷凍品'!C"&amp;(MATCH(119,冷凍品!$Z$5:$Z$304,0)+4),INDEX(冷凍品!$C$5:$C$304,MATCH(119,冷凍品!$Z$5:$Z$304,0))))</f>
        <v/>
      </c>
    </row>
    <row r="141" spans="2:6">
      <c r="B141" s="18" t="str">
        <f>IF(120&gt;MAX('18℃'!$Z$5:$Z$304),"",HYPERLINK("#'18℃'!C"&amp;(MATCH(120,'18℃'!$Z$5:$Z$304,0)+4),INDEX('18℃'!$C$5:$C$304,MATCH(120,'18℃'!$Z$5:$Z$304,0))))</f>
        <v/>
      </c>
      <c r="C141" s="18" t="str">
        <f>IF(120&gt;MAX('4℃飯'!$AA$5:$AA$302),"",HYPERLINK("#'4℃飯'!D"&amp;(MATCH(120,'4℃飯'!$AA$5:$AA$302,0)+4),INDEX('4℃飯'!$D$5:$D$302,MATCH(120,'4℃飯'!$AA$5:$AA$302,0))))</f>
        <v/>
      </c>
      <c r="D141" s="18" t="str">
        <f>IF(120&gt;MAX('4℃麵'!$AA$5:$AA$305),"",HYPERLINK("#'4℃麵'!D"&amp;(MATCH(120,'4℃麵'!$AA$5:$AA$305,0)+4),INDEX('4℃麵'!$D$5:$D$305,MATCH(120,'4℃麵'!$AA$5:$AA$305,0))))</f>
        <v/>
      </c>
      <c r="E141" s="18" t="str">
        <f>IF(120&gt;MAX('4℃其他'!$AA$5:$AA$302),"",HYPERLINK("#'4℃其他'!D"&amp;(MATCH(120,'4℃其他'!$AA$5:$AA$302,0)+4),INDEX('4℃其他'!$D$5:$D$302,MATCH(120,'4℃其他'!$AA$5:$AA$302,0))))</f>
        <v/>
      </c>
      <c r="F141" s="18" t="str">
        <f>IF(120&gt;MAX(冷凍品!$Z$5:$Z$304),"",HYPERLINK("#'冷凍品'!C"&amp;(MATCH(120,冷凍品!$Z$5:$Z$304,0)+4),INDEX(冷凍品!$C$5:$C$304,MATCH(120,冷凍品!$Z$5:$Z$304,0))))</f>
        <v/>
      </c>
    </row>
    <row r="142" spans="2:6">
      <c r="B142" s="18" t="str">
        <f>IF(121&gt;MAX('18℃'!$Z$5:$Z$304),"",HYPERLINK("#'18℃'!C"&amp;(MATCH(121,'18℃'!$Z$5:$Z$304,0)+4),INDEX('18℃'!$C$5:$C$304,MATCH(121,'18℃'!$Z$5:$Z$304,0))))</f>
        <v/>
      </c>
      <c r="C142" s="18" t="str">
        <f>IF(121&gt;MAX('4℃飯'!$AA$5:$AA$302),"",HYPERLINK("#'4℃飯'!D"&amp;(MATCH(121,'4℃飯'!$AA$5:$AA$302,0)+4),INDEX('4℃飯'!$D$5:$D$302,MATCH(121,'4℃飯'!$AA$5:$AA$302,0))))</f>
        <v/>
      </c>
      <c r="D142" s="18" t="str">
        <f>IF(121&gt;MAX('4℃麵'!$AA$5:$AA$305),"",HYPERLINK("#'4℃麵'!D"&amp;(MATCH(121,'4℃麵'!$AA$5:$AA$305,0)+4),INDEX('4℃麵'!$D$5:$D$305,MATCH(121,'4℃麵'!$AA$5:$AA$305,0))))</f>
        <v/>
      </c>
      <c r="E142" s="18" t="str">
        <f>IF(121&gt;MAX('4℃其他'!$AA$5:$AA$302),"",HYPERLINK("#'4℃其他'!D"&amp;(MATCH(121,'4℃其他'!$AA$5:$AA$302,0)+4),INDEX('4℃其他'!$D$5:$D$302,MATCH(121,'4℃其他'!$AA$5:$AA$302,0))))</f>
        <v/>
      </c>
      <c r="F142" s="18" t="str">
        <f>IF(121&gt;MAX(冷凍品!$Z$5:$Z$304),"",HYPERLINK("#'冷凍品'!C"&amp;(MATCH(121,冷凍品!$Z$5:$Z$304,0)+4),INDEX(冷凍品!$C$5:$C$304,MATCH(121,冷凍品!$Z$5:$Z$304,0))))</f>
        <v/>
      </c>
    </row>
    <row r="143" spans="2:6">
      <c r="B143" s="18" t="str">
        <f>IF(122&gt;MAX('18℃'!$Z$5:$Z$304),"",HYPERLINK("#'18℃'!C"&amp;(MATCH(122,'18℃'!$Z$5:$Z$304,0)+4),INDEX('18℃'!$C$5:$C$304,MATCH(122,'18℃'!$Z$5:$Z$304,0))))</f>
        <v/>
      </c>
      <c r="C143" s="18" t="str">
        <f>IF(122&gt;MAX('4℃飯'!$AA$5:$AA$302),"",HYPERLINK("#'4℃飯'!D"&amp;(MATCH(122,'4℃飯'!$AA$5:$AA$302,0)+4),INDEX('4℃飯'!$D$5:$D$302,MATCH(122,'4℃飯'!$AA$5:$AA$302,0))))</f>
        <v/>
      </c>
      <c r="D143" s="18" t="str">
        <f>IF(122&gt;MAX('4℃麵'!$AA$5:$AA$305),"",HYPERLINK("#'4℃麵'!D"&amp;(MATCH(122,'4℃麵'!$AA$5:$AA$305,0)+4),INDEX('4℃麵'!$D$5:$D$305,MATCH(122,'4℃麵'!$AA$5:$AA$305,0))))</f>
        <v/>
      </c>
      <c r="E143" s="18" t="str">
        <f>IF(122&gt;MAX('4℃其他'!$AA$5:$AA$302),"",HYPERLINK("#'4℃其他'!D"&amp;(MATCH(122,'4℃其他'!$AA$5:$AA$302,0)+4),INDEX('4℃其他'!$D$5:$D$302,MATCH(122,'4℃其他'!$AA$5:$AA$302,0))))</f>
        <v/>
      </c>
      <c r="F143" s="18" t="str">
        <f>IF(122&gt;MAX(冷凍品!$Z$5:$Z$304),"",HYPERLINK("#'冷凍品'!C"&amp;(MATCH(122,冷凍品!$Z$5:$Z$304,0)+4),INDEX(冷凍品!$C$5:$C$304,MATCH(122,冷凍品!$Z$5:$Z$304,0))))</f>
        <v/>
      </c>
    </row>
    <row r="144" spans="2:6">
      <c r="B144" s="18" t="str">
        <f>IF(123&gt;MAX('18℃'!$Z$5:$Z$304),"",HYPERLINK("#'18℃'!C"&amp;(MATCH(123,'18℃'!$Z$5:$Z$304,0)+4),INDEX('18℃'!$C$5:$C$304,MATCH(123,'18℃'!$Z$5:$Z$304,0))))</f>
        <v/>
      </c>
      <c r="C144" s="18" t="str">
        <f>IF(123&gt;MAX('4℃飯'!$AA$5:$AA$302),"",HYPERLINK("#'4℃飯'!D"&amp;(MATCH(123,'4℃飯'!$AA$5:$AA$302,0)+4),INDEX('4℃飯'!$D$5:$D$302,MATCH(123,'4℃飯'!$AA$5:$AA$302,0))))</f>
        <v/>
      </c>
      <c r="D144" s="18" t="str">
        <f>IF(123&gt;MAX('4℃麵'!$AA$5:$AA$305),"",HYPERLINK("#'4℃麵'!D"&amp;(MATCH(123,'4℃麵'!$AA$5:$AA$305,0)+4),INDEX('4℃麵'!$D$5:$D$305,MATCH(123,'4℃麵'!$AA$5:$AA$305,0))))</f>
        <v/>
      </c>
      <c r="E144" s="18" t="str">
        <f>IF(123&gt;MAX('4℃其他'!$AA$5:$AA$302),"",HYPERLINK("#'4℃其他'!D"&amp;(MATCH(123,'4℃其他'!$AA$5:$AA$302,0)+4),INDEX('4℃其他'!$D$5:$D$302,MATCH(123,'4℃其他'!$AA$5:$AA$302,0))))</f>
        <v/>
      </c>
      <c r="F144" s="18" t="str">
        <f>IF(123&gt;MAX(冷凍品!$Z$5:$Z$304),"",HYPERLINK("#'冷凍品'!C"&amp;(MATCH(123,冷凍品!$Z$5:$Z$304,0)+4),INDEX(冷凍品!$C$5:$C$304,MATCH(123,冷凍品!$Z$5:$Z$304,0))))</f>
        <v/>
      </c>
    </row>
    <row r="145" spans="2:6">
      <c r="B145" s="18" t="str">
        <f>IF(124&gt;MAX('18℃'!$Z$5:$Z$304),"",HYPERLINK("#'18℃'!C"&amp;(MATCH(124,'18℃'!$Z$5:$Z$304,0)+4),INDEX('18℃'!$C$5:$C$304,MATCH(124,'18℃'!$Z$5:$Z$304,0))))</f>
        <v/>
      </c>
      <c r="C145" s="18" t="str">
        <f>IF(124&gt;MAX('4℃飯'!$AA$5:$AA$302),"",HYPERLINK("#'4℃飯'!D"&amp;(MATCH(124,'4℃飯'!$AA$5:$AA$302,0)+4),INDEX('4℃飯'!$D$5:$D$302,MATCH(124,'4℃飯'!$AA$5:$AA$302,0))))</f>
        <v/>
      </c>
      <c r="D145" s="18" t="str">
        <f>IF(124&gt;MAX('4℃麵'!$AA$5:$AA$305),"",HYPERLINK("#'4℃麵'!D"&amp;(MATCH(124,'4℃麵'!$AA$5:$AA$305,0)+4),INDEX('4℃麵'!$D$5:$D$305,MATCH(124,'4℃麵'!$AA$5:$AA$305,0))))</f>
        <v/>
      </c>
      <c r="E145" s="18" t="str">
        <f>IF(124&gt;MAX('4℃其他'!$AA$5:$AA$302),"",HYPERLINK("#'4℃其他'!D"&amp;(MATCH(124,'4℃其他'!$AA$5:$AA$302,0)+4),INDEX('4℃其他'!$D$5:$D$302,MATCH(124,'4℃其他'!$AA$5:$AA$302,0))))</f>
        <v/>
      </c>
      <c r="F145" s="18" t="str">
        <f>IF(124&gt;MAX(冷凍品!$Z$5:$Z$304),"",HYPERLINK("#'冷凍品'!C"&amp;(MATCH(124,冷凍品!$Z$5:$Z$304,0)+4),INDEX(冷凍品!$C$5:$C$304,MATCH(124,冷凍品!$Z$5:$Z$304,0))))</f>
        <v/>
      </c>
    </row>
    <row r="146" spans="2:6">
      <c r="B146" s="18" t="str">
        <f>IF(125&gt;MAX('18℃'!$Z$5:$Z$304),"",HYPERLINK("#'18℃'!C"&amp;(MATCH(125,'18℃'!$Z$5:$Z$304,0)+4),INDEX('18℃'!$C$5:$C$304,MATCH(125,'18℃'!$Z$5:$Z$304,0))))</f>
        <v/>
      </c>
      <c r="C146" s="18" t="str">
        <f>IF(125&gt;MAX('4℃飯'!$AA$5:$AA$302),"",HYPERLINK("#'4℃飯'!D"&amp;(MATCH(125,'4℃飯'!$AA$5:$AA$302,0)+4),INDEX('4℃飯'!$D$5:$D$302,MATCH(125,'4℃飯'!$AA$5:$AA$302,0))))</f>
        <v/>
      </c>
      <c r="D146" s="18" t="str">
        <f>IF(125&gt;MAX('4℃麵'!$AA$5:$AA$305),"",HYPERLINK("#'4℃麵'!D"&amp;(MATCH(125,'4℃麵'!$AA$5:$AA$305,0)+4),INDEX('4℃麵'!$D$5:$D$305,MATCH(125,'4℃麵'!$AA$5:$AA$305,0))))</f>
        <v/>
      </c>
      <c r="E146" s="18" t="str">
        <f>IF(125&gt;MAX('4℃其他'!$AA$5:$AA$302),"",HYPERLINK("#'4℃其他'!D"&amp;(MATCH(125,'4℃其他'!$AA$5:$AA$302,0)+4),INDEX('4℃其他'!$D$5:$D$302,MATCH(125,'4℃其他'!$AA$5:$AA$302,0))))</f>
        <v/>
      </c>
      <c r="F146" s="18" t="str">
        <f>IF(125&gt;MAX(冷凍品!$Z$5:$Z$304),"",HYPERLINK("#'冷凍品'!C"&amp;(MATCH(125,冷凍品!$Z$5:$Z$304,0)+4),INDEX(冷凍品!$C$5:$C$304,MATCH(125,冷凍品!$Z$5:$Z$304,0))))</f>
        <v/>
      </c>
    </row>
    <row r="147" spans="2:6">
      <c r="B147" s="18" t="str">
        <f>IF(126&gt;MAX('18℃'!$Z$5:$Z$304),"",HYPERLINK("#'18℃'!C"&amp;(MATCH(126,'18℃'!$Z$5:$Z$304,0)+4),INDEX('18℃'!$C$5:$C$304,MATCH(126,'18℃'!$Z$5:$Z$304,0))))</f>
        <v/>
      </c>
      <c r="C147" s="18" t="str">
        <f>IF(126&gt;MAX('4℃飯'!$AA$5:$AA$302),"",HYPERLINK("#'4℃飯'!D"&amp;(MATCH(126,'4℃飯'!$AA$5:$AA$302,0)+4),INDEX('4℃飯'!$D$5:$D$302,MATCH(126,'4℃飯'!$AA$5:$AA$302,0))))</f>
        <v/>
      </c>
      <c r="D147" s="18" t="str">
        <f>IF(126&gt;MAX('4℃麵'!$AA$5:$AA$305),"",HYPERLINK("#'4℃麵'!D"&amp;(MATCH(126,'4℃麵'!$AA$5:$AA$305,0)+4),INDEX('4℃麵'!$D$5:$D$305,MATCH(126,'4℃麵'!$AA$5:$AA$305,0))))</f>
        <v/>
      </c>
      <c r="E147" s="18" t="str">
        <f>IF(126&gt;MAX('4℃其他'!$AA$5:$AA$302),"",HYPERLINK("#'4℃其他'!D"&amp;(MATCH(126,'4℃其他'!$AA$5:$AA$302,0)+4),INDEX('4℃其他'!$D$5:$D$302,MATCH(126,'4℃其他'!$AA$5:$AA$302,0))))</f>
        <v/>
      </c>
      <c r="F147" s="18" t="str">
        <f>IF(126&gt;MAX(冷凍品!$Z$5:$Z$304),"",HYPERLINK("#'冷凍品'!C"&amp;(MATCH(126,冷凍品!$Z$5:$Z$304,0)+4),INDEX(冷凍品!$C$5:$C$304,MATCH(126,冷凍品!$Z$5:$Z$304,0))))</f>
        <v/>
      </c>
    </row>
    <row r="148" spans="2:6">
      <c r="B148" s="18" t="str">
        <f>IF(127&gt;MAX('18℃'!$Z$5:$Z$304),"",HYPERLINK("#'18℃'!C"&amp;(MATCH(127,'18℃'!$Z$5:$Z$304,0)+4),INDEX('18℃'!$C$5:$C$304,MATCH(127,'18℃'!$Z$5:$Z$304,0))))</f>
        <v/>
      </c>
      <c r="C148" s="18" t="str">
        <f>IF(127&gt;MAX('4℃飯'!$AA$5:$AA$302),"",HYPERLINK("#'4℃飯'!D"&amp;(MATCH(127,'4℃飯'!$AA$5:$AA$302,0)+4),INDEX('4℃飯'!$D$5:$D$302,MATCH(127,'4℃飯'!$AA$5:$AA$302,0))))</f>
        <v/>
      </c>
      <c r="D148" s="18" t="str">
        <f>IF(127&gt;MAX('4℃麵'!$AA$5:$AA$305),"",HYPERLINK("#'4℃麵'!D"&amp;(MATCH(127,'4℃麵'!$AA$5:$AA$305,0)+4),INDEX('4℃麵'!$D$5:$D$305,MATCH(127,'4℃麵'!$AA$5:$AA$305,0))))</f>
        <v/>
      </c>
      <c r="E148" s="18" t="str">
        <f>IF(127&gt;MAX('4℃其他'!$AA$5:$AA$302),"",HYPERLINK("#'4℃其他'!D"&amp;(MATCH(127,'4℃其他'!$AA$5:$AA$302,0)+4),INDEX('4℃其他'!$D$5:$D$302,MATCH(127,'4℃其他'!$AA$5:$AA$302,0))))</f>
        <v/>
      </c>
      <c r="F148" s="18" t="str">
        <f>IF(127&gt;MAX(冷凍品!$Z$5:$Z$304),"",HYPERLINK("#'冷凍品'!C"&amp;(MATCH(127,冷凍品!$Z$5:$Z$304,0)+4),INDEX(冷凍品!$C$5:$C$304,MATCH(127,冷凍品!$Z$5:$Z$304,0))))</f>
        <v/>
      </c>
    </row>
    <row r="149" spans="2:6">
      <c r="B149" s="18" t="str">
        <f>IF(128&gt;MAX('18℃'!$Z$5:$Z$304),"",HYPERLINK("#'18℃'!C"&amp;(MATCH(128,'18℃'!$Z$5:$Z$304,0)+4),INDEX('18℃'!$C$5:$C$304,MATCH(128,'18℃'!$Z$5:$Z$304,0))))</f>
        <v/>
      </c>
      <c r="C149" s="18" t="str">
        <f>IF(128&gt;MAX('4℃飯'!$AA$5:$AA$302),"",HYPERLINK("#'4℃飯'!D"&amp;(MATCH(128,'4℃飯'!$AA$5:$AA$302,0)+4),INDEX('4℃飯'!$D$5:$D$302,MATCH(128,'4℃飯'!$AA$5:$AA$302,0))))</f>
        <v/>
      </c>
      <c r="D149" s="18" t="str">
        <f>IF(128&gt;MAX('4℃麵'!$AA$5:$AA$305),"",HYPERLINK("#'4℃麵'!D"&amp;(MATCH(128,'4℃麵'!$AA$5:$AA$305,0)+4),INDEX('4℃麵'!$D$5:$D$305,MATCH(128,'4℃麵'!$AA$5:$AA$305,0))))</f>
        <v/>
      </c>
      <c r="E149" s="18" t="str">
        <f>IF(128&gt;MAX('4℃其他'!$AA$5:$AA$302),"",HYPERLINK("#'4℃其他'!D"&amp;(MATCH(128,'4℃其他'!$AA$5:$AA$302,0)+4),INDEX('4℃其他'!$D$5:$D$302,MATCH(128,'4℃其他'!$AA$5:$AA$302,0))))</f>
        <v/>
      </c>
      <c r="F149" s="18" t="str">
        <f>IF(128&gt;MAX(冷凍品!$Z$5:$Z$304),"",HYPERLINK("#'冷凍品'!C"&amp;(MATCH(128,冷凍品!$Z$5:$Z$304,0)+4),INDEX(冷凍品!$C$5:$C$304,MATCH(128,冷凍品!$Z$5:$Z$304,0))))</f>
        <v/>
      </c>
    </row>
    <row r="150" spans="2:6">
      <c r="B150" s="18" t="str">
        <f>IF(129&gt;MAX('18℃'!$Z$5:$Z$304),"",HYPERLINK("#'18℃'!C"&amp;(MATCH(129,'18℃'!$Z$5:$Z$304,0)+4),INDEX('18℃'!$C$5:$C$304,MATCH(129,'18℃'!$Z$5:$Z$304,0))))</f>
        <v/>
      </c>
      <c r="C150" s="18" t="str">
        <f>IF(129&gt;MAX('4℃飯'!$AA$5:$AA$302),"",HYPERLINK("#'4℃飯'!D"&amp;(MATCH(129,'4℃飯'!$AA$5:$AA$302,0)+4),INDEX('4℃飯'!$D$5:$D$302,MATCH(129,'4℃飯'!$AA$5:$AA$302,0))))</f>
        <v/>
      </c>
      <c r="D150" s="18" t="str">
        <f>IF(129&gt;MAX('4℃麵'!$AA$5:$AA$305),"",HYPERLINK("#'4℃麵'!D"&amp;(MATCH(129,'4℃麵'!$AA$5:$AA$305,0)+4),INDEX('4℃麵'!$D$5:$D$305,MATCH(129,'4℃麵'!$AA$5:$AA$305,0))))</f>
        <v/>
      </c>
      <c r="E150" s="18" t="str">
        <f>IF(129&gt;MAX('4℃其他'!$AA$5:$AA$302),"",HYPERLINK("#'4℃其他'!D"&amp;(MATCH(129,'4℃其他'!$AA$5:$AA$302,0)+4),INDEX('4℃其他'!$D$5:$D$302,MATCH(129,'4℃其他'!$AA$5:$AA$302,0))))</f>
        <v/>
      </c>
      <c r="F150" s="18" t="str">
        <f>IF(129&gt;MAX(冷凍品!$Z$5:$Z$304),"",HYPERLINK("#'冷凍品'!C"&amp;(MATCH(129,冷凍品!$Z$5:$Z$304,0)+4),INDEX(冷凍品!$C$5:$C$304,MATCH(129,冷凍品!$Z$5:$Z$304,0))))</f>
        <v/>
      </c>
    </row>
    <row r="151" spans="2:6">
      <c r="B151" s="18" t="str">
        <f>IF(130&gt;MAX('18℃'!$Z$5:$Z$304),"",HYPERLINK("#'18℃'!C"&amp;(MATCH(130,'18℃'!$Z$5:$Z$304,0)+4),INDEX('18℃'!$C$5:$C$304,MATCH(130,'18℃'!$Z$5:$Z$304,0))))</f>
        <v/>
      </c>
      <c r="C151" s="18" t="str">
        <f>IF(130&gt;MAX('4℃飯'!$AA$5:$AA$302),"",HYPERLINK("#'4℃飯'!D"&amp;(MATCH(130,'4℃飯'!$AA$5:$AA$302,0)+4),INDEX('4℃飯'!$D$5:$D$302,MATCH(130,'4℃飯'!$AA$5:$AA$302,0))))</f>
        <v/>
      </c>
      <c r="D151" s="18" t="str">
        <f>IF(130&gt;MAX('4℃麵'!$AA$5:$AA$305),"",HYPERLINK("#'4℃麵'!D"&amp;(MATCH(130,'4℃麵'!$AA$5:$AA$305,0)+4),INDEX('4℃麵'!$D$5:$D$305,MATCH(130,'4℃麵'!$AA$5:$AA$305,0))))</f>
        <v/>
      </c>
      <c r="E151" s="18" t="str">
        <f>IF(130&gt;MAX('4℃其他'!$AA$5:$AA$302),"",HYPERLINK("#'4℃其他'!D"&amp;(MATCH(130,'4℃其他'!$AA$5:$AA$302,0)+4),INDEX('4℃其他'!$D$5:$D$302,MATCH(130,'4℃其他'!$AA$5:$AA$302,0))))</f>
        <v/>
      </c>
      <c r="F151" s="18" t="str">
        <f>IF(130&gt;MAX(冷凍品!$Z$5:$Z$304),"",HYPERLINK("#'冷凍品'!C"&amp;(MATCH(130,冷凍品!$Z$5:$Z$304,0)+4),INDEX(冷凍品!$C$5:$C$304,MATCH(130,冷凍品!$Z$5:$Z$304,0))))</f>
        <v/>
      </c>
    </row>
    <row r="152" spans="2:6">
      <c r="B152" s="18" t="str">
        <f>IF(131&gt;MAX('18℃'!$Z$5:$Z$304),"",HYPERLINK("#'18℃'!C"&amp;(MATCH(131,'18℃'!$Z$5:$Z$304,0)+4),INDEX('18℃'!$C$5:$C$304,MATCH(131,'18℃'!$Z$5:$Z$304,0))))</f>
        <v/>
      </c>
      <c r="C152" s="18" t="str">
        <f>IF(131&gt;MAX('4℃飯'!$AA$5:$AA$302),"",HYPERLINK("#'4℃飯'!D"&amp;(MATCH(131,'4℃飯'!$AA$5:$AA$302,0)+4),INDEX('4℃飯'!$D$5:$D$302,MATCH(131,'4℃飯'!$AA$5:$AA$302,0))))</f>
        <v/>
      </c>
      <c r="D152" s="18" t="str">
        <f>IF(131&gt;MAX('4℃麵'!$AA$5:$AA$305),"",HYPERLINK("#'4℃麵'!D"&amp;(MATCH(131,'4℃麵'!$AA$5:$AA$305,0)+4),INDEX('4℃麵'!$D$5:$D$305,MATCH(131,'4℃麵'!$AA$5:$AA$305,0))))</f>
        <v/>
      </c>
      <c r="E152" s="18" t="str">
        <f>IF(131&gt;MAX('4℃其他'!$AA$5:$AA$302),"",HYPERLINK("#'4℃其他'!D"&amp;(MATCH(131,'4℃其他'!$AA$5:$AA$302,0)+4),INDEX('4℃其他'!$D$5:$D$302,MATCH(131,'4℃其他'!$AA$5:$AA$302,0))))</f>
        <v/>
      </c>
      <c r="F152" s="18" t="str">
        <f>IF(131&gt;MAX(冷凍品!$Z$5:$Z$304),"",HYPERLINK("#'冷凍品'!C"&amp;(MATCH(131,冷凍品!$Z$5:$Z$304,0)+4),INDEX(冷凍品!$C$5:$C$304,MATCH(131,冷凍品!$Z$5:$Z$304,0))))</f>
        <v/>
      </c>
    </row>
    <row r="153" spans="2:6">
      <c r="B153" s="18" t="str">
        <f>IF(132&gt;MAX('18℃'!$Z$5:$Z$304),"",HYPERLINK("#'18℃'!C"&amp;(MATCH(132,'18℃'!$Z$5:$Z$304,0)+4),INDEX('18℃'!$C$5:$C$304,MATCH(132,'18℃'!$Z$5:$Z$304,0))))</f>
        <v/>
      </c>
      <c r="C153" s="18" t="str">
        <f>IF(132&gt;MAX('4℃飯'!$AA$5:$AA$302),"",HYPERLINK("#'4℃飯'!D"&amp;(MATCH(132,'4℃飯'!$AA$5:$AA$302,0)+4),INDEX('4℃飯'!$D$5:$D$302,MATCH(132,'4℃飯'!$AA$5:$AA$302,0))))</f>
        <v/>
      </c>
      <c r="D153" s="18" t="str">
        <f>IF(132&gt;MAX('4℃麵'!$AA$5:$AA$305),"",HYPERLINK("#'4℃麵'!D"&amp;(MATCH(132,'4℃麵'!$AA$5:$AA$305,0)+4),INDEX('4℃麵'!$D$5:$D$305,MATCH(132,'4℃麵'!$AA$5:$AA$305,0))))</f>
        <v/>
      </c>
      <c r="E153" s="18" t="str">
        <f>IF(132&gt;MAX('4℃其他'!$AA$5:$AA$302),"",HYPERLINK("#'4℃其他'!D"&amp;(MATCH(132,'4℃其他'!$AA$5:$AA$302,0)+4),INDEX('4℃其他'!$D$5:$D$302,MATCH(132,'4℃其他'!$AA$5:$AA$302,0))))</f>
        <v/>
      </c>
      <c r="F153" s="18" t="str">
        <f>IF(132&gt;MAX(冷凍品!$Z$5:$Z$304),"",HYPERLINK("#'冷凍品'!C"&amp;(MATCH(132,冷凍品!$Z$5:$Z$304,0)+4),INDEX(冷凍品!$C$5:$C$304,MATCH(132,冷凍品!$Z$5:$Z$304,0))))</f>
        <v/>
      </c>
    </row>
    <row r="154" spans="2:6">
      <c r="B154" s="18" t="str">
        <f>IF(133&gt;MAX('18℃'!$Z$5:$Z$304),"",HYPERLINK("#'18℃'!C"&amp;(MATCH(133,'18℃'!$Z$5:$Z$304,0)+4),INDEX('18℃'!$C$5:$C$304,MATCH(133,'18℃'!$Z$5:$Z$304,0))))</f>
        <v/>
      </c>
      <c r="C154" s="18" t="str">
        <f>IF(133&gt;MAX('4℃飯'!$AA$5:$AA$302),"",HYPERLINK("#'4℃飯'!D"&amp;(MATCH(133,'4℃飯'!$AA$5:$AA$302,0)+4),INDEX('4℃飯'!$D$5:$D$302,MATCH(133,'4℃飯'!$AA$5:$AA$302,0))))</f>
        <v/>
      </c>
      <c r="D154" s="18" t="str">
        <f>IF(133&gt;MAX('4℃麵'!$AA$5:$AA$305),"",HYPERLINK("#'4℃麵'!D"&amp;(MATCH(133,'4℃麵'!$AA$5:$AA$305,0)+4),INDEX('4℃麵'!$D$5:$D$305,MATCH(133,'4℃麵'!$AA$5:$AA$305,0))))</f>
        <v/>
      </c>
      <c r="E154" s="18" t="str">
        <f>IF(133&gt;MAX('4℃其他'!$AA$5:$AA$302),"",HYPERLINK("#'4℃其他'!D"&amp;(MATCH(133,'4℃其他'!$AA$5:$AA$302,0)+4),INDEX('4℃其他'!$D$5:$D$302,MATCH(133,'4℃其他'!$AA$5:$AA$302,0))))</f>
        <v/>
      </c>
      <c r="F154" s="18" t="str">
        <f>IF(133&gt;MAX(冷凍品!$Z$5:$Z$304),"",HYPERLINK("#'冷凍品'!C"&amp;(MATCH(133,冷凍品!$Z$5:$Z$304,0)+4),INDEX(冷凍品!$C$5:$C$304,MATCH(133,冷凍品!$Z$5:$Z$304,0))))</f>
        <v/>
      </c>
    </row>
    <row r="155" spans="2:6">
      <c r="B155" s="18" t="str">
        <f>IF(134&gt;MAX('18℃'!$Z$5:$Z$304),"",HYPERLINK("#'18℃'!C"&amp;(MATCH(134,'18℃'!$Z$5:$Z$304,0)+4),INDEX('18℃'!$C$5:$C$304,MATCH(134,'18℃'!$Z$5:$Z$304,0))))</f>
        <v/>
      </c>
      <c r="C155" s="18" t="str">
        <f>IF(134&gt;MAX('4℃飯'!$AA$5:$AA$302),"",HYPERLINK("#'4℃飯'!D"&amp;(MATCH(134,'4℃飯'!$AA$5:$AA$302,0)+4),INDEX('4℃飯'!$D$5:$D$302,MATCH(134,'4℃飯'!$AA$5:$AA$302,0))))</f>
        <v/>
      </c>
      <c r="D155" s="18" t="str">
        <f>IF(134&gt;MAX('4℃麵'!$AA$5:$AA$305),"",HYPERLINK("#'4℃麵'!D"&amp;(MATCH(134,'4℃麵'!$AA$5:$AA$305,0)+4),INDEX('4℃麵'!$D$5:$D$305,MATCH(134,'4℃麵'!$AA$5:$AA$305,0))))</f>
        <v/>
      </c>
      <c r="E155" s="18" t="str">
        <f>IF(134&gt;MAX('4℃其他'!$AA$5:$AA$302),"",HYPERLINK("#'4℃其他'!D"&amp;(MATCH(134,'4℃其他'!$AA$5:$AA$302,0)+4),INDEX('4℃其他'!$D$5:$D$302,MATCH(134,'4℃其他'!$AA$5:$AA$302,0))))</f>
        <v/>
      </c>
      <c r="F155" s="18" t="str">
        <f>IF(134&gt;MAX(冷凍品!$Z$5:$Z$304),"",HYPERLINK("#'冷凍品'!C"&amp;(MATCH(134,冷凍品!$Z$5:$Z$304,0)+4),INDEX(冷凍品!$C$5:$C$304,MATCH(134,冷凍品!$Z$5:$Z$304,0))))</f>
        <v/>
      </c>
    </row>
    <row r="156" spans="2:6">
      <c r="B156" s="18" t="str">
        <f>IF(135&gt;MAX('18℃'!$Z$5:$Z$304),"",HYPERLINK("#'18℃'!C"&amp;(MATCH(135,'18℃'!$Z$5:$Z$304,0)+4),INDEX('18℃'!$C$5:$C$304,MATCH(135,'18℃'!$Z$5:$Z$304,0))))</f>
        <v/>
      </c>
      <c r="C156" s="18" t="str">
        <f>IF(135&gt;MAX('4℃飯'!$AA$5:$AA$302),"",HYPERLINK("#'4℃飯'!D"&amp;(MATCH(135,'4℃飯'!$AA$5:$AA$302,0)+4),INDEX('4℃飯'!$D$5:$D$302,MATCH(135,'4℃飯'!$AA$5:$AA$302,0))))</f>
        <v/>
      </c>
      <c r="D156" s="18" t="str">
        <f>IF(135&gt;MAX('4℃麵'!$AA$5:$AA$305),"",HYPERLINK("#'4℃麵'!D"&amp;(MATCH(135,'4℃麵'!$AA$5:$AA$305,0)+4),INDEX('4℃麵'!$D$5:$D$305,MATCH(135,'4℃麵'!$AA$5:$AA$305,0))))</f>
        <v/>
      </c>
      <c r="E156" s="18" t="str">
        <f>IF(135&gt;MAX('4℃其他'!$AA$5:$AA$302),"",HYPERLINK("#'4℃其他'!D"&amp;(MATCH(135,'4℃其他'!$AA$5:$AA$302,0)+4),INDEX('4℃其他'!$D$5:$D$302,MATCH(135,'4℃其他'!$AA$5:$AA$302,0))))</f>
        <v/>
      </c>
      <c r="F156" s="18" t="str">
        <f>IF(135&gt;MAX(冷凍品!$Z$5:$Z$304),"",HYPERLINK("#'冷凍品'!C"&amp;(MATCH(135,冷凍品!$Z$5:$Z$304,0)+4),INDEX(冷凍品!$C$5:$C$304,MATCH(135,冷凍品!$Z$5:$Z$304,0))))</f>
        <v/>
      </c>
    </row>
    <row r="157" spans="2:6">
      <c r="B157" s="18" t="str">
        <f>IF(136&gt;MAX('18℃'!$Z$5:$Z$304),"",HYPERLINK("#'18℃'!C"&amp;(MATCH(136,'18℃'!$Z$5:$Z$304,0)+4),INDEX('18℃'!$C$5:$C$304,MATCH(136,'18℃'!$Z$5:$Z$304,0))))</f>
        <v/>
      </c>
      <c r="C157" s="18" t="str">
        <f>IF(136&gt;MAX('4℃飯'!$AA$5:$AA$302),"",HYPERLINK("#'4℃飯'!D"&amp;(MATCH(136,'4℃飯'!$AA$5:$AA$302,0)+4),INDEX('4℃飯'!$D$5:$D$302,MATCH(136,'4℃飯'!$AA$5:$AA$302,0))))</f>
        <v/>
      </c>
      <c r="D157" s="18" t="str">
        <f>IF(136&gt;MAX('4℃麵'!$AA$5:$AA$305),"",HYPERLINK("#'4℃麵'!D"&amp;(MATCH(136,'4℃麵'!$AA$5:$AA$305,0)+4),INDEX('4℃麵'!$D$5:$D$305,MATCH(136,'4℃麵'!$AA$5:$AA$305,0))))</f>
        <v/>
      </c>
      <c r="E157" s="18" t="str">
        <f>IF(136&gt;MAX('4℃其他'!$AA$5:$AA$302),"",HYPERLINK("#'4℃其他'!D"&amp;(MATCH(136,'4℃其他'!$AA$5:$AA$302,0)+4),INDEX('4℃其他'!$D$5:$D$302,MATCH(136,'4℃其他'!$AA$5:$AA$302,0))))</f>
        <v/>
      </c>
      <c r="F157" s="18" t="str">
        <f>IF(136&gt;MAX(冷凍品!$Z$5:$Z$304),"",HYPERLINK("#'冷凍品'!C"&amp;(MATCH(136,冷凍品!$Z$5:$Z$304,0)+4),INDEX(冷凍品!$C$5:$C$304,MATCH(136,冷凍品!$Z$5:$Z$304,0))))</f>
        <v/>
      </c>
    </row>
    <row r="158" spans="2:6">
      <c r="B158" s="18" t="str">
        <f>IF(137&gt;MAX('18℃'!$Z$5:$Z$304),"",HYPERLINK("#'18℃'!C"&amp;(MATCH(137,'18℃'!$Z$5:$Z$304,0)+4),INDEX('18℃'!$C$5:$C$304,MATCH(137,'18℃'!$Z$5:$Z$304,0))))</f>
        <v/>
      </c>
      <c r="C158" s="18" t="str">
        <f>IF(137&gt;MAX('4℃飯'!$AA$5:$AA$302),"",HYPERLINK("#'4℃飯'!D"&amp;(MATCH(137,'4℃飯'!$AA$5:$AA$302,0)+4),INDEX('4℃飯'!$D$5:$D$302,MATCH(137,'4℃飯'!$AA$5:$AA$302,0))))</f>
        <v/>
      </c>
      <c r="D158" s="18" t="str">
        <f>IF(137&gt;MAX('4℃麵'!$AA$5:$AA$305),"",HYPERLINK("#'4℃麵'!D"&amp;(MATCH(137,'4℃麵'!$AA$5:$AA$305,0)+4),INDEX('4℃麵'!$D$5:$D$305,MATCH(137,'4℃麵'!$AA$5:$AA$305,0))))</f>
        <v/>
      </c>
      <c r="E158" s="18" t="str">
        <f>IF(137&gt;MAX('4℃其他'!$AA$5:$AA$302),"",HYPERLINK("#'4℃其他'!D"&amp;(MATCH(137,'4℃其他'!$AA$5:$AA$302,0)+4),INDEX('4℃其他'!$D$5:$D$302,MATCH(137,'4℃其他'!$AA$5:$AA$302,0))))</f>
        <v/>
      </c>
      <c r="F158" s="18" t="str">
        <f>IF(137&gt;MAX(冷凍品!$Z$5:$Z$304),"",HYPERLINK("#'冷凍品'!C"&amp;(MATCH(137,冷凍品!$Z$5:$Z$304,0)+4),INDEX(冷凍品!$C$5:$C$304,MATCH(137,冷凍品!$Z$5:$Z$304,0))))</f>
        <v/>
      </c>
    </row>
    <row r="159" spans="2:6">
      <c r="B159" s="18" t="str">
        <f>IF(138&gt;MAX('18℃'!$Z$5:$Z$304),"",HYPERLINK("#'18℃'!C"&amp;(MATCH(138,'18℃'!$Z$5:$Z$304,0)+4),INDEX('18℃'!$C$5:$C$304,MATCH(138,'18℃'!$Z$5:$Z$304,0))))</f>
        <v/>
      </c>
      <c r="C159" s="18" t="str">
        <f>IF(138&gt;MAX('4℃飯'!$AA$5:$AA$302),"",HYPERLINK("#'4℃飯'!D"&amp;(MATCH(138,'4℃飯'!$AA$5:$AA$302,0)+4),INDEX('4℃飯'!$D$5:$D$302,MATCH(138,'4℃飯'!$AA$5:$AA$302,0))))</f>
        <v/>
      </c>
      <c r="D159" s="18" t="str">
        <f>IF(138&gt;MAX('4℃麵'!$AA$5:$AA$305),"",HYPERLINK("#'4℃麵'!D"&amp;(MATCH(138,'4℃麵'!$AA$5:$AA$305,0)+4),INDEX('4℃麵'!$D$5:$D$305,MATCH(138,'4℃麵'!$AA$5:$AA$305,0))))</f>
        <v/>
      </c>
      <c r="E159" s="18" t="str">
        <f>IF(138&gt;MAX('4℃其他'!$AA$5:$AA$302),"",HYPERLINK("#'4℃其他'!D"&amp;(MATCH(138,'4℃其他'!$AA$5:$AA$302,0)+4),INDEX('4℃其他'!$D$5:$D$302,MATCH(138,'4℃其他'!$AA$5:$AA$302,0))))</f>
        <v/>
      </c>
      <c r="F159" s="18" t="str">
        <f>IF(138&gt;MAX(冷凍品!$Z$5:$Z$304),"",HYPERLINK("#'冷凍品'!C"&amp;(MATCH(138,冷凍品!$Z$5:$Z$304,0)+4),INDEX(冷凍品!$C$5:$C$304,MATCH(138,冷凍品!$Z$5:$Z$304,0))))</f>
        <v/>
      </c>
    </row>
    <row r="160" spans="2:6">
      <c r="B160" s="18" t="str">
        <f>IF(139&gt;MAX('18℃'!$Z$5:$Z$304),"",HYPERLINK("#'18℃'!C"&amp;(MATCH(139,'18℃'!$Z$5:$Z$304,0)+4),INDEX('18℃'!$C$5:$C$304,MATCH(139,'18℃'!$Z$5:$Z$304,0))))</f>
        <v/>
      </c>
      <c r="C160" s="18" t="str">
        <f>IF(139&gt;MAX('4℃飯'!$AA$5:$AA$302),"",HYPERLINK("#'4℃飯'!D"&amp;(MATCH(139,'4℃飯'!$AA$5:$AA$302,0)+4),INDEX('4℃飯'!$D$5:$D$302,MATCH(139,'4℃飯'!$AA$5:$AA$302,0))))</f>
        <v/>
      </c>
      <c r="D160" s="18" t="str">
        <f>IF(139&gt;MAX('4℃麵'!$AA$5:$AA$305),"",HYPERLINK("#'4℃麵'!D"&amp;(MATCH(139,'4℃麵'!$AA$5:$AA$305,0)+4),INDEX('4℃麵'!$D$5:$D$305,MATCH(139,'4℃麵'!$AA$5:$AA$305,0))))</f>
        <v/>
      </c>
      <c r="E160" s="18" t="str">
        <f>IF(139&gt;MAX('4℃其他'!$AA$5:$AA$302),"",HYPERLINK("#'4℃其他'!D"&amp;(MATCH(139,'4℃其他'!$AA$5:$AA$302,0)+4),INDEX('4℃其他'!$D$5:$D$302,MATCH(139,'4℃其他'!$AA$5:$AA$302,0))))</f>
        <v/>
      </c>
      <c r="F160" s="18" t="str">
        <f>IF(139&gt;MAX(冷凍品!$Z$5:$Z$304),"",HYPERLINK("#'冷凍品'!C"&amp;(MATCH(139,冷凍品!$Z$5:$Z$304,0)+4),INDEX(冷凍品!$C$5:$C$304,MATCH(139,冷凍品!$Z$5:$Z$304,0))))</f>
        <v/>
      </c>
    </row>
    <row r="161" spans="2:6">
      <c r="B161" s="18" t="str">
        <f>IF(140&gt;MAX('18℃'!$Z$5:$Z$304),"",HYPERLINK("#'18℃'!C"&amp;(MATCH(140,'18℃'!$Z$5:$Z$304,0)+4),INDEX('18℃'!$C$5:$C$304,MATCH(140,'18℃'!$Z$5:$Z$304,0))))</f>
        <v/>
      </c>
      <c r="C161" s="18" t="str">
        <f>IF(140&gt;MAX('4℃飯'!$AA$5:$AA$302),"",HYPERLINK("#'4℃飯'!D"&amp;(MATCH(140,'4℃飯'!$AA$5:$AA$302,0)+4),INDEX('4℃飯'!$D$5:$D$302,MATCH(140,'4℃飯'!$AA$5:$AA$302,0))))</f>
        <v/>
      </c>
      <c r="D161" s="18" t="str">
        <f>IF(140&gt;MAX('4℃麵'!$AA$5:$AA$305),"",HYPERLINK("#'4℃麵'!D"&amp;(MATCH(140,'4℃麵'!$AA$5:$AA$305,0)+4),INDEX('4℃麵'!$D$5:$D$305,MATCH(140,'4℃麵'!$AA$5:$AA$305,0))))</f>
        <v/>
      </c>
      <c r="E161" s="18" t="str">
        <f>IF(140&gt;MAX('4℃其他'!$AA$5:$AA$302),"",HYPERLINK("#'4℃其他'!D"&amp;(MATCH(140,'4℃其他'!$AA$5:$AA$302,0)+4),INDEX('4℃其他'!$D$5:$D$302,MATCH(140,'4℃其他'!$AA$5:$AA$302,0))))</f>
        <v/>
      </c>
      <c r="F161" s="18" t="str">
        <f>IF(140&gt;MAX(冷凍品!$Z$5:$Z$304),"",HYPERLINK("#'冷凍品'!C"&amp;(MATCH(140,冷凍品!$Z$5:$Z$304,0)+4),INDEX(冷凍品!$C$5:$C$304,MATCH(140,冷凍品!$Z$5:$Z$304,0))))</f>
        <v/>
      </c>
    </row>
    <row r="162" spans="2:6">
      <c r="B162" s="18" t="str">
        <f>IF(141&gt;MAX('18℃'!$Z$5:$Z$304),"",HYPERLINK("#'18℃'!C"&amp;(MATCH(141,'18℃'!$Z$5:$Z$304,0)+4),INDEX('18℃'!$C$5:$C$304,MATCH(141,'18℃'!$Z$5:$Z$304,0))))</f>
        <v/>
      </c>
      <c r="C162" s="18" t="str">
        <f>IF(141&gt;MAX('4℃飯'!$AA$5:$AA$302),"",HYPERLINK("#'4℃飯'!D"&amp;(MATCH(141,'4℃飯'!$AA$5:$AA$302,0)+4),INDEX('4℃飯'!$D$5:$D$302,MATCH(141,'4℃飯'!$AA$5:$AA$302,0))))</f>
        <v/>
      </c>
      <c r="D162" s="18" t="str">
        <f>IF(141&gt;MAX('4℃麵'!$AA$5:$AA$305),"",HYPERLINK("#'4℃麵'!D"&amp;(MATCH(141,'4℃麵'!$AA$5:$AA$305,0)+4),INDEX('4℃麵'!$D$5:$D$305,MATCH(141,'4℃麵'!$AA$5:$AA$305,0))))</f>
        <v/>
      </c>
      <c r="E162" s="18" t="str">
        <f>IF(141&gt;MAX('4℃其他'!$AA$5:$AA$302),"",HYPERLINK("#'4℃其他'!D"&amp;(MATCH(141,'4℃其他'!$AA$5:$AA$302,0)+4),INDEX('4℃其他'!$D$5:$D$302,MATCH(141,'4℃其他'!$AA$5:$AA$302,0))))</f>
        <v/>
      </c>
      <c r="F162" s="18" t="str">
        <f>IF(141&gt;MAX(冷凍品!$Z$5:$Z$304),"",HYPERLINK("#'冷凍品'!C"&amp;(MATCH(141,冷凍品!$Z$5:$Z$304,0)+4),INDEX(冷凍品!$C$5:$C$304,MATCH(141,冷凍品!$Z$5:$Z$304,0))))</f>
        <v/>
      </c>
    </row>
    <row r="163" spans="2:6">
      <c r="B163" s="18" t="str">
        <f>IF(142&gt;MAX('18℃'!$Z$5:$Z$304),"",HYPERLINK("#'18℃'!C"&amp;(MATCH(142,'18℃'!$Z$5:$Z$304,0)+4),INDEX('18℃'!$C$5:$C$304,MATCH(142,'18℃'!$Z$5:$Z$304,0))))</f>
        <v/>
      </c>
      <c r="C163" s="18" t="str">
        <f>IF(142&gt;MAX('4℃飯'!$AA$5:$AA$302),"",HYPERLINK("#'4℃飯'!D"&amp;(MATCH(142,'4℃飯'!$AA$5:$AA$302,0)+4),INDEX('4℃飯'!$D$5:$D$302,MATCH(142,'4℃飯'!$AA$5:$AA$302,0))))</f>
        <v/>
      </c>
      <c r="D163" s="18" t="str">
        <f>IF(142&gt;MAX('4℃麵'!$AA$5:$AA$305),"",HYPERLINK("#'4℃麵'!D"&amp;(MATCH(142,'4℃麵'!$AA$5:$AA$305,0)+4),INDEX('4℃麵'!$D$5:$D$305,MATCH(142,'4℃麵'!$AA$5:$AA$305,0))))</f>
        <v/>
      </c>
      <c r="E163" s="18" t="str">
        <f>IF(142&gt;MAX('4℃其他'!$AA$5:$AA$302),"",HYPERLINK("#'4℃其他'!D"&amp;(MATCH(142,'4℃其他'!$AA$5:$AA$302,0)+4),INDEX('4℃其他'!$D$5:$D$302,MATCH(142,'4℃其他'!$AA$5:$AA$302,0))))</f>
        <v/>
      </c>
      <c r="F163" s="18" t="str">
        <f>IF(142&gt;MAX(冷凍品!$Z$5:$Z$304),"",HYPERLINK("#'冷凍品'!C"&amp;(MATCH(142,冷凍品!$Z$5:$Z$304,0)+4),INDEX(冷凍品!$C$5:$C$304,MATCH(142,冷凍品!$Z$5:$Z$304,0))))</f>
        <v/>
      </c>
    </row>
    <row r="164" spans="2:6">
      <c r="B164" s="18" t="str">
        <f>IF(143&gt;MAX('18℃'!$Z$5:$Z$304),"",HYPERLINK("#'18℃'!C"&amp;(MATCH(143,'18℃'!$Z$5:$Z$304,0)+4),INDEX('18℃'!$C$5:$C$304,MATCH(143,'18℃'!$Z$5:$Z$304,0))))</f>
        <v/>
      </c>
      <c r="C164" s="18" t="str">
        <f>IF(143&gt;MAX('4℃飯'!$AA$5:$AA$302),"",HYPERLINK("#'4℃飯'!D"&amp;(MATCH(143,'4℃飯'!$AA$5:$AA$302,0)+4),INDEX('4℃飯'!$D$5:$D$302,MATCH(143,'4℃飯'!$AA$5:$AA$302,0))))</f>
        <v/>
      </c>
      <c r="D164" s="18" t="str">
        <f>IF(143&gt;MAX('4℃麵'!$AA$5:$AA$305),"",HYPERLINK("#'4℃麵'!D"&amp;(MATCH(143,'4℃麵'!$AA$5:$AA$305,0)+4),INDEX('4℃麵'!$D$5:$D$305,MATCH(143,'4℃麵'!$AA$5:$AA$305,0))))</f>
        <v/>
      </c>
      <c r="E164" s="18" t="str">
        <f>IF(143&gt;MAX('4℃其他'!$AA$5:$AA$302),"",HYPERLINK("#'4℃其他'!D"&amp;(MATCH(143,'4℃其他'!$AA$5:$AA$302,0)+4),INDEX('4℃其他'!$D$5:$D$302,MATCH(143,'4℃其他'!$AA$5:$AA$302,0))))</f>
        <v/>
      </c>
      <c r="F164" s="18" t="str">
        <f>IF(143&gt;MAX(冷凍品!$Z$5:$Z$304),"",HYPERLINK("#'冷凍品'!C"&amp;(MATCH(143,冷凍品!$Z$5:$Z$304,0)+4),INDEX(冷凍品!$C$5:$C$304,MATCH(143,冷凍品!$Z$5:$Z$304,0))))</f>
        <v/>
      </c>
    </row>
    <row r="165" spans="2:6">
      <c r="B165" s="18" t="str">
        <f>IF(144&gt;MAX('18℃'!$Z$5:$Z$304),"",HYPERLINK("#'18℃'!C"&amp;(MATCH(144,'18℃'!$Z$5:$Z$304,0)+4),INDEX('18℃'!$C$5:$C$304,MATCH(144,'18℃'!$Z$5:$Z$304,0))))</f>
        <v/>
      </c>
      <c r="C165" s="18" t="str">
        <f>IF(144&gt;MAX('4℃飯'!$AA$5:$AA$302),"",HYPERLINK("#'4℃飯'!D"&amp;(MATCH(144,'4℃飯'!$AA$5:$AA$302,0)+4),INDEX('4℃飯'!$D$5:$D$302,MATCH(144,'4℃飯'!$AA$5:$AA$302,0))))</f>
        <v/>
      </c>
      <c r="D165" s="18" t="str">
        <f>IF(144&gt;MAX('4℃麵'!$AA$5:$AA$305),"",HYPERLINK("#'4℃麵'!D"&amp;(MATCH(144,'4℃麵'!$AA$5:$AA$305,0)+4),INDEX('4℃麵'!$D$5:$D$305,MATCH(144,'4℃麵'!$AA$5:$AA$305,0))))</f>
        <v/>
      </c>
      <c r="E165" s="18" t="str">
        <f>IF(144&gt;MAX('4℃其他'!$AA$5:$AA$302),"",HYPERLINK("#'4℃其他'!D"&amp;(MATCH(144,'4℃其他'!$AA$5:$AA$302,0)+4),INDEX('4℃其他'!$D$5:$D$302,MATCH(144,'4℃其他'!$AA$5:$AA$302,0))))</f>
        <v/>
      </c>
      <c r="F165" s="18" t="str">
        <f>IF(144&gt;MAX(冷凍品!$Z$5:$Z$304),"",HYPERLINK("#'冷凍品'!C"&amp;(MATCH(144,冷凍品!$Z$5:$Z$304,0)+4),INDEX(冷凍品!$C$5:$C$304,MATCH(144,冷凍品!$Z$5:$Z$304,0))))</f>
        <v/>
      </c>
    </row>
    <row r="166" spans="2:6">
      <c r="B166" s="18" t="str">
        <f>IF(145&gt;MAX('18℃'!$Z$5:$Z$304),"",HYPERLINK("#'18℃'!C"&amp;(MATCH(145,'18℃'!$Z$5:$Z$304,0)+4),INDEX('18℃'!$C$5:$C$304,MATCH(145,'18℃'!$Z$5:$Z$304,0))))</f>
        <v/>
      </c>
      <c r="C166" s="18" t="str">
        <f>IF(145&gt;MAX('4℃飯'!$AA$5:$AA$302),"",HYPERLINK("#'4℃飯'!D"&amp;(MATCH(145,'4℃飯'!$AA$5:$AA$302,0)+4),INDEX('4℃飯'!$D$5:$D$302,MATCH(145,'4℃飯'!$AA$5:$AA$302,0))))</f>
        <v/>
      </c>
      <c r="D166" s="18" t="str">
        <f>IF(145&gt;MAX('4℃麵'!$AA$5:$AA$305),"",HYPERLINK("#'4℃麵'!D"&amp;(MATCH(145,'4℃麵'!$AA$5:$AA$305,0)+4),INDEX('4℃麵'!$D$5:$D$305,MATCH(145,'4℃麵'!$AA$5:$AA$305,0))))</f>
        <v/>
      </c>
      <c r="E166" s="18" t="str">
        <f>IF(145&gt;MAX('4℃其他'!$AA$5:$AA$302),"",HYPERLINK("#'4℃其他'!D"&amp;(MATCH(145,'4℃其他'!$AA$5:$AA$302,0)+4),INDEX('4℃其他'!$D$5:$D$302,MATCH(145,'4℃其他'!$AA$5:$AA$302,0))))</f>
        <v/>
      </c>
      <c r="F166" s="18" t="str">
        <f>IF(145&gt;MAX(冷凍品!$Z$5:$Z$304),"",HYPERLINK("#'冷凍品'!C"&amp;(MATCH(145,冷凍品!$Z$5:$Z$304,0)+4),INDEX(冷凍品!$C$5:$C$304,MATCH(145,冷凍品!$Z$5:$Z$304,0))))</f>
        <v/>
      </c>
    </row>
    <row r="167" spans="2:6">
      <c r="B167" s="18" t="str">
        <f>IF(146&gt;MAX('18℃'!$Z$5:$Z$304),"",HYPERLINK("#'18℃'!C"&amp;(MATCH(146,'18℃'!$Z$5:$Z$304,0)+4),INDEX('18℃'!$C$5:$C$304,MATCH(146,'18℃'!$Z$5:$Z$304,0))))</f>
        <v/>
      </c>
      <c r="C167" s="18" t="str">
        <f>IF(146&gt;MAX('4℃飯'!$AA$5:$AA$302),"",HYPERLINK("#'4℃飯'!D"&amp;(MATCH(146,'4℃飯'!$AA$5:$AA$302,0)+4),INDEX('4℃飯'!$D$5:$D$302,MATCH(146,'4℃飯'!$AA$5:$AA$302,0))))</f>
        <v/>
      </c>
      <c r="D167" s="18" t="str">
        <f>IF(146&gt;MAX('4℃麵'!$AA$5:$AA$305),"",HYPERLINK("#'4℃麵'!D"&amp;(MATCH(146,'4℃麵'!$AA$5:$AA$305,0)+4),INDEX('4℃麵'!$D$5:$D$305,MATCH(146,'4℃麵'!$AA$5:$AA$305,0))))</f>
        <v/>
      </c>
      <c r="E167" s="18" t="str">
        <f>IF(146&gt;MAX('4℃其他'!$AA$5:$AA$302),"",HYPERLINK("#'4℃其他'!D"&amp;(MATCH(146,'4℃其他'!$AA$5:$AA$302,0)+4),INDEX('4℃其他'!$D$5:$D$302,MATCH(146,'4℃其他'!$AA$5:$AA$302,0))))</f>
        <v/>
      </c>
      <c r="F167" s="18" t="str">
        <f>IF(146&gt;MAX(冷凍品!$Z$5:$Z$304),"",HYPERLINK("#'冷凍品'!C"&amp;(MATCH(146,冷凍品!$Z$5:$Z$304,0)+4),INDEX(冷凍品!$C$5:$C$304,MATCH(146,冷凍品!$Z$5:$Z$304,0))))</f>
        <v/>
      </c>
    </row>
    <row r="168" spans="2:6">
      <c r="B168" s="18" t="str">
        <f>IF(147&gt;MAX('18℃'!$Z$5:$Z$304),"",HYPERLINK("#'18℃'!C"&amp;(MATCH(147,'18℃'!$Z$5:$Z$304,0)+4),INDEX('18℃'!$C$5:$C$304,MATCH(147,'18℃'!$Z$5:$Z$304,0))))</f>
        <v/>
      </c>
      <c r="C168" s="18" t="str">
        <f>IF(147&gt;MAX('4℃飯'!$AA$5:$AA$302),"",HYPERLINK("#'4℃飯'!D"&amp;(MATCH(147,'4℃飯'!$AA$5:$AA$302,0)+4),INDEX('4℃飯'!$D$5:$D$302,MATCH(147,'4℃飯'!$AA$5:$AA$302,0))))</f>
        <v/>
      </c>
      <c r="D168" s="18" t="str">
        <f>IF(147&gt;MAX('4℃麵'!$AA$5:$AA$305),"",HYPERLINK("#'4℃麵'!D"&amp;(MATCH(147,'4℃麵'!$AA$5:$AA$305,0)+4),INDEX('4℃麵'!$D$5:$D$305,MATCH(147,'4℃麵'!$AA$5:$AA$305,0))))</f>
        <v/>
      </c>
      <c r="E168" s="18" t="str">
        <f>IF(147&gt;MAX('4℃其他'!$AA$5:$AA$302),"",HYPERLINK("#'4℃其他'!D"&amp;(MATCH(147,'4℃其他'!$AA$5:$AA$302,0)+4),INDEX('4℃其他'!$D$5:$D$302,MATCH(147,'4℃其他'!$AA$5:$AA$302,0))))</f>
        <v/>
      </c>
      <c r="F168" s="18" t="str">
        <f>IF(147&gt;MAX(冷凍品!$Z$5:$Z$304),"",HYPERLINK("#'冷凍品'!C"&amp;(MATCH(147,冷凍品!$Z$5:$Z$304,0)+4),INDEX(冷凍品!$C$5:$C$304,MATCH(147,冷凍品!$Z$5:$Z$304,0))))</f>
        <v/>
      </c>
    </row>
    <row r="169" spans="2:6">
      <c r="B169" s="18" t="str">
        <f>IF(148&gt;MAX('18℃'!$Z$5:$Z$304),"",HYPERLINK("#'18℃'!C"&amp;(MATCH(148,'18℃'!$Z$5:$Z$304,0)+4),INDEX('18℃'!$C$5:$C$304,MATCH(148,'18℃'!$Z$5:$Z$304,0))))</f>
        <v/>
      </c>
      <c r="C169" s="18" t="str">
        <f>IF(148&gt;MAX('4℃飯'!$AA$5:$AA$302),"",HYPERLINK("#'4℃飯'!D"&amp;(MATCH(148,'4℃飯'!$AA$5:$AA$302,0)+4),INDEX('4℃飯'!$D$5:$D$302,MATCH(148,'4℃飯'!$AA$5:$AA$302,0))))</f>
        <v/>
      </c>
      <c r="D169" s="18" t="str">
        <f>IF(148&gt;MAX('4℃麵'!$AA$5:$AA$305),"",HYPERLINK("#'4℃麵'!D"&amp;(MATCH(148,'4℃麵'!$AA$5:$AA$305,0)+4),INDEX('4℃麵'!$D$5:$D$305,MATCH(148,'4℃麵'!$AA$5:$AA$305,0))))</f>
        <v/>
      </c>
      <c r="E169" s="18" t="str">
        <f>IF(148&gt;MAX('4℃其他'!$AA$5:$AA$302),"",HYPERLINK("#'4℃其他'!D"&amp;(MATCH(148,'4℃其他'!$AA$5:$AA$302,0)+4),INDEX('4℃其他'!$D$5:$D$302,MATCH(148,'4℃其他'!$AA$5:$AA$302,0))))</f>
        <v/>
      </c>
      <c r="F169" s="18" t="str">
        <f>IF(148&gt;MAX(冷凍品!$Z$5:$Z$304),"",HYPERLINK("#'冷凍品'!C"&amp;(MATCH(148,冷凍品!$Z$5:$Z$304,0)+4),INDEX(冷凍品!$C$5:$C$304,MATCH(148,冷凍品!$Z$5:$Z$304,0))))</f>
        <v/>
      </c>
    </row>
    <row r="170" spans="2:6">
      <c r="B170" s="18" t="str">
        <f>IF(149&gt;MAX('18℃'!$Z$5:$Z$304),"",HYPERLINK("#'18℃'!C"&amp;(MATCH(149,'18℃'!$Z$5:$Z$304,0)+4),INDEX('18℃'!$C$5:$C$304,MATCH(149,'18℃'!$Z$5:$Z$304,0))))</f>
        <v/>
      </c>
      <c r="C170" s="18" t="str">
        <f>IF(149&gt;MAX('4℃飯'!$AA$5:$AA$302),"",HYPERLINK("#'4℃飯'!D"&amp;(MATCH(149,'4℃飯'!$AA$5:$AA$302,0)+4),INDEX('4℃飯'!$D$5:$D$302,MATCH(149,'4℃飯'!$AA$5:$AA$302,0))))</f>
        <v/>
      </c>
      <c r="D170" s="18" t="str">
        <f>IF(149&gt;MAX('4℃麵'!$AA$5:$AA$305),"",HYPERLINK("#'4℃麵'!D"&amp;(MATCH(149,'4℃麵'!$AA$5:$AA$305,0)+4),INDEX('4℃麵'!$D$5:$D$305,MATCH(149,'4℃麵'!$AA$5:$AA$305,0))))</f>
        <v/>
      </c>
      <c r="E170" s="18" t="str">
        <f>IF(149&gt;MAX('4℃其他'!$AA$5:$AA$302),"",HYPERLINK("#'4℃其他'!D"&amp;(MATCH(149,'4℃其他'!$AA$5:$AA$302,0)+4),INDEX('4℃其他'!$D$5:$D$302,MATCH(149,'4℃其他'!$AA$5:$AA$302,0))))</f>
        <v/>
      </c>
      <c r="F170" s="18" t="str">
        <f>IF(149&gt;MAX(冷凍品!$Z$5:$Z$304),"",HYPERLINK("#'冷凍品'!C"&amp;(MATCH(149,冷凍品!$Z$5:$Z$304,0)+4),INDEX(冷凍品!$C$5:$C$304,MATCH(149,冷凍品!$Z$5:$Z$304,0))))</f>
        <v/>
      </c>
    </row>
    <row r="171" spans="2:6">
      <c r="B171" s="18" t="str">
        <f>IF(150&gt;MAX('18℃'!$Z$5:$Z$304),"",HYPERLINK("#'18℃'!C"&amp;(MATCH(150,'18℃'!$Z$5:$Z$304,0)+4),INDEX('18℃'!$C$5:$C$304,MATCH(150,'18℃'!$Z$5:$Z$304,0))))</f>
        <v/>
      </c>
      <c r="C171" s="18" t="str">
        <f>IF(150&gt;MAX('4℃飯'!$AA$5:$AA$302),"",HYPERLINK("#'4℃飯'!D"&amp;(MATCH(150,'4℃飯'!$AA$5:$AA$302,0)+4),INDEX('4℃飯'!$D$5:$D$302,MATCH(150,'4℃飯'!$AA$5:$AA$302,0))))</f>
        <v/>
      </c>
      <c r="D171" s="18" t="str">
        <f>IF(150&gt;MAX('4℃麵'!$AA$5:$AA$305),"",HYPERLINK("#'4℃麵'!D"&amp;(MATCH(150,'4℃麵'!$AA$5:$AA$305,0)+4),INDEX('4℃麵'!$D$5:$D$305,MATCH(150,'4℃麵'!$AA$5:$AA$305,0))))</f>
        <v/>
      </c>
      <c r="E171" s="18" t="str">
        <f>IF(150&gt;MAX('4℃其他'!$AA$5:$AA$302),"",HYPERLINK("#'4℃其他'!D"&amp;(MATCH(150,'4℃其他'!$AA$5:$AA$302,0)+4),INDEX('4℃其他'!$D$5:$D$302,MATCH(150,'4℃其他'!$AA$5:$AA$302,0))))</f>
        <v/>
      </c>
      <c r="F171" s="18" t="str">
        <f>IF(150&gt;MAX(冷凍品!$Z$5:$Z$304),"",HYPERLINK("#'冷凍品'!C"&amp;(MATCH(150,冷凍品!$Z$5:$Z$304,0)+4),INDEX(冷凍品!$C$5:$C$304,MATCH(150,冷凍品!$Z$5:$Z$304,0))))</f>
        <v/>
      </c>
    </row>
    <row r="172" spans="2:6">
      <c r="B172" s="18" t="str">
        <f>IF(151&gt;MAX('18℃'!$Z$5:$Z$304),"",HYPERLINK("#'18℃'!C"&amp;(MATCH(151,'18℃'!$Z$5:$Z$304,0)+4),INDEX('18℃'!$C$5:$C$304,MATCH(151,'18℃'!$Z$5:$Z$304,0))))</f>
        <v/>
      </c>
      <c r="C172" s="18" t="str">
        <f>IF(151&gt;MAX('4℃飯'!$AA$5:$AA$302),"",HYPERLINK("#'4℃飯'!D"&amp;(MATCH(151,'4℃飯'!$AA$5:$AA$302,0)+4),INDEX('4℃飯'!$D$5:$D$302,MATCH(151,'4℃飯'!$AA$5:$AA$302,0))))</f>
        <v/>
      </c>
      <c r="D172" s="18" t="str">
        <f>IF(151&gt;MAX('4℃麵'!$AA$5:$AA$305),"",HYPERLINK("#'4℃麵'!D"&amp;(MATCH(151,'4℃麵'!$AA$5:$AA$305,0)+4),INDEX('4℃麵'!$D$5:$D$305,MATCH(151,'4℃麵'!$AA$5:$AA$305,0))))</f>
        <v/>
      </c>
      <c r="E172" s="18" t="str">
        <f>IF(151&gt;MAX('4℃其他'!$AA$5:$AA$302),"",HYPERLINK("#'4℃其他'!D"&amp;(MATCH(151,'4℃其他'!$AA$5:$AA$302,0)+4),INDEX('4℃其他'!$D$5:$D$302,MATCH(151,'4℃其他'!$AA$5:$AA$302,0))))</f>
        <v/>
      </c>
      <c r="F172" s="18" t="str">
        <f>IF(151&gt;MAX(冷凍品!$Z$5:$Z$304),"",HYPERLINK("#'冷凍品'!C"&amp;(MATCH(151,冷凍品!$Z$5:$Z$304,0)+4),INDEX(冷凍品!$C$5:$C$304,MATCH(151,冷凍品!$Z$5:$Z$304,0))))</f>
        <v/>
      </c>
    </row>
    <row r="173" spans="2:6">
      <c r="B173" s="18" t="str">
        <f>IF(152&gt;MAX('18℃'!$Z$5:$Z$304),"",HYPERLINK("#'18℃'!C"&amp;(MATCH(152,'18℃'!$Z$5:$Z$304,0)+4),INDEX('18℃'!$C$5:$C$304,MATCH(152,'18℃'!$Z$5:$Z$304,0))))</f>
        <v/>
      </c>
      <c r="C173" s="18" t="str">
        <f>IF(152&gt;MAX('4℃飯'!$AA$5:$AA$302),"",HYPERLINK("#'4℃飯'!D"&amp;(MATCH(152,'4℃飯'!$AA$5:$AA$302,0)+4),INDEX('4℃飯'!$D$5:$D$302,MATCH(152,'4℃飯'!$AA$5:$AA$302,0))))</f>
        <v/>
      </c>
      <c r="D173" s="18" t="str">
        <f>IF(152&gt;MAX('4℃麵'!$AA$5:$AA$305),"",HYPERLINK("#'4℃麵'!D"&amp;(MATCH(152,'4℃麵'!$AA$5:$AA$305,0)+4),INDEX('4℃麵'!$D$5:$D$305,MATCH(152,'4℃麵'!$AA$5:$AA$305,0))))</f>
        <v/>
      </c>
      <c r="E173" s="18" t="str">
        <f>IF(152&gt;MAX('4℃其他'!$AA$5:$AA$302),"",HYPERLINK("#'4℃其他'!D"&amp;(MATCH(152,'4℃其他'!$AA$5:$AA$302,0)+4),INDEX('4℃其他'!$D$5:$D$302,MATCH(152,'4℃其他'!$AA$5:$AA$302,0))))</f>
        <v/>
      </c>
      <c r="F173" s="18" t="str">
        <f>IF(152&gt;MAX(冷凍品!$Z$5:$Z$304),"",HYPERLINK("#'冷凍品'!C"&amp;(MATCH(152,冷凍品!$Z$5:$Z$304,0)+4),INDEX(冷凍品!$C$5:$C$304,MATCH(152,冷凍品!$Z$5:$Z$304,0))))</f>
        <v/>
      </c>
    </row>
    <row r="174" spans="2:6">
      <c r="B174" s="18" t="str">
        <f>IF(153&gt;MAX('18℃'!$Z$5:$Z$304),"",HYPERLINK("#'18℃'!C"&amp;(MATCH(153,'18℃'!$Z$5:$Z$304,0)+4),INDEX('18℃'!$C$5:$C$304,MATCH(153,'18℃'!$Z$5:$Z$304,0))))</f>
        <v/>
      </c>
      <c r="C174" s="18" t="str">
        <f>IF(153&gt;MAX('4℃飯'!$AA$5:$AA$302),"",HYPERLINK("#'4℃飯'!D"&amp;(MATCH(153,'4℃飯'!$AA$5:$AA$302,0)+4),INDEX('4℃飯'!$D$5:$D$302,MATCH(153,'4℃飯'!$AA$5:$AA$302,0))))</f>
        <v/>
      </c>
      <c r="D174" s="18" t="str">
        <f>IF(153&gt;MAX('4℃麵'!$AA$5:$AA$305),"",HYPERLINK("#'4℃麵'!D"&amp;(MATCH(153,'4℃麵'!$AA$5:$AA$305,0)+4),INDEX('4℃麵'!$D$5:$D$305,MATCH(153,'4℃麵'!$AA$5:$AA$305,0))))</f>
        <v/>
      </c>
      <c r="E174" s="18" t="str">
        <f>IF(153&gt;MAX('4℃其他'!$AA$5:$AA$302),"",HYPERLINK("#'4℃其他'!D"&amp;(MATCH(153,'4℃其他'!$AA$5:$AA$302,0)+4),INDEX('4℃其他'!$D$5:$D$302,MATCH(153,'4℃其他'!$AA$5:$AA$302,0))))</f>
        <v/>
      </c>
      <c r="F174" s="18" t="str">
        <f>IF(153&gt;MAX(冷凍品!$Z$5:$Z$304),"",HYPERLINK("#'冷凍品'!C"&amp;(MATCH(153,冷凍品!$Z$5:$Z$304,0)+4),INDEX(冷凍品!$C$5:$C$304,MATCH(153,冷凍品!$Z$5:$Z$304,0))))</f>
        <v/>
      </c>
    </row>
    <row r="175" spans="2:6">
      <c r="B175" s="18" t="str">
        <f>IF(154&gt;MAX('18℃'!$Z$5:$Z$304),"",HYPERLINK("#'18℃'!C"&amp;(MATCH(154,'18℃'!$Z$5:$Z$304,0)+4),INDEX('18℃'!$C$5:$C$304,MATCH(154,'18℃'!$Z$5:$Z$304,0))))</f>
        <v/>
      </c>
      <c r="C175" s="18" t="str">
        <f>IF(154&gt;MAX('4℃飯'!$AA$5:$AA$302),"",HYPERLINK("#'4℃飯'!D"&amp;(MATCH(154,'4℃飯'!$AA$5:$AA$302,0)+4),INDEX('4℃飯'!$D$5:$D$302,MATCH(154,'4℃飯'!$AA$5:$AA$302,0))))</f>
        <v/>
      </c>
      <c r="D175" s="18" t="str">
        <f>IF(154&gt;MAX('4℃麵'!$AA$5:$AA$305),"",HYPERLINK("#'4℃麵'!D"&amp;(MATCH(154,'4℃麵'!$AA$5:$AA$305,0)+4),INDEX('4℃麵'!$D$5:$D$305,MATCH(154,'4℃麵'!$AA$5:$AA$305,0))))</f>
        <v/>
      </c>
      <c r="E175" s="18" t="str">
        <f>IF(154&gt;MAX('4℃其他'!$AA$5:$AA$302),"",HYPERLINK("#'4℃其他'!D"&amp;(MATCH(154,'4℃其他'!$AA$5:$AA$302,0)+4),INDEX('4℃其他'!$D$5:$D$302,MATCH(154,'4℃其他'!$AA$5:$AA$302,0))))</f>
        <v/>
      </c>
      <c r="F175" s="18" t="str">
        <f>IF(154&gt;MAX(冷凍品!$Z$5:$Z$304),"",HYPERLINK("#'冷凍品'!C"&amp;(MATCH(154,冷凍品!$Z$5:$Z$304,0)+4),INDEX(冷凍品!$C$5:$C$304,MATCH(154,冷凍品!$Z$5:$Z$304,0))))</f>
        <v/>
      </c>
    </row>
    <row r="176" spans="2:6">
      <c r="B176" s="18" t="str">
        <f>IF(155&gt;MAX('18℃'!$Z$5:$Z$304),"",HYPERLINK("#'18℃'!C"&amp;(MATCH(155,'18℃'!$Z$5:$Z$304,0)+4),INDEX('18℃'!$C$5:$C$304,MATCH(155,'18℃'!$Z$5:$Z$304,0))))</f>
        <v/>
      </c>
      <c r="C176" s="18" t="str">
        <f>IF(155&gt;MAX('4℃飯'!$AA$5:$AA$302),"",HYPERLINK("#'4℃飯'!D"&amp;(MATCH(155,'4℃飯'!$AA$5:$AA$302,0)+4),INDEX('4℃飯'!$D$5:$D$302,MATCH(155,'4℃飯'!$AA$5:$AA$302,0))))</f>
        <v/>
      </c>
      <c r="D176" s="18" t="str">
        <f>IF(155&gt;MAX('4℃麵'!$AA$5:$AA$305),"",HYPERLINK("#'4℃麵'!D"&amp;(MATCH(155,'4℃麵'!$AA$5:$AA$305,0)+4),INDEX('4℃麵'!$D$5:$D$305,MATCH(155,'4℃麵'!$AA$5:$AA$305,0))))</f>
        <v/>
      </c>
      <c r="E176" s="18" t="str">
        <f>IF(155&gt;MAX('4℃其他'!$AA$5:$AA$302),"",HYPERLINK("#'4℃其他'!D"&amp;(MATCH(155,'4℃其他'!$AA$5:$AA$302,0)+4),INDEX('4℃其他'!$D$5:$D$302,MATCH(155,'4℃其他'!$AA$5:$AA$302,0))))</f>
        <v/>
      </c>
      <c r="F176" s="18" t="str">
        <f>IF(155&gt;MAX(冷凍品!$Z$5:$Z$304),"",HYPERLINK("#'冷凍品'!C"&amp;(MATCH(155,冷凍品!$Z$5:$Z$304,0)+4),INDEX(冷凍品!$C$5:$C$304,MATCH(155,冷凍品!$Z$5:$Z$304,0))))</f>
        <v/>
      </c>
    </row>
    <row r="177" spans="2:6">
      <c r="B177" s="18" t="str">
        <f>IF(156&gt;MAX('18℃'!$Z$5:$Z$304),"",HYPERLINK("#'18℃'!C"&amp;(MATCH(156,'18℃'!$Z$5:$Z$304,0)+4),INDEX('18℃'!$C$5:$C$304,MATCH(156,'18℃'!$Z$5:$Z$304,0))))</f>
        <v/>
      </c>
      <c r="C177" s="18" t="str">
        <f>IF(156&gt;MAX('4℃飯'!$AA$5:$AA$302),"",HYPERLINK("#'4℃飯'!D"&amp;(MATCH(156,'4℃飯'!$AA$5:$AA$302,0)+4),INDEX('4℃飯'!$D$5:$D$302,MATCH(156,'4℃飯'!$AA$5:$AA$302,0))))</f>
        <v/>
      </c>
      <c r="D177" s="18" t="str">
        <f>IF(156&gt;MAX('4℃麵'!$AA$5:$AA$305),"",HYPERLINK("#'4℃麵'!D"&amp;(MATCH(156,'4℃麵'!$AA$5:$AA$305,0)+4),INDEX('4℃麵'!$D$5:$D$305,MATCH(156,'4℃麵'!$AA$5:$AA$305,0))))</f>
        <v/>
      </c>
      <c r="E177" s="18" t="str">
        <f>IF(156&gt;MAX('4℃其他'!$AA$5:$AA$302),"",HYPERLINK("#'4℃其他'!D"&amp;(MATCH(156,'4℃其他'!$AA$5:$AA$302,0)+4),INDEX('4℃其他'!$D$5:$D$302,MATCH(156,'4℃其他'!$AA$5:$AA$302,0))))</f>
        <v/>
      </c>
      <c r="F177" s="18" t="str">
        <f>IF(156&gt;MAX(冷凍品!$Z$5:$Z$304),"",HYPERLINK("#'冷凍品'!C"&amp;(MATCH(156,冷凍品!$Z$5:$Z$304,0)+4),INDEX(冷凍品!$C$5:$C$304,MATCH(156,冷凍品!$Z$5:$Z$304,0))))</f>
        <v/>
      </c>
    </row>
    <row r="178" spans="2:6">
      <c r="B178" s="18" t="str">
        <f>IF(157&gt;MAX('18℃'!$Z$5:$Z$304),"",HYPERLINK("#'18℃'!C"&amp;(MATCH(157,'18℃'!$Z$5:$Z$304,0)+4),INDEX('18℃'!$C$5:$C$304,MATCH(157,'18℃'!$Z$5:$Z$304,0))))</f>
        <v/>
      </c>
      <c r="C178" s="18" t="str">
        <f>IF(157&gt;MAX('4℃飯'!$AA$5:$AA$302),"",HYPERLINK("#'4℃飯'!D"&amp;(MATCH(157,'4℃飯'!$AA$5:$AA$302,0)+4),INDEX('4℃飯'!$D$5:$D$302,MATCH(157,'4℃飯'!$AA$5:$AA$302,0))))</f>
        <v/>
      </c>
      <c r="D178" s="18" t="str">
        <f>IF(157&gt;MAX('4℃麵'!$AA$5:$AA$305),"",HYPERLINK("#'4℃麵'!D"&amp;(MATCH(157,'4℃麵'!$AA$5:$AA$305,0)+4),INDEX('4℃麵'!$D$5:$D$305,MATCH(157,'4℃麵'!$AA$5:$AA$305,0))))</f>
        <v/>
      </c>
      <c r="E178" s="18" t="str">
        <f>IF(157&gt;MAX('4℃其他'!$AA$5:$AA$302),"",HYPERLINK("#'4℃其他'!D"&amp;(MATCH(157,'4℃其他'!$AA$5:$AA$302,0)+4),INDEX('4℃其他'!$D$5:$D$302,MATCH(157,'4℃其他'!$AA$5:$AA$302,0))))</f>
        <v/>
      </c>
      <c r="F178" s="18" t="str">
        <f>IF(157&gt;MAX(冷凍品!$Z$5:$Z$304),"",HYPERLINK("#'冷凍品'!C"&amp;(MATCH(157,冷凍品!$Z$5:$Z$304,0)+4),INDEX(冷凍品!$C$5:$C$304,MATCH(157,冷凍品!$Z$5:$Z$304,0))))</f>
        <v/>
      </c>
    </row>
    <row r="179" spans="2:6">
      <c r="B179" s="18" t="str">
        <f>IF(158&gt;MAX('18℃'!$Z$5:$Z$304),"",HYPERLINK("#'18℃'!C"&amp;(MATCH(158,'18℃'!$Z$5:$Z$304,0)+4),INDEX('18℃'!$C$5:$C$304,MATCH(158,'18℃'!$Z$5:$Z$304,0))))</f>
        <v/>
      </c>
      <c r="C179" s="18" t="str">
        <f>IF(158&gt;MAX('4℃飯'!$AA$5:$AA$302),"",HYPERLINK("#'4℃飯'!D"&amp;(MATCH(158,'4℃飯'!$AA$5:$AA$302,0)+4),INDEX('4℃飯'!$D$5:$D$302,MATCH(158,'4℃飯'!$AA$5:$AA$302,0))))</f>
        <v/>
      </c>
      <c r="D179" s="18" t="str">
        <f>IF(158&gt;MAX('4℃麵'!$AA$5:$AA$305),"",HYPERLINK("#'4℃麵'!D"&amp;(MATCH(158,'4℃麵'!$AA$5:$AA$305,0)+4),INDEX('4℃麵'!$D$5:$D$305,MATCH(158,'4℃麵'!$AA$5:$AA$305,0))))</f>
        <v/>
      </c>
      <c r="E179" s="18" t="str">
        <f>IF(158&gt;MAX('4℃其他'!$AA$5:$AA$302),"",HYPERLINK("#'4℃其他'!D"&amp;(MATCH(158,'4℃其他'!$AA$5:$AA$302,0)+4),INDEX('4℃其他'!$D$5:$D$302,MATCH(158,'4℃其他'!$AA$5:$AA$302,0))))</f>
        <v/>
      </c>
      <c r="F179" s="18" t="str">
        <f>IF(158&gt;MAX(冷凍品!$Z$5:$Z$304),"",HYPERLINK("#'冷凍品'!C"&amp;(MATCH(158,冷凍品!$Z$5:$Z$304,0)+4),INDEX(冷凍品!$C$5:$C$304,MATCH(158,冷凍品!$Z$5:$Z$304,0))))</f>
        <v/>
      </c>
    </row>
    <row r="180" spans="2:6">
      <c r="B180" s="18" t="str">
        <f>IF(159&gt;MAX('18℃'!$Z$5:$Z$304),"",HYPERLINK("#'18℃'!C"&amp;(MATCH(159,'18℃'!$Z$5:$Z$304,0)+4),INDEX('18℃'!$C$5:$C$304,MATCH(159,'18℃'!$Z$5:$Z$304,0))))</f>
        <v/>
      </c>
      <c r="C180" s="18" t="str">
        <f>IF(159&gt;MAX('4℃飯'!$AA$5:$AA$302),"",HYPERLINK("#'4℃飯'!D"&amp;(MATCH(159,'4℃飯'!$AA$5:$AA$302,0)+4),INDEX('4℃飯'!$D$5:$D$302,MATCH(159,'4℃飯'!$AA$5:$AA$302,0))))</f>
        <v/>
      </c>
      <c r="D180" s="18" t="str">
        <f>IF(159&gt;MAX('4℃麵'!$AA$5:$AA$305),"",HYPERLINK("#'4℃麵'!D"&amp;(MATCH(159,'4℃麵'!$AA$5:$AA$305,0)+4),INDEX('4℃麵'!$D$5:$D$305,MATCH(159,'4℃麵'!$AA$5:$AA$305,0))))</f>
        <v/>
      </c>
      <c r="E180" s="18" t="str">
        <f>IF(159&gt;MAX('4℃其他'!$AA$5:$AA$302),"",HYPERLINK("#'4℃其他'!D"&amp;(MATCH(159,'4℃其他'!$AA$5:$AA$302,0)+4),INDEX('4℃其他'!$D$5:$D$302,MATCH(159,'4℃其他'!$AA$5:$AA$302,0))))</f>
        <v/>
      </c>
      <c r="F180" s="18" t="str">
        <f>IF(159&gt;MAX(冷凍品!$Z$5:$Z$304),"",HYPERLINK("#'冷凍品'!C"&amp;(MATCH(159,冷凍品!$Z$5:$Z$304,0)+4),INDEX(冷凍品!$C$5:$C$304,MATCH(159,冷凍品!$Z$5:$Z$304,0))))</f>
        <v/>
      </c>
    </row>
    <row r="181" spans="2:6">
      <c r="B181" s="18" t="str">
        <f>IF(160&gt;MAX('18℃'!$Z$5:$Z$304),"",HYPERLINK("#'18℃'!C"&amp;(MATCH(160,'18℃'!$Z$5:$Z$304,0)+4),INDEX('18℃'!$C$5:$C$304,MATCH(160,'18℃'!$Z$5:$Z$304,0))))</f>
        <v/>
      </c>
      <c r="C181" s="18" t="str">
        <f>IF(160&gt;MAX('4℃飯'!$AA$5:$AA$302),"",HYPERLINK("#'4℃飯'!D"&amp;(MATCH(160,'4℃飯'!$AA$5:$AA$302,0)+4),INDEX('4℃飯'!$D$5:$D$302,MATCH(160,'4℃飯'!$AA$5:$AA$302,0))))</f>
        <v/>
      </c>
      <c r="D181" s="18" t="str">
        <f>IF(160&gt;MAX('4℃麵'!$AA$5:$AA$305),"",HYPERLINK("#'4℃麵'!D"&amp;(MATCH(160,'4℃麵'!$AA$5:$AA$305,0)+4),INDEX('4℃麵'!$D$5:$D$305,MATCH(160,'4℃麵'!$AA$5:$AA$305,0))))</f>
        <v/>
      </c>
      <c r="E181" s="18" t="str">
        <f>IF(160&gt;MAX('4℃其他'!$AA$5:$AA$302),"",HYPERLINK("#'4℃其他'!D"&amp;(MATCH(160,'4℃其他'!$AA$5:$AA$302,0)+4),INDEX('4℃其他'!$D$5:$D$302,MATCH(160,'4℃其他'!$AA$5:$AA$302,0))))</f>
        <v/>
      </c>
      <c r="F181" s="18" t="str">
        <f>IF(160&gt;MAX(冷凍品!$Z$5:$Z$304),"",HYPERLINK("#'冷凍品'!C"&amp;(MATCH(160,冷凍品!$Z$5:$Z$304,0)+4),INDEX(冷凍品!$C$5:$C$304,MATCH(160,冷凍品!$Z$5:$Z$304,0))))</f>
        <v/>
      </c>
    </row>
    <row r="182" spans="2:6">
      <c r="B182" s="18" t="str">
        <f>IF(161&gt;MAX('18℃'!$Z$5:$Z$304),"",HYPERLINK("#'18℃'!C"&amp;(MATCH(161,'18℃'!$Z$5:$Z$304,0)+4),INDEX('18℃'!$C$5:$C$304,MATCH(161,'18℃'!$Z$5:$Z$304,0))))</f>
        <v/>
      </c>
      <c r="C182" s="18" t="str">
        <f>IF(161&gt;MAX('4℃飯'!$AA$5:$AA$302),"",HYPERLINK("#'4℃飯'!D"&amp;(MATCH(161,'4℃飯'!$AA$5:$AA$302,0)+4),INDEX('4℃飯'!$D$5:$D$302,MATCH(161,'4℃飯'!$AA$5:$AA$302,0))))</f>
        <v/>
      </c>
      <c r="D182" s="18" t="str">
        <f>IF(161&gt;MAX('4℃麵'!$AA$5:$AA$305),"",HYPERLINK("#'4℃麵'!D"&amp;(MATCH(161,'4℃麵'!$AA$5:$AA$305,0)+4),INDEX('4℃麵'!$D$5:$D$305,MATCH(161,'4℃麵'!$AA$5:$AA$305,0))))</f>
        <v/>
      </c>
      <c r="E182" s="18" t="str">
        <f>IF(161&gt;MAX('4℃其他'!$AA$5:$AA$302),"",HYPERLINK("#'4℃其他'!D"&amp;(MATCH(161,'4℃其他'!$AA$5:$AA$302,0)+4),INDEX('4℃其他'!$D$5:$D$302,MATCH(161,'4℃其他'!$AA$5:$AA$302,0))))</f>
        <v/>
      </c>
      <c r="F182" s="18" t="str">
        <f>IF(161&gt;MAX(冷凍品!$Z$5:$Z$304),"",HYPERLINK("#'冷凍品'!C"&amp;(MATCH(161,冷凍品!$Z$5:$Z$304,0)+4),INDEX(冷凍品!$C$5:$C$304,MATCH(161,冷凍品!$Z$5:$Z$304,0))))</f>
        <v/>
      </c>
    </row>
    <row r="183" spans="2:6">
      <c r="B183" s="18" t="str">
        <f>IF(162&gt;MAX('18℃'!$Z$5:$Z$304),"",HYPERLINK("#'18℃'!C"&amp;(MATCH(162,'18℃'!$Z$5:$Z$304,0)+4),INDEX('18℃'!$C$5:$C$304,MATCH(162,'18℃'!$Z$5:$Z$304,0))))</f>
        <v/>
      </c>
      <c r="C183" s="18" t="str">
        <f>IF(162&gt;MAX('4℃飯'!$AA$5:$AA$302),"",HYPERLINK("#'4℃飯'!D"&amp;(MATCH(162,'4℃飯'!$AA$5:$AA$302,0)+4),INDEX('4℃飯'!$D$5:$D$302,MATCH(162,'4℃飯'!$AA$5:$AA$302,0))))</f>
        <v/>
      </c>
      <c r="D183" s="18" t="str">
        <f>IF(162&gt;MAX('4℃麵'!$AA$5:$AA$305),"",HYPERLINK("#'4℃麵'!D"&amp;(MATCH(162,'4℃麵'!$AA$5:$AA$305,0)+4),INDEX('4℃麵'!$D$5:$D$305,MATCH(162,'4℃麵'!$AA$5:$AA$305,0))))</f>
        <v/>
      </c>
      <c r="E183" s="18" t="str">
        <f>IF(162&gt;MAX('4℃其他'!$AA$5:$AA$302),"",HYPERLINK("#'4℃其他'!D"&amp;(MATCH(162,'4℃其他'!$AA$5:$AA$302,0)+4),INDEX('4℃其他'!$D$5:$D$302,MATCH(162,'4℃其他'!$AA$5:$AA$302,0))))</f>
        <v/>
      </c>
      <c r="F183" s="18" t="str">
        <f>IF(162&gt;MAX(冷凍品!$Z$5:$Z$304),"",HYPERLINK("#'冷凍品'!C"&amp;(MATCH(162,冷凍品!$Z$5:$Z$304,0)+4),INDEX(冷凍品!$C$5:$C$304,MATCH(162,冷凍品!$Z$5:$Z$304,0))))</f>
        <v/>
      </c>
    </row>
    <row r="184" spans="2:6">
      <c r="B184" s="18" t="str">
        <f>IF(163&gt;MAX('18℃'!$Z$5:$Z$304),"",HYPERLINK("#'18℃'!C"&amp;(MATCH(163,'18℃'!$Z$5:$Z$304,0)+4),INDEX('18℃'!$C$5:$C$304,MATCH(163,'18℃'!$Z$5:$Z$304,0))))</f>
        <v/>
      </c>
      <c r="C184" s="18" t="str">
        <f>IF(163&gt;MAX('4℃飯'!$AA$5:$AA$302),"",HYPERLINK("#'4℃飯'!D"&amp;(MATCH(163,'4℃飯'!$AA$5:$AA$302,0)+4),INDEX('4℃飯'!$D$5:$D$302,MATCH(163,'4℃飯'!$AA$5:$AA$302,0))))</f>
        <v/>
      </c>
      <c r="D184" s="18" t="str">
        <f>IF(163&gt;MAX('4℃麵'!$AA$5:$AA$305),"",HYPERLINK("#'4℃麵'!D"&amp;(MATCH(163,'4℃麵'!$AA$5:$AA$305,0)+4),INDEX('4℃麵'!$D$5:$D$305,MATCH(163,'4℃麵'!$AA$5:$AA$305,0))))</f>
        <v/>
      </c>
      <c r="E184" s="18" t="str">
        <f>IF(163&gt;MAX('4℃其他'!$AA$5:$AA$302),"",HYPERLINK("#'4℃其他'!D"&amp;(MATCH(163,'4℃其他'!$AA$5:$AA$302,0)+4),INDEX('4℃其他'!$D$5:$D$302,MATCH(163,'4℃其他'!$AA$5:$AA$302,0))))</f>
        <v/>
      </c>
      <c r="F184" s="18" t="str">
        <f>IF(163&gt;MAX(冷凍品!$Z$5:$Z$304),"",HYPERLINK("#'冷凍品'!C"&amp;(MATCH(163,冷凍品!$Z$5:$Z$304,0)+4),INDEX(冷凍品!$C$5:$C$304,MATCH(163,冷凍品!$Z$5:$Z$304,0))))</f>
        <v/>
      </c>
    </row>
    <row r="185" spans="2:6">
      <c r="B185" s="18" t="str">
        <f>IF(164&gt;MAX('18℃'!$Z$5:$Z$304),"",HYPERLINK("#'18℃'!C"&amp;(MATCH(164,'18℃'!$Z$5:$Z$304,0)+4),INDEX('18℃'!$C$5:$C$304,MATCH(164,'18℃'!$Z$5:$Z$304,0))))</f>
        <v/>
      </c>
      <c r="C185" s="18" t="str">
        <f>IF(164&gt;MAX('4℃飯'!$AA$5:$AA$302),"",HYPERLINK("#'4℃飯'!D"&amp;(MATCH(164,'4℃飯'!$AA$5:$AA$302,0)+4),INDEX('4℃飯'!$D$5:$D$302,MATCH(164,'4℃飯'!$AA$5:$AA$302,0))))</f>
        <v/>
      </c>
      <c r="D185" s="18" t="str">
        <f>IF(164&gt;MAX('4℃麵'!$AA$5:$AA$305),"",HYPERLINK("#'4℃麵'!D"&amp;(MATCH(164,'4℃麵'!$AA$5:$AA$305,0)+4),INDEX('4℃麵'!$D$5:$D$305,MATCH(164,'4℃麵'!$AA$5:$AA$305,0))))</f>
        <v/>
      </c>
      <c r="E185" s="18" t="str">
        <f>IF(164&gt;MAX('4℃其他'!$AA$5:$AA$302),"",HYPERLINK("#'4℃其他'!D"&amp;(MATCH(164,'4℃其他'!$AA$5:$AA$302,0)+4),INDEX('4℃其他'!$D$5:$D$302,MATCH(164,'4℃其他'!$AA$5:$AA$302,0))))</f>
        <v/>
      </c>
      <c r="F185" s="18" t="str">
        <f>IF(164&gt;MAX(冷凍品!$Z$5:$Z$304),"",HYPERLINK("#'冷凍品'!C"&amp;(MATCH(164,冷凍品!$Z$5:$Z$304,0)+4),INDEX(冷凍品!$C$5:$C$304,MATCH(164,冷凍品!$Z$5:$Z$304,0))))</f>
        <v/>
      </c>
    </row>
    <row r="186" spans="2:6">
      <c r="B186" s="18" t="str">
        <f>IF(165&gt;MAX('18℃'!$Z$5:$Z$304),"",HYPERLINK("#'18℃'!C"&amp;(MATCH(165,'18℃'!$Z$5:$Z$304,0)+4),INDEX('18℃'!$C$5:$C$304,MATCH(165,'18℃'!$Z$5:$Z$304,0))))</f>
        <v/>
      </c>
      <c r="C186" s="18" t="str">
        <f>IF(165&gt;MAX('4℃飯'!$AA$5:$AA$302),"",HYPERLINK("#'4℃飯'!D"&amp;(MATCH(165,'4℃飯'!$AA$5:$AA$302,0)+4),INDEX('4℃飯'!$D$5:$D$302,MATCH(165,'4℃飯'!$AA$5:$AA$302,0))))</f>
        <v/>
      </c>
      <c r="D186" s="18" t="str">
        <f>IF(165&gt;MAX('4℃麵'!$AA$5:$AA$305),"",HYPERLINK("#'4℃麵'!D"&amp;(MATCH(165,'4℃麵'!$AA$5:$AA$305,0)+4),INDEX('4℃麵'!$D$5:$D$305,MATCH(165,'4℃麵'!$AA$5:$AA$305,0))))</f>
        <v/>
      </c>
      <c r="E186" s="18" t="str">
        <f>IF(165&gt;MAX('4℃其他'!$AA$5:$AA$302),"",HYPERLINK("#'4℃其他'!D"&amp;(MATCH(165,'4℃其他'!$AA$5:$AA$302,0)+4),INDEX('4℃其他'!$D$5:$D$302,MATCH(165,'4℃其他'!$AA$5:$AA$302,0))))</f>
        <v/>
      </c>
      <c r="F186" s="18" t="str">
        <f>IF(165&gt;MAX(冷凍品!$Z$5:$Z$304),"",HYPERLINK("#'冷凍品'!C"&amp;(MATCH(165,冷凍品!$Z$5:$Z$304,0)+4),INDEX(冷凍品!$C$5:$C$304,MATCH(165,冷凍品!$Z$5:$Z$304,0))))</f>
        <v/>
      </c>
    </row>
    <row r="187" spans="2:6">
      <c r="B187" s="18" t="str">
        <f>IF(166&gt;MAX('18℃'!$Z$5:$Z$304),"",HYPERLINK("#'18℃'!C"&amp;(MATCH(166,'18℃'!$Z$5:$Z$304,0)+4),INDEX('18℃'!$C$5:$C$304,MATCH(166,'18℃'!$Z$5:$Z$304,0))))</f>
        <v/>
      </c>
      <c r="C187" s="18" t="str">
        <f>IF(166&gt;MAX('4℃飯'!$AA$5:$AA$302),"",HYPERLINK("#'4℃飯'!D"&amp;(MATCH(166,'4℃飯'!$AA$5:$AA$302,0)+4),INDEX('4℃飯'!$D$5:$D$302,MATCH(166,'4℃飯'!$AA$5:$AA$302,0))))</f>
        <v/>
      </c>
      <c r="D187" s="18" t="str">
        <f>IF(166&gt;MAX('4℃麵'!$AA$5:$AA$305),"",HYPERLINK("#'4℃麵'!D"&amp;(MATCH(166,'4℃麵'!$AA$5:$AA$305,0)+4),INDEX('4℃麵'!$D$5:$D$305,MATCH(166,'4℃麵'!$AA$5:$AA$305,0))))</f>
        <v/>
      </c>
      <c r="E187" s="18" t="str">
        <f>IF(166&gt;MAX('4℃其他'!$AA$5:$AA$302),"",HYPERLINK("#'4℃其他'!D"&amp;(MATCH(166,'4℃其他'!$AA$5:$AA$302,0)+4),INDEX('4℃其他'!$D$5:$D$302,MATCH(166,'4℃其他'!$AA$5:$AA$302,0))))</f>
        <v/>
      </c>
      <c r="F187" s="18" t="str">
        <f>IF(166&gt;MAX(冷凍品!$Z$5:$Z$304),"",HYPERLINK("#'冷凍品'!C"&amp;(MATCH(166,冷凍品!$Z$5:$Z$304,0)+4),INDEX(冷凍品!$C$5:$C$304,MATCH(166,冷凍品!$Z$5:$Z$304,0))))</f>
        <v/>
      </c>
    </row>
    <row r="188" spans="2:6">
      <c r="B188" s="18" t="str">
        <f>IF(167&gt;MAX('18℃'!$Z$5:$Z$304),"",HYPERLINK("#'18℃'!C"&amp;(MATCH(167,'18℃'!$Z$5:$Z$304,0)+4),INDEX('18℃'!$C$5:$C$304,MATCH(167,'18℃'!$Z$5:$Z$304,0))))</f>
        <v/>
      </c>
      <c r="C188" s="18" t="str">
        <f>IF(167&gt;MAX('4℃飯'!$AA$5:$AA$302),"",HYPERLINK("#'4℃飯'!D"&amp;(MATCH(167,'4℃飯'!$AA$5:$AA$302,0)+4),INDEX('4℃飯'!$D$5:$D$302,MATCH(167,'4℃飯'!$AA$5:$AA$302,0))))</f>
        <v/>
      </c>
      <c r="D188" s="18" t="str">
        <f>IF(167&gt;MAX('4℃麵'!$AA$5:$AA$305),"",HYPERLINK("#'4℃麵'!D"&amp;(MATCH(167,'4℃麵'!$AA$5:$AA$305,0)+4),INDEX('4℃麵'!$D$5:$D$305,MATCH(167,'4℃麵'!$AA$5:$AA$305,0))))</f>
        <v/>
      </c>
      <c r="E188" s="18" t="str">
        <f>IF(167&gt;MAX('4℃其他'!$AA$5:$AA$302),"",HYPERLINK("#'4℃其他'!D"&amp;(MATCH(167,'4℃其他'!$AA$5:$AA$302,0)+4),INDEX('4℃其他'!$D$5:$D$302,MATCH(167,'4℃其他'!$AA$5:$AA$302,0))))</f>
        <v/>
      </c>
      <c r="F188" s="18" t="str">
        <f>IF(167&gt;MAX(冷凍品!$Z$5:$Z$304),"",HYPERLINK("#'冷凍品'!C"&amp;(MATCH(167,冷凍品!$Z$5:$Z$304,0)+4),INDEX(冷凍品!$C$5:$C$304,MATCH(167,冷凍品!$Z$5:$Z$304,0))))</f>
        <v/>
      </c>
    </row>
    <row r="189" spans="2:6">
      <c r="B189" s="18" t="str">
        <f>IF(168&gt;MAX('18℃'!$Z$5:$Z$304),"",HYPERLINK("#'18℃'!C"&amp;(MATCH(168,'18℃'!$Z$5:$Z$304,0)+4),INDEX('18℃'!$C$5:$C$304,MATCH(168,'18℃'!$Z$5:$Z$304,0))))</f>
        <v/>
      </c>
      <c r="C189" s="18" t="str">
        <f>IF(168&gt;MAX('4℃飯'!$AA$5:$AA$302),"",HYPERLINK("#'4℃飯'!D"&amp;(MATCH(168,'4℃飯'!$AA$5:$AA$302,0)+4),INDEX('4℃飯'!$D$5:$D$302,MATCH(168,'4℃飯'!$AA$5:$AA$302,0))))</f>
        <v/>
      </c>
      <c r="D189" s="18" t="str">
        <f>IF(168&gt;MAX('4℃麵'!$AA$5:$AA$305),"",HYPERLINK("#'4℃麵'!D"&amp;(MATCH(168,'4℃麵'!$AA$5:$AA$305,0)+4),INDEX('4℃麵'!$D$5:$D$305,MATCH(168,'4℃麵'!$AA$5:$AA$305,0))))</f>
        <v/>
      </c>
      <c r="E189" s="18" t="str">
        <f>IF(168&gt;MAX('4℃其他'!$AA$5:$AA$302),"",HYPERLINK("#'4℃其他'!D"&amp;(MATCH(168,'4℃其他'!$AA$5:$AA$302,0)+4),INDEX('4℃其他'!$D$5:$D$302,MATCH(168,'4℃其他'!$AA$5:$AA$302,0))))</f>
        <v/>
      </c>
      <c r="F189" s="18" t="str">
        <f>IF(168&gt;MAX(冷凍品!$Z$5:$Z$304),"",HYPERLINK("#'冷凍品'!C"&amp;(MATCH(168,冷凍品!$Z$5:$Z$304,0)+4),INDEX(冷凍品!$C$5:$C$304,MATCH(168,冷凍品!$Z$5:$Z$304,0))))</f>
        <v/>
      </c>
    </row>
    <row r="190" spans="2:6">
      <c r="B190" s="18" t="str">
        <f>IF(169&gt;MAX('18℃'!$Z$5:$Z$304),"",HYPERLINK("#'18℃'!C"&amp;(MATCH(169,'18℃'!$Z$5:$Z$304,0)+4),INDEX('18℃'!$C$5:$C$304,MATCH(169,'18℃'!$Z$5:$Z$304,0))))</f>
        <v/>
      </c>
      <c r="C190" s="18" t="str">
        <f>IF(169&gt;MAX('4℃飯'!$AA$5:$AA$302),"",HYPERLINK("#'4℃飯'!D"&amp;(MATCH(169,'4℃飯'!$AA$5:$AA$302,0)+4),INDEX('4℃飯'!$D$5:$D$302,MATCH(169,'4℃飯'!$AA$5:$AA$302,0))))</f>
        <v/>
      </c>
      <c r="D190" s="18" t="str">
        <f>IF(169&gt;MAX('4℃麵'!$AA$5:$AA$305),"",HYPERLINK("#'4℃麵'!D"&amp;(MATCH(169,'4℃麵'!$AA$5:$AA$305,0)+4),INDEX('4℃麵'!$D$5:$D$305,MATCH(169,'4℃麵'!$AA$5:$AA$305,0))))</f>
        <v/>
      </c>
      <c r="E190" s="18" t="str">
        <f>IF(169&gt;MAX('4℃其他'!$AA$5:$AA$302),"",HYPERLINK("#'4℃其他'!D"&amp;(MATCH(169,'4℃其他'!$AA$5:$AA$302,0)+4),INDEX('4℃其他'!$D$5:$D$302,MATCH(169,'4℃其他'!$AA$5:$AA$302,0))))</f>
        <v/>
      </c>
      <c r="F190" s="18" t="str">
        <f>IF(169&gt;MAX(冷凍品!$Z$5:$Z$304),"",HYPERLINK("#'冷凍品'!C"&amp;(MATCH(169,冷凍品!$Z$5:$Z$304,0)+4),INDEX(冷凍品!$C$5:$C$304,MATCH(169,冷凍品!$Z$5:$Z$304,0))))</f>
        <v/>
      </c>
    </row>
    <row r="191" spans="2:6">
      <c r="B191" s="18" t="str">
        <f>IF(170&gt;MAX('18℃'!$Z$5:$Z$304),"",HYPERLINK("#'18℃'!C"&amp;(MATCH(170,'18℃'!$Z$5:$Z$304,0)+4),INDEX('18℃'!$C$5:$C$304,MATCH(170,'18℃'!$Z$5:$Z$304,0))))</f>
        <v/>
      </c>
      <c r="C191" s="18" t="str">
        <f>IF(170&gt;MAX('4℃飯'!$AA$5:$AA$302),"",HYPERLINK("#'4℃飯'!D"&amp;(MATCH(170,'4℃飯'!$AA$5:$AA$302,0)+4),INDEX('4℃飯'!$D$5:$D$302,MATCH(170,'4℃飯'!$AA$5:$AA$302,0))))</f>
        <v/>
      </c>
      <c r="D191" s="18" t="str">
        <f>IF(170&gt;MAX('4℃麵'!$AA$5:$AA$305),"",HYPERLINK("#'4℃麵'!D"&amp;(MATCH(170,'4℃麵'!$AA$5:$AA$305,0)+4),INDEX('4℃麵'!$D$5:$D$305,MATCH(170,'4℃麵'!$AA$5:$AA$305,0))))</f>
        <v/>
      </c>
      <c r="E191" s="18" t="str">
        <f>IF(170&gt;MAX('4℃其他'!$AA$5:$AA$302),"",HYPERLINK("#'4℃其他'!D"&amp;(MATCH(170,'4℃其他'!$AA$5:$AA$302,0)+4),INDEX('4℃其他'!$D$5:$D$302,MATCH(170,'4℃其他'!$AA$5:$AA$302,0))))</f>
        <v/>
      </c>
      <c r="F191" s="18" t="str">
        <f>IF(170&gt;MAX(冷凍品!$Z$5:$Z$304),"",HYPERLINK("#'冷凍品'!C"&amp;(MATCH(170,冷凍品!$Z$5:$Z$304,0)+4),INDEX(冷凍品!$C$5:$C$304,MATCH(170,冷凍品!$Z$5:$Z$304,0))))</f>
        <v/>
      </c>
    </row>
    <row r="192" spans="2:6">
      <c r="B192" s="18" t="str">
        <f>IF(171&gt;MAX('18℃'!$Z$5:$Z$304),"",HYPERLINK("#'18℃'!C"&amp;(MATCH(171,'18℃'!$Z$5:$Z$304,0)+4),INDEX('18℃'!$C$5:$C$304,MATCH(171,'18℃'!$Z$5:$Z$304,0))))</f>
        <v/>
      </c>
      <c r="C192" s="18" t="str">
        <f>IF(171&gt;MAX('4℃飯'!$AA$5:$AA$302),"",HYPERLINK("#'4℃飯'!D"&amp;(MATCH(171,'4℃飯'!$AA$5:$AA$302,0)+4),INDEX('4℃飯'!$D$5:$D$302,MATCH(171,'4℃飯'!$AA$5:$AA$302,0))))</f>
        <v/>
      </c>
      <c r="D192" s="18" t="str">
        <f>IF(171&gt;MAX('4℃麵'!$AA$5:$AA$305),"",HYPERLINK("#'4℃麵'!D"&amp;(MATCH(171,'4℃麵'!$AA$5:$AA$305,0)+4),INDEX('4℃麵'!$D$5:$D$305,MATCH(171,'4℃麵'!$AA$5:$AA$305,0))))</f>
        <v/>
      </c>
      <c r="E192" s="18" t="str">
        <f>IF(171&gt;MAX('4℃其他'!$AA$5:$AA$302),"",HYPERLINK("#'4℃其他'!D"&amp;(MATCH(171,'4℃其他'!$AA$5:$AA$302,0)+4),INDEX('4℃其他'!$D$5:$D$302,MATCH(171,'4℃其他'!$AA$5:$AA$302,0))))</f>
        <v/>
      </c>
      <c r="F192" s="18" t="str">
        <f>IF(171&gt;MAX(冷凍品!$Z$5:$Z$304),"",HYPERLINK("#'冷凍品'!C"&amp;(MATCH(171,冷凍品!$Z$5:$Z$304,0)+4),INDEX(冷凍品!$C$5:$C$304,MATCH(171,冷凍品!$Z$5:$Z$304,0))))</f>
        <v/>
      </c>
    </row>
    <row r="193" spans="2:6">
      <c r="B193" s="18" t="str">
        <f>IF(172&gt;MAX('18℃'!$Z$5:$Z$304),"",HYPERLINK("#'18℃'!C"&amp;(MATCH(172,'18℃'!$Z$5:$Z$304,0)+4),INDEX('18℃'!$C$5:$C$304,MATCH(172,'18℃'!$Z$5:$Z$304,0))))</f>
        <v/>
      </c>
      <c r="C193" s="18" t="str">
        <f>IF(172&gt;MAX('4℃飯'!$AA$5:$AA$302),"",HYPERLINK("#'4℃飯'!D"&amp;(MATCH(172,'4℃飯'!$AA$5:$AA$302,0)+4),INDEX('4℃飯'!$D$5:$D$302,MATCH(172,'4℃飯'!$AA$5:$AA$302,0))))</f>
        <v/>
      </c>
      <c r="D193" s="18" t="str">
        <f>IF(172&gt;MAX('4℃麵'!$AA$5:$AA$305),"",HYPERLINK("#'4℃麵'!D"&amp;(MATCH(172,'4℃麵'!$AA$5:$AA$305,0)+4),INDEX('4℃麵'!$D$5:$D$305,MATCH(172,'4℃麵'!$AA$5:$AA$305,0))))</f>
        <v/>
      </c>
      <c r="E193" s="18" t="str">
        <f>IF(172&gt;MAX('4℃其他'!$AA$5:$AA$302),"",HYPERLINK("#'4℃其他'!D"&amp;(MATCH(172,'4℃其他'!$AA$5:$AA$302,0)+4),INDEX('4℃其他'!$D$5:$D$302,MATCH(172,'4℃其他'!$AA$5:$AA$302,0))))</f>
        <v/>
      </c>
      <c r="F193" s="18" t="str">
        <f>IF(172&gt;MAX(冷凍品!$Z$5:$Z$304),"",HYPERLINK("#'冷凍品'!C"&amp;(MATCH(172,冷凍品!$Z$5:$Z$304,0)+4),INDEX(冷凍品!$C$5:$C$304,MATCH(172,冷凍品!$Z$5:$Z$304,0))))</f>
        <v/>
      </c>
    </row>
    <row r="194" spans="2:6">
      <c r="B194" s="18" t="str">
        <f>IF(173&gt;MAX('18℃'!$Z$5:$Z$304),"",HYPERLINK("#'18℃'!C"&amp;(MATCH(173,'18℃'!$Z$5:$Z$304,0)+4),INDEX('18℃'!$C$5:$C$304,MATCH(173,'18℃'!$Z$5:$Z$304,0))))</f>
        <v/>
      </c>
      <c r="C194" s="18" t="str">
        <f>IF(173&gt;MAX('4℃飯'!$AA$5:$AA$302),"",HYPERLINK("#'4℃飯'!D"&amp;(MATCH(173,'4℃飯'!$AA$5:$AA$302,0)+4),INDEX('4℃飯'!$D$5:$D$302,MATCH(173,'4℃飯'!$AA$5:$AA$302,0))))</f>
        <v/>
      </c>
      <c r="D194" s="18" t="str">
        <f>IF(173&gt;MAX('4℃麵'!$AA$5:$AA$305),"",HYPERLINK("#'4℃麵'!D"&amp;(MATCH(173,'4℃麵'!$AA$5:$AA$305,0)+4),INDEX('4℃麵'!$D$5:$D$305,MATCH(173,'4℃麵'!$AA$5:$AA$305,0))))</f>
        <v/>
      </c>
      <c r="E194" s="18" t="str">
        <f>IF(173&gt;MAX('4℃其他'!$AA$5:$AA$302),"",HYPERLINK("#'4℃其他'!D"&amp;(MATCH(173,'4℃其他'!$AA$5:$AA$302,0)+4),INDEX('4℃其他'!$D$5:$D$302,MATCH(173,'4℃其他'!$AA$5:$AA$302,0))))</f>
        <v/>
      </c>
      <c r="F194" s="18" t="str">
        <f>IF(173&gt;MAX(冷凍品!$Z$5:$Z$304),"",HYPERLINK("#'冷凍品'!C"&amp;(MATCH(173,冷凍品!$Z$5:$Z$304,0)+4),INDEX(冷凍品!$C$5:$C$304,MATCH(173,冷凍品!$Z$5:$Z$304,0))))</f>
        <v/>
      </c>
    </row>
    <row r="195" spans="2:6">
      <c r="B195" s="18" t="str">
        <f>IF(174&gt;MAX('18℃'!$Z$5:$Z$304),"",HYPERLINK("#'18℃'!C"&amp;(MATCH(174,'18℃'!$Z$5:$Z$304,0)+4),INDEX('18℃'!$C$5:$C$304,MATCH(174,'18℃'!$Z$5:$Z$304,0))))</f>
        <v/>
      </c>
      <c r="C195" s="18" t="str">
        <f>IF(174&gt;MAX('4℃飯'!$AA$5:$AA$302),"",HYPERLINK("#'4℃飯'!D"&amp;(MATCH(174,'4℃飯'!$AA$5:$AA$302,0)+4),INDEX('4℃飯'!$D$5:$D$302,MATCH(174,'4℃飯'!$AA$5:$AA$302,0))))</f>
        <v/>
      </c>
      <c r="D195" s="18" t="str">
        <f>IF(174&gt;MAX('4℃麵'!$AA$5:$AA$305),"",HYPERLINK("#'4℃麵'!D"&amp;(MATCH(174,'4℃麵'!$AA$5:$AA$305,0)+4),INDEX('4℃麵'!$D$5:$D$305,MATCH(174,'4℃麵'!$AA$5:$AA$305,0))))</f>
        <v/>
      </c>
      <c r="E195" s="18" t="str">
        <f>IF(174&gt;MAX('4℃其他'!$AA$5:$AA$302),"",HYPERLINK("#'4℃其他'!D"&amp;(MATCH(174,'4℃其他'!$AA$5:$AA$302,0)+4),INDEX('4℃其他'!$D$5:$D$302,MATCH(174,'4℃其他'!$AA$5:$AA$302,0))))</f>
        <v/>
      </c>
      <c r="F195" s="18" t="str">
        <f>IF(174&gt;MAX(冷凍品!$Z$5:$Z$304),"",HYPERLINK("#'冷凍品'!C"&amp;(MATCH(174,冷凍品!$Z$5:$Z$304,0)+4),INDEX(冷凍品!$C$5:$C$304,MATCH(174,冷凍品!$Z$5:$Z$304,0))))</f>
        <v/>
      </c>
    </row>
    <row r="196" spans="2:6">
      <c r="B196" s="18" t="str">
        <f>IF(175&gt;MAX('18℃'!$Z$5:$Z$304),"",HYPERLINK("#'18℃'!C"&amp;(MATCH(175,'18℃'!$Z$5:$Z$304,0)+4),INDEX('18℃'!$C$5:$C$304,MATCH(175,'18℃'!$Z$5:$Z$304,0))))</f>
        <v/>
      </c>
      <c r="C196" s="18" t="str">
        <f>IF(175&gt;MAX('4℃飯'!$AA$5:$AA$302),"",HYPERLINK("#'4℃飯'!D"&amp;(MATCH(175,'4℃飯'!$AA$5:$AA$302,0)+4),INDEX('4℃飯'!$D$5:$D$302,MATCH(175,'4℃飯'!$AA$5:$AA$302,0))))</f>
        <v/>
      </c>
      <c r="D196" s="18" t="str">
        <f>IF(175&gt;MAX('4℃麵'!$AA$5:$AA$305),"",HYPERLINK("#'4℃麵'!D"&amp;(MATCH(175,'4℃麵'!$AA$5:$AA$305,0)+4),INDEX('4℃麵'!$D$5:$D$305,MATCH(175,'4℃麵'!$AA$5:$AA$305,0))))</f>
        <v/>
      </c>
      <c r="E196" s="18" t="str">
        <f>IF(175&gt;MAX('4℃其他'!$AA$5:$AA$302),"",HYPERLINK("#'4℃其他'!D"&amp;(MATCH(175,'4℃其他'!$AA$5:$AA$302,0)+4),INDEX('4℃其他'!$D$5:$D$302,MATCH(175,'4℃其他'!$AA$5:$AA$302,0))))</f>
        <v/>
      </c>
      <c r="F196" s="18" t="str">
        <f>IF(175&gt;MAX(冷凍品!$Z$5:$Z$304),"",HYPERLINK("#'冷凍品'!C"&amp;(MATCH(175,冷凍品!$Z$5:$Z$304,0)+4),INDEX(冷凍品!$C$5:$C$304,MATCH(175,冷凍品!$Z$5:$Z$304,0))))</f>
        <v/>
      </c>
    </row>
    <row r="197" spans="2:6">
      <c r="B197" s="18" t="str">
        <f>IF(176&gt;MAX('18℃'!$Z$5:$Z$304),"",HYPERLINK("#'18℃'!C"&amp;(MATCH(176,'18℃'!$Z$5:$Z$304,0)+4),INDEX('18℃'!$C$5:$C$304,MATCH(176,'18℃'!$Z$5:$Z$304,0))))</f>
        <v/>
      </c>
      <c r="C197" s="18" t="str">
        <f>IF(176&gt;MAX('4℃飯'!$AA$5:$AA$302),"",HYPERLINK("#'4℃飯'!D"&amp;(MATCH(176,'4℃飯'!$AA$5:$AA$302,0)+4),INDEX('4℃飯'!$D$5:$D$302,MATCH(176,'4℃飯'!$AA$5:$AA$302,0))))</f>
        <v/>
      </c>
      <c r="D197" s="18" t="str">
        <f>IF(176&gt;MAX('4℃麵'!$AA$5:$AA$305),"",HYPERLINK("#'4℃麵'!D"&amp;(MATCH(176,'4℃麵'!$AA$5:$AA$305,0)+4),INDEX('4℃麵'!$D$5:$D$305,MATCH(176,'4℃麵'!$AA$5:$AA$305,0))))</f>
        <v/>
      </c>
      <c r="E197" s="18" t="str">
        <f>IF(176&gt;MAX('4℃其他'!$AA$5:$AA$302),"",HYPERLINK("#'4℃其他'!D"&amp;(MATCH(176,'4℃其他'!$AA$5:$AA$302,0)+4),INDEX('4℃其他'!$D$5:$D$302,MATCH(176,'4℃其他'!$AA$5:$AA$302,0))))</f>
        <v/>
      </c>
      <c r="F197" s="18" t="str">
        <f>IF(176&gt;MAX(冷凍品!$Z$5:$Z$304),"",HYPERLINK("#'冷凍品'!C"&amp;(MATCH(176,冷凍品!$Z$5:$Z$304,0)+4),INDEX(冷凍品!$C$5:$C$304,MATCH(176,冷凍品!$Z$5:$Z$304,0))))</f>
        <v/>
      </c>
    </row>
    <row r="198" spans="2:6">
      <c r="B198" s="18" t="str">
        <f>IF(177&gt;MAX('18℃'!$Z$5:$Z$304),"",HYPERLINK("#'18℃'!C"&amp;(MATCH(177,'18℃'!$Z$5:$Z$304,0)+4),INDEX('18℃'!$C$5:$C$304,MATCH(177,'18℃'!$Z$5:$Z$304,0))))</f>
        <v/>
      </c>
      <c r="C198" s="18" t="str">
        <f>IF(177&gt;MAX('4℃飯'!$AA$5:$AA$302),"",HYPERLINK("#'4℃飯'!D"&amp;(MATCH(177,'4℃飯'!$AA$5:$AA$302,0)+4),INDEX('4℃飯'!$D$5:$D$302,MATCH(177,'4℃飯'!$AA$5:$AA$302,0))))</f>
        <v/>
      </c>
      <c r="D198" s="18" t="str">
        <f>IF(177&gt;MAX('4℃麵'!$AA$5:$AA$305),"",HYPERLINK("#'4℃麵'!D"&amp;(MATCH(177,'4℃麵'!$AA$5:$AA$305,0)+4),INDEX('4℃麵'!$D$5:$D$305,MATCH(177,'4℃麵'!$AA$5:$AA$305,0))))</f>
        <v/>
      </c>
      <c r="E198" s="18" t="str">
        <f>IF(177&gt;MAX('4℃其他'!$AA$5:$AA$302),"",HYPERLINK("#'4℃其他'!D"&amp;(MATCH(177,'4℃其他'!$AA$5:$AA$302,0)+4),INDEX('4℃其他'!$D$5:$D$302,MATCH(177,'4℃其他'!$AA$5:$AA$302,0))))</f>
        <v/>
      </c>
      <c r="F198" s="18" t="str">
        <f>IF(177&gt;MAX(冷凍品!$Z$5:$Z$304),"",HYPERLINK("#'冷凍品'!C"&amp;(MATCH(177,冷凍品!$Z$5:$Z$304,0)+4),INDEX(冷凍品!$C$5:$C$304,MATCH(177,冷凍品!$Z$5:$Z$304,0))))</f>
        <v/>
      </c>
    </row>
    <row r="199" spans="2:6">
      <c r="B199" s="18" t="str">
        <f>IF(178&gt;MAX('18℃'!$Z$5:$Z$304),"",HYPERLINK("#'18℃'!C"&amp;(MATCH(178,'18℃'!$Z$5:$Z$304,0)+4),INDEX('18℃'!$C$5:$C$304,MATCH(178,'18℃'!$Z$5:$Z$304,0))))</f>
        <v/>
      </c>
      <c r="C199" s="18" t="str">
        <f>IF(178&gt;MAX('4℃飯'!$AA$5:$AA$302),"",HYPERLINK("#'4℃飯'!D"&amp;(MATCH(178,'4℃飯'!$AA$5:$AA$302,0)+4),INDEX('4℃飯'!$D$5:$D$302,MATCH(178,'4℃飯'!$AA$5:$AA$302,0))))</f>
        <v/>
      </c>
      <c r="D199" s="18" t="str">
        <f>IF(178&gt;MAX('4℃麵'!$AA$5:$AA$305),"",HYPERLINK("#'4℃麵'!D"&amp;(MATCH(178,'4℃麵'!$AA$5:$AA$305,0)+4),INDEX('4℃麵'!$D$5:$D$305,MATCH(178,'4℃麵'!$AA$5:$AA$305,0))))</f>
        <v/>
      </c>
      <c r="E199" s="18" t="str">
        <f>IF(178&gt;MAX('4℃其他'!$AA$5:$AA$302),"",HYPERLINK("#'4℃其他'!D"&amp;(MATCH(178,'4℃其他'!$AA$5:$AA$302,0)+4),INDEX('4℃其他'!$D$5:$D$302,MATCH(178,'4℃其他'!$AA$5:$AA$302,0))))</f>
        <v/>
      </c>
      <c r="F199" s="18" t="str">
        <f>IF(178&gt;MAX(冷凍品!$Z$5:$Z$304),"",HYPERLINK("#'冷凍品'!C"&amp;(MATCH(178,冷凍品!$Z$5:$Z$304,0)+4),INDEX(冷凍品!$C$5:$C$304,MATCH(178,冷凍品!$Z$5:$Z$304,0))))</f>
        <v/>
      </c>
    </row>
    <row r="200" spans="2:6">
      <c r="B200" s="18" t="str">
        <f>IF(179&gt;MAX('18℃'!$Z$5:$Z$304),"",HYPERLINK("#'18℃'!C"&amp;(MATCH(179,'18℃'!$Z$5:$Z$304,0)+4),INDEX('18℃'!$C$5:$C$304,MATCH(179,'18℃'!$Z$5:$Z$304,0))))</f>
        <v/>
      </c>
      <c r="C200" s="18" t="str">
        <f>IF(179&gt;MAX('4℃飯'!$AA$5:$AA$302),"",HYPERLINK("#'4℃飯'!D"&amp;(MATCH(179,'4℃飯'!$AA$5:$AA$302,0)+4),INDEX('4℃飯'!$D$5:$D$302,MATCH(179,'4℃飯'!$AA$5:$AA$302,0))))</f>
        <v/>
      </c>
      <c r="D200" s="18" t="str">
        <f>IF(179&gt;MAX('4℃麵'!$AA$5:$AA$305),"",HYPERLINK("#'4℃麵'!D"&amp;(MATCH(179,'4℃麵'!$AA$5:$AA$305,0)+4),INDEX('4℃麵'!$D$5:$D$305,MATCH(179,'4℃麵'!$AA$5:$AA$305,0))))</f>
        <v/>
      </c>
      <c r="E200" s="18" t="str">
        <f>IF(179&gt;MAX('4℃其他'!$AA$5:$AA$302),"",HYPERLINK("#'4℃其他'!D"&amp;(MATCH(179,'4℃其他'!$AA$5:$AA$302,0)+4),INDEX('4℃其他'!$D$5:$D$302,MATCH(179,'4℃其他'!$AA$5:$AA$302,0))))</f>
        <v/>
      </c>
      <c r="F200" s="18" t="str">
        <f>IF(179&gt;MAX(冷凍品!$Z$5:$Z$304),"",HYPERLINK("#'冷凍品'!C"&amp;(MATCH(179,冷凍品!$Z$5:$Z$304,0)+4),INDEX(冷凍品!$C$5:$C$304,MATCH(179,冷凍品!$Z$5:$Z$304,0))))</f>
        <v/>
      </c>
    </row>
    <row r="201" spans="2:6">
      <c r="B201" s="18" t="str">
        <f>IF(180&gt;MAX('18℃'!$Z$5:$Z$304),"",HYPERLINK("#'18℃'!C"&amp;(MATCH(180,'18℃'!$Z$5:$Z$304,0)+4),INDEX('18℃'!$C$5:$C$304,MATCH(180,'18℃'!$Z$5:$Z$304,0))))</f>
        <v/>
      </c>
      <c r="C201" s="18" t="str">
        <f>IF(180&gt;MAX('4℃飯'!$AA$5:$AA$302),"",HYPERLINK("#'4℃飯'!D"&amp;(MATCH(180,'4℃飯'!$AA$5:$AA$302,0)+4),INDEX('4℃飯'!$D$5:$D$302,MATCH(180,'4℃飯'!$AA$5:$AA$302,0))))</f>
        <v/>
      </c>
      <c r="D201" s="18" t="str">
        <f>IF(180&gt;MAX('4℃麵'!$AA$5:$AA$305),"",HYPERLINK("#'4℃麵'!D"&amp;(MATCH(180,'4℃麵'!$AA$5:$AA$305,0)+4),INDEX('4℃麵'!$D$5:$D$305,MATCH(180,'4℃麵'!$AA$5:$AA$305,0))))</f>
        <v/>
      </c>
      <c r="E201" s="18" t="str">
        <f>IF(180&gt;MAX('4℃其他'!$AA$5:$AA$302),"",HYPERLINK("#'4℃其他'!D"&amp;(MATCH(180,'4℃其他'!$AA$5:$AA$302,0)+4),INDEX('4℃其他'!$D$5:$D$302,MATCH(180,'4℃其他'!$AA$5:$AA$302,0))))</f>
        <v/>
      </c>
      <c r="F201" s="18" t="str">
        <f>IF(180&gt;MAX(冷凍品!$Z$5:$Z$304),"",HYPERLINK("#'冷凍品'!C"&amp;(MATCH(180,冷凍品!$Z$5:$Z$304,0)+4),INDEX(冷凍品!$C$5:$C$304,MATCH(180,冷凍品!$Z$5:$Z$304,0))))</f>
        <v/>
      </c>
    </row>
    <row r="202" spans="2:6">
      <c r="B202" s="18" t="str">
        <f>IF(181&gt;MAX('18℃'!$Z$5:$Z$304),"",HYPERLINK("#'18℃'!C"&amp;(MATCH(181,'18℃'!$Z$5:$Z$304,0)+4),INDEX('18℃'!$C$5:$C$304,MATCH(181,'18℃'!$Z$5:$Z$304,0))))</f>
        <v/>
      </c>
      <c r="C202" s="18" t="str">
        <f>IF(181&gt;MAX('4℃飯'!$AA$5:$AA$302),"",HYPERLINK("#'4℃飯'!D"&amp;(MATCH(181,'4℃飯'!$AA$5:$AA$302,0)+4),INDEX('4℃飯'!$D$5:$D$302,MATCH(181,'4℃飯'!$AA$5:$AA$302,0))))</f>
        <v/>
      </c>
      <c r="D202" s="18" t="str">
        <f>IF(181&gt;MAX('4℃麵'!$AA$5:$AA$305),"",HYPERLINK("#'4℃麵'!D"&amp;(MATCH(181,'4℃麵'!$AA$5:$AA$305,0)+4),INDEX('4℃麵'!$D$5:$D$305,MATCH(181,'4℃麵'!$AA$5:$AA$305,0))))</f>
        <v/>
      </c>
      <c r="E202" s="18" t="str">
        <f>IF(181&gt;MAX('4℃其他'!$AA$5:$AA$302),"",HYPERLINK("#'4℃其他'!D"&amp;(MATCH(181,'4℃其他'!$AA$5:$AA$302,0)+4),INDEX('4℃其他'!$D$5:$D$302,MATCH(181,'4℃其他'!$AA$5:$AA$302,0))))</f>
        <v/>
      </c>
      <c r="F202" s="18" t="str">
        <f>IF(181&gt;MAX(冷凍品!$Z$5:$Z$304),"",HYPERLINK("#'冷凍品'!C"&amp;(MATCH(181,冷凍品!$Z$5:$Z$304,0)+4),INDEX(冷凍品!$C$5:$C$304,MATCH(181,冷凍品!$Z$5:$Z$304,0))))</f>
        <v/>
      </c>
    </row>
    <row r="203" spans="2:6">
      <c r="B203" s="18" t="str">
        <f>IF(182&gt;MAX('18℃'!$Z$5:$Z$304),"",HYPERLINK("#'18℃'!C"&amp;(MATCH(182,'18℃'!$Z$5:$Z$304,0)+4),INDEX('18℃'!$C$5:$C$304,MATCH(182,'18℃'!$Z$5:$Z$304,0))))</f>
        <v/>
      </c>
      <c r="C203" s="18" t="str">
        <f>IF(182&gt;MAX('4℃飯'!$AA$5:$AA$302),"",HYPERLINK("#'4℃飯'!D"&amp;(MATCH(182,'4℃飯'!$AA$5:$AA$302,0)+4),INDEX('4℃飯'!$D$5:$D$302,MATCH(182,'4℃飯'!$AA$5:$AA$302,0))))</f>
        <v/>
      </c>
      <c r="D203" s="18" t="str">
        <f>IF(182&gt;MAX('4℃麵'!$AA$5:$AA$305),"",HYPERLINK("#'4℃麵'!D"&amp;(MATCH(182,'4℃麵'!$AA$5:$AA$305,0)+4),INDEX('4℃麵'!$D$5:$D$305,MATCH(182,'4℃麵'!$AA$5:$AA$305,0))))</f>
        <v/>
      </c>
      <c r="E203" s="18" t="str">
        <f>IF(182&gt;MAX('4℃其他'!$AA$5:$AA$302),"",HYPERLINK("#'4℃其他'!D"&amp;(MATCH(182,'4℃其他'!$AA$5:$AA$302,0)+4),INDEX('4℃其他'!$D$5:$D$302,MATCH(182,'4℃其他'!$AA$5:$AA$302,0))))</f>
        <v/>
      </c>
      <c r="F203" s="18" t="str">
        <f>IF(182&gt;MAX(冷凍品!$Z$5:$Z$304),"",HYPERLINK("#'冷凍品'!C"&amp;(MATCH(182,冷凍品!$Z$5:$Z$304,0)+4),INDEX(冷凍品!$C$5:$C$304,MATCH(182,冷凍品!$Z$5:$Z$304,0))))</f>
        <v/>
      </c>
    </row>
    <row r="204" spans="2:6">
      <c r="B204" s="18" t="str">
        <f>IF(183&gt;MAX('18℃'!$Z$5:$Z$304),"",HYPERLINK("#'18℃'!C"&amp;(MATCH(183,'18℃'!$Z$5:$Z$304,0)+4),INDEX('18℃'!$C$5:$C$304,MATCH(183,'18℃'!$Z$5:$Z$304,0))))</f>
        <v/>
      </c>
      <c r="C204" s="18" t="str">
        <f>IF(183&gt;MAX('4℃飯'!$AA$5:$AA$302),"",HYPERLINK("#'4℃飯'!D"&amp;(MATCH(183,'4℃飯'!$AA$5:$AA$302,0)+4),INDEX('4℃飯'!$D$5:$D$302,MATCH(183,'4℃飯'!$AA$5:$AA$302,0))))</f>
        <v/>
      </c>
      <c r="D204" s="18" t="str">
        <f>IF(183&gt;MAX('4℃麵'!$AA$5:$AA$305),"",HYPERLINK("#'4℃麵'!D"&amp;(MATCH(183,'4℃麵'!$AA$5:$AA$305,0)+4),INDEX('4℃麵'!$D$5:$D$305,MATCH(183,'4℃麵'!$AA$5:$AA$305,0))))</f>
        <v/>
      </c>
      <c r="E204" s="18" t="str">
        <f>IF(183&gt;MAX('4℃其他'!$AA$5:$AA$302),"",HYPERLINK("#'4℃其他'!D"&amp;(MATCH(183,'4℃其他'!$AA$5:$AA$302,0)+4),INDEX('4℃其他'!$D$5:$D$302,MATCH(183,'4℃其他'!$AA$5:$AA$302,0))))</f>
        <v/>
      </c>
      <c r="F204" s="18" t="str">
        <f>IF(183&gt;MAX(冷凍品!$Z$5:$Z$304),"",HYPERLINK("#'冷凍品'!C"&amp;(MATCH(183,冷凍品!$Z$5:$Z$304,0)+4),INDEX(冷凍品!$C$5:$C$304,MATCH(183,冷凍品!$Z$5:$Z$304,0))))</f>
        <v/>
      </c>
    </row>
    <row r="205" spans="2:6">
      <c r="B205" s="18" t="str">
        <f>IF(184&gt;MAX('18℃'!$Z$5:$Z$304),"",HYPERLINK("#'18℃'!C"&amp;(MATCH(184,'18℃'!$Z$5:$Z$304,0)+4),INDEX('18℃'!$C$5:$C$304,MATCH(184,'18℃'!$Z$5:$Z$304,0))))</f>
        <v/>
      </c>
      <c r="C205" s="18" t="str">
        <f>IF(184&gt;MAX('4℃飯'!$AA$5:$AA$302),"",HYPERLINK("#'4℃飯'!D"&amp;(MATCH(184,'4℃飯'!$AA$5:$AA$302,0)+4),INDEX('4℃飯'!$D$5:$D$302,MATCH(184,'4℃飯'!$AA$5:$AA$302,0))))</f>
        <v/>
      </c>
      <c r="D205" s="18" t="str">
        <f>IF(184&gt;MAX('4℃麵'!$AA$5:$AA$305),"",HYPERLINK("#'4℃麵'!D"&amp;(MATCH(184,'4℃麵'!$AA$5:$AA$305,0)+4),INDEX('4℃麵'!$D$5:$D$305,MATCH(184,'4℃麵'!$AA$5:$AA$305,0))))</f>
        <v/>
      </c>
      <c r="E205" s="18" t="str">
        <f>IF(184&gt;MAX('4℃其他'!$AA$5:$AA$302),"",HYPERLINK("#'4℃其他'!D"&amp;(MATCH(184,'4℃其他'!$AA$5:$AA$302,0)+4),INDEX('4℃其他'!$D$5:$D$302,MATCH(184,'4℃其他'!$AA$5:$AA$302,0))))</f>
        <v/>
      </c>
      <c r="F205" s="18" t="str">
        <f>IF(184&gt;MAX(冷凍品!$Z$5:$Z$304),"",HYPERLINK("#'冷凍品'!C"&amp;(MATCH(184,冷凍品!$Z$5:$Z$304,0)+4),INDEX(冷凍品!$C$5:$C$304,MATCH(184,冷凍品!$Z$5:$Z$304,0))))</f>
        <v/>
      </c>
    </row>
    <row r="206" spans="2:6">
      <c r="B206" s="18" t="str">
        <f>IF(185&gt;MAX('18℃'!$Z$5:$Z$304),"",HYPERLINK("#'18℃'!C"&amp;(MATCH(185,'18℃'!$Z$5:$Z$304,0)+4),INDEX('18℃'!$C$5:$C$304,MATCH(185,'18℃'!$Z$5:$Z$304,0))))</f>
        <v/>
      </c>
      <c r="C206" s="18" t="str">
        <f>IF(185&gt;MAX('4℃飯'!$AA$5:$AA$302),"",HYPERLINK("#'4℃飯'!D"&amp;(MATCH(185,'4℃飯'!$AA$5:$AA$302,0)+4),INDEX('4℃飯'!$D$5:$D$302,MATCH(185,'4℃飯'!$AA$5:$AA$302,0))))</f>
        <v/>
      </c>
      <c r="D206" s="18" t="str">
        <f>IF(185&gt;MAX('4℃麵'!$AA$5:$AA$305),"",HYPERLINK("#'4℃麵'!D"&amp;(MATCH(185,'4℃麵'!$AA$5:$AA$305,0)+4),INDEX('4℃麵'!$D$5:$D$305,MATCH(185,'4℃麵'!$AA$5:$AA$305,0))))</f>
        <v/>
      </c>
      <c r="E206" s="18" t="str">
        <f>IF(185&gt;MAX('4℃其他'!$AA$5:$AA$302),"",HYPERLINK("#'4℃其他'!D"&amp;(MATCH(185,'4℃其他'!$AA$5:$AA$302,0)+4),INDEX('4℃其他'!$D$5:$D$302,MATCH(185,'4℃其他'!$AA$5:$AA$302,0))))</f>
        <v/>
      </c>
      <c r="F206" s="18" t="str">
        <f>IF(185&gt;MAX(冷凍品!$Z$5:$Z$304),"",HYPERLINK("#'冷凍品'!C"&amp;(MATCH(185,冷凍品!$Z$5:$Z$304,0)+4),INDEX(冷凍品!$C$5:$C$304,MATCH(185,冷凍品!$Z$5:$Z$304,0))))</f>
        <v/>
      </c>
    </row>
    <row r="207" spans="2:6">
      <c r="B207" s="18" t="str">
        <f>IF(186&gt;MAX('18℃'!$Z$5:$Z$304),"",HYPERLINK("#'18℃'!C"&amp;(MATCH(186,'18℃'!$Z$5:$Z$304,0)+4),INDEX('18℃'!$C$5:$C$304,MATCH(186,'18℃'!$Z$5:$Z$304,0))))</f>
        <v/>
      </c>
      <c r="C207" s="18" t="str">
        <f>IF(186&gt;MAX('4℃飯'!$AA$5:$AA$302),"",HYPERLINK("#'4℃飯'!D"&amp;(MATCH(186,'4℃飯'!$AA$5:$AA$302,0)+4),INDEX('4℃飯'!$D$5:$D$302,MATCH(186,'4℃飯'!$AA$5:$AA$302,0))))</f>
        <v/>
      </c>
      <c r="D207" s="18" t="str">
        <f>IF(186&gt;MAX('4℃麵'!$AA$5:$AA$305),"",HYPERLINK("#'4℃麵'!D"&amp;(MATCH(186,'4℃麵'!$AA$5:$AA$305,0)+4),INDEX('4℃麵'!$D$5:$D$305,MATCH(186,'4℃麵'!$AA$5:$AA$305,0))))</f>
        <v/>
      </c>
      <c r="E207" s="18" t="str">
        <f>IF(186&gt;MAX('4℃其他'!$AA$5:$AA$302),"",HYPERLINK("#'4℃其他'!D"&amp;(MATCH(186,'4℃其他'!$AA$5:$AA$302,0)+4),INDEX('4℃其他'!$D$5:$D$302,MATCH(186,'4℃其他'!$AA$5:$AA$302,0))))</f>
        <v/>
      </c>
      <c r="F207" s="18" t="str">
        <f>IF(186&gt;MAX(冷凍品!$Z$5:$Z$304),"",HYPERLINK("#'冷凍品'!C"&amp;(MATCH(186,冷凍品!$Z$5:$Z$304,0)+4),INDEX(冷凍品!$C$5:$C$304,MATCH(186,冷凍品!$Z$5:$Z$304,0))))</f>
        <v/>
      </c>
    </row>
    <row r="208" spans="2:6">
      <c r="B208" s="18" t="str">
        <f>IF(187&gt;MAX('18℃'!$Z$5:$Z$304),"",HYPERLINK("#'18℃'!C"&amp;(MATCH(187,'18℃'!$Z$5:$Z$304,0)+4),INDEX('18℃'!$C$5:$C$304,MATCH(187,'18℃'!$Z$5:$Z$304,0))))</f>
        <v/>
      </c>
      <c r="C208" s="18" t="str">
        <f>IF(187&gt;MAX('4℃飯'!$AA$5:$AA$302),"",HYPERLINK("#'4℃飯'!D"&amp;(MATCH(187,'4℃飯'!$AA$5:$AA$302,0)+4),INDEX('4℃飯'!$D$5:$D$302,MATCH(187,'4℃飯'!$AA$5:$AA$302,0))))</f>
        <v/>
      </c>
      <c r="D208" s="18" t="str">
        <f>IF(187&gt;MAX('4℃麵'!$AA$5:$AA$305),"",HYPERLINK("#'4℃麵'!D"&amp;(MATCH(187,'4℃麵'!$AA$5:$AA$305,0)+4),INDEX('4℃麵'!$D$5:$D$305,MATCH(187,'4℃麵'!$AA$5:$AA$305,0))))</f>
        <v/>
      </c>
      <c r="E208" s="18" t="str">
        <f>IF(187&gt;MAX('4℃其他'!$AA$5:$AA$302),"",HYPERLINK("#'4℃其他'!D"&amp;(MATCH(187,'4℃其他'!$AA$5:$AA$302,0)+4),INDEX('4℃其他'!$D$5:$D$302,MATCH(187,'4℃其他'!$AA$5:$AA$302,0))))</f>
        <v/>
      </c>
      <c r="F208" s="18" t="str">
        <f>IF(187&gt;MAX(冷凍品!$Z$5:$Z$304),"",HYPERLINK("#'冷凍品'!C"&amp;(MATCH(187,冷凍品!$Z$5:$Z$304,0)+4),INDEX(冷凍品!$C$5:$C$304,MATCH(187,冷凍品!$Z$5:$Z$304,0))))</f>
        <v/>
      </c>
    </row>
    <row r="209" spans="2:6">
      <c r="B209" s="18" t="str">
        <f>IF(188&gt;MAX('18℃'!$Z$5:$Z$304),"",HYPERLINK("#'18℃'!C"&amp;(MATCH(188,'18℃'!$Z$5:$Z$304,0)+4),INDEX('18℃'!$C$5:$C$304,MATCH(188,'18℃'!$Z$5:$Z$304,0))))</f>
        <v/>
      </c>
      <c r="C209" s="18" t="str">
        <f>IF(188&gt;MAX('4℃飯'!$AA$5:$AA$302),"",HYPERLINK("#'4℃飯'!D"&amp;(MATCH(188,'4℃飯'!$AA$5:$AA$302,0)+4),INDEX('4℃飯'!$D$5:$D$302,MATCH(188,'4℃飯'!$AA$5:$AA$302,0))))</f>
        <v/>
      </c>
      <c r="D209" s="18" t="str">
        <f>IF(188&gt;MAX('4℃麵'!$AA$5:$AA$305),"",HYPERLINK("#'4℃麵'!D"&amp;(MATCH(188,'4℃麵'!$AA$5:$AA$305,0)+4),INDEX('4℃麵'!$D$5:$D$305,MATCH(188,'4℃麵'!$AA$5:$AA$305,0))))</f>
        <v/>
      </c>
      <c r="E209" s="18" t="str">
        <f>IF(188&gt;MAX('4℃其他'!$AA$5:$AA$302),"",HYPERLINK("#'4℃其他'!D"&amp;(MATCH(188,'4℃其他'!$AA$5:$AA$302,0)+4),INDEX('4℃其他'!$D$5:$D$302,MATCH(188,'4℃其他'!$AA$5:$AA$302,0))))</f>
        <v/>
      </c>
      <c r="F209" s="18" t="str">
        <f>IF(188&gt;MAX(冷凍品!$Z$5:$Z$304),"",HYPERLINK("#'冷凍品'!C"&amp;(MATCH(188,冷凍品!$Z$5:$Z$304,0)+4),INDEX(冷凍品!$C$5:$C$304,MATCH(188,冷凍品!$Z$5:$Z$304,0))))</f>
        <v/>
      </c>
    </row>
    <row r="210" spans="2:6">
      <c r="B210" s="18" t="str">
        <f>IF(189&gt;MAX('18℃'!$Z$5:$Z$304),"",HYPERLINK("#'18℃'!C"&amp;(MATCH(189,'18℃'!$Z$5:$Z$304,0)+4),INDEX('18℃'!$C$5:$C$304,MATCH(189,'18℃'!$Z$5:$Z$304,0))))</f>
        <v/>
      </c>
      <c r="C210" s="18" t="str">
        <f>IF(189&gt;MAX('4℃飯'!$AA$5:$AA$302),"",HYPERLINK("#'4℃飯'!D"&amp;(MATCH(189,'4℃飯'!$AA$5:$AA$302,0)+4),INDEX('4℃飯'!$D$5:$D$302,MATCH(189,'4℃飯'!$AA$5:$AA$302,0))))</f>
        <v/>
      </c>
      <c r="D210" s="18" t="str">
        <f>IF(189&gt;MAX('4℃麵'!$AA$5:$AA$305),"",HYPERLINK("#'4℃麵'!D"&amp;(MATCH(189,'4℃麵'!$AA$5:$AA$305,0)+4),INDEX('4℃麵'!$D$5:$D$305,MATCH(189,'4℃麵'!$AA$5:$AA$305,0))))</f>
        <v/>
      </c>
      <c r="E210" s="18" t="str">
        <f>IF(189&gt;MAX('4℃其他'!$AA$5:$AA$302),"",HYPERLINK("#'4℃其他'!D"&amp;(MATCH(189,'4℃其他'!$AA$5:$AA$302,0)+4),INDEX('4℃其他'!$D$5:$D$302,MATCH(189,'4℃其他'!$AA$5:$AA$302,0))))</f>
        <v/>
      </c>
      <c r="F210" s="18" t="str">
        <f>IF(189&gt;MAX(冷凍品!$Z$5:$Z$304),"",HYPERLINK("#'冷凍品'!C"&amp;(MATCH(189,冷凍品!$Z$5:$Z$304,0)+4),INDEX(冷凍品!$C$5:$C$304,MATCH(189,冷凍品!$Z$5:$Z$304,0))))</f>
        <v/>
      </c>
    </row>
    <row r="211" spans="2:6">
      <c r="B211" s="18" t="str">
        <f>IF(190&gt;MAX('18℃'!$Z$5:$Z$304),"",HYPERLINK("#'18℃'!C"&amp;(MATCH(190,'18℃'!$Z$5:$Z$304,0)+4),INDEX('18℃'!$C$5:$C$304,MATCH(190,'18℃'!$Z$5:$Z$304,0))))</f>
        <v/>
      </c>
      <c r="C211" s="18" t="str">
        <f>IF(190&gt;MAX('4℃飯'!$AA$5:$AA$302),"",HYPERLINK("#'4℃飯'!D"&amp;(MATCH(190,'4℃飯'!$AA$5:$AA$302,0)+4),INDEX('4℃飯'!$D$5:$D$302,MATCH(190,'4℃飯'!$AA$5:$AA$302,0))))</f>
        <v/>
      </c>
      <c r="D211" s="18" t="str">
        <f>IF(190&gt;MAX('4℃麵'!$AA$5:$AA$305),"",HYPERLINK("#'4℃麵'!D"&amp;(MATCH(190,'4℃麵'!$AA$5:$AA$305,0)+4),INDEX('4℃麵'!$D$5:$D$305,MATCH(190,'4℃麵'!$AA$5:$AA$305,0))))</f>
        <v/>
      </c>
      <c r="E211" s="18" t="str">
        <f>IF(190&gt;MAX('4℃其他'!$AA$5:$AA$302),"",HYPERLINK("#'4℃其他'!D"&amp;(MATCH(190,'4℃其他'!$AA$5:$AA$302,0)+4),INDEX('4℃其他'!$D$5:$D$302,MATCH(190,'4℃其他'!$AA$5:$AA$302,0))))</f>
        <v/>
      </c>
      <c r="F211" s="18" t="str">
        <f>IF(190&gt;MAX(冷凍品!$Z$5:$Z$304),"",HYPERLINK("#'冷凍品'!C"&amp;(MATCH(190,冷凍品!$Z$5:$Z$304,0)+4),INDEX(冷凍品!$C$5:$C$304,MATCH(190,冷凍品!$Z$5:$Z$304,0))))</f>
        <v/>
      </c>
    </row>
    <row r="212" spans="2:6">
      <c r="B212" s="18" t="str">
        <f>IF(191&gt;MAX('18℃'!$Z$5:$Z$304),"",HYPERLINK("#'18℃'!C"&amp;(MATCH(191,'18℃'!$Z$5:$Z$304,0)+4),INDEX('18℃'!$C$5:$C$304,MATCH(191,'18℃'!$Z$5:$Z$304,0))))</f>
        <v/>
      </c>
      <c r="C212" s="18" t="str">
        <f>IF(191&gt;MAX('4℃飯'!$AA$5:$AA$302),"",HYPERLINK("#'4℃飯'!D"&amp;(MATCH(191,'4℃飯'!$AA$5:$AA$302,0)+4),INDEX('4℃飯'!$D$5:$D$302,MATCH(191,'4℃飯'!$AA$5:$AA$302,0))))</f>
        <v/>
      </c>
      <c r="D212" s="18" t="str">
        <f>IF(191&gt;MAX('4℃麵'!$AA$5:$AA$305),"",HYPERLINK("#'4℃麵'!D"&amp;(MATCH(191,'4℃麵'!$AA$5:$AA$305,0)+4),INDEX('4℃麵'!$D$5:$D$305,MATCH(191,'4℃麵'!$AA$5:$AA$305,0))))</f>
        <v/>
      </c>
      <c r="E212" s="18" t="str">
        <f>IF(191&gt;MAX('4℃其他'!$AA$5:$AA$302),"",HYPERLINK("#'4℃其他'!D"&amp;(MATCH(191,'4℃其他'!$AA$5:$AA$302,0)+4),INDEX('4℃其他'!$D$5:$D$302,MATCH(191,'4℃其他'!$AA$5:$AA$302,0))))</f>
        <v/>
      </c>
      <c r="F212" s="18" t="str">
        <f>IF(191&gt;MAX(冷凍品!$Z$5:$Z$304),"",HYPERLINK("#'冷凍品'!C"&amp;(MATCH(191,冷凍品!$Z$5:$Z$304,0)+4),INDEX(冷凍品!$C$5:$C$304,MATCH(191,冷凍品!$Z$5:$Z$304,0))))</f>
        <v/>
      </c>
    </row>
    <row r="213" spans="2:6">
      <c r="B213" s="18" t="str">
        <f>IF(192&gt;MAX('18℃'!$Z$5:$Z$304),"",HYPERLINK("#'18℃'!C"&amp;(MATCH(192,'18℃'!$Z$5:$Z$304,0)+4),INDEX('18℃'!$C$5:$C$304,MATCH(192,'18℃'!$Z$5:$Z$304,0))))</f>
        <v/>
      </c>
      <c r="C213" s="18" t="str">
        <f>IF(192&gt;MAX('4℃飯'!$AA$5:$AA$302),"",HYPERLINK("#'4℃飯'!D"&amp;(MATCH(192,'4℃飯'!$AA$5:$AA$302,0)+4),INDEX('4℃飯'!$D$5:$D$302,MATCH(192,'4℃飯'!$AA$5:$AA$302,0))))</f>
        <v/>
      </c>
      <c r="D213" s="18" t="str">
        <f>IF(192&gt;MAX('4℃麵'!$AA$5:$AA$305),"",HYPERLINK("#'4℃麵'!D"&amp;(MATCH(192,'4℃麵'!$AA$5:$AA$305,0)+4),INDEX('4℃麵'!$D$5:$D$305,MATCH(192,'4℃麵'!$AA$5:$AA$305,0))))</f>
        <v/>
      </c>
      <c r="E213" s="18" t="str">
        <f>IF(192&gt;MAX('4℃其他'!$AA$5:$AA$302),"",HYPERLINK("#'4℃其他'!D"&amp;(MATCH(192,'4℃其他'!$AA$5:$AA$302,0)+4),INDEX('4℃其他'!$D$5:$D$302,MATCH(192,'4℃其他'!$AA$5:$AA$302,0))))</f>
        <v/>
      </c>
      <c r="F213" s="18" t="str">
        <f>IF(192&gt;MAX(冷凍品!$Z$5:$Z$304),"",HYPERLINK("#'冷凍品'!C"&amp;(MATCH(192,冷凍品!$Z$5:$Z$304,0)+4),INDEX(冷凍品!$C$5:$C$304,MATCH(192,冷凍品!$Z$5:$Z$304,0))))</f>
        <v/>
      </c>
    </row>
    <row r="214" spans="2:6">
      <c r="B214" s="18" t="str">
        <f>IF(193&gt;MAX('18℃'!$Z$5:$Z$304),"",HYPERLINK("#'18℃'!C"&amp;(MATCH(193,'18℃'!$Z$5:$Z$304,0)+4),INDEX('18℃'!$C$5:$C$304,MATCH(193,'18℃'!$Z$5:$Z$304,0))))</f>
        <v/>
      </c>
      <c r="C214" s="18" t="str">
        <f>IF(193&gt;MAX('4℃飯'!$AA$5:$AA$302),"",HYPERLINK("#'4℃飯'!D"&amp;(MATCH(193,'4℃飯'!$AA$5:$AA$302,0)+4),INDEX('4℃飯'!$D$5:$D$302,MATCH(193,'4℃飯'!$AA$5:$AA$302,0))))</f>
        <v/>
      </c>
      <c r="D214" s="18" t="str">
        <f>IF(193&gt;MAX('4℃麵'!$AA$5:$AA$305),"",HYPERLINK("#'4℃麵'!D"&amp;(MATCH(193,'4℃麵'!$AA$5:$AA$305,0)+4),INDEX('4℃麵'!$D$5:$D$305,MATCH(193,'4℃麵'!$AA$5:$AA$305,0))))</f>
        <v/>
      </c>
      <c r="E214" s="18" t="str">
        <f>IF(193&gt;MAX('4℃其他'!$AA$5:$AA$302),"",HYPERLINK("#'4℃其他'!D"&amp;(MATCH(193,'4℃其他'!$AA$5:$AA$302,0)+4),INDEX('4℃其他'!$D$5:$D$302,MATCH(193,'4℃其他'!$AA$5:$AA$302,0))))</f>
        <v/>
      </c>
      <c r="F214" s="18" t="str">
        <f>IF(193&gt;MAX(冷凍品!$Z$5:$Z$304),"",HYPERLINK("#'冷凍品'!C"&amp;(MATCH(193,冷凍品!$Z$5:$Z$304,0)+4),INDEX(冷凍品!$C$5:$C$304,MATCH(193,冷凍品!$Z$5:$Z$304,0))))</f>
        <v/>
      </c>
    </row>
    <row r="215" spans="2:6">
      <c r="B215" s="18" t="str">
        <f>IF(194&gt;MAX('18℃'!$Z$5:$Z$304),"",HYPERLINK("#'18℃'!C"&amp;(MATCH(194,'18℃'!$Z$5:$Z$304,0)+4),INDEX('18℃'!$C$5:$C$304,MATCH(194,'18℃'!$Z$5:$Z$304,0))))</f>
        <v/>
      </c>
      <c r="C215" s="18" t="str">
        <f>IF(194&gt;MAX('4℃飯'!$AA$5:$AA$302),"",HYPERLINK("#'4℃飯'!D"&amp;(MATCH(194,'4℃飯'!$AA$5:$AA$302,0)+4),INDEX('4℃飯'!$D$5:$D$302,MATCH(194,'4℃飯'!$AA$5:$AA$302,0))))</f>
        <v/>
      </c>
      <c r="D215" s="18" t="str">
        <f>IF(194&gt;MAX('4℃麵'!$AA$5:$AA$305),"",HYPERLINK("#'4℃麵'!D"&amp;(MATCH(194,'4℃麵'!$AA$5:$AA$305,0)+4),INDEX('4℃麵'!$D$5:$D$305,MATCH(194,'4℃麵'!$AA$5:$AA$305,0))))</f>
        <v/>
      </c>
      <c r="E215" s="18" t="str">
        <f>IF(194&gt;MAX('4℃其他'!$AA$5:$AA$302),"",HYPERLINK("#'4℃其他'!D"&amp;(MATCH(194,'4℃其他'!$AA$5:$AA$302,0)+4),INDEX('4℃其他'!$D$5:$D$302,MATCH(194,'4℃其他'!$AA$5:$AA$302,0))))</f>
        <v/>
      </c>
      <c r="F215" s="18" t="str">
        <f>IF(194&gt;MAX(冷凍品!$Z$5:$Z$304),"",HYPERLINK("#'冷凍品'!C"&amp;(MATCH(194,冷凍品!$Z$5:$Z$304,0)+4),INDEX(冷凍品!$C$5:$C$304,MATCH(194,冷凍品!$Z$5:$Z$304,0))))</f>
        <v/>
      </c>
    </row>
    <row r="216" spans="2:6">
      <c r="B216" s="18" t="str">
        <f>IF(195&gt;MAX('18℃'!$Z$5:$Z$304),"",HYPERLINK("#'18℃'!C"&amp;(MATCH(195,'18℃'!$Z$5:$Z$304,0)+4),INDEX('18℃'!$C$5:$C$304,MATCH(195,'18℃'!$Z$5:$Z$304,0))))</f>
        <v/>
      </c>
      <c r="C216" s="18" t="str">
        <f>IF(195&gt;MAX('4℃飯'!$AA$5:$AA$302),"",HYPERLINK("#'4℃飯'!D"&amp;(MATCH(195,'4℃飯'!$AA$5:$AA$302,0)+4),INDEX('4℃飯'!$D$5:$D$302,MATCH(195,'4℃飯'!$AA$5:$AA$302,0))))</f>
        <v/>
      </c>
      <c r="D216" s="18" t="str">
        <f>IF(195&gt;MAX('4℃麵'!$AA$5:$AA$305),"",HYPERLINK("#'4℃麵'!D"&amp;(MATCH(195,'4℃麵'!$AA$5:$AA$305,0)+4),INDEX('4℃麵'!$D$5:$D$305,MATCH(195,'4℃麵'!$AA$5:$AA$305,0))))</f>
        <v/>
      </c>
      <c r="E216" s="18" t="str">
        <f>IF(195&gt;MAX('4℃其他'!$AA$5:$AA$302),"",HYPERLINK("#'4℃其他'!D"&amp;(MATCH(195,'4℃其他'!$AA$5:$AA$302,0)+4),INDEX('4℃其他'!$D$5:$D$302,MATCH(195,'4℃其他'!$AA$5:$AA$302,0))))</f>
        <v/>
      </c>
      <c r="F216" s="18" t="str">
        <f>IF(195&gt;MAX(冷凍品!$Z$5:$Z$304),"",HYPERLINK("#'冷凍品'!C"&amp;(MATCH(195,冷凍品!$Z$5:$Z$304,0)+4),INDEX(冷凍品!$C$5:$C$304,MATCH(195,冷凍品!$Z$5:$Z$304,0))))</f>
        <v/>
      </c>
    </row>
    <row r="217" spans="2:6">
      <c r="B217" s="18" t="str">
        <f>IF(196&gt;MAX('18℃'!$Z$5:$Z$304),"",HYPERLINK("#'18℃'!C"&amp;(MATCH(196,'18℃'!$Z$5:$Z$304,0)+4),INDEX('18℃'!$C$5:$C$304,MATCH(196,'18℃'!$Z$5:$Z$304,0))))</f>
        <v/>
      </c>
      <c r="C217" s="18" t="str">
        <f>IF(196&gt;MAX('4℃飯'!$AA$5:$AA$302),"",HYPERLINK("#'4℃飯'!D"&amp;(MATCH(196,'4℃飯'!$AA$5:$AA$302,0)+4),INDEX('4℃飯'!$D$5:$D$302,MATCH(196,'4℃飯'!$AA$5:$AA$302,0))))</f>
        <v/>
      </c>
      <c r="D217" s="18" t="str">
        <f>IF(196&gt;MAX('4℃麵'!$AA$5:$AA$305),"",HYPERLINK("#'4℃麵'!D"&amp;(MATCH(196,'4℃麵'!$AA$5:$AA$305,0)+4),INDEX('4℃麵'!$D$5:$D$305,MATCH(196,'4℃麵'!$AA$5:$AA$305,0))))</f>
        <v/>
      </c>
      <c r="E217" s="18" t="str">
        <f>IF(196&gt;MAX('4℃其他'!$AA$5:$AA$302),"",HYPERLINK("#'4℃其他'!D"&amp;(MATCH(196,'4℃其他'!$AA$5:$AA$302,0)+4),INDEX('4℃其他'!$D$5:$D$302,MATCH(196,'4℃其他'!$AA$5:$AA$302,0))))</f>
        <v/>
      </c>
      <c r="F217" s="18" t="str">
        <f>IF(196&gt;MAX(冷凍品!$Z$5:$Z$304),"",HYPERLINK("#'冷凍品'!C"&amp;(MATCH(196,冷凍品!$Z$5:$Z$304,0)+4),INDEX(冷凍品!$C$5:$C$304,MATCH(196,冷凍品!$Z$5:$Z$304,0))))</f>
        <v/>
      </c>
    </row>
    <row r="218" spans="2:6">
      <c r="B218" s="18" t="str">
        <f>IF(197&gt;MAX('18℃'!$Z$5:$Z$304),"",HYPERLINK("#'18℃'!C"&amp;(MATCH(197,'18℃'!$Z$5:$Z$304,0)+4),INDEX('18℃'!$C$5:$C$304,MATCH(197,'18℃'!$Z$5:$Z$304,0))))</f>
        <v/>
      </c>
      <c r="C218" s="18" t="str">
        <f>IF(197&gt;MAX('4℃飯'!$AA$5:$AA$302),"",HYPERLINK("#'4℃飯'!D"&amp;(MATCH(197,'4℃飯'!$AA$5:$AA$302,0)+4),INDEX('4℃飯'!$D$5:$D$302,MATCH(197,'4℃飯'!$AA$5:$AA$302,0))))</f>
        <v/>
      </c>
      <c r="D218" s="18" t="str">
        <f>IF(197&gt;MAX('4℃麵'!$AA$5:$AA$305),"",HYPERLINK("#'4℃麵'!D"&amp;(MATCH(197,'4℃麵'!$AA$5:$AA$305,0)+4),INDEX('4℃麵'!$D$5:$D$305,MATCH(197,'4℃麵'!$AA$5:$AA$305,0))))</f>
        <v/>
      </c>
      <c r="E218" s="18" t="str">
        <f>IF(197&gt;MAX('4℃其他'!$AA$5:$AA$302),"",HYPERLINK("#'4℃其他'!D"&amp;(MATCH(197,'4℃其他'!$AA$5:$AA$302,0)+4),INDEX('4℃其他'!$D$5:$D$302,MATCH(197,'4℃其他'!$AA$5:$AA$302,0))))</f>
        <v/>
      </c>
      <c r="F218" s="18" t="str">
        <f>IF(197&gt;MAX(冷凍品!$Z$5:$Z$304),"",HYPERLINK("#'冷凍品'!C"&amp;(MATCH(197,冷凍品!$Z$5:$Z$304,0)+4),INDEX(冷凍品!$C$5:$C$304,MATCH(197,冷凍品!$Z$5:$Z$304,0))))</f>
        <v/>
      </c>
    </row>
    <row r="219" spans="2:6">
      <c r="B219" s="18" t="str">
        <f>IF(198&gt;MAX('18℃'!$Z$5:$Z$304),"",HYPERLINK("#'18℃'!C"&amp;(MATCH(198,'18℃'!$Z$5:$Z$304,0)+4),INDEX('18℃'!$C$5:$C$304,MATCH(198,'18℃'!$Z$5:$Z$304,0))))</f>
        <v/>
      </c>
      <c r="C219" s="18" t="str">
        <f>IF(198&gt;MAX('4℃飯'!$AA$5:$AA$302),"",HYPERLINK("#'4℃飯'!D"&amp;(MATCH(198,'4℃飯'!$AA$5:$AA$302,0)+4),INDEX('4℃飯'!$D$5:$D$302,MATCH(198,'4℃飯'!$AA$5:$AA$302,0))))</f>
        <v/>
      </c>
      <c r="D219" s="18" t="str">
        <f>IF(198&gt;MAX('4℃麵'!$AA$5:$AA$305),"",HYPERLINK("#'4℃麵'!D"&amp;(MATCH(198,'4℃麵'!$AA$5:$AA$305,0)+4),INDEX('4℃麵'!$D$5:$D$305,MATCH(198,'4℃麵'!$AA$5:$AA$305,0))))</f>
        <v/>
      </c>
      <c r="E219" s="18" t="str">
        <f>IF(198&gt;MAX('4℃其他'!$AA$5:$AA$302),"",HYPERLINK("#'4℃其他'!D"&amp;(MATCH(198,'4℃其他'!$AA$5:$AA$302,0)+4),INDEX('4℃其他'!$D$5:$D$302,MATCH(198,'4℃其他'!$AA$5:$AA$302,0))))</f>
        <v/>
      </c>
      <c r="F219" s="18" t="str">
        <f>IF(198&gt;MAX(冷凍品!$Z$5:$Z$304),"",HYPERLINK("#'冷凍品'!C"&amp;(MATCH(198,冷凍品!$Z$5:$Z$304,0)+4),INDEX(冷凍品!$C$5:$C$304,MATCH(198,冷凍品!$Z$5:$Z$304,0))))</f>
        <v/>
      </c>
    </row>
    <row r="220" spans="2:6">
      <c r="B220" s="18" t="str">
        <f>IF(199&gt;MAX('18℃'!$Z$5:$Z$304),"",HYPERLINK("#'18℃'!C"&amp;(MATCH(199,'18℃'!$Z$5:$Z$304,0)+4),INDEX('18℃'!$C$5:$C$304,MATCH(199,'18℃'!$Z$5:$Z$304,0))))</f>
        <v/>
      </c>
      <c r="C220" s="18" t="str">
        <f>IF(199&gt;MAX('4℃飯'!$AA$5:$AA$302),"",HYPERLINK("#'4℃飯'!D"&amp;(MATCH(199,'4℃飯'!$AA$5:$AA$302,0)+4),INDEX('4℃飯'!$D$5:$D$302,MATCH(199,'4℃飯'!$AA$5:$AA$302,0))))</f>
        <v/>
      </c>
      <c r="D220" s="18" t="str">
        <f>IF(199&gt;MAX('4℃麵'!$AA$5:$AA$305),"",HYPERLINK("#'4℃麵'!D"&amp;(MATCH(199,'4℃麵'!$AA$5:$AA$305,0)+4),INDEX('4℃麵'!$D$5:$D$305,MATCH(199,'4℃麵'!$AA$5:$AA$305,0))))</f>
        <v/>
      </c>
      <c r="E220" s="18" t="str">
        <f>IF(199&gt;MAX('4℃其他'!$AA$5:$AA$302),"",HYPERLINK("#'4℃其他'!D"&amp;(MATCH(199,'4℃其他'!$AA$5:$AA$302,0)+4),INDEX('4℃其他'!$D$5:$D$302,MATCH(199,'4℃其他'!$AA$5:$AA$302,0))))</f>
        <v/>
      </c>
      <c r="F220" s="18" t="str">
        <f>IF(199&gt;MAX(冷凍品!$Z$5:$Z$304),"",HYPERLINK("#'冷凍品'!C"&amp;(MATCH(199,冷凍品!$Z$5:$Z$304,0)+4),INDEX(冷凍品!$C$5:$C$304,MATCH(199,冷凍品!$Z$5:$Z$304,0))))</f>
        <v/>
      </c>
    </row>
    <row r="221" spans="2:6">
      <c r="B221" s="18" t="str">
        <f>IF(200&gt;MAX('18℃'!$Z$5:$Z$304),"",HYPERLINK("#'18℃'!C"&amp;(MATCH(200,'18℃'!$Z$5:$Z$304,0)+4),INDEX('18℃'!$C$5:$C$304,MATCH(200,'18℃'!$Z$5:$Z$304,0))))</f>
        <v/>
      </c>
      <c r="C221" s="18" t="str">
        <f>IF(200&gt;MAX('4℃飯'!$AA$5:$AA$302),"",HYPERLINK("#'4℃飯'!D"&amp;(MATCH(200,'4℃飯'!$AA$5:$AA$302,0)+4),INDEX('4℃飯'!$D$5:$D$302,MATCH(200,'4℃飯'!$AA$5:$AA$302,0))))</f>
        <v/>
      </c>
      <c r="D221" s="18" t="str">
        <f>IF(200&gt;MAX('4℃麵'!$AA$5:$AA$305),"",HYPERLINK("#'4℃麵'!D"&amp;(MATCH(200,'4℃麵'!$AA$5:$AA$305,0)+4),INDEX('4℃麵'!$D$5:$D$305,MATCH(200,'4℃麵'!$AA$5:$AA$305,0))))</f>
        <v/>
      </c>
      <c r="E221" s="18" t="str">
        <f>IF(200&gt;MAX('4℃其他'!$AA$5:$AA$302),"",HYPERLINK("#'4℃其他'!D"&amp;(MATCH(200,'4℃其他'!$AA$5:$AA$302,0)+4),INDEX('4℃其他'!$D$5:$D$302,MATCH(200,'4℃其他'!$AA$5:$AA$302,0))))</f>
        <v/>
      </c>
      <c r="F221" s="18" t="str">
        <f>IF(200&gt;MAX(冷凍品!$Z$5:$Z$304),"",HYPERLINK("#'冷凍品'!C"&amp;(MATCH(200,冷凍品!$Z$5:$Z$304,0)+4),INDEX(冷凍品!$C$5:$C$304,MATCH(200,冷凍品!$Z$5:$Z$304,0))))</f>
        <v/>
      </c>
    </row>
    <row r="222" spans="2:6">
      <c r="B222" s="18" t="str">
        <f>IF(201&gt;MAX('18℃'!$Z$5:$Z$304),"",HYPERLINK("#'18℃'!C"&amp;(MATCH(201,'18℃'!$Z$5:$Z$304,0)+4),INDEX('18℃'!$C$5:$C$304,MATCH(201,'18℃'!$Z$5:$Z$304,0))))</f>
        <v/>
      </c>
      <c r="C222" s="18" t="str">
        <f>IF(201&gt;MAX('4℃飯'!$AA$5:$AA$302),"",HYPERLINK("#'4℃飯'!D"&amp;(MATCH(201,'4℃飯'!$AA$5:$AA$302,0)+4),INDEX('4℃飯'!$D$5:$D$302,MATCH(201,'4℃飯'!$AA$5:$AA$302,0))))</f>
        <v/>
      </c>
      <c r="D222" s="18" t="str">
        <f>IF(201&gt;MAX('4℃麵'!$AA$5:$AA$305),"",HYPERLINK("#'4℃麵'!D"&amp;(MATCH(201,'4℃麵'!$AA$5:$AA$305,0)+4),INDEX('4℃麵'!$D$5:$D$305,MATCH(201,'4℃麵'!$AA$5:$AA$305,0))))</f>
        <v/>
      </c>
      <c r="E222" s="18" t="str">
        <f>IF(201&gt;MAX('4℃其他'!$AA$5:$AA$302),"",HYPERLINK("#'4℃其他'!D"&amp;(MATCH(201,'4℃其他'!$AA$5:$AA$302,0)+4),INDEX('4℃其他'!$D$5:$D$302,MATCH(201,'4℃其他'!$AA$5:$AA$302,0))))</f>
        <v/>
      </c>
      <c r="F222" s="18" t="str">
        <f>IF(201&gt;MAX(冷凍品!$Z$5:$Z$304),"",HYPERLINK("#'冷凍品'!C"&amp;(MATCH(201,冷凍品!$Z$5:$Z$304,0)+4),INDEX(冷凍品!$C$5:$C$304,MATCH(201,冷凍品!$Z$5:$Z$304,0))))</f>
        <v/>
      </c>
    </row>
    <row r="223" spans="2:6">
      <c r="B223" s="18" t="str">
        <f>IF(202&gt;MAX('18℃'!$Z$5:$Z$304),"",HYPERLINK("#'18℃'!C"&amp;(MATCH(202,'18℃'!$Z$5:$Z$304,0)+4),INDEX('18℃'!$C$5:$C$304,MATCH(202,'18℃'!$Z$5:$Z$304,0))))</f>
        <v/>
      </c>
      <c r="C223" s="18" t="str">
        <f>IF(202&gt;MAX('4℃飯'!$AA$5:$AA$302),"",HYPERLINK("#'4℃飯'!D"&amp;(MATCH(202,'4℃飯'!$AA$5:$AA$302,0)+4),INDEX('4℃飯'!$D$5:$D$302,MATCH(202,'4℃飯'!$AA$5:$AA$302,0))))</f>
        <v/>
      </c>
      <c r="D223" s="18" t="str">
        <f>IF(202&gt;MAX('4℃麵'!$AA$5:$AA$305),"",HYPERLINK("#'4℃麵'!D"&amp;(MATCH(202,'4℃麵'!$AA$5:$AA$305,0)+4),INDEX('4℃麵'!$D$5:$D$305,MATCH(202,'4℃麵'!$AA$5:$AA$305,0))))</f>
        <v/>
      </c>
      <c r="E223" s="18" t="str">
        <f>IF(202&gt;MAX('4℃其他'!$AA$5:$AA$302),"",HYPERLINK("#'4℃其他'!D"&amp;(MATCH(202,'4℃其他'!$AA$5:$AA$302,0)+4),INDEX('4℃其他'!$D$5:$D$302,MATCH(202,'4℃其他'!$AA$5:$AA$302,0))))</f>
        <v/>
      </c>
      <c r="F223" s="18" t="str">
        <f>IF(202&gt;MAX(冷凍品!$Z$5:$Z$304),"",HYPERLINK("#'冷凍品'!C"&amp;(MATCH(202,冷凍品!$Z$5:$Z$304,0)+4),INDEX(冷凍品!$C$5:$C$304,MATCH(202,冷凍品!$Z$5:$Z$304,0))))</f>
        <v/>
      </c>
    </row>
    <row r="224" spans="2:6">
      <c r="B224" s="18" t="str">
        <f>IF(203&gt;MAX('18℃'!$Z$5:$Z$304),"",HYPERLINK("#'18℃'!C"&amp;(MATCH(203,'18℃'!$Z$5:$Z$304,0)+4),INDEX('18℃'!$C$5:$C$304,MATCH(203,'18℃'!$Z$5:$Z$304,0))))</f>
        <v/>
      </c>
      <c r="C224" s="18" t="str">
        <f>IF(203&gt;MAX('4℃飯'!$AA$5:$AA$302),"",HYPERLINK("#'4℃飯'!D"&amp;(MATCH(203,'4℃飯'!$AA$5:$AA$302,0)+4),INDEX('4℃飯'!$D$5:$D$302,MATCH(203,'4℃飯'!$AA$5:$AA$302,0))))</f>
        <v/>
      </c>
      <c r="D224" s="18" t="str">
        <f>IF(203&gt;MAX('4℃麵'!$AA$5:$AA$305),"",HYPERLINK("#'4℃麵'!D"&amp;(MATCH(203,'4℃麵'!$AA$5:$AA$305,0)+4),INDEX('4℃麵'!$D$5:$D$305,MATCH(203,'4℃麵'!$AA$5:$AA$305,0))))</f>
        <v/>
      </c>
      <c r="E224" s="18" t="str">
        <f>IF(203&gt;MAX('4℃其他'!$AA$5:$AA$302),"",HYPERLINK("#'4℃其他'!D"&amp;(MATCH(203,'4℃其他'!$AA$5:$AA$302,0)+4),INDEX('4℃其他'!$D$5:$D$302,MATCH(203,'4℃其他'!$AA$5:$AA$302,0))))</f>
        <v/>
      </c>
      <c r="F224" s="18" t="str">
        <f>IF(203&gt;MAX(冷凍品!$Z$5:$Z$304),"",HYPERLINK("#'冷凍品'!C"&amp;(MATCH(203,冷凍品!$Z$5:$Z$304,0)+4),INDEX(冷凍品!$C$5:$C$304,MATCH(203,冷凍品!$Z$5:$Z$304,0))))</f>
        <v/>
      </c>
    </row>
    <row r="225" spans="2:6">
      <c r="B225" s="18" t="str">
        <f>IF(204&gt;MAX('18℃'!$Z$5:$Z$304),"",HYPERLINK("#'18℃'!C"&amp;(MATCH(204,'18℃'!$Z$5:$Z$304,0)+4),INDEX('18℃'!$C$5:$C$304,MATCH(204,'18℃'!$Z$5:$Z$304,0))))</f>
        <v/>
      </c>
      <c r="C225" s="18" t="str">
        <f>IF(204&gt;MAX('4℃飯'!$AA$5:$AA$302),"",HYPERLINK("#'4℃飯'!D"&amp;(MATCH(204,'4℃飯'!$AA$5:$AA$302,0)+4),INDEX('4℃飯'!$D$5:$D$302,MATCH(204,'4℃飯'!$AA$5:$AA$302,0))))</f>
        <v/>
      </c>
      <c r="D225" s="18" t="str">
        <f>IF(204&gt;MAX('4℃麵'!$AA$5:$AA$305),"",HYPERLINK("#'4℃麵'!D"&amp;(MATCH(204,'4℃麵'!$AA$5:$AA$305,0)+4),INDEX('4℃麵'!$D$5:$D$305,MATCH(204,'4℃麵'!$AA$5:$AA$305,0))))</f>
        <v/>
      </c>
      <c r="E225" s="18" t="str">
        <f>IF(204&gt;MAX('4℃其他'!$AA$5:$AA$302),"",HYPERLINK("#'4℃其他'!D"&amp;(MATCH(204,'4℃其他'!$AA$5:$AA$302,0)+4),INDEX('4℃其他'!$D$5:$D$302,MATCH(204,'4℃其他'!$AA$5:$AA$302,0))))</f>
        <v/>
      </c>
      <c r="F225" s="18" t="str">
        <f>IF(204&gt;MAX(冷凍品!$Z$5:$Z$304),"",HYPERLINK("#'冷凍品'!C"&amp;(MATCH(204,冷凍品!$Z$5:$Z$304,0)+4),INDEX(冷凍品!$C$5:$C$304,MATCH(204,冷凍品!$Z$5:$Z$304,0))))</f>
        <v/>
      </c>
    </row>
    <row r="226" spans="2:6">
      <c r="B226" s="18" t="str">
        <f>IF(205&gt;MAX('18℃'!$Z$5:$Z$304),"",HYPERLINK("#'18℃'!C"&amp;(MATCH(205,'18℃'!$Z$5:$Z$304,0)+4),INDEX('18℃'!$C$5:$C$304,MATCH(205,'18℃'!$Z$5:$Z$304,0))))</f>
        <v/>
      </c>
      <c r="C226" s="18" t="str">
        <f>IF(205&gt;MAX('4℃飯'!$AA$5:$AA$302),"",HYPERLINK("#'4℃飯'!D"&amp;(MATCH(205,'4℃飯'!$AA$5:$AA$302,0)+4),INDEX('4℃飯'!$D$5:$D$302,MATCH(205,'4℃飯'!$AA$5:$AA$302,0))))</f>
        <v/>
      </c>
      <c r="D226" s="18" t="str">
        <f>IF(205&gt;MAX('4℃麵'!$AA$5:$AA$305),"",HYPERLINK("#'4℃麵'!D"&amp;(MATCH(205,'4℃麵'!$AA$5:$AA$305,0)+4),INDEX('4℃麵'!$D$5:$D$305,MATCH(205,'4℃麵'!$AA$5:$AA$305,0))))</f>
        <v/>
      </c>
      <c r="E226" s="18" t="str">
        <f>IF(205&gt;MAX('4℃其他'!$AA$5:$AA$302),"",HYPERLINK("#'4℃其他'!D"&amp;(MATCH(205,'4℃其他'!$AA$5:$AA$302,0)+4),INDEX('4℃其他'!$D$5:$D$302,MATCH(205,'4℃其他'!$AA$5:$AA$302,0))))</f>
        <v/>
      </c>
      <c r="F226" s="18" t="str">
        <f>IF(205&gt;MAX(冷凍品!$Z$5:$Z$304),"",HYPERLINK("#'冷凍品'!C"&amp;(MATCH(205,冷凍品!$Z$5:$Z$304,0)+4),INDEX(冷凍品!$C$5:$C$304,MATCH(205,冷凍品!$Z$5:$Z$304,0))))</f>
        <v/>
      </c>
    </row>
    <row r="227" spans="2:6">
      <c r="B227" s="18" t="str">
        <f>IF(206&gt;MAX('18℃'!$Z$5:$Z$304),"",HYPERLINK("#'18℃'!C"&amp;(MATCH(206,'18℃'!$Z$5:$Z$304,0)+4),INDEX('18℃'!$C$5:$C$304,MATCH(206,'18℃'!$Z$5:$Z$304,0))))</f>
        <v/>
      </c>
      <c r="C227" s="18" t="str">
        <f>IF(206&gt;MAX('4℃飯'!$AA$5:$AA$302),"",HYPERLINK("#'4℃飯'!D"&amp;(MATCH(206,'4℃飯'!$AA$5:$AA$302,0)+4),INDEX('4℃飯'!$D$5:$D$302,MATCH(206,'4℃飯'!$AA$5:$AA$302,0))))</f>
        <v/>
      </c>
      <c r="D227" s="18" t="str">
        <f>IF(206&gt;MAX('4℃麵'!$AA$5:$AA$305),"",HYPERLINK("#'4℃麵'!D"&amp;(MATCH(206,'4℃麵'!$AA$5:$AA$305,0)+4),INDEX('4℃麵'!$D$5:$D$305,MATCH(206,'4℃麵'!$AA$5:$AA$305,0))))</f>
        <v/>
      </c>
      <c r="E227" s="18" t="str">
        <f>IF(206&gt;MAX('4℃其他'!$AA$5:$AA$302),"",HYPERLINK("#'4℃其他'!D"&amp;(MATCH(206,'4℃其他'!$AA$5:$AA$302,0)+4),INDEX('4℃其他'!$D$5:$D$302,MATCH(206,'4℃其他'!$AA$5:$AA$302,0))))</f>
        <v/>
      </c>
      <c r="F227" s="18" t="str">
        <f>IF(206&gt;MAX(冷凍品!$Z$5:$Z$304),"",HYPERLINK("#'冷凍品'!C"&amp;(MATCH(206,冷凍品!$Z$5:$Z$304,0)+4),INDEX(冷凍品!$C$5:$C$304,MATCH(206,冷凍品!$Z$5:$Z$304,0))))</f>
        <v/>
      </c>
    </row>
    <row r="228" spans="2:6">
      <c r="B228" s="18" t="str">
        <f>IF(207&gt;MAX('18℃'!$Z$5:$Z$304),"",HYPERLINK("#'18℃'!C"&amp;(MATCH(207,'18℃'!$Z$5:$Z$304,0)+4),INDEX('18℃'!$C$5:$C$304,MATCH(207,'18℃'!$Z$5:$Z$304,0))))</f>
        <v/>
      </c>
      <c r="C228" s="18" t="str">
        <f>IF(207&gt;MAX('4℃飯'!$AA$5:$AA$302),"",HYPERLINK("#'4℃飯'!D"&amp;(MATCH(207,'4℃飯'!$AA$5:$AA$302,0)+4),INDEX('4℃飯'!$D$5:$D$302,MATCH(207,'4℃飯'!$AA$5:$AA$302,0))))</f>
        <v/>
      </c>
      <c r="D228" s="18" t="str">
        <f>IF(207&gt;MAX('4℃麵'!$AA$5:$AA$305),"",HYPERLINK("#'4℃麵'!D"&amp;(MATCH(207,'4℃麵'!$AA$5:$AA$305,0)+4),INDEX('4℃麵'!$D$5:$D$305,MATCH(207,'4℃麵'!$AA$5:$AA$305,0))))</f>
        <v/>
      </c>
      <c r="E228" s="18" t="str">
        <f>IF(207&gt;MAX('4℃其他'!$AA$5:$AA$302),"",HYPERLINK("#'4℃其他'!D"&amp;(MATCH(207,'4℃其他'!$AA$5:$AA$302,0)+4),INDEX('4℃其他'!$D$5:$D$302,MATCH(207,'4℃其他'!$AA$5:$AA$302,0))))</f>
        <v/>
      </c>
      <c r="F228" s="18" t="str">
        <f>IF(207&gt;MAX(冷凍品!$Z$5:$Z$304),"",HYPERLINK("#'冷凍品'!C"&amp;(MATCH(207,冷凍品!$Z$5:$Z$304,0)+4),INDEX(冷凍品!$C$5:$C$304,MATCH(207,冷凍品!$Z$5:$Z$304,0))))</f>
        <v/>
      </c>
    </row>
    <row r="229" spans="2:6">
      <c r="B229" s="18" t="str">
        <f>IF(208&gt;MAX('18℃'!$Z$5:$Z$304),"",HYPERLINK("#'18℃'!C"&amp;(MATCH(208,'18℃'!$Z$5:$Z$304,0)+4),INDEX('18℃'!$C$5:$C$304,MATCH(208,'18℃'!$Z$5:$Z$304,0))))</f>
        <v/>
      </c>
      <c r="C229" s="18" t="str">
        <f>IF(208&gt;MAX('4℃飯'!$AA$5:$AA$302),"",HYPERLINK("#'4℃飯'!D"&amp;(MATCH(208,'4℃飯'!$AA$5:$AA$302,0)+4),INDEX('4℃飯'!$D$5:$D$302,MATCH(208,'4℃飯'!$AA$5:$AA$302,0))))</f>
        <v/>
      </c>
      <c r="D229" s="18" t="str">
        <f>IF(208&gt;MAX('4℃麵'!$AA$5:$AA$305),"",HYPERLINK("#'4℃麵'!D"&amp;(MATCH(208,'4℃麵'!$AA$5:$AA$305,0)+4),INDEX('4℃麵'!$D$5:$D$305,MATCH(208,'4℃麵'!$AA$5:$AA$305,0))))</f>
        <v/>
      </c>
      <c r="E229" s="18" t="str">
        <f>IF(208&gt;MAX('4℃其他'!$AA$5:$AA$302),"",HYPERLINK("#'4℃其他'!D"&amp;(MATCH(208,'4℃其他'!$AA$5:$AA$302,0)+4),INDEX('4℃其他'!$D$5:$D$302,MATCH(208,'4℃其他'!$AA$5:$AA$302,0))))</f>
        <v/>
      </c>
      <c r="F229" s="18" t="str">
        <f>IF(208&gt;MAX(冷凍品!$Z$5:$Z$304),"",HYPERLINK("#'冷凍品'!C"&amp;(MATCH(208,冷凍品!$Z$5:$Z$304,0)+4),INDEX(冷凍品!$C$5:$C$304,MATCH(208,冷凍品!$Z$5:$Z$304,0))))</f>
        <v/>
      </c>
    </row>
    <row r="230" spans="2:6">
      <c r="B230" s="18" t="str">
        <f>IF(209&gt;MAX('18℃'!$Z$5:$Z$304),"",HYPERLINK("#'18℃'!C"&amp;(MATCH(209,'18℃'!$Z$5:$Z$304,0)+4),INDEX('18℃'!$C$5:$C$304,MATCH(209,'18℃'!$Z$5:$Z$304,0))))</f>
        <v/>
      </c>
      <c r="C230" s="18" t="str">
        <f>IF(209&gt;MAX('4℃飯'!$AA$5:$AA$302),"",HYPERLINK("#'4℃飯'!D"&amp;(MATCH(209,'4℃飯'!$AA$5:$AA$302,0)+4),INDEX('4℃飯'!$D$5:$D$302,MATCH(209,'4℃飯'!$AA$5:$AA$302,0))))</f>
        <v/>
      </c>
      <c r="D230" s="18" t="str">
        <f>IF(209&gt;MAX('4℃麵'!$AA$5:$AA$305),"",HYPERLINK("#'4℃麵'!D"&amp;(MATCH(209,'4℃麵'!$AA$5:$AA$305,0)+4),INDEX('4℃麵'!$D$5:$D$305,MATCH(209,'4℃麵'!$AA$5:$AA$305,0))))</f>
        <v/>
      </c>
      <c r="E230" s="18" t="str">
        <f>IF(209&gt;MAX('4℃其他'!$AA$5:$AA$302),"",HYPERLINK("#'4℃其他'!D"&amp;(MATCH(209,'4℃其他'!$AA$5:$AA$302,0)+4),INDEX('4℃其他'!$D$5:$D$302,MATCH(209,'4℃其他'!$AA$5:$AA$302,0))))</f>
        <v/>
      </c>
      <c r="F230" s="18" t="str">
        <f>IF(209&gt;MAX(冷凍品!$Z$5:$Z$304),"",HYPERLINK("#'冷凍品'!C"&amp;(MATCH(209,冷凍品!$Z$5:$Z$304,0)+4),INDEX(冷凍品!$C$5:$C$304,MATCH(209,冷凍品!$Z$5:$Z$304,0))))</f>
        <v/>
      </c>
    </row>
    <row r="231" spans="2:6">
      <c r="B231" s="18" t="str">
        <f>IF(210&gt;MAX('18℃'!$Z$5:$Z$304),"",HYPERLINK("#'18℃'!C"&amp;(MATCH(210,'18℃'!$Z$5:$Z$304,0)+4),INDEX('18℃'!$C$5:$C$304,MATCH(210,'18℃'!$Z$5:$Z$304,0))))</f>
        <v/>
      </c>
      <c r="C231" s="18" t="str">
        <f>IF(210&gt;MAX('4℃飯'!$AA$5:$AA$302),"",HYPERLINK("#'4℃飯'!D"&amp;(MATCH(210,'4℃飯'!$AA$5:$AA$302,0)+4),INDEX('4℃飯'!$D$5:$D$302,MATCH(210,'4℃飯'!$AA$5:$AA$302,0))))</f>
        <v/>
      </c>
      <c r="D231" s="18" t="str">
        <f>IF(210&gt;MAX('4℃麵'!$AA$5:$AA$305),"",HYPERLINK("#'4℃麵'!D"&amp;(MATCH(210,'4℃麵'!$AA$5:$AA$305,0)+4),INDEX('4℃麵'!$D$5:$D$305,MATCH(210,'4℃麵'!$AA$5:$AA$305,0))))</f>
        <v/>
      </c>
      <c r="E231" s="18" t="str">
        <f>IF(210&gt;MAX('4℃其他'!$AA$5:$AA$302),"",HYPERLINK("#'4℃其他'!D"&amp;(MATCH(210,'4℃其他'!$AA$5:$AA$302,0)+4),INDEX('4℃其他'!$D$5:$D$302,MATCH(210,'4℃其他'!$AA$5:$AA$302,0))))</f>
        <v/>
      </c>
      <c r="F231" s="18" t="str">
        <f>IF(210&gt;MAX(冷凍品!$Z$5:$Z$304),"",HYPERLINK("#'冷凍品'!C"&amp;(MATCH(210,冷凍品!$Z$5:$Z$304,0)+4),INDEX(冷凍品!$C$5:$C$304,MATCH(210,冷凍品!$Z$5:$Z$304,0))))</f>
        <v/>
      </c>
    </row>
    <row r="232" spans="2:6">
      <c r="B232" s="18" t="str">
        <f>IF(211&gt;MAX('18℃'!$Z$5:$Z$304),"",HYPERLINK("#'18℃'!C"&amp;(MATCH(211,'18℃'!$Z$5:$Z$304,0)+4),INDEX('18℃'!$C$5:$C$304,MATCH(211,'18℃'!$Z$5:$Z$304,0))))</f>
        <v/>
      </c>
      <c r="C232" s="18" t="str">
        <f>IF(211&gt;MAX('4℃飯'!$AA$5:$AA$302),"",HYPERLINK("#'4℃飯'!D"&amp;(MATCH(211,'4℃飯'!$AA$5:$AA$302,0)+4),INDEX('4℃飯'!$D$5:$D$302,MATCH(211,'4℃飯'!$AA$5:$AA$302,0))))</f>
        <v/>
      </c>
      <c r="D232" s="18" t="str">
        <f>IF(211&gt;MAX('4℃麵'!$AA$5:$AA$305),"",HYPERLINK("#'4℃麵'!D"&amp;(MATCH(211,'4℃麵'!$AA$5:$AA$305,0)+4),INDEX('4℃麵'!$D$5:$D$305,MATCH(211,'4℃麵'!$AA$5:$AA$305,0))))</f>
        <v/>
      </c>
      <c r="E232" s="18" t="str">
        <f>IF(211&gt;MAX('4℃其他'!$AA$5:$AA$302),"",HYPERLINK("#'4℃其他'!D"&amp;(MATCH(211,'4℃其他'!$AA$5:$AA$302,0)+4),INDEX('4℃其他'!$D$5:$D$302,MATCH(211,'4℃其他'!$AA$5:$AA$302,0))))</f>
        <v/>
      </c>
      <c r="F232" s="18" t="str">
        <f>IF(211&gt;MAX(冷凍品!$Z$5:$Z$304),"",HYPERLINK("#'冷凍品'!C"&amp;(MATCH(211,冷凍品!$Z$5:$Z$304,0)+4),INDEX(冷凍品!$C$5:$C$304,MATCH(211,冷凍品!$Z$5:$Z$304,0))))</f>
        <v/>
      </c>
    </row>
    <row r="233" spans="2:6">
      <c r="B233" s="18" t="str">
        <f>IF(212&gt;MAX('18℃'!$Z$5:$Z$304),"",HYPERLINK("#'18℃'!C"&amp;(MATCH(212,'18℃'!$Z$5:$Z$304,0)+4),INDEX('18℃'!$C$5:$C$304,MATCH(212,'18℃'!$Z$5:$Z$304,0))))</f>
        <v/>
      </c>
      <c r="C233" s="18" t="str">
        <f>IF(212&gt;MAX('4℃飯'!$AA$5:$AA$302),"",HYPERLINK("#'4℃飯'!D"&amp;(MATCH(212,'4℃飯'!$AA$5:$AA$302,0)+4),INDEX('4℃飯'!$D$5:$D$302,MATCH(212,'4℃飯'!$AA$5:$AA$302,0))))</f>
        <v/>
      </c>
      <c r="D233" s="18" t="str">
        <f>IF(212&gt;MAX('4℃麵'!$AA$5:$AA$305),"",HYPERLINK("#'4℃麵'!D"&amp;(MATCH(212,'4℃麵'!$AA$5:$AA$305,0)+4),INDEX('4℃麵'!$D$5:$D$305,MATCH(212,'4℃麵'!$AA$5:$AA$305,0))))</f>
        <v/>
      </c>
      <c r="E233" s="18" t="str">
        <f>IF(212&gt;MAX('4℃其他'!$AA$5:$AA$302),"",HYPERLINK("#'4℃其他'!D"&amp;(MATCH(212,'4℃其他'!$AA$5:$AA$302,0)+4),INDEX('4℃其他'!$D$5:$D$302,MATCH(212,'4℃其他'!$AA$5:$AA$302,0))))</f>
        <v/>
      </c>
      <c r="F233" s="18" t="str">
        <f>IF(212&gt;MAX(冷凍品!$Z$5:$Z$304),"",HYPERLINK("#'冷凍品'!C"&amp;(MATCH(212,冷凍品!$Z$5:$Z$304,0)+4),INDEX(冷凍品!$C$5:$C$304,MATCH(212,冷凍品!$Z$5:$Z$304,0))))</f>
        <v/>
      </c>
    </row>
    <row r="234" spans="2:6">
      <c r="B234" s="18" t="str">
        <f>IF(213&gt;MAX('18℃'!$Z$5:$Z$304),"",HYPERLINK("#'18℃'!C"&amp;(MATCH(213,'18℃'!$Z$5:$Z$304,0)+4),INDEX('18℃'!$C$5:$C$304,MATCH(213,'18℃'!$Z$5:$Z$304,0))))</f>
        <v/>
      </c>
      <c r="C234" s="18" t="str">
        <f>IF(213&gt;MAX('4℃飯'!$AA$5:$AA$302),"",HYPERLINK("#'4℃飯'!D"&amp;(MATCH(213,'4℃飯'!$AA$5:$AA$302,0)+4),INDEX('4℃飯'!$D$5:$D$302,MATCH(213,'4℃飯'!$AA$5:$AA$302,0))))</f>
        <v/>
      </c>
      <c r="D234" s="18" t="str">
        <f>IF(213&gt;MAX('4℃麵'!$AA$5:$AA$305),"",HYPERLINK("#'4℃麵'!D"&amp;(MATCH(213,'4℃麵'!$AA$5:$AA$305,0)+4),INDEX('4℃麵'!$D$5:$D$305,MATCH(213,'4℃麵'!$AA$5:$AA$305,0))))</f>
        <v/>
      </c>
      <c r="E234" s="18" t="str">
        <f>IF(213&gt;MAX('4℃其他'!$AA$5:$AA$302),"",HYPERLINK("#'4℃其他'!D"&amp;(MATCH(213,'4℃其他'!$AA$5:$AA$302,0)+4),INDEX('4℃其他'!$D$5:$D$302,MATCH(213,'4℃其他'!$AA$5:$AA$302,0))))</f>
        <v/>
      </c>
      <c r="F234" s="18" t="str">
        <f>IF(213&gt;MAX(冷凍品!$Z$5:$Z$304),"",HYPERLINK("#'冷凍品'!C"&amp;(MATCH(213,冷凍品!$Z$5:$Z$304,0)+4),INDEX(冷凍品!$C$5:$C$304,MATCH(213,冷凍品!$Z$5:$Z$304,0))))</f>
        <v/>
      </c>
    </row>
    <row r="235" spans="2:6">
      <c r="B235" s="18" t="str">
        <f>IF(214&gt;MAX('18℃'!$Z$5:$Z$304),"",HYPERLINK("#'18℃'!C"&amp;(MATCH(214,'18℃'!$Z$5:$Z$304,0)+4),INDEX('18℃'!$C$5:$C$304,MATCH(214,'18℃'!$Z$5:$Z$304,0))))</f>
        <v/>
      </c>
      <c r="C235" s="18" t="str">
        <f>IF(214&gt;MAX('4℃飯'!$AA$5:$AA$302),"",HYPERLINK("#'4℃飯'!D"&amp;(MATCH(214,'4℃飯'!$AA$5:$AA$302,0)+4),INDEX('4℃飯'!$D$5:$D$302,MATCH(214,'4℃飯'!$AA$5:$AA$302,0))))</f>
        <v/>
      </c>
      <c r="D235" s="18" t="str">
        <f>IF(214&gt;MAX('4℃麵'!$AA$5:$AA$305),"",HYPERLINK("#'4℃麵'!D"&amp;(MATCH(214,'4℃麵'!$AA$5:$AA$305,0)+4),INDEX('4℃麵'!$D$5:$D$305,MATCH(214,'4℃麵'!$AA$5:$AA$305,0))))</f>
        <v/>
      </c>
      <c r="E235" s="18" t="str">
        <f>IF(214&gt;MAX('4℃其他'!$AA$5:$AA$302),"",HYPERLINK("#'4℃其他'!D"&amp;(MATCH(214,'4℃其他'!$AA$5:$AA$302,0)+4),INDEX('4℃其他'!$D$5:$D$302,MATCH(214,'4℃其他'!$AA$5:$AA$302,0))))</f>
        <v/>
      </c>
      <c r="F235" s="18" t="str">
        <f>IF(214&gt;MAX(冷凍品!$Z$5:$Z$304),"",HYPERLINK("#'冷凍品'!C"&amp;(MATCH(214,冷凍品!$Z$5:$Z$304,0)+4),INDEX(冷凍品!$C$5:$C$304,MATCH(214,冷凍品!$Z$5:$Z$304,0))))</f>
        <v/>
      </c>
    </row>
    <row r="236" spans="2:6">
      <c r="B236" s="18" t="str">
        <f>IF(215&gt;MAX('18℃'!$Z$5:$Z$304),"",HYPERLINK("#'18℃'!C"&amp;(MATCH(215,'18℃'!$Z$5:$Z$304,0)+4),INDEX('18℃'!$C$5:$C$304,MATCH(215,'18℃'!$Z$5:$Z$304,0))))</f>
        <v/>
      </c>
      <c r="C236" s="18" t="str">
        <f>IF(215&gt;MAX('4℃飯'!$AA$5:$AA$302),"",HYPERLINK("#'4℃飯'!D"&amp;(MATCH(215,'4℃飯'!$AA$5:$AA$302,0)+4),INDEX('4℃飯'!$D$5:$D$302,MATCH(215,'4℃飯'!$AA$5:$AA$302,0))))</f>
        <v/>
      </c>
      <c r="D236" s="18" t="str">
        <f>IF(215&gt;MAX('4℃麵'!$AA$5:$AA$305),"",HYPERLINK("#'4℃麵'!D"&amp;(MATCH(215,'4℃麵'!$AA$5:$AA$305,0)+4),INDEX('4℃麵'!$D$5:$D$305,MATCH(215,'4℃麵'!$AA$5:$AA$305,0))))</f>
        <v/>
      </c>
      <c r="E236" s="18" t="str">
        <f>IF(215&gt;MAX('4℃其他'!$AA$5:$AA$302),"",HYPERLINK("#'4℃其他'!D"&amp;(MATCH(215,'4℃其他'!$AA$5:$AA$302,0)+4),INDEX('4℃其他'!$D$5:$D$302,MATCH(215,'4℃其他'!$AA$5:$AA$302,0))))</f>
        <v/>
      </c>
      <c r="F236" s="18" t="str">
        <f>IF(215&gt;MAX(冷凍品!$Z$5:$Z$304),"",HYPERLINK("#'冷凍品'!C"&amp;(MATCH(215,冷凍品!$Z$5:$Z$304,0)+4),INDEX(冷凍品!$C$5:$C$304,MATCH(215,冷凍品!$Z$5:$Z$304,0))))</f>
        <v/>
      </c>
    </row>
    <row r="237" spans="2:6">
      <c r="B237" s="18" t="str">
        <f>IF(216&gt;MAX('18℃'!$Z$5:$Z$304),"",HYPERLINK("#'18℃'!C"&amp;(MATCH(216,'18℃'!$Z$5:$Z$304,0)+4),INDEX('18℃'!$C$5:$C$304,MATCH(216,'18℃'!$Z$5:$Z$304,0))))</f>
        <v/>
      </c>
      <c r="C237" s="18" t="str">
        <f>IF(216&gt;MAX('4℃飯'!$AA$5:$AA$302),"",HYPERLINK("#'4℃飯'!D"&amp;(MATCH(216,'4℃飯'!$AA$5:$AA$302,0)+4),INDEX('4℃飯'!$D$5:$D$302,MATCH(216,'4℃飯'!$AA$5:$AA$302,0))))</f>
        <v/>
      </c>
      <c r="D237" s="18" t="str">
        <f>IF(216&gt;MAX('4℃麵'!$AA$5:$AA$305),"",HYPERLINK("#'4℃麵'!D"&amp;(MATCH(216,'4℃麵'!$AA$5:$AA$305,0)+4),INDEX('4℃麵'!$D$5:$D$305,MATCH(216,'4℃麵'!$AA$5:$AA$305,0))))</f>
        <v/>
      </c>
      <c r="E237" s="18" t="str">
        <f>IF(216&gt;MAX('4℃其他'!$AA$5:$AA$302),"",HYPERLINK("#'4℃其他'!D"&amp;(MATCH(216,'4℃其他'!$AA$5:$AA$302,0)+4),INDEX('4℃其他'!$D$5:$D$302,MATCH(216,'4℃其他'!$AA$5:$AA$302,0))))</f>
        <v/>
      </c>
      <c r="F237" s="18" t="str">
        <f>IF(216&gt;MAX(冷凍品!$Z$5:$Z$304),"",HYPERLINK("#'冷凍品'!C"&amp;(MATCH(216,冷凍品!$Z$5:$Z$304,0)+4),INDEX(冷凍品!$C$5:$C$304,MATCH(216,冷凍品!$Z$5:$Z$304,0))))</f>
        <v/>
      </c>
    </row>
    <row r="238" spans="2:6">
      <c r="B238" s="18" t="str">
        <f>IF(217&gt;MAX('18℃'!$Z$5:$Z$304),"",HYPERLINK("#'18℃'!C"&amp;(MATCH(217,'18℃'!$Z$5:$Z$304,0)+4),INDEX('18℃'!$C$5:$C$304,MATCH(217,'18℃'!$Z$5:$Z$304,0))))</f>
        <v/>
      </c>
      <c r="C238" s="18" t="str">
        <f>IF(217&gt;MAX('4℃飯'!$AA$5:$AA$302),"",HYPERLINK("#'4℃飯'!D"&amp;(MATCH(217,'4℃飯'!$AA$5:$AA$302,0)+4),INDEX('4℃飯'!$D$5:$D$302,MATCH(217,'4℃飯'!$AA$5:$AA$302,0))))</f>
        <v/>
      </c>
      <c r="D238" s="18" t="str">
        <f>IF(217&gt;MAX('4℃麵'!$AA$5:$AA$305),"",HYPERLINK("#'4℃麵'!D"&amp;(MATCH(217,'4℃麵'!$AA$5:$AA$305,0)+4),INDEX('4℃麵'!$D$5:$D$305,MATCH(217,'4℃麵'!$AA$5:$AA$305,0))))</f>
        <v/>
      </c>
      <c r="E238" s="18" t="str">
        <f>IF(217&gt;MAX('4℃其他'!$AA$5:$AA$302),"",HYPERLINK("#'4℃其他'!D"&amp;(MATCH(217,'4℃其他'!$AA$5:$AA$302,0)+4),INDEX('4℃其他'!$D$5:$D$302,MATCH(217,'4℃其他'!$AA$5:$AA$302,0))))</f>
        <v/>
      </c>
      <c r="F238" s="18" t="str">
        <f>IF(217&gt;MAX(冷凍品!$Z$5:$Z$304),"",HYPERLINK("#'冷凍品'!C"&amp;(MATCH(217,冷凍品!$Z$5:$Z$304,0)+4),INDEX(冷凍品!$C$5:$C$304,MATCH(217,冷凍品!$Z$5:$Z$304,0))))</f>
        <v/>
      </c>
    </row>
    <row r="239" spans="2:6">
      <c r="B239" s="18" t="str">
        <f>IF(218&gt;MAX('18℃'!$Z$5:$Z$304),"",HYPERLINK("#'18℃'!C"&amp;(MATCH(218,'18℃'!$Z$5:$Z$304,0)+4),INDEX('18℃'!$C$5:$C$304,MATCH(218,'18℃'!$Z$5:$Z$304,0))))</f>
        <v/>
      </c>
      <c r="C239" s="18" t="str">
        <f>IF(218&gt;MAX('4℃飯'!$AA$5:$AA$302),"",HYPERLINK("#'4℃飯'!D"&amp;(MATCH(218,'4℃飯'!$AA$5:$AA$302,0)+4),INDEX('4℃飯'!$D$5:$D$302,MATCH(218,'4℃飯'!$AA$5:$AA$302,0))))</f>
        <v/>
      </c>
      <c r="D239" s="18" t="str">
        <f>IF(218&gt;MAX('4℃麵'!$AA$5:$AA$305),"",HYPERLINK("#'4℃麵'!D"&amp;(MATCH(218,'4℃麵'!$AA$5:$AA$305,0)+4),INDEX('4℃麵'!$D$5:$D$305,MATCH(218,'4℃麵'!$AA$5:$AA$305,0))))</f>
        <v/>
      </c>
      <c r="E239" s="18" t="str">
        <f>IF(218&gt;MAX('4℃其他'!$AA$5:$AA$302),"",HYPERLINK("#'4℃其他'!D"&amp;(MATCH(218,'4℃其他'!$AA$5:$AA$302,0)+4),INDEX('4℃其他'!$D$5:$D$302,MATCH(218,'4℃其他'!$AA$5:$AA$302,0))))</f>
        <v/>
      </c>
      <c r="F239" s="18" t="str">
        <f>IF(218&gt;MAX(冷凍品!$Z$5:$Z$304),"",HYPERLINK("#'冷凍品'!C"&amp;(MATCH(218,冷凍品!$Z$5:$Z$304,0)+4),INDEX(冷凍品!$C$5:$C$304,MATCH(218,冷凍品!$Z$5:$Z$304,0))))</f>
        <v/>
      </c>
    </row>
    <row r="240" spans="2:6">
      <c r="B240" s="18" t="str">
        <f>IF(219&gt;MAX('18℃'!$Z$5:$Z$304),"",HYPERLINK("#'18℃'!C"&amp;(MATCH(219,'18℃'!$Z$5:$Z$304,0)+4),INDEX('18℃'!$C$5:$C$304,MATCH(219,'18℃'!$Z$5:$Z$304,0))))</f>
        <v/>
      </c>
      <c r="C240" s="18" t="str">
        <f>IF(219&gt;MAX('4℃飯'!$AA$5:$AA$302),"",HYPERLINK("#'4℃飯'!D"&amp;(MATCH(219,'4℃飯'!$AA$5:$AA$302,0)+4),INDEX('4℃飯'!$D$5:$D$302,MATCH(219,'4℃飯'!$AA$5:$AA$302,0))))</f>
        <v/>
      </c>
      <c r="D240" s="18" t="str">
        <f>IF(219&gt;MAX('4℃麵'!$AA$5:$AA$305),"",HYPERLINK("#'4℃麵'!D"&amp;(MATCH(219,'4℃麵'!$AA$5:$AA$305,0)+4),INDEX('4℃麵'!$D$5:$D$305,MATCH(219,'4℃麵'!$AA$5:$AA$305,0))))</f>
        <v/>
      </c>
      <c r="E240" s="18" t="str">
        <f>IF(219&gt;MAX('4℃其他'!$AA$5:$AA$302),"",HYPERLINK("#'4℃其他'!D"&amp;(MATCH(219,'4℃其他'!$AA$5:$AA$302,0)+4),INDEX('4℃其他'!$D$5:$D$302,MATCH(219,'4℃其他'!$AA$5:$AA$302,0))))</f>
        <v/>
      </c>
      <c r="F240" s="18" t="str">
        <f>IF(219&gt;MAX(冷凍品!$Z$5:$Z$304),"",HYPERLINK("#'冷凍品'!C"&amp;(MATCH(219,冷凍品!$Z$5:$Z$304,0)+4),INDEX(冷凍品!$C$5:$C$304,MATCH(219,冷凍品!$Z$5:$Z$304,0))))</f>
        <v/>
      </c>
    </row>
    <row r="241" spans="2:6">
      <c r="B241" s="18" t="str">
        <f>IF(220&gt;MAX('18℃'!$Z$5:$Z$304),"",HYPERLINK("#'18℃'!C"&amp;(MATCH(220,'18℃'!$Z$5:$Z$304,0)+4),INDEX('18℃'!$C$5:$C$304,MATCH(220,'18℃'!$Z$5:$Z$304,0))))</f>
        <v/>
      </c>
      <c r="C241" s="18" t="str">
        <f>IF(220&gt;MAX('4℃飯'!$AA$5:$AA$302),"",HYPERLINK("#'4℃飯'!D"&amp;(MATCH(220,'4℃飯'!$AA$5:$AA$302,0)+4),INDEX('4℃飯'!$D$5:$D$302,MATCH(220,'4℃飯'!$AA$5:$AA$302,0))))</f>
        <v/>
      </c>
      <c r="D241" s="18" t="str">
        <f>IF(220&gt;MAX('4℃麵'!$AA$5:$AA$305),"",HYPERLINK("#'4℃麵'!D"&amp;(MATCH(220,'4℃麵'!$AA$5:$AA$305,0)+4),INDEX('4℃麵'!$D$5:$D$305,MATCH(220,'4℃麵'!$AA$5:$AA$305,0))))</f>
        <v/>
      </c>
      <c r="E241" s="18" t="str">
        <f>IF(220&gt;MAX('4℃其他'!$AA$5:$AA$302),"",HYPERLINK("#'4℃其他'!D"&amp;(MATCH(220,'4℃其他'!$AA$5:$AA$302,0)+4),INDEX('4℃其他'!$D$5:$D$302,MATCH(220,'4℃其他'!$AA$5:$AA$302,0))))</f>
        <v/>
      </c>
      <c r="F241" s="18" t="str">
        <f>IF(220&gt;MAX(冷凍品!$Z$5:$Z$304),"",HYPERLINK("#'冷凍品'!C"&amp;(MATCH(220,冷凍品!$Z$5:$Z$304,0)+4),INDEX(冷凍品!$C$5:$C$304,MATCH(220,冷凍品!$Z$5:$Z$304,0))))</f>
        <v/>
      </c>
    </row>
    <row r="242" spans="2:6">
      <c r="B242" s="18" t="str">
        <f>IF(221&gt;MAX('18℃'!$Z$5:$Z$304),"",HYPERLINK("#'18℃'!C"&amp;(MATCH(221,'18℃'!$Z$5:$Z$304,0)+4),INDEX('18℃'!$C$5:$C$304,MATCH(221,'18℃'!$Z$5:$Z$304,0))))</f>
        <v/>
      </c>
      <c r="C242" s="18" t="str">
        <f>IF(221&gt;MAX('4℃飯'!$AA$5:$AA$302),"",HYPERLINK("#'4℃飯'!D"&amp;(MATCH(221,'4℃飯'!$AA$5:$AA$302,0)+4),INDEX('4℃飯'!$D$5:$D$302,MATCH(221,'4℃飯'!$AA$5:$AA$302,0))))</f>
        <v/>
      </c>
      <c r="D242" s="18" t="str">
        <f>IF(221&gt;MAX('4℃麵'!$AA$5:$AA$305),"",HYPERLINK("#'4℃麵'!D"&amp;(MATCH(221,'4℃麵'!$AA$5:$AA$305,0)+4),INDEX('4℃麵'!$D$5:$D$305,MATCH(221,'4℃麵'!$AA$5:$AA$305,0))))</f>
        <v/>
      </c>
      <c r="E242" s="18" t="str">
        <f>IF(221&gt;MAX('4℃其他'!$AA$5:$AA$302),"",HYPERLINK("#'4℃其他'!D"&amp;(MATCH(221,'4℃其他'!$AA$5:$AA$302,0)+4),INDEX('4℃其他'!$D$5:$D$302,MATCH(221,'4℃其他'!$AA$5:$AA$302,0))))</f>
        <v/>
      </c>
      <c r="F242" s="18" t="str">
        <f>IF(221&gt;MAX(冷凍品!$Z$5:$Z$304),"",HYPERLINK("#'冷凍品'!C"&amp;(MATCH(221,冷凍品!$Z$5:$Z$304,0)+4),INDEX(冷凍品!$C$5:$C$304,MATCH(221,冷凍品!$Z$5:$Z$304,0))))</f>
        <v/>
      </c>
    </row>
    <row r="243" spans="2:6">
      <c r="B243" s="18" t="str">
        <f>IF(222&gt;MAX('18℃'!$Z$5:$Z$304),"",HYPERLINK("#'18℃'!C"&amp;(MATCH(222,'18℃'!$Z$5:$Z$304,0)+4),INDEX('18℃'!$C$5:$C$304,MATCH(222,'18℃'!$Z$5:$Z$304,0))))</f>
        <v/>
      </c>
      <c r="C243" s="18" t="str">
        <f>IF(222&gt;MAX('4℃飯'!$AA$5:$AA$302),"",HYPERLINK("#'4℃飯'!D"&amp;(MATCH(222,'4℃飯'!$AA$5:$AA$302,0)+4),INDEX('4℃飯'!$D$5:$D$302,MATCH(222,'4℃飯'!$AA$5:$AA$302,0))))</f>
        <v/>
      </c>
      <c r="D243" s="18" t="str">
        <f>IF(222&gt;MAX('4℃麵'!$AA$5:$AA$305),"",HYPERLINK("#'4℃麵'!D"&amp;(MATCH(222,'4℃麵'!$AA$5:$AA$305,0)+4),INDEX('4℃麵'!$D$5:$D$305,MATCH(222,'4℃麵'!$AA$5:$AA$305,0))))</f>
        <v/>
      </c>
      <c r="E243" s="18" t="str">
        <f>IF(222&gt;MAX('4℃其他'!$AA$5:$AA$302),"",HYPERLINK("#'4℃其他'!D"&amp;(MATCH(222,'4℃其他'!$AA$5:$AA$302,0)+4),INDEX('4℃其他'!$D$5:$D$302,MATCH(222,'4℃其他'!$AA$5:$AA$302,0))))</f>
        <v/>
      </c>
      <c r="F243" s="18" t="str">
        <f>IF(222&gt;MAX(冷凍品!$Z$5:$Z$304),"",HYPERLINK("#'冷凍品'!C"&amp;(MATCH(222,冷凍品!$Z$5:$Z$304,0)+4),INDEX(冷凍品!$C$5:$C$304,MATCH(222,冷凍品!$Z$5:$Z$304,0))))</f>
        <v/>
      </c>
    </row>
    <row r="244" spans="2:6">
      <c r="B244" s="18" t="str">
        <f>IF(223&gt;MAX('18℃'!$Z$5:$Z$304),"",HYPERLINK("#'18℃'!C"&amp;(MATCH(223,'18℃'!$Z$5:$Z$304,0)+4),INDEX('18℃'!$C$5:$C$304,MATCH(223,'18℃'!$Z$5:$Z$304,0))))</f>
        <v/>
      </c>
      <c r="C244" s="18" t="str">
        <f>IF(223&gt;MAX('4℃飯'!$AA$5:$AA$302),"",HYPERLINK("#'4℃飯'!D"&amp;(MATCH(223,'4℃飯'!$AA$5:$AA$302,0)+4),INDEX('4℃飯'!$D$5:$D$302,MATCH(223,'4℃飯'!$AA$5:$AA$302,0))))</f>
        <v/>
      </c>
      <c r="D244" s="18" t="str">
        <f>IF(223&gt;MAX('4℃麵'!$AA$5:$AA$305),"",HYPERLINK("#'4℃麵'!D"&amp;(MATCH(223,'4℃麵'!$AA$5:$AA$305,0)+4),INDEX('4℃麵'!$D$5:$D$305,MATCH(223,'4℃麵'!$AA$5:$AA$305,0))))</f>
        <v/>
      </c>
      <c r="E244" s="18" t="str">
        <f>IF(223&gt;MAX('4℃其他'!$AA$5:$AA$302),"",HYPERLINK("#'4℃其他'!D"&amp;(MATCH(223,'4℃其他'!$AA$5:$AA$302,0)+4),INDEX('4℃其他'!$D$5:$D$302,MATCH(223,'4℃其他'!$AA$5:$AA$302,0))))</f>
        <v/>
      </c>
      <c r="F244" s="18" t="str">
        <f>IF(223&gt;MAX(冷凍品!$Z$5:$Z$304),"",HYPERLINK("#'冷凍品'!C"&amp;(MATCH(223,冷凍品!$Z$5:$Z$304,0)+4),INDEX(冷凍品!$C$5:$C$304,MATCH(223,冷凍品!$Z$5:$Z$304,0))))</f>
        <v/>
      </c>
    </row>
    <row r="245" spans="2:6">
      <c r="B245" s="18" t="str">
        <f>IF(224&gt;MAX('18℃'!$Z$5:$Z$304),"",HYPERLINK("#'18℃'!C"&amp;(MATCH(224,'18℃'!$Z$5:$Z$304,0)+4),INDEX('18℃'!$C$5:$C$304,MATCH(224,'18℃'!$Z$5:$Z$304,0))))</f>
        <v/>
      </c>
      <c r="C245" s="18" t="str">
        <f>IF(224&gt;MAX('4℃飯'!$AA$5:$AA$302),"",HYPERLINK("#'4℃飯'!D"&amp;(MATCH(224,'4℃飯'!$AA$5:$AA$302,0)+4),INDEX('4℃飯'!$D$5:$D$302,MATCH(224,'4℃飯'!$AA$5:$AA$302,0))))</f>
        <v/>
      </c>
      <c r="D245" s="18" t="str">
        <f>IF(224&gt;MAX('4℃麵'!$AA$5:$AA$305),"",HYPERLINK("#'4℃麵'!D"&amp;(MATCH(224,'4℃麵'!$AA$5:$AA$305,0)+4),INDEX('4℃麵'!$D$5:$D$305,MATCH(224,'4℃麵'!$AA$5:$AA$305,0))))</f>
        <v/>
      </c>
      <c r="E245" s="18" t="str">
        <f>IF(224&gt;MAX('4℃其他'!$AA$5:$AA$302),"",HYPERLINK("#'4℃其他'!D"&amp;(MATCH(224,'4℃其他'!$AA$5:$AA$302,0)+4),INDEX('4℃其他'!$D$5:$D$302,MATCH(224,'4℃其他'!$AA$5:$AA$302,0))))</f>
        <v/>
      </c>
      <c r="F245" s="18" t="str">
        <f>IF(224&gt;MAX(冷凍品!$Z$5:$Z$304),"",HYPERLINK("#'冷凍品'!C"&amp;(MATCH(224,冷凍品!$Z$5:$Z$304,0)+4),INDEX(冷凍品!$C$5:$C$304,MATCH(224,冷凍品!$Z$5:$Z$304,0))))</f>
        <v/>
      </c>
    </row>
    <row r="246" spans="2:6">
      <c r="B246" s="18" t="str">
        <f>IF(225&gt;MAX('18℃'!$Z$5:$Z$304),"",HYPERLINK("#'18℃'!C"&amp;(MATCH(225,'18℃'!$Z$5:$Z$304,0)+4),INDEX('18℃'!$C$5:$C$304,MATCH(225,'18℃'!$Z$5:$Z$304,0))))</f>
        <v/>
      </c>
      <c r="C246" s="18" t="str">
        <f>IF(225&gt;MAX('4℃飯'!$AA$5:$AA$302),"",HYPERLINK("#'4℃飯'!D"&amp;(MATCH(225,'4℃飯'!$AA$5:$AA$302,0)+4),INDEX('4℃飯'!$D$5:$D$302,MATCH(225,'4℃飯'!$AA$5:$AA$302,0))))</f>
        <v/>
      </c>
      <c r="D246" s="18" t="str">
        <f>IF(225&gt;MAX('4℃麵'!$AA$5:$AA$305),"",HYPERLINK("#'4℃麵'!D"&amp;(MATCH(225,'4℃麵'!$AA$5:$AA$305,0)+4),INDEX('4℃麵'!$D$5:$D$305,MATCH(225,'4℃麵'!$AA$5:$AA$305,0))))</f>
        <v/>
      </c>
      <c r="E246" s="18" t="str">
        <f>IF(225&gt;MAX('4℃其他'!$AA$5:$AA$302),"",HYPERLINK("#'4℃其他'!D"&amp;(MATCH(225,'4℃其他'!$AA$5:$AA$302,0)+4),INDEX('4℃其他'!$D$5:$D$302,MATCH(225,'4℃其他'!$AA$5:$AA$302,0))))</f>
        <v/>
      </c>
      <c r="F246" s="18" t="str">
        <f>IF(225&gt;MAX(冷凍品!$Z$5:$Z$304),"",HYPERLINK("#'冷凍品'!C"&amp;(MATCH(225,冷凍品!$Z$5:$Z$304,0)+4),INDEX(冷凍品!$C$5:$C$304,MATCH(225,冷凍品!$Z$5:$Z$304,0))))</f>
        <v/>
      </c>
    </row>
    <row r="247" spans="2:6">
      <c r="B247" s="18" t="str">
        <f>IF(226&gt;MAX('18℃'!$Z$5:$Z$304),"",HYPERLINK("#'18℃'!C"&amp;(MATCH(226,'18℃'!$Z$5:$Z$304,0)+4),INDEX('18℃'!$C$5:$C$304,MATCH(226,'18℃'!$Z$5:$Z$304,0))))</f>
        <v/>
      </c>
      <c r="C247" s="18" t="str">
        <f>IF(226&gt;MAX('4℃飯'!$AA$5:$AA$302),"",HYPERLINK("#'4℃飯'!D"&amp;(MATCH(226,'4℃飯'!$AA$5:$AA$302,0)+4),INDEX('4℃飯'!$D$5:$D$302,MATCH(226,'4℃飯'!$AA$5:$AA$302,0))))</f>
        <v/>
      </c>
      <c r="D247" s="18" t="str">
        <f>IF(226&gt;MAX('4℃麵'!$AA$5:$AA$305),"",HYPERLINK("#'4℃麵'!D"&amp;(MATCH(226,'4℃麵'!$AA$5:$AA$305,0)+4),INDEX('4℃麵'!$D$5:$D$305,MATCH(226,'4℃麵'!$AA$5:$AA$305,0))))</f>
        <v/>
      </c>
      <c r="E247" s="18" t="str">
        <f>IF(226&gt;MAX('4℃其他'!$AA$5:$AA$302),"",HYPERLINK("#'4℃其他'!D"&amp;(MATCH(226,'4℃其他'!$AA$5:$AA$302,0)+4),INDEX('4℃其他'!$D$5:$D$302,MATCH(226,'4℃其他'!$AA$5:$AA$302,0))))</f>
        <v/>
      </c>
      <c r="F247" s="18" t="str">
        <f>IF(226&gt;MAX(冷凍品!$Z$5:$Z$304),"",HYPERLINK("#'冷凍品'!C"&amp;(MATCH(226,冷凍品!$Z$5:$Z$304,0)+4),INDEX(冷凍品!$C$5:$C$304,MATCH(226,冷凍品!$Z$5:$Z$304,0))))</f>
        <v/>
      </c>
    </row>
    <row r="248" spans="2:6">
      <c r="B248" s="18" t="str">
        <f>IF(227&gt;MAX('18℃'!$Z$5:$Z$304),"",HYPERLINK("#'18℃'!C"&amp;(MATCH(227,'18℃'!$Z$5:$Z$304,0)+4),INDEX('18℃'!$C$5:$C$304,MATCH(227,'18℃'!$Z$5:$Z$304,0))))</f>
        <v/>
      </c>
      <c r="C248" s="18" t="str">
        <f>IF(227&gt;MAX('4℃飯'!$AA$5:$AA$302),"",HYPERLINK("#'4℃飯'!D"&amp;(MATCH(227,'4℃飯'!$AA$5:$AA$302,0)+4),INDEX('4℃飯'!$D$5:$D$302,MATCH(227,'4℃飯'!$AA$5:$AA$302,0))))</f>
        <v/>
      </c>
      <c r="D248" s="18" t="str">
        <f>IF(227&gt;MAX('4℃麵'!$AA$5:$AA$305),"",HYPERLINK("#'4℃麵'!D"&amp;(MATCH(227,'4℃麵'!$AA$5:$AA$305,0)+4),INDEX('4℃麵'!$D$5:$D$305,MATCH(227,'4℃麵'!$AA$5:$AA$305,0))))</f>
        <v/>
      </c>
      <c r="E248" s="18" t="str">
        <f>IF(227&gt;MAX('4℃其他'!$AA$5:$AA$302),"",HYPERLINK("#'4℃其他'!D"&amp;(MATCH(227,'4℃其他'!$AA$5:$AA$302,0)+4),INDEX('4℃其他'!$D$5:$D$302,MATCH(227,'4℃其他'!$AA$5:$AA$302,0))))</f>
        <v/>
      </c>
      <c r="F248" s="18" t="str">
        <f>IF(227&gt;MAX(冷凍品!$Z$5:$Z$304),"",HYPERLINK("#'冷凍品'!C"&amp;(MATCH(227,冷凍品!$Z$5:$Z$304,0)+4),INDEX(冷凍品!$C$5:$C$304,MATCH(227,冷凍品!$Z$5:$Z$304,0))))</f>
        <v/>
      </c>
    </row>
    <row r="249" spans="2:6">
      <c r="B249" s="18" t="str">
        <f>IF(228&gt;MAX('18℃'!$Z$5:$Z$304),"",HYPERLINK("#'18℃'!C"&amp;(MATCH(228,'18℃'!$Z$5:$Z$304,0)+4),INDEX('18℃'!$C$5:$C$304,MATCH(228,'18℃'!$Z$5:$Z$304,0))))</f>
        <v/>
      </c>
      <c r="C249" s="18" t="str">
        <f>IF(228&gt;MAX('4℃飯'!$AA$5:$AA$302),"",HYPERLINK("#'4℃飯'!D"&amp;(MATCH(228,'4℃飯'!$AA$5:$AA$302,0)+4),INDEX('4℃飯'!$D$5:$D$302,MATCH(228,'4℃飯'!$AA$5:$AA$302,0))))</f>
        <v/>
      </c>
      <c r="D249" s="18" t="str">
        <f>IF(228&gt;MAX('4℃麵'!$AA$5:$AA$305),"",HYPERLINK("#'4℃麵'!D"&amp;(MATCH(228,'4℃麵'!$AA$5:$AA$305,0)+4),INDEX('4℃麵'!$D$5:$D$305,MATCH(228,'4℃麵'!$AA$5:$AA$305,0))))</f>
        <v/>
      </c>
      <c r="E249" s="18" t="str">
        <f>IF(228&gt;MAX('4℃其他'!$AA$5:$AA$302),"",HYPERLINK("#'4℃其他'!D"&amp;(MATCH(228,'4℃其他'!$AA$5:$AA$302,0)+4),INDEX('4℃其他'!$D$5:$D$302,MATCH(228,'4℃其他'!$AA$5:$AA$302,0))))</f>
        <v/>
      </c>
      <c r="F249" s="18" t="str">
        <f>IF(228&gt;MAX(冷凍品!$Z$5:$Z$304),"",HYPERLINK("#'冷凍品'!C"&amp;(MATCH(228,冷凍品!$Z$5:$Z$304,0)+4),INDEX(冷凍品!$C$5:$C$304,MATCH(228,冷凍品!$Z$5:$Z$304,0))))</f>
        <v/>
      </c>
    </row>
    <row r="250" spans="2:6">
      <c r="B250" s="18" t="str">
        <f>IF(229&gt;MAX('18℃'!$Z$5:$Z$304),"",HYPERLINK("#'18℃'!C"&amp;(MATCH(229,'18℃'!$Z$5:$Z$304,0)+4),INDEX('18℃'!$C$5:$C$304,MATCH(229,'18℃'!$Z$5:$Z$304,0))))</f>
        <v/>
      </c>
      <c r="C250" s="18" t="str">
        <f>IF(229&gt;MAX('4℃飯'!$AA$5:$AA$302),"",HYPERLINK("#'4℃飯'!D"&amp;(MATCH(229,'4℃飯'!$AA$5:$AA$302,0)+4),INDEX('4℃飯'!$D$5:$D$302,MATCH(229,'4℃飯'!$AA$5:$AA$302,0))))</f>
        <v/>
      </c>
      <c r="D250" s="18" t="str">
        <f>IF(229&gt;MAX('4℃麵'!$AA$5:$AA$305),"",HYPERLINK("#'4℃麵'!D"&amp;(MATCH(229,'4℃麵'!$AA$5:$AA$305,0)+4),INDEX('4℃麵'!$D$5:$D$305,MATCH(229,'4℃麵'!$AA$5:$AA$305,0))))</f>
        <v/>
      </c>
      <c r="E250" s="18" t="str">
        <f>IF(229&gt;MAX('4℃其他'!$AA$5:$AA$302),"",HYPERLINK("#'4℃其他'!D"&amp;(MATCH(229,'4℃其他'!$AA$5:$AA$302,0)+4),INDEX('4℃其他'!$D$5:$D$302,MATCH(229,'4℃其他'!$AA$5:$AA$302,0))))</f>
        <v/>
      </c>
      <c r="F250" s="18" t="str">
        <f>IF(229&gt;MAX(冷凍品!$Z$5:$Z$304),"",HYPERLINK("#'冷凍品'!C"&amp;(MATCH(229,冷凍品!$Z$5:$Z$304,0)+4),INDEX(冷凍品!$C$5:$C$304,MATCH(229,冷凍品!$Z$5:$Z$304,0))))</f>
        <v/>
      </c>
    </row>
    <row r="251" spans="2:6">
      <c r="B251" s="18" t="str">
        <f>IF(230&gt;MAX('18℃'!$Z$5:$Z$304),"",HYPERLINK("#'18℃'!C"&amp;(MATCH(230,'18℃'!$Z$5:$Z$304,0)+4),INDEX('18℃'!$C$5:$C$304,MATCH(230,'18℃'!$Z$5:$Z$304,0))))</f>
        <v/>
      </c>
      <c r="C251" s="18" t="str">
        <f>IF(230&gt;MAX('4℃飯'!$AA$5:$AA$302),"",HYPERLINK("#'4℃飯'!D"&amp;(MATCH(230,'4℃飯'!$AA$5:$AA$302,0)+4),INDEX('4℃飯'!$D$5:$D$302,MATCH(230,'4℃飯'!$AA$5:$AA$302,0))))</f>
        <v/>
      </c>
      <c r="D251" s="18" t="str">
        <f>IF(230&gt;MAX('4℃麵'!$AA$5:$AA$305),"",HYPERLINK("#'4℃麵'!D"&amp;(MATCH(230,'4℃麵'!$AA$5:$AA$305,0)+4),INDEX('4℃麵'!$D$5:$D$305,MATCH(230,'4℃麵'!$AA$5:$AA$305,0))))</f>
        <v/>
      </c>
      <c r="E251" s="18" t="str">
        <f>IF(230&gt;MAX('4℃其他'!$AA$5:$AA$302),"",HYPERLINK("#'4℃其他'!D"&amp;(MATCH(230,'4℃其他'!$AA$5:$AA$302,0)+4),INDEX('4℃其他'!$D$5:$D$302,MATCH(230,'4℃其他'!$AA$5:$AA$302,0))))</f>
        <v/>
      </c>
      <c r="F251" s="18" t="str">
        <f>IF(230&gt;MAX(冷凍品!$Z$5:$Z$304),"",HYPERLINK("#'冷凍品'!C"&amp;(MATCH(230,冷凍品!$Z$5:$Z$304,0)+4),INDEX(冷凍品!$C$5:$C$304,MATCH(230,冷凍品!$Z$5:$Z$304,0))))</f>
        <v/>
      </c>
    </row>
    <row r="252" spans="2:6">
      <c r="B252" s="18" t="str">
        <f>IF(231&gt;MAX('18℃'!$Z$5:$Z$304),"",HYPERLINK("#'18℃'!C"&amp;(MATCH(231,'18℃'!$Z$5:$Z$304,0)+4),INDEX('18℃'!$C$5:$C$304,MATCH(231,'18℃'!$Z$5:$Z$304,0))))</f>
        <v/>
      </c>
      <c r="C252" s="18" t="str">
        <f>IF(231&gt;MAX('4℃飯'!$AA$5:$AA$302),"",HYPERLINK("#'4℃飯'!D"&amp;(MATCH(231,'4℃飯'!$AA$5:$AA$302,0)+4),INDEX('4℃飯'!$D$5:$D$302,MATCH(231,'4℃飯'!$AA$5:$AA$302,0))))</f>
        <v/>
      </c>
      <c r="D252" s="18" t="str">
        <f>IF(231&gt;MAX('4℃麵'!$AA$5:$AA$305),"",HYPERLINK("#'4℃麵'!D"&amp;(MATCH(231,'4℃麵'!$AA$5:$AA$305,0)+4),INDEX('4℃麵'!$D$5:$D$305,MATCH(231,'4℃麵'!$AA$5:$AA$305,0))))</f>
        <v/>
      </c>
      <c r="E252" s="18" t="str">
        <f>IF(231&gt;MAX('4℃其他'!$AA$5:$AA$302),"",HYPERLINK("#'4℃其他'!D"&amp;(MATCH(231,'4℃其他'!$AA$5:$AA$302,0)+4),INDEX('4℃其他'!$D$5:$D$302,MATCH(231,'4℃其他'!$AA$5:$AA$302,0))))</f>
        <v/>
      </c>
      <c r="F252" s="18" t="str">
        <f>IF(231&gt;MAX(冷凍品!$Z$5:$Z$304),"",HYPERLINK("#'冷凍品'!C"&amp;(MATCH(231,冷凍品!$Z$5:$Z$304,0)+4),INDEX(冷凍品!$C$5:$C$304,MATCH(231,冷凍品!$Z$5:$Z$304,0))))</f>
        <v/>
      </c>
    </row>
    <row r="253" spans="2:6">
      <c r="B253" s="18" t="str">
        <f>IF(232&gt;MAX('18℃'!$Z$5:$Z$304),"",HYPERLINK("#'18℃'!C"&amp;(MATCH(232,'18℃'!$Z$5:$Z$304,0)+4),INDEX('18℃'!$C$5:$C$304,MATCH(232,'18℃'!$Z$5:$Z$304,0))))</f>
        <v/>
      </c>
      <c r="C253" s="18" t="str">
        <f>IF(232&gt;MAX('4℃飯'!$AA$5:$AA$302),"",HYPERLINK("#'4℃飯'!D"&amp;(MATCH(232,'4℃飯'!$AA$5:$AA$302,0)+4),INDEX('4℃飯'!$D$5:$D$302,MATCH(232,'4℃飯'!$AA$5:$AA$302,0))))</f>
        <v/>
      </c>
      <c r="D253" s="18" t="str">
        <f>IF(232&gt;MAX('4℃麵'!$AA$5:$AA$305),"",HYPERLINK("#'4℃麵'!D"&amp;(MATCH(232,'4℃麵'!$AA$5:$AA$305,0)+4),INDEX('4℃麵'!$D$5:$D$305,MATCH(232,'4℃麵'!$AA$5:$AA$305,0))))</f>
        <v/>
      </c>
      <c r="E253" s="18" t="str">
        <f>IF(232&gt;MAX('4℃其他'!$AA$5:$AA$302),"",HYPERLINK("#'4℃其他'!D"&amp;(MATCH(232,'4℃其他'!$AA$5:$AA$302,0)+4),INDEX('4℃其他'!$D$5:$D$302,MATCH(232,'4℃其他'!$AA$5:$AA$302,0))))</f>
        <v/>
      </c>
      <c r="F253" s="18" t="str">
        <f>IF(232&gt;MAX(冷凍品!$Z$5:$Z$304),"",HYPERLINK("#'冷凍品'!C"&amp;(MATCH(232,冷凍品!$Z$5:$Z$304,0)+4),INDEX(冷凍品!$C$5:$C$304,MATCH(232,冷凍品!$Z$5:$Z$304,0))))</f>
        <v/>
      </c>
    </row>
    <row r="254" spans="2:6">
      <c r="B254" s="18" t="str">
        <f>IF(233&gt;MAX('18℃'!$Z$5:$Z$304),"",HYPERLINK("#'18℃'!C"&amp;(MATCH(233,'18℃'!$Z$5:$Z$304,0)+4),INDEX('18℃'!$C$5:$C$304,MATCH(233,'18℃'!$Z$5:$Z$304,0))))</f>
        <v/>
      </c>
      <c r="C254" s="18" t="str">
        <f>IF(233&gt;MAX('4℃飯'!$AA$5:$AA$302),"",HYPERLINK("#'4℃飯'!D"&amp;(MATCH(233,'4℃飯'!$AA$5:$AA$302,0)+4),INDEX('4℃飯'!$D$5:$D$302,MATCH(233,'4℃飯'!$AA$5:$AA$302,0))))</f>
        <v/>
      </c>
      <c r="D254" s="18" t="str">
        <f>IF(233&gt;MAX('4℃麵'!$AA$5:$AA$305),"",HYPERLINK("#'4℃麵'!D"&amp;(MATCH(233,'4℃麵'!$AA$5:$AA$305,0)+4),INDEX('4℃麵'!$D$5:$D$305,MATCH(233,'4℃麵'!$AA$5:$AA$305,0))))</f>
        <v/>
      </c>
      <c r="E254" s="18" t="str">
        <f>IF(233&gt;MAX('4℃其他'!$AA$5:$AA$302),"",HYPERLINK("#'4℃其他'!D"&amp;(MATCH(233,'4℃其他'!$AA$5:$AA$302,0)+4),INDEX('4℃其他'!$D$5:$D$302,MATCH(233,'4℃其他'!$AA$5:$AA$302,0))))</f>
        <v/>
      </c>
      <c r="F254" s="18" t="str">
        <f>IF(233&gt;MAX(冷凍品!$Z$5:$Z$304),"",HYPERLINK("#'冷凍品'!C"&amp;(MATCH(233,冷凍品!$Z$5:$Z$304,0)+4),INDEX(冷凍品!$C$5:$C$304,MATCH(233,冷凍品!$Z$5:$Z$304,0))))</f>
        <v/>
      </c>
    </row>
    <row r="255" spans="2:6">
      <c r="B255" s="18" t="str">
        <f>IF(234&gt;MAX('18℃'!$Z$5:$Z$304),"",HYPERLINK("#'18℃'!C"&amp;(MATCH(234,'18℃'!$Z$5:$Z$304,0)+4),INDEX('18℃'!$C$5:$C$304,MATCH(234,'18℃'!$Z$5:$Z$304,0))))</f>
        <v/>
      </c>
      <c r="C255" s="18" t="str">
        <f>IF(234&gt;MAX('4℃飯'!$AA$5:$AA$302),"",HYPERLINK("#'4℃飯'!D"&amp;(MATCH(234,'4℃飯'!$AA$5:$AA$302,0)+4),INDEX('4℃飯'!$D$5:$D$302,MATCH(234,'4℃飯'!$AA$5:$AA$302,0))))</f>
        <v/>
      </c>
      <c r="D255" s="18" t="str">
        <f>IF(234&gt;MAX('4℃麵'!$AA$5:$AA$305),"",HYPERLINK("#'4℃麵'!D"&amp;(MATCH(234,'4℃麵'!$AA$5:$AA$305,0)+4),INDEX('4℃麵'!$D$5:$D$305,MATCH(234,'4℃麵'!$AA$5:$AA$305,0))))</f>
        <v/>
      </c>
      <c r="E255" s="18" t="str">
        <f>IF(234&gt;MAX('4℃其他'!$AA$5:$AA$302),"",HYPERLINK("#'4℃其他'!D"&amp;(MATCH(234,'4℃其他'!$AA$5:$AA$302,0)+4),INDEX('4℃其他'!$D$5:$D$302,MATCH(234,'4℃其他'!$AA$5:$AA$302,0))))</f>
        <v/>
      </c>
      <c r="F255" s="18" t="str">
        <f>IF(234&gt;MAX(冷凍品!$Z$5:$Z$304),"",HYPERLINK("#'冷凍品'!C"&amp;(MATCH(234,冷凍品!$Z$5:$Z$304,0)+4),INDEX(冷凍品!$C$5:$C$304,MATCH(234,冷凍品!$Z$5:$Z$304,0))))</f>
        <v/>
      </c>
    </row>
    <row r="256" spans="2:6">
      <c r="B256" s="18" t="str">
        <f>IF(235&gt;MAX('18℃'!$Z$5:$Z$304),"",HYPERLINK("#'18℃'!C"&amp;(MATCH(235,'18℃'!$Z$5:$Z$304,0)+4),INDEX('18℃'!$C$5:$C$304,MATCH(235,'18℃'!$Z$5:$Z$304,0))))</f>
        <v/>
      </c>
      <c r="C256" s="18" t="str">
        <f>IF(235&gt;MAX('4℃飯'!$AA$5:$AA$302),"",HYPERLINK("#'4℃飯'!D"&amp;(MATCH(235,'4℃飯'!$AA$5:$AA$302,0)+4),INDEX('4℃飯'!$D$5:$D$302,MATCH(235,'4℃飯'!$AA$5:$AA$302,0))))</f>
        <v/>
      </c>
      <c r="D256" s="18" t="str">
        <f>IF(235&gt;MAX('4℃麵'!$AA$5:$AA$305),"",HYPERLINK("#'4℃麵'!D"&amp;(MATCH(235,'4℃麵'!$AA$5:$AA$305,0)+4),INDEX('4℃麵'!$D$5:$D$305,MATCH(235,'4℃麵'!$AA$5:$AA$305,0))))</f>
        <v/>
      </c>
      <c r="E256" s="18" t="str">
        <f>IF(235&gt;MAX('4℃其他'!$AA$5:$AA$302),"",HYPERLINK("#'4℃其他'!D"&amp;(MATCH(235,'4℃其他'!$AA$5:$AA$302,0)+4),INDEX('4℃其他'!$D$5:$D$302,MATCH(235,'4℃其他'!$AA$5:$AA$302,0))))</f>
        <v/>
      </c>
      <c r="F256" s="18" t="str">
        <f>IF(235&gt;MAX(冷凍品!$Z$5:$Z$304),"",HYPERLINK("#'冷凍品'!C"&amp;(MATCH(235,冷凍品!$Z$5:$Z$304,0)+4),INDEX(冷凍品!$C$5:$C$304,MATCH(235,冷凍品!$Z$5:$Z$304,0))))</f>
        <v/>
      </c>
    </row>
    <row r="257" spans="2:6">
      <c r="B257" s="18" t="str">
        <f>IF(236&gt;MAX('18℃'!$Z$5:$Z$304),"",HYPERLINK("#'18℃'!C"&amp;(MATCH(236,'18℃'!$Z$5:$Z$304,0)+4),INDEX('18℃'!$C$5:$C$304,MATCH(236,'18℃'!$Z$5:$Z$304,0))))</f>
        <v/>
      </c>
      <c r="C257" s="18" t="str">
        <f>IF(236&gt;MAX('4℃飯'!$AA$5:$AA$302),"",HYPERLINK("#'4℃飯'!D"&amp;(MATCH(236,'4℃飯'!$AA$5:$AA$302,0)+4),INDEX('4℃飯'!$D$5:$D$302,MATCH(236,'4℃飯'!$AA$5:$AA$302,0))))</f>
        <v/>
      </c>
      <c r="D257" s="18" t="str">
        <f>IF(236&gt;MAX('4℃麵'!$AA$5:$AA$305),"",HYPERLINK("#'4℃麵'!D"&amp;(MATCH(236,'4℃麵'!$AA$5:$AA$305,0)+4),INDEX('4℃麵'!$D$5:$D$305,MATCH(236,'4℃麵'!$AA$5:$AA$305,0))))</f>
        <v/>
      </c>
      <c r="E257" s="18" t="str">
        <f>IF(236&gt;MAX('4℃其他'!$AA$5:$AA$302),"",HYPERLINK("#'4℃其他'!D"&amp;(MATCH(236,'4℃其他'!$AA$5:$AA$302,0)+4),INDEX('4℃其他'!$D$5:$D$302,MATCH(236,'4℃其他'!$AA$5:$AA$302,0))))</f>
        <v/>
      </c>
      <c r="F257" s="18" t="str">
        <f>IF(236&gt;MAX(冷凍品!$Z$5:$Z$304),"",HYPERLINK("#'冷凍品'!C"&amp;(MATCH(236,冷凍品!$Z$5:$Z$304,0)+4),INDEX(冷凍品!$C$5:$C$304,MATCH(236,冷凍品!$Z$5:$Z$304,0))))</f>
        <v/>
      </c>
    </row>
    <row r="258" spans="2:6">
      <c r="B258" s="18" t="str">
        <f>IF(237&gt;MAX('18℃'!$Z$5:$Z$304),"",HYPERLINK("#'18℃'!C"&amp;(MATCH(237,'18℃'!$Z$5:$Z$304,0)+4),INDEX('18℃'!$C$5:$C$304,MATCH(237,'18℃'!$Z$5:$Z$304,0))))</f>
        <v/>
      </c>
      <c r="C258" s="18" t="str">
        <f>IF(237&gt;MAX('4℃飯'!$AA$5:$AA$302),"",HYPERLINK("#'4℃飯'!D"&amp;(MATCH(237,'4℃飯'!$AA$5:$AA$302,0)+4),INDEX('4℃飯'!$D$5:$D$302,MATCH(237,'4℃飯'!$AA$5:$AA$302,0))))</f>
        <v/>
      </c>
      <c r="D258" s="18" t="str">
        <f>IF(237&gt;MAX('4℃麵'!$AA$5:$AA$305),"",HYPERLINK("#'4℃麵'!D"&amp;(MATCH(237,'4℃麵'!$AA$5:$AA$305,0)+4),INDEX('4℃麵'!$D$5:$D$305,MATCH(237,'4℃麵'!$AA$5:$AA$305,0))))</f>
        <v/>
      </c>
      <c r="E258" s="18" t="str">
        <f>IF(237&gt;MAX('4℃其他'!$AA$5:$AA$302),"",HYPERLINK("#'4℃其他'!D"&amp;(MATCH(237,'4℃其他'!$AA$5:$AA$302,0)+4),INDEX('4℃其他'!$D$5:$D$302,MATCH(237,'4℃其他'!$AA$5:$AA$302,0))))</f>
        <v/>
      </c>
      <c r="F258" s="18" t="str">
        <f>IF(237&gt;MAX(冷凍品!$Z$5:$Z$304),"",HYPERLINK("#'冷凍品'!C"&amp;(MATCH(237,冷凍品!$Z$5:$Z$304,0)+4),INDEX(冷凍品!$C$5:$C$304,MATCH(237,冷凍品!$Z$5:$Z$304,0))))</f>
        <v/>
      </c>
    </row>
    <row r="259" spans="2:6">
      <c r="B259" s="18" t="str">
        <f>IF(238&gt;MAX('18℃'!$Z$5:$Z$304),"",HYPERLINK("#'18℃'!C"&amp;(MATCH(238,'18℃'!$Z$5:$Z$304,0)+4),INDEX('18℃'!$C$5:$C$304,MATCH(238,'18℃'!$Z$5:$Z$304,0))))</f>
        <v/>
      </c>
      <c r="C259" s="18" t="str">
        <f>IF(238&gt;MAX('4℃飯'!$AA$5:$AA$302),"",HYPERLINK("#'4℃飯'!D"&amp;(MATCH(238,'4℃飯'!$AA$5:$AA$302,0)+4),INDEX('4℃飯'!$D$5:$D$302,MATCH(238,'4℃飯'!$AA$5:$AA$302,0))))</f>
        <v/>
      </c>
      <c r="D259" s="18" t="str">
        <f>IF(238&gt;MAX('4℃麵'!$AA$5:$AA$305),"",HYPERLINK("#'4℃麵'!D"&amp;(MATCH(238,'4℃麵'!$AA$5:$AA$305,0)+4),INDEX('4℃麵'!$D$5:$D$305,MATCH(238,'4℃麵'!$AA$5:$AA$305,0))))</f>
        <v/>
      </c>
      <c r="E259" s="18" t="str">
        <f>IF(238&gt;MAX('4℃其他'!$AA$5:$AA$302),"",HYPERLINK("#'4℃其他'!D"&amp;(MATCH(238,'4℃其他'!$AA$5:$AA$302,0)+4),INDEX('4℃其他'!$D$5:$D$302,MATCH(238,'4℃其他'!$AA$5:$AA$302,0))))</f>
        <v/>
      </c>
      <c r="F259" s="18" t="str">
        <f>IF(238&gt;MAX(冷凍品!$Z$5:$Z$304),"",HYPERLINK("#'冷凍品'!C"&amp;(MATCH(238,冷凍品!$Z$5:$Z$304,0)+4),INDEX(冷凍品!$C$5:$C$304,MATCH(238,冷凍品!$Z$5:$Z$304,0))))</f>
        <v/>
      </c>
    </row>
    <row r="260" spans="2:6">
      <c r="B260" s="18" t="str">
        <f>IF(239&gt;MAX('18℃'!$Z$5:$Z$304),"",HYPERLINK("#'18℃'!C"&amp;(MATCH(239,'18℃'!$Z$5:$Z$304,0)+4),INDEX('18℃'!$C$5:$C$304,MATCH(239,'18℃'!$Z$5:$Z$304,0))))</f>
        <v/>
      </c>
      <c r="C260" s="18" t="str">
        <f>IF(239&gt;MAX('4℃飯'!$AA$5:$AA$302),"",HYPERLINK("#'4℃飯'!D"&amp;(MATCH(239,'4℃飯'!$AA$5:$AA$302,0)+4),INDEX('4℃飯'!$D$5:$D$302,MATCH(239,'4℃飯'!$AA$5:$AA$302,0))))</f>
        <v/>
      </c>
      <c r="D260" s="18" t="str">
        <f>IF(239&gt;MAX('4℃麵'!$AA$5:$AA$305),"",HYPERLINK("#'4℃麵'!D"&amp;(MATCH(239,'4℃麵'!$AA$5:$AA$305,0)+4),INDEX('4℃麵'!$D$5:$D$305,MATCH(239,'4℃麵'!$AA$5:$AA$305,0))))</f>
        <v/>
      </c>
      <c r="E260" s="18" t="str">
        <f>IF(239&gt;MAX('4℃其他'!$AA$5:$AA$302),"",HYPERLINK("#'4℃其他'!D"&amp;(MATCH(239,'4℃其他'!$AA$5:$AA$302,0)+4),INDEX('4℃其他'!$D$5:$D$302,MATCH(239,'4℃其他'!$AA$5:$AA$302,0))))</f>
        <v/>
      </c>
      <c r="F260" s="18" t="str">
        <f>IF(239&gt;MAX(冷凍品!$Z$5:$Z$304),"",HYPERLINK("#'冷凍品'!C"&amp;(MATCH(239,冷凍品!$Z$5:$Z$304,0)+4),INDEX(冷凍品!$C$5:$C$304,MATCH(239,冷凍品!$Z$5:$Z$304,0))))</f>
        <v/>
      </c>
    </row>
    <row r="261" spans="2:6">
      <c r="B261" s="18" t="str">
        <f>IF(240&gt;MAX('18℃'!$Z$5:$Z$304),"",HYPERLINK("#'18℃'!C"&amp;(MATCH(240,'18℃'!$Z$5:$Z$304,0)+4),INDEX('18℃'!$C$5:$C$304,MATCH(240,'18℃'!$Z$5:$Z$304,0))))</f>
        <v/>
      </c>
      <c r="C261" s="18" t="str">
        <f>IF(240&gt;MAX('4℃飯'!$AA$5:$AA$302),"",HYPERLINK("#'4℃飯'!D"&amp;(MATCH(240,'4℃飯'!$AA$5:$AA$302,0)+4),INDEX('4℃飯'!$D$5:$D$302,MATCH(240,'4℃飯'!$AA$5:$AA$302,0))))</f>
        <v/>
      </c>
      <c r="D261" s="18" t="str">
        <f>IF(240&gt;MAX('4℃麵'!$AA$5:$AA$305),"",HYPERLINK("#'4℃麵'!D"&amp;(MATCH(240,'4℃麵'!$AA$5:$AA$305,0)+4),INDEX('4℃麵'!$D$5:$D$305,MATCH(240,'4℃麵'!$AA$5:$AA$305,0))))</f>
        <v/>
      </c>
      <c r="E261" s="18" t="str">
        <f>IF(240&gt;MAX('4℃其他'!$AA$5:$AA$302),"",HYPERLINK("#'4℃其他'!D"&amp;(MATCH(240,'4℃其他'!$AA$5:$AA$302,0)+4),INDEX('4℃其他'!$D$5:$D$302,MATCH(240,'4℃其他'!$AA$5:$AA$302,0))))</f>
        <v/>
      </c>
      <c r="F261" s="18" t="str">
        <f>IF(240&gt;MAX(冷凍品!$Z$5:$Z$304),"",HYPERLINK("#'冷凍品'!C"&amp;(MATCH(240,冷凍品!$Z$5:$Z$304,0)+4),INDEX(冷凍品!$C$5:$C$304,MATCH(240,冷凍品!$Z$5:$Z$304,0))))</f>
        <v/>
      </c>
    </row>
    <row r="262" spans="2:6">
      <c r="B262" s="18" t="str">
        <f>IF(241&gt;MAX('18℃'!$Z$5:$Z$304),"",HYPERLINK("#'18℃'!C"&amp;(MATCH(241,'18℃'!$Z$5:$Z$304,0)+4),INDEX('18℃'!$C$5:$C$304,MATCH(241,'18℃'!$Z$5:$Z$304,0))))</f>
        <v/>
      </c>
      <c r="C262" s="18" t="str">
        <f>IF(241&gt;MAX('4℃飯'!$AA$5:$AA$302),"",HYPERLINK("#'4℃飯'!D"&amp;(MATCH(241,'4℃飯'!$AA$5:$AA$302,0)+4),INDEX('4℃飯'!$D$5:$D$302,MATCH(241,'4℃飯'!$AA$5:$AA$302,0))))</f>
        <v/>
      </c>
      <c r="D262" s="18" t="str">
        <f>IF(241&gt;MAX('4℃麵'!$AA$5:$AA$305),"",HYPERLINK("#'4℃麵'!D"&amp;(MATCH(241,'4℃麵'!$AA$5:$AA$305,0)+4),INDEX('4℃麵'!$D$5:$D$305,MATCH(241,'4℃麵'!$AA$5:$AA$305,0))))</f>
        <v/>
      </c>
      <c r="E262" s="18" t="str">
        <f>IF(241&gt;MAX('4℃其他'!$AA$5:$AA$302),"",HYPERLINK("#'4℃其他'!D"&amp;(MATCH(241,'4℃其他'!$AA$5:$AA$302,0)+4),INDEX('4℃其他'!$D$5:$D$302,MATCH(241,'4℃其他'!$AA$5:$AA$302,0))))</f>
        <v/>
      </c>
      <c r="F262" s="18" t="str">
        <f>IF(241&gt;MAX(冷凍品!$Z$5:$Z$304),"",HYPERLINK("#'冷凍品'!C"&amp;(MATCH(241,冷凍品!$Z$5:$Z$304,0)+4),INDEX(冷凍品!$C$5:$C$304,MATCH(241,冷凍品!$Z$5:$Z$304,0))))</f>
        <v/>
      </c>
    </row>
    <row r="263" spans="2:6">
      <c r="B263" s="18" t="str">
        <f>IF(242&gt;MAX('18℃'!$Z$5:$Z$304),"",HYPERLINK("#'18℃'!C"&amp;(MATCH(242,'18℃'!$Z$5:$Z$304,0)+4),INDEX('18℃'!$C$5:$C$304,MATCH(242,'18℃'!$Z$5:$Z$304,0))))</f>
        <v/>
      </c>
      <c r="C263" s="18" t="str">
        <f>IF(242&gt;MAX('4℃飯'!$AA$5:$AA$302),"",HYPERLINK("#'4℃飯'!D"&amp;(MATCH(242,'4℃飯'!$AA$5:$AA$302,0)+4),INDEX('4℃飯'!$D$5:$D$302,MATCH(242,'4℃飯'!$AA$5:$AA$302,0))))</f>
        <v/>
      </c>
      <c r="D263" s="18" t="str">
        <f>IF(242&gt;MAX('4℃麵'!$AA$5:$AA$305),"",HYPERLINK("#'4℃麵'!D"&amp;(MATCH(242,'4℃麵'!$AA$5:$AA$305,0)+4),INDEX('4℃麵'!$D$5:$D$305,MATCH(242,'4℃麵'!$AA$5:$AA$305,0))))</f>
        <v/>
      </c>
      <c r="E263" s="18" t="str">
        <f>IF(242&gt;MAX('4℃其他'!$AA$5:$AA$302),"",HYPERLINK("#'4℃其他'!D"&amp;(MATCH(242,'4℃其他'!$AA$5:$AA$302,0)+4),INDEX('4℃其他'!$D$5:$D$302,MATCH(242,'4℃其他'!$AA$5:$AA$302,0))))</f>
        <v/>
      </c>
      <c r="F263" s="18" t="str">
        <f>IF(242&gt;MAX(冷凍品!$Z$5:$Z$304),"",HYPERLINK("#'冷凍品'!C"&amp;(MATCH(242,冷凍品!$Z$5:$Z$304,0)+4),INDEX(冷凍品!$C$5:$C$304,MATCH(242,冷凍品!$Z$5:$Z$304,0))))</f>
        <v/>
      </c>
    </row>
    <row r="264" spans="2:6">
      <c r="B264" s="18" t="str">
        <f>IF(243&gt;MAX('18℃'!$Z$5:$Z$304),"",HYPERLINK("#'18℃'!C"&amp;(MATCH(243,'18℃'!$Z$5:$Z$304,0)+4),INDEX('18℃'!$C$5:$C$304,MATCH(243,'18℃'!$Z$5:$Z$304,0))))</f>
        <v/>
      </c>
      <c r="C264" s="18" t="str">
        <f>IF(243&gt;MAX('4℃飯'!$AA$5:$AA$302),"",HYPERLINK("#'4℃飯'!D"&amp;(MATCH(243,'4℃飯'!$AA$5:$AA$302,0)+4),INDEX('4℃飯'!$D$5:$D$302,MATCH(243,'4℃飯'!$AA$5:$AA$302,0))))</f>
        <v/>
      </c>
      <c r="D264" s="18" t="str">
        <f>IF(243&gt;MAX('4℃麵'!$AA$5:$AA$305),"",HYPERLINK("#'4℃麵'!D"&amp;(MATCH(243,'4℃麵'!$AA$5:$AA$305,0)+4),INDEX('4℃麵'!$D$5:$D$305,MATCH(243,'4℃麵'!$AA$5:$AA$305,0))))</f>
        <v/>
      </c>
      <c r="E264" s="18" t="str">
        <f>IF(243&gt;MAX('4℃其他'!$AA$5:$AA$302),"",HYPERLINK("#'4℃其他'!D"&amp;(MATCH(243,'4℃其他'!$AA$5:$AA$302,0)+4),INDEX('4℃其他'!$D$5:$D$302,MATCH(243,'4℃其他'!$AA$5:$AA$302,0))))</f>
        <v/>
      </c>
      <c r="F264" s="18" t="str">
        <f>IF(243&gt;MAX(冷凍品!$Z$5:$Z$304),"",HYPERLINK("#'冷凍品'!C"&amp;(MATCH(243,冷凍品!$Z$5:$Z$304,0)+4),INDEX(冷凍品!$C$5:$C$304,MATCH(243,冷凍品!$Z$5:$Z$304,0))))</f>
        <v/>
      </c>
    </row>
    <row r="265" spans="2:6">
      <c r="B265" s="18" t="str">
        <f>IF(244&gt;MAX('18℃'!$Z$5:$Z$304),"",HYPERLINK("#'18℃'!C"&amp;(MATCH(244,'18℃'!$Z$5:$Z$304,0)+4),INDEX('18℃'!$C$5:$C$304,MATCH(244,'18℃'!$Z$5:$Z$304,0))))</f>
        <v/>
      </c>
      <c r="C265" s="18" t="str">
        <f>IF(244&gt;MAX('4℃飯'!$AA$5:$AA$302),"",HYPERLINK("#'4℃飯'!D"&amp;(MATCH(244,'4℃飯'!$AA$5:$AA$302,0)+4),INDEX('4℃飯'!$D$5:$D$302,MATCH(244,'4℃飯'!$AA$5:$AA$302,0))))</f>
        <v/>
      </c>
      <c r="D265" s="18" t="str">
        <f>IF(244&gt;MAX('4℃麵'!$AA$5:$AA$305),"",HYPERLINK("#'4℃麵'!D"&amp;(MATCH(244,'4℃麵'!$AA$5:$AA$305,0)+4),INDEX('4℃麵'!$D$5:$D$305,MATCH(244,'4℃麵'!$AA$5:$AA$305,0))))</f>
        <v/>
      </c>
      <c r="E265" s="18" t="str">
        <f>IF(244&gt;MAX('4℃其他'!$AA$5:$AA$302),"",HYPERLINK("#'4℃其他'!D"&amp;(MATCH(244,'4℃其他'!$AA$5:$AA$302,0)+4),INDEX('4℃其他'!$D$5:$D$302,MATCH(244,'4℃其他'!$AA$5:$AA$302,0))))</f>
        <v/>
      </c>
      <c r="F265" s="18" t="str">
        <f>IF(244&gt;MAX(冷凍品!$Z$5:$Z$304),"",HYPERLINK("#'冷凍品'!C"&amp;(MATCH(244,冷凍品!$Z$5:$Z$304,0)+4),INDEX(冷凍品!$C$5:$C$304,MATCH(244,冷凍品!$Z$5:$Z$304,0))))</f>
        <v/>
      </c>
    </row>
    <row r="266" spans="2:6">
      <c r="B266" s="18" t="str">
        <f>IF(245&gt;MAX('18℃'!$Z$5:$Z$304),"",HYPERLINK("#'18℃'!C"&amp;(MATCH(245,'18℃'!$Z$5:$Z$304,0)+4),INDEX('18℃'!$C$5:$C$304,MATCH(245,'18℃'!$Z$5:$Z$304,0))))</f>
        <v/>
      </c>
      <c r="C266" s="18" t="str">
        <f>IF(245&gt;MAX('4℃飯'!$AA$5:$AA$302),"",HYPERLINK("#'4℃飯'!D"&amp;(MATCH(245,'4℃飯'!$AA$5:$AA$302,0)+4),INDEX('4℃飯'!$D$5:$D$302,MATCH(245,'4℃飯'!$AA$5:$AA$302,0))))</f>
        <v/>
      </c>
      <c r="D266" s="18" t="str">
        <f>IF(245&gt;MAX('4℃麵'!$AA$5:$AA$305),"",HYPERLINK("#'4℃麵'!D"&amp;(MATCH(245,'4℃麵'!$AA$5:$AA$305,0)+4),INDEX('4℃麵'!$D$5:$D$305,MATCH(245,'4℃麵'!$AA$5:$AA$305,0))))</f>
        <v/>
      </c>
      <c r="E266" s="18" t="str">
        <f>IF(245&gt;MAX('4℃其他'!$AA$5:$AA$302),"",HYPERLINK("#'4℃其他'!D"&amp;(MATCH(245,'4℃其他'!$AA$5:$AA$302,0)+4),INDEX('4℃其他'!$D$5:$D$302,MATCH(245,'4℃其他'!$AA$5:$AA$302,0))))</f>
        <v/>
      </c>
      <c r="F266" s="18" t="str">
        <f>IF(245&gt;MAX(冷凍品!$Z$5:$Z$304),"",HYPERLINK("#'冷凍品'!C"&amp;(MATCH(245,冷凍品!$Z$5:$Z$304,0)+4),INDEX(冷凍品!$C$5:$C$304,MATCH(245,冷凍品!$Z$5:$Z$304,0))))</f>
        <v/>
      </c>
    </row>
    <row r="267" spans="2:6">
      <c r="B267" s="18" t="str">
        <f>IF(246&gt;MAX('18℃'!$Z$5:$Z$304),"",HYPERLINK("#'18℃'!C"&amp;(MATCH(246,'18℃'!$Z$5:$Z$304,0)+4),INDEX('18℃'!$C$5:$C$304,MATCH(246,'18℃'!$Z$5:$Z$304,0))))</f>
        <v/>
      </c>
      <c r="C267" s="18" t="str">
        <f>IF(246&gt;MAX('4℃飯'!$AA$5:$AA$302),"",HYPERLINK("#'4℃飯'!D"&amp;(MATCH(246,'4℃飯'!$AA$5:$AA$302,0)+4),INDEX('4℃飯'!$D$5:$D$302,MATCH(246,'4℃飯'!$AA$5:$AA$302,0))))</f>
        <v/>
      </c>
      <c r="D267" s="18" t="str">
        <f>IF(246&gt;MAX('4℃麵'!$AA$5:$AA$305),"",HYPERLINK("#'4℃麵'!D"&amp;(MATCH(246,'4℃麵'!$AA$5:$AA$305,0)+4),INDEX('4℃麵'!$D$5:$D$305,MATCH(246,'4℃麵'!$AA$5:$AA$305,0))))</f>
        <v/>
      </c>
      <c r="E267" s="18" t="str">
        <f>IF(246&gt;MAX('4℃其他'!$AA$5:$AA$302),"",HYPERLINK("#'4℃其他'!D"&amp;(MATCH(246,'4℃其他'!$AA$5:$AA$302,0)+4),INDEX('4℃其他'!$D$5:$D$302,MATCH(246,'4℃其他'!$AA$5:$AA$302,0))))</f>
        <v/>
      </c>
      <c r="F267" s="18" t="str">
        <f>IF(246&gt;MAX(冷凍品!$Z$5:$Z$304),"",HYPERLINK("#'冷凍品'!C"&amp;(MATCH(246,冷凍品!$Z$5:$Z$304,0)+4),INDEX(冷凍品!$C$5:$C$304,MATCH(246,冷凍品!$Z$5:$Z$304,0))))</f>
        <v/>
      </c>
    </row>
    <row r="268" spans="2:6">
      <c r="B268" s="18" t="str">
        <f>IF(247&gt;MAX('18℃'!$Z$5:$Z$304),"",HYPERLINK("#'18℃'!C"&amp;(MATCH(247,'18℃'!$Z$5:$Z$304,0)+4),INDEX('18℃'!$C$5:$C$304,MATCH(247,'18℃'!$Z$5:$Z$304,0))))</f>
        <v/>
      </c>
      <c r="C268" s="18" t="str">
        <f>IF(247&gt;MAX('4℃飯'!$AA$5:$AA$302),"",HYPERLINK("#'4℃飯'!D"&amp;(MATCH(247,'4℃飯'!$AA$5:$AA$302,0)+4),INDEX('4℃飯'!$D$5:$D$302,MATCH(247,'4℃飯'!$AA$5:$AA$302,0))))</f>
        <v/>
      </c>
      <c r="D268" s="18" t="str">
        <f>IF(247&gt;MAX('4℃麵'!$AA$5:$AA$305),"",HYPERLINK("#'4℃麵'!D"&amp;(MATCH(247,'4℃麵'!$AA$5:$AA$305,0)+4),INDEX('4℃麵'!$D$5:$D$305,MATCH(247,'4℃麵'!$AA$5:$AA$305,0))))</f>
        <v/>
      </c>
      <c r="E268" s="18" t="str">
        <f>IF(247&gt;MAX('4℃其他'!$AA$5:$AA$302),"",HYPERLINK("#'4℃其他'!D"&amp;(MATCH(247,'4℃其他'!$AA$5:$AA$302,0)+4),INDEX('4℃其他'!$D$5:$D$302,MATCH(247,'4℃其他'!$AA$5:$AA$302,0))))</f>
        <v/>
      </c>
      <c r="F268" s="18" t="str">
        <f>IF(247&gt;MAX(冷凍品!$Z$5:$Z$304),"",HYPERLINK("#'冷凍品'!C"&amp;(MATCH(247,冷凍品!$Z$5:$Z$304,0)+4),INDEX(冷凍品!$C$5:$C$304,MATCH(247,冷凍品!$Z$5:$Z$304,0))))</f>
        <v/>
      </c>
    </row>
    <row r="269" spans="2:6">
      <c r="B269" s="18" t="str">
        <f>IF(248&gt;MAX('18℃'!$Z$5:$Z$304),"",HYPERLINK("#'18℃'!C"&amp;(MATCH(248,'18℃'!$Z$5:$Z$304,0)+4),INDEX('18℃'!$C$5:$C$304,MATCH(248,'18℃'!$Z$5:$Z$304,0))))</f>
        <v/>
      </c>
      <c r="C269" s="18" t="str">
        <f>IF(248&gt;MAX('4℃飯'!$AA$5:$AA$302),"",HYPERLINK("#'4℃飯'!D"&amp;(MATCH(248,'4℃飯'!$AA$5:$AA$302,0)+4),INDEX('4℃飯'!$D$5:$D$302,MATCH(248,'4℃飯'!$AA$5:$AA$302,0))))</f>
        <v/>
      </c>
      <c r="D269" s="18" t="str">
        <f>IF(248&gt;MAX('4℃麵'!$AA$5:$AA$305),"",HYPERLINK("#'4℃麵'!D"&amp;(MATCH(248,'4℃麵'!$AA$5:$AA$305,0)+4),INDEX('4℃麵'!$D$5:$D$305,MATCH(248,'4℃麵'!$AA$5:$AA$305,0))))</f>
        <v/>
      </c>
      <c r="E269" s="18" t="str">
        <f>IF(248&gt;MAX('4℃其他'!$AA$5:$AA$302),"",HYPERLINK("#'4℃其他'!D"&amp;(MATCH(248,'4℃其他'!$AA$5:$AA$302,0)+4),INDEX('4℃其他'!$D$5:$D$302,MATCH(248,'4℃其他'!$AA$5:$AA$302,0))))</f>
        <v/>
      </c>
      <c r="F269" s="18" t="str">
        <f>IF(248&gt;MAX(冷凍品!$Z$5:$Z$304),"",HYPERLINK("#'冷凍品'!C"&amp;(MATCH(248,冷凍品!$Z$5:$Z$304,0)+4),INDEX(冷凍品!$C$5:$C$304,MATCH(248,冷凍品!$Z$5:$Z$304,0))))</f>
        <v/>
      </c>
    </row>
    <row r="270" spans="2:6">
      <c r="B270" s="18" t="str">
        <f>IF(249&gt;MAX('18℃'!$Z$5:$Z$304),"",HYPERLINK("#'18℃'!C"&amp;(MATCH(249,'18℃'!$Z$5:$Z$304,0)+4),INDEX('18℃'!$C$5:$C$304,MATCH(249,'18℃'!$Z$5:$Z$304,0))))</f>
        <v/>
      </c>
      <c r="C270" s="18" t="str">
        <f>IF(249&gt;MAX('4℃飯'!$AA$5:$AA$302),"",HYPERLINK("#'4℃飯'!D"&amp;(MATCH(249,'4℃飯'!$AA$5:$AA$302,0)+4),INDEX('4℃飯'!$D$5:$D$302,MATCH(249,'4℃飯'!$AA$5:$AA$302,0))))</f>
        <v/>
      </c>
      <c r="D270" s="18" t="str">
        <f>IF(249&gt;MAX('4℃麵'!$AA$5:$AA$305),"",HYPERLINK("#'4℃麵'!D"&amp;(MATCH(249,'4℃麵'!$AA$5:$AA$305,0)+4),INDEX('4℃麵'!$D$5:$D$305,MATCH(249,'4℃麵'!$AA$5:$AA$305,0))))</f>
        <v/>
      </c>
      <c r="E270" s="18" t="str">
        <f>IF(249&gt;MAX('4℃其他'!$AA$5:$AA$302),"",HYPERLINK("#'4℃其他'!D"&amp;(MATCH(249,'4℃其他'!$AA$5:$AA$302,0)+4),INDEX('4℃其他'!$D$5:$D$302,MATCH(249,'4℃其他'!$AA$5:$AA$302,0))))</f>
        <v/>
      </c>
      <c r="F270" s="18" t="str">
        <f>IF(249&gt;MAX(冷凍品!$Z$5:$Z$304),"",HYPERLINK("#'冷凍品'!C"&amp;(MATCH(249,冷凍品!$Z$5:$Z$304,0)+4),INDEX(冷凍品!$C$5:$C$304,MATCH(249,冷凍品!$Z$5:$Z$304,0))))</f>
        <v/>
      </c>
    </row>
    <row r="271" spans="2:6">
      <c r="B271" s="18" t="str">
        <f>IF(250&gt;MAX('18℃'!$Z$5:$Z$304),"",HYPERLINK("#'18℃'!C"&amp;(MATCH(250,'18℃'!$Z$5:$Z$304,0)+4),INDEX('18℃'!$C$5:$C$304,MATCH(250,'18℃'!$Z$5:$Z$304,0))))</f>
        <v/>
      </c>
      <c r="C271" s="18" t="str">
        <f>IF(250&gt;MAX('4℃飯'!$AA$5:$AA$302),"",HYPERLINK("#'4℃飯'!D"&amp;(MATCH(250,'4℃飯'!$AA$5:$AA$302,0)+4),INDEX('4℃飯'!$D$5:$D$302,MATCH(250,'4℃飯'!$AA$5:$AA$302,0))))</f>
        <v/>
      </c>
      <c r="D271" s="18" t="str">
        <f>IF(250&gt;MAX('4℃麵'!$AA$5:$AA$305),"",HYPERLINK("#'4℃麵'!D"&amp;(MATCH(250,'4℃麵'!$AA$5:$AA$305,0)+4),INDEX('4℃麵'!$D$5:$D$305,MATCH(250,'4℃麵'!$AA$5:$AA$305,0))))</f>
        <v/>
      </c>
      <c r="E271" s="18" t="str">
        <f>IF(250&gt;MAX('4℃其他'!$AA$5:$AA$302),"",HYPERLINK("#'4℃其他'!D"&amp;(MATCH(250,'4℃其他'!$AA$5:$AA$302,0)+4),INDEX('4℃其他'!$D$5:$D$302,MATCH(250,'4℃其他'!$AA$5:$AA$302,0))))</f>
        <v/>
      </c>
      <c r="F271" s="18" t="str">
        <f>IF(250&gt;MAX(冷凍品!$Z$5:$Z$304),"",HYPERLINK("#'冷凍品'!C"&amp;(MATCH(250,冷凍品!$Z$5:$Z$304,0)+4),INDEX(冷凍品!$C$5:$C$304,MATCH(250,冷凍品!$Z$5:$Z$304,0))))</f>
        <v/>
      </c>
    </row>
    <row r="272" spans="2:6">
      <c r="B272" s="18" t="str">
        <f>IF(251&gt;MAX('18℃'!$Z$5:$Z$304),"",HYPERLINK("#'18℃'!C"&amp;(MATCH(251,'18℃'!$Z$5:$Z$304,0)+4),INDEX('18℃'!$C$5:$C$304,MATCH(251,'18℃'!$Z$5:$Z$304,0))))</f>
        <v/>
      </c>
      <c r="C272" s="18" t="str">
        <f>IF(251&gt;MAX('4℃飯'!$AA$5:$AA$302),"",HYPERLINK("#'4℃飯'!D"&amp;(MATCH(251,'4℃飯'!$AA$5:$AA$302,0)+4),INDEX('4℃飯'!$D$5:$D$302,MATCH(251,'4℃飯'!$AA$5:$AA$302,0))))</f>
        <v/>
      </c>
      <c r="D272" s="18" t="str">
        <f>IF(251&gt;MAX('4℃麵'!$AA$5:$AA$305),"",HYPERLINK("#'4℃麵'!D"&amp;(MATCH(251,'4℃麵'!$AA$5:$AA$305,0)+4),INDEX('4℃麵'!$D$5:$D$305,MATCH(251,'4℃麵'!$AA$5:$AA$305,0))))</f>
        <v/>
      </c>
      <c r="E272" s="18" t="str">
        <f>IF(251&gt;MAX('4℃其他'!$AA$5:$AA$302),"",HYPERLINK("#'4℃其他'!D"&amp;(MATCH(251,'4℃其他'!$AA$5:$AA$302,0)+4),INDEX('4℃其他'!$D$5:$D$302,MATCH(251,'4℃其他'!$AA$5:$AA$302,0))))</f>
        <v/>
      </c>
      <c r="F272" s="18" t="str">
        <f>IF(251&gt;MAX(冷凍品!$Z$5:$Z$304),"",HYPERLINK("#'冷凍品'!C"&amp;(MATCH(251,冷凍品!$Z$5:$Z$304,0)+4),INDEX(冷凍品!$C$5:$C$304,MATCH(251,冷凍品!$Z$5:$Z$304,0))))</f>
        <v/>
      </c>
    </row>
    <row r="273" spans="2:6">
      <c r="B273" s="18" t="str">
        <f>IF(252&gt;MAX('18℃'!$Z$5:$Z$304),"",HYPERLINK("#'18℃'!C"&amp;(MATCH(252,'18℃'!$Z$5:$Z$304,0)+4),INDEX('18℃'!$C$5:$C$304,MATCH(252,'18℃'!$Z$5:$Z$304,0))))</f>
        <v/>
      </c>
      <c r="C273" s="18" t="str">
        <f>IF(252&gt;MAX('4℃飯'!$AA$5:$AA$302),"",HYPERLINK("#'4℃飯'!D"&amp;(MATCH(252,'4℃飯'!$AA$5:$AA$302,0)+4),INDEX('4℃飯'!$D$5:$D$302,MATCH(252,'4℃飯'!$AA$5:$AA$302,0))))</f>
        <v/>
      </c>
      <c r="D273" s="18" t="str">
        <f>IF(252&gt;MAX('4℃麵'!$AA$5:$AA$305),"",HYPERLINK("#'4℃麵'!D"&amp;(MATCH(252,'4℃麵'!$AA$5:$AA$305,0)+4),INDEX('4℃麵'!$D$5:$D$305,MATCH(252,'4℃麵'!$AA$5:$AA$305,0))))</f>
        <v/>
      </c>
      <c r="E273" s="18" t="str">
        <f>IF(252&gt;MAX('4℃其他'!$AA$5:$AA$302),"",HYPERLINK("#'4℃其他'!D"&amp;(MATCH(252,'4℃其他'!$AA$5:$AA$302,0)+4),INDEX('4℃其他'!$D$5:$D$302,MATCH(252,'4℃其他'!$AA$5:$AA$302,0))))</f>
        <v/>
      </c>
      <c r="F273" s="18" t="str">
        <f>IF(252&gt;MAX(冷凍品!$Z$5:$Z$304),"",HYPERLINK("#'冷凍品'!C"&amp;(MATCH(252,冷凍品!$Z$5:$Z$304,0)+4),INDEX(冷凍品!$C$5:$C$304,MATCH(252,冷凍品!$Z$5:$Z$304,0))))</f>
        <v/>
      </c>
    </row>
    <row r="274" spans="2:6">
      <c r="B274" s="18" t="str">
        <f>IF(253&gt;MAX('18℃'!$Z$5:$Z$304),"",HYPERLINK("#'18℃'!C"&amp;(MATCH(253,'18℃'!$Z$5:$Z$304,0)+4),INDEX('18℃'!$C$5:$C$304,MATCH(253,'18℃'!$Z$5:$Z$304,0))))</f>
        <v/>
      </c>
      <c r="C274" s="18" t="str">
        <f>IF(253&gt;MAX('4℃飯'!$AA$5:$AA$302),"",HYPERLINK("#'4℃飯'!D"&amp;(MATCH(253,'4℃飯'!$AA$5:$AA$302,0)+4),INDEX('4℃飯'!$D$5:$D$302,MATCH(253,'4℃飯'!$AA$5:$AA$302,0))))</f>
        <v/>
      </c>
      <c r="D274" s="18" t="str">
        <f>IF(253&gt;MAX('4℃麵'!$AA$5:$AA$305),"",HYPERLINK("#'4℃麵'!D"&amp;(MATCH(253,'4℃麵'!$AA$5:$AA$305,0)+4),INDEX('4℃麵'!$D$5:$D$305,MATCH(253,'4℃麵'!$AA$5:$AA$305,0))))</f>
        <v/>
      </c>
      <c r="E274" s="18" t="str">
        <f>IF(253&gt;MAX('4℃其他'!$AA$5:$AA$302),"",HYPERLINK("#'4℃其他'!D"&amp;(MATCH(253,'4℃其他'!$AA$5:$AA$302,0)+4),INDEX('4℃其他'!$D$5:$D$302,MATCH(253,'4℃其他'!$AA$5:$AA$302,0))))</f>
        <v/>
      </c>
      <c r="F274" s="18" t="str">
        <f>IF(253&gt;MAX(冷凍品!$Z$5:$Z$304),"",HYPERLINK("#'冷凍品'!C"&amp;(MATCH(253,冷凍品!$Z$5:$Z$304,0)+4),INDEX(冷凍品!$C$5:$C$304,MATCH(253,冷凍品!$Z$5:$Z$304,0))))</f>
        <v/>
      </c>
    </row>
    <row r="275" spans="2:6">
      <c r="B275" s="18" t="str">
        <f>IF(254&gt;MAX('18℃'!$Z$5:$Z$304),"",HYPERLINK("#'18℃'!C"&amp;(MATCH(254,'18℃'!$Z$5:$Z$304,0)+4),INDEX('18℃'!$C$5:$C$304,MATCH(254,'18℃'!$Z$5:$Z$304,0))))</f>
        <v/>
      </c>
      <c r="C275" s="18" t="str">
        <f>IF(254&gt;MAX('4℃飯'!$AA$5:$AA$302),"",HYPERLINK("#'4℃飯'!D"&amp;(MATCH(254,'4℃飯'!$AA$5:$AA$302,0)+4),INDEX('4℃飯'!$D$5:$D$302,MATCH(254,'4℃飯'!$AA$5:$AA$302,0))))</f>
        <v/>
      </c>
      <c r="D275" s="18" t="str">
        <f>IF(254&gt;MAX('4℃麵'!$AA$5:$AA$305),"",HYPERLINK("#'4℃麵'!D"&amp;(MATCH(254,'4℃麵'!$AA$5:$AA$305,0)+4),INDEX('4℃麵'!$D$5:$D$305,MATCH(254,'4℃麵'!$AA$5:$AA$305,0))))</f>
        <v/>
      </c>
      <c r="E275" s="18" t="str">
        <f>IF(254&gt;MAX('4℃其他'!$AA$5:$AA$302),"",HYPERLINK("#'4℃其他'!D"&amp;(MATCH(254,'4℃其他'!$AA$5:$AA$302,0)+4),INDEX('4℃其他'!$D$5:$D$302,MATCH(254,'4℃其他'!$AA$5:$AA$302,0))))</f>
        <v/>
      </c>
      <c r="F275" s="18" t="str">
        <f>IF(254&gt;MAX(冷凍品!$Z$5:$Z$304),"",HYPERLINK("#'冷凍品'!C"&amp;(MATCH(254,冷凍品!$Z$5:$Z$304,0)+4),INDEX(冷凍品!$C$5:$C$304,MATCH(254,冷凍品!$Z$5:$Z$304,0))))</f>
        <v/>
      </c>
    </row>
    <row r="276" spans="2:6">
      <c r="B276" s="18" t="str">
        <f>IF(255&gt;MAX('18℃'!$Z$5:$Z$304),"",HYPERLINK("#'18℃'!C"&amp;(MATCH(255,'18℃'!$Z$5:$Z$304,0)+4),INDEX('18℃'!$C$5:$C$304,MATCH(255,'18℃'!$Z$5:$Z$304,0))))</f>
        <v/>
      </c>
      <c r="C276" s="18" t="str">
        <f>IF(255&gt;MAX('4℃飯'!$AA$5:$AA$302),"",HYPERLINK("#'4℃飯'!D"&amp;(MATCH(255,'4℃飯'!$AA$5:$AA$302,0)+4),INDEX('4℃飯'!$D$5:$D$302,MATCH(255,'4℃飯'!$AA$5:$AA$302,0))))</f>
        <v/>
      </c>
      <c r="D276" s="18" t="str">
        <f>IF(255&gt;MAX('4℃麵'!$AA$5:$AA$305),"",HYPERLINK("#'4℃麵'!D"&amp;(MATCH(255,'4℃麵'!$AA$5:$AA$305,0)+4),INDEX('4℃麵'!$D$5:$D$305,MATCH(255,'4℃麵'!$AA$5:$AA$305,0))))</f>
        <v/>
      </c>
      <c r="E276" s="18" t="str">
        <f>IF(255&gt;MAX('4℃其他'!$AA$5:$AA$302),"",HYPERLINK("#'4℃其他'!D"&amp;(MATCH(255,'4℃其他'!$AA$5:$AA$302,0)+4),INDEX('4℃其他'!$D$5:$D$302,MATCH(255,'4℃其他'!$AA$5:$AA$302,0))))</f>
        <v/>
      </c>
      <c r="F276" s="18" t="str">
        <f>IF(255&gt;MAX(冷凍品!$Z$5:$Z$304),"",HYPERLINK("#'冷凍品'!C"&amp;(MATCH(255,冷凍品!$Z$5:$Z$304,0)+4),INDEX(冷凍品!$C$5:$C$304,MATCH(255,冷凍品!$Z$5:$Z$304,0))))</f>
        <v/>
      </c>
    </row>
    <row r="277" spans="2:6">
      <c r="B277" s="18" t="str">
        <f>IF(256&gt;MAX('18℃'!$Z$5:$Z$304),"",HYPERLINK("#'18℃'!C"&amp;(MATCH(256,'18℃'!$Z$5:$Z$304,0)+4),INDEX('18℃'!$C$5:$C$304,MATCH(256,'18℃'!$Z$5:$Z$304,0))))</f>
        <v/>
      </c>
      <c r="C277" s="18" t="str">
        <f>IF(256&gt;MAX('4℃飯'!$AA$5:$AA$302),"",HYPERLINK("#'4℃飯'!D"&amp;(MATCH(256,'4℃飯'!$AA$5:$AA$302,0)+4),INDEX('4℃飯'!$D$5:$D$302,MATCH(256,'4℃飯'!$AA$5:$AA$302,0))))</f>
        <v/>
      </c>
      <c r="D277" s="18" t="str">
        <f>IF(256&gt;MAX('4℃麵'!$AA$5:$AA$305),"",HYPERLINK("#'4℃麵'!D"&amp;(MATCH(256,'4℃麵'!$AA$5:$AA$305,0)+4),INDEX('4℃麵'!$D$5:$D$305,MATCH(256,'4℃麵'!$AA$5:$AA$305,0))))</f>
        <v/>
      </c>
      <c r="E277" s="18" t="str">
        <f>IF(256&gt;MAX('4℃其他'!$AA$5:$AA$302),"",HYPERLINK("#'4℃其他'!D"&amp;(MATCH(256,'4℃其他'!$AA$5:$AA$302,0)+4),INDEX('4℃其他'!$D$5:$D$302,MATCH(256,'4℃其他'!$AA$5:$AA$302,0))))</f>
        <v/>
      </c>
      <c r="F277" s="18" t="str">
        <f>IF(256&gt;MAX(冷凍品!$Z$5:$Z$304),"",HYPERLINK("#'冷凍品'!C"&amp;(MATCH(256,冷凍品!$Z$5:$Z$304,0)+4),INDEX(冷凍品!$C$5:$C$304,MATCH(256,冷凍品!$Z$5:$Z$304,0))))</f>
        <v/>
      </c>
    </row>
    <row r="278" spans="2:6">
      <c r="B278" s="18" t="str">
        <f>IF(257&gt;MAX('18℃'!$Z$5:$Z$304),"",HYPERLINK("#'18℃'!C"&amp;(MATCH(257,'18℃'!$Z$5:$Z$304,0)+4),INDEX('18℃'!$C$5:$C$304,MATCH(257,'18℃'!$Z$5:$Z$304,0))))</f>
        <v/>
      </c>
      <c r="C278" s="18" t="str">
        <f>IF(257&gt;MAX('4℃飯'!$AA$5:$AA$302),"",HYPERLINK("#'4℃飯'!D"&amp;(MATCH(257,'4℃飯'!$AA$5:$AA$302,0)+4),INDEX('4℃飯'!$D$5:$D$302,MATCH(257,'4℃飯'!$AA$5:$AA$302,0))))</f>
        <v/>
      </c>
      <c r="D278" s="18" t="str">
        <f>IF(257&gt;MAX('4℃麵'!$AA$5:$AA$305),"",HYPERLINK("#'4℃麵'!D"&amp;(MATCH(257,'4℃麵'!$AA$5:$AA$305,0)+4),INDEX('4℃麵'!$D$5:$D$305,MATCH(257,'4℃麵'!$AA$5:$AA$305,0))))</f>
        <v/>
      </c>
      <c r="E278" s="18" t="str">
        <f>IF(257&gt;MAX('4℃其他'!$AA$5:$AA$302),"",HYPERLINK("#'4℃其他'!D"&amp;(MATCH(257,'4℃其他'!$AA$5:$AA$302,0)+4),INDEX('4℃其他'!$D$5:$D$302,MATCH(257,'4℃其他'!$AA$5:$AA$302,0))))</f>
        <v/>
      </c>
      <c r="F278" s="18" t="str">
        <f>IF(257&gt;MAX(冷凍品!$Z$5:$Z$304),"",HYPERLINK("#'冷凍品'!C"&amp;(MATCH(257,冷凍品!$Z$5:$Z$304,0)+4),INDEX(冷凍品!$C$5:$C$304,MATCH(257,冷凍品!$Z$5:$Z$304,0))))</f>
        <v/>
      </c>
    </row>
    <row r="279" spans="2:6">
      <c r="B279" s="18" t="str">
        <f>IF(258&gt;MAX('18℃'!$Z$5:$Z$304),"",HYPERLINK("#'18℃'!C"&amp;(MATCH(258,'18℃'!$Z$5:$Z$304,0)+4),INDEX('18℃'!$C$5:$C$304,MATCH(258,'18℃'!$Z$5:$Z$304,0))))</f>
        <v/>
      </c>
      <c r="C279" s="18" t="str">
        <f>IF(258&gt;MAX('4℃飯'!$AA$5:$AA$302),"",HYPERLINK("#'4℃飯'!D"&amp;(MATCH(258,'4℃飯'!$AA$5:$AA$302,0)+4),INDEX('4℃飯'!$D$5:$D$302,MATCH(258,'4℃飯'!$AA$5:$AA$302,0))))</f>
        <v/>
      </c>
      <c r="D279" s="18" t="str">
        <f>IF(258&gt;MAX('4℃麵'!$AA$5:$AA$305),"",HYPERLINK("#'4℃麵'!D"&amp;(MATCH(258,'4℃麵'!$AA$5:$AA$305,0)+4),INDEX('4℃麵'!$D$5:$D$305,MATCH(258,'4℃麵'!$AA$5:$AA$305,0))))</f>
        <v/>
      </c>
      <c r="E279" s="18" t="str">
        <f>IF(258&gt;MAX('4℃其他'!$AA$5:$AA$302),"",HYPERLINK("#'4℃其他'!D"&amp;(MATCH(258,'4℃其他'!$AA$5:$AA$302,0)+4),INDEX('4℃其他'!$D$5:$D$302,MATCH(258,'4℃其他'!$AA$5:$AA$302,0))))</f>
        <v/>
      </c>
      <c r="F279" s="18" t="str">
        <f>IF(258&gt;MAX(冷凍品!$Z$5:$Z$304),"",HYPERLINK("#'冷凍品'!C"&amp;(MATCH(258,冷凍品!$Z$5:$Z$304,0)+4),INDEX(冷凍品!$C$5:$C$304,MATCH(258,冷凍品!$Z$5:$Z$304,0))))</f>
        <v/>
      </c>
    </row>
    <row r="280" spans="2:6">
      <c r="B280" s="18" t="str">
        <f>IF(259&gt;MAX('18℃'!$Z$5:$Z$304),"",HYPERLINK("#'18℃'!C"&amp;(MATCH(259,'18℃'!$Z$5:$Z$304,0)+4),INDEX('18℃'!$C$5:$C$304,MATCH(259,'18℃'!$Z$5:$Z$304,0))))</f>
        <v/>
      </c>
      <c r="C280" s="18" t="str">
        <f>IF(259&gt;MAX('4℃飯'!$AA$5:$AA$302),"",HYPERLINK("#'4℃飯'!D"&amp;(MATCH(259,'4℃飯'!$AA$5:$AA$302,0)+4),INDEX('4℃飯'!$D$5:$D$302,MATCH(259,'4℃飯'!$AA$5:$AA$302,0))))</f>
        <v/>
      </c>
      <c r="D280" s="18" t="str">
        <f>IF(259&gt;MAX('4℃麵'!$AA$5:$AA$305),"",HYPERLINK("#'4℃麵'!D"&amp;(MATCH(259,'4℃麵'!$AA$5:$AA$305,0)+4),INDEX('4℃麵'!$D$5:$D$305,MATCH(259,'4℃麵'!$AA$5:$AA$305,0))))</f>
        <v/>
      </c>
      <c r="E280" s="18" t="str">
        <f>IF(259&gt;MAX('4℃其他'!$AA$5:$AA$302),"",HYPERLINK("#'4℃其他'!D"&amp;(MATCH(259,'4℃其他'!$AA$5:$AA$302,0)+4),INDEX('4℃其他'!$D$5:$D$302,MATCH(259,'4℃其他'!$AA$5:$AA$302,0))))</f>
        <v/>
      </c>
      <c r="F280" s="18" t="str">
        <f>IF(259&gt;MAX(冷凍品!$Z$5:$Z$304),"",HYPERLINK("#'冷凍品'!C"&amp;(MATCH(259,冷凍品!$Z$5:$Z$304,0)+4),INDEX(冷凍品!$C$5:$C$304,MATCH(259,冷凍品!$Z$5:$Z$304,0))))</f>
        <v/>
      </c>
    </row>
    <row r="281" spans="2:6">
      <c r="B281" s="18" t="str">
        <f>IF(260&gt;MAX('18℃'!$Z$5:$Z$304),"",HYPERLINK("#'18℃'!C"&amp;(MATCH(260,'18℃'!$Z$5:$Z$304,0)+4),INDEX('18℃'!$C$5:$C$304,MATCH(260,'18℃'!$Z$5:$Z$304,0))))</f>
        <v/>
      </c>
      <c r="C281" s="18" t="str">
        <f>IF(260&gt;MAX('4℃飯'!$AA$5:$AA$302),"",HYPERLINK("#'4℃飯'!D"&amp;(MATCH(260,'4℃飯'!$AA$5:$AA$302,0)+4),INDEX('4℃飯'!$D$5:$D$302,MATCH(260,'4℃飯'!$AA$5:$AA$302,0))))</f>
        <v/>
      </c>
      <c r="D281" s="18" t="str">
        <f>IF(260&gt;MAX('4℃麵'!$AA$5:$AA$305),"",HYPERLINK("#'4℃麵'!D"&amp;(MATCH(260,'4℃麵'!$AA$5:$AA$305,0)+4),INDEX('4℃麵'!$D$5:$D$305,MATCH(260,'4℃麵'!$AA$5:$AA$305,0))))</f>
        <v/>
      </c>
      <c r="E281" s="18" t="str">
        <f>IF(260&gt;MAX('4℃其他'!$AA$5:$AA$302),"",HYPERLINK("#'4℃其他'!D"&amp;(MATCH(260,'4℃其他'!$AA$5:$AA$302,0)+4),INDEX('4℃其他'!$D$5:$D$302,MATCH(260,'4℃其他'!$AA$5:$AA$302,0))))</f>
        <v/>
      </c>
      <c r="F281" s="18" t="str">
        <f>IF(260&gt;MAX(冷凍品!$Z$5:$Z$304),"",HYPERLINK("#'冷凍品'!C"&amp;(MATCH(260,冷凍品!$Z$5:$Z$304,0)+4),INDEX(冷凍品!$C$5:$C$304,MATCH(260,冷凍品!$Z$5:$Z$304,0))))</f>
        <v/>
      </c>
    </row>
    <row r="282" spans="2:6">
      <c r="B282" s="18" t="str">
        <f>IF(261&gt;MAX('18℃'!$Z$5:$Z$304),"",HYPERLINK("#'18℃'!C"&amp;(MATCH(261,'18℃'!$Z$5:$Z$304,0)+4),INDEX('18℃'!$C$5:$C$304,MATCH(261,'18℃'!$Z$5:$Z$304,0))))</f>
        <v/>
      </c>
      <c r="C282" s="18" t="str">
        <f>IF(261&gt;MAX('4℃飯'!$AA$5:$AA$302),"",HYPERLINK("#'4℃飯'!D"&amp;(MATCH(261,'4℃飯'!$AA$5:$AA$302,0)+4),INDEX('4℃飯'!$D$5:$D$302,MATCH(261,'4℃飯'!$AA$5:$AA$302,0))))</f>
        <v/>
      </c>
      <c r="D282" s="18" t="str">
        <f>IF(261&gt;MAX('4℃麵'!$AA$5:$AA$305),"",HYPERLINK("#'4℃麵'!D"&amp;(MATCH(261,'4℃麵'!$AA$5:$AA$305,0)+4),INDEX('4℃麵'!$D$5:$D$305,MATCH(261,'4℃麵'!$AA$5:$AA$305,0))))</f>
        <v/>
      </c>
      <c r="E282" s="18" t="str">
        <f>IF(261&gt;MAX('4℃其他'!$AA$5:$AA$302),"",HYPERLINK("#'4℃其他'!D"&amp;(MATCH(261,'4℃其他'!$AA$5:$AA$302,0)+4),INDEX('4℃其他'!$D$5:$D$302,MATCH(261,'4℃其他'!$AA$5:$AA$302,0))))</f>
        <v/>
      </c>
      <c r="F282" s="18" t="str">
        <f>IF(261&gt;MAX(冷凍品!$Z$5:$Z$304),"",HYPERLINK("#'冷凍品'!C"&amp;(MATCH(261,冷凍品!$Z$5:$Z$304,0)+4),INDEX(冷凍品!$C$5:$C$304,MATCH(261,冷凍品!$Z$5:$Z$304,0))))</f>
        <v/>
      </c>
    </row>
    <row r="283" spans="2:6">
      <c r="B283" s="18" t="str">
        <f>IF(262&gt;MAX('18℃'!$Z$5:$Z$304),"",HYPERLINK("#'18℃'!C"&amp;(MATCH(262,'18℃'!$Z$5:$Z$304,0)+4),INDEX('18℃'!$C$5:$C$304,MATCH(262,'18℃'!$Z$5:$Z$304,0))))</f>
        <v/>
      </c>
      <c r="C283" s="18" t="str">
        <f>IF(262&gt;MAX('4℃飯'!$AA$5:$AA$302),"",HYPERLINK("#'4℃飯'!D"&amp;(MATCH(262,'4℃飯'!$AA$5:$AA$302,0)+4),INDEX('4℃飯'!$D$5:$D$302,MATCH(262,'4℃飯'!$AA$5:$AA$302,0))))</f>
        <v/>
      </c>
      <c r="D283" s="18" t="str">
        <f>IF(262&gt;MAX('4℃麵'!$AA$5:$AA$305),"",HYPERLINK("#'4℃麵'!D"&amp;(MATCH(262,'4℃麵'!$AA$5:$AA$305,0)+4),INDEX('4℃麵'!$D$5:$D$305,MATCH(262,'4℃麵'!$AA$5:$AA$305,0))))</f>
        <v/>
      </c>
      <c r="E283" s="18" t="str">
        <f>IF(262&gt;MAX('4℃其他'!$AA$5:$AA$302),"",HYPERLINK("#'4℃其他'!D"&amp;(MATCH(262,'4℃其他'!$AA$5:$AA$302,0)+4),INDEX('4℃其他'!$D$5:$D$302,MATCH(262,'4℃其他'!$AA$5:$AA$302,0))))</f>
        <v/>
      </c>
      <c r="F283" s="18" t="str">
        <f>IF(262&gt;MAX(冷凍品!$Z$5:$Z$304),"",HYPERLINK("#'冷凍品'!C"&amp;(MATCH(262,冷凍品!$Z$5:$Z$304,0)+4),INDEX(冷凍品!$C$5:$C$304,MATCH(262,冷凍品!$Z$5:$Z$304,0))))</f>
        <v/>
      </c>
    </row>
    <row r="284" spans="2:6">
      <c r="B284" s="18" t="str">
        <f>IF(263&gt;MAX('18℃'!$Z$5:$Z$304),"",HYPERLINK("#'18℃'!C"&amp;(MATCH(263,'18℃'!$Z$5:$Z$304,0)+4),INDEX('18℃'!$C$5:$C$304,MATCH(263,'18℃'!$Z$5:$Z$304,0))))</f>
        <v/>
      </c>
      <c r="C284" s="18" t="str">
        <f>IF(263&gt;MAX('4℃飯'!$AA$5:$AA$302),"",HYPERLINK("#'4℃飯'!D"&amp;(MATCH(263,'4℃飯'!$AA$5:$AA$302,0)+4),INDEX('4℃飯'!$D$5:$D$302,MATCH(263,'4℃飯'!$AA$5:$AA$302,0))))</f>
        <v/>
      </c>
      <c r="D284" s="18" t="str">
        <f>IF(263&gt;MAX('4℃麵'!$AA$5:$AA$305),"",HYPERLINK("#'4℃麵'!D"&amp;(MATCH(263,'4℃麵'!$AA$5:$AA$305,0)+4),INDEX('4℃麵'!$D$5:$D$305,MATCH(263,'4℃麵'!$AA$5:$AA$305,0))))</f>
        <v/>
      </c>
      <c r="E284" s="18" t="str">
        <f>IF(263&gt;MAX('4℃其他'!$AA$5:$AA$302),"",HYPERLINK("#'4℃其他'!D"&amp;(MATCH(263,'4℃其他'!$AA$5:$AA$302,0)+4),INDEX('4℃其他'!$D$5:$D$302,MATCH(263,'4℃其他'!$AA$5:$AA$302,0))))</f>
        <v/>
      </c>
      <c r="F284" s="18" t="str">
        <f>IF(263&gt;MAX(冷凍品!$Z$5:$Z$304),"",HYPERLINK("#'冷凍品'!C"&amp;(MATCH(263,冷凍品!$Z$5:$Z$304,0)+4),INDEX(冷凍品!$C$5:$C$304,MATCH(263,冷凍品!$Z$5:$Z$304,0))))</f>
        <v/>
      </c>
    </row>
    <row r="285" spans="2:6">
      <c r="B285" s="18" t="str">
        <f>IF(264&gt;MAX('18℃'!$Z$5:$Z$304),"",HYPERLINK("#'18℃'!C"&amp;(MATCH(264,'18℃'!$Z$5:$Z$304,0)+4),INDEX('18℃'!$C$5:$C$304,MATCH(264,'18℃'!$Z$5:$Z$304,0))))</f>
        <v/>
      </c>
      <c r="C285" s="18" t="str">
        <f>IF(264&gt;MAX('4℃飯'!$AA$5:$AA$302),"",HYPERLINK("#'4℃飯'!D"&amp;(MATCH(264,'4℃飯'!$AA$5:$AA$302,0)+4),INDEX('4℃飯'!$D$5:$D$302,MATCH(264,'4℃飯'!$AA$5:$AA$302,0))))</f>
        <v/>
      </c>
      <c r="D285" s="18" t="str">
        <f>IF(264&gt;MAX('4℃麵'!$AA$5:$AA$305),"",HYPERLINK("#'4℃麵'!D"&amp;(MATCH(264,'4℃麵'!$AA$5:$AA$305,0)+4),INDEX('4℃麵'!$D$5:$D$305,MATCH(264,'4℃麵'!$AA$5:$AA$305,0))))</f>
        <v/>
      </c>
      <c r="E285" s="18" t="str">
        <f>IF(264&gt;MAX('4℃其他'!$AA$5:$AA$302),"",HYPERLINK("#'4℃其他'!D"&amp;(MATCH(264,'4℃其他'!$AA$5:$AA$302,0)+4),INDEX('4℃其他'!$D$5:$D$302,MATCH(264,'4℃其他'!$AA$5:$AA$302,0))))</f>
        <v/>
      </c>
      <c r="F285" s="18" t="str">
        <f>IF(264&gt;MAX(冷凍品!$Z$5:$Z$304),"",HYPERLINK("#'冷凍品'!C"&amp;(MATCH(264,冷凍品!$Z$5:$Z$304,0)+4),INDEX(冷凍品!$C$5:$C$304,MATCH(264,冷凍品!$Z$5:$Z$304,0))))</f>
        <v/>
      </c>
    </row>
    <row r="286" spans="2:6">
      <c r="B286" s="18" t="str">
        <f>IF(265&gt;MAX('18℃'!$Z$5:$Z$304),"",HYPERLINK("#'18℃'!C"&amp;(MATCH(265,'18℃'!$Z$5:$Z$304,0)+4),INDEX('18℃'!$C$5:$C$304,MATCH(265,'18℃'!$Z$5:$Z$304,0))))</f>
        <v/>
      </c>
      <c r="C286" s="18" t="str">
        <f>IF(265&gt;MAX('4℃飯'!$AA$5:$AA$302),"",HYPERLINK("#'4℃飯'!D"&amp;(MATCH(265,'4℃飯'!$AA$5:$AA$302,0)+4),INDEX('4℃飯'!$D$5:$D$302,MATCH(265,'4℃飯'!$AA$5:$AA$302,0))))</f>
        <v/>
      </c>
      <c r="D286" s="18" t="str">
        <f>IF(265&gt;MAX('4℃麵'!$AA$5:$AA$305),"",HYPERLINK("#'4℃麵'!D"&amp;(MATCH(265,'4℃麵'!$AA$5:$AA$305,0)+4),INDEX('4℃麵'!$D$5:$D$305,MATCH(265,'4℃麵'!$AA$5:$AA$305,0))))</f>
        <v/>
      </c>
      <c r="E286" s="18" t="str">
        <f>IF(265&gt;MAX('4℃其他'!$AA$5:$AA$302),"",HYPERLINK("#'4℃其他'!D"&amp;(MATCH(265,'4℃其他'!$AA$5:$AA$302,0)+4),INDEX('4℃其他'!$D$5:$D$302,MATCH(265,'4℃其他'!$AA$5:$AA$302,0))))</f>
        <v/>
      </c>
      <c r="F286" s="18" t="str">
        <f>IF(265&gt;MAX(冷凍品!$Z$5:$Z$304),"",HYPERLINK("#'冷凍品'!C"&amp;(MATCH(265,冷凍品!$Z$5:$Z$304,0)+4),INDEX(冷凍品!$C$5:$C$304,MATCH(265,冷凍品!$Z$5:$Z$304,0))))</f>
        <v/>
      </c>
    </row>
    <row r="287" spans="2:6">
      <c r="B287" s="18" t="str">
        <f>IF(266&gt;MAX('18℃'!$Z$5:$Z$304),"",HYPERLINK("#'18℃'!C"&amp;(MATCH(266,'18℃'!$Z$5:$Z$304,0)+4),INDEX('18℃'!$C$5:$C$304,MATCH(266,'18℃'!$Z$5:$Z$304,0))))</f>
        <v/>
      </c>
      <c r="C287" s="18" t="str">
        <f>IF(266&gt;MAX('4℃飯'!$AA$5:$AA$302),"",HYPERLINK("#'4℃飯'!D"&amp;(MATCH(266,'4℃飯'!$AA$5:$AA$302,0)+4),INDEX('4℃飯'!$D$5:$D$302,MATCH(266,'4℃飯'!$AA$5:$AA$302,0))))</f>
        <v/>
      </c>
      <c r="D287" s="18" t="str">
        <f>IF(266&gt;MAX('4℃麵'!$AA$5:$AA$305),"",HYPERLINK("#'4℃麵'!D"&amp;(MATCH(266,'4℃麵'!$AA$5:$AA$305,0)+4),INDEX('4℃麵'!$D$5:$D$305,MATCH(266,'4℃麵'!$AA$5:$AA$305,0))))</f>
        <v/>
      </c>
      <c r="E287" s="18" t="str">
        <f>IF(266&gt;MAX('4℃其他'!$AA$5:$AA$302),"",HYPERLINK("#'4℃其他'!D"&amp;(MATCH(266,'4℃其他'!$AA$5:$AA$302,0)+4),INDEX('4℃其他'!$D$5:$D$302,MATCH(266,'4℃其他'!$AA$5:$AA$302,0))))</f>
        <v/>
      </c>
      <c r="F287" s="18" t="str">
        <f>IF(266&gt;MAX(冷凍品!$Z$5:$Z$304),"",HYPERLINK("#'冷凍品'!C"&amp;(MATCH(266,冷凍品!$Z$5:$Z$304,0)+4),INDEX(冷凍品!$C$5:$C$304,MATCH(266,冷凍品!$Z$5:$Z$304,0))))</f>
        <v/>
      </c>
    </row>
    <row r="288" spans="2:6">
      <c r="B288" s="18" t="str">
        <f>IF(267&gt;MAX('18℃'!$Z$5:$Z$304),"",HYPERLINK("#'18℃'!C"&amp;(MATCH(267,'18℃'!$Z$5:$Z$304,0)+4),INDEX('18℃'!$C$5:$C$304,MATCH(267,'18℃'!$Z$5:$Z$304,0))))</f>
        <v/>
      </c>
      <c r="C288" s="18" t="str">
        <f>IF(267&gt;MAX('4℃飯'!$AA$5:$AA$302),"",HYPERLINK("#'4℃飯'!D"&amp;(MATCH(267,'4℃飯'!$AA$5:$AA$302,0)+4),INDEX('4℃飯'!$D$5:$D$302,MATCH(267,'4℃飯'!$AA$5:$AA$302,0))))</f>
        <v/>
      </c>
      <c r="D288" s="18" t="str">
        <f>IF(267&gt;MAX('4℃麵'!$AA$5:$AA$305),"",HYPERLINK("#'4℃麵'!D"&amp;(MATCH(267,'4℃麵'!$AA$5:$AA$305,0)+4),INDEX('4℃麵'!$D$5:$D$305,MATCH(267,'4℃麵'!$AA$5:$AA$305,0))))</f>
        <v/>
      </c>
      <c r="E288" s="18" t="str">
        <f>IF(267&gt;MAX('4℃其他'!$AA$5:$AA$302),"",HYPERLINK("#'4℃其他'!D"&amp;(MATCH(267,'4℃其他'!$AA$5:$AA$302,0)+4),INDEX('4℃其他'!$D$5:$D$302,MATCH(267,'4℃其他'!$AA$5:$AA$302,0))))</f>
        <v/>
      </c>
      <c r="F288" s="18" t="str">
        <f>IF(267&gt;MAX(冷凍品!$Z$5:$Z$304),"",HYPERLINK("#'冷凍品'!C"&amp;(MATCH(267,冷凍品!$Z$5:$Z$304,0)+4),INDEX(冷凍品!$C$5:$C$304,MATCH(267,冷凍品!$Z$5:$Z$304,0))))</f>
        <v/>
      </c>
    </row>
    <row r="289" spans="2:6">
      <c r="B289" s="18" t="str">
        <f>IF(268&gt;MAX('18℃'!$Z$5:$Z$304),"",HYPERLINK("#'18℃'!C"&amp;(MATCH(268,'18℃'!$Z$5:$Z$304,0)+4),INDEX('18℃'!$C$5:$C$304,MATCH(268,'18℃'!$Z$5:$Z$304,0))))</f>
        <v/>
      </c>
      <c r="C289" s="18" t="str">
        <f>IF(268&gt;MAX('4℃飯'!$AA$5:$AA$302),"",HYPERLINK("#'4℃飯'!D"&amp;(MATCH(268,'4℃飯'!$AA$5:$AA$302,0)+4),INDEX('4℃飯'!$D$5:$D$302,MATCH(268,'4℃飯'!$AA$5:$AA$302,0))))</f>
        <v/>
      </c>
      <c r="D289" s="18" t="str">
        <f>IF(268&gt;MAX('4℃麵'!$AA$5:$AA$305),"",HYPERLINK("#'4℃麵'!D"&amp;(MATCH(268,'4℃麵'!$AA$5:$AA$305,0)+4),INDEX('4℃麵'!$D$5:$D$305,MATCH(268,'4℃麵'!$AA$5:$AA$305,0))))</f>
        <v/>
      </c>
      <c r="E289" s="18" t="str">
        <f>IF(268&gt;MAX('4℃其他'!$AA$5:$AA$302),"",HYPERLINK("#'4℃其他'!D"&amp;(MATCH(268,'4℃其他'!$AA$5:$AA$302,0)+4),INDEX('4℃其他'!$D$5:$D$302,MATCH(268,'4℃其他'!$AA$5:$AA$302,0))))</f>
        <v/>
      </c>
      <c r="F289" s="18" t="str">
        <f>IF(268&gt;MAX(冷凍品!$Z$5:$Z$304),"",HYPERLINK("#'冷凍品'!C"&amp;(MATCH(268,冷凍品!$Z$5:$Z$304,0)+4),INDEX(冷凍品!$C$5:$C$304,MATCH(268,冷凍品!$Z$5:$Z$304,0))))</f>
        <v/>
      </c>
    </row>
    <row r="290" spans="2:6">
      <c r="B290" s="18" t="str">
        <f>IF(269&gt;MAX('18℃'!$Z$5:$Z$304),"",HYPERLINK("#'18℃'!C"&amp;(MATCH(269,'18℃'!$Z$5:$Z$304,0)+4),INDEX('18℃'!$C$5:$C$304,MATCH(269,'18℃'!$Z$5:$Z$304,0))))</f>
        <v/>
      </c>
      <c r="C290" s="18" t="str">
        <f>IF(269&gt;MAX('4℃飯'!$AA$5:$AA$302),"",HYPERLINK("#'4℃飯'!D"&amp;(MATCH(269,'4℃飯'!$AA$5:$AA$302,0)+4),INDEX('4℃飯'!$D$5:$D$302,MATCH(269,'4℃飯'!$AA$5:$AA$302,0))))</f>
        <v/>
      </c>
      <c r="D290" s="18" t="str">
        <f>IF(269&gt;MAX('4℃麵'!$AA$5:$AA$305),"",HYPERLINK("#'4℃麵'!D"&amp;(MATCH(269,'4℃麵'!$AA$5:$AA$305,0)+4),INDEX('4℃麵'!$D$5:$D$305,MATCH(269,'4℃麵'!$AA$5:$AA$305,0))))</f>
        <v/>
      </c>
      <c r="E290" s="18" t="str">
        <f>IF(269&gt;MAX('4℃其他'!$AA$5:$AA$302),"",HYPERLINK("#'4℃其他'!D"&amp;(MATCH(269,'4℃其他'!$AA$5:$AA$302,0)+4),INDEX('4℃其他'!$D$5:$D$302,MATCH(269,'4℃其他'!$AA$5:$AA$302,0))))</f>
        <v/>
      </c>
      <c r="F290" s="18" t="str">
        <f>IF(269&gt;MAX(冷凍品!$Z$5:$Z$304),"",HYPERLINK("#'冷凍品'!C"&amp;(MATCH(269,冷凍品!$Z$5:$Z$304,0)+4),INDEX(冷凍品!$C$5:$C$304,MATCH(269,冷凍品!$Z$5:$Z$304,0))))</f>
        <v/>
      </c>
    </row>
    <row r="291" spans="2:6">
      <c r="B291" s="18" t="str">
        <f>IF(270&gt;MAX('18℃'!$Z$5:$Z$304),"",HYPERLINK("#'18℃'!C"&amp;(MATCH(270,'18℃'!$Z$5:$Z$304,0)+4),INDEX('18℃'!$C$5:$C$304,MATCH(270,'18℃'!$Z$5:$Z$304,0))))</f>
        <v/>
      </c>
      <c r="C291" s="18" t="str">
        <f>IF(270&gt;MAX('4℃飯'!$AA$5:$AA$302),"",HYPERLINK("#'4℃飯'!D"&amp;(MATCH(270,'4℃飯'!$AA$5:$AA$302,0)+4),INDEX('4℃飯'!$D$5:$D$302,MATCH(270,'4℃飯'!$AA$5:$AA$302,0))))</f>
        <v/>
      </c>
      <c r="D291" s="18" t="str">
        <f>IF(270&gt;MAX('4℃麵'!$AA$5:$AA$305),"",HYPERLINK("#'4℃麵'!D"&amp;(MATCH(270,'4℃麵'!$AA$5:$AA$305,0)+4),INDEX('4℃麵'!$D$5:$D$305,MATCH(270,'4℃麵'!$AA$5:$AA$305,0))))</f>
        <v/>
      </c>
      <c r="E291" s="18" t="str">
        <f>IF(270&gt;MAX('4℃其他'!$AA$5:$AA$302),"",HYPERLINK("#'4℃其他'!D"&amp;(MATCH(270,'4℃其他'!$AA$5:$AA$302,0)+4),INDEX('4℃其他'!$D$5:$D$302,MATCH(270,'4℃其他'!$AA$5:$AA$302,0))))</f>
        <v/>
      </c>
      <c r="F291" s="18" t="str">
        <f>IF(270&gt;MAX(冷凍品!$Z$5:$Z$304),"",HYPERLINK("#'冷凍品'!C"&amp;(MATCH(270,冷凍品!$Z$5:$Z$304,0)+4),INDEX(冷凍品!$C$5:$C$304,MATCH(270,冷凍品!$Z$5:$Z$304,0))))</f>
        <v/>
      </c>
    </row>
    <row r="292" spans="2:6">
      <c r="B292" s="18" t="str">
        <f>IF(271&gt;MAX('18℃'!$Z$5:$Z$304),"",HYPERLINK("#'18℃'!C"&amp;(MATCH(271,'18℃'!$Z$5:$Z$304,0)+4),INDEX('18℃'!$C$5:$C$304,MATCH(271,'18℃'!$Z$5:$Z$304,0))))</f>
        <v/>
      </c>
      <c r="C292" s="18" t="str">
        <f>IF(271&gt;MAX('4℃飯'!$AA$5:$AA$302),"",HYPERLINK("#'4℃飯'!D"&amp;(MATCH(271,'4℃飯'!$AA$5:$AA$302,0)+4),INDEX('4℃飯'!$D$5:$D$302,MATCH(271,'4℃飯'!$AA$5:$AA$302,0))))</f>
        <v/>
      </c>
      <c r="D292" s="18" t="str">
        <f>IF(271&gt;MAX('4℃麵'!$AA$5:$AA$305),"",HYPERLINK("#'4℃麵'!D"&amp;(MATCH(271,'4℃麵'!$AA$5:$AA$305,0)+4),INDEX('4℃麵'!$D$5:$D$305,MATCH(271,'4℃麵'!$AA$5:$AA$305,0))))</f>
        <v/>
      </c>
      <c r="E292" s="18" t="str">
        <f>IF(271&gt;MAX('4℃其他'!$AA$5:$AA$302),"",HYPERLINK("#'4℃其他'!D"&amp;(MATCH(271,'4℃其他'!$AA$5:$AA$302,0)+4),INDEX('4℃其他'!$D$5:$D$302,MATCH(271,'4℃其他'!$AA$5:$AA$302,0))))</f>
        <v/>
      </c>
      <c r="F292" s="18" t="str">
        <f>IF(271&gt;MAX(冷凍品!$Z$5:$Z$304),"",HYPERLINK("#'冷凍品'!C"&amp;(MATCH(271,冷凍品!$Z$5:$Z$304,0)+4),INDEX(冷凍品!$C$5:$C$304,MATCH(271,冷凍品!$Z$5:$Z$304,0))))</f>
        <v/>
      </c>
    </row>
    <row r="293" spans="2:6">
      <c r="B293" s="18" t="str">
        <f>IF(272&gt;MAX('18℃'!$Z$5:$Z$304),"",HYPERLINK("#'18℃'!C"&amp;(MATCH(272,'18℃'!$Z$5:$Z$304,0)+4),INDEX('18℃'!$C$5:$C$304,MATCH(272,'18℃'!$Z$5:$Z$304,0))))</f>
        <v/>
      </c>
      <c r="C293" s="18" t="str">
        <f>IF(272&gt;MAX('4℃飯'!$AA$5:$AA$302),"",HYPERLINK("#'4℃飯'!D"&amp;(MATCH(272,'4℃飯'!$AA$5:$AA$302,0)+4),INDEX('4℃飯'!$D$5:$D$302,MATCH(272,'4℃飯'!$AA$5:$AA$302,0))))</f>
        <v/>
      </c>
      <c r="D293" s="18" t="str">
        <f>IF(272&gt;MAX('4℃麵'!$AA$5:$AA$305),"",HYPERLINK("#'4℃麵'!D"&amp;(MATCH(272,'4℃麵'!$AA$5:$AA$305,0)+4),INDEX('4℃麵'!$D$5:$D$305,MATCH(272,'4℃麵'!$AA$5:$AA$305,0))))</f>
        <v/>
      </c>
      <c r="E293" s="18" t="str">
        <f>IF(272&gt;MAX('4℃其他'!$AA$5:$AA$302),"",HYPERLINK("#'4℃其他'!D"&amp;(MATCH(272,'4℃其他'!$AA$5:$AA$302,0)+4),INDEX('4℃其他'!$D$5:$D$302,MATCH(272,'4℃其他'!$AA$5:$AA$302,0))))</f>
        <v/>
      </c>
      <c r="F293" s="18" t="str">
        <f>IF(272&gt;MAX(冷凍品!$Z$5:$Z$304),"",HYPERLINK("#'冷凍品'!C"&amp;(MATCH(272,冷凍品!$Z$5:$Z$304,0)+4),INDEX(冷凍品!$C$5:$C$304,MATCH(272,冷凍品!$Z$5:$Z$304,0))))</f>
        <v/>
      </c>
    </row>
    <row r="294" spans="2:6">
      <c r="B294" s="18" t="str">
        <f>IF(273&gt;MAX('18℃'!$Z$5:$Z$304),"",HYPERLINK("#'18℃'!C"&amp;(MATCH(273,'18℃'!$Z$5:$Z$304,0)+4),INDEX('18℃'!$C$5:$C$304,MATCH(273,'18℃'!$Z$5:$Z$304,0))))</f>
        <v/>
      </c>
      <c r="C294" s="18" t="str">
        <f>IF(273&gt;MAX('4℃飯'!$AA$5:$AA$302),"",HYPERLINK("#'4℃飯'!D"&amp;(MATCH(273,'4℃飯'!$AA$5:$AA$302,0)+4),INDEX('4℃飯'!$D$5:$D$302,MATCH(273,'4℃飯'!$AA$5:$AA$302,0))))</f>
        <v/>
      </c>
      <c r="D294" s="18" t="str">
        <f>IF(273&gt;MAX('4℃麵'!$AA$5:$AA$305),"",HYPERLINK("#'4℃麵'!D"&amp;(MATCH(273,'4℃麵'!$AA$5:$AA$305,0)+4),INDEX('4℃麵'!$D$5:$D$305,MATCH(273,'4℃麵'!$AA$5:$AA$305,0))))</f>
        <v/>
      </c>
      <c r="E294" s="18" t="str">
        <f>IF(273&gt;MAX('4℃其他'!$AA$5:$AA$302),"",HYPERLINK("#'4℃其他'!D"&amp;(MATCH(273,'4℃其他'!$AA$5:$AA$302,0)+4),INDEX('4℃其他'!$D$5:$D$302,MATCH(273,'4℃其他'!$AA$5:$AA$302,0))))</f>
        <v/>
      </c>
      <c r="F294" s="18" t="str">
        <f>IF(273&gt;MAX(冷凍品!$Z$5:$Z$304),"",HYPERLINK("#'冷凍品'!C"&amp;(MATCH(273,冷凍品!$Z$5:$Z$304,0)+4),INDEX(冷凍品!$C$5:$C$304,MATCH(273,冷凍品!$Z$5:$Z$304,0))))</f>
        <v/>
      </c>
    </row>
    <row r="295" spans="2:6">
      <c r="B295" s="18" t="str">
        <f>IF(274&gt;MAX('18℃'!$Z$5:$Z$304),"",HYPERLINK("#'18℃'!C"&amp;(MATCH(274,'18℃'!$Z$5:$Z$304,0)+4),INDEX('18℃'!$C$5:$C$304,MATCH(274,'18℃'!$Z$5:$Z$304,0))))</f>
        <v/>
      </c>
      <c r="C295" s="18" t="str">
        <f>IF(274&gt;MAX('4℃飯'!$AA$5:$AA$302),"",HYPERLINK("#'4℃飯'!D"&amp;(MATCH(274,'4℃飯'!$AA$5:$AA$302,0)+4),INDEX('4℃飯'!$D$5:$D$302,MATCH(274,'4℃飯'!$AA$5:$AA$302,0))))</f>
        <v/>
      </c>
      <c r="D295" s="18" t="str">
        <f>IF(274&gt;MAX('4℃麵'!$AA$5:$AA$305),"",HYPERLINK("#'4℃麵'!D"&amp;(MATCH(274,'4℃麵'!$AA$5:$AA$305,0)+4),INDEX('4℃麵'!$D$5:$D$305,MATCH(274,'4℃麵'!$AA$5:$AA$305,0))))</f>
        <v/>
      </c>
      <c r="E295" s="18" t="str">
        <f>IF(274&gt;MAX('4℃其他'!$AA$5:$AA$302),"",HYPERLINK("#'4℃其他'!D"&amp;(MATCH(274,'4℃其他'!$AA$5:$AA$302,0)+4),INDEX('4℃其他'!$D$5:$D$302,MATCH(274,'4℃其他'!$AA$5:$AA$302,0))))</f>
        <v/>
      </c>
      <c r="F295" s="18" t="str">
        <f>IF(274&gt;MAX(冷凍品!$Z$5:$Z$304),"",HYPERLINK("#'冷凍品'!C"&amp;(MATCH(274,冷凍品!$Z$5:$Z$304,0)+4),INDEX(冷凍品!$C$5:$C$304,MATCH(274,冷凍品!$Z$5:$Z$304,0))))</f>
        <v/>
      </c>
    </row>
    <row r="296" spans="2:6">
      <c r="B296" s="18" t="str">
        <f>IF(275&gt;MAX('18℃'!$Z$5:$Z$304),"",HYPERLINK("#'18℃'!C"&amp;(MATCH(275,'18℃'!$Z$5:$Z$304,0)+4),INDEX('18℃'!$C$5:$C$304,MATCH(275,'18℃'!$Z$5:$Z$304,0))))</f>
        <v/>
      </c>
      <c r="C296" s="18" t="str">
        <f>IF(275&gt;MAX('4℃飯'!$AA$5:$AA$302),"",HYPERLINK("#'4℃飯'!D"&amp;(MATCH(275,'4℃飯'!$AA$5:$AA$302,0)+4),INDEX('4℃飯'!$D$5:$D$302,MATCH(275,'4℃飯'!$AA$5:$AA$302,0))))</f>
        <v/>
      </c>
      <c r="D296" s="18" t="str">
        <f>IF(275&gt;MAX('4℃麵'!$AA$5:$AA$305),"",HYPERLINK("#'4℃麵'!D"&amp;(MATCH(275,'4℃麵'!$AA$5:$AA$305,0)+4),INDEX('4℃麵'!$D$5:$D$305,MATCH(275,'4℃麵'!$AA$5:$AA$305,0))))</f>
        <v/>
      </c>
      <c r="E296" s="18" t="str">
        <f>IF(275&gt;MAX('4℃其他'!$AA$5:$AA$302),"",HYPERLINK("#'4℃其他'!D"&amp;(MATCH(275,'4℃其他'!$AA$5:$AA$302,0)+4),INDEX('4℃其他'!$D$5:$D$302,MATCH(275,'4℃其他'!$AA$5:$AA$302,0))))</f>
        <v/>
      </c>
      <c r="F296" s="18" t="str">
        <f>IF(275&gt;MAX(冷凍品!$Z$5:$Z$304),"",HYPERLINK("#'冷凍品'!C"&amp;(MATCH(275,冷凍品!$Z$5:$Z$304,0)+4),INDEX(冷凍品!$C$5:$C$304,MATCH(275,冷凍品!$Z$5:$Z$304,0))))</f>
        <v/>
      </c>
    </row>
    <row r="297" spans="2:6">
      <c r="B297" s="18" t="str">
        <f>IF(276&gt;MAX('18℃'!$Z$5:$Z$304),"",HYPERLINK("#'18℃'!C"&amp;(MATCH(276,'18℃'!$Z$5:$Z$304,0)+4),INDEX('18℃'!$C$5:$C$304,MATCH(276,'18℃'!$Z$5:$Z$304,0))))</f>
        <v/>
      </c>
      <c r="C297" s="18" t="str">
        <f>IF(276&gt;MAX('4℃飯'!$AA$5:$AA$302),"",HYPERLINK("#'4℃飯'!D"&amp;(MATCH(276,'4℃飯'!$AA$5:$AA$302,0)+4),INDEX('4℃飯'!$D$5:$D$302,MATCH(276,'4℃飯'!$AA$5:$AA$302,0))))</f>
        <v/>
      </c>
      <c r="D297" s="18" t="str">
        <f>IF(276&gt;MAX('4℃麵'!$AA$5:$AA$305),"",HYPERLINK("#'4℃麵'!D"&amp;(MATCH(276,'4℃麵'!$AA$5:$AA$305,0)+4),INDEX('4℃麵'!$D$5:$D$305,MATCH(276,'4℃麵'!$AA$5:$AA$305,0))))</f>
        <v/>
      </c>
      <c r="E297" s="18" t="str">
        <f>IF(276&gt;MAX('4℃其他'!$AA$5:$AA$302),"",HYPERLINK("#'4℃其他'!D"&amp;(MATCH(276,'4℃其他'!$AA$5:$AA$302,0)+4),INDEX('4℃其他'!$D$5:$D$302,MATCH(276,'4℃其他'!$AA$5:$AA$302,0))))</f>
        <v/>
      </c>
      <c r="F297" s="18" t="str">
        <f>IF(276&gt;MAX(冷凍品!$Z$5:$Z$304),"",HYPERLINK("#'冷凍品'!C"&amp;(MATCH(276,冷凍品!$Z$5:$Z$304,0)+4),INDEX(冷凍品!$C$5:$C$304,MATCH(276,冷凍品!$Z$5:$Z$304,0))))</f>
        <v/>
      </c>
    </row>
    <row r="298" spans="2:6">
      <c r="B298" s="18" t="str">
        <f>IF(277&gt;MAX('18℃'!$Z$5:$Z$304),"",HYPERLINK("#'18℃'!C"&amp;(MATCH(277,'18℃'!$Z$5:$Z$304,0)+4),INDEX('18℃'!$C$5:$C$304,MATCH(277,'18℃'!$Z$5:$Z$304,0))))</f>
        <v/>
      </c>
      <c r="C298" s="18" t="str">
        <f>IF(277&gt;MAX('4℃飯'!$AA$5:$AA$302),"",HYPERLINK("#'4℃飯'!D"&amp;(MATCH(277,'4℃飯'!$AA$5:$AA$302,0)+4),INDEX('4℃飯'!$D$5:$D$302,MATCH(277,'4℃飯'!$AA$5:$AA$302,0))))</f>
        <v/>
      </c>
      <c r="D298" s="18" t="str">
        <f>IF(277&gt;MAX('4℃麵'!$AA$5:$AA$305),"",HYPERLINK("#'4℃麵'!D"&amp;(MATCH(277,'4℃麵'!$AA$5:$AA$305,0)+4),INDEX('4℃麵'!$D$5:$D$305,MATCH(277,'4℃麵'!$AA$5:$AA$305,0))))</f>
        <v/>
      </c>
      <c r="E298" s="18" t="str">
        <f>IF(277&gt;MAX('4℃其他'!$AA$5:$AA$302),"",HYPERLINK("#'4℃其他'!D"&amp;(MATCH(277,'4℃其他'!$AA$5:$AA$302,0)+4),INDEX('4℃其他'!$D$5:$D$302,MATCH(277,'4℃其他'!$AA$5:$AA$302,0))))</f>
        <v/>
      </c>
      <c r="F298" s="18" t="str">
        <f>IF(277&gt;MAX(冷凍品!$Z$5:$Z$304),"",HYPERLINK("#'冷凍品'!C"&amp;(MATCH(277,冷凍品!$Z$5:$Z$304,0)+4),INDEX(冷凍品!$C$5:$C$304,MATCH(277,冷凍品!$Z$5:$Z$304,0))))</f>
        <v/>
      </c>
    </row>
    <row r="299" spans="2:6">
      <c r="B299" s="18" t="str">
        <f>IF(278&gt;MAX('18℃'!$Z$5:$Z$304),"",HYPERLINK("#'18℃'!C"&amp;(MATCH(278,'18℃'!$Z$5:$Z$304,0)+4),INDEX('18℃'!$C$5:$C$304,MATCH(278,'18℃'!$Z$5:$Z$304,0))))</f>
        <v/>
      </c>
      <c r="C299" s="18" t="str">
        <f>IF(278&gt;MAX('4℃飯'!$AA$5:$AA$302),"",HYPERLINK("#'4℃飯'!D"&amp;(MATCH(278,'4℃飯'!$AA$5:$AA$302,0)+4),INDEX('4℃飯'!$D$5:$D$302,MATCH(278,'4℃飯'!$AA$5:$AA$302,0))))</f>
        <v/>
      </c>
      <c r="D299" s="18" t="str">
        <f>IF(278&gt;MAX('4℃麵'!$AA$5:$AA$305),"",HYPERLINK("#'4℃麵'!D"&amp;(MATCH(278,'4℃麵'!$AA$5:$AA$305,0)+4),INDEX('4℃麵'!$D$5:$D$305,MATCH(278,'4℃麵'!$AA$5:$AA$305,0))))</f>
        <v/>
      </c>
      <c r="E299" s="18" t="str">
        <f>IF(278&gt;MAX('4℃其他'!$AA$5:$AA$302),"",HYPERLINK("#'4℃其他'!D"&amp;(MATCH(278,'4℃其他'!$AA$5:$AA$302,0)+4),INDEX('4℃其他'!$D$5:$D$302,MATCH(278,'4℃其他'!$AA$5:$AA$302,0))))</f>
        <v/>
      </c>
      <c r="F299" s="18" t="str">
        <f>IF(278&gt;MAX(冷凍品!$Z$5:$Z$304),"",HYPERLINK("#'冷凍品'!C"&amp;(MATCH(278,冷凍品!$Z$5:$Z$304,0)+4),INDEX(冷凍品!$C$5:$C$304,MATCH(278,冷凍品!$Z$5:$Z$304,0))))</f>
        <v/>
      </c>
    </row>
    <row r="300" spans="2:6">
      <c r="B300" s="18" t="str">
        <f>IF(279&gt;MAX('18℃'!$Z$5:$Z$304),"",HYPERLINK("#'18℃'!C"&amp;(MATCH(279,'18℃'!$Z$5:$Z$304,0)+4),INDEX('18℃'!$C$5:$C$304,MATCH(279,'18℃'!$Z$5:$Z$304,0))))</f>
        <v/>
      </c>
      <c r="C300" s="18" t="str">
        <f>IF(279&gt;MAX('4℃飯'!$AA$5:$AA$302),"",HYPERLINK("#'4℃飯'!D"&amp;(MATCH(279,'4℃飯'!$AA$5:$AA$302,0)+4),INDEX('4℃飯'!$D$5:$D$302,MATCH(279,'4℃飯'!$AA$5:$AA$302,0))))</f>
        <v/>
      </c>
      <c r="D300" s="18" t="str">
        <f>IF(279&gt;MAX('4℃麵'!$AA$5:$AA$305),"",HYPERLINK("#'4℃麵'!D"&amp;(MATCH(279,'4℃麵'!$AA$5:$AA$305,0)+4),INDEX('4℃麵'!$D$5:$D$305,MATCH(279,'4℃麵'!$AA$5:$AA$305,0))))</f>
        <v/>
      </c>
      <c r="E300" s="18" t="str">
        <f>IF(279&gt;MAX('4℃其他'!$AA$5:$AA$302),"",HYPERLINK("#'4℃其他'!D"&amp;(MATCH(279,'4℃其他'!$AA$5:$AA$302,0)+4),INDEX('4℃其他'!$D$5:$D$302,MATCH(279,'4℃其他'!$AA$5:$AA$302,0))))</f>
        <v/>
      </c>
      <c r="F300" s="18" t="str">
        <f>IF(279&gt;MAX(冷凍品!$Z$5:$Z$304),"",HYPERLINK("#'冷凍品'!C"&amp;(MATCH(279,冷凍品!$Z$5:$Z$304,0)+4),INDEX(冷凍品!$C$5:$C$304,MATCH(279,冷凍品!$Z$5:$Z$304,0))))</f>
        <v/>
      </c>
    </row>
    <row r="301" spans="2:6">
      <c r="B301" s="18" t="str">
        <f>IF(280&gt;MAX('18℃'!$Z$5:$Z$304),"",HYPERLINK("#'18℃'!C"&amp;(MATCH(280,'18℃'!$Z$5:$Z$304,0)+4),INDEX('18℃'!$C$5:$C$304,MATCH(280,'18℃'!$Z$5:$Z$304,0))))</f>
        <v/>
      </c>
      <c r="C301" s="18" t="str">
        <f>IF(280&gt;MAX('4℃飯'!$AA$5:$AA$302),"",HYPERLINK("#'4℃飯'!D"&amp;(MATCH(280,'4℃飯'!$AA$5:$AA$302,0)+4),INDEX('4℃飯'!$D$5:$D$302,MATCH(280,'4℃飯'!$AA$5:$AA$302,0))))</f>
        <v/>
      </c>
      <c r="D301" s="18" t="str">
        <f>IF(280&gt;MAX('4℃麵'!$AA$5:$AA$305),"",HYPERLINK("#'4℃麵'!D"&amp;(MATCH(280,'4℃麵'!$AA$5:$AA$305,0)+4),INDEX('4℃麵'!$D$5:$D$305,MATCH(280,'4℃麵'!$AA$5:$AA$305,0))))</f>
        <v/>
      </c>
      <c r="E301" s="18" t="str">
        <f>IF(280&gt;MAX('4℃其他'!$AA$5:$AA$302),"",HYPERLINK("#'4℃其他'!D"&amp;(MATCH(280,'4℃其他'!$AA$5:$AA$302,0)+4),INDEX('4℃其他'!$D$5:$D$302,MATCH(280,'4℃其他'!$AA$5:$AA$302,0))))</f>
        <v/>
      </c>
      <c r="F301" s="18" t="str">
        <f>IF(280&gt;MAX(冷凍品!$Z$5:$Z$304),"",HYPERLINK("#'冷凍品'!C"&amp;(MATCH(280,冷凍品!$Z$5:$Z$304,0)+4),INDEX(冷凍品!$C$5:$C$304,MATCH(280,冷凍品!$Z$5:$Z$304,0))))</f>
        <v/>
      </c>
    </row>
    <row r="302" spans="2:6">
      <c r="B302" s="18" t="str">
        <f>IF(281&gt;MAX('18℃'!$Z$5:$Z$304),"",HYPERLINK("#'18℃'!C"&amp;(MATCH(281,'18℃'!$Z$5:$Z$304,0)+4),INDEX('18℃'!$C$5:$C$304,MATCH(281,'18℃'!$Z$5:$Z$304,0))))</f>
        <v/>
      </c>
      <c r="C302" s="18" t="str">
        <f>IF(281&gt;MAX('4℃飯'!$AA$5:$AA$302),"",HYPERLINK("#'4℃飯'!D"&amp;(MATCH(281,'4℃飯'!$AA$5:$AA$302,0)+4),INDEX('4℃飯'!$D$5:$D$302,MATCH(281,'4℃飯'!$AA$5:$AA$302,0))))</f>
        <v/>
      </c>
      <c r="D302" s="18" t="str">
        <f>IF(281&gt;MAX('4℃麵'!$AA$5:$AA$305),"",HYPERLINK("#'4℃麵'!D"&amp;(MATCH(281,'4℃麵'!$AA$5:$AA$305,0)+4),INDEX('4℃麵'!$D$5:$D$305,MATCH(281,'4℃麵'!$AA$5:$AA$305,0))))</f>
        <v/>
      </c>
      <c r="E302" s="18" t="str">
        <f>IF(281&gt;MAX('4℃其他'!$AA$5:$AA$302),"",HYPERLINK("#'4℃其他'!D"&amp;(MATCH(281,'4℃其他'!$AA$5:$AA$302,0)+4),INDEX('4℃其他'!$D$5:$D$302,MATCH(281,'4℃其他'!$AA$5:$AA$302,0))))</f>
        <v/>
      </c>
      <c r="F302" s="18" t="str">
        <f>IF(281&gt;MAX(冷凍品!$Z$5:$Z$304),"",HYPERLINK("#'冷凍品'!C"&amp;(MATCH(281,冷凍品!$Z$5:$Z$304,0)+4),INDEX(冷凍品!$C$5:$C$304,MATCH(281,冷凍品!$Z$5:$Z$304,0))))</f>
        <v/>
      </c>
    </row>
    <row r="303" spans="2:6">
      <c r="B303" s="18" t="str">
        <f>IF(282&gt;MAX('18℃'!$Z$5:$Z$304),"",HYPERLINK("#'18℃'!C"&amp;(MATCH(282,'18℃'!$Z$5:$Z$304,0)+4),INDEX('18℃'!$C$5:$C$304,MATCH(282,'18℃'!$Z$5:$Z$304,0))))</f>
        <v/>
      </c>
      <c r="C303" s="18" t="str">
        <f>IF(282&gt;MAX('4℃飯'!$AA$5:$AA$302),"",HYPERLINK("#'4℃飯'!D"&amp;(MATCH(282,'4℃飯'!$AA$5:$AA$302,0)+4),INDEX('4℃飯'!$D$5:$D$302,MATCH(282,'4℃飯'!$AA$5:$AA$302,0))))</f>
        <v/>
      </c>
      <c r="D303" s="18" t="str">
        <f>IF(282&gt;MAX('4℃麵'!$AA$5:$AA$305),"",HYPERLINK("#'4℃麵'!D"&amp;(MATCH(282,'4℃麵'!$AA$5:$AA$305,0)+4),INDEX('4℃麵'!$D$5:$D$305,MATCH(282,'4℃麵'!$AA$5:$AA$305,0))))</f>
        <v/>
      </c>
      <c r="E303" s="18" t="str">
        <f>IF(282&gt;MAX('4℃其他'!$AA$5:$AA$302),"",HYPERLINK("#'4℃其他'!D"&amp;(MATCH(282,'4℃其他'!$AA$5:$AA$302,0)+4),INDEX('4℃其他'!$D$5:$D$302,MATCH(282,'4℃其他'!$AA$5:$AA$302,0))))</f>
        <v/>
      </c>
      <c r="F303" s="18" t="str">
        <f>IF(282&gt;MAX(冷凍品!$Z$5:$Z$304),"",HYPERLINK("#'冷凍品'!C"&amp;(MATCH(282,冷凍品!$Z$5:$Z$304,0)+4),INDEX(冷凍品!$C$5:$C$304,MATCH(282,冷凍品!$Z$5:$Z$304,0))))</f>
        <v/>
      </c>
    </row>
    <row r="304" spans="2:6">
      <c r="B304" s="18" t="str">
        <f>IF(283&gt;MAX('18℃'!$Z$5:$Z$304),"",HYPERLINK("#'18℃'!C"&amp;(MATCH(283,'18℃'!$Z$5:$Z$304,0)+4),INDEX('18℃'!$C$5:$C$304,MATCH(283,'18℃'!$Z$5:$Z$304,0))))</f>
        <v/>
      </c>
      <c r="C304" s="18" t="str">
        <f>IF(283&gt;MAX('4℃飯'!$AA$5:$AA$302),"",HYPERLINK("#'4℃飯'!D"&amp;(MATCH(283,'4℃飯'!$AA$5:$AA$302,0)+4),INDEX('4℃飯'!$D$5:$D$302,MATCH(283,'4℃飯'!$AA$5:$AA$302,0))))</f>
        <v/>
      </c>
      <c r="D304" s="18" t="str">
        <f>IF(283&gt;MAX('4℃麵'!$AA$5:$AA$305),"",HYPERLINK("#'4℃麵'!D"&amp;(MATCH(283,'4℃麵'!$AA$5:$AA$305,0)+4),INDEX('4℃麵'!$D$5:$D$305,MATCH(283,'4℃麵'!$AA$5:$AA$305,0))))</f>
        <v/>
      </c>
      <c r="E304" s="18" t="str">
        <f>IF(283&gt;MAX('4℃其他'!$AA$5:$AA$302),"",HYPERLINK("#'4℃其他'!D"&amp;(MATCH(283,'4℃其他'!$AA$5:$AA$302,0)+4),INDEX('4℃其他'!$D$5:$D$302,MATCH(283,'4℃其他'!$AA$5:$AA$302,0))))</f>
        <v/>
      </c>
      <c r="F304" s="18" t="str">
        <f>IF(283&gt;MAX(冷凍品!$Z$5:$Z$304),"",HYPERLINK("#'冷凍品'!C"&amp;(MATCH(283,冷凍品!$Z$5:$Z$304,0)+4),INDEX(冷凍品!$C$5:$C$304,MATCH(283,冷凍品!$Z$5:$Z$304,0))))</f>
        <v/>
      </c>
    </row>
    <row r="305" spans="2:6">
      <c r="B305" s="18" t="str">
        <f>IF(284&gt;MAX('18℃'!$Z$5:$Z$304),"",HYPERLINK("#'18℃'!C"&amp;(MATCH(284,'18℃'!$Z$5:$Z$304,0)+4),INDEX('18℃'!$C$5:$C$304,MATCH(284,'18℃'!$Z$5:$Z$304,0))))</f>
        <v/>
      </c>
      <c r="C305" s="18" t="str">
        <f>IF(284&gt;MAX('4℃飯'!$AA$5:$AA$302),"",HYPERLINK("#'4℃飯'!D"&amp;(MATCH(284,'4℃飯'!$AA$5:$AA$302,0)+4),INDEX('4℃飯'!$D$5:$D$302,MATCH(284,'4℃飯'!$AA$5:$AA$302,0))))</f>
        <v/>
      </c>
      <c r="D305" s="18" t="str">
        <f>IF(284&gt;MAX('4℃麵'!$AA$5:$AA$305),"",HYPERLINK("#'4℃麵'!D"&amp;(MATCH(284,'4℃麵'!$AA$5:$AA$305,0)+4),INDEX('4℃麵'!$D$5:$D$305,MATCH(284,'4℃麵'!$AA$5:$AA$305,0))))</f>
        <v/>
      </c>
      <c r="E305" s="18" t="str">
        <f>IF(284&gt;MAX('4℃其他'!$AA$5:$AA$302),"",HYPERLINK("#'4℃其他'!D"&amp;(MATCH(284,'4℃其他'!$AA$5:$AA$302,0)+4),INDEX('4℃其他'!$D$5:$D$302,MATCH(284,'4℃其他'!$AA$5:$AA$302,0))))</f>
        <v/>
      </c>
      <c r="F305" s="18" t="str">
        <f>IF(284&gt;MAX(冷凍品!$Z$5:$Z$304),"",HYPERLINK("#'冷凍品'!C"&amp;(MATCH(284,冷凍品!$Z$5:$Z$304,0)+4),INDEX(冷凍品!$C$5:$C$304,MATCH(284,冷凍品!$Z$5:$Z$304,0))))</f>
        <v/>
      </c>
    </row>
    <row r="306" spans="2:6">
      <c r="B306" s="18" t="str">
        <f>IF(285&gt;MAX('18℃'!$Z$5:$Z$304),"",HYPERLINK("#'18℃'!C"&amp;(MATCH(285,'18℃'!$Z$5:$Z$304,0)+4),INDEX('18℃'!$C$5:$C$304,MATCH(285,'18℃'!$Z$5:$Z$304,0))))</f>
        <v/>
      </c>
      <c r="C306" s="18" t="str">
        <f>IF(285&gt;MAX('4℃飯'!$AA$5:$AA$302),"",HYPERLINK("#'4℃飯'!D"&amp;(MATCH(285,'4℃飯'!$AA$5:$AA$302,0)+4),INDEX('4℃飯'!$D$5:$D$302,MATCH(285,'4℃飯'!$AA$5:$AA$302,0))))</f>
        <v/>
      </c>
      <c r="D306" s="18" t="str">
        <f>IF(285&gt;MAX('4℃麵'!$AA$5:$AA$305),"",HYPERLINK("#'4℃麵'!D"&amp;(MATCH(285,'4℃麵'!$AA$5:$AA$305,0)+4),INDEX('4℃麵'!$D$5:$D$305,MATCH(285,'4℃麵'!$AA$5:$AA$305,0))))</f>
        <v/>
      </c>
      <c r="E306" s="18" t="str">
        <f>IF(285&gt;MAX('4℃其他'!$AA$5:$AA$302),"",HYPERLINK("#'4℃其他'!D"&amp;(MATCH(285,'4℃其他'!$AA$5:$AA$302,0)+4),INDEX('4℃其他'!$D$5:$D$302,MATCH(285,'4℃其他'!$AA$5:$AA$302,0))))</f>
        <v/>
      </c>
      <c r="F306" s="18" t="str">
        <f>IF(285&gt;MAX(冷凍品!$Z$5:$Z$304),"",HYPERLINK("#'冷凍品'!C"&amp;(MATCH(285,冷凍品!$Z$5:$Z$304,0)+4),INDEX(冷凍品!$C$5:$C$304,MATCH(285,冷凍品!$Z$5:$Z$304,0))))</f>
        <v/>
      </c>
    </row>
    <row r="307" spans="2:6">
      <c r="B307" s="18" t="str">
        <f>IF(286&gt;MAX('18℃'!$Z$5:$Z$304),"",HYPERLINK("#'18℃'!C"&amp;(MATCH(286,'18℃'!$Z$5:$Z$304,0)+4),INDEX('18℃'!$C$5:$C$304,MATCH(286,'18℃'!$Z$5:$Z$304,0))))</f>
        <v/>
      </c>
      <c r="C307" s="18" t="str">
        <f>IF(286&gt;MAX('4℃飯'!$AA$5:$AA$302),"",HYPERLINK("#'4℃飯'!D"&amp;(MATCH(286,'4℃飯'!$AA$5:$AA$302,0)+4),INDEX('4℃飯'!$D$5:$D$302,MATCH(286,'4℃飯'!$AA$5:$AA$302,0))))</f>
        <v/>
      </c>
      <c r="D307" s="18" t="str">
        <f>IF(286&gt;MAX('4℃麵'!$AA$5:$AA$305),"",HYPERLINK("#'4℃麵'!D"&amp;(MATCH(286,'4℃麵'!$AA$5:$AA$305,0)+4),INDEX('4℃麵'!$D$5:$D$305,MATCH(286,'4℃麵'!$AA$5:$AA$305,0))))</f>
        <v/>
      </c>
      <c r="E307" s="18" t="str">
        <f>IF(286&gt;MAX('4℃其他'!$AA$5:$AA$302),"",HYPERLINK("#'4℃其他'!D"&amp;(MATCH(286,'4℃其他'!$AA$5:$AA$302,0)+4),INDEX('4℃其他'!$D$5:$D$302,MATCH(286,'4℃其他'!$AA$5:$AA$302,0))))</f>
        <v/>
      </c>
      <c r="F307" s="18" t="str">
        <f>IF(286&gt;MAX(冷凍品!$Z$5:$Z$304),"",HYPERLINK("#'冷凍品'!C"&amp;(MATCH(286,冷凍品!$Z$5:$Z$304,0)+4),INDEX(冷凍品!$C$5:$C$304,MATCH(286,冷凍品!$Z$5:$Z$304,0))))</f>
        <v/>
      </c>
    </row>
    <row r="308" spans="2:6">
      <c r="B308" s="18" t="str">
        <f>IF(287&gt;MAX('18℃'!$Z$5:$Z$304),"",HYPERLINK("#'18℃'!C"&amp;(MATCH(287,'18℃'!$Z$5:$Z$304,0)+4),INDEX('18℃'!$C$5:$C$304,MATCH(287,'18℃'!$Z$5:$Z$304,0))))</f>
        <v/>
      </c>
      <c r="C308" s="18" t="str">
        <f>IF(287&gt;MAX('4℃飯'!$AA$5:$AA$302),"",HYPERLINK("#'4℃飯'!D"&amp;(MATCH(287,'4℃飯'!$AA$5:$AA$302,0)+4),INDEX('4℃飯'!$D$5:$D$302,MATCH(287,'4℃飯'!$AA$5:$AA$302,0))))</f>
        <v/>
      </c>
      <c r="D308" s="18" t="str">
        <f>IF(287&gt;MAX('4℃麵'!$AA$5:$AA$305),"",HYPERLINK("#'4℃麵'!D"&amp;(MATCH(287,'4℃麵'!$AA$5:$AA$305,0)+4),INDEX('4℃麵'!$D$5:$D$305,MATCH(287,'4℃麵'!$AA$5:$AA$305,0))))</f>
        <v/>
      </c>
      <c r="E308" s="18" t="str">
        <f>IF(287&gt;MAX('4℃其他'!$AA$5:$AA$302),"",HYPERLINK("#'4℃其他'!D"&amp;(MATCH(287,'4℃其他'!$AA$5:$AA$302,0)+4),INDEX('4℃其他'!$D$5:$D$302,MATCH(287,'4℃其他'!$AA$5:$AA$302,0))))</f>
        <v/>
      </c>
      <c r="F308" s="18" t="str">
        <f>IF(287&gt;MAX(冷凍品!$Z$5:$Z$304),"",HYPERLINK("#'冷凍品'!C"&amp;(MATCH(287,冷凍品!$Z$5:$Z$304,0)+4),INDEX(冷凍品!$C$5:$C$304,MATCH(287,冷凍品!$Z$5:$Z$304,0))))</f>
        <v/>
      </c>
    </row>
    <row r="309" spans="2:6">
      <c r="B309" s="18" t="str">
        <f>IF(288&gt;MAX('18℃'!$Z$5:$Z$304),"",HYPERLINK("#'18℃'!C"&amp;(MATCH(288,'18℃'!$Z$5:$Z$304,0)+4),INDEX('18℃'!$C$5:$C$304,MATCH(288,'18℃'!$Z$5:$Z$304,0))))</f>
        <v/>
      </c>
      <c r="C309" s="18" t="str">
        <f>IF(288&gt;MAX('4℃飯'!$AA$5:$AA$302),"",HYPERLINK("#'4℃飯'!D"&amp;(MATCH(288,'4℃飯'!$AA$5:$AA$302,0)+4),INDEX('4℃飯'!$D$5:$D$302,MATCH(288,'4℃飯'!$AA$5:$AA$302,0))))</f>
        <v/>
      </c>
      <c r="D309" s="18" t="str">
        <f>IF(288&gt;MAX('4℃麵'!$AA$5:$AA$305),"",HYPERLINK("#'4℃麵'!D"&amp;(MATCH(288,'4℃麵'!$AA$5:$AA$305,0)+4),INDEX('4℃麵'!$D$5:$D$305,MATCH(288,'4℃麵'!$AA$5:$AA$305,0))))</f>
        <v/>
      </c>
      <c r="E309" s="18" t="str">
        <f>IF(288&gt;MAX('4℃其他'!$AA$5:$AA$302),"",HYPERLINK("#'4℃其他'!D"&amp;(MATCH(288,'4℃其他'!$AA$5:$AA$302,0)+4),INDEX('4℃其他'!$D$5:$D$302,MATCH(288,'4℃其他'!$AA$5:$AA$302,0))))</f>
        <v/>
      </c>
      <c r="F309" s="18" t="str">
        <f>IF(288&gt;MAX(冷凍品!$Z$5:$Z$304),"",HYPERLINK("#'冷凍品'!C"&amp;(MATCH(288,冷凍品!$Z$5:$Z$304,0)+4),INDEX(冷凍品!$C$5:$C$304,MATCH(288,冷凍品!$Z$5:$Z$304,0))))</f>
        <v/>
      </c>
    </row>
    <row r="310" spans="2:6">
      <c r="B310" s="18" t="str">
        <f>IF(289&gt;MAX('18℃'!$Z$5:$Z$304),"",HYPERLINK("#'18℃'!C"&amp;(MATCH(289,'18℃'!$Z$5:$Z$304,0)+4),INDEX('18℃'!$C$5:$C$304,MATCH(289,'18℃'!$Z$5:$Z$304,0))))</f>
        <v/>
      </c>
      <c r="C310" s="18" t="str">
        <f>IF(289&gt;MAX('4℃飯'!$AA$5:$AA$302),"",HYPERLINK("#'4℃飯'!D"&amp;(MATCH(289,'4℃飯'!$AA$5:$AA$302,0)+4),INDEX('4℃飯'!$D$5:$D$302,MATCH(289,'4℃飯'!$AA$5:$AA$302,0))))</f>
        <v/>
      </c>
      <c r="D310" s="18" t="str">
        <f>IF(289&gt;MAX('4℃麵'!$AA$5:$AA$305),"",HYPERLINK("#'4℃麵'!D"&amp;(MATCH(289,'4℃麵'!$AA$5:$AA$305,0)+4),INDEX('4℃麵'!$D$5:$D$305,MATCH(289,'4℃麵'!$AA$5:$AA$305,0))))</f>
        <v/>
      </c>
      <c r="E310" s="18" t="str">
        <f>IF(289&gt;MAX('4℃其他'!$AA$5:$AA$302),"",HYPERLINK("#'4℃其他'!D"&amp;(MATCH(289,'4℃其他'!$AA$5:$AA$302,0)+4),INDEX('4℃其他'!$D$5:$D$302,MATCH(289,'4℃其他'!$AA$5:$AA$302,0))))</f>
        <v/>
      </c>
      <c r="F310" s="18" t="str">
        <f>IF(289&gt;MAX(冷凍品!$Z$5:$Z$304),"",HYPERLINK("#'冷凍品'!C"&amp;(MATCH(289,冷凍品!$Z$5:$Z$304,0)+4),INDEX(冷凍品!$C$5:$C$304,MATCH(289,冷凍品!$Z$5:$Z$304,0))))</f>
        <v/>
      </c>
    </row>
    <row r="311" spans="2:6">
      <c r="B311" s="18" t="str">
        <f>IF(290&gt;MAX('18℃'!$Z$5:$Z$304),"",HYPERLINK("#'18℃'!C"&amp;(MATCH(290,'18℃'!$Z$5:$Z$304,0)+4),INDEX('18℃'!$C$5:$C$304,MATCH(290,'18℃'!$Z$5:$Z$304,0))))</f>
        <v/>
      </c>
      <c r="C311" s="18" t="str">
        <f>IF(290&gt;MAX('4℃飯'!$AA$5:$AA$302),"",HYPERLINK("#'4℃飯'!D"&amp;(MATCH(290,'4℃飯'!$AA$5:$AA$302,0)+4),INDEX('4℃飯'!$D$5:$D$302,MATCH(290,'4℃飯'!$AA$5:$AA$302,0))))</f>
        <v/>
      </c>
      <c r="D311" s="18" t="str">
        <f>IF(290&gt;MAX('4℃麵'!$AA$5:$AA$305),"",HYPERLINK("#'4℃麵'!D"&amp;(MATCH(290,'4℃麵'!$AA$5:$AA$305,0)+4),INDEX('4℃麵'!$D$5:$D$305,MATCH(290,'4℃麵'!$AA$5:$AA$305,0))))</f>
        <v/>
      </c>
      <c r="E311" s="18" t="str">
        <f>IF(290&gt;MAX('4℃其他'!$AA$5:$AA$302),"",HYPERLINK("#'4℃其他'!D"&amp;(MATCH(290,'4℃其他'!$AA$5:$AA$302,0)+4),INDEX('4℃其他'!$D$5:$D$302,MATCH(290,'4℃其他'!$AA$5:$AA$302,0))))</f>
        <v/>
      </c>
      <c r="F311" s="18" t="str">
        <f>IF(290&gt;MAX(冷凍品!$Z$5:$Z$304),"",HYPERLINK("#'冷凍品'!C"&amp;(MATCH(290,冷凍品!$Z$5:$Z$304,0)+4),INDEX(冷凍品!$C$5:$C$304,MATCH(290,冷凍品!$Z$5:$Z$304,0))))</f>
        <v/>
      </c>
    </row>
    <row r="312" spans="2:6">
      <c r="B312" s="18" t="str">
        <f>IF(291&gt;MAX('18℃'!$Z$5:$Z$304),"",HYPERLINK("#'18℃'!C"&amp;(MATCH(291,'18℃'!$Z$5:$Z$304,0)+4),INDEX('18℃'!$C$5:$C$304,MATCH(291,'18℃'!$Z$5:$Z$304,0))))</f>
        <v/>
      </c>
      <c r="C312" s="18" t="str">
        <f>IF(291&gt;MAX('4℃飯'!$AA$5:$AA$302),"",HYPERLINK("#'4℃飯'!D"&amp;(MATCH(291,'4℃飯'!$AA$5:$AA$302,0)+4),INDEX('4℃飯'!$D$5:$D$302,MATCH(291,'4℃飯'!$AA$5:$AA$302,0))))</f>
        <v/>
      </c>
      <c r="D312" s="18" t="str">
        <f>IF(291&gt;MAX('4℃麵'!$AA$5:$AA$305),"",HYPERLINK("#'4℃麵'!D"&amp;(MATCH(291,'4℃麵'!$AA$5:$AA$305,0)+4),INDEX('4℃麵'!$D$5:$D$305,MATCH(291,'4℃麵'!$AA$5:$AA$305,0))))</f>
        <v/>
      </c>
      <c r="E312" s="18" t="str">
        <f>IF(291&gt;MAX('4℃其他'!$AA$5:$AA$302),"",HYPERLINK("#'4℃其他'!D"&amp;(MATCH(291,'4℃其他'!$AA$5:$AA$302,0)+4),INDEX('4℃其他'!$D$5:$D$302,MATCH(291,'4℃其他'!$AA$5:$AA$302,0))))</f>
        <v/>
      </c>
      <c r="F312" s="18" t="str">
        <f>IF(291&gt;MAX(冷凍品!$Z$5:$Z$304),"",HYPERLINK("#'冷凍品'!C"&amp;(MATCH(291,冷凍品!$Z$5:$Z$304,0)+4),INDEX(冷凍品!$C$5:$C$304,MATCH(291,冷凍品!$Z$5:$Z$304,0))))</f>
        <v/>
      </c>
    </row>
    <row r="313" spans="2:6">
      <c r="B313" s="18" t="str">
        <f>IF(292&gt;MAX('18℃'!$Z$5:$Z$304),"",HYPERLINK("#'18℃'!C"&amp;(MATCH(292,'18℃'!$Z$5:$Z$304,0)+4),INDEX('18℃'!$C$5:$C$304,MATCH(292,'18℃'!$Z$5:$Z$304,0))))</f>
        <v/>
      </c>
      <c r="C313" s="18" t="str">
        <f>IF(292&gt;MAX('4℃飯'!$AA$5:$AA$302),"",HYPERLINK("#'4℃飯'!D"&amp;(MATCH(292,'4℃飯'!$AA$5:$AA$302,0)+4),INDEX('4℃飯'!$D$5:$D$302,MATCH(292,'4℃飯'!$AA$5:$AA$302,0))))</f>
        <v/>
      </c>
      <c r="D313" s="18" t="str">
        <f>IF(292&gt;MAX('4℃麵'!$AA$5:$AA$305),"",HYPERLINK("#'4℃麵'!D"&amp;(MATCH(292,'4℃麵'!$AA$5:$AA$305,0)+4),INDEX('4℃麵'!$D$5:$D$305,MATCH(292,'4℃麵'!$AA$5:$AA$305,0))))</f>
        <v/>
      </c>
      <c r="E313" s="18" t="str">
        <f>IF(292&gt;MAX('4℃其他'!$AA$5:$AA$302),"",HYPERLINK("#'4℃其他'!D"&amp;(MATCH(292,'4℃其他'!$AA$5:$AA$302,0)+4),INDEX('4℃其他'!$D$5:$D$302,MATCH(292,'4℃其他'!$AA$5:$AA$302,0))))</f>
        <v/>
      </c>
      <c r="F313" s="18" t="str">
        <f>IF(292&gt;MAX(冷凍品!$Z$5:$Z$304),"",HYPERLINK("#'冷凍品'!C"&amp;(MATCH(292,冷凍品!$Z$5:$Z$304,0)+4),INDEX(冷凍品!$C$5:$C$304,MATCH(292,冷凍品!$Z$5:$Z$304,0))))</f>
        <v/>
      </c>
    </row>
    <row r="314" spans="2:6">
      <c r="B314" s="18" t="str">
        <f>IF(293&gt;MAX('18℃'!$Z$5:$Z$304),"",HYPERLINK("#'18℃'!C"&amp;(MATCH(293,'18℃'!$Z$5:$Z$304,0)+4),INDEX('18℃'!$C$5:$C$304,MATCH(293,'18℃'!$Z$5:$Z$304,0))))</f>
        <v/>
      </c>
      <c r="C314" s="18" t="str">
        <f>IF(293&gt;MAX('4℃飯'!$AA$5:$AA$302),"",HYPERLINK("#'4℃飯'!D"&amp;(MATCH(293,'4℃飯'!$AA$5:$AA$302,0)+4),INDEX('4℃飯'!$D$5:$D$302,MATCH(293,'4℃飯'!$AA$5:$AA$302,0))))</f>
        <v/>
      </c>
      <c r="D314" s="18" t="str">
        <f>IF(293&gt;MAX('4℃麵'!$AA$5:$AA$305),"",HYPERLINK("#'4℃麵'!D"&amp;(MATCH(293,'4℃麵'!$AA$5:$AA$305,0)+4),INDEX('4℃麵'!$D$5:$D$305,MATCH(293,'4℃麵'!$AA$5:$AA$305,0))))</f>
        <v/>
      </c>
      <c r="E314" s="18" t="str">
        <f>IF(293&gt;MAX('4℃其他'!$AA$5:$AA$302),"",HYPERLINK("#'4℃其他'!D"&amp;(MATCH(293,'4℃其他'!$AA$5:$AA$302,0)+4),INDEX('4℃其他'!$D$5:$D$302,MATCH(293,'4℃其他'!$AA$5:$AA$302,0))))</f>
        <v/>
      </c>
      <c r="F314" s="18" t="str">
        <f>IF(293&gt;MAX(冷凍品!$Z$5:$Z$304),"",HYPERLINK("#'冷凍品'!C"&amp;(MATCH(293,冷凍品!$Z$5:$Z$304,0)+4),INDEX(冷凍品!$C$5:$C$304,MATCH(293,冷凍品!$Z$5:$Z$304,0))))</f>
        <v/>
      </c>
    </row>
    <row r="315" spans="2:6">
      <c r="B315" s="18" t="str">
        <f>IF(294&gt;MAX('18℃'!$Z$5:$Z$304),"",HYPERLINK("#'18℃'!C"&amp;(MATCH(294,'18℃'!$Z$5:$Z$304,0)+4),INDEX('18℃'!$C$5:$C$304,MATCH(294,'18℃'!$Z$5:$Z$304,0))))</f>
        <v/>
      </c>
      <c r="C315" s="18" t="str">
        <f>IF(294&gt;MAX('4℃飯'!$AA$5:$AA$302),"",HYPERLINK("#'4℃飯'!D"&amp;(MATCH(294,'4℃飯'!$AA$5:$AA$302,0)+4),INDEX('4℃飯'!$D$5:$D$302,MATCH(294,'4℃飯'!$AA$5:$AA$302,0))))</f>
        <v/>
      </c>
      <c r="D315" s="18" t="str">
        <f>IF(294&gt;MAX('4℃麵'!$AA$5:$AA$305),"",HYPERLINK("#'4℃麵'!D"&amp;(MATCH(294,'4℃麵'!$AA$5:$AA$305,0)+4),INDEX('4℃麵'!$D$5:$D$305,MATCH(294,'4℃麵'!$AA$5:$AA$305,0))))</f>
        <v/>
      </c>
      <c r="E315" s="18" t="str">
        <f>IF(294&gt;MAX('4℃其他'!$AA$5:$AA$302),"",HYPERLINK("#'4℃其他'!D"&amp;(MATCH(294,'4℃其他'!$AA$5:$AA$302,0)+4),INDEX('4℃其他'!$D$5:$D$302,MATCH(294,'4℃其他'!$AA$5:$AA$302,0))))</f>
        <v/>
      </c>
      <c r="F315" s="18" t="str">
        <f>IF(294&gt;MAX(冷凍品!$Z$5:$Z$304),"",HYPERLINK("#'冷凍品'!C"&amp;(MATCH(294,冷凍品!$Z$5:$Z$304,0)+4),INDEX(冷凍品!$C$5:$C$304,MATCH(294,冷凍品!$Z$5:$Z$304,0))))</f>
        <v/>
      </c>
    </row>
    <row r="316" spans="2:6">
      <c r="B316" s="18" t="str">
        <f>IF(295&gt;MAX('18℃'!$Z$5:$Z$304),"",HYPERLINK("#'18℃'!C"&amp;(MATCH(295,'18℃'!$Z$5:$Z$304,0)+4),INDEX('18℃'!$C$5:$C$304,MATCH(295,'18℃'!$Z$5:$Z$304,0))))</f>
        <v/>
      </c>
      <c r="C316" s="18" t="str">
        <f>IF(295&gt;MAX('4℃飯'!$AA$5:$AA$302),"",HYPERLINK("#'4℃飯'!D"&amp;(MATCH(295,'4℃飯'!$AA$5:$AA$302,0)+4),INDEX('4℃飯'!$D$5:$D$302,MATCH(295,'4℃飯'!$AA$5:$AA$302,0))))</f>
        <v/>
      </c>
      <c r="D316" s="18" t="str">
        <f>IF(295&gt;MAX('4℃麵'!$AA$5:$AA$305),"",HYPERLINK("#'4℃麵'!D"&amp;(MATCH(295,'4℃麵'!$AA$5:$AA$305,0)+4),INDEX('4℃麵'!$D$5:$D$305,MATCH(295,'4℃麵'!$AA$5:$AA$305,0))))</f>
        <v/>
      </c>
      <c r="E316" s="18" t="str">
        <f>IF(295&gt;MAX('4℃其他'!$AA$5:$AA$302),"",HYPERLINK("#'4℃其他'!D"&amp;(MATCH(295,'4℃其他'!$AA$5:$AA$302,0)+4),INDEX('4℃其他'!$D$5:$D$302,MATCH(295,'4℃其他'!$AA$5:$AA$302,0))))</f>
        <v/>
      </c>
      <c r="F316" s="18" t="str">
        <f>IF(295&gt;MAX(冷凍品!$Z$5:$Z$304),"",HYPERLINK("#'冷凍品'!C"&amp;(MATCH(295,冷凍品!$Z$5:$Z$304,0)+4),INDEX(冷凍品!$C$5:$C$304,MATCH(295,冷凍品!$Z$5:$Z$304,0))))</f>
        <v/>
      </c>
    </row>
    <row r="317" spans="2:6">
      <c r="B317" s="18" t="str">
        <f>IF(296&gt;MAX('18℃'!$Z$5:$Z$304),"",HYPERLINK("#'18℃'!C"&amp;(MATCH(296,'18℃'!$Z$5:$Z$304,0)+4),INDEX('18℃'!$C$5:$C$304,MATCH(296,'18℃'!$Z$5:$Z$304,0))))</f>
        <v/>
      </c>
      <c r="C317" s="18" t="str">
        <f>IF(296&gt;MAX('4℃飯'!$AA$5:$AA$302),"",HYPERLINK("#'4℃飯'!D"&amp;(MATCH(296,'4℃飯'!$AA$5:$AA$302,0)+4),INDEX('4℃飯'!$D$5:$D$302,MATCH(296,'4℃飯'!$AA$5:$AA$302,0))))</f>
        <v/>
      </c>
      <c r="D317" s="18" t="str">
        <f>IF(296&gt;MAX('4℃麵'!$AA$5:$AA$305),"",HYPERLINK("#'4℃麵'!D"&amp;(MATCH(296,'4℃麵'!$AA$5:$AA$305,0)+4),INDEX('4℃麵'!$D$5:$D$305,MATCH(296,'4℃麵'!$AA$5:$AA$305,0))))</f>
        <v/>
      </c>
      <c r="E317" s="18" t="str">
        <f>IF(296&gt;MAX('4℃其他'!$AA$5:$AA$302),"",HYPERLINK("#'4℃其他'!D"&amp;(MATCH(296,'4℃其他'!$AA$5:$AA$302,0)+4),INDEX('4℃其他'!$D$5:$D$302,MATCH(296,'4℃其他'!$AA$5:$AA$302,0))))</f>
        <v/>
      </c>
      <c r="F317" s="18" t="str">
        <f>IF(296&gt;MAX(冷凍品!$Z$5:$Z$304),"",HYPERLINK("#'冷凍品'!C"&amp;(MATCH(296,冷凍品!$Z$5:$Z$304,0)+4),INDEX(冷凍品!$C$5:$C$304,MATCH(296,冷凍品!$Z$5:$Z$304,0))))</f>
        <v/>
      </c>
    </row>
    <row r="318" spans="2:6">
      <c r="B318" s="18" t="str">
        <f>IF(297&gt;MAX('18℃'!$Z$5:$Z$304),"",HYPERLINK("#'18℃'!C"&amp;(MATCH(297,'18℃'!$Z$5:$Z$304,0)+4),INDEX('18℃'!$C$5:$C$304,MATCH(297,'18℃'!$Z$5:$Z$304,0))))</f>
        <v/>
      </c>
      <c r="D318" s="18" t="str">
        <f>IF(297&gt;MAX('4℃麵'!$AA$5:$AA$305),"",HYPERLINK("#'4℃麵'!D"&amp;(MATCH(297,'4℃麵'!$AA$5:$AA$305,0)+4),INDEX('4℃麵'!$D$5:$D$305,MATCH(297,'4℃麵'!$AA$5:$AA$305,0))))</f>
        <v/>
      </c>
      <c r="F318" s="18" t="str">
        <f>IF(297&gt;MAX(冷凍品!$Z$5:$Z$304),"",HYPERLINK("#'冷凍品'!C"&amp;(MATCH(297,冷凍品!$Z$5:$Z$304,0)+4),INDEX(冷凍品!$C$5:$C$304,MATCH(297,冷凍品!$Z$5:$Z$304,0))))</f>
        <v/>
      </c>
    </row>
    <row r="319" spans="2:6">
      <c r="B319" s="18" t="str">
        <f>IF(298&gt;MAX('18℃'!$Z$5:$Z$304),"",HYPERLINK("#'18℃'!C"&amp;(MATCH(298,'18℃'!$Z$5:$Z$304,0)+4),INDEX('18℃'!$C$5:$C$304,MATCH(298,'18℃'!$Z$5:$Z$304,0))))</f>
        <v/>
      </c>
      <c r="D319" s="18" t="str">
        <f>IF(298&gt;MAX('4℃麵'!$AA$5:$AA$305),"",HYPERLINK("#'4℃麵'!D"&amp;(MATCH(298,'4℃麵'!$AA$5:$AA$305,0)+4),INDEX('4℃麵'!$D$5:$D$305,MATCH(298,'4℃麵'!$AA$5:$AA$305,0))))</f>
        <v/>
      </c>
      <c r="F319" s="18" t="str">
        <f>IF(298&gt;MAX(冷凍品!$Z$5:$Z$304),"",HYPERLINK("#'冷凍品'!C"&amp;(MATCH(298,冷凍品!$Z$5:$Z$304,0)+4),INDEX(冷凍品!$C$5:$C$304,MATCH(298,冷凍品!$Z$5:$Z$304,0))))</f>
        <v/>
      </c>
    </row>
    <row r="320" spans="2:6">
      <c r="B320" s="18" t="str">
        <f>IF(299&gt;MAX('18℃'!$Z$5:$Z$304),"",HYPERLINK("#'18℃'!C"&amp;(MATCH(299,'18℃'!$Z$5:$Z$304,0)+4),INDEX('18℃'!$C$5:$C$304,MATCH(299,'18℃'!$Z$5:$Z$304,0))))</f>
        <v/>
      </c>
      <c r="D320" s="18" t="str">
        <f>IF(299&gt;MAX('4℃麵'!$AA$5:$AA$305),"",HYPERLINK("#'4℃麵'!D"&amp;(MATCH(299,'4℃麵'!$AA$5:$AA$305,0)+4),INDEX('4℃麵'!$D$5:$D$305,MATCH(299,'4℃麵'!$AA$5:$AA$305,0))))</f>
        <v/>
      </c>
      <c r="F320" s="18" t="str">
        <f>IF(299&gt;MAX(冷凍品!$Z$5:$Z$304),"",HYPERLINK("#'冷凍品'!C"&amp;(MATCH(299,冷凍品!$Z$5:$Z$304,0)+4),INDEX(冷凍品!$C$5:$C$304,MATCH(299,冷凍品!$Z$5:$Z$304,0))))</f>
        <v/>
      </c>
    </row>
    <row r="321" spans="2:6">
      <c r="B321" s="18" t="str">
        <f>IF(300&gt;MAX('18℃'!$Z$5:$Z$304),"",HYPERLINK("#'18℃'!C"&amp;(MATCH(300,'18℃'!$Z$5:$Z$304,0)+4),INDEX('18℃'!$C$5:$C$304,MATCH(300,'18℃'!$Z$5:$Z$304,0))))</f>
        <v/>
      </c>
      <c r="D321" s="18" t="str">
        <f>IF(300&gt;MAX('4℃麵'!$AA$5:$AA$305),"",HYPERLINK("#'4℃麵'!D"&amp;(MATCH(300,'4℃麵'!$AA$5:$AA$305,0)+4),INDEX('4℃麵'!$D$5:$D$305,MATCH(300,'4℃麵'!$AA$5:$AA$305,0))))</f>
        <v/>
      </c>
      <c r="F321" s="18" t="str">
        <f>IF(300&gt;MAX(冷凍品!$Z$5:$Z$304),"",HYPERLINK("#'冷凍品'!C"&amp;(MATCH(300,冷凍品!$Z$5:$Z$304,0)+4),INDEX(冷凍品!$C$5:$C$304,MATCH(300,冷凍品!$Z$5:$Z$304,0))))</f>
        <v/>
      </c>
    </row>
  </sheetData>
  <mergeCells count="1">
    <mergeCell ref="B1:F1"/>
  </mergeCells>
  <phoneticPr fontId="27" type="noConversion"/>
  <dataValidations count="1">
    <dataValidation type="list" allowBlank="1" sqref="C4">
      <formula1>"大溪,新豐,長家,晉欣"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38"/>
  <sheetViews>
    <sheetView showGridLines="0" topLeftCell="A19" zoomScale="130" zoomScaleNormal="130" workbookViewId="0">
      <selection activeCell="C23" sqref="C23"/>
    </sheetView>
  </sheetViews>
  <sheetFormatPr defaultColWidth="8.7265625" defaultRowHeight="14.5"/>
  <cols>
    <col min="1" max="1" width="3" customWidth="1"/>
    <col min="2" max="2" width="24" customWidth="1"/>
    <col min="3" max="3" width="95" customWidth="1"/>
  </cols>
  <sheetData>
    <row r="2" spans="2:3" ht="20.5">
      <c r="B2" s="43" t="s">
        <v>27</v>
      </c>
      <c r="C2" s="44"/>
    </row>
    <row r="3" spans="2:3">
      <c r="B3" s="44"/>
      <c r="C3" s="44"/>
    </row>
    <row r="4" spans="2:3" ht="30" customHeight="1">
      <c r="B4" s="45" t="s">
        <v>28</v>
      </c>
      <c r="C4" s="46" t="s">
        <v>29</v>
      </c>
    </row>
    <row r="5" spans="2:3" ht="18" customHeight="1">
      <c r="B5" s="45"/>
      <c r="C5" s="46"/>
    </row>
    <row r="6" spans="2:3" ht="30" customHeight="1">
      <c r="B6" s="45" t="s">
        <v>30</v>
      </c>
      <c r="C6" s="46" t="s">
        <v>479</v>
      </c>
    </row>
    <row r="7" spans="2:3" ht="30" customHeight="1">
      <c r="B7" s="45" t="s">
        <v>31</v>
      </c>
      <c r="C7" s="46" t="s">
        <v>105</v>
      </c>
    </row>
    <row r="8" spans="2:3" ht="18" customHeight="1">
      <c r="B8" s="45"/>
      <c r="C8" s="46"/>
    </row>
    <row r="9" spans="2:3" s="27" customFormat="1" ht="18" customHeight="1">
      <c r="B9" s="45" t="s">
        <v>106</v>
      </c>
      <c r="C9" s="46" t="s">
        <v>104</v>
      </c>
    </row>
    <row r="10" spans="2:3" ht="30" customHeight="1">
      <c r="B10" s="45" t="s">
        <v>107</v>
      </c>
      <c r="C10" s="46" t="s">
        <v>108</v>
      </c>
    </row>
    <row r="11" spans="2:3" ht="30" customHeight="1">
      <c r="B11" s="45" t="s">
        <v>109</v>
      </c>
      <c r="C11" s="46" t="s">
        <v>480</v>
      </c>
    </row>
    <row r="12" spans="2:3" ht="30" customHeight="1">
      <c r="B12" s="45" t="s">
        <v>110</v>
      </c>
      <c r="C12" s="46" t="s">
        <v>111</v>
      </c>
    </row>
    <row r="13" spans="2:3" ht="30" customHeight="1">
      <c r="B13" s="45" t="s">
        <v>112</v>
      </c>
      <c r="C13" s="46" t="s">
        <v>481</v>
      </c>
    </row>
    <row r="14" spans="2:3" ht="18" customHeight="1">
      <c r="B14" s="45" t="s">
        <v>113</v>
      </c>
      <c r="C14" s="46" t="s">
        <v>482</v>
      </c>
    </row>
    <row r="15" spans="2:3" ht="18" customHeight="1">
      <c r="B15" s="45"/>
      <c r="C15" s="46"/>
    </row>
    <row r="16" spans="2:3" ht="18" customHeight="1">
      <c r="B16" s="45" t="s">
        <v>32</v>
      </c>
      <c r="C16" s="46" t="s">
        <v>114</v>
      </c>
    </row>
    <row r="17" spans="2:3" ht="30" customHeight="1">
      <c r="B17" s="45" t="s">
        <v>33</v>
      </c>
      <c r="C17" s="46" t="s">
        <v>115</v>
      </c>
    </row>
    <row r="18" spans="2:3" ht="18" customHeight="1">
      <c r="B18" s="45" t="s">
        <v>34</v>
      </c>
      <c r="C18" s="46" t="s">
        <v>35</v>
      </c>
    </row>
    <row r="19" spans="2:3" ht="18" customHeight="1">
      <c r="B19" s="45" t="s">
        <v>36</v>
      </c>
      <c r="C19" s="46" t="s">
        <v>116</v>
      </c>
    </row>
    <row r="20" spans="2:3" ht="18" customHeight="1">
      <c r="B20" s="45" t="s">
        <v>37</v>
      </c>
      <c r="C20" s="46" t="s">
        <v>38</v>
      </c>
    </row>
    <row r="21" spans="2:3" ht="30" customHeight="1">
      <c r="B21" s="45" t="s">
        <v>39</v>
      </c>
      <c r="C21" s="46" t="s">
        <v>117</v>
      </c>
    </row>
    <row r="22" spans="2:3" ht="18" customHeight="1">
      <c r="B22" s="45"/>
      <c r="C22" s="46"/>
    </row>
    <row r="23" spans="2:3" ht="30" customHeight="1">
      <c r="B23" s="45" t="s">
        <v>40</v>
      </c>
      <c r="C23" s="46" t="s">
        <v>41</v>
      </c>
    </row>
    <row r="25" spans="2:3" ht="32" customHeight="1">
      <c r="B25" s="54" t="s">
        <v>483</v>
      </c>
      <c r="C25" s="55" t="s">
        <v>484</v>
      </c>
    </row>
    <row r="26" spans="2:3" ht="32" customHeight="1">
      <c r="B26" s="56" t="s">
        <v>485</v>
      </c>
      <c r="C26" s="53">
        <f>SUM(COUNTIFS('4℃飯'!$D$5:$D$302,"&lt;&gt;",'4℃飯'!$A$5:$A$302,""),COUNTIFS('4℃麵'!$D$5:$D$305,"&lt;&gt;",'4℃麵'!$A$5:$A$305,""),COUNTIFS('4℃其他'!$D$5:$D$302,"&lt;&gt;",'4℃其他'!$A$5:$A$302,""))</f>
        <v>0</v>
      </c>
    </row>
    <row r="27" spans="2:3" ht="32" customHeight="1">
      <c r="B27" s="56" t="s">
        <v>486</v>
      </c>
      <c r="C27" s="53">
        <f>SUM(COUNTIFS('18℃'!$C$5:$C$304,"&lt;&gt;",'18℃'!$D$5:$D$304,""),COUNTIFS('4℃飯'!$D$5:$D$302,"&lt;&gt;",'4℃飯'!$E$5:$E$302,""),COUNTIFS('4℃麵'!$D$5:$D$305,"&lt;&gt;",'4℃麵'!$E$5:$E$305,""),COUNTIFS('4℃其他'!$D$5:$D$302,"&lt;&gt;",'4℃其他'!$E$5:$E$302,""),COUNTIFS(冷凍品!$C$5:$C$304,"&lt;&gt;",冷凍品!$D$5:$D$304,""))</f>
        <v>0</v>
      </c>
    </row>
    <row r="28" spans="2:3" ht="32" customHeight="1">
      <c r="B28" s="56" t="s">
        <v>487</v>
      </c>
      <c r="C28" s="53">
        <f>SUM(COUNTIF('18℃'!$U$5:$U$304,"⚠ 資料缺漏"),COUNTIF('4℃飯'!$V$5:$V$302,"⚠ 資料缺漏"),COUNTIF('4℃麵'!$V$5:$V$305,"⚠ 資料缺漏"),COUNTIF('4℃其他'!$V$5:$V$302,"⚠ 資料缺漏"),COUNTIF(冷凍品!$U$5:$U$304,"⚠ 資料缺漏"))</f>
        <v>0</v>
      </c>
    </row>
    <row r="29" spans="2:3" ht="32" customHeight="1">
      <c r="B29" s="56" t="s">
        <v>488</v>
      </c>
      <c r="C29" s="53">
        <f>SUM(COUNTIF('18℃'!$U$5:$U$304,"⚠ 勾選矛盾"),COUNTIF('4℃飯'!$V$5:$V$302,"⚠ 勾選矛盾"),COUNTIF('4℃麵'!$V$5:$V$305,"⚠ 勾選矛盾"),COUNTIF('4℃其他'!$V$5:$V$302,"⚠ 勾選矛盾"),COUNTIF(冷凍品!$U$5:$U$304,"⚠ 勾選矛盾"))</f>
        <v>0</v>
      </c>
    </row>
    <row r="30" spans="2:3" ht="32" customHeight="1">
      <c r="B30" s="56" t="s">
        <v>489</v>
      </c>
      <c r="C30" s="53">
        <f>SUM(COUNTIFS('18℃'!$D$5:$D$304,"&lt;&gt;",'18℃'!$X$5:$X$304,""),COUNTIFS('4℃飯'!$E$5:$E$302,"&lt;&gt;",'4℃飯'!$Y$5:$Y$302,""),COUNTIFS('4℃麵'!$E$5:$E$305,"&lt;&gt;",'4℃麵'!$Y$5:$Y$305,""),COUNTIFS('4℃其他'!$E$5:$E$302,"&lt;&gt;",'4℃其他'!$Y$5:$Y$302,""),COUNTIFS(冷凍品!$D$5:$D$304,"&lt;&gt;",冷凍品!$X$5:$X$304,""))</f>
        <v>0</v>
      </c>
    </row>
    <row r="31" spans="2:3" ht="32" customHeight="1">
      <c r="B31" s="56" t="s">
        <v>490</v>
      </c>
      <c r="C31" s="53">
        <f>SUM(COUNTIFS('18℃'!$D$5:$D$304,"&lt;&gt;",'18℃'!$A$5:$A$304,"&lt;&gt;新豐"),COUNTIFS('4℃飯'!$E$5:$E$302,"&lt;&gt;",'4℃飯'!$B$5:$B$302,"&lt;&gt;新豐"),COUNTIFS('4℃麵'!$E$5:$E$305,"&lt;&gt;",'4℃麵'!$B$5:$B$305,"&lt;&gt;新豐"),COUNTIFS('4℃其他'!$E$5:$E$302,"&lt;&gt;",'4℃其他'!$B$5:$B$302,"&lt;&gt;新豐"),COUNTIFS(冷凍品!$D$5:$D$304,"&lt;&gt;",冷凍品!$A$5:$A$304,"&lt;&gt;新豐"))</f>
        <v>0</v>
      </c>
    </row>
    <row r="32" spans="2:3" ht="32" customHeight="1">
      <c r="B32" s="56" t="s">
        <v>491</v>
      </c>
      <c r="C32" s="53">
        <f>SUM(COUNTIFS('18℃'!$D$5:$D$304,"&lt;&gt;",'18℃'!$E$5:$E$304,"&lt;&gt;",'18℃'!$F$5:$F$304,""),COUNTIFS('4℃飯'!$E$5:$E$302,"&lt;&gt;",'4℃飯'!$F$5:$F$302,"&lt;&gt;",'4℃飯'!$G$5:$G$302,""),COUNTIFS('4℃麵'!$E$5:$E$305,"&lt;&gt;",'4℃麵'!$F$5:$F$305,"&lt;&gt;",'4℃麵'!$G$5:$G$305,""),COUNTIFS('4℃其他'!$E$5:$E$302,"&lt;&gt;",'4℃其他'!$F$5:$F$302,"&lt;&gt;",'4℃其他'!$G$5:$G$302,""),COUNTIFS(冷凍品!$D$5:$D$304,"&lt;&gt;",冷凍品!$E$5:$E$304,"&lt;&gt;",冷凍品!$F$5:$F$304,""))</f>
        <v>0</v>
      </c>
    </row>
    <row r="34" spans="2:3" ht="32" customHeight="1">
      <c r="B34" s="56" t="s">
        <v>492</v>
      </c>
      <c r="C34" s="57" t="s">
        <v>493</v>
      </c>
    </row>
    <row r="35" spans="2:3" ht="32" customHeight="1">
      <c r="B35" s="56" t="s">
        <v>494</v>
      </c>
      <c r="C35" s="57" t="s">
        <v>495</v>
      </c>
    </row>
    <row r="36" spans="2:3" ht="32" customHeight="1">
      <c r="B36" s="56" t="s">
        <v>496</v>
      </c>
      <c r="C36" s="57" t="s">
        <v>497</v>
      </c>
    </row>
    <row r="37" spans="2:3" ht="32" customHeight="1">
      <c r="B37" s="56" t="s">
        <v>498</v>
      </c>
      <c r="C37" s="57" t="s">
        <v>499</v>
      </c>
    </row>
    <row r="38" spans="2:3" ht="32" customHeight="1">
      <c r="B38" s="56" t="s">
        <v>500</v>
      </c>
      <c r="C38" s="57" t="s">
        <v>501</v>
      </c>
    </row>
  </sheetData>
  <phoneticPr fontId="27" type="noConversion"/>
  <conditionalFormatting sqref="C26:C32">
    <cfRule type="cellIs" dxfId="122" priority="1" stopIfTrue="1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77B4"/>
  </sheetPr>
  <dimension ref="A1:Z304"/>
  <sheetViews>
    <sheetView showGridLines="0" zoomScaleNormal="100" workbookViewId="0">
      <pane xSplit="4" ySplit="4" topLeftCell="E5" activePane="bottomRight" state="frozen"/>
      <selection pane="topRight"/>
      <selection pane="bottomLeft"/>
      <selection pane="bottomRight" activeCell="E5" sqref="E5"/>
    </sheetView>
  </sheetViews>
  <sheetFormatPr defaultColWidth="8.7265625" defaultRowHeight="14.5"/>
  <cols>
    <col min="1" max="1" width="9" customWidth="1"/>
    <col min="2" max="2" width="12" customWidth="1"/>
    <col min="3" max="3" width="22" customWidth="1"/>
    <col min="4" max="4" width="26" customWidth="1"/>
    <col min="5" max="6" width="8" customWidth="1"/>
    <col min="7" max="7" width="9" customWidth="1"/>
    <col min="8" max="18" width="7" customWidth="1"/>
    <col min="19" max="19" width="9" customWidth="1"/>
    <col min="20" max="20" width="7" customWidth="1"/>
    <col min="21" max="21" width="13" customWidth="1"/>
    <col min="22" max="22" width="30" customWidth="1"/>
    <col min="23" max="23" width="20" customWidth="1"/>
    <col min="24" max="24" width="12" customWidth="1"/>
    <col min="25" max="26" width="13" hidden="1" customWidth="1"/>
  </cols>
  <sheetData>
    <row r="1" spans="1:26" ht="30" customHeight="1">
      <c r="A1" s="51" t="s">
        <v>42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</row>
    <row r="2" spans="1:26" ht="19.5" customHeight="1">
      <c r="A2" s="79" t="s">
        <v>43</v>
      </c>
      <c r="B2" s="79"/>
      <c r="C2" s="79"/>
      <c r="D2" s="79"/>
      <c r="E2" s="79"/>
      <c r="F2" s="79"/>
      <c r="G2" s="79"/>
      <c r="H2" s="79" t="s">
        <v>44</v>
      </c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 t="s">
        <v>45</v>
      </c>
      <c r="U2" s="79"/>
      <c r="V2" s="79"/>
      <c r="W2" s="79" t="s">
        <v>46</v>
      </c>
      <c r="X2" s="79"/>
    </row>
    <row r="3" spans="1:26" ht="24" customHeight="1">
      <c r="A3" s="76" t="s">
        <v>47</v>
      </c>
      <c r="B3" s="76" t="s">
        <v>48</v>
      </c>
      <c r="C3" s="76" t="s">
        <v>49</v>
      </c>
      <c r="D3" s="76" t="s">
        <v>50</v>
      </c>
      <c r="E3" s="80" t="s">
        <v>51</v>
      </c>
      <c r="F3" s="80"/>
      <c r="G3" s="76" t="s">
        <v>52</v>
      </c>
      <c r="H3" s="77" t="s">
        <v>53</v>
      </c>
      <c r="I3" s="77" t="s">
        <v>54</v>
      </c>
      <c r="J3" s="77" t="s">
        <v>55</v>
      </c>
      <c r="K3" s="77" t="s">
        <v>56</v>
      </c>
      <c r="L3" s="77" t="s">
        <v>57</v>
      </c>
      <c r="M3" s="77" t="s">
        <v>58</v>
      </c>
      <c r="N3" s="77" t="s">
        <v>59</v>
      </c>
      <c r="O3" s="77" t="s">
        <v>60</v>
      </c>
      <c r="P3" s="77" t="s">
        <v>61</v>
      </c>
      <c r="Q3" s="77" t="s">
        <v>62</v>
      </c>
      <c r="R3" s="77" t="s">
        <v>63</v>
      </c>
      <c r="S3" s="78" t="s">
        <v>64</v>
      </c>
      <c r="T3" s="76" t="s">
        <v>65</v>
      </c>
      <c r="U3" s="76" t="s">
        <v>66</v>
      </c>
      <c r="V3" s="76" t="s">
        <v>67</v>
      </c>
      <c r="W3" s="76" t="s">
        <v>68</v>
      </c>
      <c r="X3" s="76" t="s">
        <v>69</v>
      </c>
      <c r="Y3" s="20" t="s">
        <v>70</v>
      </c>
      <c r="Z3" s="20" t="s">
        <v>71</v>
      </c>
    </row>
    <row r="4" spans="1:26" ht="18" customHeight="1">
      <c r="A4" s="76"/>
      <c r="B4" s="76"/>
      <c r="C4" s="76"/>
      <c r="D4" s="76"/>
      <c r="E4" s="21" t="s">
        <v>72</v>
      </c>
      <c r="F4" s="21" t="s">
        <v>73</v>
      </c>
      <c r="G4" s="76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8"/>
      <c r="T4" s="76"/>
      <c r="U4" s="76"/>
      <c r="V4" s="76"/>
      <c r="W4" s="76"/>
      <c r="X4" s="76"/>
    </row>
    <row r="5" spans="1:26">
      <c r="A5" s="22"/>
      <c r="B5" s="22"/>
      <c r="C5" s="22"/>
      <c r="D5" s="22"/>
      <c r="E5" s="23"/>
      <c r="F5" s="23"/>
      <c r="G5" s="24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6"/>
      <c r="T5" s="23" t="str">
        <f t="shared" ref="T5:T68" si="0">IF($D5="","",COUNTIF($H5:$R5,"V"))</f>
        <v/>
      </c>
      <c r="U5" s="22" t="str">
        <f t="shared" ref="U5:U68" si="1">IF($D5="","",IF(AND($S5="V",$T5&gt;0),"⚠ 勾選矛盾",IF($S5="V","○ 免調理",IF($T5=0,"⚠ 資料缺漏",IF($T5=1,"▲ 單一設備依賴","OK")))))</f>
        <v/>
      </c>
      <c r="V5" s="18" t="str">
        <f t="shared" ref="V5:V68" si="2">IF($D5="","",IF(AND($S5="V",$T5&gt;0),"「無使用調理設備」不可與設備欄同時勾選，請擇一修正",IF($S5="V","免調理半成品（外購/僅切配等），不列入設備風險評估",IF($T5=0,"未勾選任何設備，請補填或勾選「無使用調理設備」",IF($T5=1,"僅依賴1台設備，須確認故障/排修時之備援製程","無異常")))))</f>
        <v/>
      </c>
      <c r="W5" s="22"/>
      <c r="X5" s="28"/>
      <c r="Y5" s="27">
        <f>IF($C5="",0,IF(COUNTIF($C$5:$C5,$C5)=1,1,0))</f>
        <v>0</v>
      </c>
      <c r="Z5" t="str">
        <f>IF(Y5=1,SUM($Y$5:$Y5),"")</f>
        <v/>
      </c>
    </row>
    <row r="6" spans="1:26">
      <c r="A6" s="22"/>
      <c r="B6" s="22"/>
      <c r="C6" s="22"/>
      <c r="D6" s="22"/>
      <c r="E6" s="23"/>
      <c r="F6" s="23"/>
      <c r="G6" s="24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6"/>
      <c r="T6" s="23" t="str">
        <f t="shared" si="0"/>
        <v/>
      </c>
      <c r="U6" s="22" t="str">
        <f t="shared" si="1"/>
        <v/>
      </c>
      <c r="V6" s="18" t="str">
        <f t="shared" si="2"/>
        <v/>
      </c>
      <c r="W6" s="22"/>
      <c r="X6" s="28"/>
      <c r="Y6" s="27">
        <f>IF($C6="",0,IF(COUNTIF($C$5:$C6,$C6)=1,1,0))</f>
        <v>0</v>
      </c>
      <c r="Z6" t="str">
        <f>IF(Y6=1,SUM($Y$5:$Y6),"")</f>
        <v/>
      </c>
    </row>
    <row r="7" spans="1:26">
      <c r="A7" s="22"/>
      <c r="B7" s="22"/>
      <c r="C7" s="22"/>
      <c r="D7" s="22"/>
      <c r="E7" s="23"/>
      <c r="F7" s="23"/>
      <c r="G7" s="24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6"/>
      <c r="T7" s="23" t="str">
        <f t="shared" si="0"/>
        <v/>
      </c>
      <c r="U7" s="22" t="str">
        <f t="shared" si="1"/>
        <v/>
      </c>
      <c r="V7" s="18" t="str">
        <f t="shared" si="2"/>
        <v/>
      </c>
      <c r="W7" s="22"/>
      <c r="X7" s="22"/>
      <c r="Y7" s="27">
        <f>IF($C7="",0,IF(COUNTIF($C$5:$C7,$C7)=1,1,0))</f>
        <v>0</v>
      </c>
      <c r="Z7" t="str">
        <f>IF(Y7=1,SUM($Y$5:$Y7),"")</f>
        <v/>
      </c>
    </row>
    <row r="8" spans="1:26">
      <c r="A8" s="22"/>
      <c r="B8" s="22"/>
      <c r="C8" s="22"/>
      <c r="D8" s="22"/>
      <c r="E8" s="23"/>
      <c r="F8" s="23"/>
      <c r="G8" s="24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6"/>
      <c r="T8" s="23" t="str">
        <f t="shared" si="0"/>
        <v/>
      </c>
      <c r="U8" s="22" t="str">
        <f t="shared" si="1"/>
        <v/>
      </c>
      <c r="V8" s="18" t="str">
        <f t="shared" si="2"/>
        <v/>
      </c>
      <c r="W8" s="22"/>
      <c r="X8" s="22"/>
      <c r="Y8" s="27">
        <f>IF($C8="",0,IF(COUNTIF($C$5:$C8,$C8)=1,1,0))</f>
        <v>0</v>
      </c>
      <c r="Z8" t="str">
        <f>IF(Y8=1,SUM($Y$5:$Y8),"")</f>
        <v/>
      </c>
    </row>
    <row r="9" spans="1:26">
      <c r="A9" s="22"/>
      <c r="B9" s="22"/>
      <c r="C9" s="22"/>
      <c r="D9" s="22"/>
      <c r="E9" s="23"/>
      <c r="F9" s="23"/>
      <c r="G9" s="24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6"/>
      <c r="T9" s="23" t="str">
        <f t="shared" si="0"/>
        <v/>
      </c>
      <c r="U9" s="22" t="str">
        <f t="shared" si="1"/>
        <v/>
      </c>
      <c r="V9" s="18" t="str">
        <f t="shared" si="2"/>
        <v/>
      </c>
      <c r="W9" s="22"/>
      <c r="X9" s="22"/>
      <c r="Y9" s="27">
        <f>IF($C9="",0,IF(COUNTIF($C$5:$C9,$C9)=1,1,0))</f>
        <v>0</v>
      </c>
      <c r="Z9" t="str">
        <f>IF(Y9=1,SUM($Y$5:$Y9),"")</f>
        <v/>
      </c>
    </row>
    <row r="10" spans="1:26">
      <c r="A10" s="22"/>
      <c r="B10" s="22"/>
      <c r="C10" s="22"/>
      <c r="D10" s="22"/>
      <c r="E10" s="23"/>
      <c r="F10" s="23"/>
      <c r="G10" s="24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6"/>
      <c r="T10" s="23" t="str">
        <f t="shared" si="0"/>
        <v/>
      </c>
      <c r="U10" s="22" t="str">
        <f t="shared" si="1"/>
        <v/>
      </c>
      <c r="V10" s="18" t="str">
        <f t="shared" si="2"/>
        <v/>
      </c>
      <c r="W10" s="22"/>
      <c r="X10" s="22"/>
      <c r="Y10" s="27">
        <f>IF($C10="",0,IF(COUNTIF($C$5:$C10,$C10)=1,1,0))</f>
        <v>0</v>
      </c>
      <c r="Z10" t="str">
        <f>IF(Y10=1,SUM($Y$5:$Y10),"")</f>
        <v/>
      </c>
    </row>
    <row r="11" spans="1:26">
      <c r="A11" s="22"/>
      <c r="B11" s="22"/>
      <c r="C11" s="22"/>
      <c r="D11" s="22"/>
      <c r="E11" s="23"/>
      <c r="F11" s="23"/>
      <c r="G11" s="24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6"/>
      <c r="T11" s="23" t="str">
        <f t="shared" si="0"/>
        <v/>
      </c>
      <c r="U11" s="22" t="str">
        <f t="shared" si="1"/>
        <v/>
      </c>
      <c r="V11" s="18" t="str">
        <f t="shared" si="2"/>
        <v/>
      </c>
      <c r="W11" s="22"/>
      <c r="X11" s="22"/>
      <c r="Y11" s="27">
        <f>IF($C11="",0,IF(COUNTIF($C$5:$C11,$C11)=1,1,0))</f>
        <v>0</v>
      </c>
      <c r="Z11" t="str">
        <f>IF(Y11=1,SUM($Y$5:$Y11),"")</f>
        <v/>
      </c>
    </row>
    <row r="12" spans="1:26">
      <c r="A12" s="22"/>
      <c r="B12" s="22"/>
      <c r="C12" s="22"/>
      <c r="D12" s="22"/>
      <c r="E12" s="23"/>
      <c r="F12" s="23"/>
      <c r="G12" s="24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6"/>
      <c r="T12" s="23" t="str">
        <f t="shared" si="0"/>
        <v/>
      </c>
      <c r="U12" s="22" t="str">
        <f t="shared" si="1"/>
        <v/>
      </c>
      <c r="V12" s="18" t="str">
        <f t="shared" si="2"/>
        <v/>
      </c>
      <c r="W12" s="22"/>
      <c r="X12" s="22"/>
      <c r="Y12" s="27">
        <f>IF($C12="",0,IF(COUNTIF($C$5:$C12,$C12)=1,1,0))</f>
        <v>0</v>
      </c>
      <c r="Z12" t="str">
        <f>IF(Y12=1,SUM($Y$5:$Y12),"")</f>
        <v/>
      </c>
    </row>
    <row r="13" spans="1:26">
      <c r="A13" s="22"/>
      <c r="B13" s="22"/>
      <c r="C13" s="22"/>
      <c r="D13" s="22"/>
      <c r="E13" s="23"/>
      <c r="F13" s="23"/>
      <c r="G13" s="24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6"/>
      <c r="T13" s="23" t="str">
        <f t="shared" si="0"/>
        <v/>
      </c>
      <c r="U13" s="22" t="str">
        <f t="shared" si="1"/>
        <v/>
      </c>
      <c r="V13" s="18" t="str">
        <f t="shared" si="2"/>
        <v/>
      </c>
      <c r="W13" s="22"/>
      <c r="X13" s="22"/>
      <c r="Y13" s="27">
        <f>IF($C13="",0,IF(COUNTIF($C$5:$C13,$C13)=1,1,0))</f>
        <v>0</v>
      </c>
      <c r="Z13" t="str">
        <f>IF(Y13=1,SUM($Y$5:$Y13),"")</f>
        <v/>
      </c>
    </row>
    <row r="14" spans="1:26">
      <c r="A14" s="22"/>
      <c r="B14" s="22"/>
      <c r="C14" s="22"/>
      <c r="D14" s="22"/>
      <c r="E14" s="23"/>
      <c r="F14" s="23"/>
      <c r="G14" s="24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6"/>
      <c r="T14" s="23" t="str">
        <f t="shared" si="0"/>
        <v/>
      </c>
      <c r="U14" s="22" t="str">
        <f t="shared" si="1"/>
        <v/>
      </c>
      <c r="V14" s="18" t="str">
        <f t="shared" si="2"/>
        <v/>
      </c>
      <c r="W14" s="22"/>
      <c r="X14" s="22"/>
      <c r="Y14" s="27">
        <f>IF($C14="",0,IF(COUNTIF($C$5:$C14,$C14)=1,1,0))</f>
        <v>0</v>
      </c>
      <c r="Z14" t="str">
        <f>IF(Y14=1,SUM($Y$5:$Y14),"")</f>
        <v/>
      </c>
    </row>
    <row r="15" spans="1:26">
      <c r="A15" s="22"/>
      <c r="B15" s="22"/>
      <c r="C15" s="22"/>
      <c r="D15" s="22"/>
      <c r="E15" s="23"/>
      <c r="F15" s="23"/>
      <c r="G15" s="24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6"/>
      <c r="T15" s="23" t="str">
        <f t="shared" si="0"/>
        <v/>
      </c>
      <c r="U15" s="22" t="str">
        <f t="shared" si="1"/>
        <v/>
      </c>
      <c r="V15" s="18" t="str">
        <f t="shared" si="2"/>
        <v/>
      </c>
      <c r="W15" s="22"/>
      <c r="X15" s="22"/>
      <c r="Y15" s="27">
        <f>IF($C15="",0,IF(COUNTIF($C$5:$C15,$C15)=1,1,0))</f>
        <v>0</v>
      </c>
      <c r="Z15" t="str">
        <f>IF(Y15=1,SUM($Y$5:$Y15),"")</f>
        <v/>
      </c>
    </row>
    <row r="16" spans="1:26">
      <c r="A16" s="22"/>
      <c r="B16" s="22"/>
      <c r="C16" s="22"/>
      <c r="D16" s="22"/>
      <c r="E16" s="23"/>
      <c r="F16" s="23"/>
      <c r="G16" s="24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6"/>
      <c r="T16" s="23" t="str">
        <f t="shared" si="0"/>
        <v/>
      </c>
      <c r="U16" s="22" t="str">
        <f t="shared" si="1"/>
        <v/>
      </c>
      <c r="V16" s="18" t="str">
        <f t="shared" si="2"/>
        <v/>
      </c>
      <c r="W16" s="22"/>
      <c r="X16" s="22"/>
      <c r="Y16" s="27">
        <f>IF($C16="",0,IF(COUNTIF($C$5:$C16,$C16)=1,1,0))</f>
        <v>0</v>
      </c>
      <c r="Z16" t="str">
        <f>IF(Y16=1,SUM($Y$5:$Y16),"")</f>
        <v/>
      </c>
    </row>
    <row r="17" spans="1:26">
      <c r="A17" s="22"/>
      <c r="B17" s="22"/>
      <c r="C17" s="22"/>
      <c r="D17" s="22"/>
      <c r="E17" s="23"/>
      <c r="F17" s="23"/>
      <c r="G17" s="24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6"/>
      <c r="T17" s="23" t="str">
        <f t="shared" si="0"/>
        <v/>
      </c>
      <c r="U17" s="22" t="str">
        <f t="shared" si="1"/>
        <v/>
      </c>
      <c r="V17" s="18" t="str">
        <f t="shared" si="2"/>
        <v/>
      </c>
      <c r="W17" s="22"/>
      <c r="X17" s="22"/>
      <c r="Y17" s="27">
        <f>IF($C17="",0,IF(COUNTIF($C$5:$C17,$C17)=1,1,0))</f>
        <v>0</v>
      </c>
      <c r="Z17" t="str">
        <f>IF(Y17=1,SUM($Y$5:$Y17),"")</f>
        <v/>
      </c>
    </row>
    <row r="18" spans="1:26">
      <c r="A18" s="22"/>
      <c r="B18" s="22"/>
      <c r="C18" s="22"/>
      <c r="D18" s="22"/>
      <c r="E18" s="23"/>
      <c r="F18" s="23"/>
      <c r="G18" s="24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6"/>
      <c r="T18" s="23" t="str">
        <f t="shared" si="0"/>
        <v/>
      </c>
      <c r="U18" s="22" t="str">
        <f t="shared" si="1"/>
        <v/>
      </c>
      <c r="V18" s="18" t="str">
        <f t="shared" si="2"/>
        <v/>
      </c>
      <c r="W18" s="22"/>
      <c r="X18" s="22"/>
      <c r="Y18" s="27">
        <f>IF($C18="",0,IF(COUNTIF($C$5:$C18,$C18)=1,1,0))</f>
        <v>0</v>
      </c>
      <c r="Z18" t="str">
        <f>IF(Y18=1,SUM($Y$5:$Y18),"")</f>
        <v/>
      </c>
    </row>
    <row r="19" spans="1:26">
      <c r="A19" s="22"/>
      <c r="B19" s="22"/>
      <c r="C19" s="22"/>
      <c r="D19" s="22"/>
      <c r="E19" s="23"/>
      <c r="F19" s="23"/>
      <c r="G19" s="24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6"/>
      <c r="T19" s="23" t="str">
        <f t="shared" si="0"/>
        <v/>
      </c>
      <c r="U19" s="22" t="str">
        <f t="shared" si="1"/>
        <v/>
      </c>
      <c r="V19" s="18" t="str">
        <f t="shared" si="2"/>
        <v/>
      </c>
      <c r="W19" s="22"/>
      <c r="X19" s="22"/>
      <c r="Y19" s="27">
        <f>IF($C19="",0,IF(COUNTIF($C$5:$C19,$C19)=1,1,0))</f>
        <v>0</v>
      </c>
      <c r="Z19" t="str">
        <f>IF(Y19=1,SUM($Y$5:$Y19),"")</f>
        <v/>
      </c>
    </row>
    <row r="20" spans="1:26">
      <c r="A20" s="22"/>
      <c r="B20" s="22"/>
      <c r="C20" s="22"/>
      <c r="D20" s="22"/>
      <c r="E20" s="23"/>
      <c r="F20" s="23"/>
      <c r="G20" s="24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6"/>
      <c r="T20" s="23" t="str">
        <f t="shared" si="0"/>
        <v/>
      </c>
      <c r="U20" s="22" t="str">
        <f t="shared" si="1"/>
        <v/>
      </c>
      <c r="V20" s="18" t="str">
        <f t="shared" si="2"/>
        <v/>
      </c>
      <c r="W20" s="22"/>
      <c r="X20" s="22"/>
      <c r="Y20" s="27">
        <f>IF($C20="",0,IF(COUNTIF($C$5:$C20,$C20)=1,1,0))</f>
        <v>0</v>
      </c>
      <c r="Z20" t="str">
        <f>IF(Y20=1,SUM($Y$5:$Y20),"")</f>
        <v/>
      </c>
    </row>
    <row r="21" spans="1:26">
      <c r="A21" s="22"/>
      <c r="B21" s="22"/>
      <c r="C21" s="22"/>
      <c r="D21" s="22"/>
      <c r="E21" s="23"/>
      <c r="F21" s="23"/>
      <c r="G21" s="24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6"/>
      <c r="T21" s="23" t="str">
        <f t="shared" si="0"/>
        <v/>
      </c>
      <c r="U21" s="22" t="str">
        <f t="shared" si="1"/>
        <v/>
      </c>
      <c r="V21" s="18" t="str">
        <f t="shared" si="2"/>
        <v/>
      </c>
      <c r="W21" s="22"/>
      <c r="X21" s="22"/>
      <c r="Y21" s="27">
        <f>IF($C21="",0,IF(COUNTIF($C$5:$C21,$C21)=1,1,0))</f>
        <v>0</v>
      </c>
      <c r="Z21" t="str">
        <f>IF(Y21=1,SUM($Y$5:$Y21),"")</f>
        <v/>
      </c>
    </row>
    <row r="22" spans="1:26">
      <c r="A22" s="22"/>
      <c r="B22" s="22"/>
      <c r="C22" s="22"/>
      <c r="D22" s="22"/>
      <c r="E22" s="23"/>
      <c r="F22" s="23"/>
      <c r="G22" s="24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6"/>
      <c r="T22" s="23" t="str">
        <f t="shared" si="0"/>
        <v/>
      </c>
      <c r="U22" s="22" t="str">
        <f t="shared" si="1"/>
        <v/>
      </c>
      <c r="V22" s="18" t="str">
        <f t="shared" si="2"/>
        <v/>
      </c>
      <c r="W22" s="22"/>
      <c r="X22" s="22"/>
      <c r="Y22" s="27">
        <f>IF($C22="",0,IF(COUNTIF($C$5:$C22,$C22)=1,1,0))</f>
        <v>0</v>
      </c>
      <c r="Z22" t="str">
        <f>IF(Y22=1,SUM($Y$5:$Y22),"")</f>
        <v/>
      </c>
    </row>
    <row r="23" spans="1:26">
      <c r="A23" s="22"/>
      <c r="B23" s="22"/>
      <c r="C23" s="22"/>
      <c r="D23" s="22"/>
      <c r="E23" s="23"/>
      <c r="F23" s="23"/>
      <c r="G23" s="24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6"/>
      <c r="T23" s="23" t="str">
        <f t="shared" si="0"/>
        <v/>
      </c>
      <c r="U23" s="22" t="str">
        <f t="shared" si="1"/>
        <v/>
      </c>
      <c r="V23" s="18" t="str">
        <f t="shared" si="2"/>
        <v/>
      </c>
      <c r="W23" s="22"/>
      <c r="X23" s="22"/>
      <c r="Y23" s="27">
        <f>IF($C23="",0,IF(COUNTIF($C$5:$C23,$C23)=1,1,0))</f>
        <v>0</v>
      </c>
      <c r="Z23" t="str">
        <f>IF(Y23=1,SUM($Y$5:$Y23),"")</f>
        <v/>
      </c>
    </row>
    <row r="24" spans="1:26">
      <c r="A24" s="22"/>
      <c r="B24" s="22"/>
      <c r="C24" s="22"/>
      <c r="D24" s="22"/>
      <c r="E24" s="23"/>
      <c r="F24" s="23"/>
      <c r="G24" s="24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6"/>
      <c r="T24" s="23" t="str">
        <f t="shared" si="0"/>
        <v/>
      </c>
      <c r="U24" s="22" t="str">
        <f t="shared" si="1"/>
        <v/>
      </c>
      <c r="V24" s="18" t="str">
        <f t="shared" si="2"/>
        <v/>
      </c>
      <c r="W24" s="22"/>
      <c r="X24" s="22"/>
      <c r="Y24" s="27">
        <f>IF($C24="",0,IF(COUNTIF($C$5:$C24,$C24)=1,1,0))</f>
        <v>0</v>
      </c>
      <c r="Z24" t="str">
        <f>IF(Y24=1,SUM($Y$5:$Y24),"")</f>
        <v/>
      </c>
    </row>
    <row r="25" spans="1:26">
      <c r="A25" s="22"/>
      <c r="B25" s="22"/>
      <c r="C25" s="22"/>
      <c r="D25" s="22"/>
      <c r="E25" s="23"/>
      <c r="F25" s="23"/>
      <c r="G25" s="24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6"/>
      <c r="T25" s="23" t="str">
        <f t="shared" si="0"/>
        <v/>
      </c>
      <c r="U25" s="22" t="str">
        <f t="shared" si="1"/>
        <v/>
      </c>
      <c r="V25" s="18" t="str">
        <f t="shared" si="2"/>
        <v/>
      </c>
      <c r="W25" s="22"/>
      <c r="X25" s="22"/>
      <c r="Y25" s="27">
        <f>IF($C25="",0,IF(COUNTIF($C$5:$C25,$C25)=1,1,0))</f>
        <v>0</v>
      </c>
      <c r="Z25" t="str">
        <f>IF(Y25=1,SUM($Y$5:$Y25),"")</f>
        <v/>
      </c>
    </row>
    <row r="26" spans="1:26">
      <c r="A26" s="22"/>
      <c r="B26" s="22"/>
      <c r="C26" s="22"/>
      <c r="D26" s="22"/>
      <c r="E26" s="23"/>
      <c r="F26" s="23"/>
      <c r="G26" s="24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6"/>
      <c r="T26" s="23" t="str">
        <f t="shared" si="0"/>
        <v/>
      </c>
      <c r="U26" s="22" t="str">
        <f t="shared" si="1"/>
        <v/>
      </c>
      <c r="V26" s="18" t="str">
        <f t="shared" si="2"/>
        <v/>
      </c>
      <c r="W26" s="22"/>
      <c r="X26" s="22"/>
      <c r="Y26" s="27">
        <f>IF($C26="",0,IF(COUNTIF($C$5:$C26,$C26)=1,1,0))</f>
        <v>0</v>
      </c>
      <c r="Z26" t="str">
        <f>IF(Y26=1,SUM($Y$5:$Y26),"")</f>
        <v/>
      </c>
    </row>
    <row r="27" spans="1:26">
      <c r="A27" s="22"/>
      <c r="B27" s="22"/>
      <c r="C27" s="22"/>
      <c r="D27" s="22"/>
      <c r="E27" s="23"/>
      <c r="F27" s="23"/>
      <c r="G27" s="24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6"/>
      <c r="T27" s="23" t="str">
        <f t="shared" si="0"/>
        <v/>
      </c>
      <c r="U27" s="22" t="str">
        <f t="shared" si="1"/>
        <v/>
      </c>
      <c r="V27" s="18" t="str">
        <f t="shared" si="2"/>
        <v/>
      </c>
      <c r="W27" s="22"/>
      <c r="X27" s="22"/>
      <c r="Y27" s="27">
        <f>IF($C27="",0,IF(COUNTIF($C$5:$C27,$C27)=1,1,0))</f>
        <v>0</v>
      </c>
      <c r="Z27" t="str">
        <f>IF(Y27=1,SUM($Y$5:$Y27),"")</f>
        <v/>
      </c>
    </row>
    <row r="28" spans="1:26">
      <c r="A28" s="22"/>
      <c r="B28" s="22"/>
      <c r="C28" s="22"/>
      <c r="D28" s="22"/>
      <c r="E28" s="23"/>
      <c r="F28" s="23"/>
      <c r="G28" s="24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6"/>
      <c r="T28" s="23" t="str">
        <f t="shared" si="0"/>
        <v/>
      </c>
      <c r="U28" s="22" t="str">
        <f t="shared" si="1"/>
        <v/>
      </c>
      <c r="V28" s="18" t="str">
        <f t="shared" si="2"/>
        <v/>
      </c>
      <c r="W28" s="22"/>
      <c r="X28" s="22"/>
      <c r="Y28" s="27">
        <f>IF($C28="",0,IF(COUNTIF($C$5:$C28,$C28)=1,1,0))</f>
        <v>0</v>
      </c>
      <c r="Z28" t="str">
        <f>IF(Y28=1,SUM($Y$5:$Y28),"")</f>
        <v/>
      </c>
    </row>
    <row r="29" spans="1:26">
      <c r="A29" s="22"/>
      <c r="B29" s="22"/>
      <c r="C29" s="22"/>
      <c r="D29" s="22"/>
      <c r="E29" s="23"/>
      <c r="F29" s="23"/>
      <c r="G29" s="24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6"/>
      <c r="T29" s="23" t="str">
        <f t="shared" si="0"/>
        <v/>
      </c>
      <c r="U29" s="22" t="str">
        <f t="shared" si="1"/>
        <v/>
      </c>
      <c r="V29" s="18" t="str">
        <f t="shared" si="2"/>
        <v/>
      </c>
      <c r="W29" s="22"/>
      <c r="X29" s="22"/>
      <c r="Y29" s="27">
        <f>IF($C29="",0,IF(COUNTIF($C$5:$C29,$C29)=1,1,0))</f>
        <v>0</v>
      </c>
      <c r="Z29" t="str">
        <f>IF(Y29=1,SUM($Y$5:$Y29),"")</f>
        <v/>
      </c>
    </row>
    <row r="30" spans="1:26">
      <c r="A30" s="22"/>
      <c r="B30" s="22"/>
      <c r="C30" s="22"/>
      <c r="D30" s="22"/>
      <c r="E30" s="23"/>
      <c r="F30" s="23"/>
      <c r="G30" s="24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6"/>
      <c r="T30" s="23" t="str">
        <f t="shared" si="0"/>
        <v/>
      </c>
      <c r="U30" s="22" t="str">
        <f t="shared" si="1"/>
        <v/>
      </c>
      <c r="V30" s="18" t="str">
        <f t="shared" si="2"/>
        <v/>
      </c>
      <c r="W30" s="22"/>
      <c r="X30" s="22"/>
      <c r="Y30" s="27">
        <f>IF($C30="",0,IF(COUNTIF($C$5:$C30,$C30)=1,1,0))</f>
        <v>0</v>
      </c>
      <c r="Z30" t="str">
        <f>IF(Y30=1,SUM($Y$5:$Y30),"")</f>
        <v/>
      </c>
    </row>
    <row r="31" spans="1:26">
      <c r="A31" s="22"/>
      <c r="B31" s="22"/>
      <c r="C31" s="22"/>
      <c r="D31" s="22"/>
      <c r="E31" s="23"/>
      <c r="F31" s="23"/>
      <c r="G31" s="24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6"/>
      <c r="T31" s="23" t="str">
        <f t="shared" si="0"/>
        <v/>
      </c>
      <c r="U31" s="22" t="str">
        <f t="shared" si="1"/>
        <v/>
      </c>
      <c r="V31" s="18" t="str">
        <f t="shared" si="2"/>
        <v/>
      </c>
      <c r="W31" s="22"/>
      <c r="X31" s="22"/>
      <c r="Y31" s="27">
        <f>IF($C31="",0,IF(COUNTIF($C$5:$C31,$C31)=1,1,0))</f>
        <v>0</v>
      </c>
      <c r="Z31" t="str">
        <f>IF(Y31=1,SUM($Y$5:$Y31),"")</f>
        <v/>
      </c>
    </row>
    <row r="32" spans="1:26">
      <c r="A32" s="22"/>
      <c r="B32" s="22"/>
      <c r="C32" s="22"/>
      <c r="D32" s="22"/>
      <c r="E32" s="23"/>
      <c r="F32" s="23"/>
      <c r="G32" s="24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6"/>
      <c r="T32" s="23" t="str">
        <f t="shared" si="0"/>
        <v/>
      </c>
      <c r="U32" s="22" t="str">
        <f t="shared" si="1"/>
        <v/>
      </c>
      <c r="V32" s="18" t="str">
        <f t="shared" si="2"/>
        <v/>
      </c>
      <c r="W32" s="22"/>
      <c r="X32" s="22"/>
      <c r="Y32" s="27">
        <f>IF($C32="",0,IF(COUNTIF($C$5:$C32,$C32)=1,1,0))</f>
        <v>0</v>
      </c>
      <c r="Z32" t="str">
        <f>IF(Y32=1,SUM($Y$5:$Y32),"")</f>
        <v/>
      </c>
    </row>
    <row r="33" spans="1:26">
      <c r="A33" s="22"/>
      <c r="B33" s="22"/>
      <c r="C33" s="22"/>
      <c r="D33" s="22"/>
      <c r="E33" s="23"/>
      <c r="F33" s="23"/>
      <c r="G33" s="24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6"/>
      <c r="T33" s="23" t="str">
        <f t="shared" si="0"/>
        <v/>
      </c>
      <c r="U33" s="22" t="str">
        <f t="shared" si="1"/>
        <v/>
      </c>
      <c r="V33" s="18" t="str">
        <f t="shared" si="2"/>
        <v/>
      </c>
      <c r="W33" s="22"/>
      <c r="X33" s="22"/>
      <c r="Y33" s="27">
        <f>IF($C33="",0,IF(COUNTIF($C$5:$C33,$C33)=1,1,0))</f>
        <v>0</v>
      </c>
      <c r="Z33" t="str">
        <f>IF(Y33=1,SUM($Y$5:$Y33),"")</f>
        <v/>
      </c>
    </row>
    <row r="34" spans="1:26">
      <c r="A34" s="22"/>
      <c r="B34" s="22"/>
      <c r="C34" s="22"/>
      <c r="D34" s="22"/>
      <c r="E34" s="23"/>
      <c r="F34" s="23"/>
      <c r="G34" s="24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6"/>
      <c r="T34" s="23" t="str">
        <f t="shared" si="0"/>
        <v/>
      </c>
      <c r="U34" s="22" t="str">
        <f t="shared" si="1"/>
        <v/>
      </c>
      <c r="V34" s="18" t="str">
        <f t="shared" si="2"/>
        <v/>
      </c>
      <c r="W34" s="22"/>
      <c r="X34" s="22"/>
      <c r="Y34" s="27">
        <f>IF($C34="",0,IF(COUNTIF($C$5:$C34,$C34)=1,1,0))</f>
        <v>0</v>
      </c>
      <c r="Z34" t="str">
        <f>IF(Y34=1,SUM($Y$5:$Y34),"")</f>
        <v/>
      </c>
    </row>
    <row r="35" spans="1:26">
      <c r="A35" s="22"/>
      <c r="B35" s="22"/>
      <c r="C35" s="22"/>
      <c r="D35" s="22"/>
      <c r="E35" s="23"/>
      <c r="F35" s="23"/>
      <c r="G35" s="24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6"/>
      <c r="T35" s="23" t="str">
        <f t="shared" si="0"/>
        <v/>
      </c>
      <c r="U35" s="22" t="str">
        <f t="shared" si="1"/>
        <v/>
      </c>
      <c r="V35" s="18" t="str">
        <f t="shared" si="2"/>
        <v/>
      </c>
      <c r="W35" s="22"/>
      <c r="X35" s="22"/>
      <c r="Y35" s="27">
        <f>IF($C35="",0,IF(COUNTIF($C$5:$C35,$C35)=1,1,0))</f>
        <v>0</v>
      </c>
      <c r="Z35" t="str">
        <f>IF(Y35=1,SUM($Y$5:$Y35),"")</f>
        <v/>
      </c>
    </row>
    <row r="36" spans="1:26">
      <c r="A36" s="22"/>
      <c r="B36" s="22"/>
      <c r="C36" s="22"/>
      <c r="D36" s="22"/>
      <c r="E36" s="23"/>
      <c r="F36" s="23"/>
      <c r="G36" s="24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6"/>
      <c r="T36" s="23" t="str">
        <f t="shared" si="0"/>
        <v/>
      </c>
      <c r="U36" s="22" t="str">
        <f t="shared" si="1"/>
        <v/>
      </c>
      <c r="V36" s="18" t="str">
        <f t="shared" si="2"/>
        <v/>
      </c>
      <c r="W36" s="22"/>
      <c r="X36" s="22"/>
      <c r="Y36" s="27">
        <f>IF($C36="",0,IF(COUNTIF($C$5:$C36,$C36)=1,1,0))</f>
        <v>0</v>
      </c>
      <c r="Z36" t="str">
        <f>IF(Y36=1,SUM($Y$5:$Y36),"")</f>
        <v/>
      </c>
    </row>
    <row r="37" spans="1:26">
      <c r="A37" s="22"/>
      <c r="B37" s="22"/>
      <c r="C37" s="22"/>
      <c r="D37" s="22"/>
      <c r="E37" s="23"/>
      <c r="F37" s="23"/>
      <c r="G37" s="24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6"/>
      <c r="T37" s="23" t="str">
        <f t="shared" si="0"/>
        <v/>
      </c>
      <c r="U37" s="22" t="str">
        <f t="shared" si="1"/>
        <v/>
      </c>
      <c r="V37" s="18" t="str">
        <f t="shared" si="2"/>
        <v/>
      </c>
      <c r="W37" s="22"/>
      <c r="X37" s="22"/>
      <c r="Y37" s="27">
        <f>IF($C37="",0,IF(COUNTIF($C$5:$C37,$C37)=1,1,0))</f>
        <v>0</v>
      </c>
      <c r="Z37" t="str">
        <f>IF(Y37=1,SUM($Y$5:$Y37),"")</f>
        <v/>
      </c>
    </row>
    <row r="38" spans="1:26">
      <c r="A38" s="22"/>
      <c r="B38" s="22"/>
      <c r="C38" s="22"/>
      <c r="D38" s="22"/>
      <c r="E38" s="23"/>
      <c r="F38" s="23"/>
      <c r="G38" s="24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6"/>
      <c r="T38" s="23" t="str">
        <f t="shared" si="0"/>
        <v/>
      </c>
      <c r="U38" s="22" t="str">
        <f t="shared" si="1"/>
        <v/>
      </c>
      <c r="V38" s="18" t="str">
        <f t="shared" si="2"/>
        <v/>
      </c>
      <c r="W38" s="22"/>
      <c r="X38" s="22"/>
      <c r="Y38" s="27">
        <f>IF($C38="",0,IF(COUNTIF($C$5:$C38,$C38)=1,1,0))</f>
        <v>0</v>
      </c>
      <c r="Z38" t="str">
        <f>IF(Y38=1,SUM($Y$5:$Y38),"")</f>
        <v/>
      </c>
    </row>
    <row r="39" spans="1:26">
      <c r="A39" s="22"/>
      <c r="B39" s="22"/>
      <c r="C39" s="22"/>
      <c r="D39" s="22"/>
      <c r="E39" s="23"/>
      <c r="F39" s="23"/>
      <c r="G39" s="24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6"/>
      <c r="T39" s="23" t="str">
        <f t="shared" si="0"/>
        <v/>
      </c>
      <c r="U39" s="22" t="str">
        <f t="shared" si="1"/>
        <v/>
      </c>
      <c r="V39" s="18" t="str">
        <f t="shared" si="2"/>
        <v/>
      </c>
      <c r="W39" s="22"/>
      <c r="X39" s="22"/>
      <c r="Y39" s="27">
        <f>IF($C39="",0,IF(COUNTIF($C$5:$C39,$C39)=1,1,0))</f>
        <v>0</v>
      </c>
      <c r="Z39" t="str">
        <f>IF(Y39=1,SUM($Y$5:$Y39),"")</f>
        <v/>
      </c>
    </row>
    <row r="40" spans="1:26">
      <c r="A40" s="22"/>
      <c r="B40" s="22"/>
      <c r="C40" s="22"/>
      <c r="D40" s="22"/>
      <c r="E40" s="23"/>
      <c r="F40" s="23"/>
      <c r="G40" s="24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6"/>
      <c r="T40" s="23" t="str">
        <f t="shared" si="0"/>
        <v/>
      </c>
      <c r="U40" s="22" t="str">
        <f t="shared" si="1"/>
        <v/>
      </c>
      <c r="V40" s="18" t="str">
        <f t="shared" si="2"/>
        <v/>
      </c>
      <c r="W40" s="22"/>
      <c r="X40" s="22"/>
      <c r="Y40" s="27">
        <f>IF($C40="",0,IF(COUNTIF($C$5:$C40,$C40)=1,1,0))</f>
        <v>0</v>
      </c>
      <c r="Z40" t="str">
        <f>IF(Y40=1,SUM($Y$5:$Y40),"")</f>
        <v/>
      </c>
    </row>
    <row r="41" spans="1:26">
      <c r="A41" s="22"/>
      <c r="B41" s="22"/>
      <c r="C41" s="22"/>
      <c r="D41" s="22"/>
      <c r="E41" s="23"/>
      <c r="F41" s="23"/>
      <c r="G41" s="24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6"/>
      <c r="T41" s="23" t="str">
        <f t="shared" si="0"/>
        <v/>
      </c>
      <c r="U41" s="22" t="str">
        <f t="shared" si="1"/>
        <v/>
      </c>
      <c r="V41" s="18" t="str">
        <f t="shared" si="2"/>
        <v/>
      </c>
      <c r="W41" s="22"/>
      <c r="X41" s="22"/>
      <c r="Y41" s="27">
        <f>IF($C41="",0,IF(COUNTIF($C$5:$C41,$C41)=1,1,0))</f>
        <v>0</v>
      </c>
      <c r="Z41" t="str">
        <f>IF(Y41=1,SUM($Y$5:$Y41),"")</f>
        <v/>
      </c>
    </row>
    <row r="42" spans="1:26">
      <c r="A42" s="22"/>
      <c r="B42" s="22"/>
      <c r="C42" s="22"/>
      <c r="D42" s="22"/>
      <c r="E42" s="23"/>
      <c r="F42" s="23"/>
      <c r="G42" s="24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6"/>
      <c r="T42" s="23" t="str">
        <f t="shared" si="0"/>
        <v/>
      </c>
      <c r="U42" s="22" t="str">
        <f t="shared" si="1"/>
        <v/>
      </c>
      <c r="V42" s="18" t="str">
        <f t="shared" si="2"/>
        <v/>
      </c>
      <c r="W42" s="22"/>
      <c r="X42" s="22"/>
      <c r="Y42" s="27">
        <f>IF($C42="",0,IF(COUNTIF($C$5:$C42,$C42)=1,1,0))</f>
        <v>0</v>
      </c>
      <c r="Z42" t="str">
        <f>IF(Y42=1,SUM($Y$5:$Y42),"")</f>
        <v/>
      </c>
    </row>
    <row r="43" spans="1:26">
      <c r="A43" s="22"/>
      <c r="B43" s="22"/>
      <c r="C43" s="22"/>
      <c r="D43" s="22"/>
      <c r="E43" s="23"/>
      <c r="F43" s="23"/>
      <c r="G43" s="24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6"/>
      <c r="T43" s="23" t="str">
        <f t="shared" si="0"/>
        <v/>
      </c>
      <c r="U43" s="22" t="str">
        <f t="shared" si="1"/>
        <v/>
      </c>
      <c r="V43" s="18" t="str">
        <f t="shared" si="2"/>
        <v/>
      </c>
      <c r="W43" s="22"/>
      <c r="X43" s="22"/>
      <c r="Y43" s="27">
        <f>IF($C43="",0,IF(COUNTIF($C$5:$C43,$C43)=1,1,0))</f>
        <v>0</v>
      </c>
      <c r="Z43" t="str">
        <f>IF(Y43=1,SUM($Y$5:$Y43),"")</f>
        <v/>
      </c>
    </row>
    <row r="44" spans="1:26">
      <c r="A44" s="22"/>
      <c r="B44" s="22"/>
      <c r="C44" s="22"/>
      <c r="D44" s="22"/>
      <c r="E44" s="23"/>
      <c r="F44" s="23"/>
      <c r="G44" s="24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6"/>
      <c r="T44" s="23" t="str">
        <f t="shared" si="0"/>
        <v/>
      </c>
      <c r="U44" s="22" t="str">
        <f t="shared" si="1"/>
        <v/>
      </c>
      <c r="V44" s="18" t="str">
        <f t="shared" si="2"/>
        <v/>
      </c>
      <c r="W44" s="22"/>
      <c r="X44" s="22"/>
      <c r="Y44" s="27">
        <f>IF($C44="",0,IF(COUNTIF($C$5:$C44,$C44)=1,1,0))</f>
        <v>0</v>
      </c>
      <c r="Z44" t="str">
        <f>IF(Y44=1,SUM($Y$5:$Y44),"")</f>
        <v/>
      </c>
    </row>
    <row r="45" spans="1:26">
      <c r="A45" s="22"/>
      <c r="B45" s="22"/>
      <c r="C45" s="22"/>
      <c r="D45" s="22"/>
      <c r="E45" s="23"/>
      <c r="F45" s="23"/>
      <c r="G45" s="24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6"/>
      <c r="T45" s="23" t="str">
        <f t="shared" si="0"/>
        <v/>
      </c>
      <c r="U45" s="22" t="str">
        <f t="shared" si="1"/>
        <v/>
      </c>
      <c r="V45" s="18" t="str">
        <f t="shared" si="2"/>
        <v/>
      </c>
      <c r="W45" s="22"/>
      <c r="X45" s="22"/>
      <c r="Y45" s="27">
        <f>IF($C45="",0,IF(COUNTIF($C$5:$C45,$C45)=1,1,0))</f>
        <v>0</v>
      </c>
      <c r="Z45" t="str">
        <f>IF(Y45=1,SUM($Y$5:$Y45),"")</f>
        <v/>
      </c>
    </row>
    <row r="46" spans="1:26">
      <c r="A46" s="22"/>
      <c r="B46" s="22"/>
      <c r="C46" s="22"/>
      <c r="D46" s="22"/>
      <c r="E46" s="23"/>
      <c r="F46" s="23"/>
      <c r="G46" s="24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6"/>
      <c r="T46" s="23" t="str">
        <f t="shared" si="0"/>
        <v/>
      </c>
      <c r="U46" s="22" t="str">
        <f t="shared" si="1"/>
        <v/>
      </c>
      <c r="V46" s="18" t="str">
        <f t="shared" si="2"/>
        <v/>
      </c>
      <c r="W46" s="22"/>
      <c r="X46" s="22"/>
      <c r="Y46" s="27">
        <f>IF($C46="",0,IF(COUNTIF($C$5:$C46,$C46)=1,1,0))</f>
        <v>0</v>
      </c>
      <c r="Z46" t="str">
        <f>IF(Y46=1,SUM($Y$5:$Y46),"")</f>
        <v/>
      </c>
    </row>
    <row r="47" spans="1:26">
      <c r="A47" s="22"/>
      <c r="B47" s="22"/>
      <c r="C47" s="22"/>
      <c r="D47" s="22"/>
      <c r="E47" s="23"/>
      <c r="F47" s="23"/>
      <c r="G47" s="24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6"/>
      <c r="T47" s="23" t="str">
        <f t="shared" si="0"/>
        <v/>
      </c>
      <c r="U47" s="22" t="str">
        <f t="shared" si="1"/>
        <v/>
      </c>
      <c r="V47" s="18" t="str">
        <f t="shared" si="2"/>
        <v/>
      </c>
      <c r="W47" s="22"/>
      <c r="X47" s="22"/>
      <c r="Y47" s="27">
        <f>IF($C47="",0,IF(COUNTIF($C$5:$C47,$C47)=1,1,0))</f>
        <v>0</v>
      </c>
      <c r="Z47" t="str">
        <f>IF(Y47=1,SUM($Y$5:$Y47),"")</f>
        <v/>
      </c>
    </row>
    <row r="48" spans="1:26">
      <c r="A48" s="22"/>
      <c r="B48" s="22"/>
      <c r="C48" s="22"/>
      <c r="D48" s="22"/>
      <c r="E48" s="23"/>
      <c r="F48" s="23"/>
      <c r="G48" s="24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6"/>
      <c r="T48" s="23" t="str">
        <f t="shared" si="0"/>
        <v/>
      </c>
      <c r="U48" s="22" t="str">
        <f t="shared" si="1"/>
        <v/>
      </c>
      <c r="V48" s="18" t="str">
        <f t="shared" si="2"/>
        <v/>
      </c>
      <c r="W48" s="22"/>
      <c r="X48" s="22"/>
      <c r="Y48" s="27">
        <f>IF($C48="",0,IF(COUNTIF($C$5:$C48,$C48)=1,1,0))</f>
        <v>0</v>
      </c>
      <c r="Z48" t="str">
        <f>IF(Y48=1,SUM($Y$5:$Y48),"")</f>
        <v/>
      </c>
    </row>
    <row r="49" spans="1:26">
      <c r="A49" s="22"/>
      <c r="B49" s="22"/>
      <c r="C49" s="22"/>
      <c r="D49" s="22"/>
      <c r="E49" s="23"/>
      <c r="F49" s="23"/>
      <c r="G49" s="24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6"/>
      <c r="T49" s="23" t="str">
        <f t="shared" si="0"/>
        <v/>
      </c>
      <c r="U49" s="22" t="str">
        <f t="shared" si="1"/>
        <v/>
      </c>
      <c r="V49" s="18" t="str">
        <f t="shared" si="2"/>
        <v/>
      </c>
      <c r="W49" s="22"/>
      <c r="X49" s="22"/>
      <c r="Y49" s="27">
        <f>IF($C49="",0,IF(COUNTIF($C$5:$C49,$C49)=1,1,0))</f>
        <v>0</v>
      </c>
      <c r="Z49" t="str">
        <f>IF(Y49=1,SUM($Y$5:$Y49),"")</f>
        <v/>
      </c>
    </row>
    <row r="50" spans="1:26">
      <c r="A50" s="22"/>
      <c r="B50" s="22"/>
      <c r="C50" s="22"/>
      <c r="D50" s="22"/>
      <c r="E50" s="23"/>
      <c r="F50" s="23"/>
      <c r="G50" s="24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6"/>
      <c r="T50" s="23" t="str">
        <f t="shared" si="0"/>
        <v/>
      </c>
      <c r="U50" s="22" t="str">
        <f t="shared" si="1"/>
        <v/>
      </c>
      <c r="V50" s="18" t="str">
        <f t="shared" si="2"/>
        <v/>
      </c>
      <c r="W50" s="22"/>
      <c r="X50" s="22"/>
      <c r="Y50" s="27">
        <f>IF($C50="",0,IF(COUNTIF($C$5:$C50,$C50)=1,1,0))</f>
        <v>0</v>
      </c>
      <c r="Z50" t="str">
        <f>IF(Y50=1,SUM($Y$5:$Y50),"")</f>
        <v/>
      </c>
    </row>
    <row r="51" spans="1:26">
      <c r="A51" s="22"/>
      <c r="B51" s="22"/>
      <c r="C51" s="22"/>
      <c r="D51" s="22"/>
      <c r="E51" s="23"/>
      <c r="F51" s="23"/>
      <c r="G51" s="24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6"/>
      <c r="T51" s="23" t="str">
        <f t="shared" si="0"/>
        <v/>
      </c>
      <c r="U51" s="22" t="str">
        <f t="shared" si="1"/>
        <v/>
      </c>
      <c r="V51" s="18" t="str">
        <f t="shared" si="2"/>
        <v/>
      </c>
      <c r="W51" s="22"/>
      <c r="X51" s="22"/>
      <c r="Y51" s="27">
        <f>IF($C51="",0,IF(COUNTIF($C$5:$C51,$C51)=1,1,0))</f>
        <v>0</v>
      </c>
      <c r="Z51" t="str">
        <f>IF(Y51=1,SUM($Y$5:$Y51),"")</f>
        <v/>
      </c>
    </row>
    <row r="52" spans="1:26">
      <c r="A52" s="22"/>
      <c r="B52" s="22"/>
      <c r="C52" s="22"/>
      <c r="D52" s="22"/>
      <c r="E52" s="23"/>
      <c r="F52" s="23"/>
      <c r="G52" s="24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6"/>
      <c r="T52" s="23" t="str">
        <f t="shared" si="0"/>
        <v/>
      </c>
      <c r="U52" s="22" t="str">
        <f t="shared" si="1"/>
        <v/>
      </c>
      <c r="V52" s="18" t="str">
        <f t="shared" si="2"/>
        <v/>
      </c>
      <c r="W52" s="22"/>
      <c r="X52" s="22"/>
      <c r="Y52" s="27">
        <f>IF($C52="",0,IF(COUNTIF($C$5:$C52,$C52)=1,1,0))</f>
        <v>0</v>
      </c>
      <c r="Z52" t="str">
        <f>IF(Y52=1,SUM($Y$5:$Y52),"")</f>
        <v/>
      </c>
    </row>
    <row r="53" spans="1:26">
      <c r="A53" s="22"/>
      <c r="B53" s="22"/>
      <c r="C53" s="22"/>
      <c r="D53" s="22"/>
      <c r="E53" s="23"/>
      <c r="F53" s="23"/>
      <c r="G53" s="24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6"/>
      <c r="T53" s="23" t="str">
        <f t="shared" si="0"/>
        <v/>
      </c>
      <c r="U53" s="22" t="str">
        <f t="shared" si="1"/>
        <v/>
      </c>
      <c r="V53" s="18" t="str">
        <f t="shared" si="2"/>
        <v/>
      </c>
      <c r="W53" s="22"/>
      <c r="X53" s="22"/>
      <c r="Y53" s="27">
        <f>IF($C53="",0,IF(COUNTIF($C$5:$C53,$C53)=1,1,0))</f>
        <v>0</v>
      </c>
      <c r="Z53" t="str">
        <f>IF(Y53=1,SUM($Y$5:$Y53),"")</f>
        <v/>
      </c>
    </row>
    <row r="54" spans="1:26">
      <c r="A54" s="22"/>
      <c r="B54" s="22"/>
      <c r="C54" s="22"/>
      <c r="D54" s="22"/>
      <c r="E54" s="23"/>
      <c r="F54" s="23"/>
      <c r="G54" s="24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6"/>
      <c r="T54" s="23" t="str">
        <f t="shared" si="0"/>
        <v/>
      </c>
      <c r="U54" s="22" t="str">
        <f t="shared" si="1"/>
        <v/>
      </c>
      <c r="V54" s="18" t="str">
        <f t="shared" si="2"/>
        <v/>
      </c>
      <c r="W54" s="22"/>
      <c r="X54" s="22"/>
      <c r="Y54" s="27">
        <f>IF($C54="",0,IF(COUNTIF($C$5:$C54,$C54)=1,1,0))</f>
        <v>0</v>
      </c>
      <c r="Z54" t="str">
        <f>IF(Y54=1,SUM($Y$5:$Y54),"")</f>
        <v/>
      </c>
    </row>
    <row r="55" spans="1:26">
      <c r="A55" s="22"/>
      <c r="B55" s="22"/>
      <c r="C55" s="22"/>
      <c r="D55" s="22"/>
      <c r="E55" s="23"/>
      <c r="F55" s="23"/>
      <c r="G55" s="24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6"/>
      <c r="T55" s="23" t="str">
        <f t="shared" si="0"/>
        <v/>
      </c>
      <c r="U55" s="22" t="str">
        <f t="shared" si="1"/>
        <v/>
      </c>
      <c r="V55" s="18" t="str">
        <f t="shared" si="2"/>
        <v/>
      </c>
      <c r="W55" s="22"/>
      <c r="X55" s="22"/>
      <c r="Y55" s="27">
        <f>IF($C55="",0,IF(COUNTIF($C$5:$C55,$C55)=1,1,0))</f>
        <v>0</v>
      </c>
      <c r="Z55" t="str">
        <f>IF(Y55=1,SUM($Y$5:$Y55),"")</f>
        <v/>
      </c>
    </row>
    <row r="56" spans="1:26">
      <c r="A56" s="22"/>
      <c r="B56" s="22"/>
      <c r="C56" s="22"/>
      <c r="D56" s="22"/>
      <c r="E56" s="23"/>
      <c r="F56" s="23"/>
      <c r="G56" s="24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6"/>
      <c r="T56" s="23" t="str">
        <f t="shared" si="0"/>
        <v/>
      </c>
      <c r="U56" s="22" t="str">
        <f t="shared" si="1"/>
        <v/>
      </c>
      <c r="V56" s="18" t="str">
        <f t="shared" si="2"/>
        <v/>
      </c>
      <c r="W56" s="22"/>
      <c r="X56" s="22"/>
      <c r="Y56" s="27">
        <f>IF($C56="",0,IF(COUNTIF($C$5:$C56,$C56)=1,1,0))</f>
        <v>0</v>
      </c>
      <c r="Z56" t="str">
        <f>IF(Y56=1,SUM($Y$5:$Y56),"")</f>
        <v/>
      </c>
    </row>
    <row r="57" spans="1:26">
      <c r="A57" s="22"/>
      <c r="B57" s="22"/>
      <c r="C57" s="22"/>
      <c r="D57" s="22"/>
      <c r="E57" s="23"/>
      <c r="F57" s="23"/>
      <c r="G57" s="24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6"/>
      <c r="T57" s="23" t="str">
        <f t="shared" si="0"/>
        <v/>
      </c>
      <c r="U57" s="22" t="str">
        <f t="shared" si="1"/>
        <v/>
      </c>
      <c r="V57" s="18" t="str">
        <f t="shared" si="2"/>
        <v/>
      </c>
      <c r="W57" s="22"/>
      <c r="X57" s="22"/>
      <c r="Y57" s="27">
        <f>IF($C57="",0,IF(COUNTIF($C$5:$C57,$C57)=1,1,0))</f>
        <v>0</v>
      </c>
      <c r="Z57" t="str">
        <f>IF(Y57=1,SUM($Y$5:$Y57),"")</f>
        <v/>
      </c>
    </row>
    <row r="58" spans="1:26">
      <c r="A58" s="22"/>
      <c r="B58" s="22"/>
      <c r="C58" s="22"/>
      <c r="D58" s="22"/>
      <c r="E58" s="23"/>
      <c r="F58" s="23"/>
      <c r="G58" s="24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6"/>
      <c r="T58" s="23" t="str">
        <f t="shared" si="0"/>
        <v/>
      </c>
      <c r="U58" s="22" t="str">
        <f t="shared" si="1"/>
        <v/>
      </c>
      <c r="V58" s="18" t="str">
        <f t="shared" si="2"/>
        <v/>
      </c>
      <c r="W58" s="22"/>
      <c r="X58" s="22"/>
      <c r="Y58" s="27">
        <f>IF($C58="",0,IF(COUNTIF($C$5:$C58,$C58)=1,1,0))</f>
        <v>0</v>
      </c>
      <c r="Z58" t="str">
        <f>IF(Y58=1,SUM($Y$5:$Y58),"")</f>
        <v/>
      </c>
    </row>
    <row r="59" spans="1:26">
      <c r="A59" s="22"/>
      <c r="B59" s="22"/>
      <c r="C59" s="22"/>
      <c r="D59" s="22"/>
      <c r="E59" s="23"/>
      <c r="F59" s="23"/>
      <c r="G59" s="24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6"/>
      <c r="T59" s="23" t="str">
        <f t="shared" si="0"/>
        <v/>
      </c>
      <c r="U59" s="22" t="str">
        <f t="shared" si="1"/>
        <v/>
      </c>
      <c r="V59" s="18" t="str">
        <f t="shared" si="2"/>
        <v/>
      </c>
      <c r="W59" s="22"/>
      <c r="X59" s="22"/>
      <c r="Y59" s="27">
        <f>IF($C59="",0,IF(COUNTIF($C$5:$C59,$C59)=1,1,0))</f>
        <v>0</v>
      </c>
      <c r="Z59" t="str">
        <f>IF(Y59=1,SUM($Y$5:$Y59),"")</f>
        <v/>
      </c>
    </row>
    <row r="60" spans="1:26">
      <c r="A60" s="22"/>
      <c r="B60" s="22"/>
      <c r="C60" s="22"/>
      <c r="D60" s="22"/>
      <c r="E60" s="23"/>
      <c r="F60" s="23"/>
      <c r="G60" s="24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6"/>
      <c r="T60" s="23" t="str">
        <f t="shared" si="0"/>
        <v/>
      </c>
      <c r="U60" s="22" t="str">
        <f t="shared" si="1"/>
        <v/>
      </c>
      <c r="V60" s="18" t="str">
        <f t="shared" si="2"/>
        <v/>
      </c>
      <c r="W60" s="22"/>
      <c r="X60" s="22"/>
      <c r="Y60" s="27">
        <f>IF($C60="",0,IF(COUNTIF($C$5:$C60,$C60)=1,1,0))</f>
        <v>0</v>
      </c>
      <c r="Z60" t="str">
        <f>IF(Y60=1,SUM($Y$5:$Y60),"")</f>
        <v/>
      </c>
    </row>
    <row r="61" spans="1:26">
      <c r="A61" s="22"/>
      <c r="B61" s="22"/>
      <c r="C61" s="22"/>
      <c r="D61" s="22"/>
      <c r="E61" s="23"/>
      <c r="F61" s="23"/>
      <c r="G61" s="24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6"/>
      <c r="T61" s="23" t="str">
        <f t="shared" si="0"/>
        <v/>
      </c>
      <c r="U61" s="22" t="str">
        <f t="shared" si="1"/>
        <v/>
      </c>
      <c r="V61" s="18" t="str">
        <f t="shared" si="2"/>
        <v/>
      </c>
      <c r="W61" s="22"/>
      <c r="X61" s="22"/>
      <c r="Y61" s="27">
        <f>IF($C61="",0,IF(COUNTIF($C$5:$C61,$C61)=1,1,0))</f>
        <v>0</v>
      </c>
      <c r="Z61" t="str">
        <f>IF(Y61=1,SUM($Y$5:$Y61),"")</f>
        <v/>
      </c>
    </row>
    <row r="62" spans="1:26">
      <c r="A62" s="22"/>
      <c r="B62" s="22"/>
      <c r="C62" s="22"/>
      <c r="D62" s="22"/>
      <c r="E62" s="23"/>
      <c r="F62" s="23"/>
      <c r="G62" s="24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6"/>
      <c r="T62" s="23" t="str">
        <f t="shared" si="0"/>
        <v/>
      </c>
      <c r="U62" s="22" t="str">
        <f t="shared" si="1"/>
        <v/>
      </c>
      <c r="V62" s="18" t="str">
        <f t="shared" si="2"/>
        <v/>
      </c>
      <c r="W62" s="22"/>
      <c r="X62" s="22"/>
      <c r="Y62" s="27">
        <f>IF($C62="",0,IF(COUNTIF($C$5:$C62,$C62)=1,1,0))</f>
        <v>0</v>
      </c>
      <c r="Z62" t="str">
        <f>IF(Y62=1,SUM($Y$5:$Y62),"")</f>
        <v/>
      </c>
    </row>
    <row r="63" spans="1:26">
      <c r="A63" s="22"/>
      <c r="B63" s="22"/>
      <c r="C63" s="22"/>
      <c r="D63" s="22"/>
      <c r="E63" s="23"/>
      <c r="F63" s="23"/>
      <c r="G63" s="24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6"/>
      <c r="T63" s="23" t="str">
        <f t="shared" si="0"/>
        <v/>
      </c>
      <c r="U63" s="22" t="str">
        <f t="shared" si="1"/>
        <v/>
      </c>
      <c r="V63" s="18" t="str">
        <f t="shared" si="2"/>
        <v/>
      </c>
      <c r="W63" s="22"/>
      <c r="X63" s="22"/>
      <c r="Y63" s="27">
        <f>IF($C63="",0,IF(COUNTIF($C$5:$C63,$C63)=1,1,0))</f>
        <v>0</v>
      </c>
      <c r="Z63" t="str">
        <f>IF(Y63=1,SUM($Y$5:$Y63),"")</f>
        <v/>
      </c>
    </row>
    <row r="64" spans="1:26">
      <c r="A64" s="22"/>
      <c r="B64" s="22"/>
      <c r="C64" s="22"/>
      <c r="D64" s="22"/>
      <c r="E64" s="23"/>
      <c r="F64" s="23"/>
      <c r="G64" s="24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6"/>
      <c r="T64" s="23" t="str">
        <f t="shared" si="0"/>
        <v/>
      </c>
      <c r="U64" s="22" t="str">
        <f t="shared" si="1"/>
        <v/>
      </c>
      <c r="V64" s="18" t="str">
        <f t="shared" si="2"/>
        <v/>
      </c>
      <c r="W64" s="22"/>
      <c r="X64" s="22"/>
      <c r="Y64" s="27">
        <f>IF($C64="",0,IF(COUNTIF($C$5:$C64,$C64)=1,1,0))</f>
        <v>0</v>
      </c>
      <c r="Z64" t="str">
        <f>IF(Y64=1,SUM($Y$5:$Y64),"")</f>
        <v/>
      </c>
    </row>
    <row r="65" spans="1:26">
      <c r="A65" s="22"/>
      <c r="B65" s="22"/>
      <c r="C65" s="22"/>
      <c r="D65" s="22"/>
      <c r="E65" s="23"/>
      <c r="F65" s="23"/>
      <c r="G65" s="24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6"/>
      <c r="T65" s="23" t="str">
        <f t="shared" si="0"/>
        <v/>
      </c>
      <c r="U65" s="22" t="str">
        <f t="shared" si="1"/>
        <v/>
      </c>
      <c r="V65" s="18" t="str">
        <f t="shared" si="2"/>
        <v/>
      </c>
      <c r="W65" s="22"/>
      <c r="X65" s="22"/>
      <c r="Y65" s="27">
        <f>IF($C65="",0,IF(COUNTIF($C$5:$C65,$C65)=1,1,0))</f>
        <v>0</v>
      </c>
      <c r="Z65" t="str">
        <f>IF(Y65=1,SUM($Y$5:$Y65),"")</f>
        <v/>
      </c>
    </row>
    <row r="66" spans="1:26">
      <c r="A66" s="22"/>
      <c r="B66" s="22"/>
      <c r="C66" s="22"/>
      <c r="D66" s="22"/>
      <c r="E66" s="23"/>
      <c r="F66" s="23"/>
      <c r="G66" s="24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6"/>
      <c r="T66" s="23" t="str">
        <f t="shared" si="0"/>
        <v/>
      </c>
      <c r="U66" s="22" t="str">
        <f t="shared" si="1"/>
        <v/>
      </c>
      <c r="V66" s="18" t="str">
        <f t="shared" si="2"/>
        <v/>
      </c>
      <c r="W66" s="22"/>
      <c r="X66" s="22"/>
      <c r="Y66" s="27">
        <f>IF($C66="",0,IF(COUNTIF($C$5:$C66,$C66)=1,1,0))</f>
        <v>0</v>
      </c>
      <c r="Z66" t="str">
        <f>IF(Y66=1,SUM($Y$5:$Y66),"")</f>
        <v/>
      </c>
    </row>
    <row r="67" spans="1:26">
      <c r="A67" s="22"/>
      <c r="B67" s="22"/>
      <c r="C67" s="22"/>
      <c r="D67" s="22"/>
      <c r="E67" s="23"/>
      <c r="F67" s="23"/>
      <c r="G67" s="24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6"/>
      <c r="T67" s="23" t="str">
        <f t="shared" si="0"/>
        <v/>
      </c>
      <c r="U67" s="22" t="str">
        <f t="shared" si="1"/>
        <v/>
      </c>
      <c r="V67" s="18" t="str">
        <f t="shared" si="2"/>
        <v/>
      </c>
      <c r="W67" s="22"/>
      <c r="X67" s="22"/>
      <c r="Y67" s="27">
        <f>IF($C67="",0,IF(COUNTIF($C$5:$C67,$C67)=1,1,0))</f>
        <v>0</v>
      </c>
      <c r="Z67" t="str">
        <f>IF(Y67=1,SUM($Y$5:$Y67),"")</f>
        <v/>
      </c>
    </row>
    <row r="68" spans="1:26">
      <c r="A68" s="22"/>
      <c r="B68" s="22"/>
      <c r="C68" s="22"/>
      <c r="D68" s="22"/>
      <c r="E68" s="23"/>
      <c r="F68" s="23"/>
      <c r="G68" s="24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6"/>
      <c r="T68" s="23" t="str">
        <f t="shared" si="0"/>
        <v/>
      </c>
      <c r="U68" s="22" t="str">
        <f t="shared" si="1"/>
        <v/>
      </c>
      <c r="V68" s="18" t="str">
        <f t="shared" si="2"/>
        <v/>
      </c>
      <c r="W68" s="22"/>
      <c r="X68" s="22"/>
      <c r="Y68" s="27">
        <f>IF($C68="",0,IF(COUNTIF($C$5:$C68,$C68)=1,1,0))</f>
        <v>0</v>
      </c>
      <c r="Z68" t="str">
        <f>IF(Y68=1,SUM($Y$5:$Y68),"")</f>
        <v/>
      </c>
    </row>
    <row r="69" spans="1:26">
      <c r="A69" s="22"/>
      <c r="B69" s="22"/>
      <c r="C69" s="22"/>
      <c r="D69" s="22"/>
      <c r="E69" s="23"/>
      <c r="F69" s="23"/>
      <c r="G69" s="24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6"/>
      <c r="T69" s="23" t="str">
        <f t="shared" ref="T69:T132" si="3">IF($D69="","",COUNTIF($H69:$R69,"V"))</f>
        <v/>
      </c>
      <c r="U69" s="22" t="str">
        <f t="shared" ref="U69:U132" si="4">IF($D69="","",IF(AND($S69="V",$T69&gt;0),"⚠ 勾選矛盾",IF($S69="V","○ 免調理",IF($T69=0,"⚠ 資料缺漏",IF($T69=1,"▲ 單一設備依賴","OK")))))</f>
        <v/>
      </c>
      <c r="V69" s="18" t="str">
        <f t="shared" ref="V69:V132" si="5">IF($D69="","",IF(AND($S69="V",$T69&gt;0),"「無使用調理設備」不可與設備欄同時勾選，請擇一修正",IF($S69="V","免調理半成品（外購/僅切配等），不列入設備風險評估",IF($T69=0,"未勾選任何設備，請補填或勾選「無使用調理設備」",IF($T69=1,"僅依賴1台設備，須確認故障/排修時之備援製程","無異常")))))</f>
        <v/>
      </c>
      <c r="W69" s="22"/>
      <c r="X69" s="22"/>
      <c r="Y69" s="27">
        <f>IF($C69="",0,IF(COUNTIF($C$5:$C69,$C69)=1,1,0))</f>
        <v>0</v>
      </c>
      <c r="Z69" t="str">
        <f>IF(Y69=1,SUM($Y$5:$Y69),"")</f>
        <v/>
      </c>
    </row>
    <row r="70" spans="1:26">
      <c r="A70" s="22"/>
      <c r="B70" s="22"/>
      <c r="C70" s="22"/>
      <c r="D70" s="22"/>
      <c r="E70" s="23"/>
      <c r="F70" s="23"/>
      <c r="G70" s="24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6"/>
      <c r="T70" s="23" t="str">
        <f t="shared" si="3"/>
        <v/>
      </c>
      <c r="U70" s="22" t="str">
        <f t="shared" si="4"/>
        <v/>
      </c>
      <c r="V70" s="18" t="str">
        <f t="shared" si="5"/>
        <v/>
      </c>
      <c r="W70" s="22"/>
      <c r="X70" s="22"/>
      <c r="Y70" s="27">
        <f>IF($C70="",0,IF(COUNTIF($C$5:$C70,$C70)=1,1,0))</f>
        <v>0</v>
      </c>
      <c r="Z70" t="str">
        <f>IF(Y70=1,SUM($Y$5:$Y70),"")</f>
        <v/>
      </c>
    </row>
    <row r="71" spans="1:26">
      <c r="A71" s="22"/>
      <c r="B71" s="22"/>
      <c r="C71" s="22"/>
      <c r="D71" s="22"/>
      <c r="E71" s="23"/>
      <c r="F71" s="23"/>
      <c r="G71" s="24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6"/>
      <c r="T71" s="23" t="str">
        <f t="shared" si="3"/>
        <v/>
      </c>
      <c r="U71" s="22" t="str">
        <f t="shared" si="4"/>
        <v/>
      </c>
      <c r="V71" s="18" t="str">
        <f t="shared" si="5"/>
        <v/>
      </c>
      <c r="W71" s="22"/>
      <c r="X71" s="22"/>
      <c r="Y71" s="27">
        <f>IF($C71="",0,IF(COUNTIF($C$5:$C71,$C71)=1,1,0))</f>
        <v>0</v>
      </c>
      <c r="Z71" t="str">
        <f>IF(Y71=1,SUM($Y$5:$Y71),"")</f>
        <v/>
      </c>
    </row>
    <row r="72" spans="1:26">
      <c r="A72" s="22"/>
      <c r="B72" s="22"/>
      <c r="C72" s="22"/>
      <c r="D72" s="22"/>
      <c r="E72" s="23"/>
      <c r="F72" s="23"/>
      <c r="G72" s="24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6"/>
      <c r="T72" s="23" t="str">
        <f t="shared" si="3"/>
        <v/>
      </c>
      <c r="U72" s="22" t="str">
        <f t="shared" si="4"/>
        <v/>
      </c>
      <c r="V72" s="18" t="str">
        <f t="shared" si="5"/>
        <v/>
      </c>
      <c r="W72" s="22"/>
      <c r="X72" s="22"/>
      <c r="Y72" s="27">
        <f>IF($C72="",0,IF(COUNTIF($C$5:$C72,$C72)=1,1,0))</f>
        <v>0</v>
      </c>
      <c r="Z72" t="str">
        <f>IF(Y72=1,SUM($Y$5:$Y72),"")</f>
        <v/>
      </c>
    </row>
    <row r="73" spans="1:26">
      <c r="A73" s="22"/>
      <c r="B73" s="22"/>
      <c r="C73" s="22"/>
      <c r="D73" s="22"/>
      <c r="E73" s="23"/>
      <c r="F73" s="23"/>
      <c r="G73" s="24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6"/>
      <c r="T73" s="23" t="str">
        <f t="shared" si="3"/>
        <v/>
      </c>
      <c r="U73" s="22" t="str">
        <f t="shared" si="4"/>
        <v/>
      </c>
      <c r="V73" s="18" t="str">
        <f t="shared" si="5"/>
        <v/>
      </c>
      <c r="W73" s="22"/>
      <c r="X73" s="22"/>
      <c r="Y73" s="27">
        <f>IF($C73="",0,IF(COUNTIF($C$5:$C73,$C73)=1,1,0))</f>
        <v>0</v>
      </c>
      <c r="Z73" t="str">
        <f>IF(Y73=1,SUM($Y$5:$Y73),"")</f>
        <v/>
      </c>
    </row>
    <row r="74" spans="1:26">
      <c r="A74" s="22"/>
      <c r="B74" s="22"/>
      <c r="C74" s="22"/>
      <c r="D74" s="22"/>
      <c r="E74" s="23"/>
      <c r="F74" s="23"/>
      <c r="G74" s="24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6"/>
      <c r="T74" s="23" t="str">
        <f t="shared" si="3"/>
        <v/>
      </c>
      <c r="U74" s="22" t="str">
        <f t="shared" si="4"/>
        <v/>
      </c>
      <c r="V74" s="18" t="str">
        <f t="shared" si="5"/>
        <v/>
      </c>
      <c r="W74" s="22"/>
      <c r="X74" s="22"/>
      <c r="Y74" s="27">
        <f>IF($C74="",0,IF(COUNTIF($C$5:$C74,$C74)=1,1,0))</f>
        <v>0</v>
      </c>
      <c r="Z74" t="str">
        <f>IF(Y74=1,SUM($Y$5:$Y74),"")</f>
        <v/>
      </c>
    </row>
    <row r="75" spans="1:26">
      <c r="A75" s="22"/>
      <c r="B75" s="22"/>
      <c r="C75" s="22"/>
      <c r="D75" s="22"/>
      <c r="E75" s="23"/>
      <c r="F75" s="23"/>
      <c r="G75" s="24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6"/>
      <c r="T75" s="23" t="str">
        <f t="shared" si="3"/>
        <v/>
      </c>
      <c r="U75" s="22" t="str">
        <f t="shared" si="4"/>
        <v/>
      </c>
      <c r="V75" s="18" t="str">
        <f t="shared" si="5"/>
        <v/>
      </c>
      <c r="W75" s="22"/>
      <c r="X75" s="22"/>
      <c r="Y75" s="27">
        <f>IF($C75="",0,IF(COUNTIF($C$5:$C75,$C75)=1,1,0))</f>
        <v>0</v>
      </c>
      <c r="Z75" t="str">
        <f>IF(Y75=1,SUM($Y$5:$Y75),"")</f>
        <v/>
      </c>
    </row>
    <row r="76" spans="1:26">
      <c r="A76" s="22"/>
      <c r="B76" s="22"/>
      <c r="C76" s="22"/>
      <c r="D76" s="22"/>
      <c r="E76" s="23"/>
      <c r="F76" s="23"/>
      <c r="G76" s="24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6"/>
      <c r="T76" s="23" t="str">
        <f t="shared" si="3"/>
        <v/>
      </c>
      <c r="U76" s="22" t="str">
        <f t="shared" si="4"/>
        <v/>
      </c>
      <c r="V76" s="18" t="str">
        <f t="shared" si="5"/>
        <v/>
      </c>
      <c r="W76" s="22"/>
      <c r="X76" s="22"/>
      <c r="Y76" s="27">
        <f>IF($C76="",0,IF(COUNTIF($C$5:$C76,$C76)=1,1,0))</f>
        <v>0</v>
      </c>
      <c r="Z76" t="str">
        <f>IF(Y76=1,SUM($Y$5:$Y76),"")</f>
        <v/>
      </c>
    </row>
    <row r="77" spans="1:26">
      <c r="A77" s="22"/>
      <c r="B77" s="22"/>
      <c r="C77" s="22"/>
      <c r="D77" s="22"/>
      <c r="E77" s="23"/>
      <c r="F77" s="23"/>
      <c r="G77" s="24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6"/>
      <c r="T77" s="23" t="str">
        <f t="shared" si="3"/>
        <v/>
      </c>
      <c r="U77" s="22" t="str">
        <f t="shared" si="4"/>
        <v/>
      </c>
      <c r="V77" s="18" t="str">
        <f t="shared" si="5"/>
        <v/>
      </c>
      <c r="W77" s="22"/>
      <c r="X77" s="22"/>
      <c r="Y77" s="27">
        <f>IF($C77="",0,IF(COUNTIF($C$5:$C77,$C77)=1,1,0))</f>
        <v>0</v>
      </c>
      <c r="Z77" t="str">
        <f>IF(Y77=1,SUM($Y$5:$Y77),"")</f>
        <v/>
      </c>
    </row>
    <row r="78" spans="1:26">
      <c r="A78" s="22"/>
      <c r="B78" s="22"/>
      <c r="C78" s="22"/>
      <c r="D78" s="22"/>
      <c r="E78" s="23"/>
      <c r="F78" s="23"/>
      <c r="G78" s="24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6"/>
      <c r="T78" s="23" t="str">
        <f t="shared" si="3"/>
        <v/>
      </c>
      <c r="U78" s="22" t="str">
        <f t="shared" si="4"/>
        <v/>
      </c>
      <c r="V78" s="18" t="str">
        <f t="shared" si="5"/>
        <v/>
      </c>
      <c r="W78" s="22"/>
      <c r="X78" s="22"/>
      <c r="Y78" s="27">
        <f>IF($C78="",0,IF(COUNTIF($C$5:$C78,$C78)=1,1,0))</f>
        <v>0</v>
      </c>
      <c r="Z78" t="str">
        <f>IF(Y78=1,SUM($Y$5:$Y78),"")</f>
        <v/>
      </c>
    </row>
    <row r="79" spans="1:26">
      <c r="A79" s="22"/>
      <c r="B79" s="22"/>
      <c r="C79" s="22"/>
      <c r="D79" s="22"/>
      <c r="E79" s="23"/>
      <c r="F79" s="23"/>
      <c r="G79" s="24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6"/>
      <c r="T79" s="23" t="str">
        <f t="shared" si="3"/>
        <v/>
      </c>
      <c r="U79" s="22" t="str">
        <f t="shared" si="4"/>
        <v/>
      </c>
      <c r="V79" s="18" t="str">
        <f t="shared" si="5"/>
        <v/>
      </c>
      <c r="W79" s="22"/>
      <c r="X79" s="22"/>
      <c r="Y79" s="27">
        <f>IF($C79="",0,IF(COUNTIF($C$5:$C79,$C79)=1,1,0))</f>
        <v>0</v>
      </c>
      <c r="Z79" t="str">
        <f>IF(Y79=1,SUM($Y$5:$Y79),"")</f>
        <v/>
      </c>
    </row>
    <row r="80" spans="1:26">
      <c r="A80" s="22"/>
      <c r="B80" s="22"/>
      <c r="C80" s="22"/>
      <c r="D80" s="22"/>
      <c r="E80" s="23"/>
      <c r="F80" s="23"/>
      <c r="G80" s="24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6"/>
      <c r="T80" s="23" t="str">
        <f t="shared" si="3"/>
        <v/>
      </c>
      <c r="U80" s="22" t="str">
        <f t="shared" si="4"/>
        <v/>
      </c>
      <c r="V80" s="18" t="str">
        <f t="shared" si="5"/>
        <v/>
      </c>
      <c r="W80" s="22"/>
      <c r="X80" s="22"/>
      <c r="Y80" s="27">
        <f>IF($C80="",0,IF(COUNTIF($C$5:$C80,$C80)=1,1,0))</f>
        <v>0</v>
      </c>
      <c r="Z80" t="str">
        <f>IF(Y80=1,SUM($Y$5:$Y80),"")</f>
        <v/>
      </c>
    </row>
    <row r="81" spans="1:26">
      <c r="A81" s="22"/>
      <c r="B81" s="22"/>
      <c r="C81" s="22"/>
      <c r="D81" s="22"/>
      <c r="E81" s="23"/>
      <c r="F81" s="23"/>
      <c r="G81" s="24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6"/>
      <c r="T81" s="23" t="str">
        <f t="shared" si="3"/>
        <v/>
      </c>
      <c r="U81" s="22" t="str">
        <f t="shared" si="4"/>
        <v/>
      </c>
      <c r="V81" s="18" t="str">
        <f t="shared" si="5"/>
        <v/>
      </c>
      <c r="W81" s="22"/>
      <c r="X81" s="22"/>
      <c r="Y81" s="27">
        <f>IF($C81="",0,IF(COUNTIF($C$5:$C81,$C81)=1,1,0))</f>
        <v>0</v>
      </c>
      <c r="Z81" t="str">
        <f>IF(Y81=1,SUM($Y$5:$Y81),"")</f>
        <v/>
      </c>
    </row>
    <row r="82" spans="1:26">
      <c r="A82" s="22"/>
      <c r="B82" s="22"/>
      <c r="C82" s="22"/>
      <c r="D82" s="22"/>
      <c r="E82" s="23"/>
      <c r="F82" s="23"/>
      <c r="G82" s="24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6"/>
      <c r="T82" s="23" t="str">
        <f t="shared" si="3"/>
        <v/>
      </c>
      <c r="U82" s="22" t="str">
        <f t="shared" si="4"/>
        <v/>
      </c>
      <c r="V82" s="18" t="str">
        <f t="shared" si="5"/>
        <v/>
      </c>
      <c r="W82" s="22"/>
      <c r="X82" s="22"/>
      <c r="Y82" s="27">
        <f>IF($C82="",0,IF(COUNTIF($C$5:$C82,$C82)=1,1,0))</f>
        <v>0</v>
      </c>
      <c r="Z82" t="str">
        <f>IF(Y82=1,SUM($Y$5:$Y82),"")</f>
        <v/>
      </c>
    </row>
    <row r="83" spans="1:26">
      <c r="A83" s="22"/>
      <c r="B83" s="22"/>
      <c r="C83" s="22"/>
      <c r="D83" s="22"/>
      <c r="E83" s="23"/>
      <c r="F83" s="23"/>
      <c r="G83" s="24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6"/>
      <c r="T83" s="23" t="str">
        <f t="shared" si="3"/>
        <v/>
      </c>
      <c r="U83" s="22" t="str">
        <f t="shared" si="4"/>
        <v/>
      </c>
      <c r="V83" s="18" t="str">
        <f t="shared" si="5"/>
        <v/>
      </c>
      <c r="W83" s="22"/>
      <c r="X83" s="22"/>
      <c r="Y83" s="27">
        <f>IF($C83="",0,IF(COUNTIF($C$5:$C83,$C83)=1,1,0))</f>
        <v>0</v>
      </c>
      <c r="Z83" t="str">
        <f>IF(Y83=1,SUM($Y$5:$Y83),"")</f>
        <v/>
      </c>
    </row>
    <row r="84" spans="1:26">
      <c r="A84" s="22"/>
      <c r="B84" s="22"/>
      <c r="C84" s="22"/>
      <c r="D84" s="22"/>
      <c r="E84" s="23"/>
      <c r="F84" s="23"/>
      <c r="G84" s="24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6"/>
      <c r="T84" s="23" t="str">
        <f t="shared" si="3"/>
        <v/>
      </c>
      <c r="U84" s="22" t="str">
        <f t="shared" si="4"/>
        <v/>
      </c>
      <c r="V84" s="18" t="str">
        <f t="shared" si="5"/>
        <v/>
      </c>
      <c r="W84" s="22"/>
      <c r="X84" s="22"/>
      <c r="Y84" s="27">
        <f>IF($C84="",0,IF(COUNTIF($C$5:$C84,$C84)=1,1,0))</f>
        <v>0</v>
      </c>
      <c r="Z84" t="str">
        <f>IF(Y84=1,SUM($Y$5:$Y84),"")</f>
        <v/>
      </c>
    </row>
    <row r="85" spans="1:26">
      <c r="A85" s="22"/>
      <c r="B85" s="22"/>
      <c r="C85" s="22"/>
      <c r="D85" s="22"/>
      <c r="E85" s="23"/>
      <c r="F85" s="23"/>
      <c r="G85" s="24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6"/>
      <c r="T85" s="23" t="str">
        <f t="shared" si="3"/>
        <v/>
      </c>
      <c r="U85" s="22" t="str">
        <f t="shared" si="4"/>
        <v/>
      </c>
      <c r="V85" s="18" t="str">
        <f t="shared" si="5"/>
        <v/>
      </c>
      <c r="W85" s="22"/>
      <c r="X85" s="22"/>
      <c r="Y85" s="27">
        <f>IF($C85="",0,IF(COUNTIF($C$5:$C85,$C85)=1,1,0))</f>
        <v>0</v>
      </c>
      <c r="Z85" t="str">
        <f>IF(Y85=1,SUM($Y$5:$Y85),"")</f>
        <v/>
      </c>
    </row>
    <row r="86" spans="1:26">
      <c r="A86" s="22"/>
      <c r="B86" s="22"/>
      <c r="C86" s="22"/>
      <c r="D86" s="22"/>
      <c r="E86" s="23"/>
      <c r="F86" s="23"/>
      <c r="G86" s="24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6"/>
      <c r="T86" s="23" t="str">
        <f t="shared" si="3"/>
        <v/>
      </c>
      <c r="U86" s="22" t="str">
        <f t="shared" si="4"/>
        <v/>
      </c>
      <c r="V86" s="18" t="str">
        <f t="shared" si="5"/>
        <v/>
      </c>
      <c r="W86" s="22"/>
      <c r="X86" s="22"/>
      <c r="Y86" s="27">
        <f>IF($C86="",0,IF(COUNTIF($C$5:$C86,$C86)=1,1,0))</f>
        <v>0</v>
      </c>
      <c r="Z86" t="str">
        <f>IF(Y86=1,SUM($Y$5:$Y86),"")</f>
        <v/>
      </c>
    </row>
    <row r="87" spans="1:26">
      <c r="A87" s="22"/>
      <c r="B87" s="22"/>
      <c r="C87" s="22"/>
      <c r="D87" s="22"/>
      <c r="E87" s="23"/>
      <c r="F87" s="23"/>
      <c r="G87" s="24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6"/>
      <c r="T87" s="23" t="str">
        <f t="shared" si="3"/>
        <v/>
      </c>
      <c r="U87" s="22" t="str">
        <f t="shared" si="4"/>
        <v/>
      </c>
      <c r="V87" s="18" t="str">
        <f t="shared" si="5"/>
        <v/>
      </c>
      <c r="W87" s="22"/>
      <c r="X87" s="22"/>
      <c r="Y87" s="27">
        <f>IF($C87="",0,IF(COUNTIF($C$5:$C87,$C87)=1,1,0))</f>
        <v>0</v>
      </c>
      <c r="Z87" t="str">
        <f>IF(Y87=1,SUM($Y$5:$Y87),"")</f>
        <v/>
      </c>
    </row>
    <row r="88" spans="1:26">
      <c r="A88" s="22"/>
      <c r="B88" s="22"/>
      <c r="C88" s="22"/>
      <c r="D88" s="22"/>
      <c r="E88" s="23"/>
      <c r="F88" s="23"/>
      <c r="G88" s="24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6"/>
      <c r="T88" s="23" t="str">
        <f t="shared" si="3"/>
        <v/>
      </c>
      <c r="U88" s="22" t="str">
        <f t="shared" si="4"/>
        <v/>
      </c>
      <c r="V88" s="18" t="str">
        <f t="shared" si="5"/>
        <v/>
      </c>
      <c r="W88" s="22"/>
      <c r="X88" s="22"/>
      <c r="Y88" s="27">
        <f>IF($C88="",0,IF(COUNTIF($C$5:$C88,$C88)=1,1,0))</f>
        <v>0</v>
      </c>
      <c r="Z88" t="str">
        <f>IF(Y88=1,SUM($Y$5:$Y88),"")</f>
        <v/>
      </c>
    </row>
    <row r="89" spans="1:26">
      <c r="A89" s="22"/>
      <c r="B89" s="22"/>
      <c r="C89" s="22"/>
      <c r="D89" s="22"/>
      <c r="E89" s="23"/>
      <c r="F89" s="23"/>
      <c r="G89" s="24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6"/>
      <c r="T89" s="23" t="str">
        <f t="shared" si="3"/>
        <v/>
      </c>
      <c r="U89" s="22" t="str">
        <f t="shared" si="4"/>
        <v/>
      </c>
      <c r="V89" s="18" t="str">
        <f t="shared" si="5"/>
        <v/>
      </c>
      <c r="W89" s="22"/>
      <c r="X89" s="22"/>
      <c r="Y89" s="27">
        <f>IF($C89="",0,IF(COUNTIF($C$5:$C89,$C89)=1,1,0))</f>
        <v>0</v>
      </c>
      <c r="Z89" t="str">
        <f>IF(Y89=1,SUM($Y$5:$Y89),"")</f>
        <v/>
      </c>
    </row>
    <row r="90" spans="1:26">
      <c r="A90" s="22"/>
      <c r="B90" s="22"/>
      <c r="C90" s="22"/>
      <c r="D90" s="22"/>
      <c r="E90" s="23"/>
      <c r="F90" s="23"/>
      <c r="G90" s="24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6"/>
      <c r="T90" s="23" t="str">
        <f t="shared" si="3"/>
        <v/>
      </c>
      <c r="U90" s="22" t="str">
        <f t="shared" si="4"/>
        <v/>
      </c>
      <c r="V90" s="18" t="str">
        <f t="shared" si="5"/>
        <v/>
      </c>
      <c r="W90" s="22"/>
      <c r="X90" s="22"/>
      <c r="Y90" s="27">
        <f>IF($C90="",0,IF(COUNTIF($C$5:$C90,$C90)=1,1,0))</f>
        <v>0</v>
      </c>
      <c r="Z90" t="str">
        <f>IF(Y90=1,SUM($Y$5:$Y90),"")</f>
        <v/>
      </c>
    </row>
    <row r="91" spans="1:26">
      <c r="A91" s="22"/>
      <c r="B91" s="22"/>
      <c r="C91" s="22"/>
      <c r="D91" s="22"/>
      <c r="E91" s="23"/>
      <c r="F91" s="23"/>
      <c r="G91" s="24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6"/>
      <c r="T91" s="23" t="str">
        <f t="shared" si="3"/>
        <v/>
      </c>
      <c r="U91" s="22" t="str">
        <f t="shared" si="4"/>
        <v/>
      </c>
      <c r="V91" s="18" t="str">
        <f t="shared" si="5"/>
        <v/>
      </c>
      <c r="W91" s="22"/>
      <c r="X91" s="22"/>
      <c r="Y91" s="27">
        <f>IF($C91="",0,IF(COUNTIF($C$5:$C91,$C91)=1,1,0))</f>
        <v>0</v>
      </c>
      <c r="Z91" t="str">
        <f>IF(Y91=1,SUM($Y$5:$Y91),"")</f>
        <v/>
      </c>
    </row>
    <row r="92" spans="1:26">
      <c r="A92" s="22"/>
      <c r="B92" s="22"/>
      <c r="C92" s="22"/>
      <c r="D92" s="22"/>
      <c r="E92" s="23"/>
      <c r="F92" s="23"/>
      <c r="G92" s="24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6"/>
      <c r="T92" s="23" t="str">
        <f t="shared" si="3"/>
        <v/>
      </c>
      <c r="U92" s="22" t="str">
        <f t="shared" si="4"/>
        <v/>
      </c>
      <c r="V92" s="18" t="str">
        <f t="shared" si="5"/>
        <v/>
      </c>
      <c r="W92" s="22"/>
      <c r="X92" s="22"/>
      <c r="Y92" s="27">
        <f>IF($C92="",0,IF(COUNTIF($C$5:$C92,$C92)=1,1,0))</f>
        <v>0</v>
      </c>
      <c r="Z92" t="str">
        <f>IF(Y92=1,SUM($Y$5:$Y92),"")</f>
        <v/>
      </c>
    </row>
    <row r="93" spans="1:26">
      <c r="A93" s="22"/>
      <c r="B93" s="22"/>
      <c r="C93" s="22"/>
      <c r="D93" s="22"/>
      <c r="E93" s="23"/>
      <c r="F93" s="23"/>
      <c r="G93" s="24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6"/>
      <c r="T93" s="23" t="str">
        <f t="shared" si="3"/>
        <v/>
      </c>
      <c r="U93" s="22" t="str">
        <f t="shared" si="4"/>
        <v/>
      </c>
      <c r="V93" s="18" t="str">
        <f t="shared" si="5"/>
        <v/>
      </c>
      <c r="W93" s="22"/>
      <c r="X93" s="22"/>
      <c r="Y93" s="27">
        <f>IF($C93="",0,IF(COUNTIF($C$5:$C93,$C93)=1,1,0))</f>
        <v>0</v>
      </c>
      <c r="Z93" t="str">
        <f>IF(Y93=1,SUM($Y$5:$Y93),"")</f>
        <v/>
      </c>
    </row>
    <row r="94" spans="1:26">
      <c r="A94" s="22"/>
      <c r="B94" s="22"/>
      <c r="C94" s="22"/>
      <c r="D94" s="22"/>
      <c r="E94" s="23"/>
      <c r="F94" s="23"/>
      <c r="G94" s="24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6"/>
      <c r="T94" s="23" t="str">
        <f t="shared" si="3"/>
        <v/>
      </c>
      <c r="U94" s="22" t="str">
        <f t="shared" si="4"/>
        <v/>
      </c>
      <c r="V94" s="18" t="str">
        <f t="shared" si="5"/>
        <v/>
      </c>
      <c r="W94" s="22"/>
      <c r="X94" s="22"/>
      <c r="Y94" s="27">
        <f>IF($C94="",0,IF(COUNTIF($C$5:$C94,$C94)=1,1,0))</f>
        <v>0</v>
      </c>
      <c r="Z94" t="str">
        <f>IF(Y94=1,SUM($Y$5:$Y94),"")</f>
        <v/>
      </c>
    </row>
    <row r="95" spans="1:26">
      <c r="A95" s="22"/>
      <c r="B95" s="22"/>
      <c r="C95" s="22"/>
      <c r="D95" s="22"/>
      <c r="E95" s="23"/>
      <c r="F95" s="23"/>
      <c r="G95" s="24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6"/>
      <c r="T95" s="23" t="str">
        <f t="shared" si="3"/>
        <v/>
      </c>
      <c r="U95" s="22" t="str">
        <f t="shared" si="4"/>
        <v/>
      </c>
      <c r="V95" s="18" t="str">
        <f t="shared" si="5"/>
        <v/>
      </c>
      <c r="W95" s="22"/>
      <c r="X95" s="22"/>
      <c r="Y95" s="27">
        <f>IF($C95="",0,IF(COUNTIF($C$5:$C95,$C95)=1,1,0))</f>
        <v>0</v>
      </c>
      <c r="Z95" t="str">
        <f>IF(Y95=1,SUM($Y$5:$Y95),"")</f>
        <v/>
      </c>
    </row>
    <row r="96" spans="1:26">
      <c r="A96" s="22"/>
      <c r="B96" s="22"/>
      <c r="C96" s="22"/>
      <c r="D96" s="22"/>
      <c r="E96" s="23"/>
      <c r="F96" s="23"/>
      <c r="G96" s="24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6"/>
      <c r="T96" s="23" t="str">
        <f t="shared" si="3"/>
        <v/>
      </c>
      <c r="U96" s="22" t="str">
        <f t="shared" si="4"/>
        <v/>
      </c>
      <c r="V96" s="18" t="str">
        <f t="shared" si="5"/>
        <v/>
      </c>
      <c r="W96" s="22"/>
      <c r="X96" s="22"/>
      <c r="Y96" s="27">
        <f>IF($C96="",0,IF(COUNTIF($C$5:$C96,$C96)=1,1,0))</f>
        <v>0</v>
      </c>
      <c r="Z96" t="str">
        <f>IF(Y96=1,SUM($Y$5:$Y96),"")</f>
        <v/>
      </c>
    </row>
    <row r="97" spans="1:26">
      <c r="A97" s="22"/>
      <c r="B97" s="22"/>
      <c r="C97" s="22"/>
      <c r="D97" s="22"/>
      <c r="E97" s="23"/>
      <c r="F97" s="23"/>
      <c r="G97" s="24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6"/>
      <c r="T97" s="23" t="str">
        <f t="shared" si="3"/>
        <v/>
      </c>
      <c r="U97" s="22" t="str">
        <f t="shared" si="4"/>
        <v/>
      </c>
      <c r="V97" s="18" t="str">
        <f t="shared" si="5"/>
        <v/>
      </c>
      <c r="W97" s="22"/>
      <c r="X97" s="22"/>
      <c r="Y97" s="27">
        <f>IF($C97="",0,IF(COUNTIF($C$5:$C97,$C97)=1,1,0))</f>
        <v>0</v>
      </c>
      <c r="Z97" t="str">
        <f>IF(Y97=1,SUM($Y$5:$Y97),"")</f>
        <v/>
      </c>
    </row>
    <row r="98" spans="1:26">
      <c r="A98" s="22"/>
      <c r="B98" s="22"/>
      <c r="C98" s="22"/>
      <c r="D98" s="22"/>
      <c r="E98" s="23"/>
      <c r="F98" s="23"/>
      <c r="G98" s="24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6"/>
      <c r="T98" s="23" t="str">
        <f t="shared" si="3"/>
        <v/>
      </c>
      <c r="U98" s="22" t="str">
        <f t="shared" si="4"/>
        <v/>
      </c>
      <c r="V98" s="18" t="str">
        <f t="shared" si="5"/>
        <v/>
      </c>
      <c r="W98" s="22"/>
      <c r="X98" s="22"/>
      <c r="Y98" s="27">
        <f>IF($C98="",0,IF(COUNTIF($C$5:$C98,$C98)=1,1,0))</f>
        <v>0</v>
      </c>
      <c r="Z98" t="str">
        <f>IF(Y98=1,SUM($Y$5:$Y98),"")</f>
        <v/>
      </c>
    </row>
    <row r="99" spans="1:26">
      <c r="A99" s="22"/>
      <c r="B99" s="22"/>
      <c r="C99" s="22"/>
      <c r="D99" s="22"/>
      <c r="E99" s="23"/>
      <c r="F99" s="23"/>
      <c r="G99" s="24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6"/>
      <c r="T99" s="23" t="str">
        <f t="shared" si="3"/>
        <v/>
      </c>
      <c r="U99" s="22" t="str">
        <f t="shared" si="4"/>
        <v/>
      </c>
      <c r="V99" s="18" t="str">
        <f t="shared" si="5"/>
        <v/>
      </c>
      <c r="W99" s="22"/>
      <c r="X99" s="22"/>
      <c r="Y99" s="27">
        <f>IF($C99="",0,IF(COUNTIF($C$5:$C99,$C99)=1,1,0))</f>
        <v>0</v>
      </c>
      <c r="Z99" t="str">
        <f>IF(Y99=1,SUM($Y$5:$Y99),"")</f>
        <v/>
      </c>
    </row>
    <row r="100" spans="1:26">
      <c r="A100" s="22"/>
      <c r="B100" s="22"/>
      <c r="C100" s="22"/>
      <c r="D100" s="22"/>
      <c r="E100" s="23"/>
      <c r="F100" s="23"/>
      <c r="G100" s="24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6"/>
      <c r="T100" s="23" t="str">
        <f t="shared" si="3"/>
        <v/>
      </c>
      <c r="U100" s="22" t="str">
        <f t="shared" si="4"/>
        <v/>
      </c>
      <c r="V100" s="18" t="str">
        <f t="shared" si="5"/>
        <v/>
      </c>
      <c r="W100" s="22"/>
      <c r="X100" s="22"/>
      <c r="Y100" s="27">
        <f>IF($C100="",0,IF(COUNTIF($C$5:$C100,$C100)=1,1,0))</f>
        <v>0</v>
      </c>
      <c r="Z100" t="str">
        <f>IF(Y100=1,SUM($Y$5:$Y100),"")</f>
        <v/>
      </c>
    </row>
    <row r="101" spans="1:26">
      <c r="A101" s="22"/>
      <c r="B101" s="22"/>
      <c r="C101" s="22"/>
      <c r="D101" s="22"/>
      <c r="E101" s="23"/>
      <c r="F101" s="23"/>
      <c r="G101" s="24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6"/>
      <c r="T101" s="23" t="str">
        <f t="shared" si="3"/>
        <v/>
      </c>
      <c r="U101" s="22" t="str">
        <f t="shared" si="4"/>
        <v/>
      </c>
      <c r="V101" s="18" t="str">
        <f t="shared" si="5"/>
        <v/>
      </c>
      <c r="W101" s="22"/>
      <c r="X101" s="22"/>
      <c r="Y101" s="27">
        <f>IF($C101="",0,IF(COUNTIF($C$5:$C101,$C101)=1,1,0))</f>
        <v>0</v>
      </c>
      <c r="Z101" t="str">
        <f>IF(Y101=1,SUM($Y$5:$Y101),"")</f>
        <v/>
      </c>
    </row>
    <row r="102" spans="1:26">
      <c r="A102" s="22"/>
      <c r="B102" s="22"/>
      <c r="C102" s="22"/>
      <c r="D102" s="22"/>
      <c r="E102" s="23"/>
      <c r="F102" s="23"/>
      <c r="G102" s="24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6"/>
      <c r="T102" s="23" t="str">
        <f t="shared" si="3"/>
        <v/>
      </c>
      <c r="U102" s="22" t="str">
        <f t="shared" si="4"/>
        <v/>
      </c>
      <c r="V102" s="18" t="str">
        <f t="shared" si="5"/>
        <v/>
      </c>
      <c r="W102" s="22"/>
      <c r="X102" s="22"/>
      <c r="Y102" s="27">
        <f>IF($C102="",0,IF(COUNTIF($C$5:$C102,$C102)=1,1,0))</f>
        <v>0</v>
      </c>
      <c r="Z102" t="str">
        <f>IF(Y102=1,SUM($Y$5:$Y102),"")</f>
        <v/>
      </c>
    </row>
    <row r="103" spans="1:26">
      <c r="A103" s="22"/>
      <c r="B103" s="22"/>
      <c r="C103" s="22"/>
      <c r="D103" s="22"/>
      <c r="E103" s="23"/>
      <c r="F103" s="23"/>
      <c r="G103" s="24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6"/>
      <c r="T103" s="23" t="str">
        <f t="shared" si="3"/>
        <v/>
      </c>
      <c r="U103" s="22" t="str">
        <f t="shared" si="4"/>
        <v/>
      </c>
      <c r="V103" s="18" t="str">
        <f t="shared" si="5"/>
        <v/>
      </c>
      <c r="W103" s="22"/>
      <c r="X103" s="22"/>
      <c r="Y103" s="27">
        <f>IF($C103="",0,IF(COUNTIF($C$5:$C103,$C103)=1,1,0))</f>
        <v>0</v>
      </c>
      <c r="Z103" t="str">
        <f>IF(Y103=1,SUM($Y$5:$Y103),"")</f>
        <v/>
      </c>
    </row>
    <row r="104" spans="1:26">
      <c r="A104" s="22"/>
      <c r="B104" s="22"/>
      <c r="C104" s="22"/>
      <c r="D104" s="22"/>
      <c r="E104" s="23"/>
      <c r="F104" s="23"/>
      <c r="G104" s="24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6"/>
      <c r="T104" s="23" t="str">
        <f t="shared" si="3"/>
        <v/>
      </c>
      <c r="U104" s="22" t="str">
        <f t="shared" si="4"/>
        <v/>
      </c>
      <c r="V104" s="18" t="str">
        <f t="shared" si="5"/>
        <v/>
      </c>
      <c r="W104" s="22"/>
      <c r="X104" s="22"/>
      <c r="Y104" s="27">
        <f>IF($C104="",0,IF(COUNTIF($C$5:$C104,$C104)=1,1,0))</f>
        <v>0</v>
      </c>
      <c r="Z104" t="str">
        <f>IF(Y104=1,SUM($Y$5:$Y104),"")</f>
        <v/>
      </c>
    </row>
    <row r="105" spans="1:26">
      <c r="A105" s="22"/>
      <c r="B105" s="22"/>
      <c r="C105" s="22"/>
      <c r="D105" s="22"/>
      <c r="E105" s="23"/>
      <c r="F105" s="23"/>
      <c r="G105" s="24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6"/>
      <c r="T105" s="23" t="str">
        <f t="shared" si="3"/>
        <v/>
      </c>
      <c r="U105" s="22" t="str">
        <f t="shared" si="4"/>
        <v/>
      </c>
      <c r="V105" s="18" t="str">
        <f t="shared" si="5"/>
        <v/>
      </c>
      <c r="W105" s="22"/>
      <c r="X105" s="22"/>
      <c r="Y105" s="27">
        <f>IF($C105="",0,IF(COUNTIF($C$5:$C105,$C105)=1,1,0))</f>
        <v>0</v>
      </c>
      <c r="Z105" t="str">
        <f>IF(Y105=1,SUM($Y$5:$Y105),"")</f>
        <v/>
      </c>
    </row>
    <row r="106" spans="1:26">
      <c r="A106" s="22"/>
      <c r="B106" s="22"/>
      <c r="C106" s="22"/>
      <c r="D106" s="22"/>
      <c r="E106" s="23"/>
      <c r="F106" s="23"/>
      <c r="G106" s="24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6"/>
      <c r="T106" s="23" t="str">
        <f t="shared" si="3"/>
        <v/>
      </c>
      <c r="U106" s="22" t="str">
        <f t="shared" si="4"/>
        <v/>
      </c>
      <c r="V106" s="18" t="str">
        <f t="shared" si="5"/>
        <v/>
      </c>
      <c r="W106" s="22"/>
      <c r="X106" s="22"/>
      <c r="Y106" s="27">
        <f>IF($C106="",0,IF(COUNTIF($C$5:$C106,$C106)=1,1,0))</f>
        <v>0</v>
      </c>
      <c r="Z106" t="str">
        <f>IF(Y106=1,SUM($Y$5:$Y106),"")</f>
        <v/>
      </c>
    </row>
    <row r="107" spans="1:26">
      <c r="A107" s="22"/>
      <c r="B107" s="22"/>
      <c r="C107" s="22"/>
      <c r="D107" s="22"/>
      <c r="E107" s="23"/>
      <c r="F107" s="23"/>
      <c r="G107" s="24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6"/>
      <c r="T107" s="23" t="str">
        <f t="shared" si="3"/>
        <v/>
      </c>
      <c r="U107" s="22" t="str">
        <f t="shared" si="4"/>
        <v/>
      </c>
      <c r="V107" s="18" t="str">
        <f t="shared" si="5"/>
        <v/>
      </c>
      <c r="W107" s="22"/>
      <c r="X107" s="22"/>
      <c r="Y107" s="27">
        <f>IF($C107="",0,IF(COUNTIF($C$5:$C107,$C107)=1,1,0))</f>
        <v>0</v>
      </c>
      <c r="Z107" t="str">
        <f>IF(Y107=1,SUM($Y$5:$Y107),"")</f>
        <v/>
      </c>
    </row>
    <row r="108" spans="1:26">
      <c r="A108" s="22"/>
      <c r="B108" s="22"/>
      <c r="C108" s="22"/>
      <c r="D108" s="22"/>
      <c r="E108" s="23"/>
      <c r="F108" s="23"/>
      <c r="G108" s="24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6"/>
      <c r="T108" s="23" t="str">
        <f t="shared" si="3"/>
        <v/>
      </c>
      <c r="U108" s="22" t="str">
        <f t="shared" si="4"/>
        <v/>
      </c>
      <c r="V108" s="18" t="str">
        <f t="shared" si="5"/>
        <v/>
      </c>
      <c r="W108" s="22"/>
      <c r="X108" s="22"/>
      <c r="Y108" s="27">
        <f>IF($C108="",0,IF(COUNTIF($C$5:$C108,$C108)=1,1,0))</f>
        <v>0</v>
      </c>
      <c r="Z108" t="str">
        <f>IF(Y108=1,SUM($Y$5:$Y108),"")</f>
        <v/>
      </c>
    </row>
    <row r="109" spans="1:26">
      <c r="A109" s="22"/>
      <c r="B109" s="22"/>
      <c r="C109" s="22"/>
      <c r="D109" s="22"/>
      <c r="E109" s="23"/>
      <c r="F109" s="23"/>
      <c r="G109" s="24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6"/>
      <c r="T109" s="23" t="str">
        <f t="shared" si="3"/>
        <v/>
      </c>
      <c r="U109" s="22" t="str">
        <f t="shared" si="4"/>
        <v/>
      </c>
      <c r="V109" s="18" t="str">
        <f t="shared" si="5"/>
        <v/>
      </c>
      <c r="W109" s="22"/>
      <c r="X109" s="22"/>
      <c r="Y109" s="27">
        <f>IF($C109="",0,IF(COUNTIF($C$5:$C109,$C109)=1,1,0))</f>
        <v>0</v>
      </c>
      <c r="Z109" t="str">
        <f>IF(Y109=1,SUM($Y$5:$Y109),"")</f>
        <v/>
      </c>
    </row>
    <row r="110" spans="1:26">
      <c r="A110" s="22"/>
      <c r="B110" s="22"/>
      <c r="C110" s="22"/>
      <c r="D110" s="22"/>
      <c r="E110" s="23"/>
      <c r="F110" s="23"/>
      <c r="G110" s="24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6"/>
      <c r="T110" s="23" t="str">
        <f t="shared" si="3"/>
        <v/>
      </c>
      <c r="U110" s="22" t="str">
        <f t="shared" si="4"/>
        <v/>
      </c>
      <c r="V110" s="18" t="str">
        <f t="shared" si="5"/>
        <v/>
      </c>
      <c r="W110" s="22"/>
      <c r="X110" s="22"/>
      <c r="Y110" s="27">
        <f>IF($C110="",0,IF(COUNTIF($C$5:$C110,$C110)=1,1,0))</f>
        <v>0</v>
      </c>
      <c r="Z110" t="str">
        <f>IF(Y110=1,SUM($Y$5:$Y110),"")</f>
        <v/>
      </c>
    </row>
    <row r="111" spans="1:26">
      <c r="A111" s="22"/>
      <c r="B111" s="22"/>
      <c r="C111" s="22"/>
      <c r="D111" s="22"/>
      <c r="E111" s="23"/>
      <c r="F111" s="23"/>
      <c r="G111" s="24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6"/>
      <c r="T111" s="23" t="str">
        <f t="shared" si="3"/>
        <v/>
      </c>
      <c r="U111" s="22" t="str">
        <f t="shared" si="4"/>
        <v/>
      </c>
      <c r="V111" s="18" t="str">
        <f t="shared" si="5"/>
        <v/>
      </c>
      <c r="W111" s="22"/>
      <c r="X111" s="22"/>
      <c r="Y111" s="27">
        <f>IF($C111="",0,IF(COUNTIF($C$5:$C111,$C111)=1,1,0))</f>
        <v>0</v>
      </c>
      <c r="Z111" t="str">
        <f>IF(Y111=1,SUM($Y$5:$Y111),"")</f>
        <v/>
      </c>
    </row>
    <row r="112" spans="1:26">
      <c r="A112" s="22"/>
      <c r="B112" s="22"/>
      <c r="C112" s="22"/>
      <c r="D112" s="22"/>
      <c r="E112" s="23"/>
      <c r="F112" s="23"/>
      <c r="G112" s="24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6"/>
      <c r="T112" s="23" t="str">
        <f t="shared" si="3"/>
        <v/>
      </c>
      <c r="U112" s="22" t="str">
        <f t="shared" si="4"/>
        <v/>
      </c>
      <c r="V112" s="18" t="str">
        <f t="shared" si="5"/>
        <v/>
      </c>
      <c r="W112" s="22"/>
      <c r="X112" s="22"/>
      <c r="Y112" s="27">
        <f>IF($C112="",0,IF(COUNTIF($C$5:$C112,$C112)=1,1,0))</f>
        <v>0</v>
      </c>
      <c r="Z112" t="str">
        <f>IF(Y112=1,SUM($Y$5:$Y112),"")</f>
        <v/>
      </c>
    </row>
    <row r="113" spans="1:26">
      <c r="A113" s="22"/>
      <c r="B113" s="22"/>
      <c r="C113" s="22"/>
      <c r="D113" s="22"/>
      <c r="E113" s="23"/>
      <c r="F113" s="23"/>
      <c r="G113" s="24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6"/>
      <c r="T113" s="23" t="str">
        <f t="shared" si="3"/>
        <v/>
      </c>
      <c r="U113" s="22" t="str">
        <f t="shared" si="4"/>
        <v/>
      </c>
      <c r="V113" s="18" t="str">
        <f t="shared" si="5"/>
        <v/>
      </c>
      <c r="W113" s="22"/>
      <c r="X113" s="22"/>
      <c r="Y113" s="27">
        <f>IF($C113="",0,IF(COUNTIF($C$5:$C113,$C113)=1,1,0))</f>
        <v>0</v>
      </c>
      <c r="Z113" t="str">
        <f>IF(Y113=1,SUM($Y$5:$Y113),"")</f>
        <v/>
      </c>
    </row>
    <row r="114" spans="1:26">
      <c r="A114" s="22"/>
      <c r="B114" s="22"/>
      <c r="C114" s="22"/>
      <c r="D114" s="22"/>
      <c r="E114" s="23"/>
      <c r="F114" s="23"/>
      <c r="G114" s="24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6"/>
      <c r="T114" s="23" t="str">
        <f t="shared" si="3"/>
        <v/>
      </c>
      <c r="U114" s="22" t="str">
        <f t="shared" si="4"/>
        <v/>
      </c>
      <c r="V114" s="18" t="str">
        <f t="shared" si="5"/>
        <v/>
      </c>
      <c r="W114" s="22"/>
      <c r="X114" s="22"/>
      <c r="Y114" s="27">
        <f>IF($C114="",0,IF(COUNTIF($C$5:$C114,$C114)=1,1,0))</f>
        <v>0</v>
      </c>
      <c r="Z114" t="str">
        <f>IF(Y114=1,SUM($Y$5:$Y114),"")</f>
        <v/>
      </c>
    </row>
    <row r="115" spans="1:26">
      <c r="A115" s="22"/>
      <c r="B115" s="22"/>
      <c r="C115" s="22"/>
      <c r="D115" s="22"/>
      <c r="E115" s="23"/>
      <c r="F115" s="23"/>
      <c r="G115" s="24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6"/>
      <c r="T115" s="23" t="str">
        <f t="shared" si="3"/>
        <v/>
      </c>
      <c r="U115" s="22" t="str">
        <f t="shared" si="4"/>
        <v/>
      </c>
      <c r="V115" s="18" t="str">
        <f t="shared" si="5"/>
        <v/>
      </c>
      <c r="W115" s="22"/>
      <c r="X115" s="22"/>
      <c r="Y115" s="27">
        <f>IF($C115="",0,IF(COUNTIF($C$5:$C115,$C115)=1,1,0))</f>
        <v>0</v>
      </c>
      <c r="Z115" t="str">
        <f>IF(Y115=1,SUM($Y$5:$Y115),"")</f>
        <v/>
      </c>
    </row>
    <row r="116" spans="1:26">
      <c r="A116" s="22"/>
      <c r="B116" s="22"/>
      <c r="C116" s="22"/>
      <c r="D116" s="22"/>
      <c r="E116" s="23"/>
      <c r="F116" s="23"/>
      <c r="G116" s="24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6"/>
      <c r="T116" s="23" t="str">
        <f t="shared" si="3"/>
        <v/>
      </c>
      <c r="U116" s="22" t="str">
        <f t="shared" si="4"/>
        <v/>
      </c>
      <c r="V116" s="18" t="str">
        <f t="shared" si="5"/>
        <v/>
      </c>
      <c r="W116" s="22"/>
      <c r="X116" s="22"/>
      <c r="Y116" s="27">
        <f>IF($C116="",0,IF(COUNTIF($C$5:$C116,$C116)=1,1,0))</f>
        <v>0</v>
      </c>
      <c r="Z116" t="str">
        <f>IF(Y116=1,SUM($Y$5:$Y116),"")</f>
        <v/>
      </c>
    </row>
    <row r="117" spans="1:26">
      <c r="A117" s="22"/>
      <c r="B117" s="22"/>
      <c r="C117" s="22"/>
      <c r="D117" s="22"/>
      <c r="E117" s="23"/>
      <c r="F117" s="23"/>
      <c r="G117" s="24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6"/>
      <c r="T117" s="23" t="str">
        <f t="shared" si="3"/>
        <v/>
      </c>
      <c r="U117" s="22" t="str">
        <f t="shared" si="4"/>
        <v/>
      </c>
      <c r="V117" s="18" t="str">
        <f t="shared" si="5"/>
        <v/>
      </c>
      <c r="W117" s="22"/>
      <c r="X117" s="22"/>
      <c r="Y117" s="27">
        <f>IF($C117="",0,IF(COUNTIF($C$5:$C117,$C117)=1,1,0))</f>
        <v>0</v>
      </c>
      <c r="Z117" t="str">
        <f>IF(Y117=1,SUM($Y$5:$Y117),"")</f>
        <v/>
      </c>
    </row>
    <row r="118" spans="1:26">
      <c r="A118" s="22"/>
      <c r="B118" s="22"/>
      <c r="C118" s="22"/>
      <c r="D118" s="22"/>
      <c r="E118" s="23"/>
      <c r="F118" s="23"/>
      <c r="G118" s="24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6"/>
      <c r="T118" s="23" t="str">
        <f t="shared" si="3"/>
        <v/>
      </c>
      <c r="U118" s="22" t="str">
        <f t="shared" si="4"/>
        <v/>
      </c>
      <c r="V118" s="18" t="str">
        <f t="shared" si="5"/>
        <v/>
      </c>
      <c r="W118" s="22"/>
      <c r="X118" s="22"/>
      <c r="Y118" s="27">
        <f>IF($C118="",0,IF(COUNTIF($C$5:$C118,$C118)=1,1,0))</f>
        <v>0</v>
      </c>
      <c r="Z118" t="str">
        <f>IF(Y118=1,SUM($Y$5:$Y118),"")</f>
        <v/>
      </c>
    </row>
    <row r="119" spans="1:26">
      <c r="A119" s="22"/>
      <c r="B119" s="22"/>
      <c r="C119" s="22"/>
      <c r="D119" s="22"/>
      <c r="E119" s="23"/>
      <c r="F119" s="23"/>
      <c r="G119" s="24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6"/>
      <c r="T119" s="23" t="str">
        <f t="shared" si="3"/>
        <v/>
      </c>
      <c r="U119" s="22" t="str">
        <f t="shared" si="4"/>
        <v/>
      </c>
      <c r="V119" s="18" t="str">
        <f t="shared" si="5"/>
        <v/>
      </c>
      <c r="W119" s="22"/>
      <c r="X119" s="22"/>
      <c r="Y119" s="27">
        <f>IF($C119="",0,IF(COUNTIF($C$5:$C119,$C119)=1,1,0))</f>
        <v>0</v>
      </c>
      <c r="Z119" t="str">
        <f>IF(Y119=1,SUM($Y$5:$Y119),"")</f>
        <v/>
      </c>
    </row>
    <row r="120" spans="1:26">
      <c r="A120" s="22"/>
      <c r="B120" s="22"/>
      <c r="C120" s="22"/>
      <c r="D120" s="22"/>
      <c r="E120" s="23"/>
      <c r="F120" s="23"/>
      <c r="G120" s="24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6"/>
      <c r="T120" s="23" t="str">
        <f t="shared" si="3"/>
        <v/>
      </c>
      <c r="U120" s="22" t="str">
        <f t="shared" si="4"/>
        <v/>
      </c>
      <c r="V120" s="18" t="str">
        <f t="shared" si="5"/>
        <v/>
      </c>
      <c r="W120" s="22"/>
      <c r="X120" s="22"/>
      <c r="Y120" s="27">
        <f>IF($C120="",0,IF(COUNTIF($C$5:$C120,$C120)=1,1,0))</f>
        <v>0</v>
      </c>
      <c r="Z120" t="str">
        <f>IF(Y120=1,SUM($Y$5:$Y120),"")</f>
        <v/>
      </c>
    </row>
    <row r="121" spans="1:26">
      <c r="A121" s="22"/>
      <c r="B121" s="22"/>
      <c r="C121" s="22"/>
      <c r="D121" s="22"/>
      <c r="E121" s="23"/>
      <c r="F121" s="23"/>
      <c r="G121" s="24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6"/>
      <c r="T121" s="23" t="str">
        <f t="shared" si="3"/>
        <v/>
      </c>
      <c r="U121" s="22" t="str">
        <f t="shared" si="4"/>
        <v/>
      </c>
      <c r="V121" s="18" t="str">
        <f t="shared" si="5"/>
        <v/>
      </c>
      <c r="W121" s="22"/>
      <c r="X121" s="22"/>
      <c r="Y121" s="27">
        <f>IF($C121="",0,IF(COUNTIF($C$5:$C121,$C121)=1,1,0))</f>
        <v>0</v>
      </c>
      <c r="Z121" t="str">
        <f>IF(Y121=1,SUM($Y$5:$Y121),"")</f>
        <v/>
      </c>
    </row>
    <row r="122" spans="1:26">
      <c r="A122" s="22"/>
      <c r="B122" s="22"/>
      <c r="C122" s="22"/>
      <c r="D122" s="22"/>
      <c r="E122" s="23"/>
      <c r="F122" s="23"/>
      <c r="G122" s="24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6"/>
      <c r="T122" s="23" t="str">
        <f t="shared" si="3"/>
        <v/>
      </c>
      <c r="U122" s="22" t="str">
        <f t="shared" si="4"/>
        <v/>
      </c>
      <c r="V122" s="18" t="str">
        <f t="shared" si="5"/>
        <v/>
      </c>
      <c r="W122" s="22"/>
      <c r="X122" s="22"/>
      <c r="Y122" s="27">
        <f>IF($C122="",0,IF(COUNTIF($C$5:$C122,$C122)=1,1,0))</f>
        <v>0</v>
      </c>
      <c r="Z122" t="str">
        <f>IF(Y122=1,SUM($Y$5:$Y122),"")</f>
        <v/>
      </c>
    </row>
    <row r="123" spans="1:26">
      <c r="A123" s="22"/>
      <c r="B123" s="22"/>
      <c r="C123" s="22"/>
      <c r="D123" s="22"/>
      <c r="E123" s="23"/>
      <c r="F123" s="23"/>
      <c r="G123" s="24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6"/>
      <c r="T123" s="23" t="str">
        <f t="shared" si="3"/>
        <v/>
      </c>
      <c r="U123" s="22" t="str">
        <f t="shared" si="4"/>
        <v/>
      </c>
      <c r="V123" s="18" t="str">
        <f t="shared" si="5"/>
        <v/>
      </c>
      <c r="W123" s="22"/>
      <c r="X123" s="22"/>
      <c r="Y123" s="27">
        <f>IF($C123="",0,IF(COUNTIF($C$5:$C123,$C123)=1,1,0))</f>
        <v>0</v>
      </c>
      <c r="Z123" t="str">
        <f>IF(Y123=1,SUM($Y$5:$Y123),"")</f>
        <v/>
      </c>
    </row>
    <row r="124" spans="1:26">
      <c r="A124" s="22"/>
      <c r="B124" s="22"/>
      <c r="C124" s="22"/>
      <c r="D124" s="22"/>
      <c r="E124" s="23"/>
      <c r="F124" s="23"/>
      <c r="G124" s="24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6"/>
      <c r="T124" s="23" t="str">
        <f t="shared" si="3"/>
        <v/>
      </c>
      <c r="U124" s="22" t="str">
        <f t="shared" si="4"/>
        <v/>
      </c>
      <c r="V124" s="18" t="str">
        <f t="shared" si="5"/>
        <v/>
      </c>
      <c r="W124" s="22"/>
      <c r="X124" s="22"/>
      <c r="Y124" s="27">
        <f>IF($C124="",0,IF(COUNTIF($C$5:$C124,$C124)=1,1,0))</f>
        <v>0</v>
      </c>
      <c r="Z124" t="str">
        <f>IF(Y124=1,SUM($Y$5:$Y124),"")</f>
        <v/>
      </c>
    </row>
    <row r="125" spans="1:26">
      <c r="A125" s="22"/>
      <c r="B125" s="22"/>
      <c r="C125" s="22"/>
      <c r="D125" s="22"/>
      <c r="E125" s="23"/>
      <c r="F125" s="23"/>
      <c r="G125" s="24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6"/>
      <c r="T125" s="23" t="str">
        <f t="shared" si="3"/>
        <v/>
      </c>
      <c r="U125" s="22" t="str">
        <f t="shared" si="4"/>
        <v/>
      </c>
      <c r="V125" s="18" t="str">
        <f t="shared" si="5"/>
        <v/>
      </c>
      <c r="W125" s="22"/>
      <c r="X125" s="22"/>
      <c r="Y125" s="27">
        <f>IF($C125="",0,IF(COUNTIF($C$5:$C125,$C125)=1,1,0))</f>
        <v>0</v>
      </c>
      <c r="Z125" t="str">
        <f>IF(Y125=1,SUM($Y$5:$Y125),"")</f>
        <v/>
      </c>
    </row>
    <row r="126" spans="1:26">
      <c r="A126" s="22"/>
      <c r="B126" s="22"/>
      <c r="C126" s="22"/>
      <c r="D126" s="22"/>
      <c r="E126" s="23"/>
      <c r="F126" s="23"/>
      <c r="G126" s="24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6"/>
      <c r="T126" s="23" t="str">
        <f t="shared" si="3"/>
        <v/>
      </c>
      <c r="U126" s="22" t="str">
        <f t="shared" si="4"/>
        <v/>
      </c>
      <c r="V126" s="18" t="str">
        <f t="shared" si="5"/>
        <v/>
      </c>
      <c r="W126" s="22"/>
      <c r="X126" s="22"/>
      <c r="Y126" s="27">
        <f>IF($C126="",0,IF(COUNTIF($C$5:$C126,$C126)=1,1,0))</f>
        <v>0</v>
      </c>
      <c r="Z126" t="str">
        <f>IF(Y126=1,SUM($Y$5:$Y126),"")</f>
        <v/>
      </c>
    </row>
    <row r="127" spans="1:26">
      <c r="A127" s="22"/>
      <c r="B127" s="22"/>
      <c r="C127" s="22"/>
      <c r="D127" s="22"/>
      <c r="E127" s="23"/>
      <c r="F127" s="23"/>
      <c r="G127" s="24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6"/>
      <c r="T127" s="23" t="str">
        <f t="shared" si="3"/>
        <v/>
      </c>
      <c r="U127" s="22" t="str">
        <f t="shared" si="4"/>
        <v/>
      </c>
      <c r="V127" s="18" t="str">
        <f t="shared" si="5"/>
        <v/>
      </c>
      <c r="W127" s="22"/>
      <c r="X127" s="22"/>
      <c r="Y127" s="27">
        <f>IF($C127="",0,IF(COUNTIF($C$5:$C127,$C127)=1,1,0))</f>
        <v>0</v>
      </c>
      <c r="Z127" t="str">
        <f>IF(Y127=1,SUM($Y$5:$Y127),"")</f>
        <v/>
      </c>
    </row>
    <row r="128" spans="1:26">
      <c r="A128" s="22"/>
      <c r="B128" s="22"/>
      <c r="C128" s="22"/>
      <c r="D128" s="22"/>
      <c r="E128" s="23"/>
      <c r="F128" s="23"/>
      <c r="G128" s="24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6"/>
      <c r="T128" s="23" t="str">
        <f t="shared" si="3"/>
        <v/>
      </c>
      <c r="U128" s="22" t="str">
        <f t="shared" si="4"/>
        <v/>
      </c>
      <c r="V128" s="18" t="str">
        <f t="shared" si="5"/>
        <v/>
      </c>
      <c r="W128" s="22"/>
      <c r="X128" s="22"/>
      <c r="Y128" s="27">
        <f>IF($C128="",0,IF(COUNTIF($C$5:$C128,$C128)=1,1,0))</f>
        <v>0</v>
      </c>
      <c r="Z128" t="str">
        <f>IF(Y128=1,SUM($Y$5:$Y128),"")</f>
        <v/>
      </c>
    </row>
    <row r="129" spans="1:26">
      <c r="A129" s="22"/>
      <c r="B129" s="22"/>
      <c r="C129" s="22"/>
      <c r="D129" s="22"/>
      <c r="E129" s="23"/>
      <c r="F129" s="23"/>
      <c r="G129" s="24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6"/>
      <c r="T129" s="23" t="str">
        <f t="shared" si="3"/>
        <v/>
      </c>
      <c r="U129" s="22" t="str">
        <f t="shared" si="4"/>
        <v/>
      </c>
      <c r="V129" s="18" t="str">
        <f t="shared" si="5"/>
        <v/>
      </c>
      <c r="W129" s="22"/>
      <c r="X129" s="22"/>
      <c r="Y129" s="27">
        <f>IF($C129="",0,IF(COUNTIF($C$5:$C129,$C129)=1,1,0))</f>
        <v>0</v>
      </c>
      <c r="Z129" t="str">
        <f>IF(Y129=1,SUM($Y$5:$Y129),"")</f>
        <v/>
      </c>
    </row>
    <row r="130" spans="1:26">
      <c r="A130" s="22"/>
      <c r="B130" s="22"/>
      <c r="C130" s="22"/>
      <c r="D130" s="22"/>
      <c r="E130" s="23"/>
      <c r="F130" s="23"/>
      <c r="G130" s="24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6"/>
      <c r="T130" s="23" t="str">
        <f t="shared" si="3"/>
        <v/>
      </c>
      <c r="U130" s="22" t="str">
        <f t="shared" si="4"/>
        <v/>
      </c>
      <c r="V130" s="18" t="str">
        <f t="shared" si="5"/>
        <v/>
      </c>
      <c r="W130" s="22"/>
      <c r="X130" s="22"/>
      <c r="Y130" s="27">
        <f>IF($C130="",0,IF(COUNTIF($C$5:$C130,$C130)=1,1,0))</f>
        <v>0</v>
      </c>
      <c r="Z130" t="str">
        <f>IF(Y130=1,SUM($Y$5:$Y130),"")</f>
        <v/>
      </c>
    </row>
    <row r="131" spans="1:26">
      <c r="A131" s="22"/>
      <c r="B131" s="22"/>
      <c r="C131" s="22"/>
      <c r="D131" s="22"/>
      <c r="E131" s="23"/>
      <c r="F131" s="23"/>
      <c r="G131" s="24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6"/>
      <c r="T131" s="23" t="str">
        <f t="shared" si="3"/>
        <v/>
      </c>
      <c r="U131" s="22" t="str">
        <f t="shared" si="4"/>
        <v/>
      </c>
      <c r="V131" s="18" t="str">
        <f t="shared" si="5"/>
        <v/>
      </c>
      <c r="W131" s="22"/>
      <c r="X131" s="22"/>
      <c r="Y131" s="27">
        <f>IF($C131="",0,IF(COUNTIF($C$5:$C131,$C131)=1,1,0))</f>
        <v>0</v>
      </c>
      <c r="Z131" t="str">
        <f>IF(Y131=1,SUM($Y$5:$Y131),"")</f>
        <v/>
      </c>
    </row>
    <row r="132" spans="1:26">
      <c r="A132" s="22"/>
      <c r="B132" s="22"/>
      <c r="C132" s="22"/>
      <c r="D132" s="22"/>
      <c r="E132" s="23"/>
      <c r="F132" s="23"/>
      <c r="G132" s="24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6"/>
      <c r="T132" s="23" t="str">
        <f t="shared" si="3"/>
        <v/>
      </c>
      <c r="U132" s="22" t="str">
        <f t="shared" si="4"/>
        <v/>
      </c>
      <c r="V132" s="18" t="str">
        <f t="shared" si="5"/>
        <v/>
      </c>
      <c r="W132" s="22"/>
      <c r="X132" s="22"/>
      <c r="Y132" s="27">
        <f>IF($C132="",0,IF(COUNTIF($C$5:$C132,$C132)=1,1,0))</f>
        <v>0</v>
      </c>
      <c r="Z132" t="str">
        <f>IF(Y132=1,SUM($Y$5:$Y132),"")</f>
        <v/>
      </c>
    </row>
    <row r="133" spans="1:26">
      <c r="A133" s="22"/>
      <c r="B133" s="22"/>
      <c r="C133" s="22"/>
      <c r="D133" s="22"/>
      <c r="E133" s="23"/>
      <c r="F133" s="23"/>
      <c r="G133" s="24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6"/>
      <c r="T133" s="23" t="str">
        <f t="shared" ref="T133:T196" si="6">IF($D133="","",COUNTIF($H133:$R133,"V"))</f>
        <v/>
      </c>
      <c r="U133" s="22" t="str">
        <f t="shared" ref="U133:U196" si="7">IF($D133="","",IF(AND($S133="V",$T133&gt;0),"⚠ 勾選矛盾",IF($S133="V","○ 免調理",IF($T133=0,"⚠ 資料缺漏",IF($T133=1,"▲ 單一設備依賴","OK")))))</f>
        <v/>
      </c>
      <c r="V133" s="18" t="str">
        <f t="shared" ref="V133:V196" si="8">IF($D133="","",IF(AND($S133="V",$T133&gt;0),"「無使用調理設備」不可與設備欄同時勾選，請擇一修正",IF($S133="V","免調理半成品（外購/僅切配等），不列入設備風險評估",IF($T133=0,"未勾選任何設備，請補填或勾選「無使用調理設備」",IF($T133=1,"僅依賴1台設備，須確認故障/排修時之備援製程","無異常")))))</f>
        <v/>
      </c>
      <c r="W133" s="22"/>
      <c r="X133" s="22"/>
      <c r="Y133" s="27">
        <f>IF($C133="",0,IF(COUNTIF($C$5:$C133,$C133)=1,1,0))</f>
        <v>0</v>
      </c>
      <c r="Z133" t="str">
        <f>IF(Y133=1,SUM($Y$5:$Y133),"")</f>
        <v/>
      </c>
    </row>
    <row r="134" spans="1:26">
      <c r="A134" s="22"/>
      <c r="B134" s="22"/>
      <c r="C134" s="22"/>
      <c r="D134" s="22"/>
      <c r="E134" s="23"/>
      <c r="F134" s="23"/>
      <c r="G134" s="24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6"/>
      <c r="T134" s="23" t="str">
        <f t="shared" si="6"/>
        <v/>
      </c>
      <c r="U134" s="22" t="str">
        <f t="shared" si="7"/>
        <v/>
      </c>
      <c r="V134" s="18" t="str">
        <f t="shared" si="8"/>
        <v/>
      </c>
      <c r="W134" s="22"/>
      <c r="X134" s="22"/>
      <c r="Y134" s="27">
        <f>IF($C134="",0,IF(COUNTIF($C$5:$C134,$C134)=1,1,0))</f>
        <v>0</v>
      </c>
      <c r="Z134" t="str">
        <f>IF(Y134=1,SUM($Y$5:$Y134),"")</f>
        <v/>
      </c>
    </row>
    <row r="135" spans="1:26">
      <c r="A135" s="22"/>
      <c r="B135" s="22"/>
      <c r="C135" s="22"/>
      <c r="D135" s="22"/>
      <c r="E135" s="23"/>
      <c r="F135" s="23"/>
      <c r="G135" s="24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6"/>
      <c r="T135" s="23" t="str">
        <f t="shared" si="6"/>
        <v/>
      </c>
      <c r="U135" s="22" t="str">
        <f t="shared" si="7"/>
        <v/>
      </c>
      <c r="V135" s="18" t="str">
        <f t="shared" si="8"/>
        <v/>
      </c>
      <c r="W135" s="22"/>
      <c r="X135" s="22"/>
      <c r="Y135" s="27">
        <f>IF($C135="",0,IF(COUNTIF($C$5:$C135,$C135)=1,1,0))</f>
        <v>0</v>
      </c>
      <c r="Z135" t="str">
        <f>IF(Y135=1,SUM($Y$5:$Y135),"")</f>
        <v/>
      </c>
    </row>
    <row r="136" spans="1:26">
      <c r="A136" s="22"/>
      <c r="B136" s="22"/>
      <c r="C136" s="22"/>
      <c r="D136" s="22"/>
      <c r="E136" s="23"/>
      <c r="F136" s="23"/>
      <c r="G136" s="24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6"/>
      <c r="T136" s="23" t="str">
        <f t="shared" si="6"/>
        <v/>
      </c>
      <c r="U136" s="22" t="str">
        <f t="shared" si="7"/>
        <v/>
      </c>
      <c r="V136" s="18" t="str">
        <f t="shared" si="8"/>
        <v/>
      </c>
      <c r="W136" s="22"/>
      <c r="X136" s="22"/>
      <c r="Y136" s="27">
        <f>IF($C136="",0,IF(COUNTIF($C$5:$C136,$C136)=1,1,0))</f>
        <v>0</v>
      </c>
      <c r="Z136" t="str">
        <f>IF(Y136=1,SUM($Y$5:$Y136),"")</f>
        <v/>
      </c>
    </row>
    <row r="137" spans="1:26">
      <c r="A137" s="22"/>
      <c r="B137" s="22"/>
      <c r="C137" s="22"/>
      <c r="D137" s="22"/>
      <c r="E137" s="23"/>
      <c r="F137" s="23"/>
      <c r="G137" s="24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6"/>
      <c r="T137" s="23" t="str">
        <f t="shared" si="6"/>
        <v/>
      </c>
      <c r="U137" s="22" t="str">
        <f t="shared" si="7"/>
        <v/>
      </c>
      <c r="V137" s="18" t="str">
        <f t="shared" si="8"/>
        <v/>
      </c>
      <c r="W137" s="22"/>
      <c r="X137" s="22"/>
      <c r="Y137" s="27">
        <f>IF($C137="",0,IF(COUNTIF($C$5:$C137,$C137)=1,1,0))</f>
        <v>0</v>
      </c>
      <c r="Z137" t="str">
        <f>IF(Y137=1,SUM($Y$5:$Y137),"")</f>
        <v/>
      </c>
    </row>
    <row r="138" spans="1:26">
      <c r="A138" s="22"/>
      <c r="B138" s="22"/>
      <c r="C138" s="22"/>
      <c r="D138" s="22"/>
      <c r="E138" s="23"/>
      <c r="F138" s="23"/>
      <c r="G138" s="24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6"/>
      <c r="T138" s="23" t="str">
        <f t="shared" si="6"/>
        <v/>
      </c>
      <c r="U138" s="22" t="str">
        <f t="shared" si="7"/>
        <v/>
      </c>
      <c r="V138" s="18" t="str">
        <f t="shared" si="8"/>
        <v/>
      </c>
      <c r="W138" s="22"/>
      <c r="X138" s="22"/>
      <c r="Y138" s="27">
        <f>IF($C138="",0,IF(COUNTIF($C$5:$C138,$C138)=1,1,0))</f>
        <v>0</v>
      </c>
      <c r="Z138" t="str">
        <f>IF(Y138=1,SUM($Y$5:$Y138),"")</f>
        <v/>
      </c>
    </row>
    <row r="139" spans="1:26">
      <c r="A139" s="22"/>
      <c r="B139" s="22"/>
      <c r="C139" s="22"/>
      <c r="D139" s="22"/>
      <c r="E139" s="23"/>
      <c r="F139" s="23"/>
      <c r="G139" s="24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6"/>
      <c r="T139" s="23" t="str">
        <f t="shared" si="6"/>
        <v/>
      </c>
      <c r="U139" s="22" t="str">
        <f t="shared" si="7"/>
        <v/>
      </c>
      <c r="V139" s="18" t="str">
        <f t="shared" si="8"/>
        <v/>
      </c>
      <c r="W139" s="22"/>
      <c r="X139" s="22"/>
      <c r="Y139" s="27">
        <f>IF($C139="",0,IF(COUNTIF($C$5:$C139,$C139)=1,1,0))</f>
        <v>0</v>
      </c>
      <c r="Z139" t="str">
        <f>IF(Y139=1,SUM($Y$5:$Y139),"")</f>
        <v/>
      </c>
    </row>
    <row r="140" spans="1:26">
      <c r="A140" s="22"/>
      <c r="B140" s="22"/>
      <c r="C140" s="22"/>
      <c r="D140" s="22"/>
      <c r="E140" s="23"/>
      <c r="F140" s="23"/>
      <c r="G140" s="24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6"/>
      <c r="T140" s="23" t="str">
        <f t="shared" si="6"/>
        <v/>
      </c>
      <c r="U140" s="22" t="str">
        <f t="shared" si="7"/>
        <v/>
      </c>
      <c r="V140" s="18" t="str">
        <f t="shared" si="8"/>
        <v/>
      </c>
      <c r="W140" s="22"/>
      <c r="X140" s="22"/>
      <c r="Y140" s="27">
        <f>IF($C140="",0,IF(COUNTIF($C$5:$C140,$C140)=1,1,0))</f>
        <v>0</v>
      </c>
      <c r="Z140" t="str">
        <f>IF(Y140=1,SUM($Y$5:$Y140),"")</f>
        <v/>
      </c>
    </row>
    <row r="141" spans="1:26">
      <c r="A141" s="22"/>
      <c r="B141" s="22"/>
      <c r="C141" s="22"/>
      <c r="D141" s="22"/>
      <c r="E141" s="23"/>
      <c r="F141" s="23"/>
      <c r="G141" s="24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6"/>
      <c r="T141" s="23" t="str">
        <f t="shared" si="6"/>
        <v/>
      </c>
      <c r="U141" s="22" t="str">
        <f t="shared" si="7"/>
        <v/>
      </c>
      <c r="V141" s="18" t="str">
        <f t="shared" si="8"/>
        <v/>
      </c>
      <c r="W141" s="22"/>
      <c r="X141" s="22"/>
      <c r="Y141" s="27">
        <f>IF($C141="",0,IF(COUNTIF($C$5:$C141,$C141)=1,1,0))</f>
        <v>0</v>
      </c>
      <c r="Z141" t="str">
        <f>IF(Y141=1,SUM($Y$5:$Y141),"")</f>
        <v/>
      </c>
    </row>
    <row r="142" spans="1:26">
      <c r="A142" s="22"/>
      <c r="B142" s="22"/>
      <c r="C142" s="22"/>
      <c r="D142" s="22"/>
      <c r="E142" s="23"/>
      <c r="F142" s="23"/>
      <c r="G142" s="24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6"/>
      <c r="T142" s="23" t="str">
        <f t="shared" si="6"/>
        <v/>
      </c>
      <c r="U142" s="22" t="str">
        <f t="shared" si="7"/>
        <v/>
      </c>
      <c r="V142" s="18" t="str">
        <f t="shared" si="8"/>
        <v/>
      </c>
      <c r="W142" s="22"/>
      <c r="X142" s="22"/>
      <c r="Y142" s="27">
        <f>IF($C142="",0,IF(COUNTIF($C$5:$C142,$C142)=1,1,0))</f>
        <v>0</v>
      </c>
      <c r="Z142" t="str">
        <f>IF(Y142=1,SUM($Y$5:$Y142),"")</f>
        <v/>
      </c>
    </row>
    <row r="143" spans="1:26">
      <c r="A143" s="22"/>
      <c r="B143" s="22"/>
      <c r="C143" s="22"/>
      <c r="D143" s="22"/>
      <c r="E143" s="23"/>
      <c r="F143" s="23"/>
      <c r="G143" s="24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6"/>
      <c r="T143" s="23" t="str">
        <f t="shared" si="6"/>
        <v/>
      </c>
      <c r="U143" s="22" t="str">
        <f t="shared" si="7"/>
        <v/>
      </c>
      <c r="V143" s="18" t="str">
        <f t="shared" si="8"/>
        <v/>
      </c>
      <c r="W143" s="22"/>
      <c r="X143" s="22"/>
      <c r="Y143" s="27">
        <f>IF($C143="",0,IF(COUNTIF($C$5:$C143,$C143)=1,1,0))</f>
        <v>0</v>
      </c>
      <c r="Z143" t="str">
        <f>IF(Y143=1,SUM($Y$5:$Y143),"")</f>
        <v/>
      </c>
    </row>
    <row r="144" spans="1:26">
      <c r="A144" s="22"/>
      <c r="B144" s="22"/>
      <c r="C144" s="22"/>
      <c r="D144" s="22"/>
      <c r="E144" s="23"/>
      <c r="F144" s="23"/>
      <c r="G144" s="24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6"/>
      <c r="T144" s="23" t="str">
        <f t="shared" si="6"/>
        <v/>
      </c>
      <c r="U144" s="22" t="str">
        <f t="shared" si="7"/>
        <v/>
      </c>
      <c r="V144" s="18" t="str">
        <f t="shared" si="8"/>
        <v/>
      </c>
      <c r="W144" s="22"/>
      <c r="X144" s="22"/>
      <c r="Y144" s="27">
        <f>IF($C144="",0,IF(COUNTIF($C$5:$C144,$C144)=1,1,0))</f>
        <v>0</v>
      </c>
      <c r="Z144" t="str">
        <f>IF(Y144=1,SUM($Y$5:$Y144),"")</f>
        <v/>
      </c>
    </row>
    <row r="145" spans="1:26">
      <c r="A145" s="22"/>
      <c r="B145" s="22"/>
      <c r="C145" s="22"/>
      <c r="D145" s="22"/>
      <c r="E145" s="23"/>
      <c r="F145" s="23"/>
      <c r="G145" s="24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6"/>
      <c r="T145" s="23" t="str">
        <f t="shared" si="6"/>
        <v/>
      </c>
      <c r="U145" s="22" t="str">
        <f t="shared" si="7"/>
        <v/>
      </c>
      <c r="V145" s="18" t="str">
        <f t="shared" si="8"/>
        <v/>
      </c>
      <c r="W145" s="22"/>
      <c r="X145" s="22"/>
      <c r="Y145" s="27">
        <f>IF($C145="",0,IF(COUNTIF($C$5:$C145,$C145)=1,1,0))</f>
        <v>0</v>
      </c>
      <c r="Z145" t="str">
        <f>IF(Y145=1,SUM($Y$5:$Y145),"")</f>
        <v/>
      </c>
    </row>
    <row r="146" spans="1:26">
      <c r="A146" s="22"/>
      <c r="B146" s="22"/>
      <c r="C146" s="22"/>
      <c r="D146" s="22"/>
      <c r="E146" s="23"/>
      <c r="F146" s="23"/>
      <c r="G146" s="24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6"/>
      <c r="T146" s="23" t="str">
        <f t="shared" si="6"/>
        <v/>
      </c>
      <c r="U146" s="22" t="str">
        <f t="shared" si="7"/>
        <v/>
      </c>
      <c r="V146" s="18" t="str">
        <f t="shared" si="8"/>
        <v/>
      </c>
      <c r="W146" s="22"/>
      <c r="X146" s="22"/>
      <c r="Y146" s="27">
        <f>IF($C146="",0,IF(COUNTIF($C$5:$C146,$C146)=1,1,0))</f>
        <v>0</v>
      </c>
      <c r="Z146" t="str">
        <f>IF(Y146=1,SUM($Y$5:$Y146),"")</f>
        <v/>
      </c>
    </row>
    <row r="147" spans="1:26">
      <c r="A147" s="22"/>
      <c r="B147" s="22"/>
      <c r="C147" s="22"/>
      <c r="D147" s="22"/>
      <c r="E147" s="23"/>
      <c r="F147" s="23"/>
      <c r="G147" s="24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6"/>
      <c r="T147" s="23" t="str">
        <f t="shared" si="6"/>
        <v/>
      </c>
      <c r="U147" s="22" t="str">
        <f t="shared" si="7"/>
        <v/>
      </c>
      <c r="V147" s="18" t="str">
        <f t="shared" si="8"/>
        <v/>
      </c>
      <c r="W147" s="22"/>
      <c r="X147" s="22"/>
      <c r="Y147" s="27">
        <f>IF($C147="",0,IF(COUNTIF($C$5:$C147,$C147)=1,1,0))</f>
        <v>0</v>
      </c>
      <c r="Z147" t="str">
        <f>IF(Y147=1,SUM($Y$5:$Y147),"")</f>
        <v/>
      </c>
    </row>
    <row r="148" spans="1:26">
      <c r="A148" s="22"/>
      <c r="B148" s="22"/>
      <c r="C148" s="22"/>
      <c r="D148" s="22"/>
      <c r="E148" s="23"/>
      <c r="F148" s="23"/>
      <c r="G148" s="24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6"/>
      <c r="T148" s="23" t="str">
        <f t="shared" si="6"/>
        <v/>
      </c>
      <c r="U148" s="22" t="str">
        <f t="shared" si="7"/>
        <v/>
      </c>
      <c r="V148" s="18" t="str">
        <f t="shared" si="8"/>
        <v/>
      </c>
      <c r="W148" s="22"/>
      <c r="X148" s="22"/>
      <c r="Y148" s="27">
        <f>IF($C148="",0,IF(COUNTIF($C$5:$C148,$C148)=1,1,0))</f>
        <v>0</v>
      </c>
      <c r="Z148" t="str">
        <f>IF(Y148=1,SUM($Y$5:$Y148),"")</f>
        <v/>
      </c>
    </row>
    <row r="149" spans="1:26">
      <c r="A149" s="22"/>
      <c r="B149" s="22"/>
      <c r="C149" s="22"/>
      <c r="D149" s="22"/>
      <c r="E149" s="23"/>
      <c r="F149" s="23"/>
      <c r="G149" s="24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6"/>
      <c r="T149" s="23" t="str">
        <f t="shared" si="6"/>
        <v/>
      </c>
      <c r="U149" s="22" t="str">
        <f t="shared" si="7"/>
        <v/>
      </c>
      <c r="V149" s="18" t="str">
        <f t="shared" si="8"/>
        <v/>
      </c>
      <c r="W149" s="22"/>
      <c r="X149" s="22"/>
      <c r="Y149" s="27">
        <f>IF($C149="",0,IF(COUNTIF($C$5:$C149,$C149)=1,1,0))</f>
        <v>0</v>
      </c>
      <c r="Z149" t="str">
        <f>IF(Y149=1,SUM($Y$5:$Y149),"")</f>
        <v/>
      </c>
    </row>
    <row r="150" spans="1:26">
      <c r="A150" s="22"/>
      <c r="B150" s="22"/>
      <c r="C150" s="22"/>
      <c r="D150" s="22"/>
      <c r="E150" s="23"/>
      <c r="F150" s="23"/>
      <c r="G150" s="24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6"/>
      <c r="T150" s="23" t="str">
        <f t="shared" si="6"/>
        <v/>
      </c>
      <c r="U150" s="22" t="str">
        <f t="shared" si="7"/>
        <v/>
      </c>
      <c r="V150" s="18" t="str">
        <f t="shared" si="8"/>
        <v/>
      </c>
      <c r="W150" s="22"/>
      <c r="X150" s="22"/>
      <c r="Y150" s="27">
        <f>IF($C150="",0,IF(COUNTIF($C$5:$C150,$C150)=1,1,0))</f>
        <v>0</v>
      </c>
      <c r="Z150" t="str">
        <f>IF(Y150=1,SUM($Y$5:$Y150),"")</f>
        <v/>
      </c>
    </row>
    <row r="151" spans="1:26">
      <c r="A151" s="22"/>
      <c r="B151" s="22"/>
      <c r="C151" s="22"/>
      <c r="D151" s="22"/>
      <c r="E151" s="23"/>
      <c r="F151" s="23"/>
      <c r="G151" s="24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6"/>
      <c r="T151" s="23" t="str">
        <f t="shared" si="6"/>
        <v/>
      </c>
      <c r="U151" s="22" t="str">
        <f t="shared" si="7"/>
        <v/>
      </c>
      <c r="V151" s="18" t="str">
        <f t="shared" si="8"/>
        <v/>
      </c>
      <c r="W151" s="22"/>
      <c r="X151" s="22"/>
      <c r="Y151" s="27">
        <f>IF($C151="",0,IF(COUNTIF($C$5:$C151,$C151)=1,1,0))</f>
        <v>0</v>
      </c>
      <c r="Z151" t="str">
        <f>IF(Y151=1,SUM($Y$5:$Y151),"")</f>
        <v/>
      </c>
    </row>
    <row r="152" spans="1:26">
      <c r="A152" s="22"/>
      <c r="B152" s="22"/>
      <c r="C152" s="22"/>
      <c r="D152" s="22"/>
      <c r="E152" s="23"/>
      <c r="F152" s="23"/>
      <c r="G152" s="24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6"/>
      <c r="T152" s="23" t="str">
        <f t="shared" si="6"/>
        <v/>
      </c>
      <c r="U152" s="22" t="str">
        <f t="shared" si="7"/>
        <v/>
      </c>
      <c r="V152" s="18" t="str">
        <f t="shared" si="8"/>
        <v/>
      </c>
      <c r="W152" s="22"/>
      <c r="X152" s="22"/>
      <c r="Y152" s="27">
        <f>IF($C152="",0,IF(COUNTIF($C$5:$C152,$C152)=1,1,0))</f>
        <v>0</v>
      </c>
      <c r="Z152" t="str">
        <f>IF(Y152=1,SUM($Y$5:$Y152),"")</f>
        <v/>
      </c>
    </row>
    <row r="153" spans="1:26">
      <c r="A153" s="22"/>
      <c r="B153" s="22"/>
      <c r="C153" s="22"/>
      <c r="D153" s="22"/>
      <c r="E153" s="23"/>
      <c r="F153" s="23"/>
      <c r="G153" s="24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6"/>
      <c r="T153" s="23" t="str">
        <f t="shared" si="6"/>
        <v/>
      </c>
      <c r="U153" s="22" t="str">
        <f t="shared" si="7"/>
        <v/>
      </c>
      <c r="V153" s="18" t="str">
        <f t="shared" si="8"/>
        <v/>
      </c>
      <c r="W153" s="22"/>
      <c r="X153" s="22"/>
      <c r="Y153" s="27">
        <f>IF($C153="",0,IF(COUNTIF($C$5:$C153,$C153)=1,1,0))</f>
        <v>0</v>
      </c>
      <c r="Z153" t="str">
        <f>IF(Y153=1,SUM($Y$5:$Y153),"")</f>
        <v/>
      </c>
    </row>
    <row r="154" spans="1:26">
      <c r="A154" s="22"/>
      <c r="B154" s="22"/>
      <c r="C154" s="22"/>
      <c r="D154" s="22"/>
      <c r="E154" s="23"/>
      <c r="F154" s="23"/>
      <c r="G154" s="24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6"/>
      <c r="T154" s="23" t="str">
        <f t="shared" si="6"/>
        <v/>
      </c>
      <c r="U154" s="22" t="str">
        <f t="shared" si="7"/>
        <v/>
      </c>
      <c r="V154" s="18" t="str">
        <f t="shared" si="8"/>
        <v/>
      </c>
      <c r="W154" s="22"/>
      <c r="X154" s="22"/>
      <c r="Y154" s="27">
        <f>IF($C154="",0,IF(COUNTIF($C$5:$C154,$C154)=1,1,0))</f>
        <v>0</v>
      </c>
      <c r="Z154" t="str">
        <f>IF(Y154=1,SUM($Y$5:$Y154),"")</f>
        <v/>
      </c>
    </row>
    <row r="155" spans="1:26">
      <c r="A155" s="22"/>
      <c r="B155" s="22"/>
      <c r="C155" s="22"/>
      <c r="D155" s="22"/>
      <c r="E155" s="23"/>
      <c r="F155" s="23"/>
      <c r="G155" s="24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6"/>
      <c r="T155" s="23" t="str">
        <f t="shared" si="6"/>
        <v/>
      </c>
      <c r="U155" s="22" t="str">
        <f t="shared" si="7"/>
        <v/>
      </c>
      <c r="V155" s="18" t="str">
        <f t="shared" si="8"/>
        <v/>
      </c>
      <c r="W155" s="22"/>
      <c r="X155" s="22"/>
      <c r="Y155" s="27">
        <f>IF($C155="",0,IF(COUNTIF($C$5:$C155,$C155)=1,1,0))</f>
        <v>0</v>
      </c>
      <c r="Z155" t="str">
        <f>IF(Y155=1,SUM($Y$5:$Y155),"")</f>
        <v/>
      </c>
    </row>
    <row r="156" spans="1:26">
      <c r="A156" s="22"/>
      <c r="B156" s="22"/>
      <c r="C156" s="22"/>
      <c r="D156" s="22"/>
      <c r="E156" s="23"/>
      <c r="F156" s="23"/>
      <c r="G156" s="24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6"/>
      <c r="T156" s="23" t="str">
        <f t="shared" si="6"/>
        <v/>
      </c>
      <c r="U156" s="22" t="str">
        <f t="shared" si="7"/>
        <v/>
      </c>
      <c r="V156" s="18" t="str">
        <f t="shared" si="8"/>
        <v/>
      </c>
      <c r="W156" s="22"/>
      <c r="X156" s="22"/>
      <c r="Y156" s="27">
        <f>IF($C156="",0,IF(COUNTIF($C$5:$C156,$C156)=1,1,0))</f>
        <v>0</v>
      </c>
      <c r="Z156" t="str">
        <f>IF(Y156=1,SUM($Y$5:$Y156),"")</f>
        <v/>
      </c>
    </row>
    <row r="157" spans="1:26">
      <c r="A157" s="22"/>
      <c r="B157" s="22"/>
      <c r="C157" s="22"/>
      <c r="D157" s="22"/>
      <c r="E157" s="23"/>
      <c r="F157" s="23"/>
      <c r="G157" s="24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6"/>
      <c r="T157" s="23" t="str">
        <f t="shared" si="6"/>
        <v/>
      </c>
      <c r="U157" s="22" t="str">
        <f t="shared" si="7"/>
        <v/>
      </c>
      <c r="V157" s="18" t="str">
        <f t="shared" si="8"/>
        <v/>
      </c>
      <c r="W157" s="22"/>
      <c r="X157" s="22"/>
      <c r="Y157" s="27">
        <f>IF($C157="",0,IF(COUNTIF($C$5:$C157,$C157)=1,1,0))</f>
        <v>0</v>
      </c>
      <c r="Z157" t="str">
        <f>IF(Y157=1,SUM($Y$5:$Y157),"")</f>
        <v/>
      </c>
    </row>
    <row r="158" spans="1:26">
      <c r="A158" s="22"/>
      <c r="B158" s="22"/>
      <c r="C158" s="22"/>
      <c r="D158" s="22"/>
      <c r="E158" s="23"/>
      <c r="F158" s="23"/>
      <c r="G158" s="24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6"/>
      <c r="T158" s="23" t="str">
        <f t="shared" si="6"/>
        <v/>
      </c>
      <c r="U158" s="22" t="str">
        <f t="shared" si="7"/>
        <v/>
      </c>
      <c r="V158" s="18" t="str">
        <f t="shared" si="8"/>
        <v/>
      </c>
      <c r="W158" s="22"/>
      <c r="X158" s="22"/>
      <c r="Y158" s="27">
        <f>IF($C158="",0,IF(COUNTIF($C$5:$C158,$C158)=1,1,0))</f>
        <v>0</v>
      </c>
      <c r="Z158" t="str">
        <f>IF(Y158=1,SUM($Y$5:$Y158),"")</f>
        <v/>
      </c>
    </row>
    <row r="159" spans="1:26">
      <c r="A159" s="22"/>
      <c r="B159" s="22"/>
      <c r="C159" s="22"/>
      <c r="D159" s="22"/>
      <c r="E159" s="23"/>
      <c r="F159" s="23"/>
      <c r="G159" s="24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6"/>
      <c r="T159" s="23" t="str">
        <f t="shared" si="6"/>
        <v/>
      </c>
      <c r="U159" s="22" t="str">
        <f t="shared" si="7"/>
        <v/>
      </c>
      <c r="V159" s="18" t="str">
        <f t="shared" si="8"/>
        <v/>
      </c>
      <c r="W159" s="22"/>
      <c r="X159" s="22"/>
      <c r="Y159" s="27">
        <f>IF($C159="",0,IF(COUNTIF($C$5:$C159,$C159)=1,1,0))</f>
        <v>0</v>
      </c>
      <c r="Z159" t="str">
        <f>IF(Y159=1,SUM($Y$5:$Y159),"")</f>
        <v/>
      </c>
    </row>
    <row r="160" spans="1:26">
      <c r="A160" s="22"/>
      <c r="B160" s="22"/>
      <c r="C160" s="22"/>
      <c r="D160" s="22"/>
      <c r="E160" s="23"/>
      <c r="F160" s="23"/>
      <c r="G160" s="24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6"/>
      <c r="T160" s="23" t="str">
        <f t="shared" si="6"/>
        <v/>
      </c>
      <c r="U160" s="22" t="str">
        <f t="shared" si="7"/>
        <v/>
      </c>
      <c r="V160" s="18" t="str">
        <f t="shared" si="8"/>
        <v/>
      </c>
      <c r="W160" s="22"/>
      <c r="X160" s="22"/>
      <c r="Y160" s="27">
        <f>IF($C160="",0,IF(COUNTIF($C$5:$C160,$C160)=1,1,0))</f>
        <v>0</v>
      </c>
      <c r="Z160" t="str">
        <f>IF(Y160=1,SUM($Y$5:$Y160),"")</f>
        <v/>
      </c>
    </row>
    <row r="161" spans="1:26">
      <c r="A161" s="22"/>
      <c r="B161" s="22"/>
      <c r="C161" s="22"/>
      <c r="D161" s="22"/>
      <c r="E161" s="23"/>
      <c r="F161" s="23"/>
      <c r="G161" s="24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6"/>
      <c r="T161" s="23" t="str">
        <f t="shared" si="6"/>
        <v/>
      </c>
      <c r="U161" s="22" t="str">
        <f t="shared" si="7"/>
        <v/>
      </c>
      <c r="V161" s="18" t="str">
        <f t="shared" si="8"/>
        <v/>
      </c>
      <c r="W161" s="22"/>
      <c r="X161" s="22"/>
      <c r="Y161" s="27">
        <f>IF($C161="",0,IF(COUNTIF($C$5:$C161,$C161)=1,1,0))</f>
        <v>0</v>
      </c>
      <c r="Z161" t="str">
        <f>IF(Y161=1,SUM($Y$5:$Y161),"")</f>
        <v/>
      </c>
    </row>
    <row r="162" spans="1:26">
      <c r="A162" s="22"/>
      <c r="B162" s="22"/>
      <c r="C162" s="22"/>
      <c r="D162" s="22"/>
      <c r="E162" s="23"/>
      <c r="F162" s="23"/>
      <c r="G162" s="24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6"/>
      <c r="T162" s="23" t="str">
        <f t="shared" si="6"/>
        <v/>
      </c>
      <c r="U162" s="22" t="str">
        <f t="shared" si="7"/>
        <v/>
      </c>
      <c r="V162" s="18" t="str">
        <f t="shared" si="8"/>
        <v/>
      </c>
      <c r="W162" s="22"/>
      <c r="X162" s="22"/>
      <c r="Y162" s="27">
        <f>IF($C162="",0,IF(COUNTIF($C$5:$C162,$C162)=1,1,0))</f>
        <v>0</v>
      </c>
      <c r="Z162" t="str">
        <f>IF(Y162=1,SUM($Y$5:$Y162),"")</f>
        <v/>
      </c>
    </row>
    <row r="163" spans="1:26">
      <c r="A163" s="22"/>
      <c r="B163" s="22"/>
      <c r="C163" s="22"/>
      <c r="D163" s="22"/>
      <c r="E163" s="23"/>
      <c r="F163" s="23"/>
      <c r="G163" s="24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6"/>
      <c r="T163" s="23" t="str">
        <f t="shared" si="6"/>
        <v/>
      </c>
      <c r="U163" s="22" t="str">
        <f t="shared" si="7"/>
        <v/>
      </c>
      <c r="V163" s="18" t="str">
        <f t="shared" si="8"/>
        <v/>
      </c>
      <c r="W163" s="22"/>
      <c r="X163" s="22"/>
      <c r="Y163" s="27">
        <f>IF($C163="",0,IF(COUNTIF($C$5:$C163,$C163)=1,1,0))</f>
        <v>0</v>
      </c>
      <c r="Z163" t="str">
        <f>IF(Y163=1,SUM($Y$5:$Y163),"")</f>
        <v/>
      </c>
    </row>
    <row r="164" spans="1:26">
      <c r="A164" s="22"/>
      <c r="B164" s="22"/>
      <c r="C164" s="22"/>
      <c r="D164" s="22"/>
      <c r="E164" s="23"/>
      <c r="F164" s="23"/>
      <c r="G164" s="24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6"/>
      <c r="T164" s="23" t="str">
        <f t="shared" si="6"/>
        <v/>
      </c>
      <c r="U164" s="22" t="str">
        <f t="shared" si="7"/>
        <v/>
      </c>
      <c r="V164" s="18" t="str">
        <f t="shared" si="8"/>
        <v/>
      </c>
      <c r="W164" s="22"/>
      <c r="X164" s="22"/>
      <c r="Y164" s="27">
        <f>IF($C164="",0,IF(COUNTIF($C$5:$C164,$C164)=1,1,0))</f>
        <v>0</v>
      </c>
      <c r="Z164" t="str">
        <f>IF(Y164=1,SUM($Y$5:$Y164),"")</f>
        <v/>
      </c>
    </row>
    <row r="165" spans="1:26">
      <c r="A165" s="22"/>
      <c r="B165" s="22"/>
      <c r="C165" s="22"/>
      <c r="D165" s="22"/>
      <c r="E165" s="23"/>
      <c r="F165" s="23"/>
      <c r="G165" s="24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6"/>
      <c r="T165" s="23" t="str">
        <f t="shared" si="6"/>
        <v/>
      </c>
      <c r="U165" s="22" t="str">
        <f t="shared" si="7"/>
        <v/>
      </c>
      <c r="V165" s="18" t="str">
        <f t="shared" si="8"/>
        <v/>
      </c>
      <c r="W165" s="22"/>
      <c r="X165" s="22"/>
      <c r="Y165" s="27">
        <f>IF($C165="",0,IF(COUNTIF($C$5:$C165,$C165)=1,1,0))</f>
        <v>0</v>
      </c>
      <c r="Z165" t="str">
        <f>IF(Y165=1,SUM($Y$5:$Y165),"")</f>
        <v/>
      </c>
    </row>
    <row r="166" spans="1:26">
      <c r="A166" s="22"/>
      <c r="B166" s="22"/>
      <c r="C166" s="22"/>
      <c r="D166" s="22"/>
      <c r="E166" s="23"/>
      <c r="F166" s="23"/>
      <c r="G166" s="24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6"/>
      <c r="T166" s="23" t="str">
        <f t="shared" si="6"/>
        <v/>
      </c>
      <c r="U166" s="22" t="str">
        <f t="shared" si="7"/>
        <v/>
      </c>
      <c r="V166" s="18" t="str">
        <f t="shared" si="8"/>
        <v/>
      </c>
      <c r="W166" s="22"/>
      <c r="X166" s="22"/>
      <c r="Y166" s="27">
        <f>IF($C166="",0,IF(COUNTIF($C$5:$C166,$C166)=1,1,0))</f>
        <v>0</v>
      </c>
      <c r="Z166" t="str">
        <f>IF(Y166=1,SUM($Y$5:$Y166),"")</f>
        <v/>
      </c>
    </row>
    <row r="167" spans="1:26">
      <c r="A167" s="22"/>
      <c r="B167" s="22"/>
      <c r="C167" s="22"/>
      <c r="D167" s="22"/>
      <c r="E167" s="23"/>
      <c r="F167" s="23"/>
      <c r="G167" s="24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6"/>
      <c r="T167" s="23" t="str">
        <f t="shared" si="6"/>
        <v/>
      </c>
      <c r="U167" s="22" t="str">
        <f t="shared" si="7"/>
        <v/>
      </c>
      <c r="V167" s="18" t="str">
        <f t="shared" si="8"/>
        <v/>
      </c>
      <c r="W167" s="22"/>
      <c r="X167" s="22"/>
      <c r="Y167" s="27">
        <f>IF($C167="",0,IF(COUNTIF($C$5:$C167,$C167)=1,1,0))</f>
        <v>0</v>
      </c>
      <c r="Z167" t="str">
        <f>IF(Y167=1,SUM($Y$5:$Y167),"")</f>
        <v/>
      </c>
    </row>
    <row r="168" spans="1:26">
      <c r="A168" s="22"/>
      <c r="B168" s="22"/>
      <c r="C168" s="22"/>
      <c r="D168" s="22"/>
      <c r="E168" s="23"/>
      <c r="F168" s="23"/>
      <c r="G168" s="24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6"/>
      <c r="T168" s="23" t="str">
        <f t="shared" si="6"/>
        <v/>
      </c>
      <c r="U168" s="22" t="str">
        <f t="shared" si="7"/>
        <v/>
      </c>
      <c r="V168" s="18" t="str">
        <f t="shared" si="8"/>
        <v/>
      </c>
      <c r="W168" s="22"/>
      <c r="X168" s="22"/>
      <c r="Y168" s="27">
        <f>IF($C168="",0,IF(COUNTIF($C$5:$C168,$C168)=1,1,0))</f>
        <v>0</v>
      </c>
      <c r="Z168" t="str">
        <f>IF(Y168=1,SUM($Y$5:$Y168),"")</f>
        <v/>
      </c>
    </row>
    <row r="169" spans="1:26">
      <c r="A169" s="22"/>
      <c r="B169" s="22"/>
      <c r="C169" s="22"/>
      <c r="D169" s="22"/>
      <c r="E169" s="23"/>
      <c r="F169" s="23"/>
      <c r="G169" s="24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6"/>
      <c r="T169" s="23" t="str">
        <f t="shared" si="6"/>
        <v/>
      </c>
      <c r="U169" s="22" t="str">
        <f t="shared" si="7"/>
        <v/>
      </c>
      <c r="V169" s="18" t="str">
        <f t="shared" si="8"/>
        <v/>
      </c>
      <c r="W169" s="22"/>
      <c r="X169" s="22"/>
      <c r="Y169" s="27">
        <f>IF($C169="",0,IF(COUNTIF($C$5:$C169,$C169)=1,1,0))</f>
        <v>0</v>
      </c>
      <c r="Z169" t="str">
        <f>IF(Y169=1,SUM($Y$5:$Y169),"")</f>
        <v/>
      </c>
    </row>
    <row r="170" spans="1:26">
      <c r="A170" s="22"/>
      <c r="B170" s="22"/>
      <c r="C170" s="22"/>
      <c r="D170" s="22"/>
      <c r="E170" s="23"/>
      <c r="F170" s="23"/>
      <c r="G170" s="24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6"/>
      <c r="T170" s="23" t="str">
        <f t="shared" si="6"/>
        <v/>
      </c>
      <c r="U170" s="22" t="str">
        <f t="shared" si="7"/>
        <v/>
      </c>
      <c r="V170" s="18" t="str">
        <f t="shared" si="8"/>
        <v/>
      </c>
      <c r="W170" s="22"/>
      <c r="X170" s="22"/>
      <c r="Y170" s="27">
        <f>IF($C170="",0,IF(COUNTIF($C$5:$C170,$C170)=1,1,0))</f>
        <v>0</v>
      </c>
      <c r="Z170" t="str">
        <f>IF(Y170=1,SUM($Y$5:$Y170),"")</f>
        <v/>
      </c>
    </row>
    <row r="171" spans="1:26">
      <c r="A171" s="22"/>
      <c r="B171" s="22"/>
      <c r="C171" s="22"/>
      <c r="D171" s="22"/>
      <c r="E171" s="23"/>
      <c r="F171" s="23"/>
      <c r="G171" s="24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6"/>
      <c r="T171" s="23" t="str">
        <f t="shared" si="6"/>
        <v/>
      </c>
      <c r="U171" s="22" t="str">
        <f t="shared" si="7"/>
        <v/>
      </c>
      <c r="V171" s="18" t="str">
        <f t="shared" si="8"/>
        <v/>
      </c>
      <c r="W171" s="22"/>
      <c r="X171" s="22"/>
      <c r="Y171" s="27">
        <f>IF($C171="",0,IF(COUNTIF($C$5:$C171,$C171)=1,1,0))</f>
        <v>0</v>
      </c>
      <c r="Z171" t="str">
        <f>IF(Y171=1,SUM($Y$5:$Y171),"")</f>
        <v/>
      </c>
    </row>
    <row r="172" spans="1:26">
      <c r="A172" s="22"/>
      <c r="B172" s="22"/>
      <c r="C172" s="22"/>
      <c r="D172" s="22"/>
      <c r="E172" s="23"/>
      <c r="F172" s="23"/>
      <c r="G172" s="24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6"/>
      <c r="T172" s="23" t="str">
        <f t="shared" si="6"/>
        <v/>
      </c>
      <c r="U172" s="22" t="str">
        <f t="shared" si="7"/>
        <v/>
      </c>
      <c r="V172" s="18" t="str">
        <f t="shared" si="8"/>
        <v/>
      </c>
      <c r="W172" s="22"/>
      <c r="X172" s="22"/>
      <c r="Y172" s="27">
        <f>IF($C172="",0,IF(COUNTIF($C$5:$C172,$C172)=1,1,0))</f>
        <v>0</v>
      </c>
      <c r="Z172" t="str">
        <f>IF(Y172=1,SUM($Y$5:$Y172),"")</f>
        <v/>
      </c>
    </row>
    <row r="173" spans="1:26">
      <c r="A173" s="22"/>
      <c r="B173" s="22"/>
      <c r="C173" s="22"/>
      <c r="D173" s="22"/>
      <c r="E173" s="23"/>
      <c r="F173" s="23"/>
      <c r="G173" s="24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6"/>
      <c r="T173" s="23" t="str">
        <f t="shared" si="6"/>
        <v/>
      </c>
      <c r="U173" s="22" t="str">
        <f t="shared" si="7"/>
        <v/>
      </c>
      <c r="V173" s="18" t="str">
        <f t="shared" si="8"/>
        <v/>
      </c>
      <c r="W173" s="22"/>
      <c r="X173" s="22"/>
      <c r="Y173" s="27">
        <f>IF($C173="",0,IF(COUNTIF($C$5:$C173,$C173)=1,1,0))</f>
        <v>0</v>
      </c>
      <c r="Z173" t="str">
        <f>IF(Y173=1,SUM($Y$5:$Y173),"")</f>
        <v/>
      </c>
    </row>
    <row r="174" spans="1:26">
      <c r="A174" s="22"/>
      <c r="B174" s="22"/>
      <c r="C174" s="22"/>
      <c r="D174" s="22"/>
      <c r="E174" s="23"/>
      <c r="F174" s="23"/>
      <c r="G174" s="24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6"/>
      <c r="T174" s="23" t="str">
        <f t="shared" si="6"/>
        <v/>
      </c>
      <c r="U174" s="22" t="str">
        <f t="shared" si="7"/>
        <v/>
      </c>
      <c r="V174" s="18" t="str">
        <f t="shared" si="8"/>
        <v/>
      </c>
      <c r="W174" s="22"/>
      <c r="X174" s="22"/>
      <c r="Y174" s="27">
        <f>IF($C174="",0,IF(COUNTIF($C$5:$C174,$C174)=1,1,0))</f>
        <v>0</v>
      </c>
      <c r="Z174" t="str">
        <f>IF(Y174=1,SUM($Y$5:$Y174),"")</f>
        <v/>
      </c>
    </row>
    <row r="175" spans="1:26">
      <c r="A175" s="22"/>
      <c r="B175" s="22"/>
      <c r="C175" s="22"/>
      <c r="D175" s="22"/>
      <c r="E175" s="23"/>
      <c r="F175" s="23"/>
      <c r="G175" s="24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6"/>
      <c r="T175" s="23" t="str">
        <f t="shared" si="6"/>
        <v/>
      </c>
      <c r="U175" s="22" t="str">
        <f t="shared" si="7"/>
        <v/>
      </c>
      <c r="V175" s="18" t="str">
        <f t="shared" si="8"/>
        <v/>
      </c>
      <c r="W175" s="22"/>
      <c r="X175" s="22"/>
      <c r="Y175" s="27">
        <f>IF($C175="",0,IF(COUNTIF($C$5:$C175,$C175)=1,1,0))</f>
        <v>0</v>
      </c>
      <c r="Z175" t="str">
        <f>IF(Y175=1,SUM($Y$5:$Y175),"")</f>
        <v/>
      </c>
    </row>
    <row r="176" spans="1:26">
      <c r="A176" s="22"/>
      <c r="B176" s="22"/>
      <c r="C176" s="22"/>
      <c r="D176" s="22"/>
      <c r="E176" s="23"/>
      <c r="F176" s="23"/>
      <c r="G176" s="24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6"/>
      <c r="T176" s="23" t="str">
        <f t="shared" si="6"/>
        <v/>
      </c>
      <c r="U176" s="22" t="str">
        <f t="shared" si="7"/>
        <v/>
      </c>
      <c r="V176" s="18" t="str">
        <f t="shared" si="8"/>
        <v/>
      </c>
      <c r="W176" s="22"/>
      <c r="X176" s="22"/>
      <c r="Y176" s="27">
        <f>IF($C176="",0,IF(COUNTIF($C$5:$C176,$C176)=1,1,0))</f>
        <v>0</v>
      </c>
      <c r="Z176" t="str">
        <f>IF(Y176=1,SUM($Y$5:$Y176),"")</f>
        <v/>
      </c>
    </row>
    <row r="177" spans="1:26">
      <c r="A177" s="22"/>
      <c r="B177" s="22"/>
      <c r="C177" s="22"/>
      <c r="D177" s="22"/>
      <c r="E177" s="23"/>
      <c r="F177" s="23"/>
      <c r="G177" s="24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6"/>
      <c r="T177" s="23" t="str">
        <f t="shared" si="6"/>
        <v/>
      </c>
      <c r="U177" s="22" t="str">
        <f t="shared" si="7"/>
        <v/>
      </c>
      <c r="V177" s="18" t="str">
        <f t="shared" si="8"/>
        <v/>
      </c>
      <c r="W177" s="22"/>
      <c r="X177" s="22"/>
      <c r="Y177" s="27">
        <f>IF($C177="",0,IF(COUNTIF($C$5:$C177,$C177)=1,1,0))</f>
        <v>0</v>
      </c>
      <c r="Z177" t="str">
        <f>IF(Y177=1,SUM($Y$5:$Y177),"")</f>
        <v/>
      </c>
    </row>
    <row r="178" spans="1:26">
      <c r="A178" s="22"/>
      <c r="B178" s="22"/>
      <c r="C178" s="22"/>
      <c r="D178" s="22"/>
      <c r="E178" s="23"/>
      <c r="F178" s="23"/>
      <c r="G178" s="24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6"/>
      <c r="T178" s="23" t="str">
        <f t="shared" si="6"/>
        <v/>
      </c>
      <c r="U178" s="22" t="str">
        <f t="shared" si="7"/>
        <v/>
      </c>
      <c r="V178" s="18" t="str">
        <f t="shared" si="8"/>
        <v/>
      </c>
      <c r="W178" s="22"/>
      <c r="X178" s="22"/>
      <c r="Y178" s="27">
        <f>IF($C178="",0,IF(COUNTIF($C$5:$C178,$C178)=1,1,0))</f>
        <v>0</v>
      </c>
      <c r="Z178" t="str">
        <f>IF(Y178=1,SUM($Y$5:$Y178),"")</f>
        <v/>
      </c>
    </row>
    <row r="179" spans="1:26">
      <c r="A179" s="22"/>
      <c r="B179" s="22"/>
      <c r="C179" s="22"/>
      <c r="D179" s="22"/>
      <c r="E179" s="23"/>
      <c r="F179" s="23"/>
      <c r="G179" s="24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6"/>
      <c r="T179" s="23" t="str">
        <f t="shared" si="6"/>
        <v/>
      </c>
      <c r="U179" s="22" t="str">
        <f t="shared" si="7"/>
        <v/>
      </c>
      <c r="V179" s="18" t="str">
        <f t="shared" si="8"/>
        <v/>
      </c>
      <c r="W179" s="22"/>
      <c r="X179" s="22"/>
      <c r="Y179" s="27">
        <f>IF($C179="",0,IF(COUNTIF($C$5:$C179,$C179)=1,1,0))</f>
        <v>0</v>
      </c>
      <c r="Z179" t="str">
        <f>IF(Y179=1,SUM($Y$5:$Y179),"")</f>
        <v/>
      </c>
    </row>
    <row r="180" spans="1:26">
      <c r="A180" s="22"/>
      <c r="B180" s="22"/>
      <c r="C180" s="22"/>
      <c r="D180" s="22"/>
      <c r="E180" s="23"/>
      <c r="F180" s="23"/>
      <c r="G180" s="24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6"/>
      <c r="T180" s="23" t="str">
        <f t="shared" si="6"/>
        <v/>
      </c>
      <c r="U180" s="22" t="str">
        <f t="shared" si="7"/>
        <v/>
      </c>
      <c r="V180" s="18" t="str">
        <f t="shared" si="8"/>
        <v/>
      </c>
      <c r="W180" s="22"/>
      <c r="X180" s="22"/>
      <c r="Y180" s="27">
        <f>IF($C180="",0,IF(COUNTIF($C$5:$C180,$C180)=1,1,0))</f>
        <v>0</v>
      </c>
      <c r="Z180" t="str">
        <f>IF(Y180=1,SUM($Y$5:$Y180),"")</f>
        <v/>
      </c>
    </row>
    <row r="181" spans="1:26">
      <c r="A181" s="22"/>
      <c r="B181" s="22"/>
      <c r="C181" s="22"/>
      <c r="D181" s="22"/>
      <c r="E181" s="23"/>
      <c r="F181" s="23"/>
      <c r="G181" s="24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6"/>
      <c r="T181" s="23" t="str">
        <f t="shared" si="6"/>
        <v/>
      </c>
      <c r="U181" s="22" t="str">
        <f t="shared" si="7"/>
        <v/>
      </c>
      <c r="V181" s="18" t="str">
        <f t="shared" si="8"/>
        <v/>
      </c>
      <c r="W181" s="22"/>
      <c r="X181" s="22"/>
      <c r="Y181" s="27">
        <f>IF($C181="",0,IF(COUNTIF($C$5:$C181,$C181)=1,1,0))</f>
        <v>0</v>
      </c>
      <c r="Z181" t="str">
        <f>IF(Y181=1,SUM($Y$5:$Y181),"")</f>
        <v/>
      </c>
    </row>
    <row r="182" spans="1:26">
      <c r="A182" s="22"/>
      <c r="B182" s="22"/>
      <c r="C182" s="22"/>
      <c r="D182" s="22"/>
      <c r="E182" s="23"/>
      <c r="F182" s="23"/>
      <c r="G182" s="24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6"/>
      <c r="T182" s="23" t="str">
        <f t="shared" si="6"/>
        <v/>
      </c>
      <c r="U182" s="22" t="str">
        <f t="shared" si="7"/>
        <v/>
      </c>
      <c r="V182" s="18" t="str">
        <f t="shared" si="8"/>
        <v/>
      </c>
      <c r="W182" s="22"/>
      <c r="X182" s="22"/>
      <c r="Y182" s="27">
        <f>IF($C182="",0,IF(COUNTIF($C$5:$C182,$C182)=1,1,0))</f>
        <v>0</v>
      </c>
      <c r="Z182" t="str">
        <f>IF(Y182=1,SUM($Y$5:$Y182),"")</f>
        <v/>
      </c>
    </row>
    <row r="183" spans="1:26">
      <c r="A183" s="22"/>
      <c r="B183" s="22"/>
      <c r="C183" s="22"/>
      <c r="D183" s="22"/>
      <c r="E183" s="23"/>
      <c r="F183" s="23"/>
      <c r="G183" s="24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6"/>
      <c r="T183" s="23" t="str">
        <f t="shared" si="6"/>
        <v/>
      </c>
      <c r="U183" s="22" t="str">
        <f t="shared" si="7"/>
        <v/>
      </c>
      <c r="V183" s="18" t="str">
        <f t="shared" si="8"/>
        <v/>
      </c>
      <c r="W183" s="22"/>
      <c r="X183" s="22"/>
      <c r="Y183" s="27">
        <f>IF($C183="",0,IF(COUNTIF($C$5:$C183,$C183)=1,1,0))</f>
        <v>0</v>
      </c>
      <c r="Z183" t="str">
        <f>IF(Y183=1,SUM($Y$5:$Y183),"")</f>
        <v/>
      </c>
    </row>
    <row r="184" spans="1:26">
      <c r="A184" s="22"/>
      <c r="B184" s="22"/>
      <c r="C184" s="22"/>
      <c r="D184" s="22"/>
      <c r="E184" s="23"/>
      <c r="F184" s="23"/>
      <c r="G184" s="24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6"/>
      <c r="T184" s="23" t="str">
        <f t="shared" si="6"/>
        <v/>
      </c>
      <c r="U184" s="22" t="str">
        <f t="shared" si="7"/>
        <v/>
      </c>
      <c r="V184" s="18" t="str">
        <f t="shared" si="8"/>
        <v/>
      </c>
      <c r="W184" s="22"/>
      <c r="X184" s="22"/>
      <c r="Y184" s="27">
        <f>IF($C184="",0,IF(COUNTIF($C$5:$C184,$C184)=1,1,0))</f>
        <v>0</v>
      </c>
      <c r="Z184" t="str">
        <f>IF(Y184=1,SUM($Y$5:$Y184),"")</f>
        <v/>
      </c>
    </row>
    <row r="185" spans="1:26">
      <c r="A185" s="22"/>
      <c r="B185" s="22"/>
      <c r="C185" s="22"/>
      <c r="D185" s="22"/>
      <c r="E185" s="23"/>
      <c r="F185" s="23"/>
      <c r="G185" s="24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6"/>
      <c r="T185" s="23" t="str">
        <f t="shared" si="6"/>
        <v/>
      </c>
      <c r="U185" s="22" t="str">
        <f t="shared" si="7"/>
        <v/>
      </c>
      <c r="V185" s="18" t="str">
        <f t="shared" si="8"/>
        <v/>
      </c>
      <c r="W185" s="22"/>
      <c r="X185" s="22"/>
      <c r="Y185" s="27">
        <f>IF($C185="",0,IF(COUNTIF($C$5:$C185,$C185)=1,1,0))</f>
        <v>0</v>
      </c>
      <c r="Z185" t="str">
        <f>IF(Y185=1,SUM($Y$5:$Y185),"")</f>
        <v/>
      </c>
    </row>
    <row r="186" spans="1:26">
      <c r="A186" s="22"/>
      <c r="B186" s="22"/>
      <c r="C186" s="22"/>
      <c r="D186" s="22"/>
      <c r="E186" s="23"/>
      <c r="F186" s="23"/>
      <c r="G186" s="24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6"/>
      <c r="T186" s="23" t="str">
        <f t="shared" si="6"/>
        <v/>
      </c>
      <c r="U186" s="22" t="str">
        <f t="shared" si="7"/>
        <v/>
      </c>
      <c r="V186" s="18" t="str">
        <f t="shared" si="8"/>
        <v/>
      </c>
      <c r="W186" s="22"/>
      <c r="X186" s="22"/>
      <c r="Y186" s="27">
        <f>IF($C186="",0,IF(COUNTIF($C$5:$C186,$C186)=1,1,0))</f>
        <v>0</v>
      </c>
      <c r="Z186" t="str">
        <f>IF(Y186=1,SUM($Y$5:$Y186),"")</f>
        <v/>
      </c>
    </row>
    <row r="187" spans="1:26">
      <c r="A187" s="22"/>
      <c r="B187" s="22"/>
      <c r="C187" s="22"/>
      <c r="D187" s="22"/>
      <c r="E187" s="23"/>
      <c r="F187" s="23"/>
      <c r="G187" s="24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6"/>
      <c r="T187" s="23" t="str">
        <f t="shared" si="6"/>
        <v/>
      </c>
      <c r="U187" s="22" t="str">
        <f t="shared" si="7"/>
        <v/>
      </c>
      <c r="V187" s="18" t="str">
        <f t="shared" si="8"/>
        <v/>
      </c>
      <c r="W187" s="22"/>
      <c r="X187" s="22"/>
      <c r="Y187" s="27">
        <f>IF($C187="",0,IF(COUNTIF($C$5:$C187,$C187)=1,1,0))</f>
        <v>0</v>
      </c>
      <c r="Z187" t="str">
        <f>IF(Y187=1,SUM($Y$5:$Y187),"")</f>
        <v/>
      </c>
    </row>
    <row r="188" spans="1:26">
      <c r="A188" s="22"/>
      <c r="B188" s="22"/>
      <c r="C188" s="22"/>
      <c r="D188" s="22"/>
      <c r="E188" s="23"/>
      <c r="F188" s="23"/>
      <c r="G188" s="24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6"/>
      <c r="T188" s="23" t="str">
        <f t="shared" si="6"/>
        <v/>
      </c>
      <c r="U188" s="22" t="str">
        <f t="shared" si="7"/>
        <v/>
      </c>
      <c r="V188" s="18" t="str">
        <f t="shared" si="8"/>
        <v/>
      </c>
      <c r="W188" s="22"/>
      <c r="X188" s="22"/>
      <c r="Y188" s="27">
        <f>IF($C188="",0,IF(COUNTIF($C$5:$C188,$C188)=1,1,0))</f>
        <v>0</v>
      </c>
      <c r="Z188" t="str">
        <f>IF(Y188=1,SUM($Y$5:$Y188),"")</f>
        <v/>
      </c>
    </row>
    <row r="189" spans="1:26">
      <c r="A189" s="22"/>
      <c r="B189" s="22"/>
      <c r="C189" s="22"/>
      <c r="D189" s="22"/>
      <c r="E189" s="23"/>
      <c r="F189" s="23"/>
      <c r="G189" s="24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6"/>
      <c r="T189" s="23" t="str">
        <f t="shared" si="6"/>
        <v/>
      </c>
      <c r="U189" s="22" t="str">
        <f t="shared" si="7"/>
        <v/>
      </c>
      <c r="V189" s="18" t="str">
        <f t="shared" si="8"/>
        <v/>
      </c>
      <c r="W189" s="22"/>
      <c r="X189" s="22"/>
      <c r="Y189" s="27">
        <f>IF($C189="",0,IF(COUNTIF($C$5:$C189,$C189)=1,1,0))</f>
        <v>0</v>
      </c>
      <c r="Z189" t="str">
        <f>IF(Y189=1,SUM($Y$5:$Y189),"")</f>
        <v/>
      </c>
    </row>
    <row r="190" spans="1:26">
      <c r="A190" s="22"/>
      <c r="B190" s="22"/>
      <c r="C190" s="22"/>
      <c r="D190" s="22"/>
      <c r="E190" s="23"/>
      <c r="F190" s="23"/>
      <c r="G190" s="24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6"/>
      <c r="T190" s="23" t="str">
        <f t="shared" si="6"/>
        <v/>
      </c>
      <c r="U190" s="22" t="str">
        <f t="shared" si="7"/>
        <v/>
      </c>
      <c r="V190" s="18" t="str">
        <f t="shared" si="8"/>
        <v/>
      </c>
      <c r="W190" s="22"/>
      <c r="X190" s="22"/>
      <c r="Y190" s="27">
        <f>IF($C190="",0,IF(COUNTIF($C$5:$C190,$C190)=1,1,0))</f>
        <v>0</v>
      </c>
      <c r="Z190" t="str">
        <f>IF(Y190=1,SUM($Y$5:$Y190),"")</f>
        <v/>
      </c>
    </row>
    <row r="191" spans="1:26">
      <c r="A191" s="22"/>
      <c r="B191" s="22"/>
      <c r="C191" s="22"/>
      <c r="D191" s="22"/>
      <c r="E191" s="23"/>
      <c r="F191" s="23"/>
      <c r="G191" s="24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6"/>
      <c r="T191" s="23" t="str">
        <f t="shared" si="6"/>
        <v/>
      </c>
      <c r="U191" s="22" t="str">
        <f t="shared" si="7"/>
        <v/>
      </c>
      <c r="V191" s="18" t="str">
        <f t="shared" si="8"/>
        <v/>
      </c>
      <c r="W191" s="22"/>
      <c r="X191" s="22"/>
      <c r="Y191" s="27">
        <f>IF($C191="",0,IF(COUNTIF($C$5:$C191,$C191)=1,1,0))</f>
        <v>0</v>
      </c>
      <c r="Z191" t="str">
        <f>IF(Y191=1,SUM($Y$5:$Y191),"")</f>
        <v/>
      </c>
    </row>
    <row r="192" spans="1:26">
      <c r="A192" s="22"/>
      <c r="B192" s="22"/>
      <c r="C192" s="22"/>
      <c r="D192" s="22"/>
      <c r="E192" s="23"/>
      <c r="F192" s="23"/>
      <c r="G192" s="24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6"/>
      <c r="T192" s="23" t="str">
        <f t="shared" si="6"/>
        <v/>
      </c>
      <c r="U192" s="22" t="str">
        <f t="shared" si="7"/>
        <v/>
      </c>
      <c r="V192" s="18" t="str">
        <f t="shared" si="8"/>
        <v/>
      </c>
      <c r="W192" s="22"/>
      <c r="X192" s="22"/>
      <c r="Y192" s="27">
        <f>IF($C192="",0,IF(COUNTIF($C$5:$C192,$C192)=1,1,0))</f>
        <v>0</v>
      </c>
      <c r="Z192" t="str">
        <f>IF(Y192=1,SUM($Y$5:$Y192),"")</f>
        <v/>
      </c>
    </row>
    <row r="193" spans="1:26">
      <c r="A193" s="22"/>
      <c r="B193" s="22"/>
      <c r="C193" s="22"/>
      <c r="D193" s="22"/>
      <c r="E193" s="23"/>
      <c r="F193" s="23"/>
      <c r="G193" s="24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6"/>
      <c r="T193" s="23" t="str">
        <f t="shared" si="6"/>
        <v/>
      </c>
      <c r="U193" s="22" t="str">
        <f t="shared" si="7"/>
        <v/>
      </c>
      <c r="V193" s="18" t="str">
        <f t="shared" si="8"/>
        <v/>
      </c>
      <c r="W193" s="22"/>
      <c r="X193" s="22"/>
      <c r="Y193" s="27">
        <f>IF($C193="",0,IF(COUNTIF($C$5:$C193,$C193)=1,1,0))</f>
        <v>0</v>
      </c>
      <c r="Z193" t="str">
        <f>IF(Y193=1,SUM($Y$5:$Y193),"")</f>
        <v/>
      </c>
    </row>
    <row r="194" spans="1:26">
      <c r="A194" s="22"/>
      <c r="B194" s="22"/>
      <c r="C194" s="22"/>
      <c r="D194" s="22"/>
      <c r="E194" s="23"/>
      <c r="F194" s="23"/>
      <c r="G194" s="24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6"/>
      <c r="T194" s="23" t="str">
        <f t="shared" si="6"/>
        <v/>
      </c>
      <c r="U194" s="22" t="str">
        <f t="shared" si="7"/>
        <v/>
      </c>
      <c r="V194" s="18" t="str">
        <f t="shared" si="8"/>
        <v/>
      </c>
      <c r="W194" s="22"/>
      <c r="X194" s="22"/>
      <c r="Y194" s="27">
        <f>IF($C194="",0,IF(COUNTIF($C$5:$C194,$C194)=1,1,0))</f>
        <v>0</v>
      </c>
      <c r="Z194" t="str">
        <f>IF(Y194=1,SUM($Y$5:$Y194),"")</f>
        <v/>
      </c>
    </row>
    <row r="195" spans="1:26">
      <c r="A195" s="22"/>
      <c r="B195" s="22"/>
      <c r="C195" s="22"/>
      <c r="D195" s="22"/>
      <c r="E195" s="23"/>
      <c r="F195" s="23"/>
      <c r="G195" s="24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6"/>
      <c r="T195" s="23" t="str">
        <f t="shared" si="6"/>
        <v/>
      </c>
      <c r="U195" s="22" t="str">
        <f t="shared" si="7"/>
        <v/>
      </c>
      <c r="V195" s="18" t="str">
        <f t="shared" si="8"/>
        <v/>
      </c>
      <c r="W195" s="22"/>
      <c r="X195" s="22"/>
      <c r="Y195" s="27">
        <f>IF($C195="",0,IF(COUNTIF($C$5:$C195,$C195)=1,1,0))</f>
        <v>0</v>
      </c>
      <c r="Z195" t="str">
        <f>IF(Y195=1,SUM($Y$5:$Y195),"")</f>
        <v/>
      </c>
    </row>
    <row r="196" spans="1:26">
      <c r="A196" s="22"/>
      <c r="B196" s="22"/>
      <c r="C196" s="22"/>
      <c r="D196" s="22"/>
      <c r="E196" s="23"/>
      <c r="F196" s="23"/>
      <c r="G196" s="24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6"/>
      <c r="T196" s="23" t="str">
        <f t="shared" si="6"/>
        <v/>
      </c>
      <c r="U196" s="22" t="str">
        <f t="shared" si="7"/>
        <v/>
      </c>
      <c r="V196" s="18" t="str">
        <f t="shared" si="8"/>
        <v/>
      </c>
      <c r="W196" s="22"/>
      <c r="X196" s="22"/>
      <c r="Y196" s="27">
        <f>IF($C196="",0,IF(COUNTIF($C$5:$C196,$C196)=1,1,0))</f>
        <v>0</v>
      </c>
      <c r="Z196" t="str">
        <f>IF(Y196=1,SUM($Y$5:$Y196),"")</f>
        <v/>
      </c>
    </row>
    <row r="197" spans="1:26">
      <c r="A197" s="22"/>
      <c r="B197" s="22"/>
      <c r="C197" s="22"/>
      <c r="D197" s="22"/>
      <c r="E197" s="23"/>
      <c r="F197" s="23"/>
      <c r="G197" s="24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6"/>
      <c r="T197" s="23" t="str">
        <f t="shared" ref="T197:T260" si="9">IF($D197="","",COUNTIF($H197:$R197,"V"))</f>
        <v/>
      </c>
      <c r="U197" s="22" t="str">
        <f t="shared" ref="U197:U260" si="10">IF($D197="","",IF(AND($S197="V",$T197&gt;0),"⚠ 勾選矛盾",IF($S197="V","○ 免調理",IF($T197=0,"⚠ 資料缺漏",IF($T197=1,"▲ 單一設備依賴","OK")))))</f>
        <v/>
      </c>
      <c r="V197" s="18" t="str">
        <f t="shared" ref="V197:V260" si="11">IF($D197="","",IF(AND($S197="V",$T197&gt;0),"「無使用調理設備」不可與設備欄同時勾選，請擇一修正",IF($S197="V","免調理半成品（外購/僅切配等），不列入設備風險評估",IF($T197=0,"未勾選任何設備，請補填或勾選「無使用調理設備」",IF($T197=1,"僅依賴1台設備，須確認故障/排修時之備援製程","無異常")))))</f>
        <v/>
      </c>
      <c r="W197" s="22"/>
      <c r="X197" s="22"/>
      <c r="Y197" s="27">
        <f>IF($C197="",0,IF(COUNTIF($C$5:$C197,$C197)=1,1,0))</f>
        <v>0</v>
      </c>
      <c r="Z197" t="str">
        <f>IF(Y197=1,SUM($Y$5:$Y197),"")</f>
        <v/>
      </c>
    </row>
    <row r="198" spans="1:26">
      <c r="A198" s="22"/>
      <c r="B198" s="22"/>
      <c r="C198" s="22"/>
      <c r="D198" s="22"/>
      <c r="E198" s="23"/>
      <c r="F198" s="23"/>
      <c r="G198" s="24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6"/>
      <c r="T198" s="23" t="str">
        <f t="shared" si="9"/>
        <v/>
      </c>
      <c r="U198" s="22" t="str">
        <f t="shared" si="10"/>
        <v/>
      </c>
      <c r="V198" s="18" t="str">
        <f t="shared" si="11"/>
        <v/>
      </c>
      <c r="W198" s="22"/>
      <c r="X198" s="22"/>
      <c r="Y198" s="27">
        <f>IF($C198="",0,IF(COUNTIF($C$5:$C198,$C198)=1,1,0))</f>
        <v>0</v>
      </c>
      <c r="Z198" t="str">
        <f>IF(Y198=1,SUM($Y$5:$Y198),"")</f>
        <v/>
      </c>
    </row>
    <row r="199" spans="1:26">
      <c r="A199" s="22"/>
      <c r="B199" s="22"/>
      <c r="C199" s="22"/>
      <c r="D199" s="22"/>
      <c r="E199" s="23"/>
      <c r="F199" s="23"/>
      <c r="G199" s="24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6"/>
      <c r="T199" s="23" t="str">
        <f t="shared" si="9"/>
        <v/>
      </c>
      <c r="U199" s="22" t="str">
        <f t="shared" si="10"/>
        <v/>
      </c>
      <c r="V199" s="18" t="str">
        <f t="shared" si="11"/>
        <v/>
      </c>
      <c r="W199" s="22"/>
      <c r="X199" s="22"/>
      <c r="Y199" s="27">
        <f>IF($C199="",0,IF(COUNTIF($C$5:$C199,$C199)=1,1,0))</f>
        <v>0</v>
      </c>
      <c r="Z199" t="str">
        <f>IF(Y199=1,SUM($Y$5:$Y199),"")</f>
        <v/>
      </c>
    </row>
    <row r="200" spans="1:26">
      <c r="A200" s="22"/>
      <c r="B200" s="22"/>
      <c r="C200" s="22"/>
      <c r="D200" s="22"/>
      <c r="E200" s="23"/>
      <c r="F200" s="23"/>
      <c r="G200" s="24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6"/>
      <c r="T200" s="23" t="str">
        <f t="shared" si="9"/>
        <v/>
      </c>
      <c r="U200" s="22" t="str">
        <f t="shared" si="10"/>
        <v/>
      </c>
      <c r="V200" s="18" t="str">
        <f t="shared" si="11"/>
        <v/>
      </c>
      <c r="W200" s="22"/>
      <c r="X200" s="22"/>
      <c r="Y200" s="27">
        <f>IF($C200="",0,IF(COUNTIF($C$5:$C200,$C200)=1,1,0))</f>
        <v>0</v>
      </c>
      <c r="Z200" t="str">
        <f>IF(Y200=1,SUM($Y$5:$Y200),"")</f>
        <v/>
      </c>
    </row>
    <row r="201" spans="1:26">
      <c r="A201" s="22"/>
      <c r="B201" s="22"/>
      <c r="C201" s="22"/>
      <c r="D201" s="22"/>
      <c r="E201" s="23"/>
      <c r="F201" s="23"/>
      <c r="G201" s="24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6"/>
      <c r="T201" s="23" t="str">
        <f t="shared" si="9"/>
        <v/>
      </c>
      <c r="U201" s="22" t="str">
        <f t="shared" si="10"/>
        <v/>
      </c>
      <c r="V201" s="18" t="str">
        <f t="shared" si="11"/>
        <v/>
      </c>
      <c r="W201" s="22"/>
      <c r="X201" s="22"/>
      <c r="Y201" s="27">
        <f>IF($C201="",0,IF(COUNTIF($C$5:$C201,$C201)=1,1,0))</f>
        <v>0</v>
      </c>
      <c r="Z201" t="str">
        <f>IF(Y201=1,SUM($Y$5:$Y201),"")</f>
        <v/>
      </c>
    </row>
    <row r="202" spans="1:26">
      <c r="A202" s="22"/>
      <c r="B202" s="22"/>
      <c r="C202" s="22"/>
      <c r="D202" s="22"/>
      <c r="E202" s="23"/>
      <c r="F202" s="23"/>
      <c r="G202" s="24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6"/>
      <c r="T202" s="23" t="str">
        <f t="shared" si="9"/>
        <v/>
      </c>
      <c r="U202" s="22" t="str">
        <f t="shared" si="10"/>
        <v/>
      </c>
      <c r="V202" s="18" t="str">
        <f t="shared" si="11"/>
        <v/>
      </c>
      <c r="W202" s="22"/>
      <c r="X202" s="22"/>
      <c r="Y202" s="27">
        <f>IF($C202="",0,IF(COUNTIF($C$5:$C202,$C202)=1,1,0))</f>
        <v>0</v>
      </c>
      <c r="Z202" t="str">
        <f>IF(Y202=1,SUM($Y$5:$Y202),"")</f>
        <v/>
      </c>
    </row>
    <row r="203" spans="1:26">
      <c r="A203" s="22"/>
      <c r="B203" s="22"/>
      <c r="C203" s="22"/>
      <c r="D203" s="22"/>
      <c r="E203" s="23"/>
      <c r="F203" s="23"/>
      <c r="G203" s="24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6"/>
      <c r="T203" s="23" t="str">
        <f t="shared" si="9"/>
        <v/>
      </c>
      <c r="U203" s="22" t="str">
        <f t="shared" si="10"/>
        <v/>
      </c>
      <c r="V203" s="18" t="str">
        <f t="shared" si="11"/>
        <v/>
      </c>
      <c r="W203" s="22"/>
      <c r="X203" s="22"/>
      <c r="Y203" s="27">
        <f>IF($C203="",0,IF(COUNTIF($C$5:$C203,$C203)=1,1,0))</f>
        <v>0</v>
      </c>
      <c r="Z203" t="str">
        <f>IF(Y203=1,SUM($Y$5:$Y203),"")</f>
        <v/>
      </c>
    </row>
    <row r="204" spans="1:26">
      <c r="A204" s="22"/>
      <c r="B204" s="22"/>
      <c r="C204" s="22"/>
      <c r="D204" s="22"/>
      <c r="E204" s="23"/>
      <c r="F204" s="23"/>
      <c r="G204" s="24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6"/>
      <c r="T204" s="23" t="str">
        <f t="shared" si="9"/>
        <v/>
      </c>
      <c r="U204" s="22" t="str">
        <f t="shared" si="10"/>
        <v/>
      </c>
      <c r="V204" s="18" t="str">
        <f t="shared" si="11"/>
        <v/>
      </c>
      <c r="W204" s="22"/>
      <c r="X204" s="22"/>
      <c r="Y204" s="27">
        <f>IF($C204="",0,IF(COUNTIF($C$5:$C204,$C204)=1,1,0))</f>
        <v>0</v>
      </c>
      <c r="Z204" t="str">
        <f>IF(Y204=1,SUM($Y$5:$Y204),"")</f>
        <v/>
      </c>
    </row>
    <row r="205" spans="1:26">
      <c r="A205" s="22"/>
      <c r="B205" s="22"/>
      <c r="C205" s="22"/>
      <c r="D205" s="22"/>
      <c r="E205" s="23"/>
      <c r="F205" s="23"/>
      <c r="G205" s="24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6"/>
      <c r="T205" s="23" t="str">
        <f t="shared" si="9"/>
        <v/>
      </c>
      <c r="U205" s="22" t="str">
        <f t="shared" si="10"/>
        <v/>
      </c>
      <c r="V205" s="18" t="str">
        <f t="shared" si="11"/>
        <v/>
      </c>
      <c r="W205" s="22"/>
      <c r="X205" s="22"/>
      <c r="Y205" s="27">
        <f>IF($C205="",0,IF(COUNTIF($C$5:$C205,$C205)=1,1,0))</f>
        <v>0</v>
      </c>
      <c r="Z205" t="str">
        <f>IF(Y205=1,SUM($Y$5:$Y205),"")</f>
        <v/>
      </c>
    </row>
    <row r="206" spans="1:26">
      <c r="A206" s="22"/>
      <c r="B206" s="22"/>
      <c r="C206" s="22"/>
      <c r="D206" s="22"/>
      <c r="E206" s="23"/>
      <c r="F206" s="23"/>
      <c r="G206" s="24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6"/>
      <c r="T206" s="23" t="str">
        <f t="shared" si="9"/>
        <v/>
      </c>
      <c r="U206" s="22" t="str">
        <f t="shared" si="10"/>
        <v/>
      </c>
      <c r="V206" s="18" t="str">
        <f t="shared" si="11"/>
        <v/>
      </c>
      <c r="W206" s="22"/>
      <c r="X206" s="22"/>
      <c r="Y206" s="27">
        <f>IF($C206="",0,IF(COUNTIF($C$5:$C206,$C206)=1,1,0))</f>
        <v>0</v>
      </c>
      <c r="Z206" t="str">
        <f>IF(Y206=1,SUM($Y$5:$Y206),"")</f>
        <v/>
      </c>
    </row>
    <row r="207" spans="1:26">
      <c r="A207" s="22"/>
      <c r="B207" s="22"/>
      <c r="C207" s="22"/>
      <c r="D207" s="22"/>
      <c r="E207" s="23"/>
      <c r="F207" s="23"/>
      <c r="G207" s="24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6"/>
      <c r="T207" s="23" t="str">
        <f t="shared" si="9"/>
        <v/>
      </c>
      <c r="U207" s="22" t="str">
        <f t="shared" si="10"/>
        <v/>
      </c>
      <c r="V207" s="18" t="str">
        <f t="shared" si="11"/>
        <v/>
      </c>
      <c r="W207" s="22"/>
      <c r="X207" s="22"/>
      <c r="Y207" s="27">
        <f>IF($C207="",0,IF(COUNTIF($C$5:$C207,$C207)=1,1,0))</f>
        <v>0</v>
      </c>
      <c r="Z207" t="str">
        <f>IF(Y207=1,SUM($Y$5:$Y207),"")</f>
        <v/>
      </c>
    </row>
    <row r="208" spans="1:26">
      <c r="A208" s="22"/>
      <c r="B208" s="22"/>
      <c r="C208" s="22"/>
      <c r="D208" s="22"/>
      <c r="E208" s="23"/>
      <c r="F208" s="23"/>
      <c r="G208" s="24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6"/>
      <c r="T208" s="23" t="str">
        <f t="shared" si="9"/>
        <v/>
      </c>
      <c r="U208" s="22" t="str">
        <f t="shared" si="10"/>
        <v/>
      </c>
      <c r="V208" s="18" t="str">
        <f t="shared" si="11"/>
        <v/>
      </c>
      <c r="W208" s="22"/>
      <c r="X208" s="22"/>
      <c r="Y208" s="27">
        <f>IF($C208="",0,IF(COUNTIF($C$5:$C208,$C208)=1,1,0))</f>
        <v>0</v>
      </c>
      <c r="Z208" t="str">
        <f>IF(Y208=1,SUM($Y$5:$Y208),"")</f>
        <v/>
      </c>
    </row>
    <row r="209" spans="1:26">
      <c r="A209" s="22"/>
      <c r="B209" s="22"/>
      <c r="C209" s="22"/>
      <c r="D209" s="22"/>
      <c r="E209" s="23"/>
      <c r="F209" s="23"/>
      <c r="G209" s="24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6"/>
      <c r="T209" s="23" t="str">
        <f t="shared" si="9"/>
        <v/>
      </c>
      <c r="U209" s="22" t="str">
        <f t="shared" si="10"/>
        <v/>
      </c>
      <c r="V209" s="18" t="str">
        <f t="shared" si="11"/>
        <v/>
      </c>
      <c r="W209" s="22"/>
      <c r="X209" s="22"/>
      <c r="Y209" s="27">
        <f>IF($C209="",0,IF(COUNTIF($C$5:$C209,$C209)=1,1,0))</f>
        <v>0</v>
      </c>
      <c r="Z209" t="str">
        <f>IF(Y209=1,SUM($Y$5:$Y209),"")</f>
        <v/>
      </c>
    </row>
    <row r="210" spans="1:26">
      <c r="A210" s="22"/>
      <c r="B210" s="22"/>
      <c r="C210" s="22"/>
      <c r="D210" s="22"/>
      <c r="E210" s="23"/>
      <c r="F210" s="23"/>
      <c r="G210" s="24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6"/>
      <c r="T210" s="23" t="str">
        <f t="shared" si="9"/>
        <v/>
      </c>
      <c r="U210" s="22" t="str">
        <f t="shared" si="10"/>
        <v/>
      </c>
      <c r="V210" s="18" t="str">
        <f t="shared" si="11"/>
        <v/>
      </c>
      <c r="W210" s="22"/>
      <c r="X210" s="22"/>
      <c r="Y210" s="27">
        <f>IF($C210="",0,IF(COUNTIF($C$5:$C210,$C210)=1,1,0))</f>
        <v>0</v>
      </c>
      <c r="Z210" t="str">
        <f>IF(Y210=1,SUM($Y$5:$Y210),"")</f>
        <v/>
      </c>
    </row>
    <row r="211" spans="1:26">
      <c r="A211" s="22"/>
      <c r="B211" s="22"/>
      <c r="C211" s="22"/>
      <c r="D211" s="22"/>
      <c r="E211" s="23"/>
      <c r="F211" s="23"/>
      <c r="G211" s="24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6"/>
      <c r="T211" s="23" t="str">
        <f t="shared" si="9"/>
        <v/>
      </c>
      <c r="U211" s="22" t="str">
        <f t="shared" si="10"/>
        <v/>
      </c>
      <c r="V211" s="18" t="str">
        <f t="shared" si="11"/>
        <v/>
      </c>
      <c r="W211" s="22"/>
      <c r="X211" s="22"/>
      <c r="Y211" s="27">
        <f>IF($C211="",0,IF(COUNTIF($C$5:$C211,$C211)=1,1,0))</f>
        <v>0</v>
      </c>
      <c r="Z211" t="str">
        <f>IF(Y211=1,SUM($Y$5:$Y211),"")</f>
        <v/>
      </c>
    </row>
    <row r="212" spans="1:26">
      <c r="A212" s="22"/>
      <c r="B212" s="22"/>
      <c r="C212" s="22"/>
      <c r="D212" s="22"/>
      <c r="E212" s="23"/>
      <c r="F212" s="23"/>
      <c r="G212" s="24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6"/>
      <c r="T212" s="23" t="str">
        <f t="shared" si="9"/>
        <v/>
      </c>
      <c r="U212" s="22" t="str">
        <f t="shared" si="10"/>
        <v/>
      </c>
      <c r="V212" s="18" t="str">
        <f t="shared" si="11"/>
        <v/>
      </c>
      <c r="W212" s="22"/>
      <c r="X212" s="22"/>
      <c r="Y212" s="27">
        <f>IF($C212="",0,IF(COUNTIF($C$5:$C212,$C212)=1,1,0))</f>
        <v>0</v>
      </c>
      <c r="Z212" t="str">
        <f>IF(Y212=1,SUM($Y$5:$Y212),"")</f>
        <v/>
      </c>
    </row>
    <row r="213" spans="1:26">
      <c r="A213" s="22"/>
      <c r="B213" s="22"/>
      <c r="C213" s="22"/>
      <c r="D213" s="22"/>
      <c r="E213" s="23"/>
      <c r="F213" s="23"/>
      <c r="G213" s="24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6"/>
      <c r="T213" s="23" t="str">
        <f t="shared" si="9"/>
        <v/>
      </c>
      <c r="U213" s="22" t="str">
        <f t="shared" si="10"/>
        <v/>
      </c>
      <c r="V213" s="18" t="str">
        <f t="shared" si="11"/>
        <v/>
      </c>
      <c r="W213" s="22"/>
      <c r="X213" s="22"/>
      <c r="Y213" s="27">
        <f>IF($C213="",0,IF(COUNTIF($C$5:$C213,$C213)=1,1,0))</f>
        <v>0</v>
      </c>
      <c r="Z213" t="str">
        <f>IF(Y213=1,SUM($Y$5:$Y213),"")</f>
        <v/>
      </c>
    </row>
    <row r="214" spans="1:26">
      <c r="A214" s="22"/>
      <c r="B214" s="22"/>
      <c r="C214" s="22"/>
      <c r="D214" s="22"/>
      <c r="E214" s="23"/>
      <c r="F214" s="23"/>
      <c r="G214" s="24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6"/>
      <c r="T214" s="23" t="str">
        <f t="shared" si="9"/>
        <v/>
      </c>
      <c r="U214" s="22" t="str">
        <f t="shared" si="10"/>
        <v/>
      </c>
      <c r="V214" s="18" t="str">
        <f t="shared" si="11"/>
        <v/>
      </c>
      <c r="W214" s="22"/>
      <c r="X214" s="22"/>
      <c r="Y214" s="27">
        <f>IF($C214="",0,IF(COUNTIF($C$5:$C214,$C214)=1,1,0))</f>
        <v>0</v>
      </c>
      <c r="Z214" t="str">
        <f>IF(Y214=1,SUM($Y$5:$Y214),"")</f>
        <v/>
      </c>
    </row>
    <row r="215" spans="1:26">
      <c r="A215" s="22"/>
      <c r="B215" s="22"/>
      <c r="C215" s="22"/>
      <c r="D215" s="22"/>
      <c r="E215" s="23"/>
      <c r="F215" s="23"/>
      <c r="G215" s="24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6"/>
      <c r="T215" s="23" t="str">
        <f t="shared" si="9"/>
        <v/>
      </c>
      <c r="U215" s="22" t="str">
        <f t="shared" si="10"/>
        <v/>
      </c>
      <c r="V215" s="18" t="str">
        <f t="shared" si="11"/>
        <v/>
      </c>
      <c r="W215" s="22"/>
      <c r="X215" s="22"/>
      <c r="Y215" s="27">
        <f>IF($C215="",0,IF(COUNTIF($C$5:$C215,$C215)=1,1,0))</f>
        <v>0</v>
      </c>
      <c r="Z215" t="str">
        <f>IF(Y215=1,SUM($Y$5:$Y215),"")</f>
        <v/>
      </c>
    </row>
    <row r="216" spans="1:26">
      <c r="A216" s="22"/>
      <c r="B216" s="22"/>
      <c r="C216" s="22"/>
      <c r="D216" s="22"/>
      <c r="E216" s="23"/>
      <c r="F216" s="23"/>
      <c r="G216" s="24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6"/>
      <c r="T216" s="23" t="str">
        <f t="shared" si="9"/>
        <v/>
      </c>
      <c r="U216" s="22" t="str">
        <f t="shared" si="10"/>
        <v/>
      </c>
      <c r="V216" s="18" t="str">
        <f t="shared" si="11"/>
        <v/>
      </c>
      <c r="W216" s="22"/>
      <c r="X216" s="22"/>
      <c r="Y216" s="27">
        <f>IF($C216="",0,IF(COUNTIF($C$5:$C216,$C216)=1,1,0))</f>
        <v>0</v>
      </c>
      <c r="Z216" t="str">
        <f>IF(Y216=1,SUM($Y$5:$Y216),"")</f>
        <v/>
      </c>
    </row>
    <row r="217" spans="1:26">
      <c r="A217" s="22"/>
      <c r="B217" s="22"/>
      <c r="C217" s="22"/>
      <c r="D217" s="22"/>
      <c r="E217" s="23"/>
      <c r="F217" s="23"/>
      <c r="G217" s="24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6"/>
      <c r="T217" s="23" t="str">
        <f t="shared" si="9"/>
        <v/>
      </c>
      <c r="U217" s="22" t="str">
        <f t="shared" si="10"/>
        <v/>
      </c>
      <c r="V217" s="18" t="str">
        <f t="shared" si="11"/>
        <v/>
      </c>
      <c r="W217" s="22"/>
      <c r="X217" s="22"/>
      <c r="Y217" s="27">
        <f>IF($C217="",0,IF(COUNTIF($C$5:$C217,$C217)=1,1,0))</f>
        <v>0</v>
      </c>
      <c r="Z217" t="str">
        <f>IF(Y217=1,SUM($Y$5:$Y217),"")</f>
        <v/>
      </c>
    </row>
    <row r="218" spans="1:26">
      <c r="A218" s="22"/>
      <c r="B218" s="22"/>
      <c r="C218" s="22"/>
      <c r="D218" s="22"/>
      <c r="E218" s="23"/>
      <c r="F218" s="23"/>
      <c r="G218" s="24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6"/>
      <c r="T218" s="23" t="str">
        <f t="shared" si="9"/>
        <v/>
      </c>
      <c r="U218" s="22" t="str">
        <f t="shared" si="10"/>
        <v/>
      </c>
      <c r="V218" s="18" t="str">
        <f t="shared" si="11"/>
        <v/>
      </c>
      <c r="W218" s="22"/>
      <c r="X218" s="22"/>
      <c r="Y218" s="27">
        <f>IF($C218="",0,IF(COUNTIF($C$5:$C218,$C218)=1,1,0))</f>
        <v>0</v>
      </c>
      <c r="Z218" t="str">
        <f>IF(Y218=1,SUM($Y$5:$Y218),"")</f>
        <v/>
      </c>
    </row>
    <row r="219" spans="1:26">
      <c r="A219" s="22"/>
      <c r="B219" s="22"/>
      <c r="C219" s="22"/>
      <c r="D219" s="22"/>
      <c r="E219" s="23"/>
      <c r="F219" s="23"/>
      <c r="G219" s="24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6"/>
      <c r="T219" s="23" t="str">
        <f t="shared" si="9"/>
        <v/>
      </c>
      <c r="U219" s="22" t="str">
        <f t="shared" si="10"/>
        <v/>
      </c>
      <c r="V219" s="18" t="str">
        <f t="shared" si="11"/>
        <v/>
      </c>
      <c r="W219" s="22"/>
      <c r="X219" s="22"/>
      <c r="Y219" s="27">
        <f>IF($C219="",0,IF(COUNTIF($C$5:$C219,$C219)=1,1,0))</f>
        <v>0</v>
      </c>
      <c r="Z219" t="str">
        <f>IF(Y219=1,SUM($Y$5:$Y219),"")</f>
        <v/>
      </c>
    </row>
    <row r="220" spans="1:26">
      <c r="A220" s="22"/>
      <c r="B220" s="22"/>
      <c r="C220" s="22"/>
      <c r="D220" s="22"/>
      <c r="E220" s="23"/>
      <c r="F220" s="23"/>
      <c r="G220" s="24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6"/>
      <c r="T220" s="23" t="str">
        <f t="shared" si="9"/>
        <v/>
      </c>
      <c r="U220" s="22" t="str">
        <f t="shared" si="10"/>
        <v/>
      </c>
      <c r="V220" s="18" t="str">
        <f t="shared" si="11"/>
        <v/>
      </c>
      <c r="W220" s="22"/>
      <c r="X220" s="22"/>
      <c r="Y220" s="27">
        <f>IF($C220="",0,IF(COUNTIF($C$5:$C220,$C220)=1,1,0))</f>
        <v>0</v>
      </c>
      <c r="Z220" t="str">
        <f>IF(Y220=1,SUM($Y$5:$Y220),"")</f>
        <v/>
      </c>
    </row>
    <row r="221" spans="1:26">
      <c r="A221" s="22"/>
      <c r="B221" s="22"/>
      <c r="C221" s="22"/>
      <c r="D221" s="22"/>
      <c r="E221" s="23"/>
      <c r="F221" s="23"/>
      <c r="G221" s="24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6"/>
      <c r="T221" s="23" t="str">
        <f t="shared" si="9"/>
        <v/>
      </c>
      <c r="U221" s="22" t="str">
        <f t="shared" si="10"/>
        <v/>
      </c>
      <c r="V221" s="18" t="str">
        <f t="shared" si="11"/>
        <v/>
      </c>
      <c r="W221" s="22"/>
      <c r="X221" s="22"/>
      <c r="Y221" s="27">
        <f>IF($C221="",0,IF(COUNTIF($C$5:$C221,$C221)=1,1,0))</f>
        <v>0</v>
      </c>
      <c r="Z221" t="str">
        <f>IF(Y221=1,SUM($Y$5:$Y221),"")</f>
        <v/>
      </c>
    </row>
    <row r="222" spans="1:26">
      <c r="A222" s="22"/>
      <c r="B222" s="22"/>
      <c r="C222" s="22"/>
      <c r="D222" s="22"/>
      <c r="E222" s="23"/>
      <c r="F222" s="23"/>
      <c r="G222" s="24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6"/>
      <c r="T222" s="23" t="str">
        <f t="shared" si="9"/>
        <v/>
      </c>
      <c r="U222" s="22" t="str">
        <f t="shared" si="10"/>
        <v/>
      </c>
      <c r="V222" s="18" t="str">
        <f t="shared" si="11"/>
        <v/>
      </c>
      <c r="W222" s="22"/>
      <c r="X222" s="22"/>
      <c r="Y222" s="27">
        <f>IF($C222="",0,IF(COUNTIF($C$5:$C222,$C222)=1,1,0))</f>
        <v>0</v>
      </c>
      <c r="Z222" t="str">
        <f>IF(Y222=1,SUM($Y$5:$Y222),"")</f>
        <v/>
      </c>
    </row>
    <row r="223" spans="1:26">
      <c r="A223" s="22"/>
      <c r="B223" s="22"/>
      <c r="C223" s="22"/>
      <c r="D223" s="22"/>
      <c r="E223" s="23"/>
      <c r="F223" s="23"/>
      <c r="G223" s="24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6"/>
      <c r="T223" s="23" t="str">
        <f t="shared" si="9"/>
        <v/>
      </c>
      <c r="U223" s="22" t="str">
        <f t="shared" si="10"/>
        <v/>
      </c>
      <c r="V223" s="18" t="str">
        <f t="shared" si="11"/>
        <v/>
      </c>
      <c r="W223" s="22"/>
      <c r="X223" s="22"/>
      <c r="Y223" s="27">
        <f>IF($C223="",0,IF(COUNTIF($C$5:$C223,$C223)=1,1,0))</f>
        <v>0</v>
      </c>
      <c r="Z223" t="str">
        <f>IF(Y223=1,SUM($Y$5:$Y223),"")</f>
        <v/>
      </c>
    </row>
    <row r="224" spans="1:26">
      <c r="A224" s="22"/>
      <c r="B224" s="22"/>
      <c r="C224" s="22"/>
      <c r="D224" s="22"/>
      <c r="E224" s="23"/>
      <c r="F224" s="23"/>
      <c r="G224" s="24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6"/>
      <c r="T224" s="23" t="str">
        <f t="shared" si="9"/>
        <v/>
      </c>
      <c r="U224" s="22" t="str">
        <f t="shared" si="10"/>
        <v/>
      </c>
      <c r="V224" s="18" t="str">
        <f t="shared" si="11"/>
        <v/>
      </c>
      <c r="W224" s="22"/>
      <c r="X224" s="22"/>
      <c r="Y224" s="27">
        <f>IF($C224="",0,IF(COUNTIF($C$5:$C224,$C224)=1,1,0))</f>
        <v>0</v>
      </c>
      <c r="Z224" t="str">
        <f>IF(Y224=1,SUM($Y$5:$Y224),"")</f>
        <v/>
      </c>
    </row>
    <row r="225" spans="1:26">
      <c r="A225" s="22"/>
      <c r="B225" s="22"/>
      <c r="C225" s="22"/>
      <c r="D225" s="22"/>
      <c r="E225" s="23"/>
      <c r="F225" s="23"/>
      <c r="G225" s="24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6"/>
      <c r="T225" s="23" t="str">
        <f t="shared" si="9"/>
        <v/>
      </c>
      <c r="U225" s="22" t="str">
        <f t="shared" si="10"/>
        <v/>
      </c>
      <c r="V225" s="18" t="str">
        <f t="shared" si="11"/>
        <v/>
      </c>
      <c r="W225" s="22"/>
      <c r="X225" s="22"/>
      <c r="Y225" s="27">
        <f>IF($C225="",0,IF(COUNTIF($C$5:$C225,$C225)=1,1,0))</f>
        <v>0</v>
      </c>
      <c r="Z225" t="str">
        <f>IF(Y225=1,SUM($Y$5:$Y225),"")</f>
        <v/>
      </c>
    </row>
    <row r="226" spans="1:26">
      <c r="A226" s="22"/>
      <c r="B226" s="22"/>
      <c r="C226" s="22"/>
      <c r="D226" s="22"/>
      <c r="E226" s="23"/>
      <c r="F226" s="23"/>
      <c r="G226" s="24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6"/>
      <c r="T226" s="23" t="str">
        <f t="shared" si="9"/>
        <v/>
      </c>
      <c r="U226" s="22" t="str">
        <f t="shared" si="10"/>
        <v/>
      </c>
      <c r="V226" s="18" t="str">
        <f t="shared" si="11"/>
        <v/>
      </c>
      <c r="W226" s="22"/>
      <c r="X226" s="22"/>
      <c r="Y226" s="27">
        <f>IF($C226="",0,IF(COUNTIF($C$5:$C226,$C226)=1,1,0))</f>
        <v>0</v>
      </c>
      <c r="Z226" t="str">
        <f>IF(Y226=1,SUM($Y$5:$Y226),"")</f>
        <v/>
      </c>
    </row>
    <row r="227" spans="1:26">
      <c r="A227" s="22"/>
      <c r="B227" s="22"/>
      <c r="C227" s="22"/>
      <c r="D227" s="22"/>
      <c r="E227" s="23"/>
      <c r="F227" s="23"/>
      <c r="G227" s="24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6"/>
      <c r="T227" s="23" t="str">
        <f t="shared" si="9"/>
        <v/>
      </c>
      <c r="U227" s="22" t="str">
        <f t="shared" si="10"/>
        <v/>
      </c>
      <c r="V227" s="18" t="str">
        <f t="shared" si="11"/>
        <v/>
      </c>
      <c r="W227" s="22"/>
      <c r="X227" s="22"/>
      <c r="Y227" s="27">
        <f>IF($C227="",0,IF(COUNTIF($C$5:$C227,$C227)=1,1,0))</f>
        <v>0</v>
      </c>
      <c r="Z227" t="str">
        <f>IF(Y227=1,SUM($Y$5:$Y227),"")</f>
        <v/>
      </c>
    </row>
    <row r="228" spans="1:26">
      <c r="A228" s="22"/>
      <c r="B228" s="22"/>
      <c r="C228" s="22"/>
      <c r="D228" s="22"/>
      <c r="E228" s="23"/>
      <c r="F228" s="23"/>
      <c r="G228" s="24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6"/>
      <c r="T228" s="23" t="str">
        <f t="shared" si="9"/>
        <v/>
      </c>
      <c r="U228" s="22" t="str">
        <f t="shared" si="10"/>
        <v/>
      </c>
      <c r="V228" s="18" t="str">
        <f t="shared" si="11"/>
        <v/>
      </c>
      <c r="W228" s="22"/>
      <c r="X228" s="22"/>
      <c r="Y228" s="27">
        <f>IF($C228="",0,IF(COUNTIF($C$5:$C228,$C228)=1,1,0))</f>
        <v>0</v>
      </c>
      <c r="Z228" t="str">
        <f>IF(Y228=1,SUM($Y$5:$Y228),"")</f>
        <v/>
      </c>
    </row>
    <row r="229" spans="1:26">
      <c r="A229" s="22"/>
      <c r="B229" s="22"/>
      <c r="C229" s="22"/>
      <c r="D229" s="22"/>
      <c r="E229" s="23"/>
      <c r="F229" s="23"/>
      <c r="G229" s="24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6"/>
      <c r="T229" s="23" t="str">
        <f t="shared" si="9"/>
        <v/>
      </c>
      <c r="U229" s="22" t="str">
        <f t="shared" si="10"/>
        <v/>
      </c>
      <c r="V229" s="18" t="str">
        <f t="shared" si="11"/>
        <v/>
      </c>
      <c r="W229" s="22"/>
      <c r="X229" s="22"/>
      <c r="Y229" s="27">
        <f>IF($C229="",0,IF(COUNTIF($C$5:$C229,$C229)=1,1,0))</f>
        <v>0</v>
      </c>
      <c r="Z229" t="str">
        <f>IF(Y229=1,SUM($Y$5:$Y229),"")</f>
        <v/>
      </c>
    </row>
    <row r="230" spans="1:26">
      <c r="A230" s="22"/>
      <c r="B230" s="22"/>
      <c r="C230" s="22"/>
      <c r="D230" s="22"/>
      <c r="E230" s="23"/>
      <c r="F230" s="23"/>
      <c r="G230" s="24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6"/>
      <c r="T230" s="23" t="str">
        <f t="shared" si="9"/>
        <v/>
      </c>
      <c r="U230" s="22" t="str">
        <f t="shared" si="10"/>
        <v/>
      </c>
      <c r="V230" s="18" t="str">
        <f t="shared" si="11"/>
        <v/>
      </c>
      <c r="W230" s="22"/>
      <c r="X230" s="22"/>
      <c r="Y230" s="27">
        <f>IF($C230="",0,IF(COUNTIF($C$5:$C230,$C230)=1,1,0))</f>
        <v>0</v>
      </c>
      <c r="Z230" t="str">
        <f>IF(Y230=1,SUM($Y$5:$Y230),"")</f>
        <v/>
      </c>
    </row>
    <row r="231" spans="1:26">
      <c r="A231" s="22"/>
      <c r="B231" s="22"/>
      <c r="C231" s="22"/>
      <c r="D231" s="22"/>
      <c r="E231" s="23"/>
      <c r="F231" s="23"/>
      <c r="G231" s="24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6"/>
      <c r="T231" s="23" t="str">
        <f t="shared" si="9"/>
        <v/>
      </c>
      <c r="U231" s="22" t="str">
        <f t="shared" si="10"/>
        <v/>
      </c>
      <c r="V231" s="18" t="str">
        <f t="shared" si="11"/>
        <v/>
      </c>
      <c r="W231" s="22"/>
      <c r="X231" s="22"/>
      <c r="Y231" s="27">
        <f>IF($C231="",0,IF(COUNTIF($C$5:$C231,$C231)=1,1,0))</f>
        <v>0</v>
      </c>
      <c r="Z231" t="str">
        <f>IF(Y231=1,SUM($Y$5:$Y231),"")</f>
        <v/>
      </c>
    </row>
    <row r="232" spans="1:26">
      <c r="A232" s="22"/>
      <c r="B232" s="22"/>
      <c r="C232" s="22"/>
      <c r="D232" s="22"/>
      <c r="E232" s="23"/>
      <c r="F232" s="23"/>
      <c r="G232" s="24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6"/>
      <c r="T232" s="23" t="str">
        <f t="shared" si="9"/>
        <v/>
      </c>
      <c r="U232" s="22" t="str">
        <f t="shared" si="10"/>
        <v/>
      </c>
      <c r="V232" s="18" t="str">
        <f t="shared" si="11"/>
        <v/>
      </c>
      <c r="W232" s="22"/>
      <c r="X232" s="22"/>
      <c r="Y232" s="27">
        <f>IF($C232="",0,IF(COUNTIF($C$5:$C232,$C232)=1,1,0))</f>
        <v>0</v>
      </c>
      <c r="Z232" t="str">
        <f>IF(Y232=1,SUM($Y$5:$Y232),"")</f>
        <v/>
      </c>
    </row>
    <row r="233" spans="1:26">
      <c r="A233" s="22"/>
      <c r="B233" s="22"/>
      <c r="C233" s="22"/>
      <c r="D233" s="22"/>
      <c r="E233" s="23"/>
      <c r="F233" s="23"/>
      <c r="G233" s="24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6"/>
      <c r="T233" s="23" t="str">
        <f t="shared" si="9"/>
        <v/>
      </c>
      <c r="U233" s="22" t="str">
        <f t="shared" si="10"/>
        <v/>
      </c>
      <c r="V233" s="18" t="str">
        <f t="shared" si="11"/>
        <v/>
      </c>
      <c r="W233" s="22"/>
      <c r="X233" s="22"/>
      <c r="Y233" s="27">
        <f>IF($C233="",0,IF(COUNTIF($C$5:$C233,$C233)=1,1,0))</f>
        <v>0</v>
      </c>
      <c r="Z233" t="str">
        <f>IF(Y233=1,SUM($Y$5:$Y233),"")</f>
        <v/>
      </c>
    </row>
    <row r="234" spans="1:26">
      <c r="A234" s="22"/>
      <c r="B234" s="22"/>
      <c r="C234" s="22"/>
      <c r="D234" s="22"/>
      <c r="E234" s="23"/>
      <c r="F234" s="23"/>
      <c r="G234" s="24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6"/>
      <c r="T234" s="23" t="str">
        <f t="shared" si="9"/>
        <v/>
      </c>
      <c r="U234" s="22" t="str">
        <f t="shared" si="10"/>
        <v/>
      </c>
      <c r="V234" s="18" t="str">
        <f t="shared" si="11"/>
        <v/>
      </c>
      <c r="W234" s="22"/>
      <c r="X234" s="22"/>
      <c r="Y234" s="27">
        <f>IF($C234="",0,IF(COUNTIF($C$5:$C234,$C234)=1,1,0))</f>
        <v>0</v>
      </c>
      <c r="Z234" t="str">
        <f>IF(Y234=1,SUM($Y$5:$Y234),"")</f>
        <v/>
      </c>
    </row>
    <row r="235" spans="1:26">
      <c r="A235" s="22"/>
      <c r="B235" s="22"/>
      <c r="C235" s="22"/>
      <c r="D235" s="22"/>
      <c r="E235" s="23"/>
      <c r="F235" s="23"/>
      <c r="G235" s="24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6"/>
      <c r="T235" s="23" t="str">
        <f t="shared" si="9"/>
        <v/>
      </c>
      <c r="U235" s="22" t="str">
        <f t="shared" si="10"/>
        <v/>
      </c>
      <c r="V235" s="18" t="str">
        <f t="shared" si="11"/>
        <v/>
      </c>
      <c r="W235" s="22"/>
      <c r="X235" s="22"/>
      <c r="Y235" s="27">
        <f>IF($C235="",0,IF(COUNTIF($C$5:$C235,$C235)=1,1,0))</f>
        <v>0</v>
      </c>
      <c r="Z235" t="str">
        <f>IF(Y235=1,SUM($Y$5:$Y235),"")</f>
        <v/>
      </c>
    </row>
    <row r="236" spans="1:26">
      <c r="A236" s="22"/>
      <c r="B236" s="22"/>
      <c r="C236" s="22"/>
      <c r="D236" s="22"/>
      <c r="E236" s="23"/>
      <c r="F236" s="23"/>
      <c r="G236" s="24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6"/>
      <c r="T236" s="23" t="str">
        <f t="shared" si="9"/>
        <v/>
      </c>
      <c r="U236" s="22" t="str">
        <f t="shared" si="10"/>
        <v/>
      </c>
      <c r="V236" s="18" t="str">
        <f t="shared" si="11"/>
        <v/>
      </c>
      <c r="W236" s="22"/>
      <c r="X236" s="22"/>
      <c r="Y236" s="27">
        <f>IF($C236="",0,IF(COUNTIF($C$5:$C236,$C236)=1,1,0))</f>
        <v>0</v>
      </c>
      <c r="Z236" t="str">
        <f>IF(Y236=1,SUM($Y$5:$Y236),"")</f>
        <v/>
      </c>
    </row>
    <row r="237" spans="1:26">
      <c r="A237" s="22"/>
      <c r="B237" s="22"/>
      <c r="C237" s="22"/>
      <c r="D237" s="22"/>
      <c r="E237" s="23"/>
      <c r="F237" s="23"/>
      <c r="G237" s="24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6"/>
      <c r="T237" s="23" t="str">
        <f t="shared" si="9"/>
        <v/>
      </c>
      <c r="U237" s="22" t="str">
        <f t="shared" si="10"/>
        <v/>
      </c>
      <c r="V237" s="18" t="str">
        <f t="shared" si="11"/>
        <v/>
      </c>
      <c r="W237" s="22"/>
      <c r="X237" s="22"/>
      <c r="Y237" s="27">
        <f>IF($C237="",0,IF(COUNTIF($C$5:$C237,$C237)=1,1,0))</f>
        <v>0</v>
      </c>
      <c r="Z237" t="str">
        <f>IF(Y237=1,SUM($Y$5:$Y237),"")</f>
        <v/>
      </c>
    </row>
    <row r="238" spans="1:26">
      <c r="A238" s="22"/>
      <c r="B238" s="22"/>
      <c r="C238" s="22"/>
      <c r="D238" s="22"/>
      <c r="E238" s="23"/>
      <c r="F238" s="23"/>
      <c r="G238" s="24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6"/>
      <c r="T238" s="23" t="str">
        <f t="shared" si="9"/>
        <v/>
      </c>
      <c r="U238" s="22" t="str">
        <f t="shared" si="10"/>
        <v/>
      </c>
      <c r="V238" s="18" t="str">
        <f t="shared" si="11"/>
        <v/>
      </c>
      <c r="W238" s="22"/>
      <c r="X238" s="22"/>
      <c r="Y238" s="27">
        <f>IF($C238="",0,IF(COUNTIF($C$5:$C238,$C238)=1,1,0))</f>
        <v>0</v>
      </c>
      <c r="Z238" t="str">
        <f>IF(Y238=1,SUM($Y$5:$Y238),"")</f>
        <v/>
      </c>
    </row>
    <row r="239" spans="1:26">
      <c r="A239" s="22"/>
      <c r="B239" s="22"/>
      <c r="C239" s="22"/>
      <c r="D239" s="22"/>
      <c r="E239" s="23"/>
      <c r="F239" s="23"/>
      <c r="G239" s="24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6"/>
      <c r="T239" s="23" t="str">
        <f t="shared" si="9"/>
        <v/>
      </c>
      <c r="U239" s="22" t="str">
        <f t="shared" si="10"/>
        <v/>
      </c>
      <c r="V239" s="18" t="str">
        <f t="shared" si="11"/>
        <v/>
      </c>
      <c r="W239" s="22"/>
      <c r="X239" s="22"/>
      <c r="Y239" s="27">
        <f>IF($C239="",0,IF(COUNTIF($C$5:$C239,$C239)=1,1,0))</f>
        <v>0</v>
      </c>
      <c r="Z239" t="str">
        <f>IF(Y239=1,SUM($Y$5:$Y239),"")</f>
        <v/>
      </c>
    </row>
    <row r="240" spans="1:26">
      <c r="A240" s="22"/>
      <c r="B240" s="22"/>
      <c r="C240" s="22"/>
      <c r="D240" s="22"/>
      <c r="E240" s="23"/>
      <c r="F240" s="23"/>
      <c r="G240" s="24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6"/>
      <c r="T240" s="23" t="str">
        <f t="shared" si="9"/>
        <v/>
      </c>
      <c r="U240" s="22" t="str">
        <f t="shared" si="10"/>
        <v/>
      </c>
      <c r="V240" s="18" t="str">
        <f t="shared" si="11"/>
        <v/>
      </c>
      <c r="W240" s="22"/>
      <c r="X240" s="22"/>
      <c r="Y240" s="27">
        <f>IF($C240="",0,IF(COUNTIF($C$5:$C240,$C240)=1,1,0))</f>
        <v>0</v>
      </c>
      <c r="Z240" t="str">
        <f>IF(Y240=1,SUM($Y$5:$Y240),"")</f>
        <v/>
      </c>
    </row>
    <row r="241" spans="1:26">
      <c r="A241" s="22"/>
      <c r="B241" s="22"/>
      <c r="C241" s="22"/>
      <c r="D241" s="22"/>
      <c r="E241" s="23"/>
      <c r="F241" s="23"/>
      <c r="G241" s="24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6"/>
      <c r="T241" s="23" t="str">
        <f t="shared" si="9"/>
        <v/>
      </c>
      <c r="U241" s="22" t="str">
        <f t="shared" si="10"/>
        <v/>
      </c>
      <c r="V241" s="18" t="str">
        <f t="shared" si="11"/>
        <v/>
      </c>
      <c r="W241" s="22"/>
      <c r="X241" s="22"/>
      <c r="Y241" s="27">
        <f>IF($C241="",0,IF(COUNTIF($C$5:$C241,$C241)=1,1,0))</f>
        <v>0</v>
      </c>
      <c r="Z241" t="str">
        <f>IF(Y241=1,SUM($Y$5:$Y241),"")</f>
        <v/>
      </c>
    </row>
    <row r="242" spans="1:26">
      <c r="A242" s="22"/>
      <c r="B242" s="22"/>
      <c r="C242" s="22"/>
      <c r="D242" s="22"/>
      <c r="E242" s="23"/>
      <c r="F242" s="23"/>
      <c r="G242" s="24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6"/>
      <c r="T242" s="23" t="str">
        <f t="shared" si="9"/>
        <v/>
      </c>
      <c r="U242" s="22" t="str">
        <f t="shared" si="10"/>
        <v/>
      </c>
      <c r="V242" s="18" t="str">
        <f t="shared" si="11"/>
        <v/>
      </c>
      <c r="W242" s="22"/>
      <c r="X242" s="22"/>
      <c r="Y242" s="27">
        <f>IF($C242="",0,IF(COUNTIF($C$5:$C242,$C242)=1,1,0))</f>
        <v>0</v>
      </c>
      <c r="Z242" t="str">
        <f>IF(Y242=1,SUM($Y$5:$Y242),"")</f>
        <v/>
      </c>
    </row>
    <row r="243" spans="1:26">
      <c r="A243" s="22"/>
      <c r="B243" s="22"/>
      <c r="C243" s="22"/>
      <c r="D243" s="22"/>
      <c r="E243" s="23"/>
      <c r="F243" s="23"/>
      <c r="G243" s="24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6"/>
      <c r="T243" s="23" t="str">
        <f t="shared" si="9"/>
        <v/>
      </c>
      <c r="U243" s="22" t="str">
        <f t="shared" si="10"/>
        <v/>
      </c>
      <c r="V243" s="18" t="str">
        <f t="shared" si="11"/>
        <v/>
      </c>
      <c r="W243" s="22"/>
      <c r="X243" s="22"/>
      <c r="Y243" s="27">
        <f>IF($C243="",0,IF(COUNTIF($C$5:$C243,$C243)=1,1,0))</f>
        <v>0</v>
      </c>
      <c r="Z243" t="str">
        <f>IF(Y243=1,SUM($Y$5:$Y243),"")</f>
        <v/>
      </c>
    </row>
    <row r="244" spans="1:26">
      <c r="A244" s="22"/>
      <c r="B244" s="22"/>
      <c r="C244" s="22"/>
      <c r="D244" s="22"/>
      <c r="E244" s="23"/>
      <c r="F244" s="23"/>
      <c r="G244" s="24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6"/>
      <c r="T244" s="23" t="str">
        <f t="shared" si="9"/>
        <v/>
      </c>
      <c r="U244" s="22" t="str">
        <f t="shared" si="10"/>
        <v/>
      </c>
      <c r="V244" s="18" t="str">
        <f t="shared" si="11"/>
        <v/>
      </c>
      <c r="W244" s="22"/>
      <c r="X244" s="22"/>
      <c r="Y244" s="27">
        <f>IF($C244="",0,IF(COUNTIF($C$5:$C244,$C244)=1,1,0))</f>
        <v>0</v>
      </c>
      <c r="Z244" t="str">
        <f>IF(Y244=1,SUM($Y$5:$Y244),"")</f>
        <v/>
      </c>
    </row>
    <row r="245" spans="1:26">
      <c r="A245" s="22"/>
      <c r="B245" s="22"/>
      <c r="C245" s="22"/>
      <c r="D245" s="22"/>
      <c r="E245" s="23"/>
      <c r="F245" s="23"/>
      <c r="G245" s="24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6"/>
      <c r="T245" s="23" t="str">
        <f t="shared" si="9"/>
        <v/>
      </c>
      <c r="U245" s="22" t="str">
        <f t="shared" si="10"/>
        <v/>
      </c>
      <c r="V245" s="18" t="str">
        <f t="shared" si="11"/>
        <v/>
      </c>
      <c r="W245" s="22"/>
      <c r="X245" s="22"/>
      <c r="Y245" s="27">
        <f>IF($C245="",0,IF(COUNTIF($C$5:$C245,$C245)=1,1,0))</f>
        <v>0</v>
      </c>
      <c r="Z245" t="str">
        <f>IF(Y245=1,SUM($Y$5:$Y245),"")</f>
        <v/>
      </c>
    </row>
    <row r="246" spans="1:26">
      <c r="A246" s="22"/>
      <c r="B246" s="22"/>
      <c r="C246" s="22"/>
      <c r="D246" s="22"/>
      <c r="E246" s="23"/>
      <c r="F246" s="23"/>
      <c r="G246" s="24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6"/>
      <c r="T246" s="23" t="str">
        <f t="shared" si="9"/>
        <v/>
      </c>
      <c r="U246" s="22" t="str">
        <f t="shared" si="10"/>
        <v/>
      </c>
      <c r="V246" s="18" t="str">
        <f t="shared" si="11"/>
        <v/>
      </c>
      <c r="W246" s="22"/>
      <c r="X246" s="22"/>
      <c r="Y246" s="27">
        <f>IF($C246="",0,IF(COUNTIF($C$5:$C246,$C246)=1,1,0))</f>
        <v>0</v>
      </c>
      <c r="Z246" t="str">
        <f>IF(Y246=1,SUM($Y$5:$Y246),"")</f>
        <v/>
      </c>
    </row>
    <row r="247" spans="1:26">
      <c r="A247" s="22"/>
      <c r="B247" s="22"/>
      <c r="C247" s="22"/>
      <c r="D247" s="22"/>
      <c r="E247" s="23"/>
      <c r="F247" s="23"/>
      <c r="G247" s="24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6"/>
      <c r="T247" s="23" t="str">
        <f t="shared" si="9"/>
        <v/>
      </c>
      <c r="U247" s="22" t="str">
        <f t="shared" si="10"/>
        <v/>
      </c>
      <c r="V247" s="18" t="str">
        <f t="shared" si="11"/>
        <v/>
      </c>
      <c r="W247" s="22"/>
      <c r="X247" s="22"/>
      <c r="Y247" s="27">
        <f>IF($C247="",0,IF(COUNTIF($C$5:$C247,$C247)=1,1,0))</f>
        <v>0</v>
      </c>
      <c r="Z247" t="str">
        <f>IF(Y247=1,SUM($Y$5:$Y247),"")</f>
        <v/>
      </c>
    </row>
    <row r="248" spans="1:26">
      <c r="A248" s="22"/>
      <c r="B248" s="22"/>
      <c r="C248" s="22"/>
      <c r="D248" s="22"/>
      <c r="E248" s="23"/>
      <c r="F248" s="23"/>
      <c r="G248" s="24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6"/>
      <c r="T248" s="23" t="str">
        <f t="shared" si="9"/>
        <v/>
      </c>
      <c r="U248" s="22" t="str">
        <f t="shared" si="10"/>
        <v/>
      </c>
      <c r="V248" s="18" t="str">
        <f t="shared" si="11"/>
        <v/>
      </c>
      <c r="W248" s="22"/>
      <c r="X248" s="22"/>
      <c r="Y248" s="27">
        <f>IF($C248="",0,IF(COUNTIF($C$5:$C248,$C248)=1,1,0))</f>
        <v>0</v>
      </c>
      <c r="Z248" t="str">
        <f>IF(Y248=1,SUM($Y$5:$Y248),"")</f>
        <v/>
      </c>
    </row>
    <row r="249" spans="1:26">
      <c r="A249" s="22"/>
      <c r="B249" s="22"/>
      <c r="C249" s="22"/>
      <c r="D249" s="22"/>
      <c r="E249" s="23"/>
      <c r="F249" s="23"/>
      <c r="G249" s="24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6"/>
      <c r="T249" s="23" t="str">
        <f t="shared" si="9"/>
        <v/>
      </c>
      <c r="U249" s="22" t="str">
        <f t="shared" si="10"/>
        <v/>
      </c>
      <c r="V249" s="18" t="str">
        <f t="shared" si="11"/>
        <v/>
      </c>
      <c r="W249" s="22"/>
      <c r="X249" s="22"/>
      <c r="Y249" s="27">
        <f>IF($C249="",0,IF(COUNTIF($C$5:$C249,$C249)=1,1,0))</f>
        <v>0</v>
      </c>
      <c r="Z249" t="str">
        <f>IF(Y249=1,SUM($Y$5:$Y249),"")</f>
        <v/>
      </c>
    </row>
    <row r="250" spans="1:26">
      <c r="A250" s="22"/>
      <c r="B250" s="22"/>
      <c r="C250" s="22"/>
      <c r="D250" s="22"/>
      <c r="E250" s="23"/>
      <c r="F250" s="23"/>
      <c r="G250" s="24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6"/>
      <c r="T250" s="23" t="str">
        <f t="shared" si="9"/>
        <v/>
      </c>
      <c r="U250" s="22" t="str">
        <f t="shared" si="10"/>
        <v/>
      </c>
      <c r="V250" s="18" t="str">
        <f t="shared" si="11"/>
        <v/>
      </c>
      <c r="W250" s="22"/>
      <c r="X250" s="22"/>
      <c r="Y250" s="27">
        <f>IF($C250="",0,IF(COUNTIF($C$5:$C250,$C250)=1,1,0))</f>
        <v>0</v>
      </c>
      <c r="Z250" t="str">
        <f>IF(Y250=1,SUM($Y$5:$Y250),"")</f>
        <v/>
      </c>
    </row>
    <row r="251" spans="1:26">
      <c r="A251" s="22"/>
      <c r="B251" s="22"/>
      <c r="C251" s="22"/>
      <c r="D251" s="22"/>
      <c r="E251" s="23"/>
      <c r="F251" s="23"/>
      <c r="G251" s="24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6"/>
      <c r="T251" s="23" t="str">
        <f t="shared" si="9"/>
        <v/>
      </c>
      <c r="U251" s="22" t="str">
        <f t="shared" si="10"/>
        <v/>
      </c>
      <c r="V251" s="18" t="str">
        <f t="shared" si="11"/>
        <v/>
      </c>
      <c r="W251" s="22"/>
      <c r="X251" s="22"/>
      <c r="Y251" s="27">
        <f>IF($C251="",0,IF(COUNTIF($C$5:$C251,$C251)=1,1,0))</f>
        <v>0</v>
      </c>
      <c r="Z251" t="str">
        <f>IF(Y251=1,SUM($Y$5:$Y251),"")</f>
        <v/>
      </c>
    </row>
    <row r="252" spans="1:26">
      <c r="A252" s="22"/>
      <c r="B252" s="22"/>
      <c r="C252" s="22"/>
      <c r="D252" s="22"/>
      <c r="E252" s="23"/>
      <c r="F252" s="23"/>
      <c r="G252" s="24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6"/>
      <c r="T252" s="23" t="str">
        <f t="shared" si="9"/>
        <v/>
      </c>
      <c r="U252" s="22" t="str">
        <f t="shared" si="10"/>
        <v/>
      </c>
      <c r="V252" s="18" t="str">
        <f t="shared" si="11"/>
        <v/>
      </c>
      <c r="W252" s="22"/>
      <c r="X252" s="22"/>
      <c r="Y252" s="27">
        <f>IF($C252="",0,IF(COUNTIF($C$5:$C252,$C252)=1,1,0))</f>
        <v>0</v>
      </c>
      <c r="Z252" t="str">
        <f>IF(Y252=1,SUM($Y$5:$Y252),"")</f>
        <v/>
      </c>
    </row>
    <row r="253" spans="1:26">
      <c r="A253" s="22"/>
      <c r="B253" s="22"/>
      <c r="C253" s="22"/>
      <c r="D253" s="22"/>
      <c r="E253" s="23"/>
      <c r="F253" s="23"/>
      <c r="G253" s="24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6"/>
      <c r="T253" s="23" t="str">
        <f t="shared" si="9"/>
        <v/>
      </c>
      <c r="U253" s="22" t="str">
        <f t="shared" si="10"/>
        <v/>
      </c>
      <c r="V253" s="18" t="str">
        <f t="shared" si="11"/>
        <v/>
      </c>
      <c r="W253" s="22"/>
      <c r="X253" s="22"/>
      <c r="Y253" s="27">
        <f>IF($C253="",0,IF(COUNTIF($C$5:$C253,$C253)=1,1,0))</f>
        <v>0</v>
      </c>
      <c r="Z253" t="str">
        <f>IF(Y253=1,SUM($Y$5:$Y253),"")</f>
        <v/>
      </c>
    </row>
    <row r="254" spans="1:26">
      <c r="A254" s="22"/>
      <c r="B254" s="22"/>
      <c r="C254" s="22"/>
      <c r="D254" s="22"/>
      <c r="E254" s="23"/>
      <c r="F254" s="23"/>
      <c r="G254" s="24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6"/>
      <c r="T254" s="23" t="str">
        <f t="shared" si="9"/>
        <v/>
      </c>
      <c r="U254" s="22" t="str">
        <f t="shared" si="10"/>
        <v/>
      </c>
      <c r="V254" s="18" t="str">
        <f t="shared" si="11"/>
        <v/>
      </c>
      <c r="W254" s="22"/>
      <c r="X254" s="22"/>
      <c r="Y254" s="27">
        <f>IF($C254="",0,IF(COUNTIF($C$5:$C254,$C254)=1,1,0))</f>
        <v>0</v>
      </c>
      <c r="Z254" t="str">
        <f>IF(Y254=1,SUM($Y$5:$Y254),"")</f>
        <v/>
      </c>
    </row>
    <row r="255" spans="1:26">
      <c r="A255" s="22"/>
      <c r="B255" s="22"/>
      <c r="C255" s="22"/>
      <c r="D255" s="22"/>
      <c r="E255" s="23"/>
      <c r="F255" s="23"/>
      <c r="G255" s="24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6"/>
      <c r="T255" s="23" t="str">
        <f t="shared" si="9"/>
        <v/>
      </c>
      <c r="U255" s="22" t="str">
        <f t="shared" si="10"/>
        <v/>
      </c>
      <c r="V255" s="18" t="str">
        <f t="shared" si="11"/>
        <v/>
      </c>
      <c r="W255" s="22"/>
      <c r="X255" s="22"/>
      <c r="Y255" s="27">
        <f>IF($C255="",0,IF(COUNTIF($C$5:$C255,$C255)=1,1,0))</f>
        <v>0</v>
      </c>
      <c r="Z255" t="str">
        <f>IF(Y255=1,SUM($Y$5:$Y255),"")</f>
        <v/>
      </c>
    </row>
    <row r="256" spans="1:26">
      <c r="A256" s="22"/>
      <c r="B256" s="22"/>
      <c r="C256" s="22"/>
      <c r="D256" s="22"/>
      <c r="E256" s="23"/>
      <c r="F256" s="23"/>
      <c r="G256" s="24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6"/>
      <c r="T256" s="23" t="str">
        <f t="shared" si="9"/>
        <v/>
      </c>
      <c r="U256" s="22" t="str">
        <f t="shared" si="10"/>
        <v/>
      </c>
      <c r="V256" s="18" t="str">
        <f t="shared" si="11"/>
        <v/>
      </c>
      <c r="W256" s="22"/>
      <c r="X256" s="22"/>
      <c r="Y256" s="27">
        <f>IF($C256="",0,IF(COUNTIF($C$5:$C256,$C256)=1,1,0))</f>
        <v>0</v>
      </c>
      <c r="Z256" t="str">
        <f>IF(Y256=1,SUM($Y$5:$Y256),"")</f>
        <v/>
      </c>
    </row>
    <row r="257" spans="1:26">
      <c r="A257" s="22"/>
      <c r="B257" s="22"/>
      <c r="C257" s="22"/>
      <c r="D257" s="22"/>
      <c r="E257" s="23"/>
      <c r="F257" s="23"/>
      <c r="G257" s="24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6"/>
      <c r="T257" s="23" t="str">
        <f t="shared" si="9"/>
        <v/>
      </c>
      <c r="U257" s="22" t="str">
        <f t="shared" si="10"/>
        <v/>
      </c>
      <c r="V257" s="18" t="str">
        <f t="shared" si="11"/>
        <v/>
      </c>
      <c r="W257" s="22"/>
      <c r="X257" s="22"/>
      <c r="Y257" s="27">
        <f>IF($C257="",0,IF(COUNTIF($C$5:$C257,$C257)=1,1,0))</f>
        <v>0</v>
      </c>
      <c r="Z257" t="str">
        <f>IF(Y257=1,SUM($Y$5:$Y257),"")</f>
        <v/>
      </c>
    </row>
    <row r="258" spans="1:26">
      <c r="A258" s="22"/>
      <c r="B258" s="22"/>
      <c r="C258" s="22"/>
      <c r="D258" s="22"/>
      <c r="E258" s="23"/>
      <c r="F258" s="23"/>
      <c r="G258" s="24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6"/>
      <c r="T258" s="23" t="str">
        <f t="shared" si="9"/>
        <v/>
      </c>
      <c r="U258" s="22" t="str">
        <f t="shared" si="10"/>
        <v/>
      </c>
      <c r="V258" s="18" t="str">
        <f t="shared" si="11"/>
        <v/>
      </c>
      <c r="W258" s="22"/>
      <c r="X258" s="22"/>
      <c r="Y258" s="27">
        <f>IF($C258="",0,IF(COUNTIF($C$5:$C258,$C258)=1,1,0))</f>
        <v>0</v>
      </c>
      <c r="Z258" t="str">
        <f>IF(Y258=1,SUM($Y$5:$Y258),"")</f>
        <v/>
      </c>
    </row>
    <row r="259" spans="1:26">
      <c r="A259" s="22"/>
      <c r="B259" s="22"/>
      <c r="C259" s="22"/>
      <c r="D259" s="22"/>
      <c r="E259" s="23"/>
      <c r="F259" s="23"/>
      <c r="G259" s="24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6"/>
      <c r="T259" s="23" t="str">
        <f t="shared" si="9"/>
        <v/>
      </c>
      <c r="U259" s="22" t="str">
        <f t="shared" si="10"/>
        <v/>
      </c>
      <c r="V259" s="18" t="str">
        <f t="shared" si="11"/>
        <v/>
      </c>
      <c r="W259" s="22"/>
      <c r="X259" s="22"/>
      <c r="Y259" s="27">
        <f>IF($C259="",0,IF(COUNTIF($C$5:$C259,$C259)=1,1,0))</f>
        <v>0</v>
      </c>
      <c r="Z259" t="str">
        <f>IF(Y259=1,SUM($Y$5:$Y259),"")</f>
        <v/>
      </c>
    </row>
    <row r="260" spans="1:26">
      <c r="A260" s="22"/>
      <c r="B260" s="22"/>
      <c r="C260" s="22"/>
      <c r="D260" s="22"/>
      <c r="E260" s="23"/>
      <c r="F260" s="23"/>
      <c r="G260" s="24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6"/>
      <c r="T260" s="23" t="str">
        <f t="shared" si="9"/>
        <v/>
      </c>
      <c r="U260" s="22" t="str">
        <f t="shared" si="10"/>
        <v/>
      </c>
      <c r="V260" s="18" t="str">
        <f t="shared" si="11"/>
        <v/>
      </c>
      <c r="W260" s="22"/>
      <c r="X260" s="22"/>
      <c r="Y260" s="27">
        <f>IF($C260="",0,IF(COUNTIF($C$5:$C260,$C260)=1,1,0))</f>
        <v>0</v>
      </c>
      <c r="Z260" t="str">
        <f>IF(Y260=1,SUM($Y$5:$Y260),"")</f>
        <v/>
      </c>
    </row>
    <row r="261" spans="1:26">
      <c r="A261" s="22"/>
      <c r="B261" s="22"/>
      <c r="C261" s="22"/>
      <c r="D261" s="22"/>
      <c r="E261" s="23"/>
      <c r="F261" s="23"/>
      <c r="G261" s="24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6"/>
      <c r="T261" s="23" t="str">
        <f t="shared" ref="T261:T304" si="12">IF($D261="","",COUNTIF($H261:$R261,"V"))</f>
        <v/>
      </c>
      <c r="U261" s="22" t="str">
        <f t="shared" ref="U261:U304" si="13">IF($D261="","",IF(AND($S261="V",$T261&gt;0),"⚠ 勾選矛盾",IF($S261="V","○ 免調理",IF($T261=0,"⚠ 資料缺漏",IF($T261=1,"▲ 單一設備依賴","OK")))))</f>
        <v/>
      </c>
      <c r="V261" s="18" t="str">
        <f t="shared" ref="V261:V304" si="14">IF($D261="","",IF(AND($S261="V",$T261&gt;0),"「無使用調理設備」不可與設備欄同時勾選，請擇一修正",IF($S261="V","免調理半成品（外購/僅切配等），不列入設備風險評估",IF($T261=0,"未勾選任何設備，請補填或勾選「無使用調理設備」",IF($T261=1,"僅依賴1台設備，須確認故障/排修時之備援製程","無異常")))))</f>
        <v/>
      </c>
      <c r="W261" s="22"/>
      <c r="X261" s="22"/>
      <c r="Y261" s="27">
        <f>IF($C261="",0,IF(COUNTIF($C$5:$C261,$C261)=1,1,0))</f>
        <v>0</v>
      </c>
      <c r="Z261" t="str">
        <f>IF(Y261=1,SUM($Y$5:$Y261),"")</f>
        <v/>
      </c>
    </row>
    <row r="262" spans="1:26">
      <c r="A262" s="22"/>
      <c r="B262" s="22"/>
      <c r="C262" s="22"/>
      <c r="D262" s="22"/>
      <c r="E262" s="23"/>
      <c r="F262" s="23"/>
      <c r="G262" s="24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6"/>
      <c r="T262" s="23" t="str">
        <f t="shared" si="12"/>
        <v/>
      </c>
      <c r="U262" s="22" t="str">
        <f t="shared" si="13"/>
        <v/>
      </c>
      <c r="V262" s="18" t="str">
        <f t="shared" si="14"/>
        <v/>
      </c>
      <c r="W262" s="22"/>
      <c r="X262" s="22"/>
      <c r="Y262" s="27">
        <f>IF($C262="",0,IF(COUNTIF($C$5:$C262,$C262)=1,1,0))</f>
        <v>0</v>
      </c>
      <c r="Z262" t="str">
        <f>IF(Y262=1,SUM($Y$5:$Y262),"")</f>
        <v/>
      </c>
    </row>
    <row r="263" spans="1:26">
      <c r="A263" s="22"/>
      <c r="B263" s="22"/>
      <c r="C263" s="22"/>
      <c r="D263" s="22"/>
      <c r="E263" s="23"/>
      <c r="F263" s="23"/>
      <c r="G263" s="24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6"/>
      <c r="T263" s="23" t="str">
        <f t="shared" si="12"/>
        <v/>
      </c>
      <c r="U263" s="22" t="str">
        <f t="shared" si="13"/>
        <v/>
      </c>
      <c r="V263" s="18" t="str">
        <f t="shared" si="14"/>
        <v/>
      </c>
      <c r="W263" s="22"/>
      <c r="X263" s="22"/>
      <c r="Y263" s="27">
        <f>IF($C263="",0,IF(COUNTIF($C$5:$C263,$C263)=1,1,0))</f>
        <v>0</v>
      </c>
      <c r="Z263" t="str">
        <f>IF(Y263=1,SUM($Y$5:$Y263),"")</f>
        <v/>
      </c>
    </row>
    <row r="264" spans="1:26">
      <c r="A264" s="22"/>
      <c r="B264" s="22"/>
      <c r="C264" s="22"/>
      <c r="D264" s="22"/>
      <c r="E264" s="23"/>
      <c r="F264" s="23"/>
      <c r="G264" s="24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6"/>
      <c r="T264" s="23" t="str">
        <f t="shared" si="12"/>
        <v/>
      </c>
      <c r="U264" s="22" t="str">
        <f t="shared" si="13"/>
        <v/>
      </c>
      <c r="V264" s="18" t="str">
        <f t="shared" si="14"/>
        <v/>
      </c>
      <c r="W264" s="22"/>
      <c r="X264" s="22"/>
      <c r="Y264" s="27">
        <f>IF($C264="",0,IF(COUNTIF($C$5:$C264,$C264)=1,1,0))</f>
        <v>0</v>
      </c>
      <c r="Z264" t="str">
        <f>IF(Y264=1,SUM($Y$5:$Y264),"")</f>
        <v/>
      </c>
    </row>
    <row r="265" spans="1:26">
      <c r="A265" s="22"/>
      <c r="B265" s="22"/>
      <c r="C265" s="22"/>
      <c r="D265" s="22"/>
      <c r="E265" s="23"/>
      <c r="F265" s="23"/>
      <c r="G265" s="24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6"/>
      <c r="T265" s="23" t="str">
        <f t="shared" si="12"/>
        <v/>
      </c>
      <c r="U265" s="22" t="str">
        <f t="shared" si="13"/>
        <v/>
      </c>
      <c r="V265" s="18" t="str">
        <f t="shared" si="14"/>
        <v/>
      </c>
      <c r="W265" s="22"/>
      <c r="X265" s="22"/>
      <c r="Y265" s="27">
        <f>IF($C265="",0,IF(COUNTIF($C$5:$C265,$C265)=1,1,0))</f>
        <v>0</v>
      </c>
      <c r="Z265" t="str">
        <f>IF(Y265=1,SUM($Y$5:$Y265),"")</f>
        <v/>
      </c>
    </row>
    <row r="266" spans="1:26">
      <c r="A266" s="22"/>
      <c r="B266" s="22"/>
      <c r="C266" s="22"/>
      <c r="D266" s="22"/>
      <c r="E266" s="23"/>
      <c r="F266" s="23"/>
      <c r="G266" s="24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6"/>
      <c r="T266" s="23" t="str">
        <f t="shared" si="12"/>
        <v/>
      </c>
      <c r="U266" s="22" t="str">
        <f t="shared" si="13"/>
        <v/>
      </c>
      <c r="V266" s="18" t="str">
        <f t="shared" si="14"/>
        <v/>
      </c>
      <c r="W266" s="22"/>
      <c r="X266" s="22"/>
      <c r="Y266" s="27">
        <f>IF($C266="",0,IF(COUNTIF($C$5:$C266,$C266)=1,1,0))</f>
        <v>0</v>
      </c>
      <c r="Z266" t="str">
        <f>IF(Y266=1,SUM($Y$5:$Y266),"")</f>
        <v/>
      </c>
    </row>
    <row r="267" spans="1:26">
      <c r="A267" s="22"/>
      <c r="B267" s="22"/>
      <c r="C267" s="22"/>
      <c r="D267" s="22"/>
      <c r="E267" s="23"/>
      <c r="F267" s="23"/>
      <c r="G267" s="24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6"/>
      <c r="T267" s="23" t="str">
        <f t="shared" si="12"/>
        <v/>
      </c>
      <c r="U267" s="22" t="str">
        <f t="shared" si="13"/>
        <v/>
      </c>
      <c r="V267" s="18" t="str">
        <f t="shared" si="14"/>
        <v/>
      </c>
      <c r="W267" s="22"/>
      <c r="X267" s="22"/>
      <c r="Y267" s="27">
        <f>IF($C267="",0,IF(COUNTIF($C$5:$C267,$C267)=1,1,0))</f>
        <v>0</v>
      </c>
      <c r="Z267" t="str">
        <f>IF(Y267=1,SUM($Y$5:$Y267),"")</f>
        <v/>
      </c>
    </row>
    <row r="268" spans="1:26">
      <c r="A268" s="22"/>
      <c r="B268" s="22"/>
      <c r="C268" s="22"/>
      <c r="D268" s="22"/>
      <c r="E268" s="23"/>
      <c r="F268" s="23"/>
      <c r="G268" s="24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6"/>
      <c r="T268" s="23" t="str">
        <f t="shared" si="12"/>
        <v/>
      </c>
      <c r="U268" s="22" t="str">
        <f t="shared" si="13"/>
        <v/>
      </c>
      <c r="V268" s="18" t="str">
        <f t="shared" si="14"/>
        <v/>
      </c>
      <c r="W268" s="22"/>
      <c r="X268" s="22"/>
      <c r="Y268" s="27">
        <f>IF($C268="",0,IF(COUNTIF($C$5:$C268,$C268)=1,1,0))</f>
        <v>0</v>
      </c>
      <c r="Z268" t="str">
        <f>IF(Y268=1,SUM($Y$5:$Y268),"")</f>
        <v/>
      </c>
    </row>
    <row r="269" spans="1:26">
      <c r="A269" s="22"/>
      <c r="B269" s="22"/>
      <c r="C269" s="22"/>
      <c r="D269" s="22"/>
      <c r="E269" s="23"/>
      <c r="F269" s="23"/>
      <c r="G269" s="24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6"/>
      <c r="T269" s="23" t="str">
        <f t="shared" si="12"/>
        <v/>
      </c>
      <c r="U269" s="22" t="str">
        <f t="shared" si="13"/>
        <v/>
      </c>
      <c r="V269" s="18" t="str">
        <f t="shared" si="14"/>
        <v/>
      </c>
      <c r="W269" s="22"/>
      <c r="X269" s="22"/>
      <c r="Y269" s="27">
        <f>IF($C269="",0,IF(COUNTIF($C$5:$C269,$C269)=1,1,0))</f>
        <v>0</v>
      </c>
      <c r="Z269" t="str">
        <f>IF(Y269=1,SUM($Y$5:$Y269),"")</f>
        <v/>
      </c>
    </row>
    <row r="270" spans="1:26">
      <c r="A270" s="22"/>
      <c r="B270" s="22"/>
      <c r="C270" s="22"/>
      <c r="D270" s="22"/>
      <c r="E270" s="23"/>
      <c r="F270" s="23"/>
      <c r="G270" s="24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6"/>
      <c r="T270" s="23" t="str">
        <f t="shared" si="12"/>
        <v/>
      </c>
      <c r="U270" s="22" t="str">
        <f t="shared" si="13"/>
        <v/>
      </c>
      <c r="V270" s="18" t="str">
        <f t="shared" si="14"/>
        <v/>
      </c>
      <c r="W270" s="22"/>
      <c r="X270" s="22"/>
      <c r="Y270" s="27">
        <f>IF($C270="",0,IF(COUNTIF($C$5:$C270,$C270)=1,1,0))</f>
        <v>0</v>
      </c>
      <c r="Z270" t="str">
        <f>IF(Y270=1,SUM($Y$5:$Y270),"")</f>
        <v/>
      </c>
    </row>
    <row r="271" spans="1:26">
      <c r="A271" s="22"/>
      <c r="B271" s="22"/>
      <c r="C271" s="22"/>
      <c r="D271" s="22"/>
      <c r="E271" s="23"/>
      <c r="F271" s="23"/>
      <c r="G271" s="24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6"/>
      <c r="T271" s="23" t="str">
        <f t="shared" si="12"/>
        <v/>
      </c>
      <c r="U271" s="22" t="str">
        <f t="shared" si="13"/>
        <v/>
      </c>
      <c r="V271" s="18" t="str">
        <f t="shared" si="14"/>
        <v/>
      </c>
      <c r="W271" s="22"/>
      <c r="X271" s="22"/>
      <c r="Y271" s="27">
        <f>IF($C271="",0,IF(COUNTIF($C$5:$C271,$C271)=1,1,0))</f>
        <v>0</v>
      </c>
      <c r="Z271" t="str">
        <f>IF(Y271=1,SUM($Y$5:$Y271),"")</f>
        <v/>
      </c>
    </row>
    <row r="272" spans="1:26">
      <c r="A272" s="22"/>
      <c r="B272" s="22"/>
      <c r="C272" s="22"/>
      <c r="D272" s="22"/>
      <c r="E272" s="23"/>
      <c r="F272" s="23"/>
      <c r="G272" s="24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6"/>
      <c r="T272" s="23" t="str">
        <f t="shared" si="12"/>
        <v/>
      </c>
      <c r="U272" s="22" t="str">
        <f t="shared" si="13"/>
        <v/>
      </c>
      <c r="V272" s="18" t="str">
        <f t="shared" si="14"/>
        <v/>
      </c>
      <c r="W272" s="22"/>
      <c r="X272" s="22"/>
      <c r="Y272" s="27">
        <f>IF($C272="",0,IF(COUNTIF($C$5:$C272,$C272)=1,1,0))</f>
        <v>0</v>
      </c>
      <c r="Z272" t="str">
        <f>IF(Y272=1,SUM($Y$5:$Y272),"")</f>
        <v/>
      </c>
    </row>
    <row r="273" spans="1:26">
      <c r="A273" s="22"/>
      <c r="B273" s="22"/>
      <c r="C273" s="22"/>
      <c r="D273" s="22"/>
      <c r="E273" s="23"/>
      <c r="F273" s="23"/>
      <c r="G273" s="24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6"/>
      <c r="T273" s="23" t="str">
        <f t="shared" si="12"/>
        <v/>
      </c>
      <c r="U273" s="22" t="str">
        <f t="shared" si="13"/>
        <v/>
      </c>
      <c r="V273" s="18" t="str">
        <f t="shared" si="14"/>
        <v/>
      </c>
      <c r="W273" s="22"/>
      <c r="X273" s="22"/>
      <c r="Y273" s="27">
        <f>IF($C273="",0,IF(COUNTIF($C$5:$C273,$C273)=1,1,0))</f>
        <v>0</v>
      </c>
      <c r="Z273" t="str">
        <f>IF(Y273=1,SUM($Y$5:$Y273),"")</f>
        <v/>
      </c>
    </row>
    <row r="274" spans="1:26">
      <c r="A274" s="22"/>
      <c r="B274" s="22"/>
      <c r="C274" s="22"/>
      <c r="D274" s="22"/>
      <c r="E274" s="23"/>
      <c r="F274" s="23"/>
      <c r="G274" s="24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6"/>
      <c r="T274" s="23" t="str">
        <f t="shared" si="12"/>
        <v/>
      </c>
      <c r="U274" s="22" t="str">
        <f t="shared" si="13"/>
        <v/>
      </c>
      <c r="V274" s="18" t="str">
        <f t="shared" si="14"/>
        <v/>
      </c>
      <c r="W274" s="22"/>
      <c r="X274" s="22"/>
      <c r="Y274" s="27">
        <f>IF($C274="",0,IF(COUNTIF($C$5:$C274,$C274)=1,1,0))</f>
        <v>0</v>
      </c>
      <c r="Z274" t="str">
        <f>IF(Y274=1,SUM($Y$5:$Y274),"")</f>
        <v/>
      </c>
    </row>
    <row r="275" spans="1:26">
      <c r="A275" s="22"/>
      <c r="B275" s="22"/>
      <c r="C275" s="22"/>
      <c r="D275" s="22"/>
      <c r="E275" s="23"/>
      <c r="F275" s="23"/>
      <c r="G275" s="24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6"/>
      <c r="T275" s="23" t="str">
        <f t="shared" si="12"/>
        <v/>
      </c>
      <c r="U275" s="22" t="str">
        <f t="shared" si="13"/>
        <v/>
      </c>
      <c r="V275" s="18" t="str">
        <f t="shared" si="14"/>
        <v/>
      </c>
      <c r="W275" s="22"/>
      <c r="X275" s="22"/>
      <c r="Y275" s="27">
        <f>IF($C275="",0,IF(COUNTIF($C$5:$C275,$C275)=1,1,0))</f>
        <v>0</v>
      </c>
      <c r="Z275" t="str">
        <f>IF(Y275=1,SUM($Y$5:$Y275),"")</f>
        <v/>
      </c>
    </row>
    <row r="276" spans="1:26">
      <c r="A276" s="22"/>
      <c r="B276" s="22"/>
      <c r="C276" s="22"/>
      <c r="D276" s="22"/>
      <c r="E276" s="23"/>
      <c r="F276" s="23"/>
      <c r="G276" s="24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6"/>
      <c r="T276" s="23" t="str">
        <f t="shared" si="12"/>
        <v/>
      </c>
      <c r="U276" s="22" t="str">
        <f t="shared" si="13"/>
        <v/>
      </c>
      <c r="V276" s="18" t="str">
        <f t="shared" si="14"/>
        <v/>
      </c>
      <c r="W276" s="22"/>
      <c r="X276" s="22"/>
      <c r="Y276" s="27">
        <f>IF($C276="",0,IF(COUNTIF($C$5:$C276,$C276)=1,1,0))</f>
        <v>0</v>
      </c>
      <c r="Z276" t="str">
        <f>IF(Y276=1,SUM($Y$5:$Y276),"")</f>
        <v/>
      </c>
    </row>
    <row r="277" spans="1:26">
      <c r="A277" s="22"/>
      <c r="B277" s="22"/>
      <c r="C277" s="22"/>
      <c r="D277" s="22"/>
      <c r="E277" s="23"/>
      <c r="F277" s="23"/>
      <c r="G277" s="24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6"/>
      <c r="T277" s="23" t="str">
        <f t="shared" si="12"/>
        <v/>
      </c>
      <c r="U277" s="22" t="str">
        <f t="shared" si="13"/>
        <v/>
      </c>
      <c r="V277" s="18" t="str">
        <f t="shared" si="14"/>
        <v/>
      </c>
      <c r="W277" s="22"/>
      <c r="X277" s="22"/>
      <c r="Y277" s="27">
        <f>IF($C277="",0,IF(COUNTIF($C$5:$C277,$C277)=1,1,0))</f>
        <v>0</v>
      </c>
      <c r="Z277" t="str">
        <f>IF(Y277=1,SUM($Y$5:$Y277),"")</f>
        <v/>
      </c>
    </row>
    <row r="278" spans="1:26">
      <c r="A278" s="22"/>
      <c r="B278" s="22"/>
      <c r="C278" s="22"/>
      <c r="D278" s="22"/>
      <c r="E278" s="23"/>
      <c r="F278" s="23"/>
      <c r="G278" s="24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6"/>
      <c r="T278" s="23" t="str">
        <f t="shared" si="12"/>
        <v/>
      </c>
      <c r="U278" s="22" t="str">
        <f t="shared" si="13"/>
        <v/>
      </c>
      <c r="V278" s="18" t="str">
        <f t="shared" si="14"/>
        <v/>
      </c>
      <c r="W278" s="22"/>
      <c r="X278" s="22"/>
      <c r="Y278" s="27">
        <f>IF($C278="",0,IF(COUNTIF($C$5:$C278,$C278)=1,1,0))</f>
        <v>0</v>
      </c>
      <c r="Z278" t="str">
        <f>IF(Y278=1,SUM($Y$5:$Y278),"")</f>
        <v/>
      </c>
    </row>
    <row r="279" spans="1:26">
      <c r="A279" s="22"/>
      <c r="B279" s="22"/>
      <c r="C279" s="22"/>
      <c r="D279" s="22"/>
      <c r="E279" s="23"/>
      <c r="F279" s="23"/>
      <c r="G279" s="24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6"/>
      <c r="T279" s="23" t="str">
        <f t="shared" si="12"/>
        <v/>
      </c>
      <c r="U279" s="22" t="str">
        <f t="shared" si="13"/>
        <v/>
      </c>
      <c r="V279" s="18" t="str">
        <f t="shared" si="14"/>
        <v/>
      </c>
      <c r="W279" s="22"/>
      <c r="X279" s="22"/>
      <c r="Y279" s="27">
        <f>IF($C279="",0,IF(COUNTIF($C$5:$C279,$C279)=1,1,0))</f>
        <v>0</v>
      </c>
      <c r="Z279" t="str">
        <f>IF(Y279=1,SUM($Y$5:$Y279),"")</f>
        <v/>
      </c>
    </row>
    <row r="280" spans="1:26">
      <c r="A280" s="22"/>
      <c r="B280" s="22"/>
      <c r="C280" s="22"/>
      <c r="D280" s="22"/>
      <c r="E280" s="23"/>
      <c r="F280" s="23"/>
      <c r="G280" s="24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6"/>
      <c r="T280" s="23" t="str">
        <f t="shared" si="12"/>
        <v/>
      </c>
      <c r="U280" s="22" t="str">
        <f t="shared" si="13"/>
        <v/>
      </c>
      <c r="V280" s="18" t="str">
        <f t="shared" si="14"/>
        <v/>
      </c>
      <c r="W280" s="22"/>
      <c r="X280" s="22"/>
      <c r="Y280" s="27">
        <f>IF($C280="",0,IF(COUNTIF($C$5:$C280,$C280)=1,1,0))</f>
        <v>0</v>
      </c>
      <c r="Z280" t="str">
        <f>IF(Y280=1,SUM($Y$5:$Y280),"")</f>
        <v/>
      </c>
    </row>
    <row r="281" spans="1:26">
      <c r="A281" s="22"/>
      <c r="B281" s="22"/>
      <c r="C281" s="22"/>
      <c r="D281" s="22"/>
      <c r="E281" s="23"/>
      <c r="F281" s="23"/>
      <c r="G281" s="24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6"/>
      <c r="T281" s="23" t="str">
        <f t="shared" si="12"/>
        <v/>
      </c>
      <c r="U281" s="22" t="str">
        <f t="shared" si="13"/>
        <v/>
      </c>
      <c r="V281" s="18" t="str">
        <f t="shared" si="14"/>
        <v/>
      </c>
      <c r="W281" s="22"/>
      <c r="X281" s="22"/>
      <c r="Y281" s="27">
        <f>IF($C281="",0,IF(COUNTIF($C$5:$C281,$C281)=1,1,0))</f>
        <v>0</v>
      </c>
      <c r="Z281" t="str">
        <f>IF(Y281=1,SUM($Y$5:$Y281),"")</f>
        <v/>
      </c>
    </row>
    <row r="282" spans="1:26">
      <c r="A282" s="22"/>
      <c r="B282" s="22"/>
      <c r="C282" s="22"/>
      <c r="D282" s="22"/>
      <c r="E282" s="23"/>
      <c r="F282" s="23"/>
      <c r="G282" s="24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6"/>
      <c r="T282" s="23" t="str">
        <f t="shared" si="12"/>
        <v/>
      </c>
      <c r="U282" s="22" t="str">
        <f t="shared" si="13"/>
        <v/>
      </c>
      <c r="V282" s="18" t="str">
        <f t="shared" si="14"/>
        <v/>
      </c>
      <c r="W282" s="22"/>
      <c r="X282" s="22"/>
      <c r="Y282" s="27">
        <f>IF($C282="",0,IF(COUNTIF($C$5:$C282,$C282)=1,1,0))</f>
        <v>0</v>
      </c>
      <c r="Z282" t="str">
        <f>IF(Y282=1,SUM($Y$5:$Y282),"")</f>
        <v/>
      </c>
    </row>
    <row r="283" spans="1:26">
      <c r="A283" s="22"/>
      <c r="B283" s="22"/>
      <c r="C283" s="22"/>
      <c r="D283" s="22"/>
      <c r="E283" s="23"/>
      <c r="F283" s="23"/>
      <c r="G283" s="24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6"/>
      <c r="T283" s="23" t="str">
        <f t="shared" si="12"/>
        <v/>
      </c>
      <c r="U283" s="22" t="str">
        <f t="shared" si="13"/>
        <v/>
      </c>
      <c r="V283" s="18" t="str">
        <f t="shared" si="14"/>
        <v/>
      </c>
      <c r="W283" s="22"/>
      <c r="X283" s="22"/>
      <c r="Y283" s="27">
        <f>IF($C283="",0,IF(COUNTIF($C$5:$C283,$C283)=1,1,0))</f>
        <v>0</v>
      </c>
      <c r="Z283" t="str">
        <f>IF(Y283=1,SUM($Y$5:$Y283),"")</f>
        <v/>
      </c>
    </row>
    <row r="284" spans="1:26">
      <c r="A284" s="22"/>
      <c r="B284" s="22"/>
      <c r="C284" s="22"/>
      <c r="D284" s="22"/>
      <c r="E284" s="23"/>
      <c r="F284" s="23"/>
      <c r="G284" s="24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6"/>
      <c r="T284" s="23" t="str">
        <f t="shared" si="12"/>
        <v/>
      </c>
      <c r="U284" s="22" t="str">
        <f t="shared" si="13"/>
        <v/>
      </c>
      <c r="V284" s="18" t="str">
        <f t="shared" si="14"/>
        <v/>
      </c>
      <c r="W284" s="22"/>
      <c r="X284" s="22"/>
      <c r="Y284" s="27">
        <f>IF($C284="",0,IF(COUNTIF($C$5:$C284,$C284)=1,1,0))</f>
        <v>0</v>
      </c>
      <c r="Z284" t="str">
        <f>IF(Y284=1,SUM($Y$5:$Y284),"")</f>
        <v/>
      </c>
    </row>
    <row r="285" spans="1:26">
      <c r="A285" s="22"/>
      <c r="B285" s="22"/>
      <c r="C285" s="22"/>
      <c r="D285" s="22"/>
      <c r="E285" s="23"/>
      <c r="F285" s="23"/>
      <c r="G285" s="24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6"/>
      <c r="T285" s="23" t="str">
        <f t="shared" si="12"/>
        <v/>
      </c>
      <c r="U285" s="22" t="str">
        <f t="shared" si="13"/>
        <v/>
      </c>
      <c r="V285" s="18" t="str">
        <f t="shared" si="14"/>
        <v/>
      </c>
      <c r="W285" s="22"/>
      <c r="X285" s="22"/>
      <c r="Y285" s="27">
        <f>IF($C285="",0,IF(COUNTIF($C$5:$C285,$C285)=1,1,0))</f>
        <v>0</v>
      </c>
      <c r="Z285" t="str">
        <f>IF(Y285=1,SUM($Y$5:$Y285),"")</f>
        <v/>
      </c>
    </row>
    <row r="286" spans="1:26">
      <c r="A286" s="22"/>
      <c r="B286" s="22"/>
      <c r="C286" s="22"/>
      <c r="D286" s="22"/>
      <c r="E286" s="23"/>
      <c r="F286" s="23"/>
      <c r="G286" s="24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6"/>
      <c r="T286" s="23" t="str">
        <f t="shared" si="12"/>
        <v/>
      </c>
      <c r="U286" s="22" t="str">
        <f t="shared" si="13"/>
        <v/>
      </c>
      <c r="V286" s="18" t="str">
        <f t="shared" si="14"/>
        <v/>
      </c>
      <c r="W286" s="22"/>
      <c r="X286" s="22"/>
      <c r="Y286" s="27">
        <f>IF($C286="",0,IF(COUNTIF($C$5:$C286,$C286)=1,1,0))</f>
        <v>0</v>
      </c>
      <c r="Z286" t="str">
        <f>IF(Y286=1,SUM($Y$5:$Y286),"")</f>
        <v/>
      </c>
    </row>
    <row r="287" spans="1:26">
      <c r="A287" s="22"/>
      <c r="B287" s="22"/>
      <c r="C287" s="22"/>
      <c r="D287" s="22"/>
      <c r="E287" s="23"/>
      <c r="F287" s="23"/>
      <c r="G287" s="24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6"/>
      <c r="T287" s="23" t="str">
        <f t="shared" si="12"/>
        <v/>
      </c>
      <c r="U287" s="22" t="str">
        <f t="shared" si="13"/>
        <v/>
      </c>
      <c r="V287" s="18" t="str">
        <f t="shared" si="14"/>
        <v/>
      </c>
      <c r="W287" s="22"/>
      <c r="X287" s="22"/>
      <c r="Y287" s="27">
        <f>IF($C287="",0,IF(COUNTIF($C$5:$C287,$C287)=1,1,0))</f>
        <v>0</v>
      </c>
      <c r="Z287" t="str">
        <f>IF(Y287=1,SUM($Y$5:$Y287),"")</f>
        <v/>
      </c>
    </row>
    <row r="288" spans="1:26">
      <c r="A288" s="22"/>
      <c r="B288" s="22"/>
      <c r="C288" s="22"/>
      <c r="D288" s="22"/>
      <c r="E288" s="23"/>
      <c r="F288" s="23"/>
      <c r="G288" s="24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6"/>
      <c r="T288" s="23" t="str">
        <f t="shared" si="12"/>
        <v/>
      </c>
      <c r="U288" s="22" t="str">
        <f t="shared" si="13"/>
        <v/>
      </c>
      <c r="V288" s="18" t="str">
        <f t="shared" si="14"/>
        <v/>
      </c>
      <c r="W288" s="22"/>
      <c r="X288" s="22"/>
      <c r="Y288" s="27">
        <f>IF($C288="",0,IF(COUNTIF($C$5:$C288,$C288)=1,1,0))</f>
        <v>0</v>
      </c>
      <c r="Z288" t="str">
        <f>IF(Y288=1,SUM($Y$5:$Y288),"")</f>
        <v/>
      </c>
    </row>
    <row r="289" spans="1:26">
      <c r="A289" s="22"/>
      <c r="B289" s="22"/>
      <c r="C289" s="22"/>
      <c r="D289" s="22"/>
      <c r="E289" s="23"/>
      <c r="F289" s="23"/>
      <c r="G289" s="24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6"/>
      <c r="T289" s="23" t="str">
        <f t="shared" si="12"/>
        <v/>
      </c>
      <c r="U289" s="22" t="str">
        <f t="shared" si="13"/>
        <v/>
      </c>
      <c r="V289" s="18" t="str">
        <f t="shared" si="14"/>
        <v/>
      </c>
      <c r="W289" s="22"/>
      <c r="X289" s="22"/>
      <c r="Y289" s="27">
        <f>IF($C289="",0,IF(COUNTIF($C$5:$C289,$C289)=1,1,0))</f>
        <v>0</v>
      </c>
      <c r="Z289" t="str">
        <f>IF(Y289=1,SUM($Y$5:$Y289),"")</f>
        <v/>
      </c>
    </row>
    <row r="290" spans="1:26">
      <c r="A290" s="22"/>
      <c r="B290" s="22"/>
      <c r="C290" s="22"/>
      <c r="D290" s="22"/>
      <c r="E290" s="23"/>
      <c r="F290" s="23"/>
      <c r="G290" s="24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6"/>
      <c r="T290" s="23" t="str">
        <f t="shared" si="12"/>
        <v/>
      </c>
      <c r="U290" s="22" t="str">
        <f t="shared" si="13"/>
        <v/>
      </c>
      <c r="V290" s="18" t="str">
        <f t="shared" si="14"/>
        <v/>
      </c>
      <c r="W290" s="22"/>
      <c r="X290" s="22"/>
      <c r="Y290" s="27">
        <f>IF($C290="",0,IF(COUNTIF($C$5:$C290,$C290)=1,1,0))</f>
        <v>0</v>
      </c>
      <c r="Z290" t="str">
        <f>IF(Y290=1,SUM($Y$5:$Y290),"")</f>
        <v/>
      </c>
    </row>
    <row r="291" spans="1:26">
      <c r="A291" s="22"/>
      <c r="B291" s="22"/>
      <c r="C291" s="22"/>
      <c r="D291" s="22"/>
      <c r="E291" s="23"/>
      <c r="F291" s="23"/>
      <c r="G291" s="24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6"/>
      <c r="T291" s="23" t="str">
        <f t="shared" si="12"/>
        <v/>
      </c>
      <c r="U291" s="22" t="str">
        <f t="shared" si="13"/>
        <v/>
      </c>
      <c r="V291" s="18" t="str">
        <f t="shared" si="14"/>
        <v/>
      </c>
      <c r="W291" s="22"/>
      <c r="X291" s="22"/>
      <c r="Y291" s="27">
        <f>IF($C291="",0,IF(COUNTIF($C$5:$C291,$C291)=1,1,0))</f>
        <v>0</v>
      </c>
      <c r="Z291" t="str">
        <f>IF(Y291=1,SUM($Y$5:$Y291),"")</f>
        <v/>
      </c>
    </row>
    <row r="292" spans="1:26">
      <c r="A292" s="22"/>
      <c r="B292" s="22"/>
      <c r="C292" s="22"/>
      <c r="D292" s="22"/>
      <c r="E292" s="23"/>
      <c r="F292" s="23"/>
      <c r="G292" s="24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6"/>
      <c r="T292" s="23" t="str">
        <f t="shared" si="12"/>
        <v/>
      </c>
      <c r="U292" s="22" t="str">
        <f t="shared" si="13"/>
        <v/>
      </c>
      <c r="V292" s="18" t="str">
        <f t="shared" si="14"/>
        <v/>
      </c>
      <c r="W292" s="22"/>
      <c r="X292" s="22"/>
      <c r="Y292" s="27">
        <f>IF($C292="",0,IF(COUNTIF($C$5:$C292,$C292)=1,1,0))</f>
        <v>0</v>
      </c>
      <c r="Z292" t="str">
        <f>IF(Y292=1,SUM($Y$5:$Y292),"")</f>
        <v/>
      </c>
    </row>
    <row r="293" spans="1:26">
      <c r="A293" s="22"/>
      <c r="B293" s="22"/>
      <c r="C293" s="22"/>
      <c r="D293" s="22"/>
      <c r="E293" s="23"/>
      <c r="F293" s="23"/>
      <c r="G293" s="24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6"/>
      <c r="T293" s="23" t="str">
        <f t="shared" si="12"/>
        <v/>
      </c>
      <c r="U293" s="22" t="str">
        <f t="shared" si="13"/>
        <v/>
      </c>
      <c r="V293" s="18" t="str">
        <f t="shared" si="14"/>
        <v/>
      </c>
      <c r="W293" s="22"/>
      <c r="X293" s="22"/>
      <c r="Y293" s="27">
        <f>IF($C293="",0,IF(COUNTIF($C$5:$C293,$C293)=1,1,0))</f>
        <v>0</v>
      </c>
      <c r="Z293" t="str">
        <f>IF(Y293=1,SUM($Y$5:$Y293),"")</f>
        <v/>
      </c>
    </row>
    <row r="294" spans="1:26">
      <c r="A294" s="22"/>
      <c r="B294" s="22"/>
      <c r="C294" s="22"/>
      <c r="D294" s="22"/>
      <c r="E294" s="23"/>
      <c r="F294" s="23"/>
      <c r="G294" s="24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6"/>
      <c r="T294" s="23" t="str">
        <f t="shared" si="12"/>
        <v/>
      </c>
      <c r="U294" s="22" t="str">
        <f t="shared" si="13"/>
        <v/>
      </c>
      <c r="V294" s="18" t="str">
        <f t="shared" si="14"/>
        <v/>
      </c>
      <c r="W294" s="22"/>
      <c r="X294" s="22"/>
      <c r="Y294" s="27">
        <f>IF($C294="",0,IF(COUNTIF($C$5:$C294,$C294)=1,1,0))</f>
        <v>0</v>
      </c>
      <c r="Z294" t="str">
        <f>IF(Y294=1,SUM($Y$5:$Y294),"")</f>
        <v/>
      </c>
    </row>
    <row r="295" spans="1:26">
      <c r="A295" s="22"/>
      <c r="B295" s="22"/>
      <c r="C295" s="22"/>
      <c r="D295" s="22"/>
      <c r="E295" s="23"/>
      <c r="F295" s="23"/>
      <c r="G295" s="24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6"/>
      <c r="T295" s="23" t="str">
        <f t="shared" si="12"/>
        <v/>
      </c>
      <c r="U295" s="22" t="str">
        <f t="shared" si="13"/>
        <v/>
      </c>
      <c r="V295" s="18" t="str">
        <f t="shared" si="14"/>
        <v/>
      </c>
      <c r="W295" s="22"/>
      <c r="X295" s="22"/>
      <c r="Y295" s="27">
        <f>IF($C295="",0,IF(COUNTIF($C$5:$C295,$C295)=1,1,0))</f>
        <v>0</v>
      </c>
      <c r="Z295" t="str">
        <f>IF(Y295=1,SUM($Y$5:$Y295),"")</f>
        <v/>
      </c>
    </row>
    <row r="296" spans="1:26">
      <c r="A296" s="22"/>
      <c r="B296" s="22"/>
      <c r="C296" s="22"/>
      <c r="D296" s="22"/>
      <c r="E296" s="23"/>
      <c r="F296" s="23"/>
      <c r="G296" s="24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6"/>
      <c r="T296" s="23" t="str">
        <f t="shared" si="12"/>
        <v/>
      </c>
      <c r="U296" s="22" t="str">
        <f t="shared" si="13"/>
        <v/>
      </c>
      <c r="V296" s="18" t="str">
        <f t="shared" si="14"/>
        <v/>
      </c>
      <c r="W296" s="22"/>
      <c r="X296" s="22"/>
      <c r="Y296" s="27">
        <f>IF($C296="",0,IF(COUNTIF($C$5:$C296,$C296)=1,1,0))</f>
        <v>0</v>
      </c>
      <c r="Z296" t="str">
        <f>IF(Y296=1,SUM($Y$5:$Y296),"")</f>
        <v/>
      </c>
    </row>
    <row r="297" spans="1:26">
      <c r="A297" s="22"/>
      <c r="B297" s="22"/>
      <c r="C297" s="22"/>
      <c r="D297" s="22"/>
      <c r="E297" s="23"/>
      <c r="F297" s="23"/>
      <c r="G297" s="24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6"/>
      <c r="T297" s="23" t="str">
        <f t="shared" si="12"/>
        <v/>
      </c>
      <c r="U297" s="22" t="str">
        <f t="shared" si="13"/>
        <v/>
      </c>
      <c r="V297" s="18" t="str">
        <f t="shared" si="14"/>
        <v/>
      </c>
      <c r="W297" s="22"/>
      <c r="X297" s="22"/>
      <c r="Y297" s="27">
        <f>IF($C297="",0,IF(COUNTIF($C$5:$C297,$C297)=1,1,0))</f>
        <v>0</v>
      </c>
      <c r="Z297" t="str">
        <f>IF(Y297=1,SUM($Y$5:$Y297),"")</f>
        <v/>
      </c>
    </row>
    <row r="298" spans="1:26">
      <c r="A298" s="22"/>
      <c r="B298" s="22"/>
      <c r="C298" s="22"/>
      <c r="D298" s="22"/>
      <c r="E298" s="23"/>
      <c r="F298" s="23"/>
      <c r="G298" s="24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6"/>
      <c r="T298" s="23" t="str">
        <f t="shared" si="12"/>
        <v/>
      </c>
      <c r="U298" s="22" t="str">
        <f t="shared" si="13"/>
        <v/>
      </c>
      <c r="V298" s="18" t="str">
        <f t="shared" si="14"/>
        <v/>
      </c>
      <c r="W298" s="22"/>
      <c r="X298" s="22"/>
      <c r="Y298" s="27">
        <f>IF($C298="",0,IF(COUNTIF($C$5:$C298,$C298)=1,1,0))</f>
        <v>0</v>
      </c>
      <c r="Z298" t="str">
        <f>IF(Y298=1,SUM($Y$5:$Y298),"")</f>
        <v/>
      </c>
    </row>
    <row r="299" spans="1:26">
      <c r="A299" s="22"/>
      <c r="B299" s="22"/>
      <c r="C299" s="22"/>
      <c r="D299" s="22"/>
      <c r="E299" s="23"/>
      <c r="F299" s="23"/>
      <c r="G299" s="24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6"/>
      <c r="T299" s="23" t="str">
        <f t="shared" si="12"/>
        <v/>
      </c>
      <c r="U299" s="22" t="str">
        <f t="shared" si="13"/>
        <v/>
      </c>
      <c r="V299" s="18" t="str">
        <f t="shared" si="14"/>
        <v/>
      </c>
      <c r="W299" s="22"/>
      <c r="X299" s="22"/>
      <c r="Y299" s="27">
        <f>IF($C299="",0,IF(COUNTIF($C$5:$C299,$C299)=1,1,0))</f>
        <v>0</v>
      </c>
      <c r="Z299" t="str">
        <f>IF(Y299=1,SUM($Y$5:$Y299),"")</f>
        <v/>
      </c>
    </row>
    <row r="300" spans="1:26">
      <c r="A300" s="22"/>
      <c r="B300" s="22"/>
      <c r="C300" s="22"/>
      <c r="D300" s="22"/>
      <c r="E300" s="23"/>
      <c r="F300" s="23"/>
      <c r="G300" s="24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6"/>
      <c r="T300" s="23" t="str">
        <f t="shared" si="12"/>
        <v/>
      </c>
      <c r="U300" s="22" t="str">
        <f t="shared" si="13"/>
        <v/>
      </c>
      <c r="V300" s="18" t="str">
        <f t="shared" si="14"/>
        <v/>
      </c>
      <c r="W300" s="22"/>
      <c r="X300" s="22"/>
      <c r="Y300" s="27">
        <f>IF($C300="",0,IF(COUNTIF($C$5:$C300,$C300)=1,1,0))</f>
        <v>0</v>
      </c>
      <c r="Z300" t="str">
        <f>IF(Y300=1,SUM($Y$5:$Y300),"")</f>
        <v/>
      </c>
    </row>
    <row r="301" spans="1:26">
      <c r="A301" s="22"/>
      <c r="B301" s="22"/>
      <c r="C301" s="22"/>
      <c r="D301" s="22"/>
      <c r="E301" s="23"/>
      <c r="F301" s="23"/>
      <c r="G301" s="24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6"/>
      <c r="T301" s="23" t="str">
        <f t="shared" si="12"/>
        <v/>
      </c>
      <c r="U301" s="22" t="str">
        <f t="shared" si="13"/>
        <v/>
      </c>
      <c r="V301" s="18" t="str">
        <f t="shared" si="14"/>
        <v/>
      </c>
      <c r="W301" s="22"/>
      <c r="X301" s="22"/>
      <c r="Y301" s="27">
        <f>IF($C301="",0,IF(COUNTIF($C$5:$C301,$C301)=1,1,0))</f>
        <v>0</v>
      </c>
      <c r="Z301" t="str">
        <f>IF(Y301=1,SUM($Y$5:$Y301),"")</f>
        <v/>
      </c>
    </row>
    <row r="302" spans="1:26">
      <c r="A302" s="22"/>
      <c r="B302" s="22"/>
      <c r="C302" s="22"/>
      <c r="D302" s="22"/>
      <c r="E302" s="23"/>
      <c r="F302" s="23"/>
      <c r="G302" s="24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6"/>
      <c r="T302" s="23" t="str">
        <f t="shared" si="12"/>
        <v/>
      </c>
      <c r="U302" s="22" t="str">
        <f t="shared" si="13"/>
        <v/>
      </c>
      <c r="V302" s="18" t="str">
        <f t="shared" si="14"/>
        <v/>
      </c>
      <c r="W302" s="22"/>
      <c r="X302" s="22"/>
      <c r="Y302" s="27">
        <f>IF($C302="",0,IF(COUNTIF($C$5:$C302,$C302)=1,1,0))</f>
        <v>0</v>
      </c>
      <c r="Z302" t="str">
        <f>IF(Y302=1,SUM($Y$5:$Y302),"")</f>
        <v/>
      </c>
    </row>
    <row r="303" spans="1:26">
      <c r="A303" s="22"/>
      <c r="B303" s="22"/>
      <c r="C303" s="22"/>
      <c r="D303" s="22"/>
      <c r="E303" s="23"/>
      <c r="F303" s="23"/>
      <c r="G303" s="24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6"/>
      <c r="T303" s="23" t="str">
        <f t="shared" si="12"/>
        <v/>
      </c>
      <c r="U303" s="22" t="str">
        <f t="shared" si="13"/>
        <v/>
      </c>
      <c r="V303" s="18" t="str">
        <f t="shared" si="14"/>
        <v/>
      </c>
      <c r="W303" s="22"/>
      <c r="X303" s="22"/>
      <c r="Y303" s="27">
        <f>IF($C303="",0,IF(COUNTIF($C$5:$C303,$C303)=1,1,0))</f>
        <v>0</v>
      </c>
      <c r="Z303" t="str">
        <f>IF(Y303=1,SUM($Y$5:$Y303),"")</f>
        <v/>
      </c>
    </row>
    <row r="304" spans="1:26">
      <c r="A304" s="22"/>
      <c r="B304" s="22"/>
      <c r="C304" s="22"/>
      <c r="D304" s="22"/>
      <c r="E304" s="23"/>
      <c r="F304" s="23"/>
      <c r="G304" s="24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6"/>
      <c r="T304" s="23" t="str">
        <f t="shared" si="12"/>
        <v/>
      </c>
      <c r="U304" s="22" t="str">
        <f t="shared" si="13"/>
        <v/>
      </c>
      <c r="V304" s="18" t="str">
        <f t="shared" si="14"/>
        <v/>
      </c>
      <c r="W304" s="22"/>
      <c r="X304" s="22"/>
      <c r="Y304" s="27">
        <f>IF($C304="",0,IF(COUNTIF($C$5:$C304,$C304)=1,1,0))</f>
        <v>0</v>
      </c>
      <c r="Z304" t="str">
        <f>IF(Y304=1,SUM($Y$5:$Y304),"")</f>
        <v/>
      </c>
    </row>
  </sheetData>
  <autoFilter ref="A4:X304"/>
  <mergeCells count="27">
    <mergeCell ref="A2:G2"/>
    <mergeCell ref="H2:S2"/>
    <mergeCell ref="T2:V2"/>
    <mergeCell ref="W2:X2"/>
    <mergeCell ref="A3:A4"/>
    <mergeCell ref="B3:B4"/>
    <mergeCell ref="C3:C4"/>
    <mergeCell ref="D3:D4"/>
    <mergeCell ref="E3:F3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V3:V4"/>
    <mergeCell ref="W3:W4"/>
    <mergeCell ref="X3:X4"/>
    <mergeCell ref="Q3:Q4"/>
    <mergeCell ref="R3:R4"/>
    <mergeCell ref="S3:S4"/>
    <mergeCell ref="T3:T4"/>
    <mergeCell ref="U3:U4"/>
  </mergeCells>
  <phoneticPr fontId="27" type="noConversion"/>
  <conditionalFormatting sqref="U5:U304">
    <cfRule type="expression" dxfId="121" priority="6">
      <formula>ISNUMBER(SEARCH("⚠",$U5))</formula>
    </cfRule>
    <cfRule type="expression" dxfId="120" priority="7">
      <formula>$U5="▲ 單一設備依賴"</formula>
    </cfRule>
    <cfRule type="expression" dxfId="119" priority="8">
      <formula>$U5="○ 免調理"</formula>
    </cfRule>
    <cfRule type="expression" dxfId="118" priority="9">
      <formula>$U5="OK"</formula>
    </cfRule>
  </conditionalFormatting>
  <conditionalFormatting sqref="A11:G304 F5:G10">
    <cfRule type="expression" dxfId="117" priority="10">
      <formula>ISNUMBER(SEARCH("⚠",$U5))</formula>
    </cfRule>
  </conditionalFormatting>
  <conditionalFormatting sqref="A5:D10">
    <cfRule type="expression" dxfId="116" priority="4">
      <formula>$Q5="⚠ 資料缺漏"</formula>
    </cfRule>
  </conditionalFormatting>
  <conditionalFormatting sqref="E5:E10">
    <cfRule type="expression" dxfId="115" priority="3">
      <formula>$Q5="⚠ 資料缺漏"</formula>
    </cfRule>
  </conditionalFormatting>
  <conditionalFormatting sqref="X5:X304">
    <cfRule type="expression" dxfId="114" priority="1" stopIfTrue="1">
      <formula>AND($D5&lt;&gt;"",$X5="")</formula>
    </cfRule>
  </conditionalFormatting>
  <conditionalFormatting sqref="F5:F304">
    <cfRule type="expression" dxfId="113" priority="2" stopIfTrue="1">
      <formula>AND($D5&lt;&gt;"",$E5&lt;&gt;"",$F5="")</formula>
    </cfRule>
  </conditionalFormatting>
  <dataValidations count="3">
    <dataValidation type="list" allowBlank="1" showErrorMessage="1" errorTitle="請使用下拉選單" error="請選擇選單中的項目，或清除儲存格。" sqref="A5:A304">
      <formula1>"大溪,新豐,長家,晉欣"</formula1>
    </dataValidation>
    <dataValidation type="list" allowBlank="1" showErrorMessage="1" errorTitle="請使用下拉選單" error="請選擇選單中的項目，或清除儲存格。" sqref="F5:F304">
      <formula1>"公克,個"</formula1>
    </dataValidation>
    <dataValidation type="list" allowBlank="1" showErrorMessage="1" errorTitle="請使用下拉選單" error="請選擇選單中的項目，或清除儲存格。" sqref="H5:S304">
      <formula1>"V"</formula1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44A"/>
  </sheetPr>
  <dimension ref="A1:AA302"/>
  <sheetViews>
    <sheetView showGridLines="0" zoomScaleNormal="100" workbookViewId="0">
      <pane xSplit="5" ySplit="4" topLeftCell="F98" activePane="bottomRight" state="frozen"/>
      <selection pane="topRight"/>
      <selection pane="bottomLeft"/>
      <selection pane="bottomRight" activeCell="V12" sqref="V12"/>
    </sheetView>
  </sheetViews>
  <sheetFormatPr defaultColWidth="8.7265625" defaultRowHeight="14.5"/>
  <cols>
    <col min="1" max="2" width="9" style="75" customWidth="1"/>
    <col min="3" max="3" width="12.26953125" style="75" customWidth="1"/>
    <col min="4" max="4" width="22" style="75" customWidth="1"/>
    <col min="5" max="5" width="26" style="75" customWidth="1"/>
    <col min="6" max="7" width="8" style="75" customWidth="1"/>
    <col min="8" max="8" width="10" style="75" customWidth="1"/>
    <col min="9" max="19" width="7" style="75" customWidth="1"/>
    <col min="20" max="20" width="9" style="75" customWidth="1"/>
    <col min="21" max="21" width="7" style="75" customWidth="1"/>
    <col min="22" max="22" width="13" style="75" customWidth="1"/>
    <col min="23" max="23" width="30" style="75" customWidth="1"/>
    <col min="24" max="24" width="20" style="75" customWidth="1"/>
    <col min="25" max="25" width="12" style="75" customWidth="1"/>
    <col min="26" max="27" width="0.81640625" style="75" hidden="1" customWidth="1"/>
  </cols>
  <sheetData>
    <row r="1" spans="1:27" ht="30" customHeight="1">
      <c r="A1" s="63"/>
      <c r="B1" s="63" t="s">
        <v>502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</row>
    <row r="2" spans="1:27" ht="19.5" customHeight="1">
      <c r="A2" s="86" t="s">
        <v>503</v>
      </c>
      <c r="B2" s="86"/>
      <c r="C2" s="86"/>
      <c r="D2" s="86"/>
      <c r="E2" s="86"/>
      <c r="F2" s="86"/>
      <c r="G2" s="86"/>
      <c r="H2" s="87"/>
      <c r="I2" s="82" t="s">
        <v>504</v>
      </c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 t="s">
        <v>505</v>
      </c>
      <c r="V2" s="82"/>
      <c r="W2" s="82"/>
      <c r="X2" s="82" t="s">
        <v>506</v>
      </c>
      <c r="Y2" s="82"/>
    </row>
    <row r="3" spans="1:27" ht="24" customHeight="1">
      <c r="A3" s="81" t="s">
        <v>507</v>
      </c>
      <c r="B3" s="81" t="s">
        <v>508</v>
      </c>
      <c r="C3" s="81" t="s">
        <v>509</v>
      </c>
      <c r="D3" s="81" t="s">
        <v>510</v>
      </c>
      <c r="E3" s="81" t="s">
        <v>511</v>
      </c>
      <c r="F3" s="85" t="s">
        <v>512</v>
      </c>
      <c r="G3" s="85"/>
      <c r="H3" s="81" t="s">
        <v>513</v>
      </c>
      <c r="I3" s="83" t="s">
        <v>514</v>
      </c>
      <c r="J3" s="83" t="s">
        <v>515</v>
      </c>
      <c r="K3" s="83" t="s">
        <v>516</v>
      </c>
      <c r="L3" s="83" t="s">
        <v>517</v>
      </c>
      <c r="M3" s="83" t="s">
        <v>518</v>
      </c>
      <c r="N3" s="83" t="s">
        <v>519</v>
      </c>
      <c r="O3" s="83" t="s">
        <v>520</v>
      </c>
      <c r="P3" s="83" t="s">
        <v>521</v>
      </c>
      <c r="Q3" s="83" t="s">
        <v>522</v>
      </c>
      <c r="R3" s="83" t="s">
        <v>523</v>
      </c>
      <c r="S3" s="83" t="s">
        <v>524</v>
      </c>
      <c r="T3" s="84" t="s">
        <v>525</v>
      </c>
      <c r="U3" s="81" t="s">
        <v>526</v>
      </c>
      <c r="V3" s="81" t="s">
        <v>527</v>
      </c>
      <c r="W3" s="81" t="s">
        <v>528</v>
      </c>
      <c r="X3" s="81" t="s">
        <v>529</v>
      </c>
      <c r="Y3" s="81" t="s">
        <v>530</v>
      </c>
      <c r="Z3" s="74" t="s">
        <v>531</v>
      </c>
      <c r="AA3" s="74" t="s">
        <v>532</v>
      </c>
    </row>
    <row r="4" spans="1:27" ht="18" customHeight="1">
      <c r="A4" s="81"/>
      <c r="B4" s="81"/>
      <c r="C4" s="81"/>
      <c r="D4" s="81"/>
      <c r="E4" s="81"/>
      <c r="F4" s="66" t="s">
        <v>533</v>
      </c>
      <c r="G4" s="66" t="s">
        <v>534</v>
      </c>
      <c r="H4" s="81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4"/>
      <c r="U4" s="81"/>
      <c r="V4" s="81"/>
      <c r="W4" s="81"/>
      <c r="X4" s="81"/>
      <c r="Y4" s="81"/>
    </row>
    <row r="5" spans="1:27">
      <c r="A5" s="73" t="s">
        <v>535</v>
      </c>
      <c r="B5" s="73" t="s">
        <v>536</v>
      </c>
      <c r="C5" s="73" t="s">
        <v>537</v>
      </c>
      <c r="D5" s="73" t="s">
        <v>538</v>
      </c>
      <c r="E5" s="73" t="s">
        <v>539</v>
      </c>
      <c r="F5" s="64">
        <v>246</v>
      </c>
      <c r="G5" s="64" t="s">
        <v>540</v>
      </c>
      <c r="H5" s="72">
        <v>85</v>
      </c>
      <c r="I5" s="60" t="s">
        <v>344</v>
      </c>
      <c r="J5" s="60"/>
      <c r="K5" s="60"/>
      <c r="L5" s="60"/>
      <c r="M5" s="60"/>
      <c r="N5" s="60"/>
      <c r="O5" s="60"/>
      <c r="P5" s="60"/>
      <c r="Q5" s="60"/>
      <c r="R5" s="60"/>
      <c r="S5" s="60"/>
      <c r="T5" s="71"/>
      <c r="U5" s="64">
        <f t="shared" ref="U5:U65" si="0">IF($E5="","",COUNTIF($I5:$S5,"V"))</f>
        <v>1</v>
      </c>
      <c r="V5" s="73" t="str">
        <f t="shared" ref="V5:V65" si="1">IF($E5="","",IF(AND($T5="V",$U5&gt;0),"⚠ 勾選矛盾",IF($T5="V","○ 免調理",IF($U5=0,"⚠ 資料缺漏",IF($U5=1,"▲ 單一設備依賴","OK")))))</f>
        <v>▲ 單一設備依賴</v>
      </c>
      <c r="W5" s="61" t="str">
        <f t="shared" ref="W5:W65" si="2">IF($E5="","",IF(AND($T5="V",$U5&gt;0),"「無使用調理設備」不可與設備欄同時勾選，請擇一修正",IF($T5="V","免調理半成品（外購/僅切配等），不列入設備風險評估",IF($U5=0,"未勾選任何設備，請補填或勾選「無使用調理設備」",IF($U5=1,"僅依賴1台設備，須確認故障/排修時之備援製程","無異常")))))</f>
        <v>僅依賴1台設備，須確認故障/排修時之備援製程</v>
      </c>
      <c r="X5" s="73" t="s">
        <v>541</v>
      </c>
      <c r="Y5" s="73" t="s">
        <v>542</v>
      </c>
      <c r="Z5" s="75">
        <f>IF($D5="",0,IF(COUNTIF($D$5:$D5,$D5)=1,1,0))</f>
        <v>1</v>
      </c>
      <c r="AA5" s="75">
        <f>IF(Z5=1,SUM($Z$5:$Z5),"")</f>
        <v>1</v>
      </c>
    </row>
    <row r="6" spans="1:27">
      <c r="A6" s="73" t="s">
        <v>535</v>
      </c>
      <c r="B6" s="73" t="s">
        <v>536</v>
      </c>
      <c r="C6" s="73" t="s">
        <v>537</v>
      </c>
      <c r="D6" s="73" t="s">
        <v>538</v>
      </c>
      <c r="E6" s="73" t="s">
        <v>543</v>
      </c>
      <c r="F6" s="64">
        <v>65</v>
      </c>
      <c r="G6" s="64" t="s">
        <v>540</v>
      </c>
      <c r="H6" s="72">
        <v>65</v>
      </c>
      <c r="I6" s="60"/>
      <c r="J6" s="60"/>
      <c r="K6" s="60"/>
      <c r="L6" s="60"/>
      <c r="M6" s="60"/>
      <c r="N6" s="60"/>
      <c r="O6" s="60" t="s">
        <v>233</v>
      </c>
      <c r="P6" s="60"/>
      <c r="Q6" s="60"/>
      <c r="R6" s="60"/>
      <c r="S6" s="60"/>
      <c r="T6" s="71"/>
      <c r="U6" s="64">
        <f t="shared" si="0"/>
        <v>1</v>
      </c>
      <c r="V6" s="73" t="str">
        <f t="shared" si="1"/>
        <v>▲ 單一設備依賴</v>
      </c>
      <c r="W6" s="61" t="str">
        <f t="shared" si="2"/>
        <v>僅依賴1台設備，須確認故障/排修時之備援製程</v>
      </c>
      <c r="X6" s="73" t="s">
        <v>541</v>
      </c>
      <c r="Y6" s="73" t="s">
        <v>542</v>
      </c>
      <c r="Z6" s="75">
        <f>IF($D6="",0,IF(COUNTIF($D$5:$D6,$D6)=1,1,0))</f>
        <v>0</v>
      </c>
      <c r="AA6" s="75" t="str">
        <f>IF(Z6=1,SUM($Z$5:$Z6),"")</f>
        <v/>
      </c>
    </row>
    <row r="7" spans="1:27">
      <c r="A7" s="73" t="s">
        <v>535</v>
      </c>
      <c r="B7" s="73" t="s">
        <v>536</v>
      </c>
      <c r="C7" s="73" t="s">
        <v>537</v>
      </c>
      <c r="D7" s="73" t="s">
        <v>538</v>
      </c>
      <c r="E7" s="73" t="s">
        <v>544</v>
      </c>
      <c r="F7" s="64">
        <v>1</v>
      </c>
      <c r="G7" s="64" t="s">
        <v>545</v>
      </c>
      <c r="H7" s="72">
        <v>100</v>
      </c>
      <c r="I7" s="60"/>
      <c r="J7" s="60"/>
      <c r="K7" s="60" t="s">
        <v>233</v>
      </c>
      <c r="L7" s="60"/>
      <c r="M7" s="60"/>
      <c r="N7" s="60" t="s">
        <v>233</v>
      </c>
      <c r="O7" s="60"/>
      <c r="P7" s="60"/>
      <c r="Q7" s="60"/>
      <c r="R7" s="60"/>
      <c r="S7" s="60"/>
      <c r="T7" s="71"/>
      <c r="U7" s="64">
        <f t="shared" si="0"/>
        <v>2</v>
      </c>
      <c r="V7" s="73" t="str">
        <f t="shared" si="1"/>
        <v>OK</v>
      </c>
      <c r="W7" s="61" t="str">
        <f t="shared" si="2"/>
        <v>無異常</v>
      </c>
      <c r="X7" s="73" t="s">
        <v>541</v>
      </c>
      <c r="Y7" s="73" t="s">
        <v>542</v>
      </c>
      <c r="Z7" s="75">
        <f>IF($D7="",0,IF(COUNTIF($D$5:$D7,$D7)=1,1,0))</f>
        <v>0</v>
      </c>
      <c r="AA7" s="75" t="str">
        <f>IF(Z7=1,SUM($Z$5:$Z7),"")</f>
        <v/>
      </c>
    </row>
    <row r="8" spans="1:27">
      <c r="A8" s="73" t="s">
        <v>535</v>
      </c>
      <c r="B8" s="73" t="s">
        <v>536</v>
      </c>
      <c r="C8" s="73" t="s">
        <v>537</v>
      </c>
      <c r="D8" s="73" t="s">
        <v>538</v>
      </c>
      <c r="E8" s="73" t="s">
        <v>546</v>
      </c>
      <c r="F8" s="64">
        <v>75</v>
      </c>
      <c r="G8" s="64" t="s">
        <v>540</v>
      </c>
      <c r="H8" s="72">
        <v>60.2</v>
      </c>
      <c r="I8" s="60"/>
      <c r="J8" s="60"/>
      <c r="K8" s="60"/>
      <c r="L8" s="60"/>
      <c r="M8" s="60"/>
      <c r="N8" s="60"/>
      <c r="O8" s="60" t="s">
        <v>233</v>
      </c>
      <c r="P8" s="60"/>
      <c r="Q8" s="60"/>
      <c r="R8" s="60"/>
      <c r="S8" s="60"/>
      <c r="T8" s="71"/>
      <c r="U8" s="64">
        <f t="shared" si="0"/>
        <v>1</v>
      </c>
      <c r="V8" s="73" t="str">
        <f t="shared" si="1"/>
        <v>▲ 單一設備依賴</v>
      </c>
      <c r="W8" s="61" t="str">
        <f t="shared" si="2"/>
        <v>僅依賴1台設備，須確認故障/排修時之備援製程</v>
      </c>
      <c r="X8" s="73" t="s">
        <v>541</v>
      </c>
      <c r="Y8" s="73" t="s">
        <v>542</v>
      </c>
      <c r="Z8" s="75">
        <f>IF($D8="",0,IF(COUNTIF($D$5:$D8,$D8)=1,1,0))</f>
        <v>0</v>
      </c>
      <c r="AA8" s="75" t="str">
        <f>IF(Z8=1,SUM($Z$5:$Z8),"")</f>
        <v/>
      </c>
    </row>
    <row r="9" spans="1:27">
      <c r="A9" s="73" t="s">
        <v>535</v>
      </c>
      <c r="B9" s="73" t="s">
        <v>536</v>
      </c>
      <c r="C9" s="73" t="s">
        <v>537</v>
      </c>
      <c r="D9" s="73" t="s">
        <v>538</v>
      </c>
      <c r="E9" s="73" t="s">
        <v>547</v>
      </c>
      <c r="F9" s="64">
        <v>2</v>
      </c>
      <c r="G9" s="64" t="s">
        <v>540</v>
      </c>
      <c r="H9" s="72">
        <v>70</v>
      </c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71" t="s">
        <v>233</v>
      </c>
      <c r="U9" s="64">
        <f t="shared" si="0"/>
        <v>0</v>
      </c>
      <c r="V9" s="73" t="str">
        <f t="shared" si="1"/>
        <v>○ 免調理</v>
      </c>
      <c r="W9" s="61" t="str">
        <f t="shared" si="2"/>
        <v>免調理半成品（外購/僅切配等），不列入設備風險評估</v>
      </c>
      <c r="X9" s="73" t="s">
        <v>541</v>
      </c>
      <c r="Y9" s="73" t="s">
        <v>542</v>
      </c>
      <c r="Z9" s="75">
        <f>IF($D9="",0,IF(COUNTIF($D$5:$D9,$D9)=1,1,0))</f>
        <v>0</v>
      </c>
      <c r="AA9" s="75" t="str">
        <f>IF(Z9=1,SUM($Z$5:$Z9),"")</f>
        <v/>
      </c>
    </row>
    <row r="10" spans="1:27">
      <c r="A10" s="73" t="s">
        <v>535</v>
      </c>
      <c r="B10" s="73" t="s">
        <v>536</v>
      </c>
      <c r="C10" s="73" t="s">
        <v>537</v>
      </c>
      <c r="D10" s="73" t="s">
        <v>538</v>
      </c>
      <c r="E10" s="73" t="s">
        <v>548</v>
      </c>
      <c r="F10" s="64">
        <v>0.1</v>
      </c>
      <c r="G10" s="64" t="s">
        <v>540</v>
      </c>
      <c r="H10" s="72">
        <v>100</v>
      </c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71" t="s">
        <v>74</v>
      </c>
      <c r="U10" s="64">
        <f t="shared" si="0"/>
        <v>0</v>
      </c>
      <c r="V10" s="73" t="str">
        <f t="shared" si="1"/>
        <v>○ 免調理</v>
      </c>
      <c r="W10" s="61" t="str">
        <f t="shared" si="2"/>
        <v>免調理半成品（外購/僅切配等），不列入設備風險評估</v>
      </c>
      <c r="X10" s="73" t="s">
        <v>541</v>
      </c>
      <c r="Y10" s="73" t="s">
        <v>542</v>
      </c>
      <c r="Z10" s="75">
        <f>IF($D10="",0,IF(COUNTIF($D$5:$D10,$D10)=1,1,0))</f>
        <v>0</v>
      </c>
      <c r="AA10" s="75" t="str">
        <f>IF(Z10=1,SUM($Z$5:$Z10),"")</f>
        <v/>
      </c>
    </row>
    <row r="11" spans="1:27">
      <c r="A11" s="73" t="s">
        <v>535</v>
      </c>
      <c r="B11" s="73" t="s">
        <v>536</v>
      </c>
      <c r="C11" s="73" t="s">
        <v>537</v>
      </c>
      <c r="D11" s="73" t="s">
        <v>549</v>
      </c>
      <c r="E11" s="73" t="s">
        <v>550</v>
      </c>
      <c r="F11" s="64">
        <v>240</v>
      </c>
      <c r="G11" s="64" t="s">
        <v>540</v>
      </c>
      <c r="H11" s="72">
        <v>85</v>
      </c>
      <c r="I11" s="60" t="s">
        <v>344</v>
      </c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71"/>
      <c r="U11" s="64">
        <f t="shared" si="0"/>
        <v>1</v>
      </c>
      <c r="V11" s="73" t="str">
        <f t="shared" si="1"/>
        <v>▲ 單一設備依賴</v>
      </c>
      <c r="W11" s="61" t="str">
        <f t="shared" si="2"/>
        <v>僅依賴1台設備，須確認故障/排修時之備援製程</v>
      </c>
      <c r="X11" s="73" t="s">
        <v>551</v>
      </c>
      <c r="Y11" s="73" t="s">
        <v>542</v>
      </c>
      <c r="Z11" s="75">
        <f>IF($D11="",0,IF(COUNTIF($D$5:$D11,$D11)=1,1,0))</f>
        <v>1</v>
      </c>
      <c r="AA11" s="75">
        <f>IF(Z11=1,SUM($Z$5:$Z11),"")</f>
        <v>2</v>
      </c>
    </row>
    <row r="12" spans="1:27">
      <c r="A12" s="73" t="s">
        <v>535</v>
      </c>
      <c r="B12" s="73" t="s">
        <v>536</v>
      </c>
      <c r="C12" s="73" t="s">
        <v>537</v>
      </c>
      <c r="D12" s="73" t="s">
        <v>549</v>
      </c>
      <c r="E12" s="73" t="s">
        <v>552</v>
      </c>
      <c r="F12" s="64">
        <v>12</v>
      </c>
      <c r="G12" s="64" t="s">
        <v>540</v>
      </c>
      <c r="H12" s="72">
        <v>61.1</v>
      </c>
      <c r="I12" s="60"/>
      <c r="J12" s="60"/>
      <c r="K12" s="60"/>
      <c r="L12" s="60"/>
      <c r="M12" s="60"/>
      <c r="N12" s="60"/>
      <c r="O12" s="60" t="s">
        <v>233</v>
      </c>
      <c r="P12" s="60"/>
      <c r="Q12" s="60"/>
      <c r="R12" s="60"/>
      <c r="S12" s="60"/>
      <c r="T12" s="71"/>
      <c r="U12" s="64">
        <f t="shared" si="0"/>
        <v>1</v>
      </c>
      <c r="V12" s="73" t="str">
        <f t="shared" si="1"/>
        <v>▲ 單一設備依賴</v>
      </c>
      <c r="W12" s="61" t="str">
        <f t="shared" si="2"/>
        <v>僅依賴1台設備，須確認故障/排修時之備援製程</v>
      </c>
      <c r="X12" s="73" t="s">
        <v>551</v>
      </c>
      <c r="Y12" s="73" t="s">
        <v>542</v>
      </c>
      <c r="Z12" s="75">
        <f>IF($D12="",0,IF(COUNTIF($D$5:$D12,$D12)=1,1,0))</f>
        <v>0</v>
      </c>
      <c r="AA12" s="75" t="str">
        <f>IF(Z12=1,SUM($Z$5:$Z12),"")</f>
        <v/>
      </c>
    </row>
    <row r="13" spans="1:27">
      <c r="A13" s="73" t="s">
        <v>535</v>
      </c>
      <c r="B13" s="73" t="s">
        <v>536</v>
      </c>
      <c r="C13" s="73" t="s">
        <v>537</v>
      </c>
      <c r="D13" s="73" t="s">
        <v>549</v>
      </c>
      <c r="E13" s="73" t="s">
        <v>553</v>
      </c>
      <c r="F13" s="64">
        <v>37</v>
      </c>
      <c r="G13" s="64" t="s">
        <v>540</v>
      </c>
      <c r="H13" s="72">
        <v>95</v>
      </c>
      <c r="I13" s="60"/>
      <c r="J13" s="60"/>
      <c r="K13" s="60" t="s">
        <v>233</v>
      </c>
      <c r="L13" s="60" t="s">
        <v>243</v>
      </c>
      <c r="M13" s="60"/>
      <c r="N13" s="60"/>
      <c r="O13" s="60"/>
      <c r="P13" s="60"/>
      <c r="Q13" s="60"/>
      <c r="R13" s="60"/>
      <c r="S13" s="60"/>
      <c r="T13" s="71"/>
      <c r="U13" s="64">
        <f t="shared" si="0"/>
        <v>2</v>
      </c>
      <c r="V13" s="73" t="str">
        <f t="shared" si="1"/>
        <v>OK</v>
      </c>
      <c r="W13" s="61" t="str">
        <f t="shared" si="2"/>
        <v>無異常</v>
      </c>
      <c r="X13" s="73" t="s">
        <v>551</v>
      </c>
      <c r="Y13" s="73" t="s">
        <v>542</v>
      </c>
      <c r="Z13" s="75">
        <f>IF($D13="",0,IF(COUNTIF($D$5:$D13,$D13)=1,1,0))</f>
        <v>0</v>
      </c>
      <c r="AA13" s="75" t="str">
        <f>IF(Z13=1,SUM($Z$5:$Z13),"")</f>
        <v/>
      </c>
    </row>
    <row r="14" spans="1:27">
      <c r="A14" s="73" t="s">
        <v>535</v>
      </c>
      <c r="B14" s="73" t="s">
        <v>536</v>
      </c>
      <c r="C14" s="73" t="s">
        <v>537</v>
      </c>
      <c r="D14" s="73" t="s">
        <v>549</v>
      </c>
      <c r="E14" s="73" t="s">
        <v>554</v>
      </c>
      <c r="F14" s="64">
        <v>30</v>
      </c>
      <c r="G14" s="64" t="s">
        <v>540</v>
      </c>
      <c r="H14" s="72">
        <v>61.8</v>
      </c>
      <c r="I14" s="60"/>
      <c r="J14" s="60"/>
      <c r="K14" s="60"/>
      <c r="L14" s="60"/>
      <c r="M14" s="60"/>
      <c r="N14" s="60"/>
      <c r="O14" s="60" t="s">
        <v>234</v>
      </c>
      <c r="P14" s="60"/>
      <c r="Q14" s="60"/>
      <c r="R14" s="60"/>
      <c r="S14" s="60"/>
      <c r="T14" s="71"/>
      <c r="U14" s="64">
        <f t="shared" si="0"/>
        <v>1</v>
      </c>
      <c r="V14" s="73" t="str">
        <f t="shared" si="1"/>
        <v>▲ 單一設備依賴</v>
      </c>
      <c r="W14" s="61" t="str">
        <f t="shared" si="2"/>
        <v>僅依賴1台設備，須確認故障/排修時之備援製程</v>
      </c>
      <c r="X14" s="73" t="s">
        <v>551</v>
      </c>
      <c r="Y14" s="73" t="s">
        <v>542</v>
      </c>
      <c r="Z14" s="75">
        <f>IF($D14="",0,IF(COUNTIF($D$5:$D14,$D14)=1,1,0))</f>
        <v>0</v>
      </c>
      <c r="AA14" s="75" t="str">
        <f>IF(Z14=1,SUM($Z$5:$Z14),"")</f>
        <v/>
      </c>
    </row>
    <row r="15" spans="1:27">
      <c r="A15" s="73" t="s">
        <v>535</v>
      </c>
      <c r="B15" s="73" t="s">
        <v>536</v>
      </c>
      <c r="C15" s="73" t="s">
        <v>537</v>
      </c>
      <c r="D15" s="73" t="s">
        <v>549</v>
      </c>
      <c r="E15" s="73" t="s">
        <v>555</v>
      </c>
      <c r="F15" s="64">
        <v>20</v>
      </c>
      <c r="G15" s="64" t="s">
        <v>540</v>
      </c>
      <c r="H15" s="72">
        <v>80</v>
      </c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71" t="s">
        <v>233</v>
      </c>
      <c r="U15" s="64">
        <f t="shared" si="0"/>
        <v>0</v>
      </c>
      <c r="V15" s="73" t="str">
        <f t="shared" si="1"/>
        <v>○ 免調理</v>
      </c>
      <c r="W15" s="61" t="str">
        <f t="shared" si="2"/>
        <v>免調理半成品（外購/僅切配等），不列入設備風險評估</v>
      </c>
      <c r="X15" s="73" t="s">
        <v>551</v>
      </c>
      <c r="Y15" s="73" t="s">
        <v>542</v>
      </c>
      <c r="Z15" s="75">
        <f>IF($D15="",0,IF(COUNTIF($D$5:$D15,$D15)=1,1,0))</f>
        <v>0</v>
      </c>
      <c r="AA15" s="75" t="str">
        <f>IF(Z15=1,SUM($Z$5:$Z15),"")</f>
        <v/>
      </c>
    </row>
    <row r="16" spans="1:27">
      <c r="A16" s="73" t="s">
        <v>535</v>
      </c>
      <c r="B16" s="73" t="s">
        <v>536</v>
      </c>
      <c r="C16" s="73" t="s">
        <v>537</v>
      </c>
      <c r="D16" s="73" t="s">
        <v>549</v>
      </c>
      <c r="E16" s="73" t="s">
        <v>556</v>
      </c>
      <c r="F16" s="64">
        <v>5</v>
      </c>
      <c r="G16" s="64" t="s">
        <v>540</v>
      </c>
      <c r="H16" s="72">
        <v>67.3</v>
      </c>
      <c r="I16" s="60"/>
      <c r="J16" s="60"/>
      <c r="K16" s="60"/>
      <c r="L16" s="60"/>
      <c r="M16" s="60"/>
      <c r="N16" s="60"/>
      <c r="O16" s="60" t="s">
        <v>235</v>
      </c>
      <c r="P16" s="60"/>
      <c r="Q16" s="60"/>
      <c r="R16" s="60"/>
      <c r="S16" s="60"/>
      <c r="T16" s="71"/>
      <c r="U16" s="64">
        <f t="shared" si="0"/>
        <v>1</v>
      </c>
      <c r="V16" s="73" t="str">
        <f t="shared" si="1"/>
        <v>▲ 單一設備依賴</v>
      </c>
      <c r="W16" s="61" t="str">
        <f t="shared" si="2"/>
        <v>僅依賴1台設備，須確認故障/排修時之備援製程</v>
      </c>
      <c r="X16" s="73" t="s">
        <v>551</v>
      </c>
      <c r="Y16" s="73" t="s">
        <v>542</v>
      </c>
      <c r="Z16" s="75">
        <f>IF($D16="",0,IF(COUNTIF($D$5:$D16,$D16)=1,1,0))</f>
        <v>0</v>
      </c>
      <c r="AA16" s="75" t="str">
        <f>IF(Z16=1,SUM($Z$5:$Z16),"")</f>
        <v/>
      </c>
    </row>
    <row r="17" spans="1:27">
      <c r="A17" s="73" t="s">
        <v>535</v>
      </c>
      <c r="B17" s="73" t="s">
        <v>536</v>
      </c>
      <c r="C17" s="73" t="s">
        <v>537</v>
      </c>
      <c r="D17" s="73" t="s">
        <v>549</v>
      </c>
      <c r="E17" s="73" t="s">
        <v>557</v>
      </c>
      <c r="F17" s="64">
        <v>0.3</v>
      </c>
      <c r="G17" s="64" t="s">
        <v>540</v>
      </c>
      <c r="H17" s="72">
        <v>70</v>
      </c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71" t="s">
        <v>233</v>
      </c>
      <c r="U17" s="64">
        <f t="shared" si="0"/>
        <v>0</v>
      </c>
      <c r="V17" s="73" t="str">
        <f t="shared" si="1"/>
        <v>○ 免調理</v>
      </c>
      <c r="W17" s="61" t="str">
        <f t="shared" si="2"/>
        <v>免調理半成品（外購/僅切配等），不列入設備風險評估</v>
      </c>
      <c r="X17" s="73" t="s">
        <v>551</v>
      </c>
      <c r="Y17" s="73" t="s">
        <v>542</v>
      </c>
      <c r="Z17" s="75">
        <f>IF($D17="",0,IF(COUNTIF($D$5:$D17,$D17)=1,1,0))</f>
        <v>0</v>
      </c>
      <c r="AA17" s="75" t="str">
        <f>IF(Z17=1,SUM($Z$5:$Z17),"")</f>
        <v/>
      </c>
    </row>
    <row r="18" spans="1:27">
      <c r="A18" s="73" t="s">
        <v>535</v>
      </c>
      <c r="B18" s="73" t="s">
        <v>536</v>
      </c>
      <c r="C18" s="73" t="s">
        <v>537</v>
      </c>
      <c r="D18" s="73" t="s">
        <v>549</v>
      </c>
      <c r="E18" s="73" t="s">
        <v>547</v>
      </c>
      <c r="F18" s="64">
        <v>2</v>
      </c>
      <c r="G18" s="64" t="s">
        <v>540</v>
      </c>
      <c r="H18" s="72">
        <v>100</v>
      </c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71" t="s">
        <v>233</v>
      </c>
      <c r="U18" s="64">
        <f t="shared" si="0"/>
        <v>0</v>
      </c>
      <c r="V18" s="73" t="str">
        <f t="shared" si="1"/>
        <v>○ 免調理</v>
      </c>
      <c r="W18" s="61" t="str">
        <f t="shared" si="2"/>
        <v>免調理半成品（外購/僅切配等），不列入設備風險評估</v>
      </c>
      <c r="X18" s="73" t="s">
        <v>551</v>
      </c>
      <c r="Y18" s="73" t="s">
        <v>542</v>
      </c>
      <c r="Z18" s="75">
        <f>IF($D18="",0,IF(COUNTIF($D$5:$D18,$D18)=1,1,0))</f>
        <v>0</v>
      </c>
      <c r="AA18" s="75" t="str">
        <f>IF(Z18=1,SUM($Z$5:$Z18),"")</f>
        <v/>
      </c>
    </row>
    <row r="19" spans="1:27">
      <c r="A19" s="73" t="s">
        <v>558</v>
      </c>
      <c r="B19" s="73" t="s">
        <v>536</v>
      </c>
      <c r="C19" s="73" t="s">
        <v>537</v>
      </c>
      <c r="D19" s="73" t="s">
        <v>559</v>
      </c>
      <c r="E19" s="73" t="s">
        <v>539</v>
      </c>
      <c r="F19" s="64">
        <v>190</v>
      </c>
      <c r="G19" s="64" t="s">
        <v>540</v>
      </c>
      <c r="H19" s="72">
        <v>91</v>
      </c>
      <c r="I19" s="60" t="s">
        <v>233</v>
      </c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71"/>
      <c r="U19" s="64">
        <f t="shared" si="0"/>
        <v>1</v>
      </c>
      <c r="V19" s="73" t="str">
        <f t="shared" si="1"/>
        <v>▲ 單一設備依賴</v>
      </c>
      <c r="W19" s="61" t="str">
        <f t="shared" si="2"/>
        <v>僅依賴1台設備，須確認故障/排修時之備援製程</v>
      </c>
      <c r="X19" s="73" t="s">
        <v>560</v>
      </c>
      <c r="Y19" s="73" t="s">
        <v>561</v>
      </c>
      <c r="Z19" s="75">
        <f>IF($D19="",0,IF(COUNTIF($D$5:$D19,$D19)=1,1,0))</f>
        <v>1</v>
      </c>
      <c r="AA19" s="75">
        <f>IF(Z19=1,SUM($Z$5:$Z19),"")</f>
        <v>3</v>
      </c>
    </row>
    <row r="20" spans="1:27">
      <c r="A20" s="73" t="s">
        <v>558</v>
      </c>
      <c r="B20" s="73" t="s">
        <v>536</v>
      </c>
      <c r="C20" s="73" t="s">
        <v>537</v>
      </c>
      <c r="D20" s="73" t="s">
        <v>559</v>
      </c>
      <c r="E20" s="73" t="s">
        <v>562</v>
      </c>
      <c r="F20" s="64">
        <v>20</v>
      </c>
      <c r="G20" s="64" t="s">
        <v>540</v>
      </c>
      <c r="H20" s="72">
        <v>61</v>
      </c>
      <c r="I20" s="60"/>
      <c r="J20" s="60"/>
      <c r="K20" s="60"/>
      <c r="L20" s="60"/>
      <c r="M20" s="60"/>
      <c r="N20" s="60"/>
      <c r="O20" s="60" t="s">
        <v>236</v>
      </c>
      <c r="P20" s="60"/>
      <c r="Q20" s="60"/>
      <c r="R20" s="60"/>
      <c r="S20" s="60"/>
      <c r="T20" s="71"/>
      <c r="U20" s="64">
        <f t="shared" si="0"/>
        <v>1</v>
      </c>
      <c r="V20" s="73" t="str">
        <f t="shared" si="1"/>
        <v>▲ 單一設備依賴</v>
      </c>
      <c r="W20" s="61" t="str">
        <f t="shared" si="2"/>
        <v>僅依賴1台設備，須確認故障/排修時之備援製程</v>
      </c>
      <c r="X20" s="73" t="s">
        <v>560</v>
      </c>
      <c r="Y20" s="73" t="s">
        <v>561</v>
      </c>
      <c r="Z20" s="75">
        <f>IF($D20="",0,IF(COUNTIF($D$5:$D20,$D20)=1,1,0))</f>
        <v>0</v>
      </c>
      <c r="AA20" s="75" t="str">
        <f>IF(Z20=1,SUM($Z$5:$Z20),"")</f>
        <v/>
      </c>
    </row>
    <row r="21" spans="1:27">
      <c r="A21" s="73" t="s">
        <v>558</v>
      </c>
      <c r="B21" s="73" t="s">
        <v>536</v>
      </c>
      <c r="C21" s="73" t="s">
        <v>537</v>
      </c>
      <c r="D21" s="73" t="s">
        <v>559</v>
      </c>
      <c r="E21" s="70" t="s">
        <v>563</v>
      </c>
      <c r="F21" s="64">
        <v>18</v>
      </c>
      <c r="G21" s="64" t="s">
        <v>540</v>
      </c>
      <c r="H21" s="72">
        <v>92.5</v>
      </c>
      <c r="I21" s="60"/>
      <c r="J21" s="60"/>
      <c r="K21" s="60" t="s">
        <v>233</v>
      </c>
      <c r="L21" s="60" t="s">
        <v>257</v>
      </c>
      <c r="M21" s="60"/>
      <c r="N21" s="60"/>
      <c r="O21" s="60"/>
      <c r="P21" s="60"/>
      <c r="Q21" s="60"/>
      <c r="R21" s="60"/>
      <c r="S21" s="60"/>
      <c r="T21" s="71"/>
      <c r="U21" s="64">
        <f t="shared" si="0"/>
        <v>2</v>
      </c>
      <c r="V21" s="73" t="str">
        <f t="shared" si="1"/>
        <v>OK</v>
      </c>
      <c r="W21" s="61" t="str">
        <f t="shared" si="2"/>
        <v>無異常</v>
      </c>
      <c r="X21" s="73" t="s">
        <v>560</v>
      </c>
      <c r="Y21" s="73" t="s">
        <v>561</v>
      </c>
      <c r="Z21" s="75">
        <f>IF($D21="",0,IF(COUNTIF($D$5:$D21,$D21)=1,1,0))</f>
        <v>0</v>
      </c>
      <c r="AA21" s="75" t="str">
        <f>IF(Z21=1,SUM($Z$5:$Z21),"")</f>
        <v/>
      </c>
    </row>
    <row r="22" spans="1:27">
      <c r="A22" s="73" t="s">
        <v>558</v>
      </c>
      <c r="B22" s="73" t="s">
        <v>536</v>
      </c>
      <c r="C22" s="73" t="s">
        <v>537</v>
      </c>
      <c r="D22" s="73" t="s">
        <v>559</v>
      </c>
      <c r="E22" s="73" t="s">
        <v>564</v>
      </c>
      <c r="F22" s="64">
        <v>6</v>
      </c>
      <c r="G22" s="64" t="s">
        <v>545</v>
      </c>
      <c r="H22" s="72">
        <v>400</v>
      </c>
      <c r="I22" s="60"/>
      <c r="J22" s="60"/>
      <c r="K22" s="60" t="s">
        <v>233</v>
      </c>
      <c r="L22" s="60"/>
      <c r="M22" s="60"/>
      <c r="N22" s="60"/>
      <c r="O22" s="60"/>
      <c r="P22" s="60"/>
      <c r="Q22" s="60"/>
      <c r="R22" s="60"/>
      <c r="S22" s="60"/>
      <c r="T22" s="71"/>
      <c r="U22" s="64">
        <f t="shared" si="0"/>
        <v>1</v>
      </c>
      <c r="V22" s="73" t="str">
        <f t="shared" si="1"/>
        <v>▲ 單一設備依賴</v>
      </c>
      <c r="W22" s="61" t="str">
        <f t="shared" si="2"/>
        <v>僅依賴1台設備，須確認故障/排修時之備援製程</v>
      </c>
      <c r="X22" s="73" t="s">
        <v>560</v>
      </c>
      <c r="Y22" s="73" t="s">
        <v>561</v>
      </c>
      <c r="Z22" s="75">
        <f>IF($D22="",0,IF(COUNTIF($D$5:$D22,$D22)=1,1,0))</f>
        <v>0</v>
      </c>
      <c r="AA22" s="75" t="str">
        <f>IF(Z22=1,SUM($Z$5:$Z22),"")</f>
        <v/>
      </c>
    </row>
    <row r="23" spans="1:27">
      <c r="A23" s="73" t="s">
        <v>558</v>
      </c>
      <c r="B23" s="73" t="s">
        <v>536</v>
      </c>
      <c r="C23" s="73" t="s">
        <v>537</v>
      </c>
      <c r="D23" s="73" t="s">
        <v>559</v>
      </c>
      <c r="E23" s="73" t="s">
        <v>562</v>
      </c>
      <c r="F23" s="64">
        <v>18</v>
      </c>
      <c r="G23" s="64" t="s">
        <v>540</v>
      </c>
      <c r="H23" s="72">
        <v>61</v>
      </c>
      <c r="I23" s="60"/>
      <c r="J23" s="60"/>
      <c r="K23" s="60"/>
      <c r="L23" s="60"/>
      <c r="M23" s="60"/>
      <c r="N23" s="60"/>
      <c r="O23" s="60" t="s">
        <v>233</v>
      </c>
      <c r="P23" s="60"/>
      <c r="Q23" s="60"/>
      <c r="R23" s="60"/>
      <c r="S23" s="60"/>
      <c r="T23" s="71"/>
      <c r="U23" s="64">
        <f t="shared" si="0"/>
        <v>1</v>
      </c>
      <c r="V23" s="73" t="str">
        <f t="shared" si="1"/>
        <v>▲ 單一設備依賴</v>
      </c>
      <c r="W23" s="61" t="str">
        <f t="shared" si="2"/>
        <v>僅依賴1台設備，須確認故障/排修時之備援製程</v>
      </c>
      <c r="X23" s="73" t="s">
        <v>560</v>
      </c>
      <c r="Y23" s="73" t="s">
        <v>561</v>
      </c>
      <c r="Z23" s="75">
        <f>IF($D23="",0,IF(COUNTIF($D$5:$D23,$D23)=1,1,0))</f>
        <v>0</v>
      </c>
      <c r="AA23" s="75" t="str">
        <f>IF(Z23=1,SUM($Z$5:$Z23),"")</f>
        <v/>
      </c>
    </row>
    <row r="24" spans="1:27">
      <c r="A24" s="73" t="s">
        <v>558</v>
      </c>
      <c r="B24" s="73" t="s">
        <v>536</v>
      </c>
      <c r="C24" s="73" t="s">
        <v>537</v>
      </c>
      <c r="D24" s="73" t="s">
        <v>559</v>
      </c>
      <c r="E24" s="73" t="s">
        <v>565</v>
      </c>
      <c r="F24" s="64">
        <v>8</v>
      </c>
      <c r="G24" s="64" t="s">
        <v>540</v>
      </c>
      <c r="H24" s="72">
        <v>57</v>
      </c>
      <c r="I24" s="60"/>
      <c r="J24" s="60"/>
      <c r="K24" s="60"/>
      <c r="L24" s="60"/>
      <c r="M24" s="60"/>
      <c r="N24" s="60"/>
      <c r="O24" s="60" t="s">
        <v>74</v>
      </c>
      <c r="P24" s="60"/>
      <c r="Q24" s="60"/>
      <c r="R24" s="60"/>
      <c r="S24" s="60"/>
      <c r="T24" s="71"/>
      <c r="U24" s="64">
        <f t="shared" si="0"/>
        <v>1</v>
      </c>
      <c r="V24" s="73" t="str">
        <f t="shared" si="1"/>
        <v>▲ 單一設備依賴</v>
      </c>
      <c r="W24" s="61" t="str">
        <f t="shared" si="2"/>
        <v>僅依賴1台設備，須確認故障/排修時之備援製程</v>
      </c>
      <c r="X24" s="73" t="s">
        <v>560</v>
      </c>
      <c r="Y24" s="73" t="s">
        <v>561</v>
      </c>
      <c r="Z24" s="75">
        <f>IF($D24="",0,IF(COUNTIF($D$5:$D24,$D24)=1,1,0))</f>
        <v>0</v>
      </c>
      <c r="AA24" s="75" t="str">
        <f>IF(Z24=1,SUM($Z$5:$Z24),"")</f>
        <v/>
      </c>
    </row>
    <row r="25" spans="1:27" s="27" customFormat="1">
      <c r="A25" s="73" t="s">
        <v>558</v>
      </c>
      <c r="B25" s="73" t="s">
        <v>536</v>
      </c>
      <c r="C25" s="73" t="s">
        <v>537</v>
      </c>
      <c r="D25" s="73" t="s">
        <v>559</v>
      </c>
      <c r="E25" s="73" t="s">
        <v>566</v>
      </c>
      <c r="F25" s="64">
        <v>0.2</v>
      </c>
      <c r="G25" s="64" t="s">
        <v>540</v>
      </c>
      <c r="H25" s="72">
        <v>100</v>
      </c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71" t="s">
        <v>74</v>
      </c>
      <c r="U25" s="64">
        <f t="shared" si="0"/>
        <v>0</v>
      </c>
      <c r="V25" s="73" t="str">
        <f t="shared" si="1"/>
        <v>○ 免調理</v>
      </c>
      <c r="W25" s="61" t="str">
        <f t="shared" si="2"/>
        <v>免調理半成品（外購/僅切配等），不列入設備風險評估</v>
      </c>
      <c r="X25" s="73" t="s">
        <v>560</v>
      </c>
      <c r="Y25" s="73" t="s">
        <v>561</v>
      </c>
      <c r="Z25" s="75"/>
      <c r="AA25" s="75"/>
    </row>
    <row r="26" spans="1:27">
      <c r="A26" s="73" t="s">
        <v>535</v>
      </c>
      <c r="B26" s="73" t="s">
        <v>536</v>
      </c>
      <c r="C26" s="73" t="s">
        <v>537</v>
      </c>
      <c r="D26" s="73" t="s">
        <v>567</v>
      </c>
      <c r="E26" s="73" t="s">
        <v>568</v>
      </c>
      <c r="F26" s="64">
        <v>280</v>
      </c>
      <c r="G26" s="64" t="s">
        <v>540</v>
      </c>
      <c r="H26" s="72">
        <v>78</v>
      </c>
      <c r="I26" s="60" t="s">
        <v>337</v>
      </c>
      <c r="J26" s="60"/>
      <c r="K26" s="60"/>
      <c r="L26" s="60"/>
      <c r="M26" s="60"/>
      <c r="N26" s="60"/>
      <c r="O26" s="60"/>
      <c r="P26" s="60" t="s">
        <v>237</v>
      </c>
      <c r="Q26" s="60"/>
      <c r="R26" s="60"/>
      <c r="S26" s="60"/>
      <c r="T26" s="71"/>
      <c r="U26" s="64">
        <f t="shared" si="0"/>
        <v>2</v>
      </c>
      <c r="V26" s="73" t="str">
        <f t="shared" si="1"/>
        <v>OK</v>
      </c>
      <c r="W26" s="61" t="str">
        <f t="shared" si="2"/>
        <v>無異常</v>
      </c>
      <c r="X26" s="73" t="s">
        <v>569</v>
      </c>
      <c r="Y26" s="73" t="s">
        <v>542</v>
      </c>
      <c r="Z26" s="75">
        <f>IF($D26="",0,IF(COUNTIF($D$5:$D26,$D26)=1,1,0))</f>
        <v>1</v>
      </c>
      <c r="AA26" s="75">
        <f>IF(Z26=1,SUM($Z$5:$Z26),"")</f>
        <v>4</v>
      </c>
    </row>
    <row r="27" spans="1:27">
      <c r="A27" s="73" t="s">
        <v>535</v>
      </c>
      <c r="B27" s="73" t="s">
        <v>536</v>
      </c>
      <c r="C27" s="73" t="s">
        <v>537</v>
      </c>
      <c r="D27" s="73" t="s">
        <v>567</v>
      </c>
      <c r="E27" s="73" t="s">
        <v>547</v>
      </c>
      <c r="F27" s="64">
        <v>3</v>
      </c>
      <c r="G27" s="64" t="s">
        <v>540</v>
      </c>
      <c r="H27" s="72">
        <v>70</v>
      </c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71" t="s">
        <v>233</v>
      </c>
      <c r="U27" s="64">
        <f t="shared" si="0"/>
        <v>0</v>
      </c>
      <c r="V27" s="73" t="str">
        <f t="shared" si="1"/>
        <v>○ 免調理</v>
      </c>
      <c r="W27" s="61" t="str">
        <f t="shared" si="2"/>
        <v>免調理半成品（外購/僅切配等），不列入設備風險評估</v>
      </c>
      <c r="X27" s="73" t="s">
        <v>569</v>
      </c>
      <c r="Y27" s="73" t="s">
        <v>542</v>
      </c>
      <c r="Z27" s="75">
        <f>IF($D27="",0,IF(COUNTIF($D$5:$D27,$D27)=1,1,0))</f>
        <v>0</v>
      </c>
      <c r="AA27" s="75" t="str">
        <f>IF(Z27=1,SUM($Z$5:$Z27),"")</f>
        <v/>
      </c>
    </row>
    <row r="28" spans="1:27">
      <c r="A28" s="73" t="s">
        <v>535</v>
      </c>
      <c r="B28" s="73" t="s">
        <v>536</v>
      </c>
      <c r="C28" s="73" t="s">
        <v>537</v>
      </c>
      <c r="D28" s="73" t="s">
        <v>567</v>
      </c>
      <c r="E28" s="73" t="s">
        <v>570</v>
      </c>
      <c r="F28" s="64">
        <v>37</v>
      </c>
      <c r="G28" s="64" t="s">
        <v>540</v>
      </c>
      <c r="H28" s="72">
        <v>100</v>
      </c>
      <c r="I28" s="60"/>
      <c r="J28" s="60"/>
      <c r="K28" s="60" t="s">
        <v>237</v>
      </c>
      <c r="L28" s="60"/>
      <c r="M28" s="60"/>
      <c r="N28" s="60"/>
      <c r="O28" s="60"/>
      <c r="P28" s="60"/>
      <c r="Q28" s="60"/>
      <c r="R28" s="60"/>
      <c r="S28" s="60"/>
      <c r="T28" s="71"/>
      <c r="U28" s="64">
        <f t="shared" si="0"/>
        <v>1</v>
      </c>
      <c r="V28" s="73" t="str">
        <f t="shared" si="1"/>
        <v>▲ 單一設備依賴</v>
      </c>
      <c r="W28" s="61" t="str">
        <f t="shared" si="2"/>
        <v>僅依賴1台設備，須確認故障/排修時之備援製程</v>
      </c>
      <c r="X28" s="73" t="s">
        <v>569</v>
      </c>
      <c r="Y28" s="73" t="s">
        <v>542</v>
      </c>
      <c r="Z28" s="75">
        <f>IF($D28="",0,IF(COUNTIF($D$5:$D28,$D28)=1,1,0))</f>
        <v>0</v>
      </c>
      <c r="AA28" s="75" t="str">
        <f>IF(Z28=1,SUM($Z$5:$Z28),"")</f>
        <v/>
      </c>
    </row>
    <row r="29" spans="1:27">
      <c r="A29" s="73" t="s">
        <v>535</v>
      </c>
      <c r="B29" s="73" t="s">
        <v>536</v>
      </c>
      <c r="C29" s="73" t="s">
        <v>537</v>
      </c>
      <c r="D29" s="73" t="s">
        <v>567</v>
      </c>
      <c r="E29" s="73" t="s">
        <v>571</v>
      </c>
      <c r="F29" s="64">
        <v>11</v>
      </c>
      <c r="G29" s="64" t="s">
        <v>540</v>
      </c>
      <c r="H29" s="72">
        <v>95</v>
      </c>
      <c r="I29" s="60"/>
      <c r="J29" s="60"/>
      <c r="K29" s="60"/>
      <c r="L29" s="60"/>
      <c r="M29" s="60" t="s">
        <v>233</v>
      </c>
      <c r="N29" s="60"/>
      <c r="O29" s="60"/>
      <c r="P29" s="60"/>
      <c r="Q29" s="60"/>
      <c r="R29" s="60"/>
      <c r="S29" s="60"/>
      <c r="T29" s="71"/>
      <c r="U29" s="64">
        <f t="shared" si="0"/>
        <v>1</v>
      </c>
      <c r="V29" s="73" t="str">
        <f t="shared" si="1"/>
        <v>▲ 單一設備依賴</v>
      </c>
      <c r="W29" s="61" t="str">
        <f t="shared" si="2"/>
        <v>僅依賴1台設備，須確認故障/排修時之備援製程</v>
      </c>
      <c r="X29" s="73" t="s">
        <v>569</v>
      </c>
      <c r="Y29" s="73" t="s">
        <v>542</v>
      </c>
      <c r="Z29" s="75">
        <f>IF($D29="",0,IF(COUNTIF($D$5:$D29,$D29)=1,1,0))</f>
        <v>0</v>
      </c>
      <c r="AA29" s="75" t="str">
        <f>IF(Z29=1,SUM($Z$5:$Z29),"")</f>
        <v/>
      </c>
    </row>
    <row r="30" spans="1:27">
      <c r="A30" s="73" t="s">
        <v>558</v>
      </c>
      <c r="B30" s="73" t="s">
        <v>536</v>
      </c>
      <c r="C30" s="73" t="s">
        <v>537</v>
      </c>
      <c r="D30" s="73" t="s">
        <v>572</v>
      </c>
      <c r="E30" s="73" t="s">
        <v>573</v>
      </c>
      <c r="F30" s="64">
        <v>250</v>
      </c>
      <c r="G30" s="64" t="s">
        <v>540</v>
      </c>
      <c r="H30" s="72">
        <v>76</v>
      </c>
      <c r="I30" s="60" t="s">
        <v>74</v>
      </c>
      <c r="J30" s="60"/>
      <c r="K30" s="60"/>
      <c r="L30" s="60"/>
      <c r="M30" s="60"/>
      <c r="N30" s="60"/>
      <c r="O30" s="60"/>
      <c r="P30" s="60" t="s">
        <v>74</v>
      </c>
      <c r="Q30" s="60"/>
      <c r="R30" s="60"/>
      <c r="S30" s="60"/>
      <c r="T30" s="71"/>
      <c r="U30" s="64">
        <f t="shared" si="0"/>
        <v>2</v>
      </c>
      <c r="V30" s="73" t="str">
        <f t="shared" si="1"/>
        <v>OK</v>
      </c>
      <c r="W30" s="61" t="str">
        <f t="shared" si="2"/>
        <v>無異常</v>
      </c>
      <c r="X30" s="73" t="s">
        <v>574</v>
      </c>
      <c r="Y30" s="73" t="s">
        <v>542</v>
      </c>
      <c r="Z30" s="75">
        <f>IF($D30="",0,IF(COUNTIF($D$5:$D30,$D30)=1,1,0))</f>
        <v>1</v>
      </c>
      <c r="AA30" s="75">
        <f>IF(Z30=1,SUM($Z$5:$Z30),"")</f>
        <v>5</v>
      </c>
    </row>
    <row r="31" spans="1:27">
      <c r="A31" s="73" t="s">
        <v>558</v>
      </c>
      <c r="B31" s="73" t="s">
        <v>536</v>
      </c>
      <c r="C31" s="73" t="s">
        <v>537</v>
      </c>
      <c r="D31" s="73" t="s">
        <v>572</v>
      </c>
      <c r="E31" s="73" t="s">
        <v>575</v>
      </c>
      <c r="F31" s="64">
        <v>50</v>
      </c>
      <c r="G31" s="64" t="s">
        <v>540</v>
      </c>
      <c r="H31" s="72">
        <v>49</v>
      </c>
      <c r="I31" s="60"/>
      <c r="J31" s="60"/>
      <c r="K31" s="60" t="s">
        <v>74</v>
      </c>
      <c r="L31" s="60"/>
      <c r="M31" s="60"/>
      <c r="N31" s="60"/>
      <c r="O31" s="60"/>
      <c r="P31" s="60"/>
      <c r="Q31" s="60"/>
      <c r="R31" s="60"/>
      <c r="S31" s="60"/>
      <c r="T31" s="71"/>
      <c r="U31" s="64">
        <f t="shared" si="0"/>
        <v>1</v>
      </c>
      <c r="V31" s="73" t="str">
        <f t="shared" si="1"/>
        <v>▲ 單一設備依賴</v>
      </c>
      <c r="W31" s="61" t="str">
        <f t="shared" si="2"/>
        <v>僅依賴1台設備，須確認故障/排修時之備援製程</v>
      </c>
      <c r="X31" s="73" t="s">
        <v>574</v>
      </c>
      <c r="Y31" s="73" t="s">
        <v>542</v>
      </c>
      <c r="Z31" s="75">
        <f>IF($D31="",0,IF(COUNTIF($D$5:$D31,$D31)=1,1,0))</f>
        <v>0</v>
      </c>
      <c r="AA31" s="75" t="str">
        <f>IF(Z31=1,SUM($Z$5:$Z31),"")</f>
        <v/>
      </c>
    </row>
    <row r="32" spans="1:27">
      <c r="A32" s="73" t="s">
        <v>558</v>
      </c>
      <c r="B32" s="73" t="s">
        <v>536</v>
      </c>
      <c r="C32" s="73" t="s">
        <v>537</v>
      </c>
      <c r="D32" s="73" t="s">
        <v>572</v>
      </c>
      <c r="E32" s="73" t="s">
        <v>576</v>
      </c>
      <c r="F32" s="64">
        <v>1</v>
      </c>
      <c r="G32" s="64" t="s">
        <v>540</v>
      </c>
      <c r="H32" s="72">
        <v>100</v>
      </c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71" t="s">
        <v>74</v>
      </c>
      <c r="U32" s="64">
        <f t="shared" si="0"/>
        <v>0</v>
      </c>
      <c r="V32" s="73" t="str">
        <f t="shared" si="1"/>
        <v>○ 免調理</v>
      </c>
      <c r="W32" s="61" t="str">
        <f t="shared" si="2"/>
        <v>免調理半成品（外購/僅切配等），不列入設備風險評估</v>
      </c>
      <c r="X32" s="73" t="s">
        <v>574</v>
      </c>
      <c r="Y32" s="73" t="s">
        <v>542</v>
      </c>
      <c r="Z32" s="75">
        <f>IF($D32="",0,IF(COUNTIF($D$5:$D32,$D32)=1,1,0))</f>
        <v>0</v>
      </c>
      <c r="AA32" s="75" t="str">
        <f>IF(Z32=1,SUM($Z$5:$Z32),"")</f>
        <v/>
      </c>
    </row>
    <row r="33" spans="1:27">
      <c r="A33" s="73" t="s">
        <v>535</v>
      </c>
      <c r="B33" s="73" t="s">
        <v>536</v>
      </c>
      <c r="C33" s="73" t="s">
        <v>537</v>
      </c>
      <c r="D33" s="73" t="s">
        <v>577</v>
      </c>
      <c r="E33" s="73" t="s">
        <v>539</v>
      </c>
      <c r="F33" s="64">
        <v>245</v>
      </c>
      <c r="G33" s="64" t="s">
        <v>540</v>
      </c>
      <c r="H33" s="72">
        <v>91</v>
      </c>
      <c r="I33" s="60" t="s">
        <v>233</v>
      </c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71"/>
      <c r="U33" s="64">
        <f t="shared" si="0"/>
        <v>1</v>
      </c>
      <c r="V33" s="73" t="str">
        <f t="shared" si="1"/>
        <v>▲ 單一設備依賴</v>
      </c>
      <c r="W33" s="61" t="str">
        <f t="shared" si="2"/>
        <v>僅依賴1台設備，須確認故障/排修時之備援製程</v>
      </c>
      <c r="X33" s="73" t="s">
        <v>578</v>
      </c>
      <c r="Y33" s="73" t="s">
        <v>542</v>
      </c>
      <c r="Z33" s="75">
        <f>IF($D33="",0,IF(COUNTIF($D$5:$D33,$D33)=1,1,0))</f>
        <v>1</v>
      </c>
      <c r="AA33" s="75">
        <f>IF(Z33=1,SUM($Z$5:$Z33),"")</f>
        <v>6</v>
      </c>
    </row>
    <row r="34" spans="1:27">
      <c r="A34" s="73" t="s">
        <v>535</v>
      </c>
      <c r="B34" s="73" t="s">
        <v>536</v>
      </c>
      <c r="C34" s="73" t="s">
        <v>537</v>
      </c>
      <c r="D34" s="73" t="s">
        <v>577</v>
      </c>
      <c r="E34" s="73" t="s">
        <v>579</v>
      </c>
      <c r="F34" s="64">
        <v>156</v>
      </c>
      <c r="G34" s="64" t="s">
        <v>540</v>
      </c>
      <c r="H34" s="72">
        <v>58</v>
      </c>
      <c r="I34" s="60"/>
      <c r="J34" s="60"/>
      <c r="K34" s="60"/>
      <c r="L34" s="60"/>
      <c r="M34" s="60"/>
      <c r="N34" s="60"/>
      <c r="O34" s="60" t="s">
        <v>233</v>
      </c>
      <c r="P34" s="60"/>
      <c r="Q34" s="60"/>
      <c r="R34" s="60"/>
      <c r="S34" s="60"/>
      <c r="T34" s="71"/>
      <c r="U34" s="64">
        <f t="shared" si="0"/>
        <v>1</v>
      </c>
      <c r="V34" s="73" t="str">
        <f t="shared" si="1"/>
        <v>▲ 單一設備依賴</v>
      </c>
      <c r="W34" s="61" t="str">
        <f t="shared" si="2"/>
        <v>僅依賴1台設備，須確認故障/排修時之備援製程</v>
      </c>
      <c r="X34" s="73" t="s">
        <v>578</v>
      </c>
      <c r="Y34" s="73" t="s">
        <v>542</v>
      </c>
      <c r="Z34" s="75">
        <f>IF($D34="",0,IF(COUNTIF($D$5:$D34,$D34)=1,1,0))</f>
        <v>0</v>
      </c>
      <c r="AA34" s="75" t="str">
        <f>IF(Z34=1,SUM($Z$5:$Z34),"")</f>
        <v/>
      </c>
    </row>
    <row r="35" spans="1:27">
      <c r="A35" s="73" t="s">
        <v>535</v>
      </c>
      <c r="B35" s="73" t="s">
        <v>536</v>
      </c>
      <c r="C35" s="73" t="s">
        <v>537</v>
      </c>
      <c r="D35" s="73" t="s">
        <v>577</v>
      </c>
      <c r="E35" s="73" t="s">
        <v>580</v>
      </c>
      <c r="F35" s="64">
        <v>50</v>
      </c>
      <c r="G35" s="64" t="s">
        <v>540</v>
      </c>
      <c r="H35" s="72">
        <v>61</v>
      </c>
      <c r="I35" s="60"/>
      <c r="J35" s="60"/>
      <c r="K35" s="60"/>
      <c r="L35" s="60"/>
      <c r="M35" s="60"/>
      <c r="N35" s="60"/>
      <c r="O35" s="60" t="s">
        <v>237</v>
      </c>
      <c r="P35" s="60"/>
      <c r="Q35" s="60"/>
      <c r="R35" s="60"/>
      <c r="S35" s="60"/>
      <c r="T35" s="71"/>
      <c r="U35" s="64">
        <f t="shared" si="0"/>
        <v>1</v>
      </c>
      <c r="V35" s="73" t="str">
        <f t="shared" si="1"/>
        <v>▲ 單一設備依賴</v>
      </c>
      <c r="W35" s="61" t="str">
        <f t="shared" si="2"/>
        <v>僅依賴1台設備，須確認故障/排修時之備援製程</v>
      </c>
      <c r="X35" s="73" t="s">
        <v>578</v>
      </c>
      <c r="Y35" s="73" t="s">
        <v>542</v>
      </c>
      <c r="Z35" s="75">
        <f>IF($D35="",0,IF(COUNTIF($D$5:$D35,$D35)=1,1,0))</f>
        <v>0</v>
      </c>
      <c r="AA35" s="75" t="str">
        <f>IF(Z35=1,SUM($Z$5:$Z35),"")</f>
        <v/>
      </c>
    </row>
    <row r="36" spans="1:27">
      <c r="A36" s="73" t="s">
        <v>535</v>
      </c>
      <c r="B36" s="73" t="s">
        <v>536</v>
      </c>
      <c r="C36" s="73" t="s">
        <v>537</v>
      </c>
      <c r="D36" s="73" t="s">
        <v>581</v>
      </c>
      <c r="E36" s="58" t="s">
        <v>539</v>
      </c>
      <c r="F36" s="69">
        <v>260</v>
      </c>
      <c r="G36" s="64" t="s">
        <v>540</v>
      </c>
      <c r="H36" s="72">
        <v>91</v>
      </c>
      <c r="I36" s="60" t="s">
        <v>238</v>
      </c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71"/>
      <c r="U36" s="64">
        <f t="shared" si="0"/>
        <v>1</v>
      </c>
      <c r="V36" s="73" t="str">
        <f t="shared" si="1"/>
        <v>▲ 單一設備依賴</v>
      </c>
      <c r="W36" s="61" t="str">
        <f t="shared" si="2"/>
        <v>僅依賴1台設備，須確認故障/排修時之備援製程</v>
      </c>
      <c r="X36" s="73" t="s">
        <v>582</v>
      </c>
      <c r="Y36" s="73" t="s">
        <v>542</v>
      </c>
      <c r="Z36" s="75">
        <f>IF($D36="",0,IF(COUNTIF($D$5:$D36,$D36)=1,1,0))</f>
        <v>1</v>
      </c>
      <c r="AA36" s="75">
        <f>IF(Z36=1,SUM($Z$5:$Z36),"")</f>
        <v>7</v>
      </c>
    </row>
    <row r="37" spans="1:27">
      <c r="A37" s="73" t="s">
        <v>535</v>
      </c>
      <c r="B37" s="73" t="s">
        <v>536</v>
      </c>
      <c r="C37" s="73" t="s">
        <v>537</v>
      </c>
      <c r="D37" s="73" t="s">
        <v>581</v>
      </c>
      <c r="E37" s="58" t="s">
        <v>583</v>
      </c>
      <c r="F37" s="69">
        <v>180</v>
      </c>
      <c r="G37" s="64" t="s">
        <v>540</v>
      </c>
      <c r="H37" s="72">
        <v>55</v>
      </c>
      <c r="I37" s="60"/>
      <c r="J37" s="60"/>
      <c r="K37" s="60"/>
      <c r="L37" s="60"/>
      <c r="M37" s="60"/>
      <c r="N37" s="60"/>
      <c r="O37" s="60" t="s">
        <v>239</v>
      </c>
      <c r="P37" s="60"/>
      <c r="Q37" s="60"/>
      <c r="R37" s="60"/>
      <c r="S37" s="60"/>
      <c r="T37" s="71"/>
      <c r="U37" s="64">
        <f t="shared" si="0"/>
        <v>1</v>
      </c>
      <c r="V37" s="73" t="str">
        <f t="shared" si="1"/>
        <v>▲ 單一設備依賴</v>
      </c>
      <c r="W37" s="61" t="str">
        <f t="shared" si="2"/>
        <v>僅依賴1台設備，須確認故障/排修時之備援製程</v>
      </c>
      <c r="X37" s="73" t="s">
        <v>582</v>
      </c>
      <c r="Y37" s="73" t="s">
        <v>542</v>
      </c>
      <c r="Z37" s="75">
        <f>IF($D37="",0,IF(COUNTIF($D$5:$D37,$D37)=1,1,0))</f>
        <v>0</v>
      </c>
      <c r="AA37" s="75" t="str">
        <f>IF(Z37=1,SUM($Z$5:$Z37),"")</f>
        <v/>
      </c>
    </row>
    <row r="38" spans="1:27">
      <c r="A38" s="73" t="s">
        <v>535</v>
      </c>
      <c r="B38" s="73" t="s">
        <v>536</v>
      </c>
      <c r="C38" s="73" t="s">
        <v>537</v>
      </c>
      <c r="D38" s="73" t="s">
        <v>581</v>
      </c>
      <c r="E38" s="58" t="s">
        <v>584</v>
      </c>
      <c r="F38" s="69">
        <v>26</v>
      </c>
      <c r="G38" s="64" t="s">
        <v>540</v>
      </c>
      <c r="H38" s="72">
        <v>60</v>
      </c>
      <c r="I38" s="60"/>
      <c r="J38" s="60"/>
      <c r="K38" s="60"/>
      <c r="L38" s="60"/>
      <c r="M38" s="60"/>
      <c r="N38" s="60"/>
      <c r="O38" s="60" t="s">
        <v>233</v>
      </c>
      <c r="P38" s="60"/>
      <c r="Q38" s="60"/>
      <c r="R38" s="60"/>
      <c r="S38" s="60"/>
      <c r="T38" s="71"/>
      <c r="U38" s="64">
        <f t="shared" si="0"/>
        <v>1</v>
      </c>
      <c r="V38" s="73" t="str">
        <f t="shared" si="1"/>
        <v>▲ 單一設備依賴</v>
      </c>
      <c r="W38" s="61" t="str">
        <f t="shared" si="2"/>
        <v>僅依賴1台設備，須確認故障/排修時之備援製程</v>
      </c>
      <c r="X38" s="73" t="s">
        <v>582</v>
      </c>
      <c r="Y38" s="73" t="s">
        <v>542</v>
      </c>
      <c r="Z38" s="75">
        <f>IF($D38="",0,IF(COUNTIF($D$5:$D38,$D38)=1,1,0))</f>
        <v>0</v>
      </c>
      <c r="AA38" s="75" t="str">
        <f>IF(Z38=1,SUM($Z$5:$Z38),"")</f>
        <v/>
      </c>
    </row>
    <row r="39" spans="1:27">
      <c r="A39" s="73" t="s">
        <v>535</v>
      </c>
      <c r="B39" s="73" t="s">
        <v>536</v>
      </c>
      <c r="C39" s="73" t="s">
        <v>537</v>
      </c>
      <c r="D39" s="73" t="s">
        <v>581</v>
      </c>
      <c r="E39" s="58" t="s">
        <v>585</v>
      </c>
      <c r="F39" s="69">
        <v>20</v>
      </c>
      <c r="G39" s="64" t="s">
        <v>540</v>
      </c>
      <c r="H39" s="72">
        <v>65</v>
      </c>
      <c r="I39" s="60"/>
      <c r="J39" s="60"/>
      <c r="K39" s="60"/>
      <c r="L39" s="60"/>
      <c r="M39" s="60"/>
      <c r="N39" s="60"/>
      <c r="O39" s="60" t="s">
        <v>233</v>
      </c>
      <c r="P39" s="60"/>
      <c r="Q39" s="60"/>
      <c r="R39" s="60"/>
      <c r="S39" s="60"/>
      <c r="T39" s="71"/>
      <c r="U39" s="64">
        <f t="shared" si="0"/>
        <v>1</v>
      </c>
      <c r="V39" s="73" t="str">
        <f t="shared" si="1"/>
        <v>▲ 單一設備依賴</v>
      </c>
      <c r="W39" s="61" t="str">
        <f t="shared" si="2"/>
        <v>僅依賴1台設備，須確認故障/排修時之備援製程</v>
      </c>
      <c r="X39" s="73" t="s">
        <v>582</v>
      </c>
      <c r="Y39" s="73" t="s">
        <v>542</v>
      </c>
      <c r="Z39" s="75">
        <f>IF($D39="",0,IF(COUNTIF($D$5:$D39,$D39)=1,1,0))</f>
        <v>0</v>
      </c>
      <c r="AA39" s="75" t="str">
        <f>IF(Z39=1,SUM($Z$5:$Z39),"")</f>
        <v/>
      </c>
    </row>
    <row r="40" spans="1:27">
      <c r="A40" s="73" t="s">
        <v>535</v>
      </c>
      <c r="B40" s="73" t="s">
        <v>536</v>
      </c>
      <c r="C40" s="73" t="s">
        <v>537</v>
      </c>
      <c r="D40" s="73" t="s">
        <v>581</v>
      </c>
      <c r="E40" s="58" t="s">
        <v>586</v>
      </c>
      <c r="F40" s="69">
        <v>30</v>
      </c>
      <c r="G40" s="64" t="s">
        <v>540</v>
      </c>
      <c r="H40" s="72">
        <v>66</v>
      </c>
      <c r="I40" s="60"/>
      <c r="J40" s="60"/>
      <c r="K40" s="60"/>
      <c r="L40" s="60"/>
      <c r="M40" s="60"/>
      <c r="N40" s="60"/>
      <c r="O40" s="60" t="s">
        <v>240</v>
      </c>
      <c r="P40" s="60"/>
      <c r="Q40" s="60"/>
      <c r="R40" s="60"/>
      <c r="S40" s="60"/>
      <c r="T40" s="71"/>
      <c r="U40" s="64">
        <f t="shared" si="0"/>
        <v>1</v>
      </c>
      <c r="V40" s="73" t="str">
        <f t="shared" si="1"/>
        <v>▲ 單一設備依賴</v>
      </c>
      <c r="W40" s="61" t="str">
        <f t="shared" si="2"/>
        <v>僅依賴1台設備，須確認故障/排修時之備援製程</v>
      </c>
      <c r="X40" s="73" t="s">
        <v>582</v>
      </c>
      <c r="Y40" s="73" t="s">
        <v>542</v>
      </c>
      <c r="Z40" s="75">
        <f>IF($D40="",0,IF(COUNTIF($D$5:$D40,$D40)=1,1,0))</f>
        <v>0</v>
      </c>
      <c r="AA40" s="75" t="str">
        <f>IF(Z40=1,SUM($Z$5:$Z40),"")</f>
        <v/>
      </c>
    </row>
    <row r="41" spans="1:27">
      <c r="A41" s="73" t="s">
        <v>535</v>
      </c>
      <c r="B41" s="73" t="s">
        <v>536</v>
      </c>
      <c r="C41" s="73" t="s">
        <v>537</v>
      </c>
      <c r="D41" s="73" t="s">
        <v>581</v>
      </c>
      <c r="E41" s="58" t="s">
        <v>587</v>
      </c>
      <c r="F41" s="69">
        <v>3</v>
      </c>
      <c r="G41" s="64" t="s">
        <v>540</v>
      </c>
      <c r="H41" s="72">
        <v>89.3</v>
      </c>
      <c r="I41" s="60"/>
      <c r="J41" s="60"/>
      <c r="K41" s="60"/>
      <c r="L41" s="60"/>
      <c r="M41" s="60"/>
      <c r="N41" s="60"/>
      <c r="O41" s="60"/>
      <c r="P41" s="60" t="s">
        <v>233</v>
      </c>
      <c r="Q41" s="60"/>
      <c r="R41" s="60"/>
      <c r="S41" s="60"/>
      <c r="T41" s="71"/>
      <c r="U41" s="64">
        <f t="shared" si="0"/>
        <v>1</v>
      </c>
      <c r="V41" s="73" t="str">
        <f t="shared" si="1"/>
        <v>▲ 單一設備依賴</v>
      </c>
      <c r="W41" s="61" t="str">
        <f t="shared" si="2"/>
        <v>僅依賴1台設備，須確認故障/排修時之備援製程</v>
      </c>
      <c r="X41" s="73" t="s">
        <v>582</v>
      </c>
      <c r="Y41" s="73" t="s">
        <v>542</v>
      </c>
      <c r="Z41" s="75">
        <f>IF($D41="",0,IF(COUNTIF($D$5:$D41,$D41)=1,1,0))</f>
        <v>0</v>
      </c>
      <c r="AA41" s="75" t="str">
        <f>IF(Z41=1,SUM($Z$5:$Z41),"")</f>
        <v/>
      </c>
    </row>
    <row r="42" spans="1:27">
      <c r="A42" s="73" t="s">
        <v>535</v>
      </c>
      <c r="B42" s="73" t="s">
        <v>536</v>
      </c>
      <c r="C42" s="73" t="s">
        <v>537</v>
      </c>
      <c r="D42" s="73" t="s">
        <v>588</v>
      </c>
      <c r="E42" s="58" t="s">
        <v>539</v>
      </c>
      <c r="F42" s="69">
        <v>260</v>
      </c>
      <c r="G42" s="64" t="s">
        <v>540</v>
      </c>
      <c r="H42" s="72">
        <v>91</v>
      </c>
      <c r="I42" s="60" t="s">
        <v>233</v>
      </c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71"/>
      <c r="U42" s="64">
        <f t="shared" si="0"/>
        <v>1</v>
      </c>
      <c r="V42" s="73" t="str">
        <f t="shared" si="1"/>
        <v>▲ 單一設備依賴</v>
      </c>
      <c r="W42" s="61" t="str">
        <f t="shared" si="2"/>
        <v>僅依賴1台設備，須確認故障/排修時之備援製程</v>
      </c>
      <c r="X42" s="73" t="s">
        <v>589</v>
      </c>
      <c r="Y42" s="73" t="s">
        <v>542</v>
      </c>
      <c r="Z42" s="75">
        <f>IF($D42="",0,IF(COUNTIF($D$5:$D42,$D42)=1,1,0))</f>
        <v>1</v>
      </c>
      <c r="AA42" s="75">
        <f>IF(Z42=1,SUM($Z$5:$Z42),"")</f>
        <v>8</v>
      </c>
    </row>
    <row r="43" spans="1:27">
      <c r="A43" s="73" t="s">
        <v>535</v>
      </c>
      <c r="B43" s="73" t="s">
        <v>536</v>
      </c>
      <c r="C43" s="73" t="s">
        <v>537</v>
      </c>
      <c r="D43" s="73" t="s">
        <v>588</v>
      </c>
      <c r="E43" s="58" t="s">
        <v>590</v>
      </c>
      <c r="F43" s="69">
        <v>190</v>
      </c>
      <c r="G43" s="64" t="s">
        <v>540</v>
      </c>
      <c r="H43" s="72">
        <v>47.8</v>
      </c>
      <c r="I43" s="60"/>
      <c r="J43" s="60"/>
      <c r="K43" s="60"/>
      <c r="L43" s="60"/>
      <c r="M43" s="60"/>
      <c r="N43" s="60"/>
      <c r="O43" s="60" t="s">
        <v>233</v>
      </c>
      <c r="P43" s="60"/>
      <c r="Q43" s="60"/>
      <c r="R43" s="60"/>
      <c r="S43" s="60"/>
      <c r="T43" s="71"/>
      <c r="U43" s="64">
        <f t="shared" si="0"/>
        <v>1</v>
      </c>
      <c r="V43" s="73" t="str">
        <f t="shared" si="1"/>
        <v>▲ 單一設備依賴</v>
      </c>
      <c r="W43" s="61" t="str">
        <f t="shared" si="2"/>
        <v>僅依賴1台設備，須確認故障/排修時之備援製程</v>
      </c>
      <c r="X43" s="73" t="s">
        <v>589</v>
      </c>
      <c r="Y43" s="73" t="s">
        <v>542</v>
      </c>
      <c r="Z43" s="75">
        <f>IF($D43="",0,IF(COUNTIF($D$5:$D43,$D43)=1,1,0))</f>
        <v>0</v>
      </c>
      <c r="AA43" s="75" t="str">
        <f>IF(Z43=1,SUM($Z$5:$Z43),"")</f>
        <v/>
      </c>
    </row>
    <row r="44" spans="1:27">
      <c r="A44" s="73" t="s">
        <v>535</v>
      </c>
      <c r="B44" s="73" t="s">
        <v>536</v>
      </c>
      <c r="C44" s="73" t="s">
        <v>537</v>
      </c>
      <c r="D44" s="73" t="s">
        <v>588</v>
      </c>
      <c r="E44" s="58" t="s">
        <v>591</v>
      </c>
      <c r="F44" s="69">
        <v>30</v>
      </c>
      <c r="G44" s="64" t="s">
        <v>540</v>
      </c>
      <c r="H44" s="72">
        <v>30</v>
      </c>
      <c r="I44" s="60"/>
      <c r="J44" s="60"/>
      <c r="K44" s="60"/>
      <c r="L44" s="60"/>
      <c r="M44" s="60" t="s">
        <v>233</v>
      </c>
      <c r="N44" s="60"/>
      <c r="O44" s="60"/>
      <c r="P44" s="60"/>
      <c r="Q44" s="60"/>
      <c r="R44" s="60"/>
      <c r="S44" s="60"/>
      <c r="T44" s="71"/>
      <c r="U44" s="64">
        <f t="shared" si="0"/>
        <v>1</v>
      </c>
      <c r="V44" s="73" t="str">
        <f t="shared" si="1"/>
        <v>▲ 單一設備依賴</v>
      </c>
      <c r="W44" s="61" t="str">
        <f t="shared" si="2"/>
        <v>僅依賴1台設備，須確認故障/排修時之備援製程</v>
      </c>
      <c r="X44" s="73" t="s">
        <v>589</v>
      </c>
      <c r="Y44" s="73" t="s">
        <v>542</v>
      </c>
      <c r="Z44" s="75">
        <f>IF($D44="",0,IF(COUNTIF($D$5:$D44,$D44)=1,1,0))</f>
        <v>0</v>
      </c>
      <c r="AA44" s="75" t="str">
        <f>IF(Z44=1,SUM($Z$5:$Z44),"")</f>
        <v/>
      </c>
    </row>
    <row r="45" spans="1:27">
      <c r="A45" s="73" t="s">
        <v>535</v>
      </c>
      <c r="B45" s="73" t="s">
        <v>536</v>
      </c>
      <c r="C45" s="73" t="s">
        <v>537</v>
      </c>
      <c r="D45" s="73" t="s">
        <v>588</v>
      </c>
      <c r="E45" s="58" t="s">
        <v>592</v>
      </c>
      <c r="F45" s="69">
        <v>20</v>
      </c>
      <c r="G45" s="64" t="s">
        <v>540</v>
      </c>
      <c r="H45" s="72">
        <v>65</v>
      </c>
      <c r="I45" s="60"/>
      <c r="J45" s="60"/>
      <c r="K45" s="60"/>
      <c r="L45" s="60"/>
      <c r="M45" s="60"/>
      <c r="N45" s="60"/>
      <c r="O45" s="60" t="s">
        <v>233</v>
      </c>
      <c r="P45" s="60"/>
      <c r="Q45" s="60"/>
      <c r="R45" s="60"/>
      <c r="S45" s="60"/>
      <c r="T45" s="71"/>
      <c r="U45" s="64">
        <f t="shared" si="0"/>
        <v>1</v>
      </c>
      <c r="V45" s="73" t="str">
        <f t="shared" si="1"/>
        <v>▲ 單一設備依賴</v>
      </c>
      <c r="W45" s="61" t="str">
        <f t="shared" si="2"/>
        <v>僅依賴1台設備，須確認故障/排修時之備援製程</v>
      </c>
      <c r="X45" s="73" t="s">
        <v>589</v>
      </c>
      <c r="Y45" s="73" t="s">
        <v>542</v>
      </c>
      <c r="Z45" s="75">
        <f>IF($D45="",0,IF(COUNTIF($D$5:$D45,$D45)=1,1,0))</f>
        <v>0</v>
      </c>
      <c r="AA45" s="75" t="str">
        <f>IF(Z45=1,SUM($Z$5:$Z45),"")</f>
        <v/>
      </c>
    </row>
    <row r="46" spans="1:27">
      <c r="A46" s="73" t="s">
        <v>535</v>
      </c>
      <c r="B46" s="73" t="s">
        <v>536</v>
      </c>
      <c r="C46" s="73" t="s">
        <v>537</v>
      </c>
      <c r="D46" s="73" t="s">
        <v>588</v>
      </c>
      <c r="E46" s="58" t="s">
        <v>586</v>
      </c>
      <c r="F46" s="69">
        <v>30</v>
      </c>
      <c r="G46" s="64" t="s">
        <v>540</v>
      </c>
      <c r="H46" s="72">
        <v>66</v>
      </c>
      <c r="I46" s="60"/>
      <c r="J46" s="60"/>
      <c r="K46" s="60"/>
      <c r="L46" s="60"/>
      <c r="M46" s="60"/>
      <c r="N46" s="60"/>
      <c r="O46" s="60" t="s">
        <v>237</v>
      </c>
      <c r="P46" s="60"/>
      <c r="Q46" s="60"/>
      <c r="R46" s="60"/>
      <c r="S46" s="60"/>
      <c r="T46" s="71"/>
      <c r="U46" s="64">
        <f t="shared" si="0"/>
        <v>1</v>
      </c>
      <c r="V46" s="73" t="str">
        <f t="shared" si="1"/>
        <v>▲ 單一設備依賴</v>
      </c>
      <c r="W46" s="61" t="str">
        <f t="shared" si="2"/>
        <v>僅依賴1台設備，須確認故障/排修時之備援製程</v>
      </c>
      <c r="X46" s="73" t="s">
        <v>589</v>
      </c>
      <c r="Y46" s="73" t="s">
        <v>542</v>
      </c>
      <c r="Z46" s="75">
        <f>IF($D46="",0,IF(COUNTIF($D$5:$D46,$D46)=1,1,0))</f>
        <v>0</v>
      </c>
      <c r="AA46" s="75" t="str">
        <f>IF(Z46=1,SUM($Z$5:$Z46),"")</f>
        <v/>
      </c>
    </row>
    <row r="47" spans="1:27">
      <c r="A47" s="73" t="s">
        <v>558</v>
      </c>
      <c r="B47" s="73" t="s">
        <v>536</v>
      </c>
      <c r="C47" s="73" t="s">
        <v>537</v>
      </c>
      <c r="D47" s="73" t="s">
        <v>593</v>
      </c>
      <c r="E47" s="73" t="s">
        <v>539</v>
      </c>
      <c r="F47" s="64">
        <v>250</v>
      </c>
      <c r="G47" s="64" t="s">
        <v>540</v>
      </c>
      <c r="H47" s="59">
        <v>91</v>
      </c>
      <c r="I47" s="60" t="s">
        <v>241</v>
      </c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71"/>
      <c r="U47" s="64">
        <f t="shared" si="0"/>
        <v>1</v>
      </c>
      <c r="V47" s="73" t="str">
        <f t="shared" si="1"/>
        <v>▲ 單一設備依賴</v>
      </c>
      <c r="W47" s="61" t="str">
        <f t="shared" si="2"/>
        <v>僅依賴1台設備，須確認故障/排修時之備援製程</v>
      </c>
      <c r="X47" s="73" t="s">
        <v>594</v>
      </c>
      <c r="Y47" s="73" t="s">
        <v>542</v>
      </c>
      <c r="Z47" s="75">
        <f>IF($D47="",0,IF(COUNTIF($D$5:$D47,$D47)=1,1,0))</f>
        <v>1</v>
      </c>
      <c r="AA47" s="75">
        <f>IF(Z47=1,SUM($Z$5:$Z47),"")</f>
        <v>9</v>
      </c>
    </row>
    <row r="48" spans="1:27">
      <c r="A48" s="73" t="s">
        <v>558</v>
      </c>
      <c r="B48" s="73" t="s">
        <v>536</v>
      </c>
      <c r="C48" s="73" t="s">
        <v>537</v>
      </c>
      <c r="D48" s="73" t="s">
        <v>593</v>
      </c>
      <c r="E48" s="73" t="s">
        <v>595</v>
      </c>
      <c r="F48" s="64">
        <v>100</v>
      </c>
      <c r="G48" s="64" t="s">
        <v>540</v>
      </c>
      <c r="H48" s="59">
        <v>63</v>
      </c>
      <c r="I48" s="60"/>
      <c r="J48" s="60"/>
      <c r="K48" s="60"/>
      <c r="L48" s="60"/>
      <c r="M48" s="60"/>
      <c r="N48" s="60"/>
      <c r="O48" s="60" t="s">
        <v>74</v>
      </c>
      <c r="P48" s="60"/>
      <c r="Q48" s="60"/>
      <c r="R48" s="60"/>
      <c r="S48" s="60"/>
      <c r="T48" s="71"/>
      <c r="U48" s="64">
        <f t="shared" si="0"/>
        <v>1</v>
      </c>
      <c r="V48" s="73" t="str">
        <f t="shared" si="1"/>
        <v>▲ 單一設備依賴</v>
      </c>
      <c r="W48" s="61" t="str">
        <f t="shared" si="2"/>
        <v>僅依賴1台設備，須確認故障/排修時之備援製程</v>
      </c>
      <c r="X48" s="73" t="s">
        <v>594</v>
      </c>
      <c r="Y48" s="73" t="s">
        <v>542</v>
      </c>
      <c r="Z48" s="75">
        <f>IF($D48="",0,IF(COUNTIF($D$5:$D48,$D48)=1,1,0))</f>
        <v>0</v>
      </c>
      <c r="AA48" s="75" t="str">
        <f>IF(Z48=1,SUM($Z$5:$Z48),"")</f>
        <v/>
      </c>
    </row>
    <row r="49" spans="1:27">
      <c r="A49" s="73" t="s">
        <v>558</v>
      </c>
      <c r="B49" s="73" t="s">
        <v>536</v>
      </c>
      <c r="C49" s="73" t="s">
        <v>537</v>
      </c>
      <c r="D49" s="73" t="s">
        <v>593</v>
      </c>
      <c r="E49" s="73" t="s">
        <v>596</v>
      </c>
      <c r="F49" s="64">
        <v>6</v>
      </c>
      <c r="G49" s="64" t="s">
        <v>540</v>
      </c>
      <c r="H49" s="59">
        <v>100</v>
      </c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71" t="s">
        <v>74</v>
      </c>
      <c r="U49" s="64">
        <f t="shared" si="0"/>
        <v>0</v>
      </c>
      <c r="V49" s="73" t="str">
        <f t="shared" si="1"/>
        <v>○ 免調理</v>
      </c>
      <c r="W49" s="61" t="str">
        <f t="shared" si="2"/>
        <v>免調理半成品（外購/僅切配等），不列入設備風險評估</v>
      </c>
      <c r="X49" s="73" t="s">
        <v>594</v>
      </c>
      <c r="Y49" s="73" t="s">
        <v>542</v>
      </c>
      <c r="Z49" s="75">
        <f>IF($D49="",0,IF(COUNTIF($D$5:$D49,$D49)=1,1,0))</f>
        <v>0</v>
      </c>
      <c r="AA49" s="75" t="str">
        <f>IF(Z49=1,SUM($Z$5:$Z49),"")</f>
        <v/>
      </c>
    </row>
    <row r="50" spans="1:27">
      <c r="A50" s="73" t="s">
        <v>558</v>
      </c>
      <c r="B50" s="73" t="s">
        <v>536</v>
      </c>
      <c r="C50" s="73" t="s">
        <v>537</v>
      </c>
      <c r="D50" s="73" t="s">
        <v>593</v>
      </c>
      <c r="E50" s="73" t="s">
        <v>597</v>
      </c>
      <c r="F50" s="64">
        <v>98</v>
      </c>
      <c r="G50" s="64" t="s">
        <v>540</v>
      </c>
      <c r="H50" s="59">
        <v>68</v>
      </c>
      <c r="I50" s="60"/>
      <c r="J50" s="60"/>
      <c r="K50" s="60"/>
      <c r="L50" s="60"/>
      <c r="M50" s="60"/>
      <c r="N50" s="60"/>
      <c r="O50" s="60" t="s">
        <v>242</v>
      </c>
      <c r="P50" s="60"/>
      <c r="Q50" s="60"/>
      <c r="R50" s="60"/>
      <c r="S50" s="60"/>
      <c r="T50" s="71"/>
      <c r="U50" s="64">
        <f t="shared" si="0"/>
        <v>1</v>
      </c>
      <c r="V50" s="73" t="str">
        <f t="shared" si="1"/>
        <v>▲ 單一設備依賴</v>
      </c>
      <c r="W50" s="61" t="str">
        <f t="shared" si="2"/>
        <v>僅依賴1台設備，須確認故障/排修時之備援製程</v>
      </c>
      <c r="X50" s="73" t="s">
        <v>594</v>
      </c>
      <c r="Y50" s="73" t="s">
        <v>542</v>
      </c>
      <c r="Z50" s="75">
        <f>IF($D50="",0,IF(COUNTIF($D$5:$D50,$D50)=1,1,0))</f>
        <v>0</v>
      </c>
      <c r="AA50" s="75" t="str">
        <f>IF(Z50=1,SUM($Z$5:$Z50),"")</f>
        <v/>
      </c>
    </row>
    <row r="51" spans="1:27">
      <c r="A51" s="73" t="s">
        <v>558</v>
      </c>
      <c r="B51" s="73" t="s">
        <v>536</v>
      </c>
      <c r="C51" s="73" t="s">
        <v>537</v>
      </c>
      <c r="D51" s="73" t="s">
        <v>593</v>
      </c>
      <c r="E51" s="73" t="s">
        <v>598</v>
      </c>
      <c r="F51" s="64">
        <v>10</v>
      </c>
      <c r="G51" s="64" t="s">
        <v>540</v>
      </c>
      <c r="H51" s="59">
        <v>51</v>
      </c>
      <c r="I51" s="60"/>
      <c r="J51" s="60"/>
      <c r="K51" s="60"/>
      <c r="L51" s="60"/>
      <c r="M51" s="60"/>
      <c r="N51" s="60"/>
      <c r="O51" s="60" t="s">
        <v>242</v>
      </c>
      <c r="P51" s="60"/>
      <c r="Q51" s="60"/>
      <c r="R51" s="60"/>
      <c r="S51" s="60"/>
      <c r="T51" s="71"/>
      <c r="U51" s="64">
        <f t="shared" si="0"/>
        <v>1</v>
      </c>
      <c r="V51" s="73" t="str">
        <f t="shared" si="1"/>
        <v>▲ 單一設備依賴</v>
      </c>
      <c r="W51" s="61" t="str">
        <f t="shared" si="2"/>
        <v>僅依賴1台設備，須確認故障/排修時之備援製程</v>
      </c>
      <c r="X51" s="73" t="s">
        <v>594</v>
      </c>
      <c r="Y51" s="73" t="s">
        <v>542</v>
      </c>
      <c r="Z51" s="75">
        <f>IF($D51="",0,IF(COUNTIF($D$5:$D51,$D51)=1,1,0))</f>
        <v>0</v>
      </c>
      <c r="AA51" s="75" t="str">
        <f>IF(Z51=1,SUM($Z$5:$Z51),"")</f>
        <v/>
      </c>
    </row>
    <row r="52" spans="1:27">
      <c r="A52" s="73" t="s">
        <v>558</v>
      </c>
      <c r="B52" s="73" t="s">
        <v>536</v>
      </c>
      <c r="C52" s="73" t="s">
        <v>537</v>
      </c>
      <c r="D52" s="73" t="s">
        <v>593</v>
      </c>
      <c r="E52" s="73" t="s">
        <v>599</v>
      </c>
      <c r="F52" s="64">
        <v>19</v>
      </c>
      <c r="G52" s="64" t="s">
        <v>540</v>
      </c>
      <c r="H52" s="59">
        <v>52</v>
      </c>
      <c r="I52" s="60"/>
      <c r="J52" s="60"/>
      <c r="K52" s="60"/>
      <c r="L52" s="60"/>
      <c r="M52" s="60"/>
      <c r="N52" s="60"/>
      <c r="O52" s="60" t="s">
        <v>242</v>
      </c>
      <c r="P52" s="60"/>
      <c r="Q52" s="60"/>
      <c r="R52" s="60"/>
      <c r="S52" s="60"/>
      <c r="T52" s="71"/>
      <c r="U52" s="64">
        <f t="shared" si="0"/>
        <v>1</v>
      </c>
      <c r="V52" s="73" t="str">
        <f t="shared" si="1"/>
        <v>▲ 單一設備依賴</v>
      </c>
      <c r="W52" s="61" t="str">
        <f t="shared" si="2"/>
        <v>僅依賴1台設備，須確認故障/排修時之備援製程</v>
      </c>
      <c r="X52" s="73" t="s">
        <v>594</v>
      </c>
      <c r="Y52" s="73" t="s">
        <v>542</v>
      </c>
      <c r="Z52" s="75">
        <f>IF($D52="",0,IF(COUNTIF($D$5:$D52,$D52)=1,1,0))</f>
        <v>0</v>
      </c>
      <c r="AA52" s="75" t="str">
        <f>IF(Z52=1,SUM($Z$5:$Z52),"")</f>
        <v/>
      </c>
    </row>
    <row r="53" spans="1:27">
      <c r="A53" s="73" t="s">
        <v>558</v>
      </c>
      <c r="B53" s="73" t="s">
        <v>536</v>
      </c>
      <c r="C53" s="73" t="s">
        <v>537</v>
      </c>
      <c r="D53" s="73" t="s">
        <v>593</v>
      </c>
      <c r="E53" s="73" t="s">
        <v>600</v>
      </c>
      <c r="F53" s="64">
        <v>1</v>
      </c>
      <c r="G53" s="64" t="s">
        <v>540</v>
      </c>
      <c r="H53" s="59">
        <v>61</v>
      </c>
      <c r="I53" s="60"/>
      <c r="J53" s="60"/>
      <c r="K53" s="60"/>
      <c r="L53" s="60"/>
      <c r="M53" s="60"/>
      <c r="N53" s="60"/>
      <c r="O53" s="60" t="s">
        <v>243</v>
      </c>
      <c r="P53" s="60"/>
      <c r="Q53" s="60"/>
      <c r="R53" s="60"/>
      <c r="S53" s="60"/>
      <c r="T53" s="71"/>
      <c r="U53" s="64">
        <f t="shared" si="0"/>
        <v>1</v>
      </c>
      <c r="V53" s="73" t="str">
        <f t="shared" si="1"/>
        <v>▲ 單一設備依賴</v>
      </c>
      <c r="W53" s="61" t="str">
        <f t="shared" si="2"/>
        <v>僅依賴1台設備，須確認故障/排修時之備援製程</v>
      </c>
      <c r="X53" s="73" t="s">
        <v>594</v>
      </c>
      <c r="Y53" s="73" t="s">
        <v>542</v>
      </c>
      <c r="Z53" s="75">
        <f>IF($D53="",0,IF(COUNTIF($D$5:$D53,$D53)=1,1,0))</f>
        <v>0</v>
      </c>
      <c r="AA53" s="75" t="str">
        <f>IF(Z53=1,SUM($Z$5:$Z53),"")</f>
        <v/>
      </c>
    </row>
    <row r="54" spans="1:27">
      <c r="A54" s="73" t="s">
        <v>535</v>
      </c>
      <c r="B54" s="73" t="s">
        <v>536</v>
      </c>
      <c r="C54" s="73" t="s">
        <v>537</v>
      </c>
      <c r="D54" s="73" t="s">
        <v>601</v>
      </c>
      <c r="E54" s="73" t="s">
        <v>550</v>
      </c>
      <c r="F54" s="64">
        <v>215</v>
      </c>
      <c r="G54" s="64" t="s">
        <v>540</v>
      </c>
      <c r="H54" s="72">
        <v>93.5</v>
      </c>
      <c r="I54" s="60" t="s">
        <v>242</v>
      </c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71"/>
      <c r="U54" s="64">
        <f t="shared" si="0"/>
        <v>1</v>
      </c>
      <c r="V54" s="73" t="str">
        <f t="shared" si="1"/>
        <v>▲ 單一設備依賴</v>
      </c>
      <c r="W54" s="61" t="str">
        <f t="shared" si="2"/>
        <v>僅依賴1台設備，須確認故障/排修時之備援製程</v>
      </c>
      <c r="X54" s="73" t="s">
        <v>602</v>
      </c>
      <c r="Y54" s="73" t="s">
        <v>542</v>
      </c>
      <c r="Z54" s="75">
        <f>IF($D54="",0,IF(COUNTIF($D$5:$D54,$D54)=1,1,0))</f>
        <v>1</v>
      </c>
      <c r="AA54" s="75">
        <f>IF(Z54=1,SUM($Z$5:$Z54),"")</f>
        <v>10</v>
      </c>
    </row>
    <row r="55" spans="1:27">
      <c r="A55" s="73" t="s">
        <v>535</v>
      </c>
      <c r="B55" s="73" t="s">
        <v>536</v>
      </c>
      <c r="C55" s="73" t="s">
        <v>537</v>
      </c>
      <c r="D55" s="73" t="s">
        <v>601</v>
      </c>
      <c r="E55" s="73" t="s">
        <v>603</v>
      </c>
      <c r="F55" s="64">
        <v>105</v>
      </c>
      <c r="G55" s="64" t="s">
        <v>540</v>
      </c>
      <c r="H55" s="72">
        <v>52.7</v>
      </c>
      <c r="I55" s="60"/>
      <c r="J55" s="60"/>
      <c r="K55" s="60"/>
      <c r="L55" s="60"/>
      <c r="M55" s="60"/>
      <c r="N55" s="60"/>
      <c r="O55" s="60" t="s">
        <v>244</v>
      </c>
      <c r="P55" s="60"/>
      <c r="Q55" s="60"/>
      <c r="R55" s="60"/>
      <c r="S55" s="60"/>
      <c r="T55" s="71"/>
      <c r="U55" s="64">
        <f t="shared" si="0"/>
        <v>1</v>
      </c>
      <c r="V55" s="73" t="str">
        <f t="shared" si="1"/>
        <v>▲ 單一設備依賴</v>
      </c>
      <c r="W55" s="61" t="str">
        <f t="shared" si="2"/>
        <v>僅依賴1台設備，須確認故障/排修時之備援製程</v>
      </c>
      <c r="X55" s="73" t="s">
        <v>602</v>
      </c>
      <c r="Y55" s="73" t="s">
        <v>542</v>
      </c>
      <c r="Z55" s="75">
        <f>IF($D55="",0,IF(COUNTIF($D$5:$D55,$D55)=1,1,0))</f>
        <v>0</v>
      </c>
      <c r="AA55" s="75" t="str">
        <f>IF(Z55=1,SUM($Z$5:$Z55),"")</f>
        <v/>
      </c>
    </row>
    <row r="56" spans="1:27">
      <c r="A56" s="73" t="s">
        <v>535</v>
      </c>
      <c r="B56" s="73" t="s">
        <v>536</v>
      </c>
      <c r="C56" s="73" t="s">
        <v>537</v>
      </c>
      <c r="D56" s="73" t="s">
        <v>601</v>
      </c>
      <c r="E56" s="73" t="s">
        <v>604</v>
      </c>
      <c r="F56" s="64">
        <v>8</v>
      </c>
      <c r="G56" s="64" t="s">
        <v>540</v>
      </c>
      <c r="H56" s="72">
        <v>52.3</v>
      </c>
      <c r="I56" s="60"/>
      <c r="J56" s="60"/>
      <c r="K56" s="60"/>
      <c r="L56" s="60"/>
      <c r="M56" s="60"/>
      <c r="N56" s="60"/>
      <c r="O56" s="60" t="s">
        <v>245</v>
      </c>
      <c r="P56" s="60"/>
      <c r="Q56" s="60"/>
      <c r="R56" s="60"/>
      <c r="S56" s="60"/>
      <c r="T56" s="71"/>
      <c r="U56" s="64">
        <f t="shared" si="0"/>
        <v>1</v>
      </c>
      <c r="V56" s="73" t="str">
        <f t="shared" si="1"/>
        <v>▲ 單一設備依賴</v>
      </c>
      <c r="W56" s="61" t="str">
        <f t="shared" si="2"/>
        <v>僅依賴1台設備，須確認故障/排修時之備援製程</v>
      </c>
      <c r="X56" s="73" t="s">
        <v>602</v>
      </c>
      <c r="Y56" s="73" t="s">
        <v>542</v>
      </c>
      <c r="Z56" s="75">
        <f>IF($D56="",0,IF(COUNTIF($D$5:$D56,$D56)=1,1,0))</f>
        <v>0</v>
      </c>
      <c r="AA56" s="75" t="str">
        <f>IF(Z56=1,SUM($Z$5:$Z56),"")</f>
        <v/>
      </c>
    </row>
    <row r="57" spans="1:27">
      <c r="A57" s="73" t="s">
        <v>535</v>
      </c>
      <c r="B57" s="73" t="s">
        <v>536</v>
      </c>
      <c r="C57" s="73" t="s">
        <v>537</v>
      </c>
      <c r="D57" s="73" t="s">
        <v>601</v>
      </c>
      <c r="E57" s="73" t="s">
        <v>605</v>
      </c>
      <c r="F57" s="64">
        <v>36</v>
      </c>
      <c r="G57" s="64" t="s">
        <v>540</v>
      </c>
      <c r="H57" s="72">
        <v>51.8</v>
      </c>
      <c r="I57" s="60"/>
      <c r="J57" s="60"/>
      <c r="K57" s="60"/>
      <c r="L57" s="60"/>
      <c r="M57" s="60"/>
      <c r="N57" s="60"/>
      <c r="O57" s="60" t="s">
        <v>242</v>
      </c>
      <c r="P57" s="60"/>
      <c r="Q57" s="60"/>
      <c r="R57" s="60"/>
      <c r="S57" s="60"/>
      <c r="T57" s="71"/>
      <c r="U57" s="64">
        <f t="shared" si="0"/>
        <v>1</v>
      </c>
      <c r="V57" s="73" t="str">
        <f t="shared" si="1"/>
        <v>▲ 單一設備依賴</v>
      </c>
      <c r="W57" s="61" t="str">
        <f t="shared" si="2"/>
        <v>僅依賴1台設備，須確認故障/排修時之備援製程</v>
      </c>
      <c r="X57" s="73" t="s">
        <v>602</v>
      </c>
      <c r="Y57" s="73" t="s">
        <v>542</v>
      </c>
      <c r="Z57" s="75">
        <f>IF($D57="",0,IF(COUNTIF($D$5:$D57,$D57)=1,1,0))</f>
        <v>0</v>
      </c>
      <c r="AA57" s="75" t="str">
        <f>IF(Z57=1,SUM($Z$5:$Z57),"")</f>
        <v/>
      </c>
    </row>
    <row r="58" spans="1:27">
      <c r="A58" s="73" t="s">
        <v>535</v>
      </c>
      <c r="B58" s="73" t="s">
        <v>536</v>
      </c>
      <c r="C58" s="73" t="s">
        <v>537</v>
      </c>
      <c r="D58" s="73" t="s">
        <v>601</v>
      </c>
      <c r="E58" s="73" t="s">
        <v>606</v>
      </c>
      <c r="F58" s="64">
        <v>6</v>
      </c>
      <c r="G58" s="64" t="s">
        <v>540</v>
      </c>
      <c r="H58" s="72">
        <v>61</v>
      </c>
      <c r="I58" s="60"/>
      <c r="J58" s="60"/>
      <c r="K58" s="60"/>
      <c r="L58" s="60"/>
      <c r="M58" s="60"/>
      <c r="N58" s="60"/>
      <c r="O58" s="60" t="s">
        <v>242</v>
      </c>
      <c r="P58" s="60"/>
      <c r="Q58" s="60"/>
      <c r="R58" s="60"/>
      <c r="S58" s="60"/>
      <c r="T58" s="71"/>
      <c r="U58" s="64">
        <f t="shared" si="0"/>
        <v>1</v>
      </c>
      <c r="V58" s="73" t="str">
        <f t="shared" si="1"/>
        <v>▲ 單一設備依賴</v>
      </c>
      <c r="W58" s="61" t="str">
        <f t="shared" si="2"/>
        <v>僅依賴1台設備，須確認故障/排修時之備援製程</v>
      </c>
      <c r="X58" s="73" t="s">
        <v>602</v>
      </c>
      <c r="Y58" s="73" t="s">
        <v>542</v>
      </c>
      <c r="Z58" s="75">
        <f>IF($D58="",0,IF(COUNTIF($D$5:$D58,$D58)=1,1,0))</f>
        <v>0</v>
      </c>
      <c r="AA58" s="75" t="str">
        <f>IF(Z58=1,SUM($Z$5:$Z58),"")</f>
        <v/>
      </c>
    </row>
    <row r="59" spans="1:27">
      <c r="A59" s="73" t="s">
        <v>535</v>
      </c>
      <c r="B59" s="73" t="s">
        <v>536</v>
      </c>
      <c r="C59" s="73" t="s">
        <v>537</v>
      </c>
      <c r="D59" s="73" t="s">
        <v>601</v>
      </c>
      <c r="E59" s="73" t="s">
        <v>600</v>
      </c>
      <c r="F59" s="64">
        <v>1</v>
      </c>
      <c r="G59" s="64" t="s">
        <v>540</v>
      </c>
      <c r="H59" s="72">
        <v>60</v>
      </c>
      <c r="I59" s="60"/>
      <c r="J59" s="60"/>
      <c r="K59" s="60"/>
      <c r="L59" s="60"/>
      <c r="M59" s="60"/>
      <c r="N59" s="60"/>
      <c r="O59" s="60" t="s">
        <v>242</v>
      </c>
      <c r="P59" s="60"/>
      <c r="Q59" s="60"/>
      <c r="R59" s="60"/>
      <c r="S59" s="60"/>
      <c r="T59" s="71"/>
      <c r="U59" s="64">
        <f t="shared" si="0"/>
        <v>1</v>
      </c>
      <c r="V59" s="73" t="str">
        <f t="shared" si="1"/>
        <v>▲ 單一設備依賴</v>
      </c>
      <c r="W59" s="61" t="str">
        <f t="shared" si="2"/>
        <v>僅依賴1台設備，須確認故障/排修時之備援製程</v>
      </c>
      <c r="X59" s="73" t="s">
        <v>602</v>
      </c>
      <c r="Y59" s="73" t="s">
        <v>542</v>
      </c>
      <c r="Z59" s="75">
        <f>IF($D59="",0,IF(COUNTIF($D$5:$D59,$D59)=1,1,0))</f>
        <v>0</v>
      </c>
      <c r="AA59" s="75" t="str">
        <f>IF(Z59=1,SUM($Z$5:$Z59),"")</f>
        <v/>
      </c>
    </row>
    <row r="60" spans="1:27">
      <c r="A60" s="73" t="s">
        <v>535</v>
      </c>
      <c r="B60" s="73" t="s">
        <v>536</v>
      </c>
      <c r="C60" s="73" t="s">
        <v>537</v>
      </c>
      <c r="D60" s="73" t="s">
        <v>607</v>
      </c>
      <c r="E60" s="73" t="s">
        <v>539</v>
      </c>
      <c r="F60" s="64">
        <v>220</v>
      </c>
      <c r="G60" s="64" t="s">
        <v>540</v>
      </c>
      <c r="H60" s="72">
        <v>93.5</v>
      </c>
      <c r="I60" s="60" t="s">
        <v>242</v>
      </c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71"/>
      <c r="U60" s="64">
        <f t="shared" si="0"/>
        <v>1</v>
      </c>
      <c r="V60" s="73" t="str">
        <f t="shared" si="1"/>
        <v>▲ 單一設備依賴</v>
      </c>
      <c r="W60" s="61" t="str">
        <f t="shared" si="2"/>
        <v>僅依賴1台設備，須確認故障/排修時之備援製程</v>
      </c>
      <c r="X60" s="73" t="s">
        <v>608</v>
      </c>
      <c r="Y60" s="73" t="s">
        <v>542</v>
      </c>
      <c r="Z60" s="75">
        <f>IF($D60="",0,IF(COUNTIF($D$5:$D60,$D60)=1,1,0))</f>
        <v>1</v>
      </c>
      <c r="AA60" s="75">
        <f>IF(Z60=1,SUM($Z$5:$Z60),"")</f>
        <v>11</v>
      </c>
    </row>
    <row r="61" spans="1:27">
      <c r="A61" s="73" t="s">
        <v>535</v>
      </c>
      <c r="B61" s="73" t="s">
        <v>536</v>
      </c>
      <c r="C61" s="73" t="s">
        <v>537</v>
      </c>
      <c r="D61" s="73" t="s">
        <v>607</v>
      </c>
      <c r="E61" s="73" t="s">
        <v>609</v>
      </c>
      <c r="F61" s="64">
        <v>160</v>
      </c>
      <c r="G61" s="64" t="s">
        <v>540</v>
      </c>
      <c r="H61" s="72">
        <v>64.400000000000006</v>
      </c>
      <c r="I61" s="60"/>
      <c r="J61" s="60"/>
      <c r="K61" s="60"/>
      <c r="L61" s="60"/>
      <c r="M61" s="60"/>
      <c r="N61" s="60"/>
      <c r="O61" s="60" t="s">
        <v>242</v>
      </c>
      <c r="P61" s="60"/>
      <c r="Q61" s="60"/>
      <c r="R61" s="60"/>
      <c r="S61" s="60"/>
      <c r="T61" s="71"/>
      <c r="U61" s="64">
        <f t="shared" si="0"/>
        <v>1</v>
      </c>
      <c r="V61" s="73" t="str">
        <f t="shared" si="1"/>
        <v>▲ 單一設備依賴</v>
      </c>
      <c r="W61" s="61" t="str">
        <f t="shared" si="2"/>
        <v>僅依賴1台設備，須確認故障/排修時之備援製程</v>
      </c>
      <c r="X61" s="73" t="s">
        <v>608</v>
      </c>
      <c r="Y61" s="73" t="s">
        <v>542</v>
      </c>
      <c r="Z61" s="75">
        <f>IF($D61="",0,IF(COUNTIF($D$5:$D61,$D61)=1,1,0))</f>
        <v>0</v>
      </c>
      <c r="AA61" s="75" t="str">
        <f>IF(Z61=1,SUM($Z$5:$Z61),"")</f>
        <v/>
      </c>
    </row>
    <row r="62" spans="1:27">
      <c r="A62" s="73" t="s">
        <v>535</v>
      </c>
      <c r="B62" s="73" t="s">
        <v>536</v>
      </c>
      <c r="C62" s="73" t="s">
        <v>537</v>
      </c>
      <c r="D62" s="73" t="s">
        <v>607</v>
      </c>
      <c r="E62" s="73" t="s">
        <v>610</v>
      </c>
      <c r="F62" s="64">
        <v>1</v>
      </c>
      <c r="G62" s="64" t="s">
        <v>545</v>
      </c>
      <c r="H62" s="72">
        <v>39</v>
      </c>
      <c r="I62" s="60"/>
      <c r="J62" s="60"/>
      <c r="K62" s="60" t="s">
        <v>243</v>
      </c>
      <c r="L62" s="60"/>
      <c r="M62" s="60"/>
      <c r="N62" s="60"/>
      <c r="O62" s="60"/>
      <c r="P62" s="60"/>
      <c r="Q62" s="60"/>
      <c r="R62" s="60"/>
      <c r="S62" s="60"/>
      <c r="T62" s="71"/>
      <c r="U62" s="64">
        <f t="shared" si="0"/>
        <v>1</v>
      </c>
      <c r="V62" s="73" t="str">
        <f t="shared" si="1"/>
        <v>▲ 單一設備依賴</v>
      </c>
      <c r="W62" s="61" t="str">
        <f t="shared" si="2"/>
        <v>僅依賴1台設備，須確認故障/排修時之備援製程</v>
      </c>
      <c r="X62" s="73" t="s">
        <v>608</v>
      </c>
      <c r="Y62" s="73" t="s">
        <v>542</v>
      </c>
      <c r="Z62" s="75">
        <f>IF($D62="",0,IF(COUNTIF($D$5:$D62,$D62)=1,1,0))</f>
        <v>0</v>
      </c>
      <c r="AA62" s="75" t="str">
        <f>IF(Z62=1,SUM($Z$5:$Z62),"")</f>
        <v/>
      </c>
    </row>
    <row r="63" spans="1:27">
      <c r="A63" s="73" t="s">
        <v>535</v>
      </c>
      <c r="B63" s="73" t="s">
        <v>536</v>
      </c>
      <c r="C63" s="73" t="s">
        <v>537</v>
      </c>
      <c r="D63" s="73" t="s">
        <v>607</v>
      </c>
      <c r="E63" s="73" t="s">
        <v>606</v>
      </c>
      <c r="F63" s="64">
        <v>5</v>
      </c>
      <c r="G63" s="64" t="s">
        <v>540</v>
      </c>
      <c r="H63" s="72">
        <v>62.5</v>
      </c>
      <c r="I63" s="60"/>
      <c r="J63" s="60"/>
      <c r="K63" s="60"/>
      <c r="L63" s="60"/>
      <c r="M63" s="60"/>
      <c r="N63" s="60"/>
      <c r="O63" s="60" t="s">
        <v>242</v>
      </c>
      <c r="P63" s="60"/>
      <c r="Q63" s="60"/>
      <c r="R63" s="60"/>
      <c r="S63" s="60"/>
      <c r="T63" s="71"/>
      <c r="U63" s="64">
        <f t="shared" si="0"/>
        <v>1</v>
      </c>
      <c r="V63" s="73" t="str">
        <f t="shared" si="1"/>
        <v>▲ 單一設備依賴</v>
      </c>
      <c r="W63" s="61" t="str">
        <f t="shared" si="2"/>
        <v>僅依賴1台設備，須確認故障/排修時之備援製程</v>
      </c>
      <c r="X63" s="73" t="s">
        <v>608</v>
      </c>
      <c r="Y63" s="73" t="s">
        <v>542</v>
      </c>
      <c r="Z63" s="75">
        <f>IF($D63="",0,IF(COUNTIF($D$5:$D63,$D63)=1,1,0))</f>
        <v>0</v>
      </c>
      <c r="AA63" s="75" t="str">
        <f>IF(Z63=1,SUM($Z$5:$Z63),"")</f>
        <v/>
      </c>
    </row>
    <row r="64" spans="1:27">
      <c r="A64" s="73" t="s">
        <v>535</v>
      </c>
      <c r="B64" s="73" t="s">
        <v>536</v>
      </c>
      <c r="C64" s="73" t="s">
        <v>537</v>
      </c>
      <c r="D64" s="73" t="s">
        <v>611</v>
      </c>
      <c r="E64" s="73" t="s">
        <v>539</v>
      </c>
      <c r="F64" s="64">
        <v>220</v>
      </c>
      <c r="G64" s="64" t="s">
        <v>540</v>
      </c>
      <c r="H64" s="72">
        <v>92.8</v>
      </c>
      <c r="I64" s="60" t="s">
        <v>242</v>
      </c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71"/>
      <c r="U64" s="64">
        <f t="shared" si="0"/>
        <v>1</v>
      </c>
      <c r="V64" s="73" t="str">
        <f t="shared" si="1"/>
        <v>▲ 單一設備依賴</v>
      </c>
      <c r="W64" s="61" t="str">
        <f t="shared" si="2"/>
        <v>僅依賴1台設備，須確認故障/排修時之備援製程</v>
      </c>
      <c r="X64" s="73" t="s">
        <v>612</v>
      </c>
      <c r="Y64" s="73" t="s">
        <v>542</v>
      </c>
      <c r="Z64" s="75">
        <f>IF($D64="",0,IF(COUNTIF($D$5:$D64,$D64)=1,1,0))</f>
        <v>1</v>
      </c>
      <c r="AA64" s="75">
        <f>IF(Z64=1,SUM($Z$5:$Z64),"")</f>
        <v>12</v>
      </c>
    </row>
    <row r="65" spans="1:27">
      <c r="A65" s="73" t="s">
        <v>535</v>
      </c>
      <c r="B65" s="73" t="s">
        <v>536</v>
      </c>
      <c r="C65" s="73" t="s">
        <v>537</v>
      </c>
      <c r="D65" s="73" t="s">
        <v>611</v>
      </c>
      <c r="E65" s="73" t="s">
        <v>613</v>
      </c>
      <c r="F65" s="64">
        <v>10</v>
      </c>
      <c r="G65" s="64" t="s">
        <v>540</v>
      </c>
      <c r="H65" s="72">
        <v>47.6</v>
      </c>
      <c r="I65" s="60"/>
      <c r="J65" s="60"/>
      <c r="K65" s="60"/>
      <c r="L65" s="60"/>
      <c r="M65" s="60"/>
      <c r="N65" s="60"/>
      <c r="O65" s="60" t="s">
        <v>243</v>
      </c>
      <c r="P65" s="60"/>
      <c r="Q65" s="60"/>
      <c r="R65" s="60"/>
      <c r="S65" s="60"/>
      <c r="T65" s="71"/>
      <c r="U65" s="64">
        <f t="shared" si="0"/>
        <v>1</v>
      </c>
      <c r="V65" s="73" t="str">
        <f t="shared" si="1"/>
        <v>▲ 單一設備依賴</v>
      </c>
      <c r="W65" s="61" t="str">
        <f t="shared" si="2"/>
        <v>僅依賴1台設備，須確認故障/排修時之備援製程</v>
      </c>
      <c r="X65" s="73" t="s">
        <v>612</v>
      </c>
      <c r="Y65" s="73" t="s">
        <v>542</v>
      </c>
      <c r="Z65" s="75">
        <f>IF($D65="",0,IF(COUNTIF($D$5:$D65,$D65)=1,1,0))</f>
        <v>0</v>
      </c>
      <c r="AA65" s="75" t="str">
        <f>IF(Z65=1,SUM($Z$5:$Z65),"")</f>
        <v/>
      </c>
    </row>
    <row r="66" spans="1:27">
      <c r="A66" s="73" t="s">
        <v>535</v>
      </c>
      <c r="B66" s="73" t="s">
        <v>536</v>
      </c>
      <c r="C66" s="73" t="s">
        <v>537</v>
      </c>
      <c r="D66" s="73" t="s">
        <v>611</v>
      </c>
      <c r="E66" s="73" t="s">
        <v>614</v>
      </c>
      <c r="F66" s="64">
        <v>145</v>
      </c>
      <c r="G66" s="64" t="s">
        <v>540</v>
      </c>
      <c r="H66" s="72">
        <v>55.9</v>
      </c>
      <c r="I66" s="60"/>
      <c r="J66" s="60"/>
      <c r="K66" s="60"/>
      <c r="L66" s="60"/>
      <c r="M66" s="60"/>
      <c r="N66" s="60"/>
      <c r="O66" s="60" t="s">
        <v>242</v>
      </c>
      <c r="P66" s="60"/>
      <c r="Q66" s="60"/>
      <c r="R66" s="60"/>
      <c r="S66" s="60"/>
      <c r="T66" s="71"/>
      <c r="U66" s="64">
        <f t="shared" ref="U66:U130" si="3">IF($E66="","",COUNTIF($I66:$S66,"V"))</f>
        <v>1</v>
      </c>
      <c r="V66" s="73" t="str">
        <f t="shared" ref="V66:V130" si="4">IF($E66="","",IF(AND($T66="V",$U66&gt;0),"⚠ 勾選矛盾",IF($T66="V","○ 免調理",IF($U66=0,"⚠ 資料缺漏",IF($U66=1,"▲ 單一設備依賴","OK")))))</f>
        <v>▲ 單一設備依賴</v>
      </c>
      <c r="W66" s="61" t="str">
        <f t="shared" ref="W66:W130" si="5">IF($E66="","",IF(AND($T66="V",$U66&gt;0),"「無使用調理設備」不可與設備欄同時勾選，請擇一修正",IF($T66="V","免調理半成品（外購/僅切配等），不列入設備風險評估",IF($U66=0,"未勾選任何設備，請補填或勾選「無使用調理設備」",IF($U66=1,"僅依賴1台設備，須確認故障/排修時之備援製程","無異常")))))</f>
        <v>僅依賴1台設備，須確認故障/排修時之備援製程</v>
      </c>
      <c r="X66" s="73" t="s">
        <v>612</v>
      </c>
      <c r="Y66" s="73" t="s">
        <v>542</v>
      </c>
      <c r="Z66" s="75">
        <f>IF($D66="",0,IF(COUNTIF($D$5:$D66,$D66)=1,1,0))</f>
        <v>0</v>
      </c>
      <c r="AA66" s="75" t="str">
        <f>IF(Z66=1,SUM($Z$5:$Z66),"")</f>
        <v/>
      </c>
    </row>
    <row r="67" spans="1:27">
      <c r="A67" s="73" t="s">
        <v>535</v>
      </c>
      <c r="B67" s="73" t="s">
        <v>536</v>
      </c>
      <c r="C67" s="73" t="s">
        <v>537</v>
      </c>
      <c r="D67" s="73" t="s">
        <v>611</v>
      </c>
      <c r="E67" s="73" t="s">
        <v>615</v>
      </c>
      <c r="F67" s="64">
        <v>5</v>
      </c>
      <c r="G67" s="64" t="s">
        <v>545</v>
      </c>
      <c r="H67" s="72">
        <v>500</v>
      </c>
      <c r="I67" s="60"/>
      <c r="J67" s="60"/>
      <c r="K67" s="60"/>
      <c r="L67" s="60"/>
      <c r="M67" s="60"/>
      <c r="N67" s="60" t="s">
        <v>242</v>
      </c>
      <c r="O67" s="60"/>
      <c r="P67" s="60"/>
      <c r="Q67" s="60"/>
      <c r="R67" s="60"/>
      <c r="S67" s="60"/>
      <c r="T67" s="71"/>
      <c r="U67" s="64">
        <f t="shared" si="3"/>
        <v>1</v>
      </c>
      <c r="V67" s="73" t="str">
        <f t="shared" si="4"/>
        <v>▲ 單一設備依賴</v>
      </c>
      <c r="W67" s="61" t="str">
        <f t="shared" si="5"/>
        <v>僅依賴1台設備，須確認故障/排修時之備援製程</v>
      </c>
      <c r="X67" s="73" t="s">
        <v>612</v>
      </c>
      <c r="Y67" s="73" t="s">
        <v>542</v>
      </c>
      <c r="Z67" s="75">
        <f>IF($D67="",0,IF(COUNTIF($D$5:$D67,$D67)=1,1,0))</f>
        <v>0</v>
      </c>
      <c r="AA67" s="75" t="str">
        <f>IF(Z67=1,SUM($Z$5:$Z67),"")</f>
        <v/>
      </c>
    </row>
    <row r="68" spans="1:27">
      <c r="A68" s="73" t="s">
        <v>535</v>
      </c>
      <c r="B68" s="73" t="s">
        <v>536</v>
      </c>
      <c r="C68" s="73" t="s">
        <v>537</v>
      </c>
      <c r="D68" s="73" t="s">
        <v>611</v>
      </c>
      <c r="E68" s="73" t="s">
        <v>616</v>
      </c>
      <c r="F68" s="64">
        <v>6</v>
      </c>
      <c r="G68" s="64" t="s">
        <v>540</v>
      </c>
      <c r="H68" s="72">
        <v>75</v>
      </c>
      <c r="I68" s="60"/>
      <c r="J68" s="60"/>
      <c r="K68" s="60"/>
      <c r="L68" s="60"/>
      <c r="M68" s="60"/>
      <c r="N68" s="60"/>
      <c r="O68" s="60" t="s">
        <v>242</v>
      </c>
      <c r="P68" s="60"/>
      <c r="Q68" s="60"/>
      <c r="R68" s="60"/>
      <c r="S68" s="60"/>
      <c r="T68" s="71"/>
      <c r="U68" s="64">
        <f t="shared" si="3"/>
        <v>1</v>
      </c>
      <c r="V68" s="73" t="str">
        <f t="shared" si="4"/>
        <v>▲ 單一設備依賴</v>
      </c>
      <c r="W68" s="61" t="str">
        <f t="shared" si="5"/>
        <v>僅依賴1台設備，須確認故障/排修時之備援製程</v>
      </c>
      <c r="X68" s="73" t="s">
        <v>612</v>
      </c>
      <c r="Y68" s="73" t="s">
        <v>542</v>
      </c>
      <c r="Z68" s="75">
        <f>IF($D68="",0,IF(COUNTIF($D$5:$D68,$D68)=1,1,0))</f>
        <v>0</v>
      </c>
      <c r="AA68" s="75" t="str">
        <f>IF(Z68=1,SUM($Z$5:$Z68),"")</f>
        <v/>
      </c>
    </row>
    <row r="69" spans="1:27">
      <c r="A69" s="73" t="s">
        <v>535</v>
      </c>
      <c r="B69" s="73" t="s">
        <v>536</v>
      </c>
      <c r="C69" s="73" t="s">
        <v>537</v>
      </c>
      <c r="D69" s="73" t="s">
        <v>611</v>
      </c>
      <c r="E69" s="73" t="s">
        <v>617</v>
      </c>
      <c r="F69" s="64">
        <v>0.2</v>
      </c>
      <c r="G69" s="64" t="s">
        <v>540</v>
      </c>
      <c r="H69" s="72">
        <v>100</v>
      </c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71" t="s">
        <v>246</v>
      </c>
      <c r="U69" s="64">
        <f t="shared" si="3"/>
        <v>0</v>
      </c>
      <c r="V69" s="73" t="str">
        <f t="shared" si="4"/>
        <v>○ 免調理</v>
      </c>
      <c r="W69" s="61" t="str">
        <f t="shared" si="5"/>
        <v>免調理半成品（外購/僅切配等），不列入設備風險評估</v>
      </c>
      <c r="X69" s="73" t="s">
        <v>612</v>
      </c>
      <c r="Y69" s="73" t="s">
        <v>542</v>
      </c>
      <c r="Z69" s="75">
        <f>IF($D69="",0,IF(COUNTIF($D$5:$D69,$D69)=1,1,0))</f>
        <v>0</v>
      </c>
      <c r="AA69" s="75" t="str">
        <f>IF(Z69=1,SUM($Z$5:$Z69),"")</f>
        <v/>
      </c>
    </row>
    <row r="70" spans="1:27">
      <c r="A70" s="73" t="s">
        <v>535</v>
      </c>
      <c r="B70" s="73" t="s">
        <v>536</v>
      </c>
      <c r="C70" s="73" t="s">
        <v>537</v>
      </c>
      <c r="D70" s="73" t="s">
        <v>618</v>
      </c>
      <c r="E70" s="73" t="s">
        <v>550</v>
      </c>
      <c r="F70" s="64">
        <v>195</v>
      </c>
      <c r="G70" s="64" t="s">
        <v>540</v>
      </c>
      <c r="H70" s="72">
        <v>85</v>
      </c>
      <c r="I70" s="60" t="s">
        <v>242</v>
      </c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71"/>
      <c r="U70" s="64">
        <f t="shared" si="3"/>
        <v>1</v>
      </c>
      <c r="V70" s="73" t="str">
        <f t="shared" si="4"/>
        <v>▲ 單一設備依賴</v>
      </c>
      <c r="W70" s="61" t="str">
        <f t="shared" si="5"/>
        <v>僅依賴1台設備，須確認故障/排修時之備援製程</v>
      </c>
      <c r="X70" s="73" t="s">
        <v>619</v>
      </c>
      <c r="Y70" s="73" t="s">
        <v>542</v>
      </c>
      <c r="Z70" s="75">
        <f>IF($D70="",0,IF(COUNTIF($D$5:$D70,$D70)=1,1,0))</f>
        <v>1</v>
      </c>
      <c r="AA70" s="75">
        <f>IF(Z70=1,SUM($Z$5:$Z70),"")</f>
        <v>13</v>
      </c>
    </row>
    <row r="71" spans="1:27">
      <c r="A71" s="73" t="s">
        <v>535</v>
      </c>
      <c r="B71" s="73" t="s">
        <v>536</v>
      </c>
      <c r="C71" s="73" t="s">
        <v>537</v>
      </c>
      <c r="D71" s="73" t="s">
        <v>618</v>
      </c>
      <c r="E71" s="73" t="s">
        <v>620</v>
      </c>
      <c r="F71" s="64">
        <v>120</v>
      </c>
      <c r="G71" s="64" t="s">
        <v>540</v>
      </c>
      <c r="H71" s="72">
        <v>62</v>
      </c>
      <c r="I71" s="60"/>
      <c r="J71" s="60"/>
      <c r="K71" s="60"/>
      <c r="L71" s="60"/>
      <c r="M71" s="60"/>
      <c r="N71" s="60"/>
      <c r="O71" s="60" t="s">
        <v>242</v>
      </c>
      <c r="P71" s="60"/>
      <c r="Q71" s="60"/>
      <c r="R71" s="60"/>
      <c r="S71" s="60"/>
      <c r="T71" s="71"/>
      <c r="U71" s="64">
        <f t="shared" si="3"/>
        <v>1</v>
      </c>
      <c r="V71" s="73" t="str">
        <f t="shared" si="4"/>
        <v>▲ 單一設備依賴</v>
      </c>
      <c r="W71" s="61" t="str">
        <f t="shared" si="5"/>
        <v>僅依賴1台設備，須確認故障/排修時之備援製程</v>
      </c>
      <c r="X71" s="73" t="s">
        <v>619</v>
      </c>
      <c r="Y71" s="73" t="s">
        <v>542</v>
      </c>
      <c r="Z71" s="75">
        <f>IF($D71="",0,IF(COUNTIF($D$5:$D71,$D71)=1,1,0))</f>
        <v>0</v>
      </c>
      <c r="AA71" s="75" t="str">
        <f>IF(Z71=1,SUM($Z$5:$Z71),"")</f>
        <v/>
      </c>
    </row>
    <row r="72" spans="1:27">
      <c r="A72" s="73" t="s">
        <v>535</v>
      </c>
      <c r="B72" s="73" t="s">
        <v>536</v>
      </c>
      <c r="C72" s="73" t="s">
        <v>537</v>
      </c>
      <c r="D72" s="73" t="s">
        <v>618</v>
      </c>
      <c r="E72" s="73" t="s">
        <v>621</v>
      </c>
      <c r="F72" s="64">
        <v>1</v>
      </c>
      <c r="G72" s="64" t="s">
        <v>545</v>
      </c>
      <c r="H72" s="72">
        <v>78</v>
      </c>
      <c r="I72" s="60"/>
      <c r="J72" s="60"/>
      <c r="K72" s="60" t="s">
        <v>247</v>
      </c>
      <c r="L72" s="60"/>
      <c r="M72" s="60"/>
      <c r="N72" s="60"/>
      <c r="O72" s="60"/>
      <c r="P72" s="60"/>
      <c r="Q72" s="60"/>
      <c r="R72" s="60"/>
      <c r="S72" s="60"/>
      <c r="T72" s="71"/>
      <c r="U72" s="64">
        <f t="shared" si="3"/>
        <v>1</v>
      </c>
      <c r="V72" s="73" t="str">
        <f t="shared" si="4"/>
        <v>▲ 單一設備依賴</v>
      </c>
      <c r="W72" s="61" t="str">
        <f t="shared" si="5"/>
        <v>僅依賴1台設備，須確認故障/排修時之備援製程</v>
      </c>
      <c r="X72" s="73" t="s">
        <v>619</v>
      </c>
      <c r="Y72" s="73" t="s">
        <v>542</v>
      </c>
      <c r="Z72" s="75">
        <f>IF($D72="",0,IF(COUNTIF($D$5:$D72,$D72)=1,1,0))</f>
        <v>0</v>
      </c>
      <c r="AA72" s="75" t="str">
        <f>IF(Z72=1,SUM($Z$5:$Z72),"")</f>
        <v/>
      </c>
    </row>
    <row r="73" spans="1:27">
      <c r="A73" s="73" t="s">
        <v>535</v>
      </c>
      <c r="B73" s="73" t="s">
        <v>536</v>
      </c>
      <c r="C73" s="73" t="s">
        <v>537</v>
      </c>
      <c r="D73" s="73" t="s">
        <v>618</v>
      </c>
      <c r="E73" s="73" t="s">
        <v>620</v>
      </c>
      <c r="F73" s="64">
        <v>12</v>
      </c>
      <c r="G73" s="64" t="s">
        <v>540</v>
      </c>
      <c r="H73" s="72">
        <v>62</v>
      </c>
      <c r="I73" s="60"/>
      <c r="J73" s="60"/>
      <c r="K73" s="60"/>
      <c r="L73" s="60"/>
      <c r="M73" s="60"/>
      <c r="N73" s="60"/>
      <c r="O73" s="60" t="s">
        <v>242</v>
      </c>
      <c r="P73" s="60"/>
      <c r="Q73" s="60"/>
      <c r="R73" s="60"/>
      <c r="S73" s="60"/>
      <c r="T73" s="71"/>
      <c r="U73" s="64">
        <f t="shared" si="3"/>
        <v>1</v>
      </c>
      <c r="V73" s="73" t="str">
        <f t="shared" si="4"/>
        <v>▲ 單一設備依賴</v>
      </c>
      <c r="W73" s="61" t="str">
        <f t="shared" si="5"/>
        <v>僅依賴1台設備，須確認故障/排修時之備援製程</v>
      </c>
      <c r="X73" s="73" t="s">
        <v>619</v>
      </c>
      <c r="Y73" s="73" t="s">
        <v>542</v>
      </c>
      <c r="Z73" s="75">
        <f>IF($D73="",0,IF(COUNTIF($D$5:$D73,$D73)=1,1,0))</f>
        <v>0</v>
      </c>
      <c r="AA73" s="75" t="str">
        <f>IF(Z73=1,SUM($Z$5:$Z73),"")</f>
        <v/>
      </c>
    </row>
    <row r="74" spans="1:27">
      <c r="A74" s="73" t="s">
        <v>535</v>
      </c>
      <c r="B74" s="73" t="s">
        <v>536</v>
      </c>
      <c r="C74" s="73" t="s">
        <v>537</v>
      </c>
      <c r="D74" s="73" t="s">
        <v>618</v>
      </c>
      <c r="E74" s="73" t="s">
        <v>622</v>
      </c>
      <c r="F74" s="64">
        <v>52</v>
      </c>
      <c r="G74" s="64" t="s">
        <v>540</v>
      </c>
      <c r="H74" s="72">
        <v>61</v>
      </c>
      <c r="I74" s="60"/>
      <c r="J74" s="60"/>
      <c r="K74" s="60"/>
      <c r="L74" s="60"/>
      <c r="M74" s="60"/>
      <c r="N74" s="60"/>
      <c r="O74" s="60" t="s">
        <v>242</v>
      </c>
      <c r="P74" s="60"/>
      <c r="Q74" s="60"/>
      <c r="R74" s="60"/>
      <c r="S74" s="60"/>
      <c r="T74" s="71"/>
      <c r="U74" s="64">
        <f t="shared" si="3"/>
        <v>1</v>
      </c>
      <c r="V74" s="73" t="str">
        <f t="shared" si="4"/>
        <v>▲ 單一設備依賴</v>
      </c>
      <c r="W74" s="61" t="str">
        <f t="shared" si="5"/>
        <v>僅依賴1台設備，須確認故障/排修時之備援製程</v>
      </c>
      <c r="X74" s="73" t="s">
        <v>619</v>
      </c>
      <c r="Y74" s="73" t="s">
        <v>542</v>
      </c>
      <c r="Z74" s="75">
        <f>IF($D74="",0,IF(COUNTIF($D$5:$D74,$D74)=1,1,0))</f>
        <v>0</v>
      </c>
      <c r="AA74" s="75" t="str">
        <f>IF(Z74=1,SUM($Z$5:$Z74),"")</f>
        <v/>
      </c>
    </row>
    <row r="75" spans="1:27">
      <c r="A75" s="73" t="s">
        <v>535</v>
      </c>
      <c r="B75" s="73" t="s">
        <v>536</v>
      </c>
      <c r="C75" s="73" t="s">
        <v>537</v>
      </c>
      <c r="D75" s="73" t="s">
        <v>618</v>
      </c>
      <c r="E75" s="73" t="s">
        <v>623</v>
      </c>
      <c r="F75" s="64">
        <v>4</v>
      </c>
      <c r="G75" s="64" t="s">
        <v>540</v>
      </c>
      <c r="H75" s="72">
        <v>60</v>
      </c>
      <c r="I75" s="60"/>
      <c r="J75" s="60"/>
      <c r="K75" s="60"/>
      <c r="L75" s="60"/>
      <c r="M75" s="60"/>
      <c r="N75" s="60"/>
      <c r="O75" s="60" t="s">
        <v>74</v>
      </c>
      <c r="P75" s="60"/>
      <c r="Q75" s="60"/>
      <c r="R75" s="60"/>
      <c r="S75" s="60"/>
      <c r="T75" s="71"/>
      <c r="U75" s="64">
        <f t="shared" si="3"/>
        <v>1</v>
      </c>
      <c r="V75" s="73" t="str">
        <f t="shared" si="4"/>
        <v>▲ 單一設備依賴</v>
      </c>
      <c r="W75" s="61" t="str">
        <f t="shared" si="5"/>
        <v>僅依賴1台設備，須確認故障/排修時之備援製程</v>
      </c>
      <c r="X75" s="73" t="s">
        <v>619</v>
      </c>
      <c r="Y75" s="73" t="s">
        <v>542</v>
      </c>
      <c r="Z75" s="75">
        <f>IF($D75="",0,IF(COUNTIF($D$5:$D75,$D75)=1,1,0))</f>
        <v>0</v>
      </c>
      <c r="AA75" s="75" t="str">
        <f>IF(Z75=1,SUM($Z$5:$Z75),"")</f>
        <v/>
      </c>
    </row>
    <row r="76" spans="1:27" s="27" customFormat="1">
      <c r="A76" s="73" t="s">
        <v>535</v>
      </c>
      <c r="B76" s="73" t="s">
        <v>536</v>
      </c>
      <c r="C76" s="73" t="s">
        <v>537</v>
      </c>
      <c r="D76" s="73" t="s">
        <v>618</v>
      </c>
      <c r="E76" s="73" t="s">
        <v>617</v>
      </c>
      <c r="F76" s="64">
        <v>0.1</v>
      </c>
      <c r="G76" s="64" t="s">
        <v>540</v>
      </c>
      <c r="H76" s="72">
        <v>100</v>
      </c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71" t="s">
        <v>74</v>
      </c>
      <c r="U76" s="64">
        <f t="shared" si="3"/>
        <v>0</v>
      </c>
      <c r="V76" s="73" t="str">
        <f t="shared" si="4"/>
        <v>○ 免調理</v>
      </c>
      <c r="W76" s="61" t="str">
        <f t="shared" si="5"/>
        <v>免調理半成品（外購/僅切配等），不列入設備風險評估</v>
      </c>
      <c r="X76" s="73" t="s">
        <v>619</v>
      </c>
      <c r="Y76" s="73" t="s">
        <v>542</v>
      </c>
      <c r="Z76" s="75"/>
      <c r="AA76" s="75"/>
    </row>
    <row r="77" spans="1:27">
      <c r="A77" s="73" t="s">
        <v>535</v>
      </c>
      <c r="B77" s="73" t="s">
        <v>536</v>
      </c>
      <c r="C77" s="73" t="s">
        <v>537</v>
      </c>
      <c r="D77" s="73" t="s">
        <v>624</v>
      </c>
      <c r="E77" s="73" t="s">
        <v>539</v>
      </c>
      <c r="F77" s="64">
        <v>210</v>
      </c>
      <c r="G77" s="64" t="s">
        <v>540</v>
      </c>
      <c r="H77" s="72">
        <v>92.8</v>
      </c>
      <c r="I77" s="60" t="s">
        <v>248</v>
      </c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71"/>
      <c r="U77" s="64">
        <f t="shared" si="3"/>
        <v>1</v>
      </c>
      <c r="V77" s="73" t="str">
        <f t="shared" si="4"/>
        <v>▲ 單一設備依賴</v>
      </c>
      <c r="W77" s="61" t="str">
        <f t="shared" si="5"/>
        <v>僅依賴1台設備，須確認故障/排修時之備援製程</v>
      </c>
      <c r="X77" s="73" t="s">
        <v>625</v>
      </c>
      <c r="Y77" s="73" t="s">
        <v>542</v>
      </c>
      <c r="Z77" s="75">
        <f>IF($D77="",0,IF(COUNTIF($D$5:$D77,$D77)=1,1,0))</f>
        <v>1</v>
      </c>
      <c r="AA77" s="75">
        <f>IF(Z77=1,SUM($Z$5:$Z77),"")</f>
        <v>14</v>
      </c>
    </row>
    <row r="78" spans="1:27">
      <c r="A78" s="73" t="s">
        <v>535</v>
      </c>
      <c r="B78" s="73" t="s">
        <v>536</v>
      </c>
      <c r="C78" s="73" t="s">
        <v>537</v>
      </c>
      <c r="D78" s="73" t="s">
        <v>624</v>
      </c>
      <c r="E78" s="73" t="s">
        <v>626</v>
      </c>
      <c r="F78" s="64">
        <v>160</v>
      </c>
      <c r="G78" s="64" t="s">
        <v>540</v>
      </c>
      <c r="H78" s="72">
        <v>53</v>
      </c>
      <c r="I78" s="60"/>
      <c r="J78" s="60"/>
      <c r="K78" s="60"/>
      <c r="L78" s="60"/>
      <c r="M78" s="60"/>
      <c r="N78" s="60"/>
      <c r="O78" s="60" t="s">
        <v>242</v>
      </c>
      <c r="P78" s="60"/>
      <c r="Q78" s="60"/>
      <c r="R78" s="60"/>
      <c r="S78" s="60"/>
      <c r="T78" s="71"/>
      <c r="U78" s="64">
        <f t="shared" si="3"/>
        <v>1</v>
      </c>
      <c r="V78" s="73" t="str">
        <f t="shared" si="4"/>
        <v>▲ 單一設備依賴</v>
      </c>
      <c r="W78" s="61" t="str">
        <f t="shared" si="5"/>
        <v>僅依賴1台設備，須確認故障/排修時之備援製程</v>
      </c>
      <c r="X78" s="73" t="s">
        <v>625</v>
      </c>
      <c r="Y78" s="73" t="s">
        <v>542</v>
      </c>
      <c r="Z78" s="75">
        <f>IF($D78="",0,IF(COUNTIF($D$5:$D78,$D78)=1,1,0))</f>
        <v>0</v>
      </c>
      <c r="AA78" s="75" t="str">
        <f>IF(Z78=1,SUM($Z$5:$Z78),"")</f>
        <v/>
      </c>
    </row>
    <row r="79" spans="1:27">
      <c r="A79" s="73" t="s">
        <v>535</v>
      </c>
      <c r="B79" s="73" t="s">
        <v>536</v>
      </c>
      <c r="C79" s="73" t="s">
        <v>537</v>
      </c>
      <c r="D79" s="73" t="s">
        <v>624</v>
      </c>
      <c r="E79" s="73" t="s">
        <v>627</v>
      </c>
      <c r="F79" s="64">
        <v>52</v>
      </c>
      <c r="G79" s="64" t="s">
        <v>540</v>
      </c>
      <c r="H79" s="72">
        <v>18000</v>
      </c>
      <c r="I79" s="60"/>
      <c r="J79" s="60"/>
      <c r="K79" s="60"/>
      <c r="L79" s="60"/>
      <c r="M79" s="60" t="s">
        <v>242</v>
      </c>
      <c r="N79" s="60"/>
      <c r="O79" s="60"/>
      <c r="P79" s="60"/>
      <c r="Q79" s="60"/>
      <c r="R79" s="60"/>
      <c r="S79" s="60"/>
      <c r="T79" s="71"/>
      <c r="U79" s="64">
        <f t="shared" si="3"/>
        <v>1</v>
      </c>
      <c r="V79" s="73" t="str">
        <f t="shared" si="4"/>
        <v>▲ 單一設備依賴</v>
      </c>
      <c r="W79" s="61" t="str">
        <f t="shared" si="5"/>
        <v>僅依賴1台設備，須確認故障/排修時之備援製程</v>
      </c>
      <c r="X79" s="73" t="s">
        <v>625</v>
      </c>
      <c r="Y79" s="73" t="s">
        <v>542</v>
      </c>
      <c r="Z79" s="75">
        <f>IF($D79="",0,IF(COUNTIF($D$5:$D79,$D79)=1,1,0))</f>
        <v>0</v>
      </c>
      <c r="AA79" s="75" t="str">
        <f>IF(Z79=1,SUM($Z$5:$Z79),"")</f>
        <v/>
      </c>
    </row>
    <row r="80" spans="1:27">
      <c r="A80" s="73" t="s">
        <v>535</v>
      </c>
      <c r="B80" s="73" t="s">
        <v>536</v>
      </c>
      <c r="C80" s="73" t="s">
        <v>537</v>
      </c>
      <c r="D80" s="73" t="s">
        <v>624</v>
      </c>
      <c r="E80" s="73" t="s">
        <v>628</v>
      </c>
      <c r="F80" s="64">
        <v>8</v>
      </c>
      <c r="G80" s="64" t="s">
        <v>540</v>
      </c>
      <c r="H80" s="72">
        <v>80</v>
      </c>
      <c r="I80" s="60"/>
      <c r="J80" s="60"/>
      <c r="K80" s="60"/>
      <c r="L80" s="60"/>
      <c r="M80" s="60" t="s">
        <v>242</v>
      </c>
      <c r="N80" s="60"/>
      <c r="O80" s="60"/>
      <c r="P80" s="60"/>
      <c r="Q80" s="60"/>
      <c r="R80" s="60"/>
      <c r="S80" s="60"/>
      <c r="T80" s="71"/>
      <c r="U80" s="64">
        <f t="shared" si="3"/>
        <v>1</v>
      </c>
      <c r="V80" s="73" t="str">
        <f t="shared" si="4"/>
        <v>▲ 單一設備依賴</v>
      </c>
      <c r="W80" s="61" t="str">
        <f t="shared" si="5"/>
        <v>僅依賴1台設備，須確認故障/排修時之備援製程</v>
      </c>
      <c r="X80" s="73" t="s">
        <v>625</v>
      </c>
      <c r="Y80" s="73" t="s">
        <v>542</v>
      </c>
      <c r="Z80" s="75">
        <f>IF($D80="",0,IF(COUNTIF($D$5:$D80,$D80)=1,1,0))</f>
        <v>0</v>
      </c>
      <c r="AA80" s="75" t="str">
        <f>IF(Z80=1,SUM($Z$5:$Z80),"")</f>
        <v/>
      </c>
    </row>
    <row r="81" spans="1:27">
      <c r="A81" s="73" t="s">
        <v>535</v>
      </c>
      <c r="B81" s="73" t="s">
        <v>536</v>
      </c>
      <c r="C81" s="73" t="s">
        <v>537</v>
      </c>
      <c r="D81" s="73" t="s">
        <v>624</v>
      </c>
      <c r="E81" s="73" t="s">
        <v>629</v>
      </c>
      <c r="F81" s="64">
        <v>3</v>
      </c>
      <c r="G81" s="64" t="s">
        <v>545</v>
      </c>
      <c r="H81" s="72">
        <v>200</v>
      </c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71" t="s">
        <v>242</v>
      </c>
      <c r="U81" s="64">
        <f t="shared" si="3"/>
        <v>0</v>
      </c>
      <c r="V81" s="73" t="str">
        <f t="shared" si="4"/>
        <v>○ 免調理</v>
      </c>
      <c r="W81" s="61" t="str">
        <f t="shared" si="5"/>
        <v>免調理半成品（外購/僅切配等），不列入設備風險評估</v>
      </c>
      <c r="X81" s="73" t="s">
        <v>625</v>
      </c>
      <c r="Y81" s="73" t="s">
        <v>542</v>
      </c>
      <c r="Z81" s="75">
        <f>IF($D81="",0,IF(COUNTIF($D$5:$D81,$D81)=1,1,0))</f>
        <v>0</v>
      </c>
      <c r="AA81" s="75" t="str">
        <f>IF(Z81=1,SUM($Z$5:$Z81),"")</f>
        <v/>
      </c>
    </row>
    <row r="82" spans="1:27">
      <c r="A82" s="73" t="s">
        <v>535</v>
      </c>
      <c r="B82" s="73" t="s">
        <v>536</v>
      </c>
      <c r="C82" s="73" t="s">
        <v>537</v>
      </c>
      <c r="D82" s="73" t="s">
        <v>624</v>
      </c>
      <c r="E82" s="73" t="s">
        <v>630</v>
      </c>
      <c r="F82" s="64">
        <v>2</v>
      </c>
      <c r="G82" s="64" t="s">
        <v>540</v>
      </c>
      <c r="H82" s="72">
        <v>50</v>
      </c>
      <c r="I82" s="60"/>
      <c r="J82" s="60"/>
      <c r="K82" s="60" t="s">
        <v>249</v>
      </c>
      <c r="L82" s="60"/>
      <c r="M82" s="60"/>
      <c r="N82" s="60"/>
      <c r="O82" s="60"/>
      <c r="P82" s="60"/>
      <c r="Q82" s="60"/>
      <c r="R82" s="60"/>
      <c r="S82" s="60"/>
      <c r="T82" s="71"/>
      <c r="U82" s="64">
        <f t="shared" si="3"/>
        <v>1</v>
      </c>
      <c r="V82" s="73" t="str">
        <f t="shared" si="4"/>
        <v>▲ 單一設備依賴</v>
      </c>
      <c r="W82" s="61" t="str">
        <f t="shared" si="5"/>
        <v>僅依賴1台設備，須確認故障/排修時之備援製程</v>
      </c>
      <c r="X82" s="73" t="s">
        <v>625</v>
      </c>
      <c r="Y82" s="73" t="s">
        <v>542</v>
      </c>
      <c r="Z82" s="75">
        <f>IF($D82="",0,IF(COUNTIF($D$5:$D82,$D82)=1,1,0))</f>
        <v>0</v>
      </c>
      <c r="AA82" s="75" t="str">
        <f>IF(Z82=1,SUM($Z$5:$Z82),"")</f>
        <v/>
      </c>
    </row>
    <row r="83" spans="1:27">
      <c r="A83" s="73" t="s">
        <v>535</v>
      </c>
      <c r="B83" s="73" t="s">
        <v>536</v>
      </c>
      <c r="C83" s="73" t="s">
        <v>537</v>
      </c>
      <c r="D83" s="73" t="s">
        <v>624</v>
      </c>
      <c r="E83" s="73" t="s">
        <v>631</v>
      </c>
      <c r="F83" s="64">
        <v>8</v>
      </c>
      <c r="G83" s="64" t="s">
        <v>540</v>
      </c>
      <c r="H83" s="72">
        <v>45.7</v>
      </c>
      <c r="I83" s="60"/>
      <c r="J83" s="60"/>
      <c r="K83" s="60"/>
      <c r="L83" s="60"/>
      <c r="M83" s="60" t="s">
        <v>242</v>
      </c>
      <c r="N83" s="60"/>
      <c r="O83" s="60"/>
      <c r="P83" s="60"/>
      <c r="Q83" s="60"/>
      <c r="R83" s="60"/>
      <c r="S83" s="60"/>
      <c r="T83" s="71"/>
      <c r="U83" s="64">
        <f t="shared" si="3"/>
        <v>1</v>
      </c>
      <c r="V83" s="73" t="str">
        <f t="shared" si="4"/>
        <v>▲ 單一設備依賴</v>
      </c>
      <c r="W83" s="61" t="str">
        <f t="shared" si="5"/>
        <v>僅依賴1台設備，須確認故障/排修時之備援製程</v>
      </c>
      <c r="X83" s="73" t="s">
        <v>625</v>
      </c>
      <c r="Y83" s="73" t="s">
        <v>542</v>
      </c>
      <c r="Z83" s="75">
        <f>IF($D83="",0,IF(COUNTIF($D$5:$D83,$D83)=1,1,0))</f>
        <v>0</v>
      </c>
      <c r="AA83" s="75" t="str">
        <f>IF(Z83=1,SUM($Z$5:$Z83),"")</f>
        <v/>
      </c>
    </row>
    <row r="84" spans="1:27">
      <c r="A84" s="73" t="s">
        <v>535</v>
      </c>
      <c r="B84" s="73" t="s">
        <v>536</v>
      </c>
      <c r="C84" s="73" t="s">
        <v>537</v>
      </c>
      <c r="D84" s="73" t="s">
        <v>624</v>
      </c>
      <c r="E84" s="73" t="s">
        <v>632</v>
      </c>
      <c r="F84" s="64">
        <v>2</v>
      </c>
      <c r="G84" s="64" t="s">
        <v>540</v>
      </c>
      <c r="H84" s="72">
        <v>70</v>
      </c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71" t="s">
        <v>242</v>
      </c>
      <c r="U84" s="64">
        <f t="shared" si="3"/>
        <v>0</v>
      </c>
      <c r="V84" s="73" t="str">
        <f t="shared" si="4"/>
        <v>○ 免調理</v>
      </c>
      <c r="W84" s="61" t="str">
        <f t="shared" si="5"/>
        <v>免調理半成品（外購/僅切配等），不列入設備風險評估</v>
      </c>
      <c r="X84" s="73" t="s">
        <v>625</v>
      </c>
      <c r="Y84" s="73" t="s">
        <v>542</v>
      </c>
      <c r="Z84" s="75">
        <f>IF($D84="",0,IF(COUNTIF($D$5:$D84,$D84)=1,1,0))</f>
        <v>0</v>
      </c>
      <c r="AA84" s="75" t="str">
        <f>IF(Z84=1,SUM($Z$5:$Z84),"")</f>
        <v/>
      </c>
    </row>
    <row r="85" spans="1:27">
      <c r="A85" s="73" t="s">
        <v>535</v>
      </c>
      <c r="B85" s="73" t="s">
        <v>536</v>
      </c>
      <c r="C85" s="73" t="s">
        <v>537</v>
      </c>
      <c r="D85" s="73" t="s">
        <v>633</v>
      </c>
      <c r="E85" s="73" t="s">
        <v>539</v>
      </c>
      <c r="F85" s="64">
        <v>210</v>
      </c>
      <c r="G85" s="64" t="s">
        <v>540</v>
      </c>
      <c r="H85" s="72">
        <v>91.7</v>
      </c>
      <c r="I85" s="60" t="s">
        <v>242</v>
      </c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71"/>
      <c r="U85" s="64">
        <f t="shared" si="3"/>
        <v>1</v>
      </c>
      <c r="V85" s="73" t="str">
        <f t="shared" si="4"/>
        <v>▲ 單一設備依賴</v>
      </c>
      <c r="W85" s="61" t="str">
        <f t="shared" si="5"/>
        <v>僅依賴1台設備，須確認故障/排修時之備援製程</v>
      </c>
      <c r="X85" s="73" t="s">
        <v>634</v>
      </c>
      <c r="Y85" s="73" t="s">
        <v>542</v>
      </c>
      <c r="Z85" s="75">
        <f>IF($D85="",0,IF(COUNTIF($D$5:$D85,$D85)=1,1,0))</f>
        <v>1</v>
      </c>
      <c r="AA85" s="75">
        <f>IF(Z85=1,SUM($Z$5:$Z85),"")</f>
        <v>15</v>
      </c>
    </row>
    <row r="86" spans="1:27">
      <c r="A86" s="73" t="s">
        <v>535</v>
      </c>
      <c r="B86" s="73" t="s">
        <v>536</v>
      </c>
      <c r="C86" s="73" t="s">
        <v>537</v>
      </c>
      <c r="D86" s="73" t="s">
        <v>633</v>
      </c>
      <c r="E86" s="73" t="s">
        <v>635</v>
      </c>
      <c r="F86" s="64">
        <v>130</v>
      </c>
      <c r="G86" s="64" t="s">
        <v>540</v>
      </c>
      <c r="H86" s="72">
        <v>57.2</v>
      </c>
      <c r="I86" s="60"/>
      <c r="J86" s="60"/>
      <c r="K86" s="60"/>
      <c r="L86" s="60"/>
      <c r="M86" s="60"/>
      <c r="N86" s="60"/>
      <c r="O86" s="60" t="s">
        <v>242</v>
      </c>
      <c r="P86" s="60"/>
      <c r="Q86" s="60"/>
      <c r="R86" s="60"/>
      <c r="S86" s="60"/>
      <c r="T86" s="71"/>
      <c r="U86" s="64">
        <f t="shared" si="3"/>
        <v>1</v>
      </c>
      <c r="V86" s="73" t="str">
        <f t="shared" si="4"/>
        <v>▲ 單一設備依賴</v>
      </c>
      <c r="W86" s="61" t="str">
        <f t="shared" si="5"/>
        <v>僅依賴1台設備，須確認故障/排修時之備援製程</v>
      </c>
      <c r="X86" s="73" t="s">
        <v>634</v>
      </c>
      <c r="Y86" s="73" t="s">
        <v>542</v>
      </c>
      <c r="Z86" s="75">
        <f>IF($D86="",0,IF(COUNTIF($D$5:$D86,$D86)=1,1,0))</f>
        <v>0</v>
      </c>
      <c r="AA86" s="75" t="str">
        <f>IF(Z86=1,SUM($Z$5:$Z86),"")</f>
        <v/>
      </c>
    </row>
    <row r="87" spans="1:27">
      <c r="A87" s="73" t="s">
        <v>535</v>
      </c>
      <c r="B87" s="73" t="s">
        <v>536</v>
      </c>
      <c r="C87" s="73" t="s">
        <v>537</v>
      </c>
      <c r="D87" s="73" t="s">
        <v>636</v>
      </c>
      <c r="E87" s="73" t="s">
        <v>637</v>
      </c>
      <c r="F87" s="64">
        <v>1</v>
      </c>
      <c r="G87" s="64" t="s">
        <v>545</v>
      </c>
      <c r="H87" s="72">
        <v>200</v>
      </c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71" t="s">
        <v>242</v>
      </c>
      <c r="U87" s="64">
        <f t="shared" si="3"/>
        <v>0</v>
      </c>
      <c r="V87" s="73" t="str">
        <f t="shared" si="4"/>
        <v>○ 免調理</v>
      </c>
      <c r="W87" s="61" t="str">
        <f t="shared" si="5"/>
        <v>免調理半成品（外購/僅切配等），不列入設備風險評估</v>
      </c>
      <c r="X87" s="73" t="s">
        <v>634</v>
      </c>
      <c r="Y87" s="73" t="s">
        <v>542</v>
      </c>
      <c r="Z87" s="75">
        <f>IF($D87="",0,IF(COUNTIF($D$5:$D87,$D87)=1,1,0))</f>
        <v>0</v>
      </c>
      <c r="AA87" s="75" t="str">
        <f>IF(Z87=1,SUM($Z$5:$Z87),"")</f>
        <v/>
      </c>
    </row>
    <row r="88" spans="1:27">
      <c r="A88" s="73" t="s">
        <v>535</v>
      </c>
      <c r="B88" s="73" t="s">
        <v>536</v>
      </c>
      <c r="C88" s="73" t="s">
        <v>537</v>
      </c>
      <c r="D88" s="73" t="s">
        <v>636</v>
      </c>
      <c r="E88" s="73" t="s">
        <v>627</v>
      </c>
      <c r="F88" s="64">
        <v>40</v>
      </c>
      <c r="G88" s="64" t="s">
        <v>540</v>
      </c>
      <c r="H88" s="72">
        <v>18000</v>
      </c>
      <c r="I88" s="60"/>
      <c r="J88" s="60"/>
      <c r="K88" s="60"/>
      <c r="L88" s="60"/>
      <c r="M88" s="60" t="s">
        <v>242</v>
      </c>
      <c r="N88" s="60"/>
      <c r="O88" s="60"/>
      <c r="P88" s="60"/>
      <c r="Q88" s="60"/>
      <c r="R88" s="60"/>
      <c r="S88" s="60"/>
      <c r="T88" s="71"/>
      <c r="U88" s="64">
        <f t="shared" si="3"/>
        <v>1</v>
      </c>
      <c r="V88" s="73" t="str">
        <f t="shared" si="4"/>
        <v>▲ 單一設備依賴</v>
      </c>
      <c r="W88" s="61" t="str">
        <f t="shared" si="5"/>
        <v>僅依賴1台設備，須確認故障/排修時之備援製程</v>
      </c>
      <c r="X88" s="73" t="s">
        <v>634</v>
      </c>
      <c r="Y88" s="73" t="s">
        <v>542</v>
      </c>
      <c r="Z88" s="75">
        <f>IF($D88="",0,IF(COUNTIF($D$5:$D88,$D88)=1,1,0))</f>
        <v>0</v>
      </c>
      <c r="AA88" s="75" t="str">
        <f>IF(Z88=1,SUM($Z$5:$Z88),"")</f>
        <v/>
      </c>
    </row>
    <row r="89" spans="1:27">
      <c r="A89" s="73" t="s">
        <v>535</v>
      </c>
      <c r="B89" s="73" t="s">
        <v>536</v>
      </c>
      <c r="C89" s="73" t="s">
        <v>537</v>
      </c>
      <c r="D89" s="73" t="s">
        <v>636</v>
      </c>
      <c r="E89" s="73" t="s">
        <v>638</v>
      </c>
      <c r="F89" s="64">
        <v>40</v>
      </c>
      <c r="G89" s="64" t="s">
        <v>540</v>
      </c>
      <c r="H89" s="72">
        <v>48.3</v>
      </c>
      <c r="I89" s="60"/>
      <c r="J89" s="60"/>
      <c r="K89" s="60"/>
      <c r="L89" s="60"/>
      <c r="M89" s="60"/>
      <c r="N89" s="60"/>
      <c r="O89" s="60" t="s">
        <v>242</v>
      </c>
      <c r="P89" s="60"/>
      <c r="Q89" s="60"/>
      <c r="R89" s="60"/>
      <c r="S89" s="60"/>
      <c r="T89" s="71"/>
      <c r="U89" s="64">
        <f t="shared" si="3"/>
        <v>1</v>
      </c>
      <c r="V89" s="73" t="str">
        <f t="shared" si="4"/>
        <v>▲ 單一設備依賴</v>
      </c>
      <c r="W89" s="61" t="str">
        <f t="shared" si="5"/>
        <v>僅依賴1台設備，須確認故障/排修時之備援製程</v>
      </c>
      <c r="X89" s="73" t="s">
        <v>634</v>
      </c>
      <c r="Y89" s="73" t="s">
        <v>542</v>
      </c>
      <c r="Z89" s="75">
        <f>IF($D89="",0,IF(COUNTIF($D$5:$D89,$D89)=1,1,0))</f>
        <v>0</v>
      </c>
      <c r="AA89" s="75" t="str">
        <f>IF(Z89=1,SUM($Z$5:$Z89),"")</f>
        <v/>
      </c>
    </row>
    <row r="90" spans="1:27">
      <c r="A90" s="73" t="s">
        <v>535</v>
      </c>
      <c r="B90" s="73" t="s">
        <v>536</v>
      </c>
      <c r="C90" s="73" t="s">
        <v>537</v>
      </c>
      <c r="D90" s="73" t="s">
        <v>636</v>
      </c>
      <c r="E90" s="73" t="s">
        <v>639</v>
      </c>
      <c r="F90" s="64">
        <v>20</v>
      </c>
      <c r="G90" s="64" t="s">
        <v>540</v>
      </c>
      <c r="H90" s="72">
        <v>80</v>
      </c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71" t="s">
        <v>242</v>
      </c>
      <c r="U90" s="64">
        <f t="shared" si="3"/>
        <v>0</v>
      </c>
      <c r="V90" s="73" t="str">
        <f t="shared" si="4"/>
        <v>○ 免調理</v>
      </c>
      <c r="W90" s="61" t="str">
        <f t="shared" si="5"/>
        <v>免調理半成品（外購/僅切配等），不列入設備風險評估</v>
      </c>
      <c r="X90" s="73" t="s">
        <v>634</v>
      </c>
      <c r="Y90" s="73" t="s">
        <v>542</v>
      </c>
      <c r="Z90" s="75">
        <f>IF($D90="",0,IF(COUNTIF($D$5:$D90,$D90)=1,1,0))</f>
        <v>0</v>
      </c>
      <c r="AA90" s="75" t="str">
        <f>IF(Z90=1,SUM($Z$5:$Z90),"")</f>
        <v/>
      </c>
    </row>
    <row r="91" spans="1:27">
      <c r="A91" s="73" t="s">
        <v>535</v>
      </c>
      <c r="B91" s="73" t="s">
        <v>536</v>
      </c>
      <c r="C91" s="73" t="s">
        <v>537</v>
      </c>
      <c r="D91" s="73" t="s">
        <v>636</v>
      </c>
      <c r="E91" s="73" t="s">
        <v>547</v>
      </c>
      <c r="F91" s="64">
        <v>3</v>
      </c>
      <c r="G91" s="64" t="s">
        <v>540</v>
      </c>
      <c r="H91" s="72">
        <v>70</v>
      </c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71" t="s">
        <v>242</v>
      </c>
      <c r="U91" s="64">
        <f t="shared" si="3"/>
        <v>0</v>
      </c>
      <c r="V91" s="73" t="str">
        <f t="shared" si="4"/>
        <v>○ 免調理</v>
      </c>
      <c r="W91" s="61" t="str">
        <f t="shared" si="5"/>
        <v>免調理半成品（外購/僅切配等），不列入設備風險評估</v>
      </c>
      <c r="X91" s="73" t="s">
        <v>634</v>
      </c>
      <c r="Y91" s="73" t="s">
        <v>542</v>
      </c>
      <c r="Z91" s="75">
        <f>IF($D91="",0,IF(COUNTIF($D$5:$D91,$D91)=1,1,0))</f>
        <v>0</v>
      </c>
      <c r="AA91" s="75" t="str">
        <f>IF(Z91=1,SUM($Z$5:$Z91),"")</f>
        <v/>
      </c>
    </row>
    <row r="92" spans="1:27">
      <c r="A92" s="73" t="s">
        <v>535</v>
      </c>
      <c r="B92" s="73" t="s">
        <v>536</v>
      </c>
      <c r="C92" s="73" t="s">
        <v>537</v>
      </c>
      <c r="D92" s="73" t="s">
        <v>640</v>
      </c>
      <c r="E92" s="73" t="s">
        <v>539</v>
      </c>
      <c r="F92" s="64">
        <v>240</v>
      </c>
      <c r="G92" s="64" t="s">
        <v>540</v>
      </c>
      <c r="H92" s="72">
        <v>93</v>
      </c>
      <c r="I92" s="60" t="s">
        <v>242</v>
      </c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71"/>
      <c r="U92" s="64">
        <f t="shared" si="3"/>
        <v>1</v>
      </c>
      <c r="V92" s="73" t="str">
        <f t="shared" si="4"/>
        <v>▲ 單一設備依賴</v>
      </c>
      <c r="W92" s="61" t="str">
        <f t="shared" si="5"/>
        <v>僅依賴1台設備，須確認故障/排修時之備援製程</v>
      </c>
      <c r="X92" s="73" t="s">
        <v>641</v>
      </c>
      <c r="Y92" s="73" t="s">
        <v>542</v>
      </c>
      <c r="Z92" s="75">
        <f>IF($D92="",0,IF(COUNTIF($D$5:$D92,$D92)=1,1,0))</f>
        <v>1</v>
      </c>
      <c r="AA92" s="75">
        <f>IF(Z92=1,SUM($Z$5:$Z92),"")</f>
        <v>16</v>
      </c>
    </row>
    <row r="93" spans="1:27">
      <c r="A93" s="73" t="s">
        <v>535</v>
      </c>
      <c r="B93" s="73" t="s">
        <v>536</v>
      </c>
      <c r="C93" s="73" t="s">
        <v>537</v>
      </c>
      <c r="D93" s="73" t="s">
        <v>642</v>
      </c>
      <c r="E93" s="73" t="s">
        <v>643</v>
      </c>
      <c r="F93" s="64">
        <v>70</v>
      </c>
      <c r="G93" s="64" t="s">
        <v>540</v>
      </c>
      <c r="H93" s="72">
        <v>46</v>
      </c>
      <c r="I93" s="60"/>
      <c r="J93" s="60"/>
      <c r="K93" s="60"/>
      <c r="L93" s="60"/>
      <c r="M93" s="60"/>
      <c r="N93" s="60"/>
      <c r="O93" s="60" t="s">
        <v>242</v>
      </c>
      <c r="P93" s="60"/>
      <c r="Q93" s="60"/>
      <c r="R93" s="60"/>
      <c r="S93" s="60"/>
      <c r="T93" s="71"/>
      <c r="U93" s="64">
        <f t="shared" si="3"/>
        <v>1</v>
      </c>
      <c r="V93" s="73" t="str">
        <f t="shared" si="4"/>
        <v>▲ 單一設備依賴</v>
      </c>
      <c r="W93" s="61" t="str">
        <f t="shared" si="5"/>
        <v>僅依賴1台設備，須確認故障/排修時之備援製程</v>
      </c>
      <c r="X93" s="73" t="s">
        <v>641</v>
      </c>
      <c r="Y93" s="73" t="s">
        <v>542</v>
      </c>
      <c r="Z93" s="75">
        <f>IF($D93="",0,IF(COUNTIF($D$5:$D93,$D93)=1,1,0))</f>
        <v>0</v>
      </c>
      <c r="AA93" s="75" t="str">
        <f>IF(Z93=1,SUM($Z$5:$Z93),"")</f>
        <v/>
      </c>
    </row>
    <row r="94" spans="1:27">
      <c r="A94" s="73" t="s">
        <v>535</v>
      </c>
      <c r="B94" s="73" t="s">
        <v>536</v>
      </c>
      <c r="C94" s="73" t="s">
        <v>537</v>
      </c>
      <c r="D94" s="73" t="s">
        <v>644</v>
      </c>
      <c r="E94" s="73" t="s">
        <v>645</v>
      </c>
      <c r="F94" s="64">
        <v>50</v>
      </c>
      <c r="G94" s="64" t="s">
        <v>540</v>
      </c>
      <c r="H94" s="72">
        <v>57</v>
      </c>
      <c r="I94" s="60"/>
      <c r="J94" s="60"/>
      <c r="K94" s="60" t="s">
        <v>250</v>
      </c>
      <c r="L94" s="60"/>
      <c r="M94" s="60"/>
      <c r="N94" s="60"/>
      <c r="O94" s="60"/>
      <c r="P94" s="60"/>
      <c r="Q94" s="60"/>
      <c r="R94" s="60"/>
      <c r="S94" s="60"/>
      <c r="T94" s="71"/>
      <c r="U94" s="64">
        <f t="shared" si="3"/>
        <v>1</v>
      </c>
      <c r="V94" s="73" t="str">
        <f t="shared" si="4"/>
        <v>▲ 單一設備依賴</v>
      </c>
      <c r="W94" s="61" t="str">
        <f t="shared" si="5"/>
        <v>僅依賴1台設備，須確認故障/排修時之備援製程</v>
      </c>
      <c r="X94" s="73" t="s">
        <v>641</v>
      </c>
      <c r="Y94" s="73" t="s">
        <v>542</v>
      </c>
      <c r="Z94" s="75">
        <f>IF($D94="",0,IF(COUNTIF($D$5:$D94,$D94)=1,1,0))</f>
        <v>0</v>
      </c>
      <c r="AA94" s="75" t="str">
        <f>IF(Z94=1,SUM($Z$5:$Z94),"")</f>
        <v/>
      </c>
    </row>
    <row r="95" spans="1:27">
      <c r="A95" s="73" t="s">
        <v>535</v>
      </c>
      <c r="B95" s="73" t="s">
        <v>536</v>
      </c>
      <c r="C95" s="73" t="s">
        <v>537</v>
      </c>
      <c r="D95" s="73" t="s">
        <v>642</v>
      </c>
      <c r="E95" s="73" t="s">
        <v>646</v>
      </c>
      <c r="F95" s="64">
        <v>90</v>
      </c>
      <c r="G95" s="64" t="s">
        <v>540</v>
      </c>
      <c r="H95" s="72">
        <v>53</v>
      </c>
      <c r="I95" s="60"/>
      <c r="J95" s="60"/>
      <c r="K95" s="60"/>
      <c r="L95" s="60"/>
      <c r="M95" s="60"/>
      <c r="N95" s="60"/>
      <c r="O95" s="60" t="s">
        <v>242</v>
      </c>
      <c r="P95" s="60"/>
      <c r="Q95" s="60"/>
      <c r="R95" s="60"/>
      <c r="S95" s="60"/>
      <c r="T95" s="71"/>
      <c r="U95" s="64">
        <f t="shared" si="3"/>
        <v>1</v>
      </c>
      <c r="V95" s="73" t="str">
        <f t="shared" si="4"/>
        <v>▲ 單一設備依賴</v>
      </c>
      <c r="W95" s="61" t="str">
        <f t="shared" si="5"/>
        <v>僅依賴1台設備，須確認故障/排修時之備援製程</v>
      </c>
      <c r="X95" s="73" t="s">
        <v>641</v>
      </c>
      <c r="Y95" s="73" t="s">
        <v>542</v>
      </c>
      <c r="Z95" s="75">
        <f>IF($D95="",0,IF(COUNTIF($D$5:$D95,$D95)=1,1,0))</f>
        <v>0</v>
      </c>
      <c r="AA95" s="75" t="str">
        <f>IF(Z95=1,SUM($Z$5:$Z95),"")</f>
        <v/>
      </c>
    </row>
    <row r="96" spans="1:27">
      <c r="A96" s="73" t="s">
        <v>535</v>
      </c>
      <c r="B96" s="73" t="s">
        <v>536</v>
      </c>
      <c r="C96" s="73" t="s">
        <v>537</v>
      </c>
      <c r="D96" s="73" t="s">
        <v>642</v>
      </c>
      <c r="E96" s="73" t="s">
        <v>647</v>
      </c>
      <c r="F96" s="64">
        <v>35</v>
      </c>
      <c r="G96" s="64" t="s">
        <v>540</v>
      </c>
      <c r="H96" s="72">
        <v>59</v>
      </c>
      <c r="I96" s="60"/>
      <c r="J96" s="60"/>
      <c r="K96" s="60" t="s">
        <v>251</v>
      </c>
      <c r="L96" s="60" t="s">
        <v>242</v>
      </c>
      <c r="M96" s="60"/>
      <c r="N96" s="60"/>
      <c r="O96" s="60"/>
      <c r="P96" s="60"/>
      <c r="Q96" s="60"/>
      <c r="R96" s="60"/>
      <c r="S96" s="60"/>
      <c r="T96" s="71"/>
      <c r="U96" s="64">
        <f t="shared" si="3"/>
        <v>2</v>
      </c>
      <c r="V96" s="73" t="str">
        <f t="shared" si="4"/>
        <v>OK</v>
      </c>
      <c r="W96" s="61" t="str">
        <f t="shared" si="5"/>
        <v>無異常</v>
      </c>
      <c r="X96" s="73" t="s">
        <v>641</v>
      </c>
      <c r="Y96" s="73" t="s">
        <v>542</v>
      </c>
      <c r="Z96" s="75">
        <f>IF($D96="",0,IF(COUNTIF($D$5:$D96,$D96)=1,1,0))</f>
        <v>0</v>
      </c>
      <c r="AA96" s="75" t="str">
        <f>IF(Z96=1,SUM($Z$5:$Z96),"")</f>
        <v/>
      </c>
    </row>
    <row r="97" spans="1:27">
      <c r="A97" s="73" t="s">
        <v>535</v>
      </c>
      <c r="B97" s="73" t="s">
        <v>536</v>
      </c>
      <c r="C97" s="73" t="s">
        <v>537</v>
      </c>
      <c r="D97" s="73" t="s">
        <v>642</v>
      </c>
      <c r="E97" s="73" t="s">
        <v>566</v>
      </c>
      <c r="F97" s="64">
        <v>0.2</v>
      </c>
      <c r="G97" s="64" t="s">
        <v>540</v>
      </c>
      <c r="H97" s="72">
        <v>100</v>
      </c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71" t="s">
        <v>242</v>
      </c>
      <c r="U97" s="64">
        <f t="shared" si="3"/>
        <v>0</v>
      </c>
      <c r="V97" s="73" t="str">
        <f t="shared" si="4"/>
        <v>○ 免調理</v>
      </c>
      <c r="W97" s="61" t="str">
        <f t="shared" si="5"/>
        <v>免調理半成品（外購/僅切配等），不列入設備風險評估</v>
      </c>
      <c r="X97" s="73" t="s">
        <v>641</v>
      </c>
      <c r="Y97" s="73" t="s">
        <v>542</v>
      </c>
      <c r="Z97" s="75">
        <f>IF($D97="",0,IF(COUNTIF($D$5:$D97,$D97)=1,1,0))</f>
        <v>0</v>
      </c>
      <c r="AA97" s="75" t="str">
        <f>IF(Z97=1,SUM($Z$5:$Z97),"")</f>
        <v/>
      </c>
    </row>
    <row r="98" spans="1:27">
      <c r="A98" s="73" t="s">
        <v>535</v>
      </c>
      <c r="B98" s="73" t="s">
        <v>536</v>
      </c>
      <c r="C98" s="73" t="s">
        <v>537</v>
      </c>
      <c r="D98" s="73" t="s">
        <v>642</v>
      </c>
      <c r="E98" s="73" t="s">
        <v>547</v>
      </c>
      <c r="F98" s="64">
        <v>1</v>
      </c>
      <c r="G98" s="64" t="s">
        <v>540</v>
      </c>
      <c r="H98" s="72">
        <v>70</v>
      </c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71" t="s">
        <v>242</v>
      </c>
      <c r="U98" s="64">
        <f t="shared" si="3"/>
        <v>0</v>
      </c>
      <c r="V98" s="73" t="str">
        <f t="shared" si="4"/>
        <v>○ 免調理</v>
      </c>
      <c r="W98" s="61" t="str">
        <f t="shared" si="5"/>
        <v>免調理半成品（外購/僅切配等），不列入設備風險評估</v>
      </c>
      <c r="X98" s="73" t="s">
        <v>641</v>
      </c>
      <c r="Y98" s="73" t="s">
        <v>542</v>
      </c>
      <c r="Z98" s="75">
        <f>IF($D98="",0,IF(COUNTIF($D$5:$D98,$D98)=1,1,0))</f>
        <v>0</v>
      </c>
      <c r="AA98" s="75" t="str">
        <f>IF(Z98=1,SUM($Z$5:$Z98),"")</f>
        <v/>
      </c>
    </row>
    <row r="99" spans="1:27">
      <c r="A99" s="73" t="s">
        <v>558</v>
      </c>
      <c r="B99" s="73" t="s">
        <v>536</v>
      </c>
      <c r="C99" s="73" t="s">
        <v>537</v>
      </c>
      <c r="D99" s="73" t="s">
        <v>648</v>
      </c>
      <c r="E99" s="73" t="s">
        <v>550</v>
      </c>
      <c r="F99" s="64">
        <v>240</v>
      </c>
      <c r="G99" s="64" t="s">
        <v>540</v>
      </c>
      <c r="H99" s="72">
        <v>85</v>
      </c>
      <c r="I99" s="60" t="s">
        <v>242</v>
      </c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71"/>
      <c r="U99" s="64">
        <f t="shared" si="3"/>
        <v>1</v>
      </c>
      <c r="V99" s="73" t="str">
        <f t="shared" si="4"/>
        <v>▲ 單一設備依賴</v>
      </c>
      <c r="W99" s="61" t="str">
        <f t="shared" si="5"/>
        <v>僅依賴1台設備，須確認故障/排修時之備援製程</v>
      </c>
      <c r="X99" s="73" t="s">
        <v>649</v>
      </c>
      <c r="Y99" s="73" t="s">
        <v>542</v>
      </c>
      <c r="Z99" s="75">
        <f>IF($D99="",0,IF(COUNTIF($D$5:$D99,$D99)=1,1,0))</f>
        <v>1</v>
      </c>
      <c r="AA99" s="75">
        <f>IF(Z99=1,SUM($Z$5:$Z99),"")</f>
        <v>17</v>
      </c>
    </row>
    <row r="100" spans="1:27">
      <c r="A100" s="73" t="s">
        <v>558</v>
      </c>
      <c r="B100" s="73" t="s">
        <v>536</v>
      </c>
      <c r="C100" s="73" t="s">
        <v>537</v>
      </c>
      <c r="D100" s="73" t="s">
        <v>650</v>
      </c>
      <c r="E100" s="73" t="s">
        <v>651</v>
      </c>
      <c r="F100" s="64">
        <v>73</v>
      </c>
      <c r="G100" s="64" t="s">
        <v>540</v>
      </c>
      <c r="H100" s="72">
        <v>60</v>
      </c>
      <c r="I100" s="60"/>
      <c r="J100" s="60"/>
      <c r="K100" s="60"/>
      <c r="L100" s="60"/>
      <c r="M100" s="60"/>
      <c r="N100" s="60"/>
      <c r="O100" s="60" t="s">
        <v>242</v>
      </c>
      <c r="P100" s="60"/>
      <c r="Q100" s="60"/>
      <c r="R100" s="60"/>
      <c r="S100" s="60"/>
      <c r="T100" s="71"/>
      <c r="U100" s="64">
        <f t="shared" si="3"/>
        <v>1</v>
      </c>
      <c r="V100" s="73" t="str">
        <f t="shared" si="4"/>
        <v>▲ 單一設備依賴</v>
      </c>
      <c r="W100" s="61" t="str">
        <f t="shared" si="5"/>
        <v>僅依賴1台設備，須確認故障/排修時之備援製程</v>
      </c>
      <c r="X100" s="73" t="s">
        <v>649</v>
      </c>
      <c r="Y100" s="73" t="s">
        <v>542</v>
      </c>
      <c r="Z100" s="75">
        <f>IF($D100="",0,IF(COUNTIF($D$5:$D100,$D100)=1,1,0))</f>
        <v>0</v>
      </c>
      <c r="AA100" s="75" t="str">
        <f>IF(Z100=1,SUM($Z$5:$Z100),"")</f>
        <v/>
      </c>
    </row>
    <row r="101" spans="1:27">
      <c r="A101" s="73" t="s">
        <v>558</v>
      </c>
      <c r="B101" s="73" t="s">
        <v>536</v>
      </c>
      <c r="C101" s="73" t="s">
        <v>537</v>
      </c>
      <c r="D101" s="73" t="s">
        <v>650</v>
      </c>
      <c r="E101" s="73" t="s">
        <v>652</v>
      </c>
      <c r="F101" s="64">
        <v>50</v>
      </c>
      <c r="G101" s="64" t="s">
        <v>540</v>
      </c>
      <c r="H101" s="72">
        <v>52</v>
      </c>
      <c r="I101" s="60"/>
      <c r="J101" s="60"/>
      <c r="K101" s="60"/>
      <c r="L101" s="60"/>
      <c r="M101" s="60"/>
      <c r="N101" s="60"/>
      <c r="O101" s="60" t="s">
        <v>243</v>
      </c>
      <c r="P101" s="60"/>
      <c r="Q101" s="60"/>
      <c r="R101" s="60"/>
      <c r="S101" s="60"/>
      <c r="T101" s="71"/>
      <c r="U101" s="64">
        <f t="shared" si="3"/>
        <v>1</v>
      </c>
      <c r="V101" s="73" t="str">
        <f t="shared" si="4"/>
        <v>▲ 單一設備依賴</v>
      </c>
      <c r="W101" s="61" t="str">
        <f t="shared" si="5"/>
        <v>僅依賴1台設備，須確認故障/排修時之備援製程</v>
      </c>
      <c r="X101" s="73" t="s">
        <v>649</v>
      </c>
      <c r="Y101" s="73" t="s">
        <v>542</v>
      </c>
      <c r="Z101" s="75">
        <f>IF($D101="",0,IF(COUNTIF($D$5:$D101,$D101)=1,1,0))</f>
        <v>0</v>
      </c>
      <c r="AA101" s="75" t="str">
        <f>IF(Z101=1,SUM($Z$5:$Z101),"")</f>
        <v/>
      </c>
    </row>
    <row r="102" spans="1:27">
      <c r="A102" s="73" t="s">
        <v>558</v>
      </c>
      <c r="B102" s="73" t="s">
        <v>536</v>
      </c>
      <c r="C102" s="73" t="s">
        <v>537</v>
      </c>
      <c r="D102" s="73" t="s">
        <v>650</v>
      </c>
      <c r="E102" s="73" t="s">
        <v>653</v>
      </c>
      <c r="F102" s="64">
        <v>85</v>
      </c>
      <c r="G102" s="64" t="s">
        <v>540</v>
      </c>
      <c r="H102" s="72">
        <v>70</v>
      </c>
      <c r="I102" s="60"/>
      <c r="J102" s="60"/>
      <c r="K102" s="60"/>
      <c r="L102" s="60"/>
      <c r="M102" s="60"/>
      <c r="N102" s="60"/>
      <c r="O102" s="60"/>
      <c r="P102" s="60" t="s">
        <v>242</v>
      </c>
      <c r="Q102" s="60"/>
      <c r="R102" s="60"/>
      <c r="S102" s="60"/>
      <c r="T102" s="71"/>
      <c r="U102" s="64">
        <f t="shared" si="3"/>
        <v>1</v>
      </c>
      <c r="V102" s="73" t="str">
        <f t="shared" si="4"/>
        <v>▲ 單一設備依賴</v>
      </c>
      <c r="W102" s="61" t="str">
        <f t="shared" si="5"/>
        <v>僅依賴1台設備，須確認故障/排修時之備援製程</v>
      </c>
      <c r="X102" s="73" t="s">
        <v>649</v>
      </c>
      <c r="Y102" s="73" t="s">
        <v>542</v>
      </c>
      <c r="Z102" s="75">
        <f>IF($D102="",0,IF(COUNTIF($D$5:$D102,$D102)=1,1,0))</f>
        <v>0</v>
      </c>
      <c r="AA102" s="75" t="str">
        <f>IF(Z102=1,SUM($Z$5:$Z102),"")</f>
        <v/>
      </c>
    </row>
    <row r="103" spans="1:27">
      <c r="A103" s="73" t="s">
        <v>558</v>
      </c>
      <c r="B103" s="73" t="s">
        <v>536</v>
      </c>
      <c r="C103" s="73" t="s">
        <v>537</v>
      </c>
      <c r="D103" s="73" t="s">
        <v>650</v>
      </c>
      <c r="E103" s="73" t="s">
        <v>654</v>
      </c>
      <c r="F103" s="64">
        <v>0.2</v>
      </c>
      <c r="G103" s="64" t="s">
        <v>540</v>
      </c>
      <c r="H103" s="72">
        <v>100</v>
      </c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71" t="s">
        <v>74</v>
      </c>
      <c r="U103" s="64">
        <f t="shared" si="3"/>
        <v>0</v>
      </c>
      <c r="V103" s="73" t="str">
        <f t="shared" si="4"/>
        <v>○ 免調理</v>
      </c>
      <c r="W103" s="61" t="str">
        <f t="shared" si="5"/>
        <v>免調理半成品（外購/僅切配等），不列入設備風險評估</v>
      </c>
      <c r="X103" s="73" t="s">
        <v>649</v>
      </c>
      <c r="Y103" s="73" t="s">
        <v>542</v>
      </c>
      <c r="Z103" s="75">
        <f>IF($D103="",0,IF(COUNTIF($D$5:$D103,$D103)=1,1,0))</f>
        <v>0</v>
      </c>
      <c r="AA103" s="75" t="str">
        <f>IF(Z103=1,SUM($Z$5:$Z103),"")</f>
        <v/>
      </c>
    </row>
    <row r="104" spans="1:27">
      <c r="A104" s="73" t="s">
        <v>558</v>
      </c>
      <c r="B104" s="73" t="s">
        <v>536</v>
      </c>
      <c r="C104" s="73" t="s">
        <v>537</v>
      </c>
      <c r="D104" s="73" t="s">
        <v>650</v>
      </c>
      <c r="E104" s="73" t="s">
        <v>655</v>
      </c>
      <c r="F104" s="64">
        <v>2</v>
      </c>
      <c r="G104" s="64" t="s">
        <v>540</v>
      </c>
      <c r="H104" s="72">
        <v>76</v>
      </c>
      <c r="I104" s="60"/>
      <c r="J104" s="60"/>
      <c r="K104" s="60"/>
      <c r="L104" s="60"/>
      <c r="M104" s="60"/>
      <c r="N104" s="60"/>
      <c r="O104" s="60" t="s">
        <v>243</v>
      </c>
      <c r="P104" s="60"/>
      <c r="Q104" s="60"/>
      <c r="R104" s="60"/>
      <c r="S104" s="60"/>
      <c r="T104" s="71"/>
      <c r="U104" s="64">
        <f t="shared" si="3"/>
        <v>1</v>
      </c>
      <c r="V104" s="73" t="str">
        <f t="shared" si="4"/>
        <v>▲ 單一設備依賴</v>
      </c>
      <c r="W104" s="61" t="str">
        <f t="shared" si="5"/>
        <v>僅依賴1台設備，須確認故障/排修時之備援製程</v>
      </c>
      <c r="X104" s="73" t="s">
        <v>649</v>
      </c>
      <c r="Y104" s="73" t="s">
        <v>542</v>
      </c>
      <c r="Z104" s="75">
        <f>IF($D104="",0,IF(COUNTIF($D$5:$D104,$D104)=1,1,0))</f>
        <v>0</v>
      </c>
      <c r="AA104" s="75" t="str">
        <f>IF(Z104=1,SUM($Z$5:$Z104),"")</f>
        <v/>
      </c>
    </row>
    <row r="105" spans="1:27">
      <c r="A105" s="73" t="s">
        <v>558</v>
      </c>
      <c r="B105" s="73" t="s">
        <v>536</v>
      </c>
      <c r="C105" s="73" t="s">
        <v>537</v>
      </c>
      <c r="D105" s="73" t="s">
        <v>650</v>
      </c>
      <c r="E105" s="73" t="s">
        <v>656</v>
      </c>
      <c r="F105" s="64">
        <v>3</v>
      </c>
      <c r="G105" s="64" t="s">
        <v>540</v>
      </c>
      <c r="H105" s="72">
        <v>55.3</v>
      </c>
      <c r="I105" s="60"/>
      <c r="J105" s="60"/>
      <c r="K105" s="60"/>
      <c r="L105" s="60"/>
      <c r="M105" s="60"/>
      <c r="N105" s="60"/>
      <c r="O105" s="60" t="s">
        <v>74</v>
      </c>
      <c r="P105" s="60"/>
      <c r="Q105" s="60"/>
      <c r="R105" s="60"/>
      <c r="S105" s="60"/>
      <c r="T105" s="71"/>
      <c r="U105" s="64">
        <f t="shared" si="3"/>
        <v>1</v>
      </c>
      <c r="V105" s="73" t="str">
        <f t="shared" si="4"/>
        <v>▲ 單一設備依賴</v>
      </c>
      <c r="W105" s="61" t="str">
        <f t="shared" si="5"/>
        <v>僅依賴1台設備，須確認故障/排修時之備援製程</v>
      </c>
      <c r="X105" s="73" t="s">
        <v>649</v>
      </c>
      <c r="Y105" s="73" t="s">
        <v>542</v>
      </c>
      <c r="Z105" s="75">
        <f>IF($D105="",0,IF(COUNTIF($D$5:$D105,$D105)=1,1,0))</f>
        <v>0</v>
      </c>
      <c r="AA105" s="75" t="str">
        <f>IF(Z105=1,SUM($Z$5:$Z105),"")</f>
        <v/>
      </c>
    </row>
    <row r="106" spans="1:27">
      <c r="A106" s="73" t="s">
        <v>558</v>
      </c>
      <c r="B106" s="73" t="s">
        <v>536</v>
      </c>
      <c r="C106" s="73" t="s">
        <v>537</v>
      </c>
      <c r="D106" s="73" t="s">
        <v>657</v>
      </c>
      <c r="E106" s="73" t="s">
        <v>539</v>
      </c>
      <c r="F106" s="64">
        <v>200</v>
      </c>
      <c r="G106" s="64" t="s">
        <v>540</v>
      </c>
      <c r="H106" s="72">
        <v>92.8</v>
      </c>
      <c r="I106" s="60" t="s">
        <v>252</v>
      </c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71"/>
      <c r="U106" s="64">
        <f t="shared" si="3"/>
        <v>1</v>
      </c>
      <c r="V106" s="73" t="str">
        <f t="shared" si="4"/>
        <v>▲ 單一設備依賴</v>
      </c>
      <c r="W106" s="61" t="str">
        <f t="shared" si="5"/>
        <v>僅依賴1台設備，須確認故障/排修時之備援製程</v>
      </c>
      <c r="X106" s="73" t="s">
        <v>658</v>
      </c>
      <c r="Y106" s="73" t="s">
        <v>542</v>
      </c>
      <c r="Z106" s="75">
        <f>IF($D106="",0,IF(COUNTIF($D$5:$D106,$D106)=1,1,0))</f>
        <v>1</v>
      </c>
      <c r="AA106" s="75">
        <f>IF(Z106=1,SUM($Z$5:$Z106),"")</f>
        <v>18</v>
      </c>
    </row>
    <row r="107" spans="1:27">
      <c r="A107" s="73" t="s">
        <v>558</v>
      </c>
      <c r="B107" s="73" t="s">
        <v>536</v>
      </c>
      <c r="C107" s="73" t="s">
        <v>537</v>
      </c>
      <c r="D107" s="73" t="s">
        <v>657</v>
      </c>
      <c r="E107" s="73" t="s">
        <v>659</v>
      </c>
      <c r="F107" s="64">
        <v>120</v>
      </c>
      <c r="G107" s="64" t="s">
        <v>540</v>
      </c>
      <c r="H107" s="72">
        <v>56.7</v>
      </c>
      <c r="I107" s="60"/>
      <c r="J107" s="60"/>
      <c r="K107" s="60"/>
      <c r="L107" s="60"/>
      <c r="M107" s="60"/>
      <c r="N107" s="60"/>
      <c r="O107" s="60" t="s">
        <v>253</v>
      </c>
      <c r="P107" s="60"/>
      <c r="Q107" s="60"/>
      <c r="R107" s="60"/>
      <c r="S107" s="60"/>
      <c r="T107" s="71"/>
      <c r="U107" s="64">
        <f t="shared" si="3"/>
        <v>1</v>
      </c>
      <c r="V107" s="73" t="str">
        <f t="shared" si="4"/>
        <v>▲ 單一設備依賴</v>
      </c>
      <c r="W107" s="61" t="str">
        <f t="shared" si="5"/>
        <v>僅依賴1台設備，須確認故障/排修時之備援製程</v>
      </c>
      <c r="X107" s="73" t="s">
        <v>658</v>
      </c>
      <c r="Y107" s="73" t="s">
        <v>542</v>
      </c>
      <c r="Z107" s="75">
        <f>IF($D107="",0,IF(COUNTIF($D$5:$D107,$D107)=1,1,0))</f>
        <v>0</v>
      </c>
      <c r="AA107" s="75" t="str">
        <f>IF(Z107=1,SUM($Z$5:$Z107),"")</f>
        <v/>
      </c>
    </row>
    <row r="108" spans="1:27">
      <c r="A108" s="73" t="s">
        <v>558</v>
      </c>
      <c r="B108" s="73" t="s">
        <v>536</v>
      </c>
      <c r="C108" s="73" t="s">
        <v>537</v>
      </c>
      <c r="D108" s="73" t="s">
        <v>657</v>
      </c>
      <c r="E108" s="73" t="s">
        <v>660</v>
      </c>
      <c r="F108" s="64">
        <v>1</v>
      </c>
      <c r="G108" s="64" t="s">
        <v>545</v>
      </c>
      <c r="H108" s="72">
        <v>100</v>
      </c>
      <c r="I108" s="60"/>
      <c r="J108" s="60"/>
      <c r="K108" s="60" t="s">
        <v>243</v>
      </c>
      <c r="L108" s="60"/>
      <c r="M108" s="60"/>
      <c r="N108" s="60"/>
      <c r="O108" s="60"/>
      <c r="P108" s="60"/>
      <c r="Q108" s="60"/>
      <c r="R108" s="60"/>
      <c r="S108" s="60"/>
      <c r="T108" s="71"/>
      <c r="U108" s="64">
        <f t="shared" si="3"/>
        <v>1</v>
      </c>
      <c r="V108" s="73" t="str">
        <f t="shared" si="4"/>
        <v>▲ 單一設備依賴</v>
      </c>
      <c r="W108" s="61" t="str">
        <f t="shared" si="5"/>
        <v>僅依賴1台設備，須確認故障/排修時之備援製程</v>
      </c>
      <c r="X108" s="73" t="s">
        <v>658</v>
      </c>
      <c r="Y108" s="73" t="s">
        <v>542</v>
      </c>
      <c r="Z108" s="75">
        <f>IF($D108="",0,IF(COUNTIF($D$5:$D108,$D108)=1,1,0))</f>
        <v>0</v>
      </c>
      <c r="AA108" s="75" t="str">
        <f>IF(Z108=1,SUM($Z$5:$Z108),"")</f>
        <v/>
      </c>
    </row>
    <row r="109" spans="1:27">
      <c r="A109" s="73" t="s">
        <v>558</v>
      </c>
      <c r="B109" s="73" t="s">
        <v>536</v>
      </c>
      <c r="C109" s="73" t="s">
        <v>537</v>
      </c>
      <c r="D109" s="73" t="s">
        <v>657</v>
      </c>
      <c r="E109" s="73" t="s">
        <v>661</v>
      </c>
      <c r="F109" s="64">
        <v>50</v>
      </c>
      <c r="G109" s="64" t="s">
        <v>540</v>
      </c>
      <c r="H109" s="72">
        <v>60</v>
      </c>
      <c r="I109" s="60"/>
      <c r="J109" s="60"/>
      <c r="K109" s="60"/>
      <c r="L109" s="60"/>
      <c r="M109" s="60" t="s">
        <v>242</v>
      </c>
      <c r="N109" s="60"/>
      <c r="O109" s="60"/>
      <c r="P109" s="60"/>
      <c r="Q109" s="60"/>
      <c r="R109" s="60"/>
      <c r="S109" s="60"/>
      <c r="T109" s="71"/>
      <c r="U109" s="64">
        <f t="shared" si="3"/>
        <v>1</v>
      </c>
      <c r="V109" s="73" t="str">
        <f t="shared" si="4"/>
        <v>▲ 單一設備依賴</v>
      </c>
      <c r="W109" s="61" t="str">
        <f t="shared" si="5"/>
        <v>僅依賴1台設備，須確認故障/排修時之備援製程</v>
      </c>
      <c r="X109" s="73" t="s">
        <v>658</v>
      </c>
      <c r="Y109" s="73" t="s">
        <v>542</v>
      </c>
      <c r="Z109" s="75">
        <f>IF($D109="",0,IF(COUNTIF($D$5:$D109,$D109)=1,1,0))</f>
        <v>0</v>
      </c>
      <c r="AA109" s="75" t="str">
        <f>IF(Z109=1,SUM($Z$5:$Z109),"")</f>
        <v/>
      </c>
    </row>
    <row r="110" spans="1:27">
      <c r="A110" s="73" t="s">
        <v>558</v>
      </c>
      <c r="B110" s="73" t="s">
        <v>536</v>
      </c>
      <c r="C110" s="73" t="s">
        <v>537</v>
      </c>
      <c r="D110" s="73" t="s">
        <v>657</v>
      </c>
      <c r="E110" s="73" t="s">
        <v>662</v>
      </c>
      <c r="F110" s="64">
        <v>6</v>
      </c>
      <c r="G110" s="64" t="s">
        <v>540</v>
      </c>
      <c r="H110" s="72">
        <v>53.7</v>
      </c>
      <c r="I110" s="60"/>
      <c r="J110" s="60"/>
      <c r="K110" s="60"/>
      <c r="L110" s="60"/>
      <c r="M110" s="60"/>
      <c r="N110" s="60"/>
      <c r="O110" s="60" t="s">
        <v>242</v>
      </c>
      <c r="P110" s="60"/>
      <c r="Q110" s="60"/>
      <c r="R110" s="60"/>
      <c r="S110" s="60"/>
      <c r="T110" s="71"/>
      <c r="U110" s="64">
        <f t="shared" si="3"/>
        <v>1</v>
      </c>
      <c r="V110" s="73" t="str">
        <f t="shared" si="4"/>
        <v>▲ 單一設備依賴</v>
      </c>
      <c r="W110" s="61" t="str">
        <f t="shared" si="5"/>
        <v>僅依賴1台設備，須確認故障/排修時之備援製程</v>
      </c>
      <c r="X110" s="73" t="s">
        <v>658</v>
      </c>
      <c r="Y110" s="73" t="s">
        <v>542</v>
      </c>
      <c r="Z110" s="75">
        <f>IF($D110="",0,IF(COUNTIF($D$5:$D110,$D110)=1,1,0))</f>
        <v>0</v>
      </c>
      <c r="AA110" s="75" t="str">
        <f>IF(Z110=1,SUM($Z$5:$Z110),"")</f>
        <v/>
      </c>
    </row>
    <row r="111" spans="1:27">
      <c r="A111" s="73" t="s">
        <v>558</v>
      </c>
      <c r="B111" s="73" t="s">
        <v>536</v>
      </c>
      <c r="C111" s="73" t="s">
        <v>537</v>
      </c>
      <c r="D111" s="73" t="s">
        <v>663</v>
      </c>
      <c r="E111" s="73" t="s">
        <v>664</v>
      </c>
      <c r="F111" s="64">
        <v>475</v>
      </c>
      <c r="G111" s="64" t="s">
        <v>540</v>
      </c>
      <c r="H111" s="72">
        <v>43.5</v>
      </c>
      <c r="I111" s="60" t="s">
        <v>339</v>
      </c>
      <c r="J111" s="60"/>
      <c r="K111" s="60"/>
      <c r="L111" s="60"/>
      <c r="M111" s="60"/>
      <c r="N111" s="60"/>
      <c r="O111" s="60" t="s">
        <v>272</v>
      </c>
      <c r="P111" s="60"/>
      <c r="Q111" s="60"/>
      <c r="R111" s="60"/>
      <c r="S111" s="60"/>
      <c r="T111" s="71"/>
      <c r="U111" s="64">
        <f t="shared" si="3"/>
        <v>2</v>
      </c>
      <c r="V111" s="73" t="str">
        <f t="shared" si="4"/>
        <v>OK</v>
      </c>
      <c r="W111" s="61" t="str">
        <f t="shared" si="5"/>
        <v>無異常</v>
      </c>
      <c r="X111" s="73" t="s">
        <v>665</v>
      </c>
      <c r="Y111" s="73" t="s">
        <v>542</v>
      </c>
      <c r="Z111" s="75">
        <f>IF($D111="",0,IF(COUNTIF($D$5:$D111,$D111)=1,1,0))</f>
        <v>1</v>
      </c>
      <c r="AA111" s="75">
        <f>IF(Z111=1,SUM($Z$5:$Z111),"")</f>
        <v>19</v>
      </c>
    </row>
    <row r="112" spans="1:27">
      <c r="A112" s="73" t="s">
        <v>558</v>
      </c>
      <c r="B112" s="73" t="s">
        <v>536</v>
      </c>
      <c r="C112" s="73" t="s">
        <v>537</v>
      </c>
      <c r="D112" s="73" t="s">
        <v>663</v>
      </c>
      <c r="E112" s="73" t="s">
        <v>666</v>
      </c>
      <c r="F112" s="64">
        <v>10</v>
      </c>
      <c r="G112" s="64" t="s">
        <v>540</v>
      </c>
      <c r="H112" s="72">
        <v>70.8</v>
      </c>
      <c r="I112" s="60"/>
      <c r="J112" s="60"/>
      <c r="K112" s="60"/>
      <c r="L112" s="60"/>
      <c r="M112" s="60"/>
      <c r="N112" s="60"/>
      <c r="O112" s="60" t="s">
        <v>272</v>
      </c>
      <c r="P112" s="60"/>
      <c r="Q112" s="60"/>
      <c r="R112" s="60"/>
      <c r="S112" s="60"/>
      <c r="T112" s="71"/>
      <c r="U112" s="64">
        <f t="shared" si="3"/>
        <v>1</v>
      </c>
      <c r="V112" s="73" t="str">
        <f t="shared" si="4"/>
        <v>▲ 單一設備依賴</v>
      </c>
      <c r="W112" s="61" t="str">
        <f t="shared" si="5"/>
        <v>僅依賴1台設備，須確認故障/排修時之備援製程</v>
      </c>
      <c r="X112" s="73" t="s">
        <v>665</v>
      </c>
      <c r="Y112" s="73" t="s">
        <v>542</v>
      </c>
      <c r="Z112" s="75">
        <f>IF($D112="",0,IF(COUNTIF($D$5:$D112,$D112)=1,1,0))</f>
        <v>0</v>
      </c>
      <c r="AA112" s="75" t="str">
        <f>IF(Z112=1,SUM($Z$5:$Z112),"")</f>
        <v/>
      </c>
    </row>
    <row r="113" spans="1:27">
      <c r="A113" s="73" t="s">
        <v>558</v>
      </c>
      <c r="B113" s="73" t="s">
        <v>536</v>
      </c>
      <c r="C113" s="73" t="s">
        <v>537</v>
      </c>
      <c r="D113" s="73" t="s">
        <v>663</v>
      </c>
      <c r="E113" s="73" t="s">
        <v>667</v>
      </c>
      <c r="F113" s="64">
        <v>15</v>
      </c>
      <c r="G113" s="64" t="s">
        <v>540</v>
      </c>
      <c r="H113" s="72">
        <v>51.1</v>
      </c>
      <c r="I113" s="60"/>
      <c r="J113" s="60"/>
      <c r="K113" s="60"/>
      <c r="L113" s="60"/>
      <c r="M113" s="60"/>
      <c r="N113" s="60"/>
      <c r="O113" s="60" t="s">
        <v>272</v>
      </c>
      <c r="P113" s="60"/>
      <c r="Q113" s="60"/>
      <c r="R113" s="60"/>
      <c r="S113" s="60"/>
      <c r="T113" s="71"/>
      <c r="U113" s="64">
        <f t="shared" si="3"/>
        <v>1</v>
      </c>
      <c r="V113" s="73" t="str">
        <f t="shared" si="4"/>
        <v>▲ 單一設備依賴</v>
      </c>
      <c r="W113" s="61" t="str">
        <f t="shared" si="5"/>
        <v>僅依賴1台設備，須確認故障/排修時之備援製程</v>
      </c>
      <c r="X113" s="73" t="s">
        <v>665</v>
      </c>
      <c r="Y113" s="73" t="s">
        <v>542</v>
      </c>
      <c r="Z113" s="75">
        <f>IF($D113="",0,IF(COUNTIF($D$5:$D113,$D113)=1,1,0))</f>
        <v>0</v>
      </c>
      <c r="AA113" s="75" t="str">
        <f>IF(Z113=1,SUM($Z$5:$Z113),"")</f>
        <v/>
      </c>
    </row>
    <row r="114" spans="1:27">
      <c r="A114" s="73" t="s">
        <v>558</v>
      </c>
      <c r="B114" s="68" t="s">
        <v>536</v>
      </c>
      <c r="C114" s="73" t="s">
        <v>537</v>
      </c>
      <c r="D114" s="68" t="s">
        <v>663</v>
      </c>
      <c r="E114" s="68" t="s">
        <v>668</v>
      </c>
      <c r="F114" s="64">
        <v>10</v>
      </c>
      <c r="G114" s="64" t="s">
        <v>540</v>
      </c>
      <c r="H114" s="72">
        <v>46.8</v>
      </c>
      <c r="I114" s="60"/>
      <c r="J114" s="60"/>
      <c r="K114" s="60"/>
      <c r="L114" s="60"/>
      <c r="M114" s="60"/>
      <c r="N114" s="60"/>
      <c r="O114" s="60" t="s">
        <v>279</v>
      </c>
      <c r="P114" s="60"/>
      <c r="Q114" s="60"/>
      <c r="R114" s="60"/>
      <c r="S114" s="60"/>
      <c r="T114" s="71"/>
      <c r="U114" s="64">
        <f t="shared" si="3"/>
        <v>1</v>
      </c>
      <c r="V114" s="73" t="str">
        <f t="shared" si="4"/>
        <v>▲ 單一設備依賴</v>
      </c>
      <c r="W114" s="61" t="str">
        <f t="shared" si="5"/>
        <v>僅依賴1台設備，須確認故障/排修時之備援製程</v>
      </c>
      <c r="X114" s="73" t="s">
        <v>665</v>
      </c>
      <c r="Y114" s="73" t="s">
        <v>542</v>
      </c>
      <c r="Z114" s="75">
        <f>IF($D114="",0,IF(COUNTIF($D$5:$D114,$D114)=1,1,0))</f>
        <v>0</v>
      </c>
      <c r="AA114" s="75" t="str">
        <f>IF(Z114=1,SUM($Z$5:$Z114),"")</f>
        <v/>
      </c>
    </row>
    <row r="115" spans="1:27">
      <c r="A115" s="73" t="s">
        <v>558</v>
      </c>
      <c r="B115" s="62" t="s">
        <v>536</v>
      </c>
      <c r="C115" s="73" t="s">
        <v>669</v>
      </c>
      <c r="D115" s="67" t="s">
        <v>670</v>
      </c>
      <c r="E115" s="62" t="s">
        <v>539</v>
      </c>
      <c r="F115" s="69">
        <v>210</v>
      </c>
      <c r="G115" s="64" t="s">
        <v>540</v>
      </c>
      <c r="H115" s="72">
        <v>91.59</v>
      </c>
      <c r="I115" s="60" t="s">
        <v>74</v>
      </c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71"/>
      <c r="U115" s="64">
        <f t="shared" si="3"/>
        <v>1</v>
      </c>
      <c r="V115" s="73" t="str">
        <f t="shared" si="4"/>
        <v>▲ 單一設備依賴</v>
      </c>
      <c r="W115" s="61" t="str">
        <f t="shared" si="5"/>
        <v>僅依賴1台設備，須確認故障/排修時之備援製程</v>
      </c>
      <c r="X115" s="73" t="s">
        <v>671</v>
      </c>
      <c r="Y115" s="73" t="s">
        <v>561</v>
      </c>
      <c r="Z115" s="75">
        <f>IF($D115="",0,IF(COUNTIF($D$5:$D115,$D115)=1,1,0))</f>
        <v>1</v>
      </c>
      <c r="AA115" s="75">
        <f>IF(Z115=1,SUM($Z$5:$Z115),"")</f>
        <v>20</v>
      </c>
    </row>
    <row r="116" spans="1:27">
      <c r="A116" s="73" t="s">
        <v>558</v>
      </c>
      <c r="B116" s="62" t="s">
        <v>536</v>
      </c>
      <c r="C116" s="73" t="s">
        <v>669</v>
      </c>
      <c r="D116" s="67" t="s">
        <v>670</v>
      </c>
      <c r="E116" s="62" t="s">
        <v>672</v>
      </c>
      <c r="F116" s="69">
        <v>10</v>
      </c>
      <c r="G116" s="64" t="s">
        <v>540</v>
      </c>
      <c r="H116" s="72">
        <v>50</v>
      </c>
      <c r="I116" s="60"/>
      <c r="J116" s="60"/>
      <c r="K116" s="60" t="s">
        <v>74</v>
      </c>
      <c r="L116" s="60"/>
      <c r="M116" s="60"/>
      <c r="N116" s="60"/>
      <c r="O116" s="60"/>
      <c r="P116" s="60"/>
      <c r="Q116" s="60"/>
      <c r="R116" s="60"/>
      <c r="S116" s="60"/>
      <c r="T116" s="71"/>
      <c r="U116" s="64">
        <f t="shared" si="3"/>
        <v>1</v>
      </c>
      <c r="V116" s="73" t="str">
        <f t="shared" si="4"/>
        <v>▲ 單一設備依賴</v>
      </c>
      <c r="W116" s="61" t="str">
        <f t="shared" si="5"/>
        <v>僅依賴1台設備，須確認故障/排修時之備援製程</v>
      </c>
      <c r="X116" s="73" t="s">
        <v>671</v>
      </c>
      <c r="Y116" s="73" t="s">
        <v>561</v>
      </c>
      <c r="Z116" s="75">
        <f>IF($D116="",0,IF(COUNTIF($D$5:$D116,$D116)=1,1,0))</f>
        <v>0</v>
      </c>
      <c r="AA116" s="75" t="str">
        <f>IF(Z116=1,SUM($Z$5:$Z116),"")</f>
        <v/>
      </c>
    </row>
    <row r="117" spans="1:27">
      <c r="A117" s="73" t="s">
        <v>558</v>
      </c>
      <c r="B117" s="62" t="s">
        <v>536</v>
      </c>
      <c r="C117" s="73" t="s">
        <v>669</v>
      </c>
      <c r="D117" s="67" t="s">
        <v>670</v>
      </c>
      <c r="E117" s="62" t="s">
        <v>555</v>
      </c>
      <c r="F117" s="69">
        <v>10</v>
      </c>
      <c r="G117" s="64" t="s">
        <v>540</v>
      </c>
      <c r="H117" s="72">
        <v>80</v>
      </c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71" t="s">
        <v>74</v>
      </c>
      <c r="U117" s="64">
        <f t="shared" si="3"/>
        <v>0</v>
      </c>
      <c r="V117" s="73" t="str">
        <f t="shared" si="4"/>
        <v>○ 免調理</v>
      </c>
      <c r="W117" s="61" t="str">
        <f t="shared" si="5"/>
        <v>免調理半成品（外購/僅切配等），不列入設備風險評估</v>
      </c>
      <c r="X117" s="73" t="s">
        <v>671</v>
      </c>
      <c r="Y117" s="73" t="s">
        <v>561</v>
      </c>
      <c r="Z117" s="75">
        <f>IF($D117="",0,IF(COUNTIF($D$5:$D117,$D117)=1,1,0))</f>
        <v>0</v>
      </c>
      <c r="AA117" s="75" t="str">
        <f>IF(Z117=1,SUM($Z$5:$Z117),"")</f>
        <v/>
      </c>
    </row>
    <row r="118" spans="1:27">
      <c r="A118" s="73" t="s">
        <v>558</v>
      </c>
      <c r="B118" s="62" t="s">
        <v>536</v>
      </c>
      <c r="C118" s="73" t="s">
        <v>669</v>
      </c>
      <c r="D118" s="67" t="s">
        <v>670</v>
      </c>
      <c r="E118" s="62" t="s">
        <v>673</v>
      </c>
      <c r="F118" s="69">
        <v>22</v>
      </c>
      <c r="G118" s="64" t="s">
        <v>540</v>
      </c>
      <c r="H118" s="72">
        <v>45</v>
      </c>
      <c r="I118" s="60"/>
      <c r="J118" s="60"/>
      <c r="K118" s="60"/>
      <c r="L118" s="60"/>
      <c r="M118" s="60"/>
      <c r="N118" s="60"/>
      <c r="O118" s="60" t="s">
        <v>74</v>
      </c>
      <c r="P118" s="60"/>
      <c r="Q118" s="60"/>
      <c r="R118" s="60"/>
      <c r="S118" s="60"/>
      <c r="T118" s="71"/>
      <c r="U118" s="64">
        <f t="shared" si="3"/>
        <v>1</v>
      </c>
      <c r="V118" s="73" t="str">
        <f t="shared" si="4"/>
        <v>▲ 單一設備依賴</v>
      </c>
      <c r="W118" s="61" t="str">
        <f t="shared" si="5"/>
        <v>僅依賴1台設備，須確認故障/排修時之備援製程</v>
      </c>
      <c r="X118" s="73" t="s">
        <v>671</v>
      </c>
      <c r="Y118" s="73" t="s">
        <v>561</v>
      </c>
      <c r="Z118" s="75">
        <f>IF($D118="",0,IF(COUNTIF($D$5:$D118,$D118)=1,1,0))</f>
        <v>0</v>
      </c>
      <c r="AA118" s="75" t="str">
        <f>IF(Z118=1,SUM($Z$5:$Z118),"")</f>
        <v/>
      </c>
    </row>
    <row r="119" spans="1:27">
      <c r="A119" s="73" t="s">
        <v>558</v>
      </c>
      <c r="B119" s="62" t="s">
        <v>536</v>
      </c>
      <c r="C119" s="73" t="s">
        <v>669</v>
      </c>
      <c r="D119" s="67" t="s">
        <v>670</v>
      </c>
      <c r="E119" s="62" t="s">
        <v>674</v>
      </c>
      <c r="F119" s="69">
        <v>23</v>
      </c>
      <c r="G119" s="64" t="s">
        <v>540</v>
      </c>
      <c r="H119" s="72">
        <v>92</v>
      </c>
      <c r="I119" s="60"/>
      <c r="J119" s="60"/>
      <c r="K119" s="60" t="s">
        <v>74</v>
      </c>
      <c r="L119" s="60"/>
      <c r="M119" s="60"/>
      <c r="N119" s="60"/>
      <c r="O119" s="60"/>
      <c r="P119" s="60"/>
      <c r="Q119" s="60"/>
      <c r="R119" s="60"/>
      <c r="S119" s="60"/>
      <c r="T119" s="71"/>
      <c r="U119" s="64">
        <f t="shared" si="3"/>
        <v>1</v>
      </c>
      <c r="V119" s="73" t="str">
        <f t="shared" si="4"/>
        <v>▲ 單一設備依賴</v>
      </c>
      <c r="W119" s="61" t="str">
        <f t="shared" si="5"/>
        <v>僅依賴1台設備，須確認故障/排修時之備援製程</v>
      </c>
      <c r="X119" s="73" t="s">
        <v>671</v>
      </c>
      <c r="Y119" s="73" t="s">
        <v>561</v>
      </c>
      <c r="Z119" s="75">
        <f>IF($D119="",0,IF(COUNTIF($D$5:$D119,$D119)=1,1,0))</f>
        <v>0</v>
      </c>
      <c r="AA119" s="75" t="str">
        <f>IF(Z119=1,SUM($Z$5:$Z119),"")</f>
        <v/>
      </c>
    </row>
    <row r="120" spans="1:27">
      <c r="A120" s="73" t="s">
        <v>558</v>
      </c>
      <c r="B120" s="62" t="s">
        <v>536</v>
      </c>
      <c r="C120" s="73" t="s">
        <v>669</v>
      </c>
      <c r="D120" s="67" t="s">
        <v>670</v>
      </c>
      <c r="E120" s="62" t="s">
        <v>675</v>
      </c>
      <c r="F120" s="69">
        <v>34</v>
      </c>
      <c r="G120" s="64" t="s">
        <v>540</v>
      </c>
      <c r="H120" s="72">
        <v>64.14</v>
      </c>
      <c r="I120" s="60"/>
      <c r="J120" s="60"/>
      <c r="K120" s="60"/>
      <c r="L120" s="60"/>
      <c r="M120" s="60"/>
      <c r="N120" s="60"/>
      <c r="O120" s="60" t="s">
        <v>74</v>
      </c>
      <c r="P120" s="60"/>
      <c r="Q120" s="60"/>
      <c r="R120" s="60"/>
      <c r="S120" s="60"/>
      <c r="T120" s="71"/>
      <c r="U120" s="64">
        <f t="shared" si="3"/>
        <v>1</v>
      </c>
      <c r="V120" s="73" t="str">
        <f t="shared" si="4"/>
        <v>▲ 單一設備依賴</v>
      </c>
      <c r="W120" s="61" t="str">
        <f t="shared" si="5"/>
        <v>僅依賴1台設備，須確認故障/排修時之備援製程</v>
      </c>
      <c r="X120" s="73" t="s">
        <v>671</v>
      </c>
      <c r="Y120" s="73" t="s">
        <v>561</v>
      </c>
      <c r="Z120" s="75">
        <f>IF($D120="",0,IF(COUNTIF($D$5:$D120,$D120)=1,1,0))</f>
        <v>0</v>
      </c>
      <c r="AA120" s="75" t="str">
        <f>IF(Z120=1,SUM($Z$5:$Z120),"")</f>
        <v/>
      </c>
    </row>
    <row r="121" spans="1:27">
      <c r="A121" s="73" t="s">
        <v>558</v>
      </c>
      <c r="B121" s="62" t="s">
        <v>536</v>
      </c>
      <c r="C121" s="73" t="s">
        <v>669</v>
      </c>
      <c r="D121" s="67" t="s">
        <v>670</v>
      </c>
      <c r="E121" s="62" t="s">
        <v>547</v>
      </c>
      <c r="F121" s="69">
        <v>2</v>
      </c>
      <c r="G121" s="64" t="s">
        <v>540</v>
      </c>
      <c r="H121" s="72">
        <v>70</v>
      </c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71" t="s">
        <v>74</v>
      </c>
      <c r="U121" s="64">
        <f t="shared" si="3"/>
        <v>0</v>
      </c>
      <c r="V121" s="73" t="str">
        <f t="shared" si="4"/>
        <v>○ 免調理</v>
      </c>
      <c r="W121" s="61" t="str">
        <f t="shared" si="5"/>
        <v>免調理半成品（外購/僅切配等），不列入設備風險評估</v>
      </c>
      <c r="X121" s="73" t="s">
        <v>671</v>
      </c>
      <c r="Y121" s="73" t="s">
        <v>561</v>
      </c>
      <c r="Z121" s="75">
        <f>IF($D121="",0,IF(COUNTIF($D$5:$D121,$D121)=1,1,0))</f>
        <v>0</v>
      </c>
      <c r="AA121" s="75" t="str">
        <f>IF(Z121=1,SUM($Z$5:$Z121),"")</f>
        <v/>
      </c>
    </row>
    <row r="122" spans="1:27">
      <c r="A122" s="73" t="s">
        <v>558</v>
      </c>
      <c r="B122" s="65" t="s">
        <v>536</v>
      </c>
      <c r="C122" s="73" t="s">
        <v>537</v>
      </c>
      <c r="D122" s="65" t="s">
        <v>676</v>
      </c>
      <c r="E122" s="65" t="s">
        <v>676</v>
      </c>
      <c r="F122" s="64">
        <v>275</v>
      </c>
      <c r="G122" s="64" t="s">
        <v>540</v>
      </c>
      <c r="H122" s="72">
        <v>85</v>
      </c>
      <c r="I122" s="60" t="s">
        <v>74</v>
      </c>
      <c r="J122" s="60"/>
      <c r="K122" s="60"/>
      <c r="L122" s="60"/>
      <c r="M122" s="60"/>
      <c r="N122" s="60"/>
      <c r="O122" s="60"/>
      <c r="P122" s="60" t="s">
        <v>74</v>
      </c>
      <c r="Q122" s="60"/>
      <c r="R122" s="60"/>
      <c r="S122" s="60"/>
      <c r="T122" s="71"/>
      <c r="U122" s="64">
        <f t="shared" si="3"/>
        <v>2</v>
      </c>
      <c r="V122" s="73" t="str">
        <f t="shared" si="4"/>
        <v>OK</v>
      </c>
      <c r="W122" s="61" t="str">
        <f t="shared" si="5"/>
        <v>無異常</v>
      </c>
      <c r="X122" s="73" t="s">
        <v>677</v>
      </c>
      <c r="Y122" s="73" t="s">
        <v>561</v>
      </c>
      <c r="Z122" s="75">
        <f>IF($D122="",0,IF(COUNTIF($D$5:$D122,$D122)=1,1,0))</f>
        <v>1</v>
      </c>
      <c r="AA122" s="75">
        <f>IF(Z122=1,SUM($Z$5:$Z122),"")</f>
        <v>21</v>
      </c>
    </row>
    <row r="123" spans="1:27">
      <c r="A123" s="73" t="s">
        <v>558</v>
      </c>
      <c r="B123" s="65" t="s">
        <v>536</v>
      </c>
      <c r="C123" s="73" t="s">
        <v>537</v>
      </c>
      <c r="D123" s="65" t="s">
        <v>676</v>
      </c>
      <c r="E123" s="73" t="s">
        <v>678</v>
      </c>
      <c r="F123" s="64">
        <v>27</v>
      </c>
      <c r="G123" s="64" t="s">
        <v>540</v>
      </c>
      <c r="H123" s="72">
        <v>95</v>
      </c>
      <c r="I123" s="60"/>
      <c r="J123" s="60"/>
      <c r="K123" s="60"/>
      <c r="L123" s="60"/>
      <c r="M123" s="60" t="s">
        <v>74</v>
      </c>
      <c r="N123" s="60"/>
      <c r="O123" s="60" t="s">
        <v>74</v>
      </c>
      <c r="P123" s="60"/>
      <c r="Q123" s="60"/>
      <c r="R123" s="60"/>
      <c r="S123" s="60"/>
      <c r="T123" s="71"/>
      <c r="U123" s="64">
        <f t="shared" si="3"/>
        <v>2</v>
      </c>
      <c r="V123" s="73" t="str">
        <f t="shared" si="4"/>
        <v>OK</v>
      </c>
      <c r="W123" s="61" t="str">
        <f t="shared" si="5"/>
        <v>無異常</v>
      </c>
      <c r="X123" s="73" t="s">
        <v>677</v>
      </c>
      <c r="Y123" s="73" t="s">
        <v>561</v>
      </c>
      <c r="Z123" s="75">
        <f>IF($D123="",0,IF(COUNTIF($D$5:$D123,$D123)=1,1,0))</f>
        <v>0</v>
      </c>
      <c r="AA123" s="75" t="str">
        <f>IF(Z123=1,SUM($Z$5:$Z123),"")</f>
        <v/>
      </c>
    </row>
    <row r="124" spans="1:27">
      <c r="A124" s="73" t="s">
        <v>558</v>
      </c>
      <c r="B124" s="65" t="s">
        <v>536</v>
      </c>
      <c r="C124" s="73" t="s">
        <v>537</v>
      </c>
      <c r="D124" s="65" t="s">
        <v>676</v>
      </c>
      <c r="E124" s="73" t="s">
        <v>679</v>
      </c>
      <c r="F124" s="64">
        <v>11</v>
      </c>
      <c r="G124" s="64" t="s">
        <v>540</v>
      </c>
      <c r="H124" s="72">
        <v>87.5</v>
      </c>
      <c r="I124" s="60"/>
      <c r="J124" s="60"/>
      <c r="K124" s="60"/>
      <c r="L124" s="60"/>
      <c r="M124" s="60"/>
      <c r="N124" s="60"/>
      <c r="O124" s="60" t="s">
        <v>74</v>
      </c>
      <c r="P124" s="60"/>
      <c r="Q124" s="60"/>
      <c r="R124" s="60"/>
      <c r="S124" s="60"/>
      <c r="T124" s="71"/>
      <c r="U124" s="64">
        <f t="shared" si="3"/>
        <v>1</v>
      </c>
      <c r="V124" s="73" t="str">
        <f t="shared" si="4"/>
        <v>▲ 單一設備依賴</v>
      </c>
      <c r="W124" s="61" t="str">
        <f t="shared" si="5"/>
        <v>僅依賴1台設備，須確認故障/排修時之備援製程</v>
      </c>
      <c r="X124" s="73" t="s">
        <v>677</v>
      </c>
      <c r="Y124" s="73" t="s">
        <v>561</v>
      </c>
      <c r="Z124" s="75">
        <f>IF($D124="",0,IF(COUNTIF($D$5:$D124,$D124)=1,1,0))</f>
        <v>0</v>
      </c>
      <c r="AA124" s="75" t="str">
        <f>IF(Z124=1,SUM($Z$5:$Z124),"")</f>
        <v/>
      </c>
    </row>
    <row r="125" spans="1:27">
      <c r="A125" s="73" t="s">
        <v>535</v>
      </c>
      <c r="B125" s="65" t="s">
        <v>536</v>
      </c>
      <c r="C125" s="73" t="s">
        <v>537</v>
      </c>
      <c r="D125" s="73" t="s">
        <v>680</v>
      </c>
      <c r="E125" s="73" t="s">
        <v>539</v>
      </c>
      <c r="F125" s="64">
        <v>180</v>
      </c>
      <c r="G125" s="64" t="s">
        <v>540</v>
      </c>
      <c r="H125" s="72">
        <v>93</v>
      </c>
      <c r="I125" s="60" t="s">
        <v>74</v>
      </c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71"/>
      <c r="U125" s="64">
        <f t="shared" si="3"/>
        <v>1</v>
      </c>
      <c r="V125" s="73" t="str">
        <f t="shared" si="4"/>
        <v>▲ 單一設備依賴</v>
      </c>
      <c r="W125" s="61" t="str">
        <f t="shared" si="5"/>
        <v>僅依賴1台設備，須確認故障/排修時之備援製程</v>
      </c>
      <c r="X125" s="73" t="s">
        <v>681</v>
      </c>
      <c r="Y125" s="73" t="s">
        <v>561</v>
      </c>
      <c r="Z125" s="75">
        <f>IF($D125="",0,IF(COUNTIF($D$5:$D125,$D125)=1,1,0))</f>
        <v>1</v>
      </c>
      <c r="AA125" s="75">
        <f>IF(Z125=1,SUM($Z$5:$Z125),"")</f>
        <v>22</v>
      </c>
    </row>
    <row r="126" spans="1:27">
      <c r="A126" s="73" t="s">
        <v>535</v>
      </c>
      <c r="B126" s="65" t="s">
        <v>536</v>
      </c>
      <c r="C126" s="73" t="s">
        <v>537</v>
      </c>
      <c r="D126" s="73" t="s">
        <v>680</v>
      </c>
      <c r="E126" s="73" t="s">
        <v>682</v>
      </c>
      <c r="F126" s="64">
        <v>12</v>
      </c>
      <c r="G126" s="64" t="s">
        <v>540</v>
      </c>
      <c r="H126" s="72">
        <v>58</v>
      </c>
      <c r="I126" s="60"/>
      <c r="J126" s="60"/>
      <c r="K126" s="60"/>
      <c r="L126" s="60"/>
      <c r="M126" s="60"/>
      <c r="N126" s="60"/>
      <c r="O126" s="60" t="s">
        <v>74</v>
      </c>
      <c r="P126" s="60"/>
      <c r="Q126" s="60"/>
      <c r="R126" s="60"/>
      <c r="S126" s="60"/>
      <c r="T126" s="71"/>
      <c r="U126" s="64">
        <f t="shared" si="3"/>
        <v>1</v>
      </c>
      <c r="V126" s="73" t="str">
        <f t="shared" si="4"/>
        <v>▲ 單一設備依賴</v>
      </c>
      <c r="W126" s="61" t="str">
        <f t="shared" si="5"/>
        <v>僅依賴1台設備，須確認故障/排修時之備援製程</v>
      </c>
      <c r="X126" s="73" t="s">
        <v>681</v>
      </c>
      <c r="Y126" s="73" t="s">
        <v>561</v>
      </c>
      <c r="Z126" s="75">
        <f>IF($D126="",0,IF(COUNTIF($D$5:$D126,$D126)=1,1,0))</f>
        <v>0</v>
      </c>
      <c r="AA126" s="75" t="str">
        <f>IF(Z126=1,SUM($Z$5:$Z126),"")</f>
        <v/>
      </c>
    </row>
    <row r="127" spans="1:27">
      <c r="A127" s="73" t="s">
        <v>535</v>
      </c>
      <c r="B127" s="65" t="s">
        <v>536</v>
      </c>
      <c r="C127" s="73" t="s">
        <v>537</v>
      </c>
      <c r="D127" s="73" t="s">
        <v>680</v>
      </c>
      <c r="E127" s="73" t="s">
        <v>683</v>
      </c>
      <c r="F127" s="64">
        <v>15</v>
      </c>
      <c r="G127" s="64" t="s">
        <v>540</v>
      </c>
      <c r="H127" s="72">
        <v>65</v>
      </c>
      <c r="I127" s="60"/>
      <c r="J127" s="60"/>
      <c r="K127" s="60" t="s">
        <v>74</v>
      </c>
      <c r="L127" s="60"/>
      <c r="M127" s="60"/>
      <c r="N127" s="60"/>
      <c r="O127" s="60"/>
      <c r="P127" s="60"/>
      <c r="Q127" s="60"/>
      <c r="R127" s="60"/>
      <c r="S127" s="60"/>
      <c r="T127" s="71"/>
      <c r="U127" s="64">
        <f t="shared" si="3"/>
        <v>1</v>
      </c>
      <c r="V127" s="73" t="str">
        <f t="shared" si="4"/>
        <v>▲ 單一設備依賴</v>
      </c>
      <c r="W127" s="61" t="str">
        <f t="shared" si="5"/>
        <v>僅依賴1台設備，須確認故障/排修時之備援製程</v>
      </c>
      <c r="X127" s="73" t="s">
        <v>681</v>
      </c>
      <c r="Y127" s="73" t="s">
        <v>561</v>
      </c>
      <c r="Z127" s="75">
        <f>IF($D127="",0,IF(COUNTIF($D$5:$D127,$D127)=1,1,0))</f>
        <v>0</v>
      </c>
      <c r="AA127" s="75" t="str">
        <f>IF(Z127=1,SUM($Z$5:$Z127),"")</f>
        <v/>
      </c>
    </row>
    <row r="128" spans="1:27">
      <c r="A128" s="73" t="s">
        <v>535</v>
      </c>
      <c r="B128" s="65" t="s">
        <v>536</v>
      </c>
      <c r="C128" s="73" t="s">
        <v>537</v>
      </c>
      <c r="D128" s="73" t="s">
        <v>680</v>
      </c>
      <c r="E128" s="73" t="s">
        <v>684</v>
      </c>
      <c r="F128" s="64">
        <v>8</v>
      </c>
      <c r="G128" s="64" t="s">
        <v>540</v>
      </c>
      <c r="H128" s="72">
        <v>63</v>
      </c>
      <c r="I128" s="60"/>
      <c r="J128" s="60"/>
      <c r="K128" s="60"/>
      <c r="L128" s="60"/>
      <c r="M128" s="60"/>
      <c r="N128" s="60"/>
      <c r="O128" s="60" t="s">
        <v>74</v>
      </c>
      <c r="P128" s="60"/>
      <c r="Q128" s="60"/>
      <c r="R128" s="60"/>
      <c r="S128" s="60"/>
      <c r="T128" s="71"/>
      <c r="U128" s="64">
        <f t="shared" si="3"/>
        <v>1</v>
      </c>
      <c r="V128" s="73" t="str">
        <f t="shared" si="4"/>
        <v>▲ 單一設備依賴</v>
      </c>
      <c r="W128" s="61" t="str">
        <f t="shared" si="5"/>
        <v>僅依賴1台設備，須確認故障/排修時之備援製程</v>
      </c>
      <c r="X128" s="73" t="s">
        <v>681</v>
      </c>
      <c r="Y128" s="73" t="s">
        <v>561</v>
      </c>
      <c r="Z128" s="75">
        <f>IF($D128="",0,IF(COUNTIF($D$5:$D128,$D128)=1,1,0))</f>
        <v>0</v>
      </c>
      <c r="AA128" s="75" t="str">
        <f>IF(Z128=1,SUM($Z$5:$Z128),"")</f>
        <v/>
      </c>
    </row>
    <row r="129" spans="1:27">
      <c r="A129" s="73" t="s">
        <v>535</v>
      </c>
      <c r="B129" s="65" t="s">
        <v>536</v>
      </c>
      <c r="C129" s="73" t="s">
        <v>537</v>
      </c>
      <c r="D129" s="73" t="s">
        <v>680</v>
      </c>
      <c r="E129" s="73" t="s">
        <v>685</v>
      </c>
      <c r="F129" s="64">
        <v>20</v>
      </c>
      <c r="G129" s="64" t="s">
        <v>540</v>
      </c>
      <c r="H129" s="72">
        <v>90</v>
      </c>
      <c r="I129" s="60"/>
      <c r="J129" s="60"/>
      <c r="K129" s="60" t="s">
        <v>74</v>
      </c>
      <c r="L129" s="60"/>
      <c r="M129" s="60"/>
      <c r="N129" s="60"/>
      <c r="O129" s="60"/>
      <c r="P129" s="60"/>
      <c r="Q129" s="60"/>
      <c r="R129" s="60"/>
      <c r="S129" s="60"/>
      <c r="T129" s="71"/>
      <c r="U129" s="64">
        <f t="shared" si="3"/>
        <v>1</v>
      </c>
      <c r="V129" s="73" t="str">
        <f t="shared" si="4"/>
        <v>▲ 單一設備依賴</v>
      </c>
      <c r="W129" s="61" t="str">
        <f t="shared" si="5"/>
        <v>僅依賴1台設備，須確認故障/排修時之備援製程</v>
      </c>
      <c r="X129" s="73" t="s">
        <v>681</v>
      </c>
      <c r="Y129" s="73" t="s">
        <v>561</v>
      </c>
      <c r="Z129" s="75">
        <f>IF($D129="",0,IF(COUNTIF($D$5:$D129,$D129)=1,1,0))</f>
        <v>0</v>
      </c>
      <c r="AA129" s="75" t="str">
        <f>IF(Z129=1,SUM($Z$5:$Z129),"")</f>
        <v/>
      </c>
    </row>
    <row r="130" spans="1:27">
      <c r="A130" s="73" t="s">
        <v>535</v>
      </c>
      <c r="B130" s="65" t="s">
        <v>536</v>
      </c>
      <c r="C130" s="73" t="s">
        <v>537</v>
      </c>
      <c r="D130" s="73" t="s">
        <v>680</v>
      </c>
      <c r="E130" s="73" t="s">
        <v>686</v>
      </c>
      <c r="F130" s="64">
        <v>22</v>
      </c>
      <c r="G130" s="64" t="s">
        <v>540</v>
      </c>
      <c r="H130" s="72">
        <v>45</v>
      </c>
      <c r="I130" s="60"/>
      <c r="J130" s="60"/>
      <c r="K130" s="60"/>
      <c r="L130" s="60"/>
      <c r="M130" s="60"/>
      <c r="N130" s="60"/>
      <c r="O130" s="60" t="s">
        <v>74</v>
      </c>
      <c r="P130" s="60"/>
      <c r="Q130" s="60"/>
      <c r="R130" s="60"/>
      <c r="S130" s="60"/>
      <c r="T130" s="71"/>
      <c r="U130" s="64">
        <f t="shared" si="3"/>
        <v>1</v>
      </c>
      <c r="V130" s="73" t="str">
        <f t="shared" si="4"/>
        <v>▲ 單一設備依賴</v>
      </c>
      <c r="W130" s="61" t="str">
        <f t="shared" si="5"/>
        <v>僅依賴1台設備，須確認故障/排修時之備援製程</v>
      </c>
      <c r="X130" s="73" t="s">
        <v>681</v>
      </c>
      <c r="Y130" s="73" t="s">
        <v>561</v>
      </c>
      <c r="Z130" s="75">
        <f>IF($D130="",0,IF(COUNTIF($D$5:$D130,$D130)=1,1,0))</f>
        <v>0</v>
      </c>
      <c r="AA130" s="75" t="str">
        <f>IF(Z130=1,SUM($Z$5:$Z130),"")</f>
        <v/>
      </c>
    </row>
    <row r="131" spans="1:27">
      <c r="A131" s="73" t="s">
        <v>535</v>
      </c>
      <c r="B131" s="65" t="s">
        <v>536</v>
      </c>
      <c r="C131" s="73" t="s">
        <v>537</v>
      </c>
      <c r="D131" s="73" t="s">
        <v>680</v>
      </c>
      <c r="E131" s="73" t="s">
        <v>687</v>
      </c>
      <c r="F131" s="64">
        <v>17</v>
      </c>
      <c r="G131" s="64" t="s">
        <v>540</v>
      </c>
      <c r="H131" s="72">
        <v>57</v>
      </c>
      <c r="I131" s="60"/>
      <c r="J131" s="60"/>
      <c r="K131" s="60"/>
      <c r="L131" s="60"/>
      <c r="M131" s="60"/>
      <c r="N131" s="60"/>
      <c r="O131" s="60" t="s">
        <v>74</v>
      </c>
      <c r="P131" s="60"/>
      <c r="Q131" s="60"/>
      <c r="R131" s="60"/>
      <c r="S131" s="60"/>
      <c r="T131" s="71"/>
      <c r="U131" s="64">
        <f t="shared" ref="U131:U194" si="6">IF($E131="","",COUNTIF($I131:$S131,"V"))</f>
        <v>1</v>
      </c>
      <c r="V131" s="73" t="str">
        <f t="shared" ref="V131:V194" si="7">IF($E131="","",IF(AND($T131="V",$U131&gt;0),"⚠ 勾選矛盾",IF($T131="V","○ 免調理",IF($U131=0,"⚠ 資料缺漏",IF($U131=1,"▲ 單一設備依賴","OK")))))</f>
        <v>▲ 單一設備依賴</v>
      </c>
      <c r="W131" s="61" t="str">
        <f t="shared" ref="W131:W194" si="8">IF($E131="","",IF(AND($T131="V",$U131&gt;0),"「無使用調理設備」不可與設備欄同時勾選，請擇一修正",IF($T131="V","免調理半成品（外購/僅切配等），不列入設備風險評估",IF($U131=0,"未勾選任何設備，請補填或勾選「無使用調理設備」",IF($U131=1,"僅依賴1台設備，須確認故障/排修時之備援製程","無異常")))))</f>
        <v>僅依賴1台設備，須確認故障/排修時之備援製程</v>
      </c>
      <c r="X131" s="73" t="s">
        <v>681</v>
      </c>
      <c r="Y131" s="73" t="s">
        <v>561</v>
      </c>
      <c r="Z131" s="75">
        <f>IF($D131="",0,IF(COUNTIF($D$5:$D131,$D131)=1,1,0))</f>
        <v>0</v>
      </c>
      <c r="AA131" s="75" t="str">
        <f>IF(Z131=1,SUM($Z$5:$Z131),"")</f>
        <v/>
      </c>
    </row>
    <row r="132" spans="1:27">
      <c r="A132" s="73" t="s">
        <v>535</v>
      </c>
      <c r="B132" s="65" t="s">
        <v>536</v>
      </c>
      <c r="C132" s="73" t="s">
        <v>537</v>
      </c>
      <c r="D132" s="73" t="s">
        <v>680</v>
      </c>
      <c r="E132" s="73" t="s">
        <v>566</v>
      </c>
      <c r="F132" s="64">
        <v>0.2</v>
      </c>
      <c r="G132" s="64" t="s">
        <v>540</v>
      </c>
      <c r="H132" s="72">
        <v>100</v>
      </c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71" t="s">
        <v>74</v>
      </c>
      <c r="U132" s="64">
        <f t="shared" si="6"/>
        <v>0</v>
      </c>
      <c r="V132" s="73" t="str">
        <f t="shared" si="7"/>
        <v>○ 免調理</v>
      </c>
      <c r="W132" s="61" t="str">
        <f t="shared" si="8"/>
        <v>免調理半成品（外購/僅切配等），不列入設備風險評估</v>
      </c>
      <c r="X132" s="73" t="s">
        <v>681</v>
      </c>
      <c r="Y132" s="73" t="s">
        <v>561</v>
      </c>
      <c r="Z132" s="75">
        <f>IF($D132="",0,IF(COUNTIF($D$5:$D132,$D132)=1,1,0))</f>
        <v>0</v>
      </c>
      <c r="AA132" s="75" t="str">
        <f>IF(Z132=1,SUM($Z$5:$Z132),"")</f>
        <v/>
      </c>
    </row>
    <row r="133" spans="1:27">
      <c r="A133" s="73" t="s">
        <v>535</v>
      </c>
      <c r="B133" s="65" t="s">
        <v>536</v>
      </c>
      <c r="C133" s="73" t="s">
        <v>537</v>
      </c>
      <c r="D133" s="73" t="s">
        <v>680</v>
      </c>
      <c r="E133" s="73" t="s">
        <v>682</v>
      </c>
      <c r="F133" s="64">
        <v>10</v>
      </c>
      <c r="G133" s="64" t="s">
        <v>540</v>
      </c>
      <c r="H133" s="72">
        <v>58</v>
      </c>
      <c r="I133" s="60"/>
      <c r="J133" s="60"/>
      <c r="K133" s="60"/>
      <c r="L133" s="60"/>
      <c r="M133" s="60"/>
      <c r="N133" s="60"/>
      <c r="O133" s="60" t="s">
        <v>74</v>
      </c>
      <c r="P133" s="60"/>
      <c r="Q133" s="60"/>
      <c r="R133" s="60"/>
      <c r="S133" s="60"/>
      <c r="T133" s="71"/>
      <c r="U133" s="64">
        <f t="shared" si="6"/>
        <v>1</v>
      </c>
      <c r="V133" s="73" t="str">
        <f t="shared" si="7"/>
        <v>▲ 單一設備依賴</v>
      </c>
      <c r="W133" s="61" t="str">
        <f t="shared" si="8"/>
        <v>僅依賴1台設備，須確認故障/排修時之備援製程</v>
      </c>
      <c r="X133" s="73" t="s">
        <v>681</v>
      </c>
      <c r="Y133" s="73" t="s">
        <v>561</v>
      </c>
      <c r="Z133" s="75">
        <f>IF($D133="",0,IF(COUNTIF($D$5:$D133,$D133)=1,1,0))</f>
        <v>0</v>
      </c>
      <c r="AA133" s="75" t="str">
        <f>IF(Z133=1,SUM($Z$5:$Z133),"")</f>
        <v/>
      </c>
    </row>
    <row r="134" spans="1:27" s="27" customFormat="1">
      <c r="A134" s="73" t="s">
        <v>535</v>
      </c>
      <c r="B134" s="65" t="s">
        <v>536</v>
      </c>
      <c r="C134" s="73" t="s">
        <v>537</v>
      </c>
      <c r="D134" s="73" t="s">
        <v>688</v>
      </c>
      <c r="E134" s="73" t="s">
        <v>550</v>
      </c>
      <c r="F134" s="64">
        <v>235</v>
      </c>
      <c r="G134" s="64" t="s">
        <v>540</v>
      </c>
      <c r="H134" s="72">
        <v>84.8</v>
      </c>
      <c r="I134" s="60" t="s">
        <v>74</v>
      </c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71"/>
      <c r="U134" s="64">
        <f t="shared" si="6"/>
        <v>1</v>
      </c>
      <c r="V134" s="73" t="str">
        <f t="shared" si="7"/>
        <v>▲ 單一設備依賴</v>
      </c>
      <c r="W134" s="61" t="str">
        <f t="shared" si="8"/>
        <v>僅依賴1台設備，須確認故障/排修時之備援製程</v>
      </c>
      <c r="X134" s="73" t="s">
        <v>689</v>
      </c>
      <c r="Y134" s="73" t="s">
        <v>561</v>
      </c>
      <c r="Z134" s="75">
        <f>IF($D134="",0,IF(COUNTIF($D$5:$D134,$D134)=1,1,0))</f>
        <v>1</v>
      </c>
      <c r="AA134" s="75">
        <f>IF(Z134=1,SUM($Z$5:$Z134),"")</f>
        <v>23</v>
      </c>
    </row>
    <row r="135" spans="1:27" s="27" customFormat="1">
      <c r="A135" s="73" t="s">
        <v>535</v>
      </c>
      <c r="B135" s="65" t="s">
        <v>536</v>
      </c>
      <c r="C135" s="73" t="s">
        <v>537</v>
      </c>
      <c r="D135" s="73" t="s">
        <v>688</v>
      </c>
      <c r="E135" s="73" t="s">
        <v>596</v>
      </c>
      <c r="F135" s="64">
        <v>8</v>
      </c>
      <c r="G135" s="64" t="s">
        <v>540</v>
      </c>
      <c r="H135" s="72">
        <v>100</v>
      </c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71" t="s">
        <v>74</v>
      </c>
      <c r="U135" s="64">
        <f t="shared" si="6"/>
        <v>0</v>
      </c>
      <c r="V135" s="73" t="str">
        <f t="shared" si="7"/>
        <v>○ 免調理</v>
      </c>
      <c r="W135" s="61" t="str">
        <f t="shared" si="8"/>
        <v>免調理半成品（外購/僅切配等），不列入設備風險評估</v>
      </c>
      <c r="X135" s="73" t="s">
        <v>689</v>
      </c>
      <c r="Y135" s="73" t="s">
        <v>561</v>
      </c>
      <c r="Z135" s="75">
        <f>IF($D135="",0,IF(COUNTIF($D$5:$D135,$D135)=1,1,0))</f>
        <v>0</v>
      </c>
      <c r="AA135" s="75" t="str">
        <f>IF(Z135=1,SUM($Z$5:$Z135),"")</f>
        <v/>
      </c>
    </row>
    <row r="136" spans="1:27" s="27" customFormat="1">
      <c r="A136" s="73" t="s">
        <v>535</v>
      </c>
      <c r="B136" s="65" t="s">
        <v>536</v>
      </c>
      <c r="C136" s="73" t="s">
        <v>537</v>
      </c>
      <c r="D136" s="73" t="s">
        <v>688</v>
      </c>
      <c r="E136" s="73" t="s">
        <v>690</v>
      </c>
      <c r="F136" s="64">
        <v>95</v>
      </c>
      <c r="G136" s="64" t="s">
        <v>540</v>
      </c>
      <c r="H136" s="72">
        <v>65</v>
      </c>
      <c r="I136" s="60"/>
      <c r="J136" s="60"/>
      <c r="K136" s="60"/>
      <c r="L136" s="60"/>
      <c r="M136" s="60"/>
      <c r="N136" s="60"/>
      <c r="O136" s="60" t="s">
        <v>74</v>
      </c>
      <c r="P136" s="60"/>
      <c r="Q136" s="60"/>
      <c r="R136" s="60"/>
      <c r="S136" s="60"/>
      <c r="T136" s="71"/>
      <c r="U136" s="64">
        <f t="shared" si="6"/>
        <v>1</v>
      </c>
      <c r="V136" s="73" t="str">
        <f t="shared" si="7"/>
        <v>▲ 單一設備依賴</v>
      </c>
      <c r="W136" s="61" t="str">
        <f t="shared" si="8"/>
        <v>僅依賴1台設備，須確認故障/排修時之備援製程</v>
      </c>
      <c r="X136" s="73" t="s">
        <v>689</v>
      </c>
      <c r="Y136" s="73" t="s">
        <v>561</v>
      </c>
      <c r="Z136" s="75">
        <f>IF($D136="",0,IF(COUNTIF($D$5:$D136,$D136)=1,1,0))</f>
        <v>0</v>
      </c>
      <c r="AA136" s="75" t="str">
        <f>IF(Z136=1,SUM($Z$5:$Z136),"")</f>
        <v/>
      </c>
    </row>
    <row r="137" spans="1:27" s="27" customFormat="1">
      <c r="A137" s="73" t="s">
        <v>535</v>
      </c>
      <c r="B137" s="65" t="s">
        <v>536</v>
      </c>
      <c r="C137" s="73" t="s">
        <v>537</v>
      </c>
      <c r="D137" s="73" t="s">
        <v>688</v>
      </c>
      <c r="E137" s="73" t="s">
        <v>691</v>
      </c>
      <c r="F137" s="64">
        <v>110</v>
      </c>
      <c r="G137" s="64" t="s">
        <v>540</v>
      </c>
      <c r="H137" s="72">
        <v>65</v>
      </c>
      <c r="I137" s="60"/>
      <c r="J137" s="60"/>
      <c r="K137" s="60"/>
      <c r="L137" s="60"/>
      <c r="M137" s="60"/>
      <c r="N137" s="60"/>
      <c r="O137" s="60" t="s">
        <v>74</v>
      </c>
      <c r="P137" s="60"/>
      <c r="Q137" s="60"/>
      <c r="R137" s="60"/>
      <c r="S137" s="60"/>
      <c r="T137" s="71"/>
      <c r="U137" s="64">
        <f t="shared" si="6"/>
        <v>1</v>
      </c>
      <c r="V137" s="73" t="str">
        <f t="shared" si="7"/>
        <v>▲ 單一設備依賴</v>
      </c>
      <c r="W137" s="61" t="str">
        <f t="shared" si="8"/>
        <v>僅依賴1台設備，須確認故障/排修時之備援製程</v>
      </c>
      <c r="X137" s="73" t="s">
        <v>689</v>
      </c>
      <c r="Y137" s="73" t="s">
        <v>561</v>
      </c>
      <c r="Z137" s="75">
        <f>IF($D137="",0,IF(COUNTIF($D$5:$D137,$D137)=1,1,0))</f>
        <v>0</v>
      </c>
      <c r="AA137" s="75" t="str">
        <f>IF(Z137=1,SUM($Z$5:$Z137),"")</f>
        <v/>
      </c>
    </row>
    <row r="138" spans="1:27" s="27" customFormat="1">
      <c r="A138" s="73" t="s">
        <v>535</v>
      </c>
      <c r="B138" s="65" t="s">
        <v>536</v>
      </c>
      <c r="C138" s="73" t="s">
        <v>537</v>
      </c>
      <c r="D138" s="73" t="s">
        <v>688</v>
      </c>
      <c r="E138" s="73" t="s">
        <v>692</v>
      </c>
      <c r="F138" s="64">
        <v>14</v>
      </c>
      <c r="G138" s="64" t="s">
        <v>540</v>
      </c>
      <c r="H138" s="72">
        <v>61</v>
      </c>
      <c r="I138" s="60"/>
      <c r="J138" s="60"/>
      <c r="K138" s="60"/>
      <c r="L138" s="60"/>
      <c r="M138" s="60"/>
      <c r="N138" s="60"/>
      <c r="O138" s="60" t="s">
        <v>74</v>
      </c>
      <c r="P138" s="60"/>
      <c r="Q138" s="60"/>
      <c r="R138" s="60"/>
      <c r="S138" s="60"/>
      <c r="T138" s="71"/>
      <c r="U138" s="64">
        <f t="shared" si="6"/>
        <v>1</v>
      </c>
      <c r="V138" s="73" t="str">
        <f t="shared" si="7"/>
        <v>▲ 單一設備依賴</v>
      </c>
      <c r="W138" s="61" t="str">
        <f t="shared" si="8"/>
        <v>僅依賴1台設備，須確認故障/排修時之備援製程</v>
      </c>
      <c r="X138" s="73" t="s">
        <v>689</v>
      </c>
      <c r="Y138" s="73" t="s">
        <v>561</v>
      </c>
      <c r="Z138" s="75">
        <f>IF($D138="",0,IF(COUNTIF($D$5:$D138,$D138)=1,1,0))</f>
        <v>0</v>
      </c>
      <c r="AA138" s="75" t="str">
        <f>IF(Z138=1,SUM($Z$5:$Z138),"")</f>
        <v/>
      </c>
    </row>
    <row r="139" spans="1:27" s="27" customFormat="1">
      <c r="A139" s="73" t="s">
        <v>535</v>
      </c>
      <c r="B139" s="65" t="s">
        <v>536</v>
      </c>
      <c r="C139" s="73" t="s">
        <v>537</v>
      </c>
      <c r="D139" s="73" t="s">
        <v>688</v>
      </c>
      <c r="E139" s="73" t="s">
        <v>693</v>
      </c>
      <c r="F139" s="64">
        <v>18</v>
      </c>
      <c r="G139" s="64" t="s">
        <v>540</v>
      </c>
      <c r="H139" s="72">
        <v>46</v>
      </c>
      <c r="I139" s="60"/>
      <c r="J139" s="60"/>
      <c r="K139" s="60"/>
      <c r="L139" s="60"/>
      <c r="M139" s="60"/>
      <c r="N139" s="60"/>
      <c r="O139" s="60" t="s">
        <v>74</v>
      </c>
      <c r="P139" s="60"/>
      <c r="Q139" s="60"/>
      <c r="R139" s="60"/>
      <c r="S139" s="60"/>
      <c r="T139" s="71"/>
      <c r="U139" s="64">
        <f t="shared" si="6"/>
        <v>1</v>
      </c>
      <c r="V139" s="73" t="str">
        <f t="shared" si="7"/>
        <v>▲ 單一設備依賴</v>
      </c>
      <c r="W139" s="61" t="str">
        <f t="shared" si="8"/>
        <v>僅依賴1台設備，須確認故障/排修時之備援製程</v>
      </c>
      <c r="X139" s="73" t="s">
        <v>689</v>
      </c>
      <c r="Y139" s="73" t="s">
        <v>561</v>
      </c>
      <c r="Z139" s="75">
        <f>IF($D139="",0,IF(COUNTIF($D$5:$D139,$D139)=1,1,0))</f>
        <v>0</v>
      </c>
      <c r="AA139" s="75" t="str">
        <f>IF(Z139=1,SUM($Z$5:$Z139),"")</f>
        <v/>
      </c>
    </row>
    <row r="140" spans="1:27" s="27" customFormat="1">
      <c r="A140" s="73" t="s">
        <v>535</v>
      </c>
      <c r="B140" s="65" t="s">
        <v>536</v>
      </c>
      <c r="C140" s="73" t="s">
        <v>537</v>
      </c>
      <c r="D140" s="73" t="s">
        <v>688</v>
      </c>
      <c r="E140" s="73" t="s">
        <v>694</v>
      </c>
      <c r="F140" s="64">
        <v>1</v>
      </c>
      <c r="G140" s="64" t="s">
        <v>540</v>
      </c>
      <c r="H140" s="72">
        <v>65</v>
      </c>
      <c r="I140" s="60"/>
      <c r="J140" s="60"/>
      <c r="K140" s="60"/>
      <c r="L140" s="60"/>
      <c r="M140" s="60"/>
      <c r="N140" s="60"/>
      <c r="O140" s="60" t="s">
        <v>74</v>
      </c>
      <c r="P140" s="60"/>
      <c r="Q140" s="60"/>
      <c r="R140" s="60"/>
      <c r="S140" s="60"/>
      <c r="T140" s="71"/>
      <c r="U140" s="64">
        <f t="shared" si="6"/>
        <v>1</v>
      </c>
      <c r="V140" s="73" t="str">
        <f t="shared" si="7"/>
        <v>▲ 單一設備依賴</v>
      </c>
      <c r="W140" s="61" t="str">
        <f t="shared" si="8"/>
        <v>僅依賴1台設備，須確認故障/排修時之備援製程</v>
      </c>
      <c r="X140" s="73" t="s">
        <v>689</v>
      </c>
      <c r="Y140" s="73" t="s">
        <v>561</v>
      </c>
      <c r="Z140" s="75">
        <f>IF($D140="",0,IF(COUNTIF($D$5:$D140,$D140)=1,1,0))</f>
        <v>0</v>
      </c>
      <c r="AA140" s="75" t="str">
        <f>IF(Z140=1,SUM($Z$5:$Z140),"")</f>
        <v/>
      </c>
    </row>
    <row r="141" spans="1:27" s="27" customFormat="1">
      <c r="A141" s="73" t="s">
        <v>535</v>
      </c>
      <c r="B141" s="65" t="s">
        <v>536</v>
      </c>
      <c r="C141" s="73" t="s">
        <v>537</v>
      </c>
      <c r="D141" s="73" t="s">
        <v>695</v>
      </c>
      <c r="E141" s="73" t="s">
        <v>539</v>
      </c>
      <c r="F141" s="64">
        <v>200</v>
      </c>
      <c r="G141" s="64" t="s">
        <v>540</v>
      </c>
      <c r="H141" s="72">
        <v>98</v>
      </c>
      <c r="I141" s="60" t="s">
        <v>74</v>
      </c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71"/>
      <c r="U141" s="64">
        <f t="shared" si="6"/>
        <v>1</v>
      </c>
      <c r="V141" s="73" t="str">
        <f t="shared" si="7"/>
        <v>▲ 單一設備依賴</v>
      </c>
      <c r="W141" s="61" t="str">
        <f t="shared" si="8"/>
        <v>僅依賴1台設備，須確認故障/排修時之備援製程</v>
      </c>
      <c r="X141" s="73" t="s">
        <v>696</v>
      </c>
      <c r="Y141" s="73" t="s">
        <v>561</v>
      </c>
      <c r="Z141" s="75">
        <f>IF($D141="",0,IF(COUNTIF($D$5:$D141,$D141)=1,1,0))</f>
        <v>1</v>
      </c>
      <c r="AA141" s="75">
        <f>IF(Z141=1,SUM($Z$5:$Z141),"")</f>
        <v>24</v>
      </c>
    </row>
    <row r="142" spans="1:27" s="27" customFormat="1">
      <c r="A142" s="73" t="s">
        <v>535</v>
      </c>
      <c r="B142" s="65" t="s">
        <v>536</v>
      </c>
      <c r="C142" s="73" t="s">
        <v>537</v>
      </c>
      <c r="D142" s="73" t="s">
        <v>695</v>
      </c>
      <c r="E142" s="73" t="s">
        <v>697</v>
      </c>
      <c r="F142" s="64">
        <v>100</v>
      </c>
      <c r="G142" s="64" t="s">
        <v>540</v>
      </c>
      <c r="H142" s="72">
        <v>53</v>
      </c>
      <c r="I142" s="60"/>
      <c r="J142" s="60"/>
      <c r="K142" s="60"/>
      <c r="L142" s="60"/>
      <c r="M142" s="60"/>
      <c r="N142" s="60"/>
      <c r="O142" s="60" t="s">
        <v>74</v>
      </c>
      <c r="P142" s="60"/>
      <c r="Q142" s="60"/>
      <c r="R142" s="60"/>
      <c r="S142" s="60"/>
      <c r="T142" s="71"/>
      <c r="U142" s="64">
        <f t="shared" si="6"/>
        <v>1</v>
      </c>
      <c r="V142" s="73" t="str">
        <f t="shared" si="7"/>
        <v>▲ 單一設備依賴</v>
      </c>
      <c r="W142" s="61" t="str">
        <f t="shared" si="8"/>
        <v>僅依賴1台設備，須確認故障/排修時之備援製程</v>
      </c>
      <c r="X142" s="73" t="s">
        <v>696</v>
      </c>
      <c r="Y142" s="73" t="s">
        <v>561</v>
      </c>
      <c r="Z142" s="75">
        <f>IF($D142="",0,IF(COUNTIF($D$5:$D142,$D142)=1,1,0))</f>
        <v>0</v>
      </c>
      <c r="AA142" s="75" t="str">
        <f>IF(Z142=1,SUM($Z$5:$Z142),"")</f>
        <v/>
      </c>
    </row>
    <row r="143" spans="1:27" s="27" customFormat="1">
      <c r="A143" s="73" t="s">
        <v>535</v>
      </c>
      <c r="B143" s="65" t="s">
        <v>536</v>
      </c>
      <c r="C143" s="73" t="s">
        <v>537</v>
      </c>
      <c r="D143" s="73" t="s">
        <v>695</v>
      </c>
      <c r="E143" s="73" t="s">
        <v>698</v>
      </c>
      <c r="F143" s="64">
        <v>25</v>
      </c>
      <c r="G143" s="64" t="s">
        <v>540</v>
      </c>
      <c r="H143" s="72">
        <v>60</v>
      </c>
      <c r="I143" s="60"/>
      <c r="J143" s="60"/>
      <c r="K143" s="60" t="s">
        <v>74</v>
      </c>
      <c r="L143" s="60"/>
      <c r="M143" s="60"/>
      <c r="N143" s="60"/>
      <c r="O143" s="60"/>
      <c r="P143" s="60"/>
      <c r="Q143" s="60"/>
      <c r="R143" s="60"/>
      <c r="S143" s="60"/>
      <c r="T143" s="71"/>
      <c r="U143" s="64">
        <f t="shared" si="6"/>
        <v>1</v>
      </c>
      <c r="V143" s="73" t="str">
        <f t="shared" si="7"/>
        <v>▲ 單一設備依賴</v>
      </c>
      <c r="W143" s="61" t="str">
        <f t="shared" si="8"/>
        <v>僅依賴1台設備，須確認故障/排修時之備援製程</v>
      </c>
      <c r="X143" s="73" t="s">
        <v>696</v>
      </c>
      <c r="Y143" s="73" t="s">
        <v>561</v>
      </c>
      <c r="Z143" s="75">
        <f>IF($D143="",0,IF(COUNTIF($D$5:$D143,$D143)=1,1,0))</f>
        <v>0</v>
      </c>
      <c r="AA143" s="75" t="str">
        <f>IF(Z143=1,SUM($Z$5:$Z143),"")</f>
        <v/>
      </c>
    </row>
    <row r="144" spans="1:27" s="27" customFormat="1">
      <c r="A144" s="73" t="s">
        <v>535</v>
      </c>
      <c r="B144" s="65" t="s">
        <v>536</v>
      </c>
      <c r="C144" s="73" t="s">
        <v>537</v>
      </c>
      <c r="D144" s="73" t="s">
        <v>695</v>
      </c>
      <c r="E144" s="73" t="s">
        <v>699</v>
      </c>
      <c r="F144" s="64">
        <v>4</v>
      </c>
      <c r="G144" s="64" t="s">
        <v>545</v>
      </c>
      <c r="H144" s="72">
        <v>100</v>
      </c>
      <c r="I144" s="60"/>
      <c r="J144" s="60"/>
      <c r="K144" s="60"/>
      <c r="L144" s="60"/>
      <c r="M144" s="60"/>
      <c r="N144" s="60" t="s">
        <v>74</v>
      </c>
      <c r="O144" s="60"/>
      <c r="P144" s="60"/>
      <c r="Q144" s="60"/>
      <c r="R144" s="60"/>
      <c r="S144" s="60"/>
      <c r="T144" s="71"/>
      <c r="U144" s="64">
        <f t="shared" si="6"/>
        <v>1</v>
      </c>
      <c r="V144" s="73" t="str">
        <f t="shared" si="7"/>
        <v>▲ 單一設備依賴</v>
      </c>
      <c r="W144" s="61" t="str">
        <f t="shared" si="8"/>
        <v>僅依賴1台設備，須確認故障/排修時之備援製程</v>
      </c>
      <c r="X144" s="73" t="s">
        <v>696</v>
      </c>
      <c r="Y144" s="73" t="s">
        <v>561</v>
      </c>
      <c r="Z144" s="75">
        <f>IF($D144="",0,IF(COUNTIF($D$5:$D144,$D144)=1,1,0))</f>
        <v>0</v>
      </c>
      <c r="AA144" s="75" t="str">
        <f>IF(Z144=1,SUM($Z$5:$Z144),"")</f>
        <v/>
      </c>
    </row>
    <row r="145" spans="1:27" s="27" customFormat="1">
      <c r="A145" s="73" t="s">
        <v>535</v>
      </c>
      <c r="B145" s="65" t="s">
        <v>536</v>
      </c>
      <c r="C145" s="73" t="s">
        <v>537</v>
      </c>
      <c r="D145" s="73" t="s">
        <v>695</v>
      </c>
      <c r="E145" s="73" t="s">
        <v>700</v>
      </c>
      <c r="F145" s="64">
        <v>3</v>
      </c>
      <c r="G145" s="64" t="s">
        <v>545</v>
      </c>
      <c r="H145" s="72">
        <v>100</v>
      </c>
      <c r="I145" s="60"/>
      <c r="J145" s="60"/>
      <c r="K145" s="60" t="s">
        <v>74</v>
      </c>
      <c r="L145" s="60"/>
      <c r="M145" s="60"/>
      <c r="N145" s="60"/>
      <c r="O145" s="60"/>
      <c r="P145" s="60"/>
      <c r="Q145" s="60"/>
      <c r="R145" s="60"/>
      <c r="S145" s="60"/>
      <c r="T145" s="71"/>
      <c r="U145" s="64">
        <f t="shared" si="6"/>
        <v>1</v>
      </c>
      <c r="V145" s="73" t="str">
        <f t="shared" si="7"/>
        <v>▲ 單一設備依賴</v>
      </c>
      <c r="W145" s="61" t="str">
        <f t="shared" si="8"/>
        <v>僅依賴1台設備，須確認故障/排修時之備援製程</v>
      </c>
      <c r="X145" s="73" t="s">
        <v>696</v>
      </c>
      <c r="Y145" s="73" t="s">
        <v>561</v>
      </c>
      <c r="Z145" s="75">
        <f>IF($D145="",0,IF(COUNTIF($D$5:$D145,$D145)=1,1,0))</f>
        <v>0</v>
      </c>
      <c r="AA145" s="75" t="str">
        <f>IF(Z145=1,SUM($Z$5:$Z145),"")</f>
        <v/>
      </c>
    </row>
    <row r="146" spans="1:27" s="27" customFormat="1">
      <c r="A146" s="73" t="s">
        <v>535</v>
      </c>
      <c r="B146" s="65" t="s">
        <v>536</v>
      </c>
      <c r="C146" s="73" t="s">
        <v>537</v>
      </c>
      <c r="D146" s="73" t="s">
        <v>695</v>
      </c>
      <c r="E146" s="73" t="s">
        <v>547</v>
      </c>
      <c r="F146" s="64">
        <v>2</v>
      </c>
      <c r="G146" s="64" t="s">
        <v>540</v>
      </c>
      <c r="H146" s="72">
        <v>70</v>
      </c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71" t="s">
        <v>74</v>
      </c>
      <c r="U146" s="64">
        <f t="shared" si="6"/>
        <v>0</v>
      </c>
      <c r="V146" s="73" t="str">
        <f t="shared" si="7"/>
        <v>○ 免調理</v>
      </c>
      <c r="W146" s="61" t="str">
        <f t="shared" si="8"/>
        <v>免調理半成品（外購/僅切配等），不列入設備風險評估</v>
      </c>
      <c r="X146" s="73" t="s">
        <v>696</v>
      </c>
      <c r="Y146" s="73" t="s">
        <v>561</v>
      </c>
      <c r="Z146" s="75">
        <f>IF($D146="",0,IF(COUNTIF($D$5:$D146,$D146)=1,1,0))</f>
        <v>0</v>
      </c>
      <c r="AA146" s="75" t="str">
        <f>IF(Z146=1,SUM($Z$5:$Z146),"")</f>
        <v/>
      </c>
    </row>
    <row r="147" spans="1:27" s="27" customFormat="1">
      <c r="A147" s="73" t="s">
        <v>535</v>
      </c>
      <c r="B147" s="65" t="s">
        <v>536</v>
      </c>
      <c r="C147" s="73" t="s">
        <v>537</v>
      </c>
      <c r="D147" s="73" t="s">
        <v>695</v>
      </c>
      <c r="E147" s="73" t="s">
        <v>701</v>
      </c>
      <c r="F147" s="64">
        <v>0.3</v>
      </c>
      <c r="G147" s="64" t="s">
        <v>540</v>
      </c>
      <c r="H147" s="72">
        <v>100</v>
      </c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71" t="s">
        <v>74</v>
      </c>
      <c r="U147" s="64">
        <f t="shared" si="6"/>
        <v>0</v>
      </c>
      <c r="V147" s="73" t="str">
        <f t="shared" si="7"/>
        <v>○ 免調理</v>
      </c>
      <c r="W147" s="61" t="str">
        <f t="shared" si="8"/>
        <v>免調理半成品（外購/僅切配等），不列入設備風險評估</v>
      </c>
      <c r="X147" s="73" t="s">
        <v>702</v>
      </c>
      <c r="Y147" s="73" t="s">
        <v>561</v>
      </c>
      <c r="Z147" s="75">
        <f>IF($D147="",0,IF(COUNTIF($D$5:$D147,$D147)=1,1,0))</f>
        <v>0</v>
      </c>
      <c r="AA147" s="75" t="str">
        <f>IF(Z147=1,SUM($Z$5:$Z147),"")</f>
        <v/>
      </c>
    </row>
    <row r="148" spans="1:27" s="27" customFormat="1">
      <c r="A148" s="73" t="s">
        <v>535</v>
      </c>
      <c r="B148" s="65" t="s">
        <v>536</v>
      </c>
      <c r="C148" s="73" t="s">
        <v>537</v>
      </c>
      <c r="D148" s="73" t="s">
        <v>695</v>
      </c>
      <c r="E148" s="73" t="s">
        <v>703</v>
      </c>
      <c r="F148" s="64">
        <v>1</v>
      </c>
      <c r="G148" s="64" t="s">
        <v>545</v>
      </c>
      <c r="H148" s="72">
        <v>100</v>
      </c>
      <c r="I148" s="60"/>
      <c r="J148" s="60"/>
      <c r="K148" s="60"/>
      <c r="L148" s="60"/>
      <c r="M148" s="60"/>
      <c r="N148" s="60"/>
      <c r="O148" s="60" t="s">
        <v>74</v>
      </c>
      <c r="P148" s="60"/>
      <c r="Q148" s="60"/>
      <c r="R148" s="60"/>
      <c r="S148" s="60"/>
      <c r="T148" s="71"/>
      <c r="U148" s="64">
        <f t="shared" si="6"/>
        <v>1</v>
      </c>
      <c r="V148" s="73" t="str">
        <f t="shared" si="7"/>
        <v>▲ 單一設備依賴</v>
      </c>
      <c r="W148" s="61" t="str">
        <f t="shared" si="8"/>
        <v>僅依賴1台設備，須確認故障/排修時之備援製程</v>
      </c>
      <c r="X148" s="73" t="s">
        <v>704</v>
      </c>
      <c r="Y148" s="73" t="s">
        <v>561</v>
      </c>
      <c r="Z148" s="75">
        <f>IF($D148="",0,IF(COUNTIF($D$5:$D148,$D148)=1,1,0))</f>
        <v>0</v>
      </c>
      <c r="AA148" s="75" t="str">
        <f>IF(Z148=1,SUM($Z$5:$Z148),"")</f>
        <v/>
      </c>
    </row>
    <row r="149" spans="1:27" s="27" customFormat="1">
      <c r="A149" s="73" t="s">
        <v>535</v>
      </c>
      <c r="B149" s="65" t="s">
        <v>536</v>
      </c>
      <c r="C149" s="73" t="s">
        <v>537</v>
      </c>
      <c r="D149" s="73" t="s">
        <v>705</v>
      </c>
      <c r="E149" s="73" t="s">
        <v>706</v>
      </c>
      <c r="F149" s="64">
        <v>250</v>
      </c>
      <c r="G149" s="64" t="s">
        <v>540</v>
      </c>
      <c r="H149" s="72">
        <v>75</v>
      </c>
      <c r="I149" s="60" t="s">
        <v>74</v>
      </c>
      <c r="J149" s="60"/>
      <c r="K149" s="60"/>
      <c r="L149" s="60"/>
      <c r="M149" s="60"/>
      <c r="N149" s="60"/>
      <c r="O149" s="60"/>
      <c r="P149" s="60" t="s">
        <v>74</v>
      </c>
      <c r="Q149" s="60"/>
      <c r="R149" s="60"/>
      <c r="S149" s="60"/>
      <c r="T149" s="71"/>
      <c r="U149" s="64">
        <f t="shared" si="6"/>
        <v>2</v>
      </c>
      <c r="V149" s="73" t="str">
        <f t="shared" si="7"/>
        <v>OK</v>
      </c>
      <c r="W149" s="61" t="str">
        <f t="shared" si="8"/>
        <v>無異常</v>
      </c>
      <c r="X149" s="73" t="s">
        <v>707</v>
      </c>
      <c r="Y149" s="73" t="s">
        <v>561</v>
      </c>
      <c r="Z149" s="75">
        <f>IF($D149="",0,IF(COUNTIF($D$5:$D149,$D149)=1,1,0))</f>
        <v>1</v>
      </c>
      <c r="AA149" s="75">
        <f>IF(Z149=1,SUM($Z$5:$Z149),"")</f>
        <v>25</v>
      </c>
    </row>
    <row r="150" spans="1:27" s="27" customFormat="1">
      <c r="A150" s="73" t="s">
        <v>535</v>
      </c>
      <c r="B150" s="65" t="s">
        <v>536</v>
      </c>
      <c r="C150" s="73" t="s">
        <v>537</v>
      </c>
      <c r="D150" s="73" t="s">
        <v>705</v>
      </c>
      <c r="E150" s="73" t="s">
        <v>708</v>
      </c>
      <c r="F150" s="64">
        <v>80</v>
      </c>
      <c r="G150" s="64" t="s">
        <v>540</v>
      </c>
      <c r="H150" s="72">
        <v>400</v>
      </c>
      <c r="I150" s="60"/>
      <c r="J150" s="60"/>
      <c r="K150" s="60"/>
      <c r="L150" s="60"/>
      <c r="M150" s="60"/>
      <c r="N150" s="60" t="s">
        <v>74</v>
      </c>
      <c r="O150" s="60"/>
      <c r="P150" s="60"/>
      <c r="Q150" s="60"/>
      <c r="R150" s="60"/>
      <c r="S150" s="60"/>
      <c r="T150" s="71"/>
      <c r="U150" s="64">
        <f t="shared" si="6"/>
        <v>1</v>
      </c>
      <c r="V150" s="73" t="str">
        <f t="shared" si="7"/>
        <v>▲ 單一設備依賴</v>
      </c>
      <c r="W150" s="61" t="str">
        <f t="shared" si="8"/>
        <v>僅依賴1台設備，須確認故障/排修時之備援製程</v>
      </c>
      <c r="X150" s="73" t="s">
        <v>707</v>
      </c>
      <c r="Y150" s="73" t="s">
        <v>561</v>
      </c>
      <c r="Z150" s="75">
        <f>IF($D150="",0,IF(COUNTIF($D$5:$D150,$D150)=1,1,0))</f>
        <v>0</v>
      </c>
      <c r="AA150" s="75" t="str">
        <f>IF(Z150=1,SUM($Z$5:$Z150),"")</f>
        <v/>
      </c>
    </row>
    <row r="151" spans="1:27" s="27" customFormat="1">
      <c r="A151" s="73" t="s">
        <v>709</v>
      </c>
      <c r="B151" s="65" t="s">
        <v>536</v>
      </c>
      <c r="C151" s="73" t="s">
        <v>537</v>
      </c>
      <c r="D151" s="73" t="s">
        <v>710</v>
      </c>
      <c r="E151" s="73" t="s">
        <v>550</v>
      </c>
      <c r="F151" s="64">
        <v>205</v>
      </c>
      <c r="G151" s="64" t="s">
        <v>540</v>
      </c>
      <c r="H151" s="72">
        <v>85</v>
      </c>
      <c r="I151" s="60" t="s">
        <v>74</v>
      </c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71"/>
      <c r="U151" s="64">
        <f t="shared" si="6"/>
        <v>1</v>
      </c>
      <c r="V151" s="73" t="str">
        <f t="shared" si="7"/>
        <v>▲ 單一設備依賴</v>
      </c>
      <c r="W151" s="61" t="str">
        <f t="shared" si="8"/>
        <v>僅依賴1台設備，須確認故障/排修時之備援製程</v>
      </c>
      <c r="X151" s="73" t="s">
        <v>711</v>
      </c>
      <c r="Y151" s="73" t="s">
        <v>561</v>
      </c>
      <c r="Z151" s="75">
        <f>IF($D151="",0,IF(COUNTIF($D$5:$D151,$D151)=1,1,0))</f>
        <v>1</v>
      </c>
      <c r="AA151" s="75">
        <f>IF(Z151=1,SUM($Z$5:$Z151),"")</f>
        <v>26</v>
      </c>
    </row>
    <row r="152" spans="1:27" s="27" customFormat="1">
      <c r="A152" s="73" t="s">
        <v>709</v>
      </c>
      <c r="B152" s="65" t="s">
        <v>536</v>
      </c>
      <c r="C152" s="73" t="s">
        <v>537</v>
      </c>
      <c r="D152" s="73" t="s">
        <v>710</v>
      </c>
      <c r="E152" s="73" t="s">
        <v>684</v>
      </c>
      <c r="F152" s="64">
        <v>16</v>
      </c>
      <c r="G152" s="64" t="s">
        <v>540</v>
      </c>
      <c r="H152" s="72">
        <v>62</v>
      </c>
      <c r="I152" s="60"/>
      <c r="J152" s="60"/>
      <c r="K152" s="60"/>
      <c r="L152" s="60"/>
      <c r="M152" s="60"/>
      <c r="N152" s="60"/>
      <c r="O152" s="60" t="s">
        <v>74</v>
      </c>
      <c r="P152" s="60"/>
      <c r="Q152" s="60"/>
      <c r="R152" s="60"/>
      <c r="S152" s="60"/>
      <c r="T152" s="71"/>
      <c r="U152" s="64">
        <f t="shared" si="6"/>
        <v>1</v>
      </c>
      <c r="V152" s="73" t="str">
        <f t="shared" si="7"/>
        <v>▲ 單一設備依賴</v>
      </c>
      <c r="W152" s="61" t="str">
        <f t="shared" si="8"/>
        <v>僅依賴1台設備，須確認故障/排修時之備援製程</v>
      </c>
      <c r="X152" s="73" t="s">
        <v>711</v>
      </c>
      <c r="Y152" s="73" t="s">
        <v>561</v>
      </c>
      <c r="Z152" s="75">
        <f>IF($D152="",0,IF(COUNTIF($D$5:$D152,$D152)=1,1,0))</f>
        <v>0</v>
      </c>
      <c r="AA152" s="75" t="str">
        <f>IF(Z152=1,SUM($Z$5:$Z152),"")</f>
        <v/>
      </c>
    </row>
    <row r="153" spans="1:27" s="27" customFormat="1">
      <c r="A153" s="73" t="s">
        <v>709</v>
      </c>
      <c r="B153" s="65" t="s">
        <v>536</v>
      </c>
      <c r="C153" s="73" t="s">
        <v>537</v>
      </c>
      <c r="D153" s="73" t="s">
        <v>710</v>
      </c>
      <c r="E153" s="73" t="s">
        <v>712</v>
      </c>
      <c r="F153" s="64">
        <v>30</v>
      </c>
      <c r="G153" s="64" t="s">
        <v>540</v>
      </c>
      <c r="H153" s="72">
        <v>70</v>
      </c>
      <c r="I153" s="60"/>
      <c r="J153" s="60"/>
      <c r="K153" s="60"/>
      <c r="L153" s="60"/>
      <c r="M153" s="60"/>
      <c r="N153" s="60"/>
      <c r="O153" s="60" t="s">
        <v>74</v>
      </c>
      <c r="P153" s="60"/>
      <c r="Q153" s="60"/>
      <c r="R153" s="60"/>
      <c r="S153" s="60"/>
      <c r="T153" s="71"/>
      <c r="U153" s="64">
        <f t="shared" si="6"/>
        <v>1</v>
      </c>
      <c r="V153" s="73" t="str">
        <f t="shared" si="7"/>
        <v>▲ 單一設備依賴</v>
      </c>
      <c r="W153" s="61" t="str">
        <f t="shared" si="8"/>
        <v>僅依賴1台設備，須確認故障/排修時之備援製程</v>
      </c>
      <c r="X153" s="73" t="s">
        <v>711</v>
      </c>
      <c r="Y153" s="73" t="s">
        <v>561</v>
      </c>
      <c r="Z153" s="75">
        <f>IF($D153="",0,IF(COUNTIF($D$5:$D153,$D153)=1,1,0))</f>
        <v>0</v>
      </c>
      <c r="AA153" s="75" t="str">
        <f>IF(Z153=1,SUM($Z$5:$Z153),"")</f>
        <v/>
      </c>
    </row>
    <row r="154" spans="1:27" s="27" customFormat="1">
      <c r="A154" s="73" t="s">
        <v>709</v>
      </c>
      <c r="B154" s="65" t="s">
        <v>536</v>
      </c>
      <c r="C154" s="73" t="s">
        <v>537</v>
      </c>
      <c r="D154" s="73" t="s">
        <v>710</v>
      </c>
      <c r="E154" s="73" t="s">
        <v>713</v>
      </c>
      <c r="F154" s="64">
        <v>13</v>
      </c>
      <c r="G154" s="64" t="s">
        <v>540</v>
      </c>
      <c r="H154" s="72">
        <v>67</v>
      </c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71" t="s">
        <v>74</v>
      </c>
      <c r="U154" s="64">
        <f t="shared" si="6"/>
        <v>0</v>
      </c>
      <c r="V154" s="73" t="str">
        <f t="shared" si="7"/>
        <v>○ 免調理</v>
      </c>
      <c r="W154" s="61" t="str">
        <f t="shared" si="8"/>
        <v>免調理半成品（外購/僅切配等），不列入設備風險評估</v>
      </c>
      <c r="X154" s="73" t="s">
        <v>711</v>
      </c>
      <c r="Y154" s="73" t="s">
        <v>561</v>
      </c>
      <c r="Z154" s="75">
        <f>IF($D154="",0,IF(COUNTIF($D$5:$D154,$D154)=1,1,0))</f>
        <v>0</v>
      </c>
      <c r="AA154" s="75" t="str">
        <f>IF(Z154=1,SUM($Z$5:$Z154),"")</f>
        <v/>
      </c>
    </row>
    <row r="155" spans="1:27" s="27" customFormat="1">
      <c r="A155" s="73" t="s">
        <v>709</v>
      </c>
      <c r="B155" s="65" t="s">
        <v>536</v>
      </c>
      <c r="C155" s="73" t="s">
        <v>537</v>
      </c>
      <c r="D155" s="73" t="s">
        <v>710</v>
      </c>
      <c r="E155" s="73" t="s">
        <v>714</v>
      </c>
      <c r="F155" s="64">
        <v>2</v>
      </c>
      <c r="G155" s="64" t="s">
        <v>545</v>
      </c>
      <c r="H155" s="72">
        <v>65</v>
      </c>
      <c r="I155" s="60"/>
      <c r="J155" s="60"/>
      <c r="K155" s="60" t="s">
        <v>74</v>
      </c>
      <c r="L155" s="60"/>
      <c r="M155" s="60"/>
      <c r="N155" s="60"/>
      <c r="O155" s="60"/>
      <c r="P155" s="60"/>
      <c r="Q155" s="60"/>
      <c r="R155" s="60"/>
      <c r="S155" s="60"/>
      <c r="T155" s="71"/>
      <c r="U155" s="64">
        <f t="shared" si="6"/>
        <v>1</v>
      </c>
      <c r="V155" s="73" t="str">
        <f t="shared" si="7"/>
        <v>▲ 單一設備依賴</v>
      </c>
      <c r="W155" s="61" t="str">
        <f t="shared" si="8"/>
        <v>僅依賴1台設備，須確認故障/排修時之備援製程</v>
      </c>
      <c r="X155" s="73" t="s">
        <v>711</v>
      </c>
      <c r="Y155" s="73" t="s">
        <v>561</v>
      </c>
      <c r="Z155" s="75">
        <f>IF($D155="",0,IF(COUNTIF($D$5:$D155,$D155)=1,1,0))</f>
        <v>0</v>
      </c>
      <c r="AA155" s="75" t="str">
        <f>IF(Z155=1,SUM($Z$5:$Z155),"")</f>
        <v/>
      </c>
    </row>
    <row r="156" spans="1:27" s="27" customFormat="1">
      <c r="A156" s="73" t="s">
        <v>709</v>
      </c>
      <c r="B156" s="65" t="s">
        <v>536</v>
      </c>
      <c r="C156" s="73" t="s">
        <v>537</v>
      </c>
      <c r="D156" s="73" t="s">
        <v>710</v>
      </c>
      <c r="E156" s="73" t="s">
        <v>715</v>
      </c>
      <c r="F156" s="64">
        <v>35</v>
      </c>
      <c r="G156" s="64" t="s">
        <v>540</v>
      </c>
      <c r="H156" s="72">
        <v>62</v>
      </c>
      <c r="I156" s="60"/>
      <c r="J156" s="60"/>
      <c r="K156" s="60"/>
      <c r="L156" s="60"/>
      <c r="M156" s="60"/>
      <c r="N156" s="60"/>
      <c r="O156" s="60" t="s">
        <v>74</v>
      </c>
      <c r="P156" s="60"/>
      <c r="Q156" s="60"/>
      <c r="R156" s="60"/>
      <c r="S156" s="60"/>
      <c r="T156" s="71"/>
      <c r="U156" s="64">
        <f t="shared" si="6"/>
        <v>1</v>
      </c>
      <c r="V156" s="73" t="str">
        <f t="shared" si="7"/>
        <v>▲ 單一設備依賴</v>
      </c>
      <c r="W156" s="61" t="str">
        <f t="shared" si="8"/>
        <v>僅依賴1台設備，須確認故障/排修時之備援製程</v>
      </c>
      <c r="X156" s="73" t="s">
        <v>711</v>
      </c>
      <c r="Y156" s="73" t="s">
        <v>561</v>
      </c>
      <c r="Z156" s="75">
        <f>IF($D156="",0,IF(COUNTIF($D$5:$D156,$D156)=1,1,0))</f>
        <v>0</v>
      </c>
      <c r="AA156" s="75" t="str">
        <f>IF(Z156=1,SUM($Z$5:$Z156),"")</f>
        <v/>
      </c>
    </row>
    <row r="157" spans="1:27" s="27" customFormat="1">
      <c r="A157" s="73" t="s">
        <v>709</v>
      </c>
      <c r="B157" s="65" t="s">
        <v>536</v>
      </c>
      <c r="C157" s="73" t="s">
        <v>537</v>
      </c>
      <c r="D157" s="73" t="s">
        <v>710</v>
      </c>
      <c r="E157" s="73" t="s">
        <v>716</v>
      </c>
      <c r="F157" s="64">
        <v>0.2</v>
      </c>
      <c r="G157" s="64" t="s">
        <v>540</v>
      </c>
      <c r="H157" s="72">
        <v>100</v>
      </c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71" t="s">
        <v>74</v>
      </c>
      <c r="U157" s="64">
        <f t="shared" si="6"/>
        <v>0</v>
      </c>
      <c r="V157" s="73" t="str">
        <f t="shared" si="7"/>
        <v>○ 免調理</v>
      </c>
      <c r="W157" s="61" t="str">
        <f t="shared" si="8"/>
        <v>免調理半成品（外購/僅切配等），不列入設備風險評估</v>
      </c>
      <c r="X157" s="73" t="s">
        <v>711</v>
      </c>
      <c r="Y157" s="73" t="s">
        <v>561</v>
      </c>
      <c r="Z157" s="75">
        <f>IF($D157="",0,IF(COUNTIF($D$5:$D157,$D157)=1,1,0))</f>
        <v>0</v>
      </c>
      <c r="AA157" s="75" t="str">
        <f>IF(Z157=1,SUM($Z$5:$Z157),"")</f>
        <v/>
      </c>
    </row>
    <row r="158" spans="1:27">
      <c r="A158" s="73" t="s">
        <v>709</v>
      </c>
      <c r="B158" s="65" t="s">
        <v>536</v>
      </c>
      <c r="C158" s="73" t="s">
        <v>717</v>
      </c>
      <c r="D158" s="73" t="s">
        <v>718</v>
      </c>
      <c r="E158" s="73" t="s">
        <v>539</v>
      </c>
      <c r="F158" s="64">
        <v>210</v>
      </c>
      <c r="G158" s="64" t="s">
        <v>540</v>
      </c>
      <c r="H158" s="72">
        <v>92</v>
      </c>
      <c r="I158" s="60" t="s">
        <v>74</v>
      </c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71"/>
      <c r="U158" s="64">
        <f t="shared" ref="U158:U165" si="9">IF($E158="","",COUNTIF($I158:$S158,"V"))</f>
        <v>1</v>
      </c>
      <c r="V158" s="73" t="str">
        <f t="shared" ref="V158:V165" si="10">IF($E158="","",IF(AND($T158="V",$U158&gt;0),"⚠ 勾選矛盾",IF($T158="V","○ 免調理",IF($U158=0,"⚠ 資料缺漏",IF($U158=1,"▲ 單一設備依賴","OK")))))</f>
        <v>▲ 單一設備依賴</v>
      </c>
      <c r="W158" s="61" t="str">
        <f t="shared" ref="W158:W165" si="11">IF($E158="","",IF(AND($T158="V",$U158&gt;0),"「無使用調理設備」不可與設備欄同時勾選，請擇一修正",IF($T158="V","免調理半成品（外購/僅切配等），不列入設備風險評估",IF($U158=0,"未勾選任何設備，請補填或勾選「無使用調理設備」",IF($U158=1,"僅依賴1台設備，須確認故障/排修時之備援製程","無異常")))))</f>
        <v>僅依賴1台設備，須確認故障/排修時之備援製程</v>
      </c>
      <c r="X158" s="73" t="s">
        <v>719</v>
      </c>
      <c r="Y158" s="73" t="s">
        <v>720</v>
      </c>
      <c r="Z158" s="75">
        <f>IF($D158="",0,IF(COUNTIF($D$5:$D158,$D158)=1,1,0))</f>
        <v>1</v>
      </c>
      <c r="AA158" s="75">
        <f>IF(Z158=1,SUM($Z$5:$Z158),"")</f>
        <v>27</v>
      </c>
    </row>
    <row r="159" spans="1:27">
      <c r="A159" s="73" t="s">
        <v>709</v>
      </c>
      <c r="B159" s="65" t="s">
        <v>536</v>
      </c>
      <c r="C159" s="73" t="s">
        <v>717</v>
      </c>
      <c r="D159" s="73" t="s">
        <v>718</v>
      </c>
      <c r="E159" s="73" t="s">
        <v>721</v>
      </c>
      <c r="F159" s="64">
        <v>130</v>
      </c>
      <c r="G159" s="64" t="s">
        <v>540</v>
      </c>
      <c r="H159" s="72">
        <v>57</v>
      </c>
      <c r="I159" s="60"/>
      <c r="J159" s="60"/>
      <c r="K159" s="60"/>
      <c r="L159" s="60"/>
      <c r="M159" s="60"/>
      <c r="N159" s="60"/>
      <c r="O159" s="60" t="s">
        <v>74</v>
      </c>
      <c r="P159" s="60"/>
      <c r="Q159" s="60"/>
      <c r="R159" s="60"/>
      <c r="S159" s="60"/>
      <c r="T159" s="71"/>
      <c r="U159" s="64">
        <f t="shared" si="9"/>
        <v>1</v>
      </c>
      <c r="V159" s="73" t="str">
        <f t="shared" si="10"/>
        <v>▲ 單一設備依賴</v>
      </c>
      <c r="W159" s="61" t="str">
        <f t="shared" si="11"/>
        <v>僅依賴1台設備，須確認故障/排修時之備援製程</v>
      </c>
      <c r="X159" s="73" t="s">
        <v>719</v>
      </c>
      <c r="Y159" s="73" t="s">
        <v>720</v>
      </c>
      <c r="Z159" s="75">
        <f>IF($D159="",0,IF(COUNTIF($D$5:$D159,$D159)=1,1,0))</f>
        <v>0</v>
      </c>
      <c r="AA159" s="75" t="str">
        <f>IF(Z159=1,SUM($Z$5:$Z159),"")</f>
        <v/>
      </c>
    </row>
    <row r="160" spans="1:27">
      <c r="A160" s="73" t="s">
        <v>709</v>
      </c>
      <c r="B160" s="65" t="s">
        <v>536</v>
      </c>
      <c r="C160" s="73" t="s">
        <v>717</v>
      </c>
      <c r="D160" s="73" t="s">
        <v>718</v>
      </c>
      <c r="E160" s="73" t="s">
        <v>722</v>
      </c>
      <c r="F160" s="64">
        <v>12</v>
      </c>
      <c r="G160" s="64" t="s">
        <v>540</v>
      </c>
      <c r="H160" s="72">
        <v>850</v>
      </c>
      <c r="I160" s="60"/>
      <c r="J160" s="60"/>
      <c r="K160" s="60"/>
      <c r="L160" s="60"/>
      <c r="M160" s="60"/>
      <c r="N160" s="60"/>
      <c r="O160" s="60" t="s">
        <v>74</v>
      </c>
      <c r="P160" s="60"/>
      <c r="Q160" s="60"/>
      <c r="R160" s="60"/>
      <c r="S160" s="60"/>
      <c r="T160" s="71"/>
      <c r="U160" s="64">
        <f t="shared" si="9"/>
        <v>1</v>
      </c>
      <c r="V160" s="73" t="str">
        <f t="shared" si="10"/>
        <v>▲ 單一設備依賴</v>
      </c>
      <c r="W160" s="61" t="str">
        <f t="shared" si="11"/>
        <v>僅依賴1台設備，須確認故障/排修時之備援製程</v>
      </c>
      <c r="X160" s="73" t="s">
        <v>719</v>
      </c>
      <c r="Y160" s="73" t="s">
        <v>720</v>
      </c>
      <c r="Z160" s="75">
        <f>IF($D160="",0,IF(COUNTIF($D$5:$D160,$D160)=1,1,0))</f>
        <v>0</v>
      </c>
      <c r="AA160" s="75" t="str">
        <f>IF(Z160=1,SUM($Z$5:$Z160),"")</f>
        <v/>
      </c>
    </row>
    <row r="161" spans="1:27">
      <c r="A161" s="73" t="s">
        <v>709</v>
      </c>
      <c r="B161" s="65" t="s">
        <v>536</v>
      </c>
      <c r="C161" s="73" t="s">
        <v>717</v>
      </c>
      <c r="D161" s="73" t="s">
        <v>718</v>
      </c>
      <c r="E161" s="73" t="s">
        <v>627</v>
      </c>
      <c r="F161" s="64">
        <v>30</v>
      </c>
      <c r="G161" s="64" t="s">
        <v>540</v>
      </c>
      <c r="H161" s="72">
        <v>18000</v>
      </c>
      <c r="I161" s="60"/>
      <c r="J161" s="60"/>
      <c r="K161" s="60"/>
      <c r="L161" s="60"/>
      <c r="M161" s="60" t="s">
        <v>74</v>
      </c>
      <c r="N161" s="60"/>
      <c r="O161" s="60"/>
      <c r="P161" s="60"/>
      <c r="Q161" s="60"/>
      <c r="R161" s="60"/>
      <c r="S161" s="60"/>
      <c r="T161" s="71"/>
      <c r="U161" s="64">
        <f t="shared" si="9"/>
        <v>1</v>
      </c>
      <c r="V161" s="73" t="str">
        <f t="shared" si="10"/>
        <v>▲ 單一設備依賴</v>
      </c>
      <c r="W161" s="61" t="str">
        <f t="shared" si="11"/>
        <v>僅依賴1台設備，須確認故障/排修時之備援製程</v>
      </c>
      <c r="X161" s="73" t="s">
        <v>719</v>
      </c>
      <c r="Y161" s="73" t="s">
        <v>720</v>
      </c>
      <c r="Z161" s="75">
        <f>IF($D161="",0,IF(COUNTIF($D$5:$D161,$D161)=1,1,0))</f>
        <v>0</v>
      </c>
      <c r="AA161" s="75" t="str">
        <f>IF(Z161=1,SUM($Z$5:$Z161),"")</f>
        <v/>
      </c>
    </row>
    <row r="162" spans="1:27">
      <c r="A162" s="73" t="s">
        <v>709</v>
      </c>
      <c r="B162" s="65" t="s">
        <v>536</v>
      </c>
      <c r="C162" s="73" t="s">
        <v>717</v>
      </c>
      <c r="D162" s="73" t="s">
        <v>718</v>
      </c>
      <c r="E162" s="73" t="s">
        <v>638</v>
      </c>
      <c r="F162" s="64">
        <v>26</v>
      </c>
      <c r="G162" s="64" t="s">
        <v>540</v>
      </c>
      <c r="H162" s="72">
        <v>48</v>
      </c>
      <c r="I162" s="60"/>
      <c r="J162" s="60"/>
      <c r="K162" s="60"/>
      <c r="L162" s="60"/>
      <c r="M162" s="60"/>
      <c r="N162" s="60"/>
      <c r="O162" s="60" t="s">
        <v>74</v>
      </c>
      <c r="P162" s="60"/>
      <c r="Q162" s="60"/>
      <c r="R162" s="60"/>
      <c r="S162" s="60"/>
      <c r="T162" s="71"/>
      <c r="U162" s="64">
        <f t="shared" si="9"/>
        <v>1</v>
      </c>
      <c r="V162" s="73" t="str">
        <f t="shared" si="10"/>
        <v>▲ 單一設備依賴</v>
      </c>
      <c r="W162" s="61" t="str">
        <f t="shared" si="11"/>
        <v>僅依賴1台設備，須確認故障/排修時之備援製程</v>
      </c>
      <c r="X162" s="73" t="s">
        <v>719</v>
      </c>
      <c r="Y162" s="73" t="s">
        <v>720</v>
      </c>
      <c r="Z162" s="75">
        <f>IF($D162="",0,IF(COUNTIF($D$5:$D162,$D162)=1,1,0))</f>
        <v>0</v>
      </c>
      <c r="AA162" s="75" t="str">
        <f>IF(Z162=1,SUM($Z$5:$Z162),"")</f>
        <v/>
      </c>
    </row>
    <row r="163" spans="1:27">
      <c r="A163" s="73" t="s">
        <v>709</v>
      </c>
      <c r="B163" s="65" t="s">
        <v>536</v>
      </c>
      <c r="C163" s="73" t="s">
        <v>717</v>
      </c>
      <c r="D163" s="73" t="s">
        <v>718</v>
      </c>
      <c r="E163" s="73" t="s">
        <v>639</v>
      </c>
      <c r="F163" s="64">
        <v>20</v>
      </c>
      <c r="G163" s="64" t="s">
        <v>540</v>
      </c>
      <c r="H163" s="72">
        <v>80</v>
      </c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71" t="s">
        <v>74</v>
      </c>
      <c r="U163" s="64">
        <f t="shared" si="9"/>
        <v>0</v>
      </c>
      <c r="V163" s="73" t="str">
        <f t="shared" si="10"/>
        <v>○ 免調理</v>
      </c>
      <c r="W163" s="61" t="str">
        <f t="shared" si="11"/>
        <v>免調理半成品（外購/僅切配等），不列入設備風險評估</v>
      </c>
      <c r="X163" s="73" t="s">
        <v>719</v>
      </c>
      <c r="Y163" s="73" t="s">
        <v>720</v>
      </c>
      <c r="Z163" s="75">
        <f>IF($D163="",0,IF(COUNTIF($D$5:$D163,$D163)=1,1,0))</f>
        <v>0</v>
      </c>
      <c r="AA163" s="75" t="str">
        <f>IF(Z163=1,SUM($Z$5:$Z163),"")</f>
        <v/>
      </c>
    </row>
    <row r="164" spans="1:27">
      <c r="A164" s="73" t="s">
        <v>709</v>
      </c>
      <c r="B164" s="65" t="s">
        <v>536</v>
      </c>
      <c r="C164" s="73" t="s">
        <v>717</v>
      </c>
      <c r="D164" s="73" t="s">
        <v>718</v>
      </c>
      <c r="E164" s="73" t="s">
        <v>723</v>
      </c>
      <c r="F164" s="64">
        <v>13</v>
      </c>
      <c r="G164" s="64" t="s">
        <v>540</v>
      </c>
      <c r="H164" s="72">
        <v>53</v>
      </c>
      <c r="I164" s="60"/>
      <c r="J164" s="60"/>
      <c r="K164" s="60"/>
      <c r="L164" s="60"/>
      <c r="M164" s="60"/>
      <c r="N164" s="60"/>
      <c r="O164" s="60" t="s">
        <v>74</v>
      </c>
      <c r="P164" s="60"/>
      <c r="Q164" s="60"/>
      <c r="R164" s="60"/>
      <c r="S164" s="60"/>
      <c r="T164" s="71"/>
      <c r="U164" s="64">
        <f t="shared" si="9"/>
        <v>1</v>
      </c>
      <c r="V164" s="73" t="str">
        <f t="shared" si="10"/>
        <v>▲ 單一設備依賴</v>
      </c>
      <c r="W164" s="61" t="str">
        <f t="shared" si="11"/>
        <v>僅依賴1台設備，須確認故障/排修時之備援製程</v>
      </c>
      <c r="X164" s="73" t="s">
        <v>719</v>
      </c>
      <c r="Y164" s="73" t="s">
        <v>720</v>
      </c>
      <c r="Z164" s="75">
        <f>IF($D164="",0,IF(COUNTIF($D$5:$D164,$D164)=1,1,0))</f>
        <v>0</v>
      </c>
      <c r="AA164" s="75" t="str">
        <f>IF(Z164=1,SUM($Z$5:$Z164),"")</f>
        <v/>
      </c>
    </row>
    <row r="165" spans="1:27">
      <c r="A165" s="73" t="s">
        <v>709</v>
      </c>
      <c r="B165" s="65" t="s">
        <v>536</v>
      </c>
      <c r="C165" s="73" t="s">
        <v>717</v>
      </c>
      <c r="D165" s="73" t="s">
        <v>718</v>
      </c>
      <c r="E165" s="73" t="s">
        <v>547</v>
      </c>
      <c r="F165" s="64">
        <v>2</v>
      </c>
      <c r="G165" s="64" t="s">
        <v>540</v>
      </c>
      <c r="H165" s="72">
        <v>70</v>
      </c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71" t="s">
        <v>74</v>
      </c>
      <c r="U165" s="64">
        <f t="shared" si="9"/>
        <v>0</v>
      </c>
      <c r="V165" s="73" t="str">
        <f t="shared" si="10"/>
        <v>○ 免調理</v>
      </c>
      <c r="W165" s="61" t="str">
        <f t="shared" si="11"/>
        <v>免調理半成品（外購/僅切配等），不列入設備風險評估</v>
      </c>
      <c r="X165" s="73" t="s">
        <v>719</v>
      </c>
      <c r="Y165" s="73" t="s">
        <v>720</v>
      </c>
      <c r="Z165" s="75">
        <f>IF($D165="",0,IF(COUNTIF($D$5:$D165,$D165)=1,1,0))</f>
        <v>0</v>
      </c>
      <c r="AA165" s="75" t="str">
        <f>IF(Z165=1,SUM($Z$5:$Z165),"")</f>
        <v/>
      </c>
    </row>
    <row r="166" spans="1:27">
      <c r="A166" s="73" t="s">
        <v>709</v>
      </c>
      <c r="B166" s="65" t="s">
        <v>536</v>
      </c>
      <c r="C166" s="73" t="s">
        <v>717</v>
      </c>
      <c r="D166" s="73" t="s">
        <v>724</v>
      </c>
      <c r="E166" s="73" t="s">
        <v>725</v>
      </c>
      <c r="F166" s="64">
        <v>290</v>
      </c>
      <c r="G166" s="64" t="s">
        <v>540</v>
      </c>
      <c r="H166" s="72">
        <v>72</v>
      </c>
      <c r="I166" s="60" t="s">
        <v>74</v>
      </c>
      <c r="J166" s="60"/>
      <c r="K166" s="60"/>
      <c r="L166" s="60"/>
      <c r="M166" s="60"/>
      <c r="N166" s="60"/>
      <c r="O166" s="60"/>
      <c r="P166" s="60" t="s">
        <v>74</v>
      </c>
      <c r="Q166" s="60"/>
      <c r="R166" s="60"/>
      <c r="S166" s="60"/>
      <c r="T166" s="71"/>
      <c r="U166" s="64">
        <f t="shared" si="6"/>
        <v>2</v>
      </c>
      <c r="V166" s="73" t="str">
        <f t="shared" si="7"/>
        <v>OK</v>
      </c>
      <c r="W166" s="61" t="str">
        <f t="shared" si="8"/>
        <v>無異常</v>
      </c>
      <c r="X166" s="73" t="s">
        <v>726</v>
      </c>
      <c r="Y166" s="73" t="s">
        <v>720</v>
      </c>
      <c r="Z166" s="75">
        <f>IF($D166="",0,IF(COUNTIF($D$5:$D166,$D166)=1,1,0))</f>
        <v>1</v>
      </c>
      <c r="AA166" s="75">
        <f>IF(Z166=1,SUM($Z$5:$Z166),"")</f>
        <v>28</v>
      </c>
    </row>
    <row r="167" spans="1:27">
      <c r="A167" s="73" t="s">
        <v>709</v>
      </c>
      <c r="B167" s="65" t="s">
        <v>536</v>
      </c>
      <c r="C167" s="73" t="s">
        <v>717</v>
      </c>
      <c r="D167" s="73" t="s">
        <v>724</v>
      </c>
      <c r="E167" s="73" t="s">
        <v>727</v>
      </c>
      <c r="F167" s="64">
        <v>25</v>
      </c>
      <c r="G167" s="64" t="s">
        <v>540</v>
      </c>
      <c r="H167" s="72">
        <v>90</v>
      </c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71" t="s">
        <v>74</v>
      </c>
      <c r="U167" s="64">
        <f t="shared" si="6"/>
        <v>0</v>
      </c>
      <c r="V167" s="73" t="str">
        <f t="shared" si="7"/>
        <v>○ 免調理</v>
      </c>
      <c r="W167" s="61" t="str">
        <f t="shared" si="8"/>
        <v>免調理半成品（外購/僅切配等），不列入設備風險評估</v>
      </c>
      <c r="X167" s="73" t="s">
        <v>726</v>
      </c>
      <c r="Y167" s="73" t="s">
        <v>720</v>
      </c>
      <c r="Z167" s="75">
        <f>IF($D167="",0,IF(COUNTIF($D$5:$D167,$D167)=1,1,0))</f>
        <v>0</v>
      </c>
      <c r="AA167" s="75" t="str">
        <f>IF(Z167=1,SUM($Z$5:$Z167),"")</f>
        <v/>
      </c>
    </row>
    <row r="168" spans="1:27">
      <c r="A168" s="73" t="s">
        <v>709</v>
      </c>
      <c r="B168" s="65" t="s">
        <v>536</v>
      </c>
      <c r="C168" s="73" t="s">
        <v>717</v>
      </c>
      <c r="D168" s="73" t="s">
        <v>724</v>
      </c>
      <c r="E168" s="73" t="s">
        <v>728</v>
      </c>
      <c r="F168" s="64">
        <v>2</v>
      </c>
      <c r="G168" s="64" t="s">
        <v>540</v>
      </c>
      <c r="H168" s="72">
        <v>100</v>
      </c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71" t="s">
        <v>74</v>
      </c>
      <c r="U168" s="64">
        <f t="shared" si="6"/>
        <v>0</v>
      </c>
      <c r="V168" s="73" t="str">
        <f t="shared" si="7"/>
        <v>○ 免調理</v>
      </c>
      <c r="W168" s="61" t="str">
        <f t="shared" si="8"/>
        <v>免調理半成品（外購/僅切配等），不列入設備風險評估</v>
      </c>
      <c r="X168" s="73" t="s">
        <v>726</v>
      </c>
      <c r="Y168" s="73" t="s">
        <v>720</v>
      </c>
      <c r="Z168" s="75">
        <f>IF($D168="",0,IF(COUNTIF($D$5:$D168,$D168)=1,1,0))</f>
        <v>0</v>
      </c>
      <c r="AA168" s="75" t="str">
        <f>IF(Z168=1,SUM($Z$5:$Z168),"")</f>
        <v/>
      </c>
    </row>
    <row r="169" spans="1:27">
      <c r="A169" s="73"/>
      <c r="B169" s="73"/>
      <c r="C169" s="73"/>
      <c r="D169" s="73"/>
      <c r="E169" s="73"/>
      <c r="F169" s="64"/>
      <c r="G169" s="64"/>
      <c r="H169" s="72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71"/>
      <c r="U169" s="64" t="str">
        <f t="shared" si="6"/>
        <v/>
      </c>
      <c r="V169" s="73" t="str">
        <f t="shared" si="7"/>
        <v/>
      </c>
      <c r="W169" s="61" t="str">
        <f t="shared" si="8"/>
        <v/>
      </c>
      <c r="X169" s="73"/>
      <c r="Y169" s="73"/>
      <c r="Z169" s="75">
        <f>IF($D169="",0,IF(COUNTIF($D$5:$D169,$D169)=1,1,0))</f>
        <v>0</v>
      </c>
      <c r="AA169" s="75" t="str">
        <f>IF(Z169=1,SUM($Z$5:$Z169),"")</f>
        <v/>
      </c>
    </row>
    <row r="170" spans="1:27">
      <c r="A170" s="73"/>
      <c r="B170" s="73"/>
      <c r="C170" s="73"/>
      <c r="D170" s="73"/>
      <c r="E170" s="73"/>
      <c r="F170" s="64"/>
      <c r="G170" s="64"/>
      <c r="H170" s="72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71"/>
      <c r="U170" s="64" t="str">
        <f t="shared" si="6"/>
        <v/>
      </c>
      <c r="V170" s="73" t="str">
        <f t="shared" si="7"/>
        <v/>
      </c>
      <c r="W170" s="61" t="str">
        <f t="shared" si="8"/>
        <v/>
      </c>
      <c r="X170" s="73"/>
      <c r="Y170" s="73"/>
      <c r="Z170" s="75">
        <f>IF($D170="",0,IF(COUNTIF($D$5:$D170,$D170)=1,1,0))</f>
        <v>0</v>
      </c>
      <c r="AA170" s="75" t="str">
        <f>IF(Z170=1,SUM($Z$5:$Z170),"")</f>
        <v/>
      </c>
    </row>
    <row r="171" spans="1:27">
      <c r="A171" s="73"/>
      <c r="B171" s="73"/>
      <c r="C171" s="73"/>
      <c r="D171" s="73"/>
      <c r="E171" s="73"/>
      <c r="F171" s="64"/>
      <c r="G171" s="64"/>
      <c r="H171" s="72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71"/>
      <c r="U171" s="64" t="str">
        <f t="shared" si="6"/>
        <v/>
      </c>
      <c r="V171" s="73" t="str">
        <f t="shared" si="7"/>
        <v/>
      </c>
      <c r="W171" s="61" t="str">
        <f t="shared" si="8"/>
        <v/>
      </c>
      <c r="X171" s="73"/>
      <c r="Y171" s="73"/>
      <c r="Z171" s="75">
        <f>IF($D171="",0,IF(COUNTIF($D$5:$D171,$D171)=1,1,0))</f>
        <v>0</v>
      </c>
      <c r="AA171" s="75" t="str">
        <f>IF(Z171=1,SUM($Z$5:$Z171),"")</f>
        <v/>
      </c>
    </row>
    <row r="172" spans="1:27">
      <c r="A172" s="73"/>
      <c r="B172" s="73"/>
      <c r="C172" s="73"/>
      <c r="D172" s="73"/>
      <c r="E172" s="73"/>
      <c r="F172" s="64"/>
      <c r="G172" s="64"/>
      <c r="H172" s="72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71"/>
      <c r="U172" s="64" t="str">
        <f t="shared" si="6"/>
        <v/>
      </c>
      <c r="V172" s="73" t="str">
        <f t="shared" si="7"/>
        <v/>
      </c>
      <c r="W172" s="61" t="str">
        <f t="shared" si="8"/>
        <v/>
      </c>
      <c r="X172" s="73"/>
      <c r="Y172" s="73"/>
      <c r="Z172" s="75">
        <f>IF($D172="",0,IF(COUNTIF($D$5:$D172,$D172)=1,1,0))</f>
        <v>0</v>
      </c>
      <c r="AA172" s="75" t="str">
        <f>IF(Z172=1,SUM($Z$5:$Z172),"")</f>
        <v/>
      </c>
    </row>
    <row r="173" spans="1:27">
      <c r="A173" s="73"/>
      <c r="B173" s="73"/>
      <c r="C173" s="73"/>
      <c r="D173" s="73"/>
      <c r="E173" s="73"/>
      <c r="F173" s="64"/>
      <c r="G173" s="64"/>
      <c r="H173" s="72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71"/>
      <c r="U173" s="64" t="str">
        <f t="shared" si="6"/>
        <v/>
      </c>
      <c r="V173" s="73" t="str">
        <f t="shared" si="7"/>
        <v/>
      </c>
      <c r="W173" s="61" t="str">
        <f t="shared" si="8"/>
        <v/>
      </c>
      <c r="X173" s="73"/>
      <c r="Y173" s="73"/>
      <c r="Z173" s="75">
        <f>IF($D173="",0,IF(COUNTIF($D$5:$D173,$D173)=1,1,0))</f>
        <v>0</v>
      </c>
      <c r="AA173" s="75" t="str">
        <f>IF(Z173=1,SUM($Z$5:$Z173),"")</f>
        <v/>
      </c>
    </row>
    <row r="174" spans="1:27">
      <c r="A174" s="73"/>
      <c r="B174" s="73"/>
      <c r="C174" s="73"/>
      <c r="D174" s="73"/>
      <c r="E174" s="73"/>
      <c r="F174" s="64"/>
      <c r="G174" s="64"/>
      <c r="H174" s="72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71"/>
      <c r="U174" s="64" t="str">
        <f t="shared" si="6"/>
        <v/>
      </c>
      <c r="V174" s="73" t="str">
        <f t="shared" si="7"/>
        <v/>
      </c>
      <c r="W174" s="61" t="str">
        <f t="shared" si="8"/>
        <v/>
      </c>
      <c r="X174" s="73"/>
      <c r="Y174" s="73"/>
      <c r="Z174" s="75">
        <f>IF($D174="",0,IF(COUNTIF($D$5:$D174,$D174)=1,1,0))</f>
        <v>0</v>
      </c>
      <c r="AA174" s="75" t="str">
        <f>IF(Z174=1,SUM($Z$5:$Z174),"")</f>
        <v/>
      </c>
    </row>
    <row r="175" spans="1:27">
      <c r="A175" s="73"/>
      <c r="B175" s="73"/>
      <c r="C175" s="73"/>
      <c r="D175" s="73"/>
      <c r="E175" s="73"/>
      <c r="F175" s="64"/>
      <c r="G175" s="64"/>
      <c r="H175" s="72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71"/>
      <c r="U175" s="64" t="str">
        <f t="shared" si="6"/>
        <v/>
      </c>
      <c r="V175" s="73" t="str">
        <f t="shared" si="7"/>
        <v/>
      </c>
      <c r="W175" s="61" t="str">
        <f t="shared" si="8"/>
        <v/>
      </c>
      <c r="X175" s="73"/>
      <c r="Y175" s="73"/>
      <c r="Z175" s="75">
        <f>IF($D175="",0,IF(COUNTIF($D$5:$D175,$D175)=1,1,0))</f>
        <v>0</v>
      </c>
      <c r="AA175" s="75" t="str">
        <f>IF(Z175=1,SUM($Z$5:$Z175),"")</f>
        <v/>
      </c>
    </row>
    <row r="176" spans="1:27">
      <c r="A176" s="73"/>
      <c r="B176" s="73"/>
      <c r="C176" s="73"/>
      <c r="D176" s="73"/>
      <c r="E176" s="73"/>
      <c r="F176" s="64"/>
      <c r="G176" s="64"/>
      <c r="H176" s="72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71"/>
      <c r="U176" s="64" t="str">
        <f t="shared" si="6"/>
        <v/>
      </c>
      <c r="V176" s="73" t="str">
        <f t="shared" si="7"/>
        <v/>
      </c>
      <c r="W176" s="61" t="str">
        <f t="shared" si="8"/>
        <v/>
      </c>
      <c r="X176" s="73"/>
      <c r="Y176" s="73"/>
      <c r="Z176" s="75">
        <f>IF($D176="",0,IF(COUNTIF($D$5:$D176,$D176)=1,1,0))</f>
        <v>0</v>
      </c>
      <c r="AA176" s="75" t="str">
        <f>IF(Z176=1,SUM($Z$5:$Z176),"")</f>
        <v/>
      </c>
    </row>
    <row r="177" spans="1:27">
      <c r="A177" s="73"/>
      <c r="B177" s="73"/>
      <c r="C177" s="73"/>
      <c r="D177" s="73"/>
      <c r="E177" s="73"/>
      <c r="F177" s="64"/>
      <c r="G177" s="64"/>
      <c r="H177" s="72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71"/>
      <c r="U177" s="64" t="str">
        <f t="shared" si="6"/>
        <v/>
      </c>
      <c r="V177" s="73" t="str">
        <f t="shared" si="7"/>
        <v/>
      </c>
      <c r="W177" s="61" t="str">
        <f t="shared" si="8"/>
        <v/>
      </c>
      <c r="X177" s="73"/>
      <c r="Y177" s="73"/>
      <c r="Z177" s="75">
        <f>IF($D177="",0,IF(COUNTIF($D$5:$D177,$D177)=1,1,0))</f>
        <v>0</v>
      </c>
      <c r="AA177" s="75" t="str">
        <f>IF(Z177=1,SUM($Z$5:$Z177),"")</f>
        <v/>
      </c>
    </row>
    <row r="178" spans="1:27">
      <c r="A178" s="73"/>
      <c r="B178" s="73"/>
      <c r="C178" s="73"/>
      <c r="D178" s="73"/>
      <c r="E178" s="73"/>
      <c r="F178" s="64"/>
      <c r="G178" s="64"/>
      <c r="H178" s="72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71"/>
      <c r="U178" s="64" t="str">
        <f t="shared" si="6"/>
        <v/>
      </c>
      <c r="V178" s="73" t="str">
        <f t="shared" si="7"/>
        <v/>
      </c>
      <c r="W178" s="61" t="str">
        <f t="shared" si="8"/>
        <v/>
      </c>
      <c r="X178" s="73"/>
      <c r="Y178" s="73"/>
      <c r="Z178" s="75">
        <f>IF($D178="",0,IF(COUNTIF($D$5:$D178,$D178)=1,1,0))</f>
        <v>0</v>
      </c>
      <c r="AA178" s="75" t="str">
        <f>IF(Z178=1,SUM($Z$5:$Z178),"")</f>
        <v/>
      </c>
    </row>
    <row r="179" spans="1:27">
      <c r="A179" s="73"/>
      <c r="B179" s="73"/>
      <c r="C179" s="73"/>
      <c r="D179" s="73"/>
      <c r="E179" s="73"/>
      <c r="F179" s="64"/>
      <c r="G179" s="64"/>
      <c r="H179" s="72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71"/>
      <c r="U179" s="64" t="str">
        <f t="shared" si="6"/>
        <v/>
      </c>
      <c r="V179" s="73" t="str">
        <f t="shared" si="7"/>
        <v/>
      </c>
      <c r="W179" s="61" t="str">
        <f t="shared" si="8"/>
        <v/>
      </c>
      <c r="X179" s="73"/>
      <c r="Y179" s="73"/>
      <c r="Z179" s="75">
        <f>IF($D179="",0,IF(COUNTIF($D$5:$D179,$D179)=1,1,0))</f>
        <v>0</v>
      </c>
      <c r="AA179" s="75" t="str">
        <f>IF(Z179=1,SUM($Z$5:$Z179),"")</f>
        <v/>
      </c>
    </row>
    <row r="180" spans="1:27">
      <c r="A180" s="73"/>
      <c r="B180" s="73"/>
      <c r="C180" s="73"/>
      <c r="D180" s="73"/>
      <c r="E180" s="73"/>
      <c r="F180" s="64"/>
      <c r="G180" s="64"/>
      <c r="H180" s="72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71"/>
      <c r="U180" s="64" t="str">
        <f t="shared" si="6"/>
        <v/>
      </c>
      <c r="V180" s="73" t="str">
        <f t="shared" si="7"/>
        <v/>
      </c>
      <c r="W180" s="61" t="str">
        <f t="shared" si="8"/>
        <v/>
      </c>
      <c r="X180" s="73"/>
      <c r="Y180" s="73"/>
      <c r="Z180" s="75">
        <f>IF($D180="",0,IF(COUNTIF($D$5:$D180,$D180)=1,1,0))</f>
        <v>0</v>
      </c>
      <c r="AA180" s="75" t="str">
        <f>IF(Z180=1,SUM($Z$5:$Z180),"")</f>
        <v/>
      </c>
    </row>
    <row r="181" spans="1:27">
      <c r="A181" s="73"/>
      <c r="B181" s="73"/>
      <c r="C181" s="73"/>
      <c r="D181" s="73"/>
      <c r="E181" s="73"/>
      <c r="F181" s="64"/>
      <c r="G181" s="64"/>
      <c r="H181" s="72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71"/>
      <c r="U181" s="64" t="str">
        <f t="shared" si="6"/>
        <v/>
      </c>
      <c r="V181" s="73" t="str">
        <f t="shared" si="7"/>
        <v/>
      </c>
      <c r="W181" s="61" t="str">
        <f t="shared" si="8"/>
        <v/>
      </c>
      <c r="X181" s="73"/>
      <c r="Y181" s="73"/>
      <c r="Z181" s="75">
        <f>IF($D181="",0,IF(COUNTIF($D$5:$D181,$D181)=1,1,0))</f>
        <v>0</v>
      </c>
      <c r="AA181" s="75" t="str">
        <f>IF(Z181=1,SUM($Z$5:$Z181),"")</f>
        <v/>
      </c>
    </row>
    <row r="182" spans="1:27">
      <c r="A182" s="73"/>
      <c r="B182" s="73"/>
      <c r="C182" s="73"/>
      <c r="D182" s="73"/>
      <c r="E182" s="73"/>
      <c r="F182" s="64"/>
      <c r="G182" s="64"/>
      <c r="H182" s="72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71"/>
      <c r="U182" s="64" t="str">
        <f t="shared" si="6"/>
        <v/>
      </c>
      <c r="V182" s="73" t="str">
        <f t="shared" si="7"/>
        <v/>
      </c>
      <c r="W182" s="61" t="str">
        <f t="shared" si="8"/>
        <v/>
      </c>
      <c r="X182" s="73"/>
      <c r="Y182" s="73"/>
      <c r="Z182" s="75">
        <f>IF($D182="",0,IF(COUNTIF($D$5:$D182,$D182)=1,1,0))</f>
        <v>0</v>
      </c>
      <c r="AA182" s="75" t="str">
        <f>IF(Z182=1,SUM($Z$5:$Z182),"")</f>
        <v/>
      </c>
    </row>
    <row r="183" spans="1:27">
      <c r="A183" s="73"/>
      <c r="B183" s="73"/>
      <c r="C183" s="73"/>
      <c r="D183" s="73"/>
      <c r="E183" s="73"/>
      <c r="F183" s="64"/>
      <c r="G183" s="64"/>
      <c r="H183" s="72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71"/>
      <c r="U183" s="64" t="str">
        <f t="shared" si="6"/>
        <v/>
      </c>
      <c r="V183" s="73" t="str">
        <f t="shared" si="7"/>
        <v/>
      </c>
      <c r="W183" s="61" t="str">
        <f t="shared" si="8"/>
        <v/>
      </c>
      <c r="X183" s="73"/>
      <c r="Y183" s="73"/>
      <c r="Z183" s="75">
        <f>IF($D183="",0,IF(COUNTIF($D$5:$D183,$D183)=1,1,0))</f>
        <v>0</v>
      </c>
      <c r="AA183" s="75" t="str">
        <f>IF(Z183=1,SUM($Z$5:$Z183),"")</f>
        <v/>
      </c>
    </row>
    <row r="184" spans="1:27">
      <c r="A184" s="73"/>
      <c r="B184" s="73"/>
      <c r="C184" s="73"/>
      <c r="D184" s="73"/>
      <c r="E184" s="73"/>
      <c r="F184" s="64"/>
      <c r="G184" s="64"/>
      <c r="H184" s="72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71"/>
      <c r="U184" s="64" t="str">
        <f t="shared" si="6"/>
        <v/>
      </c>
      <c r="V184" s="73" t="str">
        <f t="shared" si="7"/>
        <v/>
      </c>
      <c r="W184" s="61" t="str">
        <f t="shared" si="8"/>
        <v/>
      </c>
      <c r="X184" s="73"/>
      <c r="Y184" s="73"/>
      <c r="Z184" s="75">
        <f>IF($D184="",0,IF(COUNTIF($D$5:$D184,$D184)=1,1,0))</f>
        <v>0</v>
      </c>
      <c r="AA184" s="75" t="str">
        <f>IF(Z184=1,SUM($Z$5:$Z184),"")</f>
        <v/>
      </c>
    </row>
    <row r="185" spans="1:27">
      <c r="A185" s="73"/>
      <c r="B185" s="73"/>
      <c r="C185" s="73"/>
      <c r="D185" s="73"/>
      <c r="E185" s="73"/>
      <c r="F185" s="64"/>
      <c r="G185" s="64"/>
      <c r="H185" s="72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71"/>
      <c r="U185" s="64" t="str">
        <f t="shared" si="6"/>
        <v/>
      </c>
      <c r="V185" s="73" t="str">
        <f t="shared" si="7"/>
        <v/>
      </c>
      <c r="W185" s="61" t="str">
        <f t="shared" si="8"/>
        <v/>
      </c>
      <c r="X185" s="73"/>
      <c r="Y185" s="73"/>
      <c r="Z185" s="75">
        <f>IF($D185="",0,IF(COUNTIF($D$5:$D185,$D185)=1,1,0))</f>
        <v>0</v>
      </c>
      <c r="AA185" s="75" t="str">
        <f>IF(Z185=1,SUM($Z$5:$Z185),"")</f>
        <v/>
      </c>
    </row>
    <row r="186" spans="1:27">
      <c r="A186" s="73"/>
      <c r="B186" s="73"/>
      <c r="C186" s="73"/>
      <c r="D186" s="73"/>
      <c r="E186" s="73"/>
      <c r="F186" s="64"/>
      <c r="G186" s="64"/>
      <c r="H186" s="72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71"/>
      <c r="U186" s="64" t="str">
        <f t="shared" si="6"/>
        <v/>
      </c>
      <c r="V186" s="73" t="str">
        <f t="shared" si="7"/>
        <v/>
      </c>
      <c r="W186" s="61" t="str">
        <f t="shared" si="8"/>
        <v/>
      </c>
      <c r="X186" s="73"/>
      <c r="Y186" s="73"/>
      <c r="Z186" s="75">
        <f>IF($D186="",0,IF(COUNTIF($D$5:$D186,$D186)=1,1,0))</f>
        <v>0</v>
      </c>
      <c r="AA186" s="75" t="str">
        <f>IF(Z186=1,SUM($Z$5:$Z186),"")</f>
        <v/>
      </c>
    </row>
    <row r="187" spans="1:27">
      <c r="A187" s="73"/>
      <c r="B187" s="73"/>
      <c r="C187" s="73"/>
      <c r="D187" s="73"/>
      <c r="E187" s="73"/>
      <c r="F187" s="64"/>
      <c r="G187" s="64"/>
      <c r="H187" s="72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71"/>
      <c r="U187" s="64" t="str">
        <f t="shared" si="6"/>
        <v/>
      </c>
      <c r="V187" s="73" t="str">
        <f t="shared" si="7"/>
        <v/>
      </c>
      <c r="W187" s="61" t="str">
        <f t="shared" si="8"/>
        <v/>
      </c>
      <c r="X187" s="73"/>
      <c r="Y187" s="73"/>
      <c r="Z187" s="75">
        <f>IF($D187="",0,IF(COUNTIF($D$5:$D187,$D187)=1,1,0))</f>
        <v>0</v>
      </c>
      <c r="AA187" s="75" t="str">
        <f>IF(Z187=1,SUM($Z$5:$Z187),"")</f>
        <v/>
      </c>
    </row>
    <row r="188" spans="1:27">
      <c r="A188" s="73"/>
      <c r="B188" s="73"/>
      <c r="C188" s="73"/>
      <c r="D188" s="73"/>
      <c r="E188" s="73"/>
      <c r="F188" s="64"/>
      <c r="G188" s="64"/>
      <c r="H188" s="72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71"/>
      <c r="U188" s="64" t="str">
        <f t="shared" si="6"/>
        <v/>
      </c>
      <c r="V188" s="73" t="str">
        <f t="shared" si="7"/>
        <v/>
      </c>
      <c r="W188" s="61" t="str">
        <f t="shared" si="8"/>
        <v/>
      </c>
      <c r="X188" s="73"/>
      <c r="Y188" s="73"/>
      <c r="Z188" s="75">
        <f>IF($D188="",0,IF(COUNTIF($D$5:$D188,$D188)=1,1,0))</f>
        <v>0</v>
      </c>
      <c r="AA188" s="75" t="str">
        <f>IF(Z188=1,SUM($Z$5:$Z188),"")</f>
        <v/>
      </c>
    </row>
    <row r="189" spans="1:27">
      <c r="A189" s="73"/>
      <c r="B189" s="73"/>
      <c r="C189" s="73"/>
      <c r="D189" s="73"/>
      <c r="E189" s="73"/>
      <c r="F189" s="64"/>
      <c r="G189" s="64"/>
      <c r="H189" s="72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71"/>
      <c r="U189" s="64" t="str">
        <f t="shared" si="6"/>
        <v/>
      </c>
      <c r="V189" s="73" t="str">
        <f t="shared" si="7"/>
        <v/>
      </c>
      <c r="W189" s="61" t="str">
        <f t="shared" si="8"/>
        <v/>
      </c>
      <c r="X189" s="73"/>
      <c r="Y189" s="73"/>
      <c r="Z189" s="75">
        <f>IF($D189="",0,IF(COUNTIF($D$5:$D189,$D189)=1,1,0))</f>
        <v>0</v>
      </c>
      <c r="AA189" s="75" t="str">
        <f>IF(Z189=1,SUM($Z$5:$Z189),"")</f>
        <v/>
      </c>
    </row>
    <row r="190" spans="1:27">
      <c r="A190" s="73"/>
      <c r="B190" s="73"/>
      <c r="C190" s="73"/>
      <c r="D190" s="73"/>
      <c r="E190" s="73"/>
      <c r="F190" s="64"/>
      <c r="G190" s="64"/>
      <c r="H190" s="72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71"/>
      <c r="U190" s="64" t="str">
        <f t="shared" si="6"/>
        <v/>
      </c>
      <c r="V190" s="73" t="str">
        <f t="shared" si="7"/>
        <v/>
      </c>
      <c r="W190" s="61" t="str">
        <f t="shared" si="8"/>
        <v/>
      </c>
      <c r="X190" s="73"/>
      <c r="Y190" s="73"/>
      <c r="Z190" s="75">
        <f>IF($D190="",0,IF(COUNTIF($D$5:$D190,$D190)=1,1,0))</f>
        <v>0</v>
      </c>
      <c r="AA190" s="75" t="str">
        <f>IF(Z190=1,SUM($Z$5:$Z190),"")</f>
        <v/>
      </c>
    </row>
    <row r="191" spans="1:27">
      <c r="A191" s="73"/>
      <c r="B191" s="73"/>
      <c r="C191" s="73"/>
      <c r="D191" s="73"/>
      <c r="E191" s="73"/>
      <c r="F191" s="64"/>
      <c r="G191" s="64"/>
      <c r="H191" s="72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71"/>
      <c r="U191" s="64" t="str">
        <f t="shared" si="6"/>
        <v/>
      </c>
      <c r="V191" s="73" t="str">
        <f t="shared" si="7"/>
        <v/>
      </c>
      <c r="W191" s="61" t="str">
        <f t="shared" si="8"/>
        <v/>
      </c>
      <c r="X191" s="73"/>
      <c r="Y191" s="73"/>
      <c r="Z191" s="75">
        <f>IF($D191="",0,IF(COUNTIF($D$5:$D191,$D191)=1,1,0))</f>
        <v>0</v>
      </c>
      <c r="AA191" s="75" t="str">
        <f>IF(Z191=1,SUM($Z$5:$Z191),"")</f>
        <v/>
      </c>
    </row>
    <row r="192" spans="1:27">
      <c r="A192" s="73"/>
      <c r="B192" s="73"/>
      <c r="C192" s="73"/>
      <c r="D192" s="73"/>
      <c r="E192" s="73"/>
      <c r="F192" s="64"/>
      <c r="G192" s="64"/>
      <c r="H192" s="72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71"/>
      <c r="U192" s="64" t="str">
        <f t="shared" si="6"/>
        <v/>
      </c>
      <c r="V192" s="73" t="str">
        <f t="shared" si="7"/>
        <v/>
      </c>
      <c r="W192" s="61" t="str">
        <f t="shared" si="8"/>
        <v/>
      </c>
      <c r="X192" s="73"/>
      <c r="Y192" s="73"/>
      <c r="Z192" s="75">
        <f>IF($D192="",0,IF(COUNTIF($D$5:$D192,$D192)=1,1,0))</f>
        <v>0</v>
      </c>
      <c r="AA192" s="75" t="str">
        <f>IF(Z192=1,SUM($Z$5:$Z192),"")</f>
        <v/>
      </c>
    </row>
    <row r="193" spans="1:27">
      <c r="A193" s="73"/>
      <c r="B193" s="73"/>
      <c r="C193" s="73"/>
      <c r="D193" s="73"/>
      <c r="E193" s="73"/>
      <c r="F193" s="64"/>
      <c r="G193" s="64"/>
      <c r="H193" s="72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71"/>
      <c r="U193" s="64" t="str">
        <f t="shared" si="6"/>
        <v/>
      </c>
      <c r="V193" s="73" t="str">
        <f t="shared" si="7"/>
        <v/>
      </c>
      <c r="W193" s="61" t="str">
        <f t="shared" si="8"/>
        <v/>
      </c>
      <c r="X193" s="73"/>
      <c r="Y193" s="73"/>
      <c r="Z193" s="75">
        <f>IF($D193="",0,IF(COUNTIF($D$5:$D193,$D193)=1,1,0))</f>
        <v>0</v>
      </c>
      <c r="AA193" s="75" t="str">
        <f>IF(Z193=1,SUM($Z$5:$Z193),"")</f>
        <v/>
      </c>
    </row>
    <row r="194" spans="1:27">
      <c r="A194" s="73"/>
      <c r="B194" s="73"/>
      <c r="C194" s="73"/>
      <c r="D194" s="73"/>
      <c r="E194" s="73"/>
      <c r="F194" s="64"/>
      <c r="G194" s="64"/>
      <c r="H194" s="72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71"/>
      <c r="U194" s="64" t="str">
        <f t="shared" si="6"/>
        <v/>
      </c>
      <c r="V194" s="73" t="str">
        <f t="shared" si="7"/>
        <v/>
      </c>
      <c r="W194" s="61" t="str">
        <f t="shared" si="8"/>
        <v/>
      </c>
      <c r="X194" s="73"/>
      <c r="Y194" s="73"/>
      <c r="Z194" s="75">
        <f>IF($D194="",0,IF(COUNTIF($D$5:$D194,$D194)=1,1,0))</f>
        <v>0</v>
      </c>
      <c r="AA194" s="75" t="str">
        <f>IF(Z194=1,SUM($Z$5:$Z194),"")</f>
        <v/>
      </c>
    </row>
    <row r="195" spans="1:27">
      <c r="A195" s="73"/>
      <c r="B195" s="73"/>
      <c r="C195" s="73"/>
      <c r="D195" s="73"/>
      <c r="E195" s="73"/>
      <c r="F195" s="64"/>
      <c r="G195" s="64"/>
      <c r="H195" s="72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71"/>
      <c r="U195" s="64" t="str">
        <f t="shared" ref="U195:U258" si="12">IF($E195="","",COUNTIF($I195:$S195,"V"))</f>
        <v/>
      </c>
      <c r="V195" s="73" t="str">
        <f t="shared" ref="V195:V258" si="13">IF($E195="","",IF(AND($T195="V",$U195&gt;0),"⚠ 勾選矛盾",IF($T195="V","○ 免調理",IF($U195=0,"⚠ 資料缺漏",IF($U195=1,"▲ 單一設備依賴","OK")))))</f>
        <v/>
      </c>
      <c r="W195" s="61" t="str">
        <f t="shared" ref="W195:W258" si="14">IF($E195="","",IF(AND($T195="V",$U195&gt;0),"「無使用調理設備」不可與設備欄同時勾選，請擇一修正",IF($T195="V","免調理半成品（外購/僅切配等），不列入設備風險評估",IF($U195=0,"未勾選任何設備，請補填或勾選「無使用調理設備」",IF($U195=1,"僅依賴1台設備，須確認故障/排修時之備援製程","無異常")))))</f>
        <v/>
      </c>
      <c r="X195" s="73"/>
      <c r="Y195" s="73"/>
      <c r="Z195" s="75">
        <f>IF($D195="",0,IF(COUNTIF($D$5:$D195,$D195)=1,1,0))</f>
        <v>0</v>
      </c>
      <c r="AA195" s="75" t="str">
        <f>IF(Z195=1,SUM($Z$5:$Z195),"")</f>
        <v/>
      </c>
    </row>
    <row r="196" spans="1:27">
      <c r="A196" s="73"/>
      <c r="B196" s="73"/>
      <c r="C196" s="73"/>
      <c r="D196" s="73"/>
      <c r="E196" s="73"/>
      <c r="F196" s="64"/>
      <c r="G196" s="64"/>
      <c r="H196" s="72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71"/>
      <c r="U196" s="64" t="str">
        <f t="shared" si="12"/>
        <v/>
      </c>
      <c r="V196" s="73" t="str">
        <f t="shared" si="13"/>
        <v/>
      </c>
      <c r="W196" s="61" t="str">
        <f t="shared" si="14"/>
        <v/>
      </c>
      <c r="X196" s="73"/>
      <c r="Y196" s="73"/>
      <c r="Z196" s="75">
        <f>IF($D196="",0,IF(COUNTIF($D$5:$D196,$D196)=1,1,0))</f>
        <v>0</v>
      </c>
      <c r="AA196" s="75" t="str">
        <f>IF(Z196=1,SUM($Z$5:$Z196),"")</f>
        <v/>
      </c>
    </row>
    <row r="197" spans="1:27">
      <c r="A197" s="73"/>
      <c r="B197" s="73"/>
      <c r="C197" s="73"/>
      <c r="D197" s="73"/>
      <c r="E197" s="73"/>
      <c r="F197" s="64"/>
      <c r="G197" s="64"/>
      <c r="H197" s="72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71"/>
      <c r="U197" s="64" t="str">
        <f t="shared" si="12"/>
        <v/>
      </c>
      <c r="V197" s="73" t="str">
        <f t="shared" si="13"/>
        <v/>
      </c>
      <c r="W197" s="61" t="str">
        <f t="shared" si="14"/>
        <v/>
      </c>
      <c r="X197" s="73"/>
      <c r="Y197" s="73"/>
      <c r="Z197" s="75">
        <f>IF($D197="",0,IF(COUNTIF($D$5:$D197,$D197)=1,1,0))</f>
        <v>0</v>
      </c>
      <c r="AA197" s="75" t="str">
        <f>IF(Z197=1,SUM($Z$5:$Z197),"")</f>
        <v/>
      </c>
    </row>
    <row r="198" spans="1:27">
      <c r="A198" s="73"/>
      <c r="B198" s="73"/>
      <c r="C198" s="73"/>
      <c r="D198" s="73"/>
      <c r="E198" s="73"/>
      <c r="F198" s="64"/>
      <c r="G198" s="64"/>
      <c r="H198" s="72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71"/>
      <c r="U198" s="64" t="str">
        <f t="shared" si="12"/>
        <v/>
      </c>
      <c r="V198" s="73" t="str">
        <f t="shared" si="13"/>
        <v/>
      </c>
      <c r="W198" s="61" t="str">
        <f t="shared" si="14"/>
        <v/>
      </c>
      <c r="X198" s="73"/>
      <c r="Y198" s="73"/>
      <c r="Z198" s="75">
        <f>IF($D198="",0,IF(COUNTIF($D$5:$D198,$D198)=1,1,0))</f>
        <v>0</v>
      </c>
      <c r="AA198" s="75" t="str">
        <f>IF(Z198=1,SUM($Z$5:$Z198),"")</f>
        <v/>
      </c>
    </row>
    <row r="199" spans="1:27">
      <c r="A199" s="73"/>
      <c r="B199" s="73"/>
      <c r="C199" s="73"/>
      <c r="D199" s="73"/>
      <c r="E199" s="73"/>
      <c r="F199" s="64"/>
      <c r="G199" s="64"/>
      <c r="H199" s="72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71"/>
      <c r="U199" s="64" t="str">
        <f t="shared" si="12"/>
        <v/>
      </c>
      <c r="V199" s="73" t="str">
        <f t="shared" si="13"/>
        <v/>
      </c>
      <c r="W199" s="61" t="str">
        <f t="shared" si="14"/>
        <v/>
      </c>
      <c r="X199" s="73"/>
      <c r="Y199" s="73"/>
      <c r="Z199" s="75">
        <f>IF($D199="",0,IF(COUNTIF($D$5:$D199,$D199)=1,1,0))</f>
        <v>0</v>
      </c>
      <c r="AA199" s="75" t="str">
        <f>IF(Z199=1,SUM($Z$5:$Z199),"")</f>
        <v/>
      </c>
    </row>
    <row r="200" spans="1:27">
      <c r="A200" s="73"/>
      <c r="B200" s="73"/>
      <c r="C200" s="73"/>
      <c r="D200" s="73"/>
      <c r="E200" s="73"/>
      <c r="F200" s="64"/>
      <c r="G200" s="64"/>
      <c r="H200" s="72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71"/>
      <c r="U200" s="64" t="str">
        <f t="shared" si="12"/>
        <v/>
      </c>
      <c r="V200" s="73" t="str">
        <f t="shared" si="13"/>
        <v/>
      </c>
      <c r="W200" s="61" t="str">
        <f t="shared" si="14"/>
        <v/>
      </c>
      <c r="X200" s="73"/>
      <c r="Y200" s="73"/>
      <c r="Z200" s="75">
        <f>IF($D200="",0,IF(COUNTIF($D$5:$D200,$D200)=1,1,0))</f>
        <v>0</v>
      </c>
      <c r="AA200" s="75" t="str">
        <f>IF(Z200=1,SUM($Z$5:$Z200),"")</f>
        <v/>
      </c>
    </row>
    <row r="201" spans="1:27">
      <c r="A201" s="73"/>
      <c r="B201" s="73"/>
      <c r="C201" s="73"/>
      <c r="D201" s="73"/>
      <c r="E201" s="73"/>
      <c r="F201" s="64"/>
      <c r="G201" s="64"/>
      <c r="H201" s="72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71"/>
      <c r="U201" s="64" t="str">
        <f t="shared" si="12"/>
        <v/>
      </c>
      <c r="V201" s="73" t="str">
        <f t="shared" si="13"/>
        <v/>
      </c>
      <c r="W201" s="61" t="str">
        <f t="shared" si="14"/>
        <v/>
      </c>
      <c r="X201" s="73"/>
      <c r="Y201" s="73"/>
      <c r="Z201" s="75">
        <f>IF($D201="",0,IF(COUNTIF($D$5:$D201,$D201)=1,1,0))</f>
        <v>0</v>
      </c>
      <c r="AA201" s="75" t="str">
        <f>IF(Z201=1,SUM($Z$5:$Z201),"")</f>
        <v/>
      </c>
    </row>
    <row r="202" spans="1:27">
      <c r="A202" s="73"/>
      <c r="B202" s="73"/>
      <c r="C202" s="73"/>
      <c r="D202" s="73"/>
      <c r="E202" s="73"/>
      <c r="F202" s="64"/>
      <c r="G202" s="64"/>
      <c r="H202" s="72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71"/>
      <c r="U202" s="64" t="str">
        <f t="shared" si="12"/>
        <v/>
      </c>
      <c r="V202" s="73" t="str">
        <f t="shared" si="13"/>
        <v/>
      </c>
      <c r="W202" s="61" t="str">
        <f t="shared" si="14"/>
        <v/>
      </c>
      <c r="X202" s="73"/>
      <c r="Y202" s="73"/>
      <c r="Z202" s="75">
        <f>IF($D202="",0,IF(COUNTIF($D$5:$D202,$D202)=1,1,0))</f>
        <v>0</v>
      </c>
      <c r="AA202" s="75" t="str">
        <f>IF(Z202=1,SUM($Z$5:$Z202),"")</f>
        <v/>
      </c>
    </row>
    <row r="203" spans="1:27">
      <c r="A203" s="73"/>
      <c r="B203" s="73"/>
      <c r="C203" s="73"/>
      <c r="D203" s="73"/>
      <c r="E203" s="73"/>
      <c r="F203" s="64"/>
      <c r="G203" s="64"/>
      <c r="H203" s="72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71"/>
      <c r="U203" s="64" t="str">
        <f t="shared" si="12"/>
        <v/>
      </c>
      <c r="V203" s="73" t="str">
        <f t="shared" si="13"/>
        <v/>
      </c>
      <c r="W203" s="61" t="str">
        <f t="shared" si="14"/>
        <v/>
      </c>
      <c r="X203" s="73"/>
      <c r="Y203" s="73"/>
      <c r="Z203" s="75">
        <f>IF($D203="",0,IF(COUNTIF($D$5:$D203,$D203)=1,1,0))</f>
        <v>0</v>
      </c>
      <c r="AA203" s="75" t="str">
        <f>IF(Z203=1,SUM($Z$5:$Z203),"")</f>
        <v/>
      </c>
    </row>
    <row r="204" spans="1:27">
      <c r="A204" s="73"/>
      <c r="B204" s="73"/>
      <c r="C204" s="73"/>
      <c r="D204" s="73"/>
      <c r="E204" s="73"/>
      <c r="F204" s="64"/>
      <c r="G204" s="64"/>
      <c r="H204" s="72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71"/>
      <c r="U204" s="64" t="str">
        <f t="shared" si="12"/>
        <v/>
      </c>
      <c r="V204" s="73" t="str">
        <f t="shared" si="13"/>
        <v/>
      </c>
      <c r="W204" s="61" t="str">
        <f t="shared" si="14"/>
        <v/>
      </c>
      <c r="X204" s="73"/>
      <c r="Y204" s="73"/>
      <c r="Z204" s="75">
        <f>IF($D204="",0,IF(COUNTIF($D$5:$D204,$D204)=1,1,0))</f>
        <v>0</v>
      </c>
      <c r="AA204" s="75" t="str">
        <f>IF(Z204=1,SUM($Z$5:$Z204),"")</f>
        <v/>
      </c>
    </row>
    <row r="205" spans="1:27">
      <c r="A205" s="73"/>
      <c r="B205" s="73"/>
      <c r="C205" s="73"/>
      <c r="D205" s="73"/>
      <c r="E205" s="73"/>
      <c r="F205" s="64"/>
      <c r="G205" s="64"/>
      <c r="H205" s="72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71"/>
      <c r="U205" s="64" t="str">
        <f t="shared" si="12"/>
        <v/>
      </c>
      <c r="V205" s="73" t="str">
        <f t="shared" si="13"/>
        <v/>
      </c>
      <c r="W205" s="61" t="str">
        <f t="shared" si="14"/>
        <v/>
      </c>
      <c r="X205" s="73"/>
      <c r="Y205" s="73"/>
      <c r="Z205" s="75">
        <f>IF($D205="",0,IF(COUNTIF($D$5:$D205,$D205)=1,1,0))</f>
        <v>0</v>
      </c>
      <c r="AA205" s="75" t="str">
        <f>IF(Z205=1,SUM($Z$5:$Z205),"")</f>
        <v/>
      </c>
    </row>
    <row r="206" spans="1:27">
      <c r="A206" s="73"/>
      <c r="B206" s="73"/>
      <c r="C206" s="73"/>
      <c r="D206" s="73"/>
      <c r="E206" s="73"/>
      <c r="F206" s="64"/>
      <c r="G206" s="64"/>
      <c r="H206" s="72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71"/>
      <c r="U206" s="64" t="str">
        <f t="shared" si="12"/>
        <v/>
      </c>
      <c r="V206" s="73" t="str">
        <f t="shared" si="13"/>
        <v/>
      </c>
      <c r="W206" s="61" t="str">
        <f t="shared" si="14"/>
        <v/>
      </c>
      <c r="X206" s="73"/>
      <c r="Y206" s="73"/>
      <c r="Z206" s="75">
        <f>IF($D206="",0,IF(COUNTIF($D$5:$D206,$D206)=1,1,0))</f>
        <v>0</v>
      </c>
      <c r="AA206" s="75" t="str">
        <f>IF(Z206=1,SUM($Z$5:$Z206),"")</f>
        <v/>
      </c>
    </row>
    <row r="207" spans="1:27">
      <c r="A207" s="73"/>
      <c r="B207" s="73"/>
      <c r="C207" s="73"/>
      <c r="D207" s="73"/>
      <c r="E207" s="73"/>
      <c r="F207" s="64"/>
      <c r="G207" s="64"/>
      <c r="H207" s="72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71"/>
      <c r="U207" s="64" t="str">
        <f t="shared" si="12"/>
        <v/>
      </c>
      <c r="V207" s="73" t="str">
        <f t="shared" si="13"/>
        <v/>
      </c>
      <c r="W207" s="61" t="str">
        <f t="shared" si="14"/>
        <v/>
      </c>
      <c r="X207" s="73"/>
      <c r="Y207" s="73"/>
      <c r="Z207" s="75">
        <f>IF($D207="",0,IF(COUNTIF($D$5:$D207,$D207)=1,1,0))</f>
        <v>0</v>
      </c>
      <c r="AA207" s="75" t="str">
        <f>IF(Z207=1,SUM($Z$5:$Z207),"")</f>
        <v/>
      </c>
    </row>
    <row r="208" spans="1:27">
      <c r="A208" s="73"/>
      <c r="B208" s="73"/>
      <c r="C208" s="73"/>
      <c r="D208" s="73"/>
      <c r="E208" s="73"/>
      <c r="F208" s="64"/>
      <c r="G208" s="64"/>
      <c r="H208" s="72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71"/>
      <c r="U208" s="64" t="str">
        <f t="shared" si="12"/>
        <v/>
      </c>
      <c r="V208" s="73" t="str">
        <f t="shared" si="13"/>
        <v/>
      </c>
      <c r="W208" s="61" t="str">
        <f t="shared" si="14"/>
        <v/>
      </c>
      <c r="X208" s="73"/>
      <c r="Y208" s="73"/>
      <c r="Z208" s="75">
        <f>IF($D208="",0,IF(COUNTIF($D$5:$D208,$D208)=1,1,0))</f>
        <v>0</v>
      </c>
      <c r="AA208" s="75" t="str">
        <f>IF(Z208=1,SUM($Z$5:$Z208),"")</f>
        <v/>
      </c>
    </row>
    <row r="209" spans="1:27">
      <c r="A209" s="73"/>
      <c r="B209" s="73"/>
      <c r="C209" s="73"/>
      <c r="D209" s="73"/>
      <c r="E209" s="73"/>
      <c r="F209" s="64"/>
      <c r="G209" s="64"/>
      <c r="H209" s="72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71"/>
      <c r="U209" s="64" t="str">
        <f t="shared" si="12"/>
        <v/>
      </c>
      <c r="V209" s="73" t="str">
        <f t="shared" si="13"/>
        <v/>
      </c>
      <c r="W209" s="61" t="str">
        <f t="shared" si="14"/>
        <v/>
      </c>
      <c r="X209" s="73"/>
      <c r="Y209" s="73"/>
      <c r="Z209" s="75">
        <f>IF($D209="",0,IF(COUNTIF($D$5:$D209,$D209)=1,1,0))</f>
        <v>0</v>
      </c>
      <c r="AA209" s="75" t="str">
        <f>IF(Z209=1,SUM($Z$5:$Z209),"")</f>
        <v/>
      </c>
    </row>
    <row r="210" spans="1:27">
      <c r="A210" s="73"/>
      <c r="B210" s="73"/>
      <c r="C210" s="73"/>
      <c r="D210" s="73"/>
      <c r="E210" s="73"/>
      <c r="F210" s="64"/>
      <c r="G210" s="64"/>
      <c r="H210" s="72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71"/>
      <c r="U210" s="64" t="str">
        <f t="shared" si="12"/>
        <v/>
      </c>
      <c r="V210" s="73" t="str">
        <f t="shared" si="13"/>
        <v/>
      </c>
      <c r="W210" s="61" t="str">
        <f t="shared" si="14"/>
        <v/>
      </c>
      <c r="X210" s="73"/>
      <c r="Y210" s="73"/>
      <c r="Z210" s="75">
        <f>IF($D210="",0,IF(COUNTIF($D$5:$D210,$D210)=1,1,0))</f>
        <v>0</v>
      </c>
      <c r="AA210" s="75" t="str">
        <f>IF(Z210=1,SUM($Z$5:$Z210),"")</f>
        <v/>
      </c>
    </row>
    <row r="211" spans="1:27">
      <c r="A211" s="73"/>
      <c r="B211" s="73"/>
      <c r="C211" s="73"/>
      <c r="D211" s="73"/>
      <c r="E211" s="73"/>
      <c r="F211" s="64"/>
      <c r="G211" s="64"/>
      <c r="H211" s="72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71"/>
      <c r="U211" s="64" t="str">
        <f t="shared" si="12"/>
        <v/>
      </c>
      <c r="V211" s="73" t="str">
        <f t="shared" si="13"/>
        <v/>
      </c>
      <c r="W211" s="61" t="str">
        <f t="shared" si="14"/>
        <v/>
      </c>
      <c r="X211" s="73"/>
      <c r="Y211" s="73"/>
      <c r="Z211" s="75">
        <f>IF($D211="",0,IF(COUNTIF($D$5:$D211,$D211)=1,1,0))</f>
        <v>0</v>
      </c>
      <c r="AA211" s="75" t="str">
        <f>IF(Z211=1,SUM($Z$5:$Z211),"")</f>
        <v/>
      </c>
    </row>
    <row r="212" spans="1:27">
      <c r="A212" s="73"/>
      <c r="B212" s="73"/>
      <c r="C212" s="73"/>
      <c r="D212" s="73"/>
      <c r="E212" s="73"/>
      <c r="F212" s="64"/>
      <c r="G212" s="64"/>
      <c r="H212" s="72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71"/>
      <c r="U212" s="64" t="str">
        <f t="shared" si="12"/>
        <v/>
      </c>
      <c r="V212" s="73" t="str">
        <f t="shared" si="13"/>
        <v/>
      </c>
      <c r="W212" s="61" t="str">
        <f t="shared" si="14"/>
        <v/>
      </c>
      <c r="X212" s="73"/>
      <c r="Y212" s="73"/>
      <c r="Z212" s="75">
        <f>IF($D212="",0,IF(COUNTIF($D$5:$D212,$D212)=1,1,0))</f>
        <v>0</v>
      </c>
      <c r="AA212" s="75" t="str">
        <f>IF(Z212=1,SUM($Z$5:$Z212),"")</f>
        <v/>
      </c>
    </row>
    <row r="213" spans="1:27">
      <c r="A213" s="73"/>
      <c r="B213" s="73"/>
      <c r="C213" s="73"/>
      <c r="D213" s="73"/>
      <c r="E213" s="73"/>
      <c r="F213" s="64"/>
      <c r="G213" s="64"/>
      <c r="H213" s="72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71"/>
      <c r="U213" s="64" t="str">
        <f t="shared" si="12"/>
        <v/>
      </c>
      <c r="V213" s="73" t="str">
        <f t="shared" si="13"/>
        <v/>
      </c>
      <c r="W213" s="61" t="str">
        <f t="shared" si="14"/>
        <v/>
      </c>
      <c r="X213" s="73"/>
      <c r="Y213" s="73"/>
      <c r="Z213" s="75">
        <f>IF($D213="",0,IF(COUNTIF($D$5:$D213,$D213)=1,1,0))</f>
        <v>0</v>
      </c>
      <c r="AA213" s="75" t="str">
        <f>IF(Z213=1,SUM($Z$5:$Z213),"")</f>
        <v/>
      </c>
    </row>
    <row r="214" spans="1:27">
      <c r="A214" s="73"/>
      <c r="B214" s="73"/>
      <c r="C214" s="73"/>
      <c r="D214" s="73"/>
      <c r="E214" s="73"/>
      <c r="F214" s="64"/>
      <c r="G214" s="64"/>
      <c r="H214" s="72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71"/>
      <c r="U214" s="64" t="str">
        <f t="shared" si="12"/>
        <v/>
      </c>
      <c r="V214" s="73" t="str">
        <f t="shared" si="13"/>
        <v/>
      </c>
      <c r="W214" s="61" t="str">
        <f t="shared" si="14"/>
        <v/>
      </c>
      <c r="X214" s="73"/>
      <c r="Y214" s="73"/>
      <c r="Z214" s="75">
        <f>IF($D214="",0,IF(COUNTIF($D$5:$D214,$D214)=1,1,0))</f>
        <v>0</v>
      </c>
      <c r="AA214" s="75" t="str">
        <f>IF(Z214=1,SUM($Z$5:$Z214),"")</f>
        <v/>
      </c>
    </row>
    <row r="215" spans="1:27">
      <c r="A215" s="73"/>
      <c r="B215" s="73"/>
      <c r="C215" s="73"/>
      <c r="D215" s="73"/>
      <c r="E215" s="73"/>
      <c r="F215" s="64"/>
      <c r="G215" s="64"/>
      <c r="H215" s="72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71"/>
      <c r="U215" s="64" t="str">
        <f t="shared" si="12"/>
        <v/>
      </c>
      <c r="V215" s="73" t="str">
        <f t="shared" si="13"/>
        <v/>
      </c>
      <c r="W215" s="61" t="str">
        <f t="shared" si="14"/>
        <v/>
      </c>
      <c r="X215" s="73"/>
      <c r="Y215" s="73"/>
      <c r="Z215" s="75">
        <f>IF($D215="",0,IF(COUNTIF($D$5:$D215,$D215)=1,1,0))</f>
        <v>0</v>
      </c>
      <c r="AA215" s="75" t="str">
        <f>IF(Z215=1,SUM($Z$5:$Z215),"")</f>
        <v/>
      </c>
    </row>
    <row r="216" spans="1:27">
      <c r="A216" s="73"/>
      <c r="B216" s="73"/>
      <c r="C216" s="73"/>
      <c r="D216" s="73"/>
      <c r="E216" s="73"/>
      <c r="F216" s="64"/>
      <c r="G216" s="64"/>
      <c r="H216" s="72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71"/>
      <c r="U216" s="64" t="str">
        <f t="shared" si="12"/>
        <v/>
      </c>
      <c r="V216" s="73" t="str">
        <f t="shared" si="13"/>
        <v/>
      </c>
      <c r="W216" s="61" t="str">
        <f t="shared" si="14"/>
        <v/>
      </c>
      <c r="X216" s="73"/>
      <c r="Y216" s="73"/>
      <c r="Z216" s="75">
        <f>IF($D216="",0,IF(COUNTIF($D$5:$D216,$D216)=1,1,0))</f>
        <v>0</v>
      </c>
      <c r="AA216" s="75" t="str">
        <f>IF(Z216=1,SUM($Z$5:$Z216),"")</f>
        <v/>
      </c>
    </row>
    <row r="217" spans="1:27">
      <c r="A217" s="73"/>
      <c r="B217" s="73"/>
      <c r="C217" s="73"/>
      <c r="D217" s="73"/>
      <c r="E217" s="73"/>
      <c r="F217" s="64"/>
      <c r="G217" s="64"/>
      <c r="H217" s="72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71"/>
      <c r="U217" s="64" t="str">
        <f t="shared" si="12"/>
        <v/>
      </c>
      <c r="V217" s="73" t="str">
        <f t="shared" si="13"/>
        <v/>
      </c>
      <c r="W217" s="61" t="str">
        <f t="shared" si="14"/>
        <v/>
      </c>
      <c r="X217" s="73"/>
      <c r="Y217" s="73"/>
      <c r="Z217" s="75">
        <f>IF($D217="",0,IF(COUNTIF($D$5:$D217,$D217)=1,1,0))</f>
        <v>0</v>
      </c>
      <c r="AA217" s="75" t="str">
        <f>IF(Z217=1,SUM($Z$5:$Z217),"")</f>
        <v/>
      </c>
    </row>
    <row r="218" spans="1:27">
      <c r="A218" s="73"/>
      <c r="B218" s="73"/>
      <c r="C218" s="73"/>
      <c r="D218" s="73"/>
      <c r="E218" s="73"/>
      <c r="F218" s="64"/>
      <c r="G218" s="64"/>
      <c r="H218" s="72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71"/>
      <c r="U218" s="64" t="str">
        <f t="shared" si="12"/>
        <v/>
      </c>
      <c r="V218" s="73" t="str">
        <f t="shared" si="13"/>
        <v/>
      </c>
      <c r="W218" s="61" t="str">
        <f t="shared" si="14"/>
        <v/>
      </c>
      <c r="X218" s="73"/>
      <c r="Y218" s="73"/>
      <c r="Z218" s="75">
        <f>IF($D218="",0,IF(COUNTIF($D$5:$D218,$D218)=1,1,0))</f>
        <v>0</v>
      </c>
      <c r="AA218" s="75" t="str">
        <f>IF(Z218=1,SUM($Z$5:$Z218),"")</f>
        <v/>
      </c>
    </row>
    <row r="219" spans="1:27">
      <c r="A219" s="73"/>
      <c r="B219" s="73"/>
      <c r="C219" s="73"/>
      <c r="D219" s="73"/>
      <c r="E219" s="73"/>
      <c r="F219" s="64"/>
      <c r="G219" s="64"/>
      <c r="H219" s="72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71"/>
      <c r="U219" s="64" t="str">
        <f t="shared" si="12"/>
        <v/>
      </c>
      <c r="V219" s="73" t="str">
        <f t="shared" si="13"/>
        <v/>
      </c>
      <c r="W219" s="61" t="str">
        <f t="shared" si="14"/>
        <v/>
      </c>
      <c r="X219" s="73"/>
      <c r="Y219" s="73"/>
      <c r="Z219" s="75">
        <f>IF($D219="",0,IF(COUNTIF($D$5:$D219,$D219)=1,1,0))</f>
        <v>0</v>
      </c>
      <c r="AA219" s="75" t="str">
        <f>IF(Z219=1,SUM($Z$5:$Z219),"")</f>
        <v/>
      </c>
    </row>
    <row r="220" spans="1:27">
      <c r="A220" s="73"/>
      <c r="B220" s="73"/>
      <c r="C220" s="73"/>
      <c r="D220" s="73"/>
      <c r="E220" s="73"/>
      <c r="F220" s="64"/>
      <c r="G220" s="64"/>
      <c r="H220" s="72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71"/>
      <c r="U220" s="64" t="str">
        <f t="shared" si="12"/>
        <v/>
      </c>
      <c r="V220" s="73" t="str">
        <f t="shared" si="13"/>
        <v/>
      </c>
      <c r="W220" s="61" t="str">
        <f t="shared" si="14"/>
        <v/>
      </c>
      <c r="X220" s="73"/>
      <c r="Y220" s="73"/>
      <c r="Z220" s="75">
        <f>IF($D220="",0,IF(COUNTIF($D$5:$D220,$D220)=1,1,0))</f>
        <v>0</v>
      </c>
      <c r="AA220" s="75" t="str">
        <f>IF(Z220=1,SUM($Z$5:$Z220),"")</f>
        <v/>
      </c>
    </row>
    <row r="221" spans="1:27">
      <c r="A221" s="73"/>
      <c r="B221" s="73"/>
      <c r="C221" s="73"/>
      <c r="D221" s="73"/>
      <c r="E221" s="73"/>
      <c r="F221" s="64"/>
      <c r="G221" s="64"/>
      <c r="H221" s="72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71"/>
      <c r="U221" s="64" t="str">
        <f t="shared" si="12"/>
        <v/>
      </c>
      <c r="V221" s="73" t="str">
        <f t="shared" si="13"/>
        <v/>
      </c>
      <c r="W221" s="61" t="str">
        <f t="shared" si="14"/>
        <v/>
      </c>
      <c r="X221" s="73"/>
      <c r="Y221" s="73"/>
      <c r="Z221" s="75">
        <f>IF($D221="",0,IF(COUNTIF($D$5:$D221,$D221)=1,1,0))</f>
        <v>0</v>
      </c>
      <c r="AA221" s="75" t="str">
        <f>IF(Z221=1,SUM($Z$5:$Z221),"")</f>
        <v/>
      </c>
    </row>
    <row r="222" spans="1:27">
      <c r="A222" s="73"/>
      <c r="B222" s="73"/>
      <c r="C222" s="73"/>
      <c r="D222" s="73"/>
      <c r="E222" s="73"/>
      <c r="F222" s="64"/>
      <c r="G222" s="64"/>
      <c r="H222" s="72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71"/>
      <c r="U222" s="64" t="str">
        <f t="shared" si="12"/>
        <v/>
      </c>
      <c r="V222" s="73" t="str">
        <f t="shared" si="13"/>
        <v/>
      </c>
      <c r="W222" s="61" t="str">
        <f t="shared" si="14"/>
        <v/>
      </c>
      <c r="X222" s="73"/>
      <c r="Y222" s="73"/>
      <c r="Z222" s="75">
        <f>IF($D222="",0,IF(COUNTIF($D$5:$D222,$D222)=1,1,0))</f>
        <v>0</v>
      </c>
      <c r="AA222" s="75" t="str">
        <f>IF(Z222=1,SUM($Z$5:$Z222),"")</f>
        <v/>
      </c>
    </row>
    <row r="223" spans="1:27">
      <c r="A223" s="73"/>
      <c r="B223" s="73"/>
      <c r="C223" s="73"/>
      <c r="D223" s="73"/>
      <c r="E223" s="73"/>
      <c r="F223" s="64"/>
      <c r="G223" s="64"/>
      <c r="H223" s="72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71"/>
      <c r="U223" s="64" t="str">
        <f t="shared" si="12"/>
        <v/>
      </c>
      <c r="V223" s="73" t="str">
        <f t="shared" si="13"/>
        <v/>
      </c>
      <c r="W223" s="61" t="str">
        <f t="shared" si="14"/>
        <v/>
      </c>
      <c r="X223" s="73"/>
      <c r="Y223" s="73"/>
      <c r="Z223" s="75">
        <f>IF($D223="",0,IF(COUNTIF($D$5:$D223,$D223)=1,1,0))</f>
        <v>0</v>
      </c>
      <c r="AA223" s="75" t="str">
        <f>IF(Z223=1,SUM($Z$5:$Z223),"")</f>
        <v/>
      </c>
    </row>
    <row r="224" spans="1:27">
      <c r="A224" s="73"/>
      <c r="B224" s="73"/>
      <c r="C224" s="73"/>
      <c r="D224" s="73"/>
      <c r="E224" s="73"/>
      <c r="F224" s="64"/>
      <c r="G224" s="64"/>
      <c r="H224" s="72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71"/>
      <c r="U224" s="64" t="str">
        <f t="shared" si="12"/>
        <v/>
      </c>
      <c r="V224" s="73" t="str">
        <f t="shared" si="13"/>
        <v/>
      </c>
      <c r="W224" s="61" t="str">
        <f t="shared" si="14"/>
        <v/>
      </c>
      <c r="X224" s="73"/>
      <c r="Y224" s="73"/>
      <c r="Z224" s="75">
        <f>IF($D224="",0,IF(COUNTIF($D$5:$D224,$D224)=1,1,0))</f>
        <v>0</v>
      </c>
      <c r="AA224" s="75" t="str">
        <f>IF(Z224=1,SUM($Z$5:$Z224),"")</f>
        <v/>
      </c>
    </row>
    <row r="225" spans="1:27">
      <c r="A225" s="73"/>
      <c r="B225" s="73"/>
      <c r="C225" s="73"/>
      <c r="D225" s="73"/>
      <c r="E225" s="73"/>
      <c r="F225" s="64"/>
      <c r="G225" s="64"/>
      <c r="H225" s="72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71"/>
      <c r="U225" s="64" t="str">
        <f t="shared" si="12"/>
        <v/>
      </c>
      <c r="V225" s="73" t="str">
        <f t="shared" si="13"/>
        <v/>
      </c>
      <c r="W225" s="61" t="str">
        <f t="shared" si="14"/>
        <v/>
      </c>
      <c r="X225" s="73"/>
      <c r="Y225" s="73"/>
      <c r="Z225" s="75">
        <f>IF($D225="",0,IF(COUNTIF($D$5:$D225,$D225)=1,1,0))</f>
        <v>0</v>
      </c>
      <c r="AA225" s="75" t="str">
        <f>IF(Z225=1,SUM($Z$5:$Z225),"")</f>
        <v/>
      </c>
    </row>
    <row r="226" spans="1:27">
      <c r="A226" s="73"/>
      <c r="B226" s="73"/>
      <c r="C226" s="73"/>
      <c r="D226" s="73"/>
      <c r="E226" s="73"/>
      <c r="F226" s="64"/>
      <c r="G226" s="64"/>
      <c r="H226" s="72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71"/>
      <c r="U226" s="64" t="str">
        <f t="shared" si="12"/>
        <v/>
      </c>
      <c r="V226" s="73" t="str">
        <f t="shared" si="13"/>
        <v/>
      </c>
      <c r="W226" s="61" t="str">
        <f t="shared" si="14"/>
        <v/>
      </c>
      <c r="X226" s="73"/>
      <c r="Y226" s="73"/>
      <c r="Z226" s="75">
        <f>IF($D226="",0,IF(COUNTIF($D$5:$D226,$D226)=1,1,0))</f>
        <v>0</v>
      </c>
      <c r="AA226" s="75" t="str">
        <f>IF(Z226=1,SUM($Z$5:$Z226),"")</f>
        <v/>
      </c>
    </row>
    <row r="227" spans="1:27">
      <c r="A227" s="73"/>
      <c r="B227" s="73"/>
      <c r="C227" s="73"/>
      <c r="D227" s="73"/>
      <c r="E227" s="73"/>
      <c r="F227" s="64"/>
      <c r="G227" s="64"/>
      <c r="H227" s="72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71"/>
      <c r="U227" s="64" t="str">
        <f t="shared" si="12"/>
        <v/>
      </c>
      <c r="V227" s="73" t="str">
        <f t="shared" si="13"/>
        <v/>
      </c>
      <c r="W227" s="61" t="str">
        <f t="shared" si="14"/>
        <v/>
      </c>
      <c r="X227" s="73"/>
      <c r="Y227" s="73"/>
      <c r="Z227" s="75">
        <f>IF($D227="",0,IF(COUNTIF($D$5:$D227,$D227)=1,1,0))</f>
        <v>0</v>
      </c>
      <c r="AA227" s="75" t="str">
        <f>IF(Z227=1,SUM($Z$5:$Z227),"")</f>
        <v/>
      </c>
    </row>
    <row r="228" spans="1:27">
      <c r="A228" s="73"/>
      <c r="B228" s="73"/>
      <c r="C228" s="73"/>
      <c r="D228" s="73"/>
      <c r="E228" s="73"/>
      <c r="F228" s="64"/>
      <c r="G228" s="64"/>
      <c r="H228" s="72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71"/>
      <c r="U228" s="64" t="str">
        <f t="shared" si="12"/>
        <v/>
      </c>
      <c r="V228" s="73" t="str">
        <f t="shared" si="13"/>
        <v/>
      </c>
      <c r="W228" s="61" t="str">
        <f t="shared" si="14"/>
        <v/>
      </c>
      <c r="X228" s="73"/>
      <c r="Y228" s="73"/>
      <c r="Z228" s="75">
        <f>IF($D228="",0,IF(COUNTIF($D$5:$D228,$D228)=1,1,0))</f>
        <v>0</v>
      </c>
      <c r="AA228" s="75" t="str">
        <f>IF(Z228=1,SUM($Z$5:$Z228),"")</f>
        <v/>
      </c>
    </row>
    <row r="229" spans="1:27">
      <c r="A229" s="73"/>
      <c r="B229" s="73"/>
      <c r="C229" s="73"/>
      <c r="D229" s="73"/>
      <c r="E229" s="73"/>
      <c r="F229" s="64"/>
      <c r="G229" s="64"/>
      <c r="H229" s="72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71"/>
      <c r="U229" s="64" t="str">
        <f t="shared" si="12"/>
        <v/>
      </c>
      <c r="V229" s="73" t="str">
        <f t="shared" si="13"/>
        <v/>
      </c>
      <c r="W229" s="61" t="str">
        <f t="shared" si="14"/>
        <v/>
      </c>
      <c r="X229" s="73"/>
      <c r="Y229" s="73"/>
      <c r="Z229" s="75">
        <f>IF($D229="",0,IF(COUNTIF($D$5:$D229,$D229)=1,1,0))</f>
        <v>0</v>
      </c>
      <c r="AA229" s="75" t="str">
        <f>IF(Z229=1,SUM($Z$5:$Z229),"")</f>
        <v/>
      </c>
    </row>
    <row r="230" spans="1:27">
      <c r="A230" s="73"/>
      <c r="B230" s="73"/>
      <c r="C230" s="73"/>
      <c r="D230" s="73"/>
      <c r="E230" s="73"/>
      <c r="F230" s="64"/>
      <c r="G230" s="64"/>
      <c r="H230" s="72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71"/>
      <c r="U230" s="64" t="str">
        <f t="shared" si="12"/>
        <v/>
      </c>
      <c r="V230" s="73" t="str">
        <f t="shared" si="13"/>
        <v/>
      </c>
      <c r="W230" s="61" t="str">
        <f t="shared" si="14"/>
        <v/>
      </c>
      <c r="X230" s="73"/>
      <c r="Y230" s="73"/>
      <c r="Z230" s="75">
        <f>IF($D230="",0,IF(COUNTIF($D$5:$D230,$D230)=1,1,0))</f>
        <v>0</v>
      </c>
      <c r="AA230" s="75" t="str">
        <f>IF(Z230=1,SUM($Z$5:$Z230),"")</f>
        <v/>
      </c>
    </row>
    <row r="231" spans="1:27">
      <c r="A231" s="73"/>
      <c r="B231" s="73"/>
      <c r="C231" s="73"/>
      <c r="D231" s="73"/>
      <c r="E231" s="73"/>
      <c r="F231" s="64"/>
      <c r="G231" s="64"/>
      <c r="H231" s="72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71"/>
      <c r="U231" s="64" t="str">
        <f t="shared" si="12"/>
        <v/>
      </c>
      <c r="V231" s="73" t="str">
        <f t="shared" si="13"/>
        <v/>
      </c>
      <c r="W231" s="61" t="str">
        <f t="shared" si="14"/>
        <v/>
      </c>
      <c r="X231" s="73"/>
      <c r="Y231" s="73"/>
      <c r="Z231" s="75">
        <f>IF($D231="",0,IF(COUNTIF($D$5:$D231,$D231)=1,1,0))</f>
        <v>0</v>
      </c>
      <c r="AA231" s="75" t="str">
        <f>IF(Z231=1,SUM($Z$5:$Z231),"")</f>
        <v/>
      </c>
    </row>
    <row r="232" spans="1:27">
      <c r="A232" s="73"/>
      <c r="B232" s="73"/>
      <c r="C232" s="73"/>
      <c r="D232" s="73"/>
      <c r="E232" s="73"/>
      <c r="F232" s="64"/>
      <c r="G232" s="64"/>
      <c r="H232" s="72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71"/>
      <c r="U232" s="64" t="str">
        <f t="shared" si="12"/>
        <v/>
      </c>
      <c r="V232" s="73" t="str">
        <f t="shared" si="13"/>
        <v/>
      </c>
      <c r="W232" s="61" t="str">
        <f t="shared" si="14"/>
        <v/>
      </c>
      <c r="X232" s="73"/>
      <c r="Y232" s="73"/>
      <c r="Z232" s="75">
        <f>IF($D232="",0,IF(COUNTIF($D$5:$D232,$D232)=1,1,0))</f>
        <v>0</v>
      </c>
      <c r="AA232" s="75" t="str">
        <f>IF(Z232=1,SUM($Z$5:$Z232),"")</f>
        <v/>
      </c>
    </row>
    <row r="233" spans="1:27">
      <c r="A233" s="73"/>
      <c r="B233" s="73"/>
      <c r="C233" s="73"/>
      <c r="D233" s="73"/>
      <c r="E233" s="73"/>
      <c r="F233" s="64"/>
      <c r="G233" s="64"/>
      <c r="H233" s="72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71"/>
      <c r="U233" s="64" t="str">
        <f t="shared" si="12"/>
        <v/>
      </c>
      <c r="V233" s="73" t="str">
        <f t="shared" si="13"/>
        <v/>
      </c>
      <c r="W233" s="61" t="str">
        <f t="shared" si="14"/>
        <v/>
      </c>
      <c r="X233" s="73"/>
      <c r="Y233" s="73"/>
      <c r="Z233" s="75">
        <f>IF($D233="",0,IF(COUNTIF($D$5:$D233,$D233)=1,1,0))</f>
        <v>0</v>
      </c>
      <c r="AA233" s="75" t="str">
        <f>IF(Z233=1,SUM($Z$5:$Z233),"")</f>
        <v/>
      </c>
    </row>
    <row r="234" spans="1:27">
      <c r="A234" s="73"/>
      <c r="B234" s="73"/>
      <c r="C234" s="73"/>
      <c r="D234" s="73"/>
      <c r="E234" s="73"/>
      <c r="F234" s="64"/>
      <c r="G234" s="64"/>
      <c r="H234" s="72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71"/>
      <c r="U234" s="64" t="str">
        <f t="shared" si="12"/>
        <v/>
      </c>
      <c r="V234" s="73" t="str">
        <f t="shared" si="13"/>
        <v/>
      </c>
      <c r="W234" s="61" t="str">
        <f t="shared" si="14"/>
        <v/>
      </c>
      <c r="X234" s="73"/>
      <c r="Y234" s="73"/>
      <c r="Z234" s="75">
        <f>IF($D234="",0,IF(COUNTIF($D$5:$D234,$D234)=1,1,0))</f>
        <v>0</v>
      </c>
      <c r="AA234" s="75" t="str">
        <f>IF(Z234=1,SUM($Z$5:$Z234),"")</f>
        <v/>
      </c>
    </row>
    <row r="235" spans="1:27">
      <c r="A235" s="73"/>
      <c r="B235" s="73"/>
      <c r="C235" s="73"/>
      <c r="D235" s="73"/>
      <c r="E235" s="73"/>
      <c r="F235" s="64"/>
      <c r="G235" s="64"/>
      <c r="H235" s="72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71"/>
      <c r="U235" s="64" t="str">
        <f t="shared" si="12"/>
        <v/>
      </c>
      <c r="V235" s="73" t="str">
        <f t="shared" si="13"/>
        <v/>
      </c>
      <c r="W235" s="61" t="str">
        <f t="shared" si="14"/>
        <v/>
      </c>
      <c r="X235" s="73"/>
      <c r="Y235" s="73"/>
      <c r="Z235" s="75">
        <f>IF($D235="",0,IF(COUNTIF($D$5:$D235,$D235)=1,1,0))</f>
        <v>0</v>
      </c>
      <c r="AA235" s="75" t="str">
        <f>IF(Z235=1,SUM($Z$5:$Z235),"")</f>
        <v/>
      </c>
    </row>
    <row r="236" spans="1:27">
      <c r="A236" s="73"/>
      <c r="B236" s="73"/>
      <c r="C236" s="73"/>
      <c r="D236" s="73"/>
      <c r="E236" s="73"/>
      <c r="F236" s="64"/>
      <c r="G236" s="64"/>
      <c r="H236" s="72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71"/>
      <c r="U236" s="64" t="str">
        <f t="shared" si="12"/>
        <v/>
      </c>
      <c r="V236" s="73" t="str">
        <f t="shared" si="13"/>
        <v/>
      </c>
      <c r="W236" s="61" t="str">
        <f t="shared" si="14"/>
        <v/>
      </c>
      <c r="X236" s="73"/>
      <c r="Y236" s="73"/>
      <c r="Z236" s="75">
        <f>IF($D236="",0,IF(COUNTIF($D$5:$D236,$D236)=1,1,0))</f>
        <v>0</v>
      </c>
      <c r="AA236" s="75" t="str">
        <f>IF(Z236=1,SUM($Z$5:$Z236),"")</f>
        <v/>
      </c>
    </row>
    <row r="237" spans="1:27">
      <c r="A237" s="73"/>
      <c r="B237" s="73"/>
      <c r="C237" s="73"/>
      <c r="D237" s="73"/>
      <c r="E237" s="73"/>
      <c r="F237" s="64"/>
      <c r="G237" s="64"/>
      <c r="H237" s="72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71"/>
      <c r="U237" s="64" t="str">
        <f t="shared" si="12"/>
        <v/>
      </c>
      <c r="V237" s="73" t="str">
        <f t="shared" si="13"/>
        <v/>
      </c>
      <c r="W237" s="61" t="str">
        <f t="shared" si="14"/>
        <v/>
      </c>
      <c r="X237" s="73"/>
      <c r="Y237" s="73"/>
      <c r="Z237" s="75">
        <f>IF($D237="",0,IF(COUNTIF($D$5:$D237,$D237)=1,1,0))</f>
        <v>0</v>
      </c>
      <c r="AA237" s="75" t="str">
        <f>IF(Z237=1,SUM($Z$5:$Z237),"")</f>
        <v/>
      </c>
    </row>
    <row r="238" spans="1:27">
      <c r="A238" s="73"/>
      <c r="B238" s="73"/>
      <c r="C238" s="73"/>
      <c r="D238" s="73"/>
      <c r="E238" s="73"/>
      <c r="F238" s="64"/>
      <c r="G238" s="64"/>
      <c r="H238" s="72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71"/>
      <c r="U238" s="64" t="str">
        <f t="shared" si="12"/>
        <v/>
      </c>
      <c r="V238" s="73" t="str">
        <f t="shared" si="13"/>
        <v/>
      </c>
      <c r="W238" s="61" t="str">
        <f t="shared" si="14"/>
        <v/>
      </c>
      <c r="X238" s="73"/>
      <c r="Y238" s="73"/>
      <c r="Z238" s="75">
        <f>IF($D238="",0,IF(COUNTIF($D$5:$D238,$D238)=1,1,0))</f>
        <v>0</v>
      </c>
      <c r="AA238" s="75" t="str">
        <f>IF(Z238=1,SUM($Z$5:$Z238),"")</f>
        <v/>
      </c>
    </row>
    <row r="239" spans="1:27">
      <c r="A239" s="73"/>
      <c r="B239" s="73"/>
      <c r="C239" s="73"/>
      <c r="D239" s="73"/>
      <c r="E239" s="73"/>
      <c r="F239" s="64"/>
      <c r="G239" s="64"/>
      <c r="H239" s="72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71"/>
      <c r="U239" s="64" t="str">
        <f t="shared" si="12"/>
        <v/>
      </c>
      <c r="V239" s="73" t="str">
        <f t="shared" si="13"/>
        <v/>
      </c>
      <c r="W239" s="61" t="str">
        <f t="shared" si="14"/>
        <v/>
      </c>
      <c r="X239" s="73"/>
      <c r="Y239" s="73"/>
      <c r="Z239" s="75">
        <f>IF($D239="",0,IF(COUNTIF($D$5:$D239,$D239)=1,1,0))</f>
        <v>0</v>
      </c>
      <c r="AA239" s="75" t="str">
        <f>IF(Z239=1,SUM($Z$5:$Z239),"")</f>
        <v/>
      </c>
    </row>
    <row r="240" spans="1:27">
      <c r="A240" s="73"/>
      <c r="B240" s="73"/>
      <c r="C240" s="73"/>
      <c r="D240" s="73"/>
      <c r="E240" s="73"/>
      <c r="F240" s="64"/>
      <c r="G240" s="64"/>
      <c r="H240" s="72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71"/>
      <c r="U240" s="64" t="str">
        <f t="shared" si="12"/>
        <v/>
      </c>
      <c r="V240" s="73" t="str">
        <f t="shared" si="13"/>
        <v/>
      </c>
      <c r="W240" s="61" t="str">
        <f t="shared" si="14"/>
        <v/>
      </c>
      <c r="X240" s="73"/>
      <c r="Y240" s="73"/>
      <c r="Z240" s="75">
        <f>IF($D240="",0,IF(COUNTIF($D$5:$D240,$D240)=1,1,0))</f>
        <v>0</v>
      </c>
      <c r="AA240" s="75" t="str">
        <f>IF(Z240=1,SUM($Z$5:$Z240),"")</f>
        <v/>
      </c>
    </row>
    <row r="241" spans="1:27">
      <c r="A241" s="73"/>
      <c r="B241" s="73"/>
      <c r="C241" s="73"/>
      <c r="D241" s="73"/>
      <c r="E241" s="73"/>
      <c r="F241" s="64"/>
      <c r="G241" s="64"/>
      <c r="H241" s="72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71"/>
      <c r="U241" s="64" t="str">
        <f t="shared" si="12"/>
        <v/>
      </c>
      <c r="V241" s="73" t="str">
        <f t="shared" si="13"/>
        <v/>
      </c>
      <c r="W241" s="61" t="str">
        <f t="shared" si="14"/>
        <v/>
      </c>
      <c r="X241" s="73"/>
      <c r="Y241" s="73"/>
      <c r="Z241" s="75">
        <f>IF($D241="",0,IF(COUNTIF($D$5:$D241,$D241)=1,1,0))</f>
        <v>0</v>
      </c>
      <c r="AA241" s="75" t="str">
        <f>IF(Z241=1,SUM($Z$5:$Z241),"")</f>
        <v/>
      </c>
    </row>
    <row r="242" spans="1:27">
      <c r="A242" s="73"/>
      <c r="B242" s="73"/>
      <c r="C242" s="73"/>
      <c r="D242" s="73"/>
      <c r="E242" s="73"/>
      <c r="F242" s="64"/>
      <c r="G242" s="64"/>
      <c r="H242" s="72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71"/>
      <c r="U242" s="64" t="str">
        <f t="shared" si="12"/>
        <v/>
      </c>
      <c r="V242" s="73" t="str">
        <f t="shared" si="13"/>
        <v/>
      </c>
      <c r="W242" s="61" t="str">
        <f t="shared" si="14"/>
        <v/>
      </c>
      <c r="X242" s="73"/>
      <c r="Y242" s="73"/>
      <c r="Z242" s="75">
        <f>IF($D242="",0,IF(COUNTIF($D$5:$D242,$D242)=1,1,0))</f>
        <v>0</v>
      </c>
      <c r="AA242" s="75" t="str">
        <f>IF(Z242=1,SUM($Z$5:$Z242),"")</f>
        <v/>
      </c>
    </row>
    <row r="243" spans="1:27">
      <c r="A243" s="73"/>
      <c r="B243" s="73"/>
      <c r="C243" s="73"/>
      <c r="D243" s="73"/>
      <c r="E243" s="73"/>
      <c r="F243" s="64"/>
      <c r="G243" s="64"/>
      <c r="H243" s="72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71"/>
      <c r="U243" s="64" t="str">
        <f t="shared" si="12"/>
        <v/>
      </c>
      <c r="V243" s="73" t="str">
        <f t="shared" si="13"/>
        <v/>
      </c>
      <c r="W243" s="61" t="str">
        <f t="shared" si="14"/>
        <v/>
      </c>
      <c r="X243" s="73"/>
      <c r="Y243" s="73"/>
      <c r="Z243" s="75">
        <f>IF($D243="",0,IF(COUNTIF($D$5:$D243,$D243)=1,1,0))</f>
        <v>0</v>
      </c>
      <c r="AA243" s="75" t="str">
        <f>IF(Z243=1,SUM($Z$5:$Z243),"")</f>
        <v/>
      </c>
    </row>
    <row r="244" spans="1:27">
      <c r="A244" s="73"/>
      <c r="B244" s="73"/>
      <c r="C244" s="73"/>
      <c r="D244" s="73"/>
      <c r="E244" s="73"/>
      <c r="F244" s="64"/>
      <c r="G244" s="64"/>
      <c r="H244" s="72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71"/>
      <c r="U244" s="64" t="str">
        <f t="shared" si="12"/>
        <v/>
      </c>
      <c r="V244" s="73" t="str">
        <f t="shared" si="13"/>
        <v/>
      </c>
      <c r="W244" s="61" t="str">
        <f t="shared" si="14"/>
        <v/>
      </c>
      <c r="X244" s="73"/>
      <c r="Y244" s="73"/>
      <c r="Z244" s="75">
        <f>IF($D244="",0,IF(COUNTIF($D$5:$D244,$D244)=1,1,0))</f>
        <v>0</v>
      </c>
      <c r="AA244" s="75" t="str">
        <f>IF(Z244=1,SUM($Z$5:$Z244),"")</f>
        <v/>
      </c>
    </row>
    <row r="245" spans="1:27">
      <c r="A245" s="73"/>
      <c r="B245" s="73"/>
      <c r="C245" s="73"/>
      <c r="D245" s="73"/>
      <c r="E245" s="73"/>
      <c r="F245" s="64"/>
      <c r="G245" s="64"/>
      <c r="H245" s="72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71"/>
      <c r="U245" s="64" t="str">
        <f t="shared" si="12"/>
        <v/>
      </c>
      <c r="V245" s="73" t="str">
        <f t="shared" si="13"/>
        <v/>
      </c>
      <c r="W245" s="61" t="str">
        <f t="shared" si="14"/>
        <v/>
      </c>
      <c r="X245" s="73"/>
      <c r="Y245" s="73"/>
      <c r="Z245" s="75">
        <f>IF($D245="",0,IF(COUNTIF($D$5:$D245,$D245)=1,1,0))</f>
        <v>0</v>
      </c>
      <c r="AA245" s="75" t="str">
        <f>IF(Z245=1,SUM($Z$5:$Z245),"")</f>
        <v/>
      </c>
    </row>
    <row r="246" spans="1:27">
      <c r="A246" s="73"/>
      <c r="B246" s="73"/>
      <c r="C246" s="73"/>
      <c r="D246" s="73"/>
      <c r="E246" s="73"/>
      <c r="F246" s="64"/>
      <c r="G246" s="64"/>
      <c r="H246" s="72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71"/>
      <c r="U246" s="64" t="str">
        <f t="shared" si="12"/>
        <v/>
      </c>
      <c r="V246" s="73" t="str">
        <f t="shared" si="13"/>
        <v/>
      </c>
      <c r="W246" s="61" t="str">
        <f t="shared" si="14"/>
        <v/>
      </c>
      <c r="X246" s="73"/>
      <c r="Y246" s="73"/>
      <c r="Z246" s="75">
        <f>IF($D246="",0,IF(COUNTIF($D$5:$D246,$D246)=1,1,0))</f>
        <v>0</v>
      </c>
      <c r="AA246" s="75" t="str">
        <f>IF(Z246=1,SUM($Z$5:$Z246),"")</f>
        <v/>
      </c>
    </row>
    <row r="247" spans="1:27">
      <c r="A247" s="73"/>
      <c r="B247" s="73"/>
      <c r="C247" s="73"/>
      <c r="D247" s="73"/>
      <c r="E247" s="73"/>
      <c r="F247" s="64"/>
      <c r="G247" s="64"/>
      <c r="H247" s="72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71"/>
      <c r="U247" s="64" t="str">
        <f t="shared" si="12"/>
        <v/>
      </c>
      <c r="V247" s="73" t="str">
        <f t="shared" si="13"/>
        <v/>
      </c>
      <c r="W247" s="61" t="str">
        <f t="shared" si="14"/>
        <v/>
      </c>
      <c r="X247" s="73"/>
      <c r="Y247" s="73"/>
      <c r="Z247" s="75">
        <f>IF($D247="",0,IF(COUNTIF($D$5:$D247,$D247)=1,1,0))</f>
        <v>0</v>
      </c>
      <c r="AA247" s="75" t="str">
        <f>IF(Z247=1,SUM($Z$5:$Z247),"")</f>
        <v/>
      </c>
    </row>
    <row r="248" spans="1:27">
      <c r="A248" s="73"/>
      <c r="B248" s="73"/>
      <c r="C248" s="73"/>
      <c r="D248" s="73"/>
      <c r="E248" s="73"/>
      <c r="F248" s="64"/>
      <c r="G248" s="64"/>
      <c r="H248" s="72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71"/>
      <c r="U248" s="64" t="str">
        <f t="shared" si="12"/>
        <v/>
      </c>
      <c r="V248" s="73" t="str">
        <f t="shared" si="13"/>
        <v/>
      </c>
      <c r="W248" s="61" t="str">
        <f t="shared" si="14"/>
        <v/>
      </c>
      <c r="X248" s="73"/>
      <c r="Y248" s="73"/>
      <c r="Z248" s="75">
        <f>IF($D248="",0,IF(COUNTIF($D$5:$D248,$D248)=1,1,0))</f>
        <v>0</v>
      </c>
      <c r="AA248" s="75" t="str">
        <f>IF(Z248=1,SUM($Z$5:$Z248),"")</f>
        <v/>
      </c>
    </row>
    <row r="249" spans="1:27">
      <c r="A249" s="73"/>
      <c r="B249" s="73"/>
      <c r="C249" s="73"/>
      <c r="D249" s="73"/>
      <c r="E249" s="73"/>
      <c r="F249" s="64"/>
      <c r="G249" s="64"/>
      <c r="H249" s="72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71"/>
      <c r="U249" s="64" t="str">
        <f t="shared" si="12"/>
        <v/>
      </c>
      <c r="V249" s="73" t="str">
        <f t="shared" si="13"/>
        <v/>
      </c>
      <c r="W249" s="61" t="str">
        <f t="shared" si="14"/>
        <v/>
      </c>
      <c r="X249" s="73"/>
      <c r="Y249" s="73"/>
      <c r="Z249" s="75">
        <f>IF($D249="",0,IF(COUNTIF($D$5:$D249,$D249)=1,1,0))</f>
        <v>0</v>
      </c>
      <c r="AA249" s="75" t="str">
        <f>IF(Z249=1,SUM($Z$5:$Z249),"")</f>
        <v/>
      </c>
    </row>
    <row r="250" spans="1:27">
      <c r="A250" s="73"/>
      <c r="B250" s="73"/>
      <c r="C250" s="73"/>
      <c r="D250" s="73"/>
      <c r="E250" s="73"/>
      <c r="F250" s="64"/>
      <c r="G250" s="64"/>
      <c r="H250" s="72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71"/>
      <c r="U250" s="64" t="str">
        <f t="shared" si="12"/>
        <v/>
      </c>
      <c r="V250" s="73" t="str">
        <f t="shared" si="13"/>
        <v/>
      </c>
      <c r="W250" s="61" t="str">
        <f t="shared" si="14"/>
        <v/>
      </c>
      <c r="X250" s="73"/>
      <c r="Y250" s="73"/>
      <c r="Z250" s="75">
        <f>IF($D250="",0,IF(COUNTIF($D$5:$D250,$D250)=1,1,0))</f>
        <v>0</v>
      </c>
      <c r="AA250" s="75" t="str">
        <f>IF(Z250=1,SUM($Z$5:$Z250),"")</f>
        <v/>
      </c>
    </row>
    <row r="251" spans="1:27">
      <c r="A251" s="73"/>
      <c r="B251" s="73"/>
      <c r="C251" s="73"/>
      <c r="D251" s="73"/>
      <c r="E251" s="73"/>
      <c r="F251" s="64"/>
      <c r="G251" s="64"/>
      <c r="H251" s="72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71"/>
      <c r="U251" s="64" t="str">
        <f t="shared" si="12"/>
        <v/>
      </c>
      <c r="V251" s="73" t="str">
        <f t="shared" si="13"/>
        <v/>
      </c>
      <c r="W251" s="61" t="str">
        <f t="shared" si="14"/>
        <v/>
      </c>
      <c r="X251" s="73"/>
      <c r="Y251" s="73"/>
      <c r="Z251" s="75">
        <f>IF($D251="",0,IF(COUNTIF($D$5:$D251,$D251)=1,1,0))</f>
        <v>0</v>
      </c>
      <c r="AA251" s="75" t="str">
        <f>IF(Z251=1,SUM($Z$5:$Z251),"")</f>
        <v/>
      </c>
    </row>
    <row r="252" spans="1:27">
      <c r="A252" s="73"/>
      <c r="B252" s="73"/>
      <c r="C252" s="73"/>
      <c r="D252" s="73"/>
      <c r="E252" s="73"/>
      <c r="F252" s="64"/>
      <c r="G252" s="64"/>
      <c r="H252" s="72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71"/>
      <c r="U252" s="64" t="str">
        <f t="shared" si="12"/>
        <v/>
      </c>
      <c r="V252" s="73" t="str">
        <f t="shared" si="13"/>
        <v/>
      </c>
      <c r="W252" s="61" t="str">
        <f t="shared" si="14"/>
        <v/>
      </c>
      <c r="X252" s="73"/>
      <c r="Y252" s="73"/>
      <c r="Z252" s="75">
        <f>IF($D252="",0,IF(COUNTIF($D$5:$D252,$D252)=1,1,0))</f>
        <v>0</v>
      </c>
      <c r="AA252" s="75" t="str">
        <f>IF(Z252=1,SUM($Z$5:$Z252),"")</f>
        <v/>
      </c>
    </row>
    <row r="253" spans="1:27">
      <c r="A253" s="73"/>
      <c r="B253" s="73"/>
      <c r="C253" s="73"/>
      <c r="D253" s="73"/>
      <c r="E253" s="73"/>
      <c r="F253" s="64"/>
      <c r="G253" s="64"/>
      <c r="H253" s="72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71"/>
      <c r="U253" s="64" t="str">
        <f t="shared" si="12"/>
        <v/>
      </c>
      <c r="V253" s="73" t="str">
        <f t="shared" si="13"/>
        <v/>
      </c>
      <c r="W253" s="61" t="str">
        <f t="shared" si="14"/>
        <v/>
      </c>
      <c r="X253" s="73"/>
      <c r="Y253" s="73"/>
      <c r="Z253" s="75">
        <f>IF($D253="",0,IF(COUNTIF($D$5:$D253,$D253)=1,1,0))</f>
        <v>0</v>
      </c>
      <c r="AA253" s="75" t="str">
        <f>IF(Z253=1,SUM($Z$5:$Z253),"")</f>
        <v/>
      </c>
    </row>
    <row r="254" spans="1:27">
      <c r="A254" s="73"/>
      <c r="B254" s="73"/>
      <c r="C254" s="73"/>
      <c r="D254" s="73"/>
      <c r="E254" s="73"/>
      <c r="F254" s="64"/>
      <c r="G254" s="64"/>
      <c r="H254" s="72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71"/>
      <c r="U254" s="64" t="str">
        <f t="shared" si="12"/>
        <v/>
      </c>
      <c r="V254" s="73" t="str">
        <f t="shared" si="13"/>
        <v/>
      </c>
      <c r="W254" s="61" t="str">
        <f t="shared" si="14"/>
        <v/>
      </c>
      <c r="X254" s="73"/>
      <c r="Y254" s="73"/>
      <c r="Z254" s="75">
        <f>IF($D254="",0,IF(COUNTIF($D$5:$D254,$D254)=1,1,0))</f>
        <v>0</v>
      </c>
      <c r="AA254" s="75" t="str">
        <f>IF(Z254=1,SUM($Z$5:$Z254),"")</f>
        <v/>
      </c>
    </row>
    <row r="255" spans="1:27">
      <c r="A255" s="73"/>
      <c r="B255" s="73"/>
      <c r="C255" s="73"/>
      <c r="D255" s="73"/>
      <c r="E255" s="73"/>
      <c r="F255" s="64"/>
      <c r="G255" s="64"/>
      <c r="H255" s="72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71"/>
      <c r="U255" s="64" t="str">
        <f t="shared" si="12"/>
        <v/>
      </c>
      <c r="V255" s="73" t="str">
        <f t="shared" si="13"/>
        <v/>
      </c>
      <c r="W255" s="61" t="str">
        <f t="shared" si="14"/>
        <v/>
      </c>
      <c r="X255" s="73"/>
      <c r="Y255" s="73"/>
      <c r="Z255" s="75">
        <f>IF($D255="",0,IF(COUNTIF($D$5:$D255,$D255)=1,1,0))</f>
        <v>0</v>
      </c>
      <c r="AA255" s="75" t="str">
        <f>IF(Z255=1,SUM($Z$5:$Z255),"")</f>
        <v/>
      </c>
    </row>
    <row r="256" spans="1:27">
      <c r="A256" s="73"/>
      <c r="B256" s="73"/>
      <c r="C256" s="73"/>
      <c r="D256" s="73"/>
      <c r="E256" s="73"/>
      <c r="F256" s="64"/>
      <c r="G256" s="64"/>
      <c r="H256" s="72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71"/>
      <c r="U256" s="64" t="str">
        <f t="shared" si="12"/>
        <v/>
      </c>
      <c r="V256" s="73" t="str">
        <f t="shared" si="13"/>
        <v/>
      </c>
      <c r="W256" s="61" t="str">
        <f t="shared" si="14"/>
        <v/>
      </c>
      <c r="X256" s="73"/>
      <c r="Y256" s="73"/>
      <c r="Z256" s="75">
        <f>IF($D256="",0,IF(COUNTIF($D$5:$D256,$D256)=1,1,0))</f>
        <v>0</v>
      </c>
      <c r="AA256" s="75" t="str">
        <f>IF(Z256=1,SUM($Z$5:$Z256),"")</f>
        <v/>
      </c>
    </row>
    <row r="257" spans="1:27">
      <c r="A257" s="73"/>
      <c r="B257" s="73"/>
      <c r="C257" s="73"/>
      <c r="D257" s="73"/>
      <c r="E257" s="73"/>
      <c r="F257" s="64"/>
      <c r="G257" s="64"/>
      <c r="H257" s="72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71"/>
      <c r="U257" s="64" t="str">
        <f t="shared" si="12"/>
        <v/>
      </c>
      <c r="V257" s="73" t="str">
        <f t="shared" si="13"/>
        <v/>
      </c>
      <c r="W257" s="61" t="str">
        <f t="shared" si="14"/>
        <v/>
      </c>
      <c r="X257" s="73"/>
      <c r="Y257" s="73"/>
      <c r="Z257" s="75">
        <f>IF($D257="",0,IF(COUNTIF($D$5:$D257,$D257)=1,1,0))</f>
        <v>0</v>
      </c>
      <c r="AA257" s="75" t="str">
        <f>IF(Z257=1,SUM($Z$5:$Z257),"")</f>
        <v/>
      </c>
    </row>
    <row r="258" spans="1:27">
      <c r="A258" s="73"/>
      <c r="B258" s="73"/>
      <c r="C258" s="73"/>
      <c r="D258" s="73"/>
      <c r="E258" s="73"/>
      <c r="F258" s="64"/>
      <c r="G258" s="64"/>
      <c r="H258" s="72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71"/>
      <c r="U258" s="64" t="str">
        <f t="shared" si="12"/>
        <v/>
      </c>
      <c r="V258" s="73" t="str">
        <f t="shared" si="13"/>
        <v/>
      </c>
      <c r="W258" s="61" t="str">
        <f t="shared" si="14"/>
        <v/>
      </c>
      <c r="X258" s="73"/>
      <c r="Y258" s="73"/>
      <c r="Z258" s="75">
        <f>IF($D258="",0,IF(COUNTIF($D$5:$D258,$D258)=1,1,0))</f>
        <v>0</v>
      </c>
      <c r="AA258" s="75" t="str">
        <f>IF(Z258=1,SUM($Z$5:$Z258),"")</f>
        <v/>
      </c>
    </row>
    <row r="259" spans="1:27">
      <c r="A259" s="73"/>
      <c r="B259" s="73"/>
      <c r="C259" s="73"/>
      <c r="D259" s="73"/>
      <c r="E259" s="73"/>
      <c r="F259" s="64"/>
      <c r="G259" s="64"/>
      <c r="H259" s="72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71"/>
      <c r="U259" s="64" t="str">
        <f t="shared" ref="U259:U302" si="15">IF($E259="","",COUNTIF($I259:$S259,"V"))</f>
        <v/>
      </c>
      <c r="V259" s="73" t="str">
        <f t="shared" ref="V259:V302" si="16">IF($E259="","",IF(AND($T259="V",$U259&gt;0),"⚠ 勾選矛盾",IF($T259="V","○ 免調理",IF($U259=0,"⚠ 資料缺漏",IF($U259=1,"▲ 單一設備依賴","OK")))))</f>
        <v/>
      </c>
      <c r="W259" s="61" t="str">
        <f t="shared" ref="W259:W302" si="17">IF($E259="","",IF(AND($T259="V",$U259&gt;0),"「無使用調理設備」不可與設備欄同時勾選，請擇一修正",IF($T259="V","免調理半成品（外購/僅切配等），不列入設備風險評估",IF($U259=0,"未勾選任何設備，請補填或勾選「無使用調理設備」",IF($U259=1,"僅依賴1台設備，須確認故障/排修時之備援製程","無異常")))))</f>
        <v/>
      </c>
      <c r="X259" s="73"/>
      <c r="Y259" s="73"/>
      <c r="Z259" s="75">
        <f>IF($D259="",0,IF(COUNTIF($D$5:$D259,$D259)=1,1,0))</f>
        <v>0</v>
      </c>
      <c r="AA259" s="75" t="str">
        <f>IF(Z259=1,SUM($Z$5:$Z259),"")</f>
        <v/>
      </c>
    </row>
    <row r="260" spans="1:27">
      <c r="A260" s="73"/>
      <c r="B260" s="73"/>
      <c r="C260" s="73"/>
      <c r="D260" s="73"/>
      <c r="E260" s="73"/>
      <c r="F260" s="64"/>
      <c r="G260" s="64"/>
      <c r="H260" s="72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71"/>
      <c r="U260" s="64" t="str">
        <f t="shared" si="15"/>
        <v/>
      </c>
      <c r="V260" s="73" t="str">
        <f t="shared" si="16"/>
        <v/>
      </c>
      <c r="W260" s="61" t="str">
        <f t="shared" si="17"/>
        <v/>
      </c>
      <c r="X260" s="73"/>
      <c r="Y260" s="73"/>
      <c r="Z260" s="75">
        <f>IF($D260="",0,IF(COUNTIF($D$5:$D260,$D260)=1,1,0))</f>
        <v>0</v>
      </c>
      <c r="AA260" s="75" t="str">
        <f>IF(Z260=1,SUM($Z$5:$Z260),"")</f>
        <v/>
      </c>
    </row>
    <row r="261" spans="1:27">
      <c r="A261" s="73"/>
      <c r="B261" s="73"/>
      <c r="C261" s="73"/>
      <c r="D261" s="73"/>
      <c r="E261" s="73"/>
      <c r="F261" s="64"/>
      <c r="G261" s="64"/>
      <c r="H261" s="72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71"/>
      <c r="U261" s="64" t="str">
        <f t="shared" si="15"/>
        <v/>
      </c>
      <c r="V261" s="73" t="str">
        <f t="shared" si="16"/>
        <v/>
      </c>
      <c r="W261" s="61" t="str">
        <f t="shared" si="17"/>
        <v/>
      </c>
      <c r="X261" s="73"/>
      <c r="Y261" s="73"/>
      <c r="Z261" s="75">
        <f>IF($D261="",0,IF(COUNTIF($D$5:$D261,$D261)=1,1,0))</f>
        <v>0</v>
      </c>
      <c r="AA261" s="75" t="str">
        <f>IF(Z261=1,SUM($Z$5:$Z261),"")</f>
        <v/>
      </c>
    </row>
    <row r="262" spans="1:27">
      <c r="A262" s="73"/>
      <c r="B262" s="73"/>
      <c r="C262" s="73"/>
      <c r="D262" s="73"/>
      <c r="E262" s="73"/>
      <c r="F262" s="64"/>
      <c r="G262" s="64"/>
      <c r="H262" s="72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71"/>
      <c r="U262" s="64" t="str">
        <f t="shared" si="15"/>
        <v/>
      </c>
      <c r="V262" s="73" t="str">
        <f t="shared" si="16"/>
        <v/>
      </c>
      <c r="W262" s="61" t="str">
        <f t="shared" si="17"/>
        <v/>
      </c>
      <c r="X262" s="73"/>
      <c r="Y262" s="73"/>
      <c r="Z262" s="75">
        <f>IF($D262="",0,IF(COUNTIF($D$5:$D262,$D262)=1,1,0))</f>
        <v>0</v>
      </c>
      <c r="AA262" s="75" t="str">
        <f>IF(Z262=1,SUM($Z$5:$Z262),"")</f>
        <v/>
      </c>
    </row>
    <row r="263" spans="1:27">
      <c r="A263" s="73"/>
      <c r="B263" s="73"/>
      <c r="C263" s="73"/>
      <c r="D263" s="73"/>
      <c r="E263" s="73"/>
      <c r="F263" s="64"/>
      <c r="G263" s="64"/>
      <c r="H263" s="72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71"/>
      <c r="U263" s="64" t="str">
        <f t="shared" si="15"/>
        <v/>
      </c>
      <c r="V263" s="73" t="str">
        <f t="shared" si="16"/>
        <v/>
      </c>
      <c r="W263" s="61" t="str">
        <f t="shared" si="17"/>
        <v/>
      </c>
      <c r="X263" s="73"/>
      <c r="Y263" s="73"/>
      <c r="Z263" s="75">
        <f>IF($D263="",0,IF(COUNTIF($D$5:$D263,$D263)=1,1,0))</f>
        <v>0</v>
      </c>
      <c r="AA263" s="75" t="str">
        <f>IF(Z263=1,SUM($Z$5:$Z263),"")</f>
        <v/>
      </c>
    </row>
    <row r="264" spans="1:27">
      <c r="A264" s="73"/>
      <c r="B264" s="73"/>
      <c r="C264" s="73"/>
      <c r="D264" s="73"/>
      <c r="E264" s="73"/>
      <c r="F264" s="64"/>
      <c r="G264" s="64"/>
      <c r="H264" s="72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71"/>
      <c r="U264" s="64" t="str">
        <f t="shared" si="15"/>
        <v/>
      </c>
      <c r="V264" s="73" t="str">
        <f t="shared" si="16"/>
        <v/>
      </c>
      <c r="W264" s="61" t="str">
        <f t="shared" si="17"/>
        <v/>
      </c>
      <c r="X264" s="73"/>
      <c r="Y264" s="73"/>
      <c r="Z264" s="75">
        <f>IF($D264="",0,IF(COUNTIF($D$5:$D264,$D264)=1,1,0))</f>
        <v>0</v>
      </c>
      <c r="AA264" s="75" t="str">
        <f>IF(Z264=1,SUM($Z$5:$Z264),"")</f>
        <v/>
      </c>
    </row>
    <row r="265" spans="1:27">
      <c r="A265" s="73"/>
      <c r="B265" s="73"/>
      <c r="C265" s="73"/>
      <c r="D265" s="73"/>
      <c r="E265" s="73"/>
      <c r="F265" s="64"/>
      <c r="G265" s="64"/>
      <c r="H265" s="72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71"/>
      <c r="U265" s="64" t="str">
        <f t="shared" si="15"/>
        <v/>
      </c>
      <c r="V265" s="73" t="str">
        <f t="shared" si="16"/>
        <v/>
      </c>
      <c r="W265" s="61" t="str">
        <f t="shared" si="17"/>
        <v/>
      </c>
      <c r="X265" s="73"/>
      <c r="Y265" s="73"/>
      <c r="Z265" s="75">
        <f>IF($D265="",0,IF(COUNTIF($D$5:$D265,$D265)=1,1,0))</f>
        <v>0</v>
      </c>
      <c r="AA265" s="75" t="str">
        <f>IF(Z265=1,SUM($Z$5:$Z265),"")</f>
        <v/>
      </c>
    </row>
    <row r="266" spans="1:27">
      <c r="A266" s="73"/>
      <c r="B266" s="73"/>
      <c r="C266" s="73"/>
      <c r="D266" s="73"/>
      <c r="E266" s="73"/>
      <c r="F266" s="64"/>
      <c r="G266" s="64"/>
      <c r="H266" s="72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71"/>
      <c r="U266" s="64" t="str">
        <f t="shared" si="15"/>
        <v/>
      </c>
      <c r="V266" s="73" t="str">
        <f t="shared" si="16"/>
        <v/>
      </c>
      <c r="W266" s="61" t="str">
        <f t="shared" si="17"/>
        <v/>
      </c>
      <c r="X266" s="73"/>
      <c r="Y266" s="73"/>
      <c r="Z266" s="75">
        <f>IF($D266="",0,IF(COUNTIF($D$5:$D266,$D266)=1,1,0))</f>
        <v>0</v>
      </c>
      <c r="AA266" s="75" t="str">
        <f>IF(Z266=1,SUM($Z$5:$Z266),"")</f>
        <v/>
      </c>
    </row>
    <row r="267" spans="1:27">
      <c r="A267" s="73"/>
      <c r="B267" s="73"/>
      <c r="C267" s="73"/>
      <c r="D267" s="73"/>
      <c r="E267" s="73"/>
      <c r="F267" s="64"/>
      <c r="G267" s="64"/>
      <c r="H267" s="72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71"/>
      <c r="U267" s="64" t="str">
        <f t="shared" si="15"/>
        <v/>
      </c>
      <c r="V267" s="73" t="str">
        <f t="shared" si="16"/>
        <v/>
      </c>
      <c r="W267" s="61" t="str">
        <f t="shared" si="17"/>
        <v/>
      </c>
      <c r="X267" s="73"/>
      <c r="Y267" s="73"/>
      <c r="Z267" s="75">
        <f>IF($D267="",0,IF(COUNTIF($D$5:$D267,$D267)=1,1,0))</f>
        <v>0</v>
      </c>
      <c r="AA267" s="75" t="str">
        <f>IF(Z267=1,SUM($Z$5:$Z267),"")</f>
        <v/>
      </c>
    </row>
    <row r="268" spans="1:27">
      <c r="A268" s="73"/>
      <c r="B268" s="73"/>
      <c r="C268" s="73"/>
      <c r="D268" s="73"/>
      <c r="E268" s="73"/>
      <c r="F268" s="64"/>
      <c r="G268" s="64"/>
      <c r="H268" s="72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71"/>
      <c r="U268" s="64" t="str">
        <f t="shared" si="15"/>
        <v/>
      </c>
      <c r="V268" s="73" t="str">
        <f t="shared" si="16"/>
        <v/>
      </c>
      <c r="W268" s="61" t="str">
        <f t="shared" si="17"/>
        <v/>
      </c>
      <c r="X268" s="73"/>
      <c r="Y268" s="73"/>
      <c r="Z268" s="75">
        <f>IF($D268="",0,IF(COUNTIF($D$5:$D268,$D268)=1,1,0))</f>
        <v>0</v>
      </c>
      <c r="AA268" s="75" t="str">
        <f>IF(Z268=1,SUM($Z$5:$Z268),"")</f>
        <v/>
      </c>
    </row>
    <row r="269" spans="1:27">
      <c r="A269" s="73"/>
      <c r="B269" s="73"/>
      <c r="C269" s="73"/>
      <c r="D269" s="73"/>
      <c r="E269" s="73"/>
      <c r="F269" s="64"/>
      <c r="G269" s="64"/>
      <c r="H269" s="72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71"/>
      <c r="U269" s="64" t="str">
        <f t="shared" si="15"/>
        <v/>
      </c>
      <c r="V269" s="73" t="str">
        <f t="shared" si="16"/>
        <v/>
      </c>
      <c r="W269" s="61" t="str">
        <f t="shared" si="17"/>
        <v/>
      </c>
      <c r="X269" s="73"/>
      <c r="Y269" s="73"/>
      <c r="Z269" s="75">
        <f>IF($D269="",0,IF(COUNTIF($D$5:$D269,$D269)=1,1,0))</f>
        <v>0</v>
      </c>
      <c r="AA269" s="75" t="str">
        <f>IF(Z269=1,SUM($Z$5:$Z269),"")</f>
        <v/>
      </c>
    </row>
    <row r="270" spans="1:27">
      <c r="A270" s="73"/>
      <c r="B270" s="73"/>
      <c r="C270" s="73"/>
      <c r="D270" s="73"/>
      <c r="E270" s="73"/>
      <c r="F270" s="64"/>
      <c r="G270" s="64"/>
      <c r="H270" s="72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71"/>
      <c r="U270" s="64" t="str">
        <f t="shared" si="15"/>
        <v/>
      </c>
      <c r="V270" s="73" t="str">
        <f t="shared" si="16"/>
        <v/>
      </c>
      <c r="W270" s="61" t="str">
        <f t="shared" si="17"/>
        <v/>
      </c>
      <c r="X270" s="73"/>
      <c r="Y270" s="73"/>
      <c r="Z270" s="75">
        <f>IF($D270="",0,IF(COUNTIF($D$5:$D270,$D270)=1,1,0))</f>
        <v>0</v>
      </c>
      <c r="AA270" s="75" t="str">
        <f>IF(Z270=1,SUM($Z$5:$Z270),"")</f>
        <v/>
      </c>
    </row>
    <row r="271" spans="1:27">
      <c r="A271" s="73"/>
      <c r="B271" s="73"/>
      <c r="C271" s="73"/>
      <c r="D271" s="73"/>
      <c r="E271" s="73"/>
      <c r="F271" s="64"/>
      <c r="G271" s="64"/>
      <c r="H271" s="72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71"/>
      <c r="U271" s="64" t="str">
        <f t="shared" si="15"/>
        <v/>
      </c>
      <c r="V271" s="73" t="str">
        <f t="shared" si="16"/>
        <v/>
      </c>
      <c r="W271" s="61" t="str">
        <f t="shared" si="17"/>
        <v/>
      </c>
      <c r="X271" s="73"/>
      <c r="Y271" s="73"/>
      <c r="Z271" s="75">
        <f>IF($D271="",0,IF(COUNTIF($D$5:$D271,$D271)=1,1,0))</f>
        <v>0</v>
      </c>
      <c r="AA271" s="75" t="str">
        <f>IF(Z271=1,SUM($Z$5:$Z271),"")</f>
        <v/>
      </c>
    </row>
    <row r="272" spans="1:27">
      <c r="A272" s="73"/>
      <c r="B272" s="73"/>
      <c r="C272" s="73"/>
      <c r="D272" s="73"/>
      <c r="E272" s="73"/>
      <c r="F272" s="64"/>
      <c r="G272" s="64"/>
      <c r="H272" s="72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71"/>
      <c r="U272" s="64" t="str">
        <f t="shared" si="15"/>
        <v/>
      </c>
      <c r="V272" s="73" t="str">
        <f t="shared" si="16"/>
        <v/>
      </c>
      <c r="W272" s="61" t="str">
        <f t="shared" si="17"/>
        <v/>
      </c>
      <c r="X272" s="73"/>
      <c r="Y272" s="73"/>
      <c r="Z272" s="75">
        <f>IF($D272="",0,IF(COUNTIF($D$5:$D272,$D272)=1,1,0))</f>
        <v>0</v>
      </c>
      <c r="AA272" s="75" t="str">
        <f>IF(Z272=1,SUM($Z$5:$Z272),"")</f>
        <v/>
      </c>
    </row>
    <row r="273" spans="1:27">
      <c r="A273" s="73"/>
      <c r="B273" s="73"/>
      <c r="C273" s="73"/>
      <c r="D273" s="73"/>
      <c r="E273" s="73"/>
      <c r="F273" s="64"/>
      <c r="G273" s="64"/>
      <c r="H273" s="72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71"/>
      <c r="U273" s="64" t="str">
        <f t="shared" si="15"/>
        <v/>
      </c>
      <c r="V273" s="73" t="str">
        <f t="shared" si="16"/>
        <v/>
      </c>
      <c r="W273" s="61" t="str">
        <f t="shared" si="17"/>
        <v/>
      </c>
      <c r="X273" s="73"/>
      <c r="Y273" s="73"/>
      <c r="Z273" s="75">
        <f>IF($D273="",0,IF(COUNTIF($D$5:$D273,$D273)=1,1,0))</f>
        <v>0</v>
      </c>
      <c r="AA273" s="75" t="str">
        <f>IF(Z273=1,SUM($Z$5:$Z273),"")</f>
        <v/>
      </c>
    </row>
    <row r="274" spans="1:27">
      <c r="A274" s="73"/>
      <c r="B274" s="73"/>
      <c r="C274" s="73"/>
      <c r="D274" s="73"/>
      <c r="E274" s="73"/>
      <c r="F274" s="64"/>
      <c r="G274" s="64"/>
      <c r="H274" s="72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71"/>
      <c r="U274" s="64" t="str">
        <f t="shared" si="15"/>
        <v/>
      </c>
      <c r="V274" s="73" t="str">
        <f t="shared" si="16"/>
        <v/>
      </c>
      <c r="W274" s="61" t="str">
        <f t="shared" si="17"/>
        <v/>
      </c>
      <c r="X274" s="73"/>
      <c r="Y274" s="73"/>
      <c r="Z274" s="75">
        <f>IF($D274="",0,IF(COUNTIF($D$5:$D274,$D274)=1,1,0))</f>
        <v>0</v>
      </c>
      <c r="AA274" s="75" t="str">
        <f>IF(Z274=1,SUM($Z$5:$Z274),"")</f>
        <v/>
      </c>
    </row>
    <row r="275" spans="1:27">
      <c r="A275" s="73"/>
      <c r="B275" s="73"/>
      <c r="C275" s="73"/>
      <c r="D275" s="73"/>
      <c r="E275" s="73"/>
      <c r="F275" s="64"/>
      <c r="G275" s="64"/>
      <c r="H275" s="72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71"/>
      <c r="U275" s="64" t="str">
        <f t="shared" si="15"/>
        <v/>
      </c>
      <c r="V275" s="73" t="str">
        <f t="shared" si="16"/>
        <v/>
      </c>
      <c r="W275" s="61" t="str">
        <f t="shared" si="17"/>
        <v/>
      </c>
      <c r="X275" s="73"/>
      <c r="Y275" s="73"/>
      <c r="Z275" s="75">
        <f>IF($D275="",0,IF(COUNTIF($D$5:$D275,$D275)=1,1,0))</f>
        <v>0</v>
      </c>
      <c r="AA275" s="75" t="str">
        <f>IF(Z275=1,SUM($Z$5:$Z275),"")</f>
        <v/>
      </c>
    </row>
    <row r="276" spans="1:27">
      <c r="A276" s="73"/>
      <c r="B276" s="73"/>
      <c r="C276" s="73"/>
      <c r="D276" s="73"/>
      <c r="E276" s="73"/>
      <c r="F276" s="64"/>
      <c r="G276" s="64"/>
      <c r="H276" s="72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71"/>
      <c r="U276" s="64" t="str">
        <f t="shared" si="15"/>
        <v/>
      </c>
      <c r="V276" s="73" t="str">
        <f t="shared" si="16"/>
        <v/>
      </c>
      <c r="W276" s="61" t="str">
        <f t="shared" si="17"/>
        <v/>
      </c>
      <c r="X276" s="73"/>
      <c r="Y276" s="73"/>
      <c r="Z276" s="75">
        <f>IF($D276="",0,IF(COUNTIF($D$5:$D276,$D276)=1,1,0))</f>
        <v>0</v>
      </c>
      <c r="AA276" s="75" t="str">
        <f>IF(Z276=1,SUM($Z$5:$Z276),"")</f>
        <v/>
      </c>
    </row>
    <row r="277" spans="1:27">
      <c r="A277" s="73"/>
      <c r="B277" s="73"/>
      <c r="C277" s="73"/>
      <c r="D277" s="73"/>
      <c r="E277" s="73"/>
      <c r="F277" s="64"/>
      <c r="G277" s="64"/>
      <c r="H277" s="72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71"/>
      <c r="U277" s="64" t="str">
        <f t="shared" si="15"/>
        <v/>
      </c>
      <c r="V277" s="73" t="str">
        <f t="shared" si="16"/>
        <v/>
      </c>
      <c r="W277" s="61" t="str">
        <f t="shared" si="17"/>
        <v/>
      </c>
      <c r="X277" s="73"/>
      <c r="Y277" s="73"/>
      <c r="Z277" s="75">
        <f>IF($D277="",0,IF(COUNTIF($D$5:$D277,$D277)=1,1,0))</f>
        <v>0</v>
      </c>
      <c r="AA277" s="75" t="str">
        <f>IF(Z277=1,SUM($Z$5:$Z277),"")</f>
        <v/>
      </c>
    </row>
    <row r="278" spans="1:27">
      <c r="A278" s="73"/>
      <c r="B278" s="73"/>
      <c r="C278" s="73"/>
      <c r="D278" s="73"/>
      <c r="E278" s="73"/>
      <c r="F278" s="64"/>
      <c r="G278" s="64"/>
      <c r="H278" s="72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71"/>
      <c r="U278" s="64" t="str">
        <f t="shared" si="15"/>
        <v/>
      </c>
      <c r="V278" s="73" t="str">
        <f t="shared" si="16"/>
        <v/>
      </c>
      <c r="W278" s="61" t="str">
        <f t="shared" si="17"/>
        <v/>
      </c>
      <c r="X278" s="73"/>
      <c r="Y278" s="73"/>
      <c r="Z278" s="75">
        <f>IF($D278="",0,IF(COUNTIF($D$5:$D278,$D278)=1,1,0))</f>
        <v>0</v>
      </c>
      <c r="AA278" s="75" t="str">
        <f>IF(Z278=1,SUM($Z$5:$Z278),"")</f>
        <v/>
      </c>
    </row>
    <row r="279" spans="1:27">
      <c r="A279" s="73"/>
      <c r="B279" s="73"/>
      <c r="C279" s="73"/>
      <c r="D279" s="73"/>
      <c r="E279" s="73"/>
      <c r="F279" s="64"/>
      <c r="G279" s="64"/>
      <c r="H279" s="72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71"/>
      <c r="U279" s="64" t="str">
        <f t="shared" si="15"/>
        <v/>
      </c>
      <c r="V279" s="73" t="str">
        <f t="shared" si="16"/>
        <v/>
      </c>
      <c r="W279" s="61" t="str">
        <f t="shared" si="17"/>
        <v/>
      </c>
      <c r="X279" s="73"/>
      <c r="Y279" s="73"/>
      <c r="Z279" s="75">
        <f>IF($D279="",0,IF(COUNTIF($D$5:$D279,$D279)=1,1,0))</f>
        <v>0</v>
      </c>
      <c r="AA279" s="75" t="str">
        <f>IF(Z279=1,SUM($Z$5:$Z279),"")</f>
        <v/>
      </c>
    </row>
    <row r="280" spans="1:27">
      <c r="A280" s="73"/>
      <c r="B280" s="73"/>
      <c r="C280" s="73"/>
      <c r="D280" s="73"/>
      <c r="E280" s="73"/>
      <c r="F280" s="64"/>
      <c r="G280" s="64"/>
      <c r="H280" s="72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71"/>
      <c r="U280" s="64" t="str">
        <f t="shared" si="15"/>
        <v/>
      </c>
      <c r="V280" s="73" t="str">
        <f t="shared" si="16"/>
        <v/>
      </c>
      <c r="W280" s="61" t="str">
        <f t="shared" si="17"/>
        <v/>
      </c>
      <c r="X280" s="73"/>
      <c r="Y280" s="73"/>
      <c r="Z280" s="75">
        <f>IF($D280="",0,IF(COUNTIF($D$5:$D280,$D280)=1,1,0))</f>
        <v>0</v>
      </c>
      <c r="AA280" s="75" t="str">
        <f>IF(Z280=1,SUM($Z$5:$Z280),"")</f>
        <v/>
      </c>
    </row>
    <row r="281" spans="1:27">
      <c r="A281" s="73"/>
      <c r="B281" s="73"/>
      <c r="C281" s="73"/>
      <c r="D281" s="73"/>
      <c r="E281" s="73"/>
      <c r="F281" s="64"/>
      <c r="G281" s="64"/>
      <c r="H281" s="72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71"/>
      <c r="U281" s="64" t="str">
        <f t="shared" si="15"/>
        <v/>
      </c>
      <c r="V281" s="73" t="str">
        <f t="shared" si="16"/>
        <v/>
      </c>
      <c r="W281" s="61" t="str">
        <f t="shared" si="17"/>
        <v/>
      </c>
      <c r="X281" s="73"/>
      <c r="Y281" s="73"/>
      <c r="Z281" s="75">
        <f>IF($D281="",0,IF(COUNTIF($D$5:$D281,$D281)=1,1,0))</f>
        <v>0</v>
      </c>
      <c r="AA281" s="75" t="str">
        <f>IF(Z281=1,SUM($Z$5:$Z281),"")</f>
        <v/>
      </c>
    </row>
    <row r="282" spans="1:27">
      <c r="A282" s="73"/>
      <c r="B282" s="73"/>
      <c r="C282" s="73"/>
      <c r="D282" s="73"/>
      <c r="E282" s="73"/>
      <c r="F282" s="64"/>
      <c r="G282" s="64"/>
      <c r="H282" s="72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71"/>
      <c r="U282" s="64" t="str">
        <f t="shared" si="15"/>
        <v/>
      </c>
      <c r="V282" s="73" t="str">
        <f t="shared" si="16"/>
        <v/>
      </c>
      <c r="W282" s="61" t="str">
        <f t="shared" si="17"/>
        <v/>
      </c>
      <c r="X282" s="73"/>
      <c r="Y282" s="73"/>
      <c r="Z282" s="75">
        <f>IF($D282="",0,IF(COUNTIF($D$5:$D282,$D282)=1,1,0))</f>
        <v>0</v>
      </c>
      <c r="AA282" s="75" t="str">
        <f>IF(Z282=1,SUM($Z$5:$Z282),"")</f>
        <v/>
      </c>
    </row>
    <row r="283" spans="1:27">
      <c r="A283" s="73"/>
      <c r="B283" s="73"/>
      <c r="C283" s="73"/>
      <c r="D283" s="73"/>
      <c r="E283" s="73"/>
      <c r="F283" s="64"/>
      <c r="G283" s="64"/>
      <c r="H283" s="72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71"/>
      <c r="U283" s="64" t="str">
        <f t="shared" si="15"/>
        <v/>
      </c>
      <c r="V283" s="73" t="str">
        <f t="shared" si="16"/>
        <v/>
      </c>
      <c r="W283" s="61" t="str">
        <f t="shared" si="17"/>
        <v/>
      </c>
      <c r="X283" s="73"/>
      <c r="Y283" s="73"/>
      <c r="Z283" s="75">
        <f>IF($D283="",0,IF(COUNTIF($D$5:$D283,$D283)=1,1,0))</f>
        <v>0</v>
      </c>
      <c r="AA283" s="75" t="str">
        <f>IF(Z283=1,SUM($Z$5:$Z283),"")</f>
        <v/>
      </c>
    </row>
    <row r="284" spans="1:27">
      <c r="A284" s="73"/>
      <c r="B284" s="73"/>
      <c r="C284" s="73"/>
      <c r="D284" s="73"/>
      <c r="E284" s="73"/>
      <c r="F284" s="64"/>
      <c r="G284" s="64"/>
      <c r="H284" s="72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71"/>
      <c r="U284" s="64" t="str">
        <f t="shared" si="15"/>
        <v/>
      </c>
      <c r="V284" s="73" t="str">
        <f t="shared" si="16"/>
        <v/>
      </c>
      <c r="W284" s="61" t="str">
        <f t="shared" si="17"/>
        <v/>
      </c>
      <c r="X284" s="73"/>
      <c r="Y284" s="73"/>
      <c r="Z284" s="75">
        <f>IF($D284="",0,IF(COUNTIF($D$5:$D284,$D284)=1,1,0))</f>
        <v>0</v>
      </c>
      <c r="AA284" s="75" t="str">
        <f>IF(Z284=1,SUM($Z$5:$Z284),"")</f>
        <v/>
      </c>
    </row>
    <row r="285" spans="1:27">
      <c r="A285" s="73"/>
      <c r="B285" s="73"/>
      <c r="C285" s="73"/>
      <c r="D285" s="73"/>
      <c r="E285" s="73"/>
      <c r="F285" s="64"/>
      <c r="G285" s="64"/>
      <c r="H285" s="72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71"/>
      <c r="U285" s="64" t="str">
        <f t="shared" si="15"/>
        <v/>
      </c>
      <c r="V285" s="73" t="str">
        <f t="shared" si="16"/>
        <v/>
      </c>
      <c r="W285" s="61" t="str">
        <f t="shared" si="17"/>
        <v/>
      </c>
      <c r="X285" s="73"/>
      <c r="Y285" s="73"/>
      <c r="Z285" s="75">
        <f>IF($D285="",0,IF(COUNTIF($D$5:$D285,$D285)=1,1,0))</f>
        <v>0</v>
      </c>
      <c r="AA285" s="75" t="str">
        <f>IF(Z285=1,SUM($Z$5:$Z285),"")</f>
        <v/>
      </c>
    </row>
    <row r="286" spans="1:27">
      <c r="A286" s="73"/>
      <c r="B286" s="73"/>
      <c r="C286" s="73"/>
      <c r="D286" s="73"/>
      <c r="E286" s="73"/>
      <c r="F286" s="64"/>
      <c r="G286" s="64"/>
      <c r="H286" s="72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71"/>
      <c r="U286" s="64" t="str">
        <f t="shared" si="15"/>
        <v/>
      </c>
      <c r="V286" s="73" t="str">
        <f t="shared" si="16"/>
        <v/>
      </c>
      <c r="W286" s="61" t="str">
        <f t="shared" si="17"/>
        <v/>
      </c>
      <c r="X286" s="73"/>
      <c r="Y286" s="73"/>
      <c r="Z286" s="75">
        <f>IF($D286="",0,IF(COUNTIF($D$5:$D286,$D286)=1,1,0))</f>
        <v>0</v>
      </c>
      <c r="AA286" s="75" t="str">
        <f>IF(Z286=1,SUM($Z$5:$Z286),"")</f>
        <v/>
      </c>
    </row>
    <row r="287" spans="1:27">
      <c r="A287" s="73"/>
      <c r="B287" s="73"/>
      <c r="C287" s="73"/>
      <c r="D287" s="73"/>
      <c r="E287" s="73"/>
      <c r="F287" s="64"/>
      <c r="G287" s="64"/>
      <c r="H287" s="72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71"/>
      <c r="U287" s="64" t="str">
        <f t="shared" si="15"/>
        <v/>
      </c>
      <c r="V287" s="73" t="str">
        <f t="shared" si="16"/>
        <v/>
      </c>
      <c r="W287" s="61" t="str">
        <f t="shared" si="17"/>
        <v/>
      </c>
      <c r="X287" s="73"/>
      <c r="Y287" s="73"/>
      <c r="Z287" s="75">
        <f>IF($D287="",0,IF(COUNTIF($D$5:$D287,$D287)=1,1,0))</f>
        <v>0</v>
      </c>
      <c r="AA287" s="75" t="str">
        <f>IF(Z287=1,SUM($Z$5:$Z287),"")</f>
        <v/>
      </c>
    </row>
    <row r="288" spans="1:27">
      <c r="A288" s="73"/>
      <c r="B288" s="73"/>
      <c r="C288" s="73"/>
      <c r="D288" s="73"/>
      <c r="E288" s="73"/>
      <c r="F288" s="64"/>
      <c r="G288" s="64"/>
      <c r="H288" s="72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71"/>
      <c r="U288" s="64" t="str">
        <f t="shared" si="15"/>
        <v/>
      </c>
      <c r="V288" s="73" t="str">
        <f t="shared" si="16"/>
        <v/>
      </c>
      <c r="W288" s="61" t="str">
        <f t="shared" si="17"/>
        <v/>
      </c>
      <c r="X288" s="73"/>
      <c r="Y288" s="73"/>
      <c r="Z288" s="75">
        <f>IF($D288="",0,IF(COUNTIF($D$5:$D288,$D288)=1,1,0))</f>
        <v>0</v>
      </c>
      <c r="AA288" s="75" t="str">
        <f>IF(Z288=1,SUM($Z$5:$Z288),"")</f>
        <v/>
      </c>
    </row>
    <row r="289" spans="1:27">
      <c r="A289" s="73"/>
      <c r="B289" s="73"/>
      <c r="C289" s="73"/>
      <c r="D289" s="73"/>
      <c r="E289" s="73"/>
      <c r="F289" s="64"/>
      <c r="G289" s="64"/>
      <c r="H289" s="72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71"/>
      <c r="U289" s="64" t="str">
        <f t="shared" si="15"/>
        <v/>
      </c>
      <c r="V289" s="73" t="str">
        <f t="shared" si="16"/>
        <v/>
      </c>
      <c r="W289" s="61" t="str">
        <f t="shared" si="17"/>
        <v/>
      </c>
      <c r="X289" s="73"/>
      <c r="Y289" s="73"/>
      <c r="Z289" s="75">
        <f>IF($D289="",0,IF(COUNTIF($D$5:$D289,$D289)=1,1,0))</f>
        <v>0</v>
      </c>
      <c r="AA289" s="75" t="str">
        <f>IF(Z289=1,SUM($Z$5:$Z289),"")</f>
        <v/>
      </c>
    </row>
    <row r="290" spans="1:27">
      <c r="A290" s="73"/>
      <c r="B290" s="73"/>
      <c r="C290" s="73"/>
      <c r="D290" s="73"/>
      <c r="E290" s="73"/>
      <c r="F290" s="64"/>
      <c r="G290" s="64"/>
      <c r="H290" s="72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71"/>
      <c r="U290" s="64" t="str">
        <f t="shared" si="15"/>
        <v/>
      </c>
      <c r="V290" s="73" t="str">
        <f t="shared" si="16"/>
        <v/>
      </c>
      <c r="W290" s="61" t="str">
        <f t="shared" si="17"/>
        <v/>
      </c>
      <c r="X290" s="73"/>
      <c r="Y290" s="73"/>
      <c r="Z290" s="75">
        <f>IF($D290="",0,IF(COUNTIF($D$5:$D290,$D290)=1,1,0))</f>
        <v>0</v>
      </c>
      <c r="AA290" s="75" t="str">
        <f>IF(Z290=1,SUM($Z$5:$Z290),"")</f>
        <v/>
      </c>
    </row>
    <row r="291" spans="1:27">
      <c r="A291" s="73"/>
      <c r="B291" s="73"/>
      <c r="C291" s="73"/>
      <c r="D291" s="73"/>
      <c r="E291" s="73"/>
      <c r="F291" s="64"/>
      <c r="G291" s="64"/>
      <c r="H291" s="72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71"/>
      <c r="U291" s="64" t="str">
        <f t="shared" si="15"/>
        <v/>
      </c>
      <c r="V291" s="73" t="str">
        <f t="shared" si="16"/>
        <v/>
      </c>
      <c r="W291" s="61" t="str">
        <f t="shared" si="17"/>
        <v/>
      </c>
      <c r="X291" s="73"/>
      <c r="Y291" s="73"/>
      <c r="Z291" s="75">
        <f>IF($D291="",0,IF(COUNTIF($D$5:$D291,$D291)=1,1,0))</f>
        <v>0</v>
      </c>
      <c r="AA291" s="75" t="str">
        <f>IF(Z291=1,SUM($Z$5:$Z291),"")</f>
        <v/>
      </c>
    </row>
    <row r="292" spans="1:27">
      <c r="A292" s="73"/>
      <c r="B292" s="73"/>
      <c r="C292" s="73"/>
      <c r="D292" s="73"/>
      <c r="E292" s="73"/>
      <c r="F292" s="64"/>
      <c r="G292" s="64"/>
      <c r="H292" s="72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71"/>
      <c r="U292" s="64" t="str">
        <f t="shared" si="15"/>
        <v/>
      </c>
      <c r="V292" s="73" t="str">
        <f t="shared" si="16"/>
        <v/>
      </c>
      <c r="W292" s="61" t="str">
        <f t="shared" si="17"/>
        <v/>
      </c>
      <c r="X292" s="73"/>
      <c r="Y292" s="73"/>
      <c r="Z292" s="75">
        <f>IF($D292="",0,IF(COUNTIF($D$5:$D292,$D292)=1,1,0))</f>
        <v>0</v>
      </c>
      <c r="AA292" s="75" t="str">
        <f>IF(Z292=1,SUM($Z$5:$Z292),"")</f>
        <v/>
      </c>
    </row>
    <row r="293" spans="1:27">
      <c r="A293" s="73"/>
      <c r="B293" s="73"/>
      <c r="C293" s="73"/>
      <c r="D293" s="73"/>
      <c r="E293" s="73"/>
      <c r="F293" s="64"/>
      <c r="G293" s="64"/>
      <c r="H293" s="72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71"/>
      <c r="U293" s="64" t="str">
        <f t="shared" si="15"/>
        <v/>
      </c>
      <c r="V293" s="73" t="str">
        <f t="shared" si="16"/>
        <v/>
      </c>
      <c r="W293" s="61" t="str">
        <f t="shared" si="17"/>
        <v/>
      </c>
      <c r="X293" s="73"/>
      <c r="Y293" s="73"/>
      <c r="Z293" s="75">
        <f>IF($D293="",0,IF(COUNTIF($D$5:$D293,$D293)=1,1,0))</f>
        <v>0</v>
      </c>
      <c r="AA293" s="75" t="str">
        <f>IF(Z293=1,SUM($Z$5:$Z293),"")</f>
        <v/>
      </c>
    </row>
    <row r="294" spans="1:27">
      <c r="A294" s="73"/>
      <c r="B294" s="73"/>
      <c r="C294" s="73"/>
      <c r="D294" s="73"/>
      <c r="E294" s="73"/>
      <c r="F294" s="64"/>
      <c r="G294" s="64"/>
      <c r="H294" s="72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71"/>
      <c r="U294" s="64" t="str">
        <f t="shared" si="15"/>
        <v/>
      </c>
      <c r="V294" s="73" t="str">
        <f t="shared" si="16"/>
        <v/>
      </c>
      <c r="W294" s="61" t="str">
        <f t="shared" si="17"/>
        <v/>
      </c>
      <c r="X294" s="73"/>
      <c r="Y294" s="73"/>
      <c r="Z294" s="75">
        <f>IF($D294="",0,IF(COUNTIF($D$5:$D294,$D294)=1,1,0))</f>
        <v>0</v>
      </c>
      <c r="AA294" s="75" t="str">
        <f>IF(Z294=1,SUM($Z$5:$Z294),"")</f>
        <v/>
      </c>
    </row>
    <row r="295" spans="1:27">
      <c r="A295" s="73"/>
      <c r="B295" s="73"/>
      <c r="C295" s="73"/>
      <c r="D295" s="73"/>
      <c r="E295" s="73"/>
      <c r="F295" s="64"/>
      <c r="G295" s="64"/>
      <c r="H295" s="72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71"/>
      <c r="U295" s="64" t="str">
        <f t="shared" si="15"/>
        <v/>
      </c>
      <c r="V295" s="73" t="str">
        <f t="shared" si="16"/>
        <v/>
      </c>
      <c r="W295" s="61" t="str">
        <f t="shared" si="17"/>
        <v/>
      </c>
      <c r="X295" s="73"/>
      <c r="Y295" s="73"/>
      <c r="Z295" s="75">
        <f>IF($D295="",0,IF(COUNTIF($D$5:$D295,$D295)=1,1,0))</f>
        <v>0</v>
      </c>
      <c r="AA295" s="75" t="str">
        <f>IF(Z295=1,SUM($Z$5:$Z295),"")</f>
        <v/>
      </c>
    </row>
    <row r="296" spans="1:27">
      <c r="A296" s="73"/>
      <c r="B296" s="73"/>
      <c r="C296" s="73"/>
      <c r="D296" s="73"/>
      <c r="E296" s="73"/>
      <c r="F296" s="64"/>
      <c r="G296" s="64"/>
      <c r="H296" s="72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71"/>
      <c r="U296" s="64" t="str">
        <f t="shared" si="15"/>
        <v/>
      </c>
      <c r="V296" s="73" t="str">
        <f t="shared" si="16"/>
        <v/>
      </c>
      <c r="W296" s="61" t="str">
        <f t="shared" si="17"/>
        <v/>
      </c>
      <c r="X296" s="73"/>
      <c r="Y296" s="73"/>
      <c r="Z296" s="75">
        <f>IF($D296="",0,IF(COUNTIF($D$5:$D296,$D296)=1,1,0))</f>
        <v>0</v>
      </c>
      <c r="AA296" s="75" t="str">
        <f>IF(Z296=1,SUM($Z$5:$Z296),"")</f>
        <v/>
      </c>
    </row>
    <row r="297" spans="1:27">
      <c r="A297" s="73"/>
      <c r="B297" s="73"/>
      <c r="C297" s="73"/>
      <c r="D297" s="73"/>
      <c r="E297" s="73"/>
      <c r="F297" s="64"/>
      <c r="G297" s="64"/>
      <c r="H297" s="72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71"/>
      <c r="U297" s="64" t="str">
        <f t="shared" si="15"/>
        <v/>
      </c>
      <c r="V297" s="73" t="str">
        <f t="shared" si="16"/>
        <v/>
      </c>
      <c r="W297" s="61" t="str">
        <f t="shared" si="17"/>
        <v/>
      </c>
      <c r="X297" s="73"/>
      <c r="Y297" s="73"/>
      <c r="Z297" s="75">
        <f>IF($D297="",0,IF(COUNTIF($D$5:$D297,$D297)=1,1,0))</f>
        <v>0</v>
      </c>
      <c r="AA297" s="75" t="str">
        <f>IF(Z297=1,SUM($Z$5:$Z297),"")</f>
        <v/>
      </c>
    </row>
    <row r="298" spans="1:27">
      <c r="A298" s="73"/>
      <c r="B298" s="73"/>
      <c r="C298" s="73"/>
      <c r="D298" s="73"/>
      <c r="E298" s="73"/>
      <c r="F298" s="64"/>
      <c r="G298" s="64"/>
      <c r="H298" s="72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71"/>
      <c r="U298" s="64" t="str">
        <f t="shared" si="15"/>
        <v/>
      </c>
      <c r="V298" s="73" t="str">
        <f t="shared" si="16"/>
        <v/>
      </c>
      <c r="W298" s="61" t="str">
        <f t="shared" si="17"/>
        <v/>
      </c>
      <c r="X298" s="73"/>
      <c r="Y298" s="73"/>
      <c r="Z298" s="75">
        <f>IF($D298="",0,IF(COUNTIF($D$5:$D298,$D298)=1,1,0))</f>
        <v>0</v>
      </c>
      <c r="AA298" s="75" t="str">
        <f>IF(Z298=1,SUM($Z$5:$Z298),"")</f>
        <v/>
      </c>
    </row>
    <row r="299" spans="1:27">
      <c r="A299" s="73"/>
      <c r="B299" s="73"/>
      <c r="C299" s="73"/>
      <c r="D299" s="73"/>
      <c r="E299" s="73"/>
      <c r="F299" s="64"/>
      <c r="G299" s="64"/>
      <c r="H299" s="72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71"/>
      <c r="U299" s="64" t="str">
        <f t="shared" si="15"/>
        <v/>
      </c>
      <c r="V299" s="73" t="str">
        <f t="shared" si="16"/>
        <v/>
      </c>
      <c r="W299" s="61" t="str">
        <f t="shared" si="17"/>
        <v/>
      </c>
      <c r="X299" s="73"/>
      <c r="Y299" s="73"/>
      <c r="Z299" s="75">
        <f>IF($D299="",0,IF(COUNTIF($D$5:$D299,$D299)=1,1,0))</f>
        <v>0</v>
      </c>
      <c r="AA299" s="75" t="str">
        <f>IF(Z299=1,SUM($Z$5:$Z299),"")</f>
        <v/>
      </c>
    </row>
    <row r="300" spans="1:27">
      <c r="A300" s="73"/>
      <c r="B300" s="73"/>
      <c r="C300" s="73"/>
      <c r="D300" s="73"/>
      <c r="E300" s="73"/>
      <c r="F300" s="64"/>
      <c r="G300" s="64"/>
      <c r="H300" s="72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71"/>
      <c r="U300" s="64" t="str">
        <f t="shared" si="15"/>
        <v/>
      </c>
      <c r="V300" s="73" t="str">
        <f t="shared" si="16"/>
        <v/>
      </c>
      <c r="W300" s="61" t="str">
        <f t="shared" si="17"/>
        <v/>
      </c>
      <c r="X300" s="73"/>
      <c r="Y300" s="73"/>
      <c r="Z300" s="75">
        <f>IF($D300="",0,IF(COUNTIF($D$5:$D300,$D300)=1,1,0))</f>
        <v>0</v>
      </c>
      <c r="AA300" s="75" t="str">
        <f>IF(Z300=1,SUM($Z$5:$Z300),"")</f>
        <v/>
      </c>
    </row>
    <row r="301" spans="1:27">
      <c r="A301" s="73"/>
      <c r="B301" s="73"/>
      <c r="C301" s="73"/>
      <c r="D301" s="73"/>
      <c r="E301" s="73"/>
      <c r="F301" s="64"/>
      <c r="G301" s="64"/>
      <c r="H301" s="72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71"/>
      <c r="U301" s="64" t="str">
        <f t="shared" si="15"/>
        <v/>
      </c>
      <c r="V301" s="73" t="str">
        <f t="shared" si="16"/>
        <v/>
      </c>
      <c r="W301" s="61" t="str">
        <f t="shared" si="17"/>
        <v/>
      </c>
      <c r="X301" s="73"/>
      <c r="Y301" s="73"/>
      <c r="Z301" s="75">
        <f>IF($D301="",0,IF(COUNTIF($D$5:$D301,$D301)=1,1,0))</f>
        <v>0</v>
      </c>
      <c r="AA301" s="75" t="str">
        <f>IF(Z301=1,SUM($Z$5:$Z301),"")</f>
        <v/>
      </c>
    </row>
    <row r="302" spans="1:27">
      <c r="A302" s="73"/>
      <c r="B302" s="73"/>
      <c r="C302" s="73"/>
      <c r="D302" s="73"/>
      <c r="E302" s="73"/>
      <c r="F302" s="64"/>
      <c r="G302" s="64"/>
      <c r="H302" s="72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71"/>
      <c r="U302" s="64" t="str">
        <f t="shared" si="15"/>
        <v/>
      </c>
      <c r="V302" s="73" t="str">
        <f t="shared" si="16"/>
        <v/>
      </c>
      <c r="W302" s="61" t="str">
        <f t="shared" si="17"/>
        <v/>
      </c>
      <c r="X302" s="73"/>
      <c r="Y302" s="73"/>
      <c r="Z302" s="75">
        <f>IF($D302="",0,IF(COUNTIF($D$5:$D302,$D302)=1,1,0))</f>
        <v>0</v>
      </c>
      <c r="AA302" s="75" t="str">
        <f>IF(Z302=1,SUM($Z$5:$Z302),"")</f>
        <v/>
      </c>
    </row>
  </sheetData>
  <autoFilter ref="A4:Y302"/>
  <mergeCells count="28">
    <mergeCell ref="X2:Y2"/>
    <mergeCell ref="B3:B4"/>
    <mergeCell ref="C3:C4"/>
    <mergeCell ref="D3:D4"/>
    <mergeCell ref="E3:E4"/>
    <mergeCell ref="F3:G3"/>
    <mergeCell ref="H3:H4"/>
    <mergeCell ref="I3:I4"/>
    <mergeCell ref="J3:J4"/>
    <mergeCell ref="K3:K4"/>
    <mergeCell ref="L3:L4"/>
    <mergeCell ref="M3:M4"/>
    <mergeCell ref="A2:H2"/>
    <mergeCell ref="X3:X4"/>
    <mergeCell ref="Y3:Y4"/>
    <mergeCell ref="R3:R4"/>
    <mergeCell ref="W3:W4"/>
    <mergeCell ref="A3:A4"/>
    <mergeCell ref="I2:T2"/>
    <mergeCell ref="U2:W2"/>
    <mergeCell ref="S3:S4"/>
    <mergeCell ref="T3:T4"/>
    <mergeCell ref="U3:U4"/>
    <mergeCell ref="V3:V4"/>
    <mergeCell ref="N3:N4"/>
    <mergeCell ref="O3:O4"/>
    <mergeCell ref="P3:P4"/>
    <mergeCell ref="Q3:Q4"/>
  </mergeCells>
  <phoneticPr fontId="27" type="noConversion"/>
  <conditionalFormatting sqref="V158:V302 V5:V133">
    <cfRule type="expression" dxfId="112" priority="47">
      <formula>ISNUMBER(SEARCH("⚠",$V5))</formula>
    </cfRule>
    <cfRule type="expression" dxfId="111" priority="48">
      <formula>$V5="▲ 單一設備依賴"</formula>
    </cfRule>
    <cfRule type="expression" dxfId="110" priority="49">
      <formula>$V5="○ 免調理"</formula>
    </cfRule>
    <cfRule type="expression" dxfId="109" priority="50">
      <formula>$V5="OK"</formula>
    </cfRule>
  </conditionalFormatting>
  <conditionalFormatting sqref="E16:E18 E115:H121 B169:H302 D122:H133 F22:H114 F9:F18 H158:H168 D134:F168 B115:B168 G9:H21 B16:B25 D19:E25 C77:C168 D77:E114 B77:B110 B26:E76 G19:G114">
    <cfRule type="expression" dxfId="108" priority="51">
      <formula>ISNUMBER(SEARCH("⚠",$V9))</formula>
    </cfRule>
  </conditionalFormatting>
  <conditionalFormatting sqref="B11:B15 E12:E15 C5:E10 D11:E11 C11:C25">
    <cfRule type="expression" dxfId="107" priority="45">
      <formula>$R5="⚠ 資料缺漏"</formula>
    </cfRule>
  </conditionalFormatting>
  <conditionalFormatting sqref="B5:B110">
    <cfRule type="expression" dxfId="106" priority="44">
      <formula>$R5="⚠ 資料缺漏"</formula>
    </cfRule>
  </conditionalFormatting>
  <conditionalFormatting sqref="B6:B10">
    <cfRule type="expression" dxfId="105" priority="43">
      <formula>$R6="⚠ 資料缺漏"</formula>
    </cfRule>
  </conditionalFormatting>
  <conditionalFormatting sqref="D12:D18">
    <cfRule type="expression" dxfId="104" priority="40">
      <formula>$R12="⚠ 資料缺漏"</formula>
    </cfRule>
  </conditionalFormatting>
  <conditionalFormatting sqref="B111:B114">
    <cfRule type="expression" dxfId="103" priority="39">
      <formula>ISNUMBER(SEARCH("⚠",$V111))</formula>
    </cfRule>
  </conditionalFormatting>
  <conditionalFormatting sqref="F19:F21">
    <cfRule type="expression" dxfId="102" priority="38">
      <formula>ISNUMBER(SEARCH("⚠",$V19))</formula>
    </cfRule>
  </conditionalFormatting>
  <conditionalFormatting sqref="F5:H8 G6:G114">
    <cfRule type="expression" dxfId="101" priority="37">
      <formula>ISNUMBER(SEARCH("⚠",$V5))</formula>
    </cfRule>
  </conditionalFormatting>
  <conditionalFormatting sqref="H134:H140">
    <cfRule type="expression" dxfId="100" priority="36">
      <formula>ISNUMBER(SEARCH("⚠",$V134))</formula>
    </cfRule>
  </conditionalFormatting>
  <conditionalFormatting sqref="V134:V140">
    <cfRule type="expression" dxfId="99" priority="32">
      <formula>ISNUMBER(SEARCH("⚠",$V134))</formula>
    </cfRule>
    <cfRule type="expression" dxfId="98" priority="33">
      <formula>$V134="▲ 單一設備依賴"</formula>
    </cfRule>
    <cfRule type="expression" dxfId="97" priority="34">
      <formula>$V134="○ 免調理"</formula>
    </cfRule>
    <cfRule type="expression" dxfId="96" priority="35">
      <formula>$V134="OK"</formula>
    </cfRule>
  </conditionalFormatting>
  <conditionalFormatting sqref="G134:G140">
    <cfRule type="expression" dxfId="95" priority="30">
      <formula>ISNUMBER(SEARCH("⚠",$V134))</formula>
    </cfRule>
  </conditionalFormatting>
  <conditionalFormatting sqref="H141:H148">
    <cfRule type="expression" dxfId="94" priority="29">
      <formula>ISNUMBER(SEARCH("⚠",$V141))</formula>
    </cfRule>
  </conditionalFormatting>
  <conditionalFormatting sqref="V141:V148">
    <cfRule type="expression" dxfId="93" priority="25">
      <formula>ISNUMBER(SEARCH("⚠",$V141))</formula>
    </cfRule>
    <cfRule type="expression" dxfId="92" priority="26">
      <formula>$V141="▲ 單一設備依賴"</formula>
    </cfRule>
    <cfRule type="expression" dxfId="91" priority="27">
      <formula>$V141="○ 免調理"</formula>
    </cfRule>
    <cfRule type="expression" dxfId="90" priority="28">
      <formula>$V141="OK"</formula>
    </cfRule>
  </conditionalFormatting>
  <conditionalFormatting sqref="G141:G148">
    <cfRule type="expression" dxfId="89" priority="23">
      <formula>ISNUMBER(SEARCH("⚠",$V141))</formula>
    </cfRule>
  </conditionalFormatting>
  <conditionalFormatting sqref="H149:H150">
    <cfRule type="expression" dxfId="88" priority="22">
      <formula>ISNUMBER(SEARCH("⚠",$V149))</formula>
    </cfRule>
  </conditionalFormatting>
  <conditionalFormatting sqref="V149:V150">
    <cfRule type="expression" dxfId="87" priority="18">
      <formula>ISNUMBER(SEARCH("⚠",$V149))</formula>
    </cfRule>
    <cfRule type="expression" dxfId="86" priority="19">
      <formula>$V149="▲ 單一設備依賴"</formula>
    </cfRule>
    <cfRule type="expression" dxfId="85" priority="20">
      <formula>$V149="○ 免調理"</formula>
    </cfRule>
    <cfRule type="expression" dxfId="84" priority="21">
      <formula>$V149="OK"</formula>
    </cfRule>
  </conditionalFormatting>
  <conditionalFormatting sqref="G149:G150">
    <cfRule type="expression" dxfId="83" priority="17">
      <formula>ISNUMBER(SEARCH("⚠",$V149))</formula>
    </cfRule>
  </conditionalFormatting>
  <conditionalFormatting sqref="H151:H157">
    <cfRule type="expression" dxfId="82" priority="14">
      <formula>ISNUMBER(SEARCH("⚠",$V151))</formula>
    </cfRule>
  </conditionalFormatting>
  <conditionalFormatting sqref="V151:V157">
    <cfRule type="expression" dxfId="81" priority="10">
      <formula>ISNUMBER(SEARCH("⚠",$V151))</formula>
    </cfRule>
    <cfRule type="expression" dxfId="80" priority="11">
      <formula>$V151="▲ 單一設備依賴"</formula>
    </cfRule>
    <cfRule type="expression" dxfId="79" priority="12">
      <formula>$V151="○ 免調理"</formula>
    </cfRule>
    <cfRule type="expression" dxfId="78" priority="13">
      <formula>$V151="OK"</formula>
    </cfRule>
  </conditionalFormatting>
  <conditionalFormatting sqref="G151:G168">
    <cfRule type="expression" dxfId="77" priority="9">
      <formula>ISNUMBER(SEARCH("⚠",$V151))</formula>
    </cfRule>
  </conditionalFormatting>
  <conditionalFormatting sqref="A279:A302">
    <cfRule type="expression" dxfId="76" priority="8">
      <formula>ISNUMBER(SEARCH("⚠",$V279))</formula>
    </cfRule>
  </conditionalFormatting>
  <conditionalFormatting sqref="A5:A278">
    <cfRule type="expression" dxfId="75" priority="6">
      <formula>$R5="⚠ 資料缺漏"</formula>
    </cfRule>
  </conditionalFormatting>
  <conditionalFormatting sqref="A5:A302">
    <cfRule type="expression" dxfId="74" priority="1" stopIfTrue="1">
      <formula>AND($D5&lt;&gt;"",OR($A5="",COUNTIFS($D$5:$D$302,$D5,$A$5:$A$302,$A5)&lt;&gt;COUNTIF($D$5:$D$302,$D5)))</formula>
    </cfRule>
  </conditionalFormatting>
  <conditionalFormatting sqref="Y5:Y302">
    <cfRule type="expression" dxfId="73" priority="2" stopIfTrue="1">
      <formula>AND($E5&lt;&gt;"",$Y5="")</formula>
    </cfRule>
  </conditionalFormatting>
  <conditionalFormatting sqref="G5:G302">
    <cfRule type="expression" dxfId="72" priority="3" stopIfTrue="1">
      <formula>AND($E5&lt;&gt;"",$F5&lt;&gt;"",$G5="")</formula>
    </cfRule>
  </conditionalFormatting>
  <dataValidations count="4">
    <dataValidation type="list" allowBlank="1" showErrorMessage="1" errorTitle="請使用下拉選單" error="請選擇選單中的項目，或清除儲存格。" sqref="B5:B302">
      <formula1>"大溪,新豐,長家,晉欣"</formula1>
    </dataValidation>
    <dataValidation type="list" allowBlank="1" showErrorMessage="1" errorTitle="請使用下拉選單" error="請選擇選單中的項目，或清除儲存格。" sqref="G5:G302">
      <formula1>"公克,個"</formula1>
    </dataValidation>
    <dataValidation type="list" allowBlank="1" showErrorMessage="1" errorTitle="請使用下拉選單" error="請選擇選單中的項目，或清除儲存格。" sqref="I5:T302">
      <formula1>"V"</formula1>
    </dataValidation>
    <dataValidation type="list" allowBlank="1" showErrorMessage="1" errorTitle="請使用下拉選單" error="請選擇選單中的項目，或清除儲存格。" sqref="A5:A302">
      <formula1>"架上,下架,待上架"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07B00"/>
  </sheetPr>
  <dimension ref="A1:AA305"/>
  <sheetViews>
    <sheetView showGridLines="0" zoomScaleNormal="100" workbookViewId="0">
      <pane xSplit="5" ySplit="4" topLeftCell="F5" activePane="bottomRight" state="frozen"/>
      <selection pane="topRight"/>
      <selection pane="bottomLeft"/>
      <selection pane="bottomRight" activeCell="X17" sqref="X17"/>
    </sheetView>
  </sheetViews>
  <sheetFormatPr defaultColWidth="8.7265625" defaultRowHeight="14.5"/>
  <cols>
    <col min="1" max="1" width="9" style="27" customWidth="1"/>
    <col min="2" max="2" width="9" customWidth="1"/>
    <col min="3" max="3" width="12" customWidth="1"/>
    <col min="4" max="4" width="22" customWidth="1"/>
    <col min="5" max="5" width="26" customWidth="1"/>
    <col min="6" max="7" width="8" customWidth="1"/>
    <col min="8" max="8" width="9" customWidth="1"/>
    <col min="9" max="19" width="7" customWidth="1"/>
    <col min="20" max="20" width="9" customWidth="1"/>
    <col min="21" max="21" width="7" customWidth="1"/>
    <col min="22" max="22" width="13" customWidth="1"/>
    <col min="23" max="23" width="30" customWidth="1"/>
    <col min="24" max="24" width="20" customWidth="1"/>
    <col min="25" max="25" width="12" customWidth="1"/>
    <col min="26" max="27" width="0.54296875" hidden="1" customWidth="1"/>
  </cols>
  <sheetData>
    <row r="1" spans="1:27" ht="30" customHeight="1">
      <c r="A1" s="50"/>
      <c r="B1" s="48" t="s">
        <v>76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</row>
    <row r="2" spans="1:27" ht="19.5" customHeight="1">
      <c r="A2" s="27" t="s">
        <v>43</v>
      </c>
      <c r="B2" s="79" t="s">
        <v>43</v>
      </c>
      <c r="C2" s="79"/>
      <c r="D2" s="79"/>
      <c r="E2" s="79"/>
      <c r="F2" s="79"/>
      <c r="G2" s="79"/>
      <c r="H2" s="79"/>
      <c r="I2" s="79" t="s">
        <v>44</v>
      </c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 t="s">
        <v>45</v>
      </c>
      <c r="V2" s="79"/>
      <c r="W2" s="79"/>
      <c r="X2" s="79" t="s">
        <v>46</v>
      </c>
      <c r="Y2" s="79"/>
    </row>
    <row r="3" spans="1:27" ht="24" customHeight="1">
      <c r="A3" s="88" t="s">
        <v>475</v>
      </c>
      <c r="B3" s="76" t="s">
        <v>47</v>
      </c>
      <c r="C3" s="76" t="s">
        <v>48</v>
      </c>
      <c r="D3" s="76" t="s">
        <v>49</v>
      </c>
      <c r="E3" s="76" t="s">
        <v>50</v>
      </c>
      <c r="F3" s="80" t="s">
        <v>51</v>
      </c>
      <c r="G3" s="80"/>
      <c r="H3" s="76" t="s">
        <v>52</v>
      </c>
      <c r="I3" s="77" t="s">
        <v>53</v>
      </c>
      <c r="J3" s="77" t="s">
        <v>54</v>
      </c>
      <c r="K3" s="77" t="s">
        <v>55</v>
      </c>
      <c r="L3" s="77" t="s">
        <v>56</v>
      </c>
      <c r="M3" s="77" t="s">
        <v>57</v>
      </c>
      <c r="N3" s="77" t="s">
        <v>58</v>
      </c>
      <c r="O3" s="77" t="s">
        <v>59</v>
      </c>
      <c r="P3" s="77" t="s">
        <v>60</v>
      </c>
      <c r="Q3" s="77" t="s">
        <v>61</v>
      </c>
      <c r="R3" s="77" t="s">
        <v>62</v>
      </c>
      <c r="S3" s="77" t="s">
        <v>63</v>
      </c>
      <c r="T3" s="78" t="s">
        <v>64</v>
      </c>
      <c r="U3" s="76" t="s">
        <v>65</v>
      </c>
      <c r="V3" s="76" t="s">
        <v>66</v>
      </c>
      <c r="W3" s="76" t="s">
        <v>67</v>
      </c>
      <c r="X3" s="76" t="s">
        <v>68</v>
      </c>
      <c r="Y3" s="76" t="s">
        <v>69</v>
      </c>
      <c r="Z3" s="20" t="s">
        <v>70</v>
      </c>
      <c r="AA3" s="20" t="s">
        <v>71</v>
      </c>
    </row>
    <row r="4" spans="1:27" ht="18" customHeight="1">
      <c r="A4" s="76"/>
      <c r="B4" s="76"/>
      <c r="C4" s="76"/>
      <c r="D4" s="76"/>
      <c r="E4" s="76"/>
      <c r="F4" s="21" t="s">
        <v>72</v>
      </c>
      <c r="G4" s="21" t="s">
        <v>73</v>
      </c>
      <c r="H4" s="76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8"/>
      <c r="U4" s="76"/>
      <c r="V4" s="76"/>
      <c r="W4" s="76"/>
      <c r="X4" s="76"/>
      <c r="Y4" s="76"/>
    </row>
    <row r="5" spans="1:27">
      <c r="A5" s="22" t="s">
        <v>476</v>
      </c>
      <c r="B5" s="22" t="s">
        <v>254</v>
      </c>
      <c r="C5" s="22" t="s">
        <v>440</v>
      </c>
      <c r="D5" s="22" t="s">
        <v>138</v>
      </c>
      <c r="E5" s="22" t="s">
        <v>729</v>
      </c>
      <c r="F5" s="23">
        <v>210</v>
      </c>
      <c r="G5" s="23" t="s">
        <v>346</v>
      </c>
      <c r="H5" s="24">
        <v>193</v>
      </c>
      <c r="I5" s="25"/>
      <c r="J5" s="25" t="s">
        <v>242</v>
      </c>
      <c r="K5" s="25"/>
      <c r="L5" s="25"/>
      <c r="M5" s="25"/>
      <c r="N5" s="25"/>
      <c r="O5" s="25"/>
      <c r="P5" s="25"/>
      <c r="Q5" s="25"/>
      <c r="R5" s="25"/>
      <c r="S5" s="25"/>
      <c r="T5" s="26"/>
      <c r="U5" s="23">
        <f t="shared" ref="U5:U69" si="0">IF($E5="","",COUNTIF($I5:$S5,"V"))</f>
        <v>1</v>
      </c>
      <c r="V5" s="22" t="str">
        <f t="shared" ref="V5:V69" si="1">IF($E5="","",IF(AND($T5="V",$U5&gt;0),"⚠ 勾選矛盾",IF($T5="V","○ 免調理",IF($U5=0,"⚠ 資料缺漏",IF($U5=1,"▲ 單一設備依賴","OK")))))</f>
        <v>▲ 單一設備依賴</v>
      </c>
      <c r="W5" s="18" t="str">
        <f t="shared" ref="W5:W69" si="2">IF($E5="","",IF(AND($T5="V",$U5&gt;0),"「無使用調理設備」不可與設備欄同時勾選，請擇一修正",IF($T5="V","免調理半成品（外購/僅切配等），不列入設備風險評估",IF($U5=0,"未勾選任何設備，請補填或勾選「無使用調理設備」",IF($U5=1,"僅依賴1台設備，須確認故障/排修時之備援製程","無異常")))))</f>
        <v>僅依賴1台設備，須確認故障/排修時之備援製程</v>
      </c>
      <c r="X5" s="22" t="s">
        <v>732</v>
      </c>
      <c r="Y5" s="22" t="s">
        <v>338</v>
      </c>
      <c r="Z5" s="27">
        <f>IF($D5="",0,IF(COUNTIF($D$5:$D5,$D5)=1,1,0))</f>
        <v>1</v>
      </c>
      <c r="AA5">
        <f>IF(Z5=1,SUM($Z$5:$Z5),"")</f>
        <v>1</v>
      </c>
    </row>
    <row r="6" spans="1:27">
      <c r="A6" s="22" t="s">
        <v>476</v>
      </c>
      <c r="B6" s="22" t="s">
        <v>254</v>
      </c>
      <c r="C6" s="22" t="s">
        <v>440</v>
      </c>
      <c r="D6" s="22" t="s">
        <v>138</v>
      </c>
      <c r="E6" s="22" t="s">
        <v>730</v>
      </c>
      <c r="F6" s="23">
        <v>15</v>
      </c>
      <c r="G6" s="23" t="s">
        <v>346</v>
      </c>
      <c r="H6" s="24">
        <v>75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6" t="s">
        <v>242</v>
      </c>
      <c r="U6" s="23">
        <f t="shared" si="0"/>
        <v>0</v>
      </c>
      <c r="V6" s="22" t="str">
        <f t="shared" si="1"/>
        <v>○ 免調理</v>
      </c>
      <c r="W6" s="18" t="str">
        <f t="shared" si="2"/>
        <v>免調理半成品（外購/僅切配等），不列入設備風險評估</v>
      </c>
      <c r="X6" s="22" t="s">
        <v>732</v>
      </c>
      <c r="Y6" s="22" t="s">
        <v>338</v>
      </c>
      <c r="Z6" s="27">
        <f>IF($D6="",0,IF(COUNTIF($D$5:$D6,$D6)=1,1,0))</f>
        <v>0</v>
      </c>
      <c r="AA6" s="27" t="str">
        <f>IF(Z6=1,SUM($Z$5:$Z6),"")</f>
        <v/>
      </c>
    </row>
    <row r="7" spans="1:27">
      <c r="A7" s="22" t="s">
        <v>476</v>
      </c>
      <c r="B7" s="22" t="s">
        <v>254</v>
      </c>
      <c r="C7" s="22" t="s">
        <v>440</v>
      </c>
      <c r="D7" s="22" t="s">
        <v>138</v>
      </c>
      <c r="E7" s="22" t="s">
        <v>731</v>
      </c>
      <c r="F7" s="23">
        <v>13</v>
      </c>
      <c r="G7" s="23" t="s">
        <v>346</v>
      </c>
      <c r="H7" s="24">
        <v>75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6" t="s">
        <v>242</v>
      </c>
      <c r="U7" s="23">
        <f t="shared" si="0"/>
        <v>0</v>
      </c>
      <c r="V7" s="22" t="str">
        <f t="shared" si="1"/>
        <v>○ 免調理</v>
      </c>
      <c r="W7" s="18" t="str">
        <f t="shared" si="2"/>
        <v>免調理半成品（外購/僅切配等），不列入設備風險評估</v>
      </c>
      <c r="X7" s="22" t="s">
        <v>732</v>
      </c>
      <c r="Y7" s="22" t="s">
        <v>338</v>
      </c>
      <c r="Z7" s="27">
        <f>IF($D7="",0,IF(COUNTIF($D$5:$D7,$D7)=1,1,0))</f>
        <v>0</v>
      </c>
      <c r="AA7" s="27" t="str">
        <f>IF(Z7=1,SUM($Z$5:$Z7),"")</f>
        <v/>
      </c>
    </row>
    <row r="8" spans="1:27">
      <c r="A8" s="22" t="s">
        <v>476</v>
      </c>
      <c r="B8" s="22" t="s">
        <v>254</v>
      </c>
      <c r="C8" s="22" t="s">
        <v>440</v>
      </c>
      <c r="D8" s="22" t="s">
        <v>138</v>
      </c>
      <c r="E8" s="22" t="s">
        <v>139</v>
      </c>
      <c r="F8" s="23">
        <v>1</v>
      </c>
      <c r="G8" s="23" t="s">
        <v>75</v>
      </c>
      <c r="H8" s="24">
        <v>100</v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6" t="s">
        <v>242</v>
      </c>
      <c r="U8" s="23">
        <f t="shared" si="0"/>
        <v>0</v>
      </c>
      <c r="V8" s="22" t="str">
        <f t="shared" si="1"/>
        <v>○ 免調理</v>
      </c>
      <c r="W8" s="18" t="str">
        <f t="shared" si="2"/>
        <v>免調理半成品（外購/僅切配等），不列入設備風險評估</v>
      </c>
      <c r="X8" s="22" t="s">
        <v>732</v>
      </c>
      <c r="Y8" s="22" t="s">
        <v>338</v>
      </c>
      <c r="Z8" s="27">
        <f>IF($D8="",0,IF(COUNTIF($D$5:$D8,$D8)=1,1,0))</f>
        <v>0</v>
      </c>
      <c r="AA8" s="27" t="str">
        <f>IF(Z8=1,SUM($Z$5:$Z8),"")</f>
        <v/>
      </c>
    </row>
    <row r="9" spans="1:27" s="27" customFormat="1">
      <c r="A9" s="22" t="s">
        <v>476</v>
      </c>
      <c r="B9" s="22" t="s">
        <v>254</v>
      </c>
      <c r="C9" s="22" t="s">
        <v>440</v>
      </c>
      <c r="D9" s="22" t="s">
        <v>138</v>
      </c>
      <c r="E9" s="22" t="s">
        <v>255</v>
      </c>
      <c r="F9" s="23">
        <v>1</v>
      </c>
      <c r="G9" s="23" t="s">
        <v>75</v>
      </c>
      <c r="H9" s="24">
        <v>100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6" t="s">
        <v>74</v>
      </c>
      <c r="U9" s="23">
        <f t="shared" si="0"/>
        <v>0</v>
      </c>
      <c r="V9" s="22" t="str">
        <f t="shared" si="1"/>
        <v>○ 免調理</v>
      </c>
      <c r="W9" s="18" t="str">
        <f t="shared" si="2"/>
        <v>免調理半成品（外購/僅切配等），不列入設備風險評估</v>
      </c>
      <c r="X9" s="22" t="s">
        <v>732</v>
      </c>
      <c r="Y9" s="22" t="s">
        <v>338</v>
      </c>
    </row>
    <row r="10" spans="1:27">
      <c r="A10" s="22" t="s">
        <v>477</v>
      </c>
      <c r="B10" s="22" t="s">
        <v>254</v>
      </c>
      <c r="C10" s="22" t="s">
        <v>440</v>
      </c>
      <c r="D10" s="22" t="s">
        <v>733</v>
      </c>
      <c r="E10" s="22" t="s">
        <v>734</v>
      </c>
      <c r="F10" s="23">
        <v>190</v>
      </c>
      <c r="G10" s="23" t="s">
        <v>346</v>
      </c>
      <c r="H10" s="24">
        <v>100.6</v>
      </c>
      <c r="I10" s="25"/>
      <c r="J10" s="25" t="s">
        <v>242</v>
      </c>
      <c r="K10" s="25"/>
      <c r="L10" s="25"/>
      <c r="M10" s="25"/>
      <c r="N10" s="25"/>
      <c r="O10" s="25"/>
      <c r="P10" s="25"/>
      <c r="Q10" s="25"/>
      <c r="R10" s="25"/>
      <c r="S10" s="25"/>
      <c r="T10" s="26"/>
      <c r="U10" s="23">
        <f t="shared" si="0"/>
        <v>1</v>
      </c>
      <c r="V10" s="22" t="str">
        <f t="shared" si="1"/>
        <v>▲ 單一設備依賴</v>
      </c>
      <c r="W10" s="18" t="str">
        <f t="shared" si="2"/>
        <v>僅依賴1台設備，須確認故障/排修時之備援製程</v>
      </c>
      <c r="X10" s="22" t="s">
        <v>736</v>
      </c>
      <c r="Y10" s="22" t="s">
        <v>347</v>
      </c>
      <c r="Z10" s="27">
        <f>IF($D10="",0,IF(COUNTIF($D$5:$D10,$D10)=1,1,0))</f>
        <v>1</v>
      </c>
      <c r="AA10" s="27">
        <f>IF(Z10=1,SUM($Z$5:$Z10),"")</f>
        <v>2</v>
      </c>
    </row>
    <row r="11" spans="1:27">
      <c r="A11" s="22" t="s">
        <v>477</v>
      </c>
      <c r="B11" s="22" t="s">
        <v>254</v>
      </c>
      <c r="C11" s="22" t="s">
        <v>440</v>
      </c>
      <c r="D11" s="22" t="s">
        <v>176</v>
      </c>
      <c r="E11" s="22" t="s">
        <v>735</v>
      </c>
      <c r="F11" s="23">
        <v>9</v>
      </c>
      <c r="G11" s="23" t="s">
        <v>346</v>
      </c>
      <c r="H11" s="24">
        <v>100</v>
      </c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6" t="s">
        <v>242</v>
      </c>
      <c r="U11" s="23">
        <f t="shared" si="0"/>
        <v>0</v>
      </c>
      <c r="V11" s="22" t="str">
        <f t="shared" si="1"/>
        <v>○ 免調理</v>
      </c>
      <c r="W11" s="18" t="str">
        <f t="shared" si="2"/>
        <v>免調理半成品（外購/僅切配等），不列入設備風險評估</v>
      </c>
      <c r="X11" s="22" t="s">
        <v>736</v>
      </c>
      <c r="Y11" s="22" t="s">
        <v>347</v>
      </c>
      <c r="Z11" s="27">
        <f>IF($D11="",0,IF(COUNTIF($D$5:$D11,$D11)=1,1,0))</f>
        <v>0</v>
      </c>
      <c r="AA11" s="27" t="str">
        <f>IF(Z11=1,SUM($Z$5:$Z11),"")</f>
        <v/>
      </c>
    </row>
    <row r="12" spans="1:27">
      <c r="A12" s="22" t="s">
        <v>477</v>
      </c>
      <c r="B12" s="22" t="s">
        <v>254</v>
      </c>
      <c r="C12" s="22" t="s">
        <v>440</v>
      </c>
      <c r="D12" s="22" t="s">
        <v>176</v>
      </c>
      <c r="E12" s="22" t="s">
        <v>413</v>
      </c>
      <c r="F12" s="23">
        <v>10</v>
      </c>
      <c r="G12" s="23" t="s">
        <v>346</v>
      </c>
      <c r="H12" s="24">
        <v>75</v>
      </c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6" t="s">
        <v>242</v>
      </c>
      <c r="U12" s="23">
        <f t="shared" si="0"/>
        <v>0</v>
      </c>
      <c r="V12" s="22" t="str">
        <f t="shared" si="1"/>
        <v>○ 免調理</v>
      </c>
      <c r="W12" s="18" t="str">
        <f t="shared" si="2"/>
        <v>免調理半成品（外購/僅切配等），不列入設備風險評估</v>
      </c>
      <c r="X12" s="22" t="s">
        <v>736</v>
      </c>
      <c r="Y12" s="22" t="s">
        <v>347</v>
      </c>
      <c r="Z12" s="27">
        <f>IF($D12="",0,IF(COUNTIF($D$5:$D12,$D12)=1,1,0))</f>
        <v>0</v>
      </c>
      <c r="AA12" s="27" t="str">
        <f>IF(Z12=1,SUM($Z$5:$Z12),"")</f>
        <v/>
      </c>
    </row>
    <row r="13" spans="1:27">
      <c r="A13" s="22" t="s">
        <v>477</v>
      </c>
      <c r="B13" s="22" t="s">
        <v>254</v>
      </c>
      <c r="C13" s="22" t="s">
        <v>440</v>
      </c>
      <c r="D13" s="22" t="s">
        <v>176</v>
      </c>
      <c r="E13" s="22" t="s">
        <v>178</v>
      </c>
      <c r="F13" s="23">
        <v>1</v>
      </c>
      <c r="G13" s="23" t="s">
        <v>75</v>
      </c>
      <c r="H13" s="24">
        <v>100</v>
      </c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6" t="s">
        <v>242</v>
      </c>
      <c r="U13" s="23">
        <f t="shared" si="0"/>
        <v>0</v>
      </c>
      <c r="V13" s="22" t="str">
        <f t="shared" si="1"/>
        <v>○ 免調理</v>
      </c>
      <c r="W13" s="18" t="str">
        <f t="shared" si="2"/>
        <v>免調理半成品（外購/僅切配等），不列入設備風險評估</v>
      </c>
      <c r="X13" s="22" t="s">
        <v>736</v>
      </c>
      <c r="Y13" s="22" t="s">
        <v>347</v>
      </c>
      <c r="Z13" s="27">
        <f>IF($D13="",0,IF(COUNTIF($D$5:$D13,$D13)=1,1,0))</f>
        <v>0</v>
      </c>
      <c r="AA13" s="27" t="str">
        <f>IF(Z13=1,SUM($Z$5:$Z13),"")</f>
        <v/>
      </c>
    </row>
    <row r="14" spans="1:27">
      <c r="A14" s="22" t="s">
        <v>477</v>
      </c>
      <c r="B14" s="22" t="s">
        <v>254</v>
      </c>
      <c r="C14" s="22" t="s">
        <v>355</v>
      </c>
      <c r="D14" s="22" t="s">
        <v>356</v>
      </c>
      <c r="E14" s="22" t="s">
        <v>357</v>
      </c>
      <c r="F14" s="23">
        <v>230</v>
      </c>
      <c r="G14" s="23" t="s">
        <v>346</v>
      </c>
      <c r="H14" s="24">
        <v>78</v>
      </c>
      <c r="I14" s="25"/>
      <c r="J14" s="25" t="s">
        <v>74</v>
      </c>
      <c r="K14" s="25"/>
      <c r="L14" s="25"/>
      <c r="M14" s="25"/>
      <c r="N14" s="25"/>
      <c r="O14" s="25"/>
      <c r="P14" s="25" t="s">
        <v>74</v>
      </c>
      <c r="Q14" s="25"/>
      <c r="R14" s="25"/>
      <c r="S14" s="25"/>
      <c r="T14" s="26"/>
      <c r="U14" s="23">
        <f t="shared" si="0"/>
        <v>2</v>
      </c>
      <c r="V14" s="22" t="str">
        <f t="shared" si="1"/>
        <v>OK</v>
      </c>
      <c r="W14" s="18" t="str">
        <f t="shared" si="2"/>
        <v>無異常</v>
      </c>
      <c r="X14" s="22" t="s">
        <v>364</v>
      </c>
      <c r="Y14" s="22" t="s">
        <v>365</v>
      </c>
      <c r="Z14" s="27">
        <f>IF($D14="",0,IF(COUNTIF($D$5:$D14,$D14)=1,1,0))</f>
        <v>1</v>
      </c>
      <c r="AA14" s="27">
        <f>IF(Z14=1,SUM($Z$5:$Z14),"")</f>
        <v>3</v>
      </c>
    </row>
    <row r="15" spans="1:27">
      <c r="A15" s="22" t="s">
        <v>477</v>
      </c>
      <c r="B15" s="22" t="s">
        <v>254</v>
      </c>
      <c r="C15" s="22" t="s">
        <v>355</v>
      </c>
      <c r="D15" s="22" t="s">
        <v>356</v>
      </c>
      <c r="E15" s="22" t="s">
        <v>358</v>
      </c>
      <c r="F15" s="23">
        <v>50</v>
      </c>
      <c r="G15" s="23" t="s">
        <v>346</v>
      </c>
      <c r="H15" s="24">
        <v>56</v>
      </c>
      <c r="I15" s="25"/>
      <c r="J15" s="25"/>
      <c r="K15" s="25"/>
      <c r="L15" s="25"/>
      <c r="M15" s="25"/>
      <c r="N15" s="25"/>
      <c r="O15" s="25" t="s">
        <v>74</v>
      </c>
      <c r="P15" s="25"/>
      <c r="Q15" s="25"/>
      <c r="R15" s="25"/>
      <c r="S15" s="25"/>
      <c r="T15" s="26"/>
      <c r="U15" s="23">
        <f t="shared" si="0"/>
        <v>1</v>
      </c>
      <c r="V15" s="22" t="str">
        <f t="shared" si="1"/>
        <v>▲ 單一設備依賴</v>
      </c>
      <c r="W15" s="18" t="str">
        <f t="shared" si="2"/>
        <v>僅依賴1台設備，須確認故障/排修時之備援製程</v>
      </c>
      <c r="X15" s="22" t="s">
        <v>364</v>
      </c>
      <c r="Y15" s="22" t="s">
        <v>365</v>
      </c>
      <c r="Z15" s="27">
        <f>IF($D15="",0,IF(COUNTIF($D$5:$D15,$D15)=1,1,0))</f>
        <v>0</v>
      </c>
      <c r="AA15" s="27" t="str">
        <f>IF(Z15=1,SUM($Z$5:$Z15),"")</f>
        <v/>
      </c>
    </row>
    <row r="16" spans="1:27">
      <c r="A16" s="22" t="s">
        <v>477</v>
      </c>
      <c r="B16" s="22" t="s">
        <v>254</v>
      </c>
      <c r="C16" s="22" t="s">
        <v>355</v>
      </c>
      <c r="D16" s="22" t="s">
        <v>356</v>
      </c>
      <c r="E16" s="22" t="s">
        <v>359</v>
      </c>
      <c r="F16" s="23">
        <v>11</v>
      </c>
      <c r="G16" s="23" t="s">
        <v>346</v>
      </c>
      <c r="H16" s="24">
        <v>51</v>
      </c>
      <c r="I16" s="25"/>
      <c r="J16" s="25"/>
      <c r="K16" s="25"/>
      <c r="L16" s="25"/>
      <c r="M16" s="25"/>
      <c r="N16" s="25"/>
      <c r="O16" s="25" t="s">
        <v>74</v>
      </c>
      <c r="P16" s="25"/>
      <c r="Q16" s="25"/>
      <c r="R16" s="25"/>
      <c r="S16" s="25"/>
      <c r="T16" s="26"/>
      <c r="U16" s="23">
        <f t="shared" si="0"/>
        <v>1</v>
      </c>
      <c r="V16" s="22" t="str">
        <f t="shared" si="1"/>
        <v>▲ 單一設備依賴</v>
      </c>
      <c r="W16" s="18" t="str">
        <f t="shared" si="2"/>
        <v>僅依賴1台設備，須確認故障/排修時之備援製程</v>
      </c>
      <c r="X16" s="22" t="s">
        <v>364</v>
      </c>
      <c r="Y16" s="22" t="s">
        <v>365</v>
      </c>
      <c r="Z16" s="27">
        <f>IF($D16="",0,IF(COUNTIF($D$5:$D16,$D16)=1,1,0))</f>
        <v>0</v>
      </c>
      <c r="AA16" s="27" t="str">
        <f>IF(Z16=1,SUM($Z$5:$Z16),"")</f>
        <v/>
      </c>
    </row>
    <row r="17" spans="1:27">
      <c r="A17" s="22" t="s">
        <v>477</v>
      </c>
      <c r="B17" s="22" t="s">
        <v>254</v>
      </c>
      <c r="C17" s="22" t="s">
        <v>355</v>
      </c>
      <c r="D17" s="22" t="s">
        <v>356</v>
      </c>
      <c r="E17" s="22" t="s">
        <v>360</v>
      </c>
      <c r="F17" s="23">
        <v>25</v>
      </c>
      <c r="G17" s="23" t="s">
        <v>346</v>
      </c>
      <c r="H17" s="24">
        <v>62</v>
      </c>
      <c r="I17" s="25"/>
      <c r="J17" s="25"/>
      <c r="K17" s="25"/>
      <c r="L17" s="25"/>
      <c r="M17" s="25"/>
      <c r="N17" s="25"/>
      <c r="O17" s="25" t="s">
        <v>74</v>
      </c>
      <c r="P17" s="25"/>
      <c r="Q17" s="25"/>
      <c r="R17" s="25"/>
      <c r="S17" s="25"/>
      <c r="T17" s="26"/>
      <c r="U17" s="23">
        <f t="shared" si="0"/>
        <v>1</v>
      </c>
      <c r="V17" s="22" t="str">
        <f t="shared" si="1"/>
        <v>▲ 單一設備依賴</v>
      </c>
      <c r="W17" s="18" t="str">
        <f t="shared" si="2"/>
        <v>僅依賴1台設備，須確認故障/排修時之備援製程</v>
      </c>
      <c r="X17" s="22" t="s">
        <v>364</v>
      </c>
      <c r="Y17" s="22" t="s">
        <v>365</v>
      </c>
      <c r="Z17" s="27">
        <f>IF($D17="",0,IF(COUNTIF($D$5:$D17,$D17)=1,1,0))</f>
        <v>0</v>
      </c>
      <c r="AA17" s="27" t="str">
        <f>IF(Z17=1,SUM($Z$5:$Z17),"")</f>
        <v/>
      </c>
    </row>
    <row r="18" spans="1:27">
      <c r="A18" s="22" t="s">
        <v>477</v>
      </c>
      <c r="B18" s="22" t="s">
        <v>254</v>
      </c>
      <c r="C18" s="22" t="s">
        <v>355</v>
      </c>
      <c r="D18" s="22" t="s">
        <v>356</v>
      </c>
      <c r="E18" s="22" t="s">
        <v>361</v>
      </c>
      <c r="F18" s="23">
        <v>20</v>
      </c>
      <c r="G18" s="23" t="s">
        <v>346</v>
      </c>
      <c r="H18" s="24">
        <v>66</v>
      </c>
      <c r="I18" s="25"/>
      <c r="J18" s="25"/>
      <c r="K18" s="25"/>
      <c r="L18" s="25"/>
      <c r="M18" s="25"/>
      <c r="N18" s="25"/>
      <c r="O18" s="25" t="s">
        <v>74</v>
      </c>
      <c r="P18" s="25"/>
      <c r="Q18" s="25"/>
      <c r="R18" s="25"/>
      <c r="S18" s="25"/>
      <c r="T18" s="26"/>
      <c r="U18" s="23">
        <f t="shared" si="0"/>
        <v>1</v>
      </c>
      <c r="V18" s="22" t="str">
        <f t="shared" si="1"/>
        <v>▲ 單一設備依賴</v>
      </c>
      <c r="W18" s="18" t="str">
        <f t="shared" si="2"/>
        <v>僅依賴1台設備，須確認故障/排修時之備援製程</v>
      </c>
      <c r="X18" s="22" t="s">
        <v>364</v>
      </c>
      <c r="Y18" s="22" t="s">
        <v>365</v>
      </c>
      <c r="Z18" s="27">
        <f>IF($D18="",0,IF(COUNTIF($D$5:$D18,$D18)=1,1,0))</f>
        <v>0</v>
      </c>
      <c r="AA18" s="27" t="str">
        <f>IF(Z18=1,SUM($Z$5:$Z18),"")</f>
        <v/>
      </c>
    </row>
    <row r="19" spans="1:27">
      <c r="A19" s="22" t="s">
        <v>477</v>
      </c>
      <c r="B19" s="22" t="s">
        <v>254</v>
      </c>
      <c r="C19" s="22" t="s">
        <v>355</v>
      </c>
      <c r="D19" s="22" t="s">
        <v>356</v>
      </c>
      <c r="E19" s="22" t="s">
        <v>362</v>
      </c>
      <c r="F19" s="23">
        <v>2</v>
      </c>
      <c r="G19" s="23" t="s">
        <v>75</v>
      </c>
      <c r="H19" s="52">
        <v>100</v>
      </c>
      <c r="I19" s="25"/>
      <c r="J19" s="25"/>
      <c r="K19" s="25"/>
      <c r="L19" s="25"/>
      <c r="M19" s="25"/>
      <c r="N19" s="25"/>
      <c r="O19" s="25" t="s">
        <v>74</v>
      </c>
      <c r="P19" s="25"/>
      <c r="Q19" s="25"/>
      <c r="R19" s="25"/>
      <c r="S19" s="25"/>
      <c r="T19" s="26"/>
      <c r="U19" s="23">
        <f t="shared" si="0"/>
        <v>1</v>
      </c>
      <c r="V19" s="22" t="str">
        <f t="shared" si="1"/>
        <v>▲ 單一設備依賴</v>
      </c>
      <c r="W19" s="18" t="str">
        <f t="shared" si="2"/>
        <v>僅依賴1台設備，須確認故障/排修時之備援製程</v>
      </c>
      <c r="X19" s="22" t="s">
        <v>364</v>
      </c>
      <c r="Y19" s="22" t="s">
        <v>365</v>
      </c>
      <c r="Z19" s="27">
        <f>IF($D19="",0,IF(COUNTIF($D$5:$D19,$D19)=1,1,0))</f>
        <v>0</v>
      </c>
      <c r="AA19" s="27" t="str">
        <f>IF(Z19=1,SUM($Z$5:$Z19),"")</f>
        <v/>
      </c>
    </row>
    <row r="20" spans="1:27">
      <c r="A20" s="22" t="s">
        <v>477</v>
      </c>
      <c r="B20" s="22" t="s">
        <v>254</v>
      </c>
      <c r="C20" s="22" t="s">
        <v>355</v>
      </c>
      <c r="D20" s="22" t="s">
        <v>356</v>
      </c>
      <c r="E20" s="22" t="s">
        <v>363</v>
      </c>
      <c r="F20" s="23">
        <v>3</v>
      </c>
      <c r="G20" s="23" t="s">
        <v>346</v>
      </c>
      <c r="H20" s="24">
        <v>100</v>
      </c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6" t="s">
        <v>74</v>
      </c>
      <c r="U20" s="23">
        <f t="shared" si="0"/>
        <v>0</v>
      </c>
      <c r="V20" s="22" t="str">
        <f t="shared" si="1"/>
        <v>○ 免調理</v>
      </c>
      <c r="W20" s="18" t="str">
        <f t="shared" si="2"/>
        <v>免調理半成品（外購/僅切配等），不列入設備風險評估</v>
      </c>
      <c r="X20" s="22" t="s">
        <v>364</v>
      </c>
      <c r="Y20" s="22" t="s">
        <v>365</v>
      </c>
      <c r="Z20" s="27">
        <f>IF($D20="",0,IF(COUNTIF($D$5:$D20,$D20)=1,1,0))</f>
        <v>0</v>
      </c>
      <c r="AA20" s="27" t="str">
        <f>IF(Z20=1,SUM($Z$5:$Z20),"")</f>
        <v/>
      </c>
    </row>
    <row r="21" spans="1:27" s="27" customFormat="1">
      <c r="A21" s="22" t="s">
        <v>477</v>
      </c>
      <c r="B21" s="22" t="s">
        <v>254</v>
      </c>
      <c r="C21" s="22" t="s">
        <v>441</v>
      </c>
      <c r="D21" s="22" t="s">
        <v>401</v>
      </c>
      <c r="E21" s="22" t="s">
        <v>402</v>
      </c>
      <c r="F21" s="23">
        <v>210</v>
      </c>
      <c r="G21" s="23" t="s">
        <v>346</v>
      </c>
      <c r="H21" s="24">
        <v>183</v>
      </c>
      <c r="I21" s="25"/>
      <c r="J21" s="25" t="s">
        <v>74</v>
      </c>
      <c r="K21" s="25"/>
      <c r="L21" s="25"/>
      <c r="M21" s="25"/>
      <c r="N21" s="25"/>
      <c r="O21" s="25"/>
      <c r="P21" s="25"/>
      <c r="Q21" s="25"/>
      <c r="R21" s="25"/>
      <c r="S21" s="25"/>
      <c r="T21" s="26"/>
      <c r="U21" s="23">
        <f t="shared" si="0"/>
        <v>1</v>
      </c>
      <c r="V21" s="22" t="str">
        <f t="shared" si="1"/>
        <v>▲ 單一設備依賴</v>
      </c>
      <c r="W21" s="18" t="str">
        <f t="shared" si="2"/>
        <v>僅依賴1台設備，須確認故障/排修時之備援製程</v>
      </c>
      <c r="X21" s="22" t="s">
        <v>403</v>
      </c>
      <c r="Y21" s="22" t="s">
        <v>347</v>
      </c>
      <c r="Z21" s="27">
        <f>IF($D21="",0,IF(COUNTIF($D$5:$D21,$D21)=1,1,0))</f>
        <v>1</v>
      </c>
      <c r="AA21" s="27">
        <f>IF(Z21=1,SUM($Z$5:$Z21),"")</f>
        <v>4</v>
      </c>
    </row>
    <row r="22" spans="1:27" s="27" customFormat="1">
      <c r="A22" s="22" t="s">
        <v>477</v>
      </c>
      <c r="B22" s="22" t="s">
        <v>254</v>
      </c>
      <c r="C22" s="22" t="s">
        <v>441</v>
      </c>
      <c r="D22" s="22" t="s">
        <v>401</v>
      </c>
      <c r="E22" s="22" t="s">
        <v>404</v>
      </c>
      <c r="F22" s="23">
        <v>55</v>
      </c>
      <c r="G22" s="23" t="s">
        <v>346</v>
      </c>
      <c r="H22" s="24">
        <v>61</v>
      </c>
      <c r="I22" s="25"/>
      <c r="J22" s="25"/>
      <c r="K22" s="25"/>
      <c r="L22" s="25"/>
      <c r="M22" s="25"/>
      <c r="N22" s="25"/>
      <c r="O22" s="25" t="s">
        <v>74</v>
      </c>
      <c r="P22" s="25"/>
      <c r="Q22" s="25"/>
      <c r="R22" s="25"/>
      <c r="S22" s="25"/>
      <c r="T22" s="26"/>
      <c r="U22" s="23">
        <f t="shared" si="0"/>
        <v>1</v>
      </c>
      <c r="V22" s="22" t="str">
        <f t="shared" si="1"/>
        <v>▲ 單一設備依賴</v>
      </c>
      <c r="W22" s="18" t="str">
        <f t="shared" si="2"/>
        <v>僅依賴1台設備，須確認故障/排修時之備援製程</v>
      </c>
      <c r="X22" s="22" t="s">
        <v>403</v>
      </c>
      <c r="Y22" s="22" t="s">
        <v>347</v>
      </c>
      <c r="Z22" s="27">
        <f>IF($D22="",0,IF(COUNTIF($D$5:$D22,$D22)=1,1,0))</f>
        <v>0</v>
      </c>
      <c r="AA22" s="27" t="str">
        <f>IF(Z22=1,SUM($Z$5:$Z22),"")</f>
        <v/>
      </c>
    </row>
    <row r="23" spans="1:27" s="27" customFormat="1">
      <c r="A23" s="22" t="s">
        <v>477</v>
      </c>
      <c r="B23" s="22" t="s">
        <v>254</v>
      </c>
      <c r="C23" s="22" t="s">
        <v>441</v>
      </c>
      <c r="D23" s="22" t="s">
        <v>401</v>
      </c>
      <c r="E23" s="22" t="s">
        <v>405</v>
      </c>
      <c r="F23" s="23">
        <v>22</v>
      </c>
      <c r="G23" s="23" t="s">
        <v>346</v>
      </c>
      <c r="H23" s="24">
        <v>58</v>
      </c>
      <c r="I23" s="25"/>
      <c r="J23" s="25"/>
      <c r="K23" s="25"/>
      <c r="L23" s="25"/>
      <c r="M23" s="25"/>
      <c r="N23" s="25"/>
      <c r="O23" s="25" t="s">
        <v>74</v>
      </c>
      <c r="P23" s="25"/>
      <c r="Q23" s="25"/>
      <c r="R23" s="25"/>
      <c r="S23" s="25"/>
      <c r="T23" s="26"/>
      <c r="U23" s="23">
        <f t="shared" si="0"/>
        <v>1</v>
      </c>
      <c r="V23" s="22" t="str">
        <f t="shared" si="1"/>
        <v>▲ 單一設備依賴</v>
      </c>
      <c r="W23" s="18" t="str">
        <f t="shared" si="2"/>
        <v>僅依賴1台設備，須確認故障/排修時之備援製程</v>
      </c>
      <c r="X23" s="22" t="s">
        <v>403</v>
      </c>
      <c r="Y23" s="22" t="s">
        <v>347</v>
      </c>
      <c r="Z23" s="27">
        <f>IF($D23="",0,IF(COUNTIF($D$5:$D23,$D23)=1,1,0))</f>
        <v>0</v>
      </c>
      <c r="AA23" s="27" t="str">
        <f>IF(Z23=1,SUM($Z$5:$Z23),"")</f>
        <v/>
      </c>
    </row>
    <row r="24" spans="1:27" s="27" customFormat="1">
      <c r="A24" s="22" t="s">
        <v>477</v>
      </c>
      <c r="B24" s="22" t="s">
        <v>254</v>
      </c>
      <c r="C24" s="22" t="s">
        <v>441</v>
      </c>
      <c r="D24" s="22" t="s">
        <v>401</v>
      </c>
      <c r="E24" s="22" t="s">
        <v>354</v>
      </c>
      <c r="F24" s="23">
        <v>15</v>
      </c>
      <c r="G24" s="23" t="s">
        <v>346</v>
      </c>
      <c r="H24" s="24">
        <v>63</v>
      </c>
      <c r="I24" s="25"/>
      <c r="J24" s="25"/>
      <c r="K24" s="25"/>
      <c r="L24" s="25"/>
      <c r="M24" s="25"/>
      <c r="N24" s="25"/>
      <c r="O24" s="25" t="s">
        <v>74</v>
      </c>
      <c r="P24" s="25"/>
      <c r="Q24" s="25"/>
      <c r="R24" s="25"/>
      <c r="S24" s="25"/>
      <c r="T24" s="26"/>
      <c r="U24" s="23">
        <f t="shared" si="0"/>
        <v>1</v>
      </c>
      <c r="V24" s="22" t="str">
        <f t="shared" si="1"/>
        <v>▲ 單一設備依賴</v>
      </c>
      <c r="W24" s="18" t="str">
        <f t="shared" si="2"/>
        <v>僅依賴1台設備，須確認故障/排修時之備援製程</v>
      </c>
      <c r="X24" s="22" t="s">
        <v>403</v>
      </c>
      <c r="Y24" s="22" t="s">
        <v>347</v>
      </c>
      <c r="Z24" s="27">
        <f>IF($D24="",0,IF(COUNTIF($D$5:$D24,$D24)=1,1,0))</f>
        <v>0</v>
      </c>
      <c r="AA24" s="27" t="str">
        <f>IF(Z24=1,SUM($Z$5:$Z24),"")</f>
        <v/>
      </c>
    </row>
    <row r="25" spans="1:27" s="27" customFormat="1">
      <c r="A25" s="22" t="s">
        <v>477</v>
      </c>
      <c r="B25" s="22" t="s">
        <v>254</v>
      </c>
      <c r="C25" s="22" t="s">
        <v>441</v>
      </c>
      <c r="D25" s="22" t="s">
        <v>401</v>
      </c>
      <c r="E25" s="22" t="s">
        <v>406</v>
      </c>
      <c r="F25" s="23">
        <v>2</v>
      </c>
      <c r="G25" s="23" t="s">
        <v>75</v>
      </c>
      <c r="H25" s="24">
        <v>95</v>
      </c>
      <c r="I25" s="25"/>
      <c r="J25" s="25"/>
      <c r="K25" s="25" t="s">
        <v>74</v>
      </c>
      <c r="L25" s="25"/>
      <c r="M25" s="25"/>
      <c r="N25" s="25"/>
      <c r="O25" s="25"/>
      <c r="P25" s="25"/>
      <c r="Q25" s="25"/>
      <c r="R25" s="25"/>
      <c r="S25" s="25"/>
      <c r="T25" s="26"/>
      <c r="U25" s="23">
        <f t="shared" si="0"/>
        <v>1</v>
      </c>
      <c r="V25" s="22" t="str">
        <f t="shared" si="1"/>
        <v>▲ 單一設備依賴</v>
      </c>
      <c r="W25" s="18" t="str">
        <f t="shared" si="2"/>
        <v>僅依賴1台設備，須確認故障/排修時之備援製程</v>
      </c>
      <c r="X25" s="22" t="s">
        <v>403</v>
      </c>
      <c r="Y25" s="22" t="s">
        <v>347</v>
      </c>
      <c r="Z25" s="27">
        <f>IF($D25="",0,IF(COUNTIF($D$5:$D25,$D25)=1,1,0))</f>
        <v>0</v>
      </c>
      <c r="AA25" s="27" t="str">
        <f>IF(Z25=1,SUM($Z$5:$Z25),"")</f>
        <v/>
      </c>
    </row>
    <row r="26" spans="1:27" s="27" customFormat="1">
      <c r="A26" s="22" t="s">
        <v>477</v>
      </c>
      <c r="B26" s="22" t="s">
        <v>254</v>
      </c>
      <c r="C26" s="22" t="s">
        <v>441</v>
      </c>
      <c r="D26" s="22" t="s">
        <v>401</v>
      </c>
      <c r="E26" s="22" t="s">
        <v>407</v>
      </c>
      <c r="F26" s="23">
        <v>1</v>
      </c>
      <c r="G26" s="23" t="s">
        <v>75</v>
      </c>
      <c r="H26" s="24">
        <v>100</v>
      </c>
      <c r="I26" s="25"/>
      <c r="J26" s="25"/>
      <c r="K26" s="25" t="s">
        <v>74</v>
      </c>
      <c r="L26" s="25"/>
      <c r="M26" s="25"/>
      <c r="N26" s="25"/>
      <c r="O26" s="25"/>
      <c r="P26" s="25"/>
      <c r="Q26" s="25"/>
      <c r="R26" s="25"/>
      <c r="S26" s="25"/>
      <c r="T26" s="26"/>
      <c r="U26" s="23">
        <f t="shared" si="0"/>
        <v>1</v>
      </c>
      <c r="V26" s="22" t="str">
        <f t="shared" si="1"/>
        <v>▲ 單一設備依賴</v>
      </c>
      <c r="W26" s="18" t="str">
        <f t="shared" si="2"/>
        <v>僅依賴1台設備，須確認故障/排修時之備援製程</v>
      </c>
      <c r="X26" s="22" t="s">
        <v>403</v>
      </c>
      <c r="Y26" s="22" t="s">
        <v>347</v>
      </c>
      <c r="Z26" s="27">
        <f>IF($D26="",0,IF(COUNTIF($D$5:$D26,$D26)=1,1,0))</f>
        <v>0</v>
      </c>
      <c r="AA26" s="27" t="str">
        <f>IF(Z26=1,SUM($Z$5:$Z26),"")</f>
        <v/>
      </c>
    </row>
    <row r="27" spans="1:27" s="27" customFormat="1">
      <c r="A27" s="22" t="s">
        <v>477</v>
      </c>
      <c r="B27" s="22" t="s">
        <v>254</v>
      </c>
      <c r="C27" s="22" t="s">
        <v>441</v>
      </c>
      <c r="D27" s="22" t="s">
        <v>401</v>
      </c>
      <c r="E27" s="22" t="s">
        <v>408</v>
      </c>
      <c r="F27" s="23">
        <v>0.1</v>
      </c>
      <c r="G27" s="23" t="s">
        <v>346</v>
      </c>
      <c r="H27" s="24">
        <v>100</v>
      </c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6" t="s">
        <v>74</v>
      </c>
      <c r="U27" s="23">
        <f t="shared" si="0"/>
        <v>0</v>
      </c>
      <c r="V27" s="22" t="str">
        <f t="shared" si="1"/>
        <v>○ 免調理</v>
      </c>
      <c r="W27" s="18" t="str">
        <f t="shared" si="2"/>
        <v>免調理半成品（外購/僅切配等），不列入設備風險評估</v>
      </c>
      <c r="X27" s="22" t="s">
        <v>403</v>
      </c>
      <c r="Y27" s="22" t="s">
        <v>347</v>
      </c>
      <c r="Z27" s="27">
        <f>IF($D27="",0,IF(COUNTIF($D$5:$D27,$D27)=1,1,0))</f>
        <v>0</v>
      </c>
      <c r="AA27" s="27" t="str">
        <f>IF(Z27=1,SUM($Z$5:$Z27),"")</f>
        <v/>
      </c>
    </row>
    <row r="28" spans="1:27">
      <c r="A28" s="22"/>
      <c r="B28" s="22"/>
      <c r="C28" s="22"/>
      <c r="D28" s="22"/>
      <c r="E28" s="22"/>
      <c r="F28" s="23"/>
      <c r="G28" s="23"/>
      <c r="H28" s="24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6"/>
      <c r="U28" s="23" t="str">
        <f t="shared" si="0"/>
        <v/>
      </c>
      <c r="V28" s="22" t="str">
        <f t="shared" si="1"/>
        <v/>
      </c>
      <c r="W28" s="18" t="str">
        <f t="shared" si="2"/>
        <v/>
      </c>
      <c r="X28" s="22"/>
      <c r="Y28" s="22"/>
      <c r="Z28" s="27">
        <f>IF($D28="",0,IF(COUNTIF($D$5:$D28,$D28)=1,1,0))</f>
        <v>0</v>
      </c>
      <c r="AA28" s="27" t="str">
        <f>IF(Z28=1,SUM($Z$5:$Z28),"")</f>
        <v/>
      </c>
    </row>
    <row r="29" spans="1:27">
      <c r="A29" s="22"/>
      <c r="B29" s="22"/>
      <c r="C29" s="22"/>
      <c r="D29" s="22"/>
      <c r="E29" s="22"/>
      <c r="F29" s="23"/>
      <c r="G29" s="23"/>
      <c r="H29" s="24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6"/>
      <c r="U29" s="23" t="str">
        <f t="shared" si="0"/>
        <v/>
      </c>
      <c r="V29" s="22" t="str">
        <f t="shared" si="1"/>
        <v/>
      </c>
      <c r="W29" s="18" t="str">
        <f t="shared" si="2"/>
        <v/>
      </c>
      <c r="X29" s="22"/>
      <c r="Y29" s="22"/>
      <c r="Z29" s="27">
        <f>IF($D29="",0,IF(COUNTIF($D$5:$D29,$D29)=1,1,0))</f>
        <v>0</v>
      </c>
      <c r="AA29" s="27" t="str">
        <f>IF(Z29=1,SUM($Z$5:$Z29),"")</f>
        <v/>
      </c>
    </row>
    <row r="30" spans="1:27">
      <c r="A30" s="22"/>
      <c r="B30" s="22"/>
      <c r="C30" s="22"/>
      <c r="D30" s="22"/>
      <c r="E30" s="22"/>
      <c r="F30" s="23"/>
      <c r="G30" s="23"/>
      <c r="H30" s="24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6"/>
      <c r="U30" s="23" t="str">
        <f t="shared" si="0"/>
        <v/>
      </c>
      <c r="V30" s="22" t="str">
        <f t="shared" si="1"/>
        <v/>
      </c>
      <c r="W30" s="18" t="str">
        <f t="shared" si="2"/>
        <v/>
      </c>
      <c r="X30" s="22"/>
      <c r="Y30" s="22"/>
      <c r="Z30" s="27">
        <f>IF($D30="",0,IF(COUNTIF($D$5:$D30,$D30)=1,1,0))</f>
        <v>0</v>
      </c>
      <c r="AA30" s="27" t="str">
        <f>IF(Z30=1,SUM($Z$5:$Z30),"")</f>
        <v/>
      </c>
    </row>
    <row r="31" spans="1:27">
      <c r="A31" s="22"/>
      <c r="B31" s="22"/>
      <c r="C31" s="22"/>
      <c r="D31" s="22"/>
      <c r="E31" s="22"/>
      <c r="F31" s="23"/>
      <c r="G31" s="23"/>
      <c r="H31" s="24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6"/>
      <c r="U31" s="23" t="str">
        <f t="shared" si="0"/>
        <v/>
      </c>
      <c r="V31" s="22" t="str">
        <f t="shared" si="1"/>
        <v/>
      </c>
      <c r="W31" s="18" t="str">
        <f t="shared" si="2"/>
        <v/>
      </c>
      <c r="X31" s="22"/>
      <c r="Y31" s="22"/>
      <c r="Z31" s="27">
        <f>IF($D31="",0,IF(COUNTIF($D$5:$D31,$D31)=1,1,0))</f>
        <v>0</v>
      </c>
      <c r="AA31" s="27" t="str">
        <f>IF(Z31=1,SUM($Z$5:$Z31),"")</f>
        <v/>
      </c>
    </row>
    <row r="32" spans="1:27">
      <c r="A32" s="22"/>
      <c r="B32" s="22"/>
      <c r="C32" s="22"/>
      <c r="D32" s="22"/>
      <c r="E32" s="22"/>
      <c r="F32" s="23"/>
      <c r="G32" s="23"/>
      <c r="H32" s="24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6"/>
      <c r="U32" s="23" t="str">
        <f t="shared" si="0"/>
        <v/>
      </c>
      <c r="V32" s="22" t="str">
        <f t="shared" si="1"/>
        <v/>
      </c>
      <c r="W32" s="18" t="str">
        <f t="shared" si="2"/>
        <v/>
      </c>
      <c r="X32" s="22"/>
      <c r="Y32" s="22"/>
      <c r="Z32" s="27">
        <f>IF($D32="",0,IF(COUNTIF($D$5:$D32,$D32)=1,1,0))</f>
        <v>0</v>
      </c>
      <c r="AA32" s="27" t="str">
        <f>IF(Z32=1,SUM($Z$5:$Z32),"")</f>
        <v/>
      </c>
    </row>
    <row r="33" spans="1:27">
      <c r="A33" s="22"/>
      <c r="B33" s="22"/>
      <c r="C33" s="22"/>
      <c r="D33" s="22"/>
      <c r="E33" s="22"/>
      <c r="F33" s="23"/>
      <c r="G33" s="23"/>
      <c r="H33" s="24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6"/>
      <c r="U33" s="23" t="str">
        <f t="shared" si="0"/>
        <v/>
      </c>
      <c r="V33" s="22" t="str">
        <f t="shared" si="1"/>
        <v/>
      </c>
      <c r="W33" s="18" t="str">
        <f t="shared" si="2"/>
        <v/>
      </c>
      <c r="X33" s="22"/>
      <c r="Y33" s="22"/>
      <c r="Z33" s="27">
        <f>IF($D33="",0,IF(COUNTIF($D$5:$D33,$D33)=1,1,0))</f>
        <v>0</v>
      </c>
      <c r="AA33" s="27" t="str">
        <f>IF(Z33=1,SUM($Z$5:$Z33),"")</f>
        <v/>
      </c>
    </row>
    <row r="34" spans="1:27">
      <c r="A34" s="22"/>
      <c r="B34" s="22"/>
      <c r="C34" s="22"/>
      <c r="D34" s="22"/>
      <c r="E34" s="22"/>
      <c r="F34" s="23"/>
      <c r="G34" s="23"/>
      <c r="H34" s="24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6"/>
      <c r="U34" s="23" t="str">
        <f t="shared" si="0"/>
        <v/>
      </c>
      <c r="V34" s="22" t="str">
        <f t="shared" si="1"/>
        <v/>
      </c>
      <c r="W34" s="18" t="str">
        <f t="shared" si="2"/>
        <v/>
      </c>
      <c r="X34" s="22"/>
      <c r="Y34" s="22"/>
      <c r="Z34" s="27">
        <f>IF($D34="",0,IF(COUNTIF($D$5:$D34,$D34)=1,1,0))</f>
        <v>0</v>
      </c>
      <c r="AA34" s="27" t="str">
        <f>IF(Z34=1,SUM($Z$5:$Z34),"")</f>
        <v/>
      </c>
    </row>
    <row r="35" spans="1:27">
      <c r="A35" s="22"/>
      <c r="B35" s="22"/>
      <c r="C35" s="22"/>
      <c r="D35" s="22"/>
      <c r="E35" s="22"/>
      <c r="F35" s="23"/>
      <c r="G35" s="23"/>
      <c r="H35" s="24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6"/>
      <c r="U35" s="23" t="str">
        <f t="shared" si="0"/>
        <v/>
      </c>
      <c r="V35" s="22" t="str">
        <f t="shared" si="1"/>
        <v/>
      </c>
      <c r="W35" s="18" t="str">
        <f t="shared" si="2"/>
        <v/>
      </c>
      <c r="X35" s="22"/>
      <c r="Y35" s="22"/>
      <c r="Z35" s="27">
        <f>IF($D35="",0,IF(COUNTIF($D$5:$D35,$D35)=1,1,0))</f>
        <v>0</v>
      </c>
      <c r="AA35" s="27" t="str">
        <f>IF(Z35=1,SUM($Z$5:$Z35),"")</f>
        <v/>
      </c>
    </row>
    <row r="36" spans="1:27">
      <c r="A36" s="22"/>
      <c r="B36" s="22"/>
      <c r="C36" s="22"/>
      <c r="D36" s="22"/>
      <c r="E36" s="22"/>
      <c r="F36" s="23"/>
      <c r="G36" s="23"/>
      <c r="H36" s="24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6"/>
      <c r="U36" s="23" t="str">
        <f t="shared" si="0"/>
        <v/>
      </c>
      <c r="V36" s="22" t="str">
        <f t="shared" si="1"/>
        <v/>
      </c>
      <c r="W36" s="18" t="str">
        <f t="shared" si="2"/>
        <v/>
      </c>
      <c r="X36" s="22"/>
      <c r="Y36" s="22"/>
      <c r="Z36" s="27">
        <f>IF($D36="",0,IF(COUNTIF($D$5:$D36,$D36)=1,1,0))</f>
        <v>0</v>
      </c>
      <c r="AA36" s="27" t="str">
        <f>IF(Z36=1,SUM($Z$5:$Z36),"")</f>
        <v/>
      </c>
    </row>
    <row r="37" spans="1:27">
      <c r="A37" s="22"/>
      <c r="B37" s="22"/>
      <c r="C37" s="22"/>
      <c r="D37" s="22"/>
      <c r="E37" s="22"/>
      <c r="F37" s="23"/>
      <c r="G37" s="23"/>
      <c r="H37" s="24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6"/>
      <c r="U37" s="23" t="str">
        <f t="shared" si="0"/>
        <v/>
      </c>
      <c r="V37" s="22" t="str">
        <f t="shared" si="1"/>
        <v/>
      </c>
      <c r="W37" s="18" t="str">
        <f t="shared" si="2"/>
        <v/>
      </c>
      <c r="X37" s="22"/>
      <c r="Y37" s="22"/>
      <c r="Z37" s="27">
        <f>IF($D37="",0,IF(COUNTIF($D$5:$D37,$D37)=1,1,0))</f>
        <v>0</v>
      </c>
      <c r="AA37" s="27" t="str">
        <f>IF(Z37=1,SUM($Z$5:$Z37),"")</f>
        <v/>
      </c>
    </row>
    <row r="38" spans="1:27">
      <c r="A38" s="22"/>
      <c r="B38" s="22"/>
      <c r="C38" s="22"/>
      <c r="D38" s="22"/>
      <c r="E38" s="22"/>
      <c r="F38" s="23"/>
      <c r="G38" s="23"/>
      <c r="H38" s="24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6"/>
      <c r="U38" s="23" t="str">
        <f t="shared" si="0"/>
        <v/>
      </c>
      <c r="V38" s="22" t="str">
        <f t="shared" si="1"/>
        <v/>
      </c>
      <c r="W38" s="18" t="str">
        <f t="shared" si="2"/>
        <v/>
      </c>
      <c r="X38" s="22"/>
      <c r="Y38" s="22"/>
      <c r="Z38" s="27">
        <f>IF($D38="",0,IF(COUNTIF($D$5:$D38,$D38)=1,1,0))</f>
        <v>0</v>
      </c>
      <c r="AA38" s="27" t="str">
        <f>IF(Z38=1,SUM($Z$5:$Z38),"")</f>
        <v/>
      </c>
    </row>
    <row r="39" spans="1:27">
      <c r="A39" s="22"/>
      <c r="B39" s="22"/>
      <c r="C39" s="22"/>
      <c r="D39" s="22"/>
      <c r="E39" s="22"/>
      <c r="F39" s="23"/>
      <c r="G39" s="23"/>
      <c r="H39" s="24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6"/>
      <c r="U39" s="23" t="str">
        <f t="shared" si="0"/>
        <v/>
      </c>
      <c r="V39" s="22" t="str">
        <f t="shared" si="1"/>
        <v/>
      </c>
      <c r="W39" s="18" t="str">
        <f t="shared" si="2"/>
        <v/>
      </c>
      <c r="X39" s="22"/>
      <c r="Y39" s="22"/>
      <c r="Z39" s="27">
        <f>IF($D39="",0,IF(COUNTIF($D$5:$D39,$D39)=1,1,0))</f>
        <v>0</v>
      </c>
      <c r="AA39" s="27" t="str">
        <f>IF(Z39=1,SUM($Z$5:$Z39),"")</f>
        <v/>
      </c>
    </row>
    <row r="40" spans="1:27">
      <c r="A40" s="22"/>
      <c r="B40" s="22"/>
      <c r="C40" s="22"/>
      <c r="D40" s="22"/>
      <c r="E40" s="22"/>
      <c r="F40" s="23"/>
      <c r="G40" s="23"/>
      <c r="H40" s="24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6"/>
      <c r="U40" s="23" t="str">
        <f t="shared" si="0"/>
        <v/>
      </c>
      <c r="V40" s="22" t="str">
        <f t="shared" si="1"/>
        <v/>
      </c>
      <c r="W40" s="18" t="str">
        <f t="shared" si="2"/>
        <v/>
      </c>
      <c r="X40" s="22"/>
      <c r="Y40" s="22"/>
      <c r="Z40" s="27">
        <f>IF($D40="",0,IF(COUNTIF($D$5:$D40,$D40)=1,1,0))</f>
        <v>0</v>
      </c>
      <c r="AA40" s="27" t="str">
        <f>IF(Z40=1,SUM($Z$5:$Z40),"")</f>
        <v/>
      </c>
    </row>
    <row r="41" spans="1:27">
      <c r="A41" s="22"/>
      <c r="B41" s="22"/>
      <c r="C41" s="22"/>
      <c r="D41" s="22"/>
      <c r="E41" s="22"/>
      <c r="F41" s="23"/>
      <c r="G41" s="23"/>
      <c r="H41" s="24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6"/>
      <c r="U41" s="23" t="str">
        <f t="shared" si="0"/>
        <v/>
      </c>
      <c r="V41" s="22" t="str">
        <f t="shared" si="1"/>
        <v/>
      </c>
      <c r="W41" s="18" t="str">
        <f t="shared" si="2"/>
        <v/>
      </c>
      <c r="X41" s="22"/>
      <c r="Y41" s="22"/>
      <c r="Z41" s="27">
        <f>IF($D41="",0,IF(COUNTIF($D$5:$D41,$D41)=1,1,0))</f>
        <v>0</v>
      </c>
      <c r="AA41" s="27" t="str">
        <f>IF(Z41=1,SUM($Z$5:$Z41),"")</f>
        <v/>
      </c>
    </row>
    <row r="42" spans="1:27">
      <c r="A42" s="22"/>
      <c r="B42" s="22"/>
      <c r="C42" s="22"/>
      <c r="D42" s="22"/>
      <c r="E42" s="22"/>
      <c r="F42" s="23"/>
      <c r="G42" s="23"/>
      <c r="H42" s="24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6"/>
      <c r="U42" s="23" t="str">
        <f t="shared" si="0"/>
        <v/>
      </c>
      <c r="V42" s="22" t="str">
        <f t="shared" si="1"/>
        <v/>
      </c>
      <c r="W42" s="18" t="str">
        <f t="shared" si="2"/>
        <v/>
      </c>
      <c r="X42" s="22"/>
      <c r="Y42" s="22"/>
      <c r="Z42" s="27">
        <f>IF($D42="",0,IF(COUNTIF($D$5:$D42,$D42)=1,1,0))</f>
        <v>0</v>
      </c>
      <c r="AA42" s="27" t="str">
        <f>IF(Z42=1,SUM($Z$5:$Z42),"")</f>
        <v/>
      </c>
    </row>
    <row r="43" spans="1:27">
      <c r="A43" s="22"/>
      <c r="B43" s="22"/>
      <c r="C43" s="22"/>
      <c r="D43" s="22"/>
      <c r="E43" s="22"/>
      <c r="F43" s="23"/>
      <c r="G43" s="23"/>
      <c r="H43" s="24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6"/>
      <c r="U43" s="23" t="str">
        <f t="shared" si="0"/>
        <v/>
      </c>
      <c r="V43" s="22" t="str">
        <f t="shared" si="1"/>
        <v/>
      </c>
      <c r="W43" s="18" t="str">
        <f t="shared" si="2"/>
        <v/>
      </c>
      <c r="X43" s="22"/>
      <c r="Y43" s="22"/>
      <c r="Z43" s="27">
        <f>IF($D43="",0,IF(COUNTIF($D$5:$D43,$D43)=1,1,0))</f>
        <v>0</v>
      </c>
      <c r="AA43" s="27" t="str">
        <f>IF(Z43=1,SUM($Z$5:$Z43),"")</f>
        <v/>
      </c>
    </row>
    <row r="44" spans="1:27">
      <c r="A44" s="22"/>
      <c r="B44" s="22"/>
      <c r="C44" s="22"/>
      <c r="D44" s="22"/>
      <c r="E44" s="22"/>
      <c r="F44" s="23"/>
      <c r="G44" s="23"/>
      <c r="H44" s="24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6"/>
      <c r="U44" s="23" t="str">
        <f t="shared" si="0"/>
        <v/>
      </c>
      <c r="V44" s="22" t="str">
        <f t="shared" si="1"/>
        <v/>
      </c>
      <c r="W44" s="18" t="str">
        <f t="shared" si="2"/>
        <v/>
      </c>
      <c r="X44" s="22"/>
      <c r="Y44" s="22"/>
      <c r="Z44" s="27">
        <f>IF($D44="",0,IF(COUNTIF($D$5:$D44,$D44)=1,1,0))</f>
        <v>0</v>
      </c>
      <c r="AA44" s="27" t="str">
        <f>IF(Z44=1,SUM($Z$5:$Z44),"")</f>
        <v/>
      </c>
    </row>
    <row r="45" spans="1:27">
      <c r="A45" s="22"/>
      <c r="B45" s="22"/>
      <c r="C45" s="22"/>
      <c r="D45" s="22"/>
      <c r="E45" s="22"/>
      <c r="F45" s="23"/>
      <c r="G45" s="23"/>
      <c r="H45" s="24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6"/>
      <c r="U45" s="23" t="str">
        <f t="shared" si="0"/>
        <v/>
      </c>
      <c r="V45" s="22" t="str">
        <f t="shared" si="1"/>
        <v/>
      </c>
      <c r="W45" s="18" t="str">
        <f t="shared" si="2"/>
        <v/>
      </c>
      <c r="X45" s="22"/>
      <c r="Y45" s="22"/>
      <c r="Z45" s="27">
        <f>IF($D45="",0,IF(COUNTIF($D$5:$D45,$D45)=1,1,0))</f>
        <v>0</v>
      </c>
      <c r="AA45" s="27" t="str">
        <f>IF(Z45=1,SUM($Z$5:$Z45),"")</f>
        <v/>
      </c>
    </row>
    <row r="46" spans="1:27">
      <c r="A46" s="22"/>
      <c r="B46" s="22"/>
      <c r="C46" s="22"/>
      <c r="D46" s="22"/>
      <c r="E46" s="22"/>
      <c r="F46" s="23"/>
      <c r="G46" s="23"/>
      <c r="H46" s="24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6"/>
      <c r="U46" s="23" t="str">
        <f t="shared" si="0"/>
        <v/>
      </c>
      <c r="V46" s="22" t="str">
        <f t="shared" si="1"/>
        <v/>
      </c>
      <c r="W46" s="18" t="str">
        <f t="shared" si="2"/>
        <v/>
      </c>
      <c r="X46" s="22"/>
      <c r="Y46" s="22"/>
      <c r="Z46" s="27">
        <f>IF($D46="",0,IF(COUNTIF($D$5:$D46,$D46)=1,1,0))</f>
        <v>0</v>
      </c>
      <c r="AA46" t="str">
        <f>IF(Z46=1,SUM($Z$5:$Z46),"")</f>
        <v/>
      </c>
    </row>
    <row r="47" spans="1:27">
      <c r="A47" s="22"/>
      <c r="B47" s="22"/>
      <c r="C47" s="22"/>
      <c r="D47" s="22"/>
      <c r="E47" s="22"/>
      <c r="F47" s="23"/>
      <c r="G47" s="23"/>
      <c r="H47" s="24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6"/>
      <c r="U47" s="23" t="str">
        <f t="shared" si="0"/>
        <v/>
      </c>
      <c r="V47" s="22" t="str">
        <f t="shared" si="1"/>
        <v/>
      </c>
      <c r="W47" s="18" t="str">
        <f t="shared" si="2"/>
        <v/>
      </c>
      <c r="X47" s="22"/>
      <c r="Y47" s="22"/>
      <c r="Z47" s="27">
        <f>IF($D47="",0,IF(COUNTIF($D$5:$D47,$D47)=1,1,0))</f>
        <v>0</v>
      </c>
      <c r="AA47" t="str">
        <f>IF(Z47=1,SUM($Z$5:$Z47),"")</f>
        <v/>
      </c>
    </row>
    <row r="48" spans="1:27">
      <c r="A48" s="22"/>
      <c r="B48" s="22"/>
      <c r="C48" s="22"/>
      <c r="D48" s="22"/>
      <c r="E48" s="22"/>
      <c r="F48" s="23"/>
      <c r="G48" s="23"/>
      <c r="H48" s="24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6"/>
      <c r="U48" s="23" t="str">
        <f t="shared" si="0"/>
        <v/>
      </c>
      <c r="V48" s="22" t="str">
        <f t="shared" si="1"/>
        <v/>
      </c>
      <c r="W48" s="18" t="str">
        <f t="shared" si="2"/>
        <v/>
      </c>
      <c r="X48" s="22"/>
      <c r="Y48" s="22"/>
      <c r="Z48" s="27">
        <f>IF($D48="",0,IF(COUNTIF($D$5:$D48,$D48)=1,1,0))</f>
        <v>0</v>
      </c>
      <c r="AA48" t="str">
        <f>IF(Z48=1,SUM($Z$5:$Z48),"")</f>
        <v/>
      </c>
    </row>
    <row r="49" spans="1:27">
      <c r="A49" s="22"/>
      <c r="B49" s="22"/>
      <c r="C49" s="22"/>
      <c r="D49" s="22"/>
      <c r="E49" s="22"/>
      <c r="F49" s="23"/>
      <c r="G49" s="23"/>
      <c r="H49" s="24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6"/>
      <c r="U49" s="23" t="str">
        <f t="shared" si="0"/>
        <v/>
      </c>
      <c r="V49" s="22" t="str">
        <f t="shared" si="1"/>
        <v/>
      </c>
      <c r="W49" s="18" t="str">
        <f t="shared" si="2"/>
        <v/>
      </c>
      <c r="X49" s="22"/>
      <c r="Y49" s="22"/>
      <c r="Z49" s="27">
        <f>IF($D49="",0,IF(COUNTIF($D$5:$D49,$D49)=1,1,0))</f>
        <v>0</v>
      </c>
      <c r="AA49" t="str">
        <f>IF(Z49=1,SUM($Z$5:$Z49),"")</f>
        <v/>
      </c>
    </row>
    <row r="50" spans="1:27">
      <c r="A50" s="22"/>
      <c r="B50" s="22"/>
      <c r="C50" s="22"/>
      <c r="D50" s="22"/>
      <c r="E50" s="22"/>
      <c r="F50" s="23"/>
      <c r="G50" s="23"/>
      <c r="H50" s="24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6"/>
      <c r="U50" s="23" t="str">
        <f t="shared" si="0"/>
        <v/>
      </c>
      <c r="V50" s="22" t="str">
        <f t="shared" si="1"/>
        <v/>
      </c>
      <c r="W50" s="18" t="str">
        <f t="shared" si="2"/>
        <v/>
      </c>
      <c r="X50" s="22"/>
      <c r="Y50" s="22"/>
      <c r="Z50" s="27">
        <f>IF($D50="",0,IF(COUNTIF($D$5:$D50,$D50)=1,1,0))</f>
        <v>0</v>
      </c>
      <c r="AA50" t="str">
        <f>IF(Z50=1,SUM($Z$5:$Z50),"")</f>
        <v/>
      </c>
    </row>
    <row r="51" spans="1:27">
      <c r="A51" s="22"/>
      <c r="B51" s="22"/>
      <c r="C51" s="22"/>
      <c r="D51" s="22"/>
      <c r="E51" s="22"/>
      <c r="F51" s="23"/>
      <c r="G51" s="23"/>
      <c r="H51" s="24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6"/>
      <c r="U51" s="23" t="str">
        <f t="shared" si="0"/>
        <v/>
      </c>
      <c r="V51" s="22" t="str">
        <f t="shared" si="1"/>
        <v/>
      </c>
      <c r="W51" s="18" t="str">
        <f t="shared" si="2"/>
        <v/>
      </c>
      <c r="X51" s="22"/>
      <c r="Y51" s="22"/>
      <c r="Z51" s="27">
        <f>IF($D51="",0,IF(COUNTIF($D$5:$D51,$D51)=1,1,0))</f>
        <v>0</v>
      </c>
      <c r="AA51" t="str">
        <f>IF(Z51=1,SUM($Z$5:$Z51),"")</f>
        <v/>
      </c>
    </row>
    <row r="52" spans="1:27">
      <c r="A52" s="22"/>
      <c r="B52" s="22"/>
      <c r="C52" s="22"/>
      <c r="D52" s="22"/>
      <c r="E52" s="22"/>
      <c r="F52" s="23"/>
      <c r="G52" s="23"/>
      <c r="H52" s="24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6"/>
      <c r="U52" s="23" t="str">
        <f t="shared" si="0"/>
        <v/>
      </c>
      <c r="V52" s="22" t="str">
        <f t="shared" si="1"/>
        <v/>
      </c>
      <c r="W52" s="18" t="str">
        <f t="shared" si="2"/>
        <v/>
      </c>
      <c r="X52" s="22"/>
      <c r="Y52" s="22"/>
      <c r="Z52" s="27">
        <f>IF($D52="",0,IF(COUNTIF($D$5:$D52,$D52)=1,1,0))</f>
        <v>0</v>
      </c>
      <c r="AA52" t="str">
        <f>IF(Z52=1,SUM($Z$5:$Z52),"")</f>
        <v/>
      </c>
    </row>
    <row r="53" spans="1:27">
      <c r="A53" s="22"/>
      <c r="B53" s="22"/>
      <c r="C53" s="22"/>
      <c r="D53" s="22"/>
      <c r="E53" s="22"/>
      <c r="F53" s="23"/>
      <c r="G53" s="23"/>
      <c r="H53" s="24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6"/>
      <c r="U53" s="23" t="str">
        <f t="shared" si="0"/>
        <v/>
      </c>
      <c r="V53" s="22" t="str">
        <f t="shared" si="1"/>
        <v/>
      </c>
      <c r="W53" s="18" t="str">
        <f t="shared" si="2"/>
        <v/>
      </c>
      <c r="X53" s="22"/>
      <c r="Y53" s="22"/>
      <c r="Z53" s="27">
        <f>IF($D53="",0,IF(COUNTIF($D$5:$D53,$D53)=1,1,0))</f>
        <v>0</v>
      </c>
      <c r="AA53" t="str">
        <f>IF(Z53=1,SUM($Z$5:$Z53),"")</f>
        <v/>
      </c>
    </row>
    <row r="54" spans="1:27">
      <c r="A54" s="22"/>
      <c r="B54" s="22"/>
      <c r="C54" s="22"/>
      <c r="D54" s="22"/>
      <c r="E54" s="22"/>
      <c r="F54" s="23"/>
      <c r="G54" s="23"/>
      <c r="H54" s="24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6"/>
      <c r="U54" s="23" t="str">
        <f t="shared" si="0"/>
        <v/>
      </c>
      <c r="V54" s="22" t="str">
        <f t="shared" si="1"/>
        <v/>
      </c>
      <c r="W54" s="18" t="str">
        <f t="shared" si="2"/>
        <v/>
      </c>
      <c r="X54" s="22"/>
      <c r="Y54" s="22"/>
      <c r="Z54" s="27">
        <f>IF($D54="",0,IF(COUNTIF($D$5:$D54,$D54)=1,1,0))</f>
        <v>0</v>
      </c>
      <c r="AA54" t="str">
        <f>IF(Z54=1,SUM($Z$5:$Z54),"")</f>
        <v/>
      </c>
    </row>
    <row r="55" spans="1:27">
      <c r="A55" s="22"/>
      <c r="B55" s="22"/>
      <c r="C55" s="22"/>
      <c r="D55" s="22"/>
      <c r="E55" s="22"/>
      <c r="F55" s="23"/>
      <c r="G55" s="23"/>
      <c r="H55" s="24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6"/>
      <c r="U55" s="23" t="str">
        <f t="shared" si="0"/>
        <v/>
      </c>
      <c r="V55" s="22" t="str">
        <f t="shared" si="1"/>
        <v/>
      </c>
      <c r="W55" s="18" t="str">
        <f t="shared" si="2"/>
        <v/>
      </c>
      <c r="X55" s="22"/>
      <c r="Y55" s="22"/>
      <c r="Z55" s="27">
        <f>IF($D55="",0,IF(COUNTIF($D$5:$D55,$D55)=1,1,0))</f>
        <v>0</v>
      </c>
      <c r="AA55" t="str">
        <f>IF(Z55=1,SUM($Z$5:$Z55),"")</f>
        <v/>
      </c>
    </row>
    <row r="56" spans="1:27">
      <c r="A56" s="22"/>
      <c r="B56" s="22"/>
      <c r="C56" s="22"/>
      <c r="D56" s="22"/>
      <c r="E56" s="22"/>
      <c r="F56" s="23"/>
      <c r="G56" s="23"/>
      <c r="H56" s="24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6"/>
      <c r="U56" s="23" t="str">
        <f t="shared" si="0"/>
        <v/>
      </c>
      <c r="V56" s="22" t="str">
        <f t="shared" si="1"/>
        <v/>
      </c>
      <c r="W56" s="18" t="str">
        <f t="shared" si="2"/>
        <v/>
      </c>
      <c r="X56" s="22"/>
      <c r="Y56" s="22"/>
      <c r="Z56" s="27">
        <f>IF($D56="",0,IF(COUNTIF($D$5:$D56,$D56)=1,1,0))</f>
        <v>0</v>
      </c>
      <c r="AA56" t="str">
        <f>IF(Z56=1,SUM($Z$5:$Z56),"")</f>
        <v/>
      </c>
    </row>
    <row r="57" spans="1:27">
      <c r="A57" s="22"/>
      <c r="B57" s="22"/>
      <c r="C57" s="22"/>
      <c r="D57" s="22"/>
      <c r="E57" s="22"/>
      <c r="F57" s="23"/>
      <c r="G57" s="23"/>
      <c r="H57" s="24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6"/>
      <c r="U57" s="23" t="str">
        <f t="shared" si="0"/>
        <v/>
      </c>
      <c r="V57" s="22" t="str">
        <f t="shared" si="1"/>
        <v/>
      </c>
      <c r="W57" s="18" t="str">
        <f t="shared" si="2"/>
        <v/>
      </c>
      <c r="X57" s="22"/>
      <c r="Y57" s="22"/>
      <c r="Z57" s="27">
        <f>IF($D57="",0,IF(COUNTIF($D$5:$D57,$D57)=1,1,0))</f>
        <v>0</v>
      </c>
      <c r="AA57" t="str">
        <f>IF(Z57=1,SUM($Z$5:$Z57),"")</f>
        <v/>
      </c>
    </row>
    <row r="58" spans="1:27">
      <c r="A58" s="22"/>
      <c r="B58" s="22"/>
      <c r="C58" s="22"/>
      <c r="D58" s="22"/>
      <c r="E58" s="22"/>
      <c r="F58" s="23"/>
      <c r="G58" s="23"/>
      <c r="H58" s="24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6"/>
      <c r="U58" s="23" t="str">
        <f t="shared" si="0"/>
        <v/>
      </c>
      <c r="V58" s="22" t="str">
        <f t="shared" si="1"/>
        <v/>
      </c>
      <c r="W58" s="18" t="str">
        <f t="shared" si="2"/>
        <v/>
      </c>
      <c r="X58" s="22"/>
      <c r="Y58" s="22"/>
      <c r="Z58" s="27">
        <f>IF($D58="",0,IF(COUNTIF($D$5:$D58,$D58)=1,1,0))</f>
        <v>0</v>
      </c>
      <c r="AA58" t="str">
        <f>IF(Z58=1,SUM($Z$5:$Z58),"")</f>
        <v/>
      </c>
    </row>
    <row r="59" spans="1:27">
      <c r="A59" s="22"/>
      <c r="B59" s="22"/>
      <c r="C59" s="22"/>
      <c r="D59" s="22"/>
      <c r="E59" s="22"/>
      <c r="F59" s="23"/>
      <c r="G59" s="23"/>
      <c r="H59" s="24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6"/>
      <c r="U59" s="23" t="str">
        <f t="shared" si="0"/>
        <v/>
      </c>
      <c r="V59" s="22" t="str">
        <f t="shared" si="1"/>
        <v/>
      </c>
      <c r="W59" s="18" t="str">
        <f t="shared" si="2"/>
        <v/>
      </c>
      <c r="X59" s="22"/>
      <c r="Y59" s="22"/>
      <c r="Z59" s="27">
        <f>IF($D59="",0,IF(COUNTIF($D$5:$D59,$D59)=1,1,0))</f>
        <v>0</v>
      </c>
      <c r="AA59" t="str">
        <f>IF(Z59=1,SUM($Z$5:$Z59),"")</f>
        <v/>
      </c>
    </row>
    <row r="60" spans="1:27">
      <c r="A60" s="22"/>
      <c r="B60" s="22"/>
      <c r="C60" s="22"/>
      <c r="D60" s="22"/>
      <c r="E60" s="22"/>
      <c r="F60" s="23"/>
      <c r="G60" s="23"/>
      <c r="H60" s="24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6"/>
      <c r="U60" s="23" t="str">
        <f t="shared" si="0"/>
        <v/>
      </c>
      <c r="V60" s="22" t="str">
        <f t="shared" si="1"/>
        <v/>
      </c>
      <c r="W60" s="18" t="str">
        <f t="shared" si="2"/>
        <v/>
      </c>
      <c r="X60" s="22"/>
      <c r="Y60" s="22"/>
      <c r="Z60" s="27">
        <f>IF($D60="",0,IF(COUNTIF($D$5:$D60,$D60)=1,1,0))</f>
        <v>0</v>
      </c>
      <c r="AA60" t="str">
        <f>IF(Z60=1,SUM($Z$5:$Z60),"")</f>
        <v/>
      </c>
    </row>
    <row r="61" spans="1:27">
      <c r="A61" s="22"/>
      <c r="B61" s="22"/>
      <c r="C61" s="22"/>
      <c r="D61" s="22"/>
      <c r="E61" s="22"/>
      <c r="F61" s="23"/>
      <c r="G61" s="23"/>
      <c r="H61" s="24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6"/>
      <c r="U61" s="23" t="str">
        <f t="shared" si="0"/>
        <v/>
      </c>
      <c r="V61" s="22" t="str">
        <f t="shared" si="1"/>
        <v/>
      </c>
      <c r="W61" s="18" t="str">
        <f t="shared" si="2"/>
        <v/>
      </c>
      <c r="X61" s="22"/>
      <c r="Y61" s="22"/>
      <c r="Z61" s="27">
        <f>IF($D61="",0,IF(COUNTIF($D$5:$D61,$D61)=1,1,0))</f>
        <v>0</v>
      </c>
      <c r="AA61" t="str">
        <f>IF(Z61=1,SUM($Z$5:$Z61),"")</f>
        <v/>
      </c>
    </row>
    <row r="62" spans="1:27">
      <c r="A62" s="22"/>
      <c r="B62" s="22"/>
      <c r="C62" s="22"/>
      <c r="D62" s="22"/>
      <c r="E62" s="22"/>
      <c r="F62" s="23"/>
      <c r="G62" s="23"/>
      <c r="H62" s="24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6"/>
      <c r="U62" s="23" t="str">
        <f t="shared" si="0"/>
        <v/>
      </c>
      <c r="V62" s="22" t="str">
        <f t="shared" si="1"/>
        <v/>
      </c>
      <c r="W62" s="18" t="str">
        <f t="shared" si="2"/>
        <v/>
      </c>
      <c r="X62" s="22"/>
      <c r="Y62" s="22"/>
      <c r="Z62" s="27">
        <f>IF($D62="",0,IF(COUNTIF($D$5:$D62,$D62)=1,1,0))</f>
        <v>0</v>
      </c>
      <c r="AA62" t="str">
        <f>IF(Z62=1,SUM($Z$5:$Z62),"")</f>
        <v/>
      </c>
    </row>
    <row r="63" spans="1:27">
      <c r="A63" s="22"/>
      <c r="B63" s="22"/>
      <c r="C63" s="22"/>
      <c r="D63" s="22"/>
      <c r="E63" s="22"/>
      <c r="F63" s="23"/>
      <c r="G63" s="23"/>
      <c r="H63" s="24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6"/>
      <c r="U63" s="23" t="str">
        <f t="shared" si="0"/>
        <v/>
      </c>
      <c r="V63" s="22" t="str">
        <f t="shared" si="1"/>
        <v/>
      </c>
      <c r="W63" s="18" t="str">
        <f t="shared" si="2"/>
        <v/>
      </c>
      <c r="X63" s="22"/>
      <c r="Y63" s="22"/>
      <c r="Z63" s="27">
        <f>IF($D63="",0,IF(COUNTIF($D$5:$D63,$D63)=1,1,0))</f>
        <v>0</v>
      </c>
      <c r="AA63" t="str">
        <f>IF(Z63=1,SUM($Z$5:$Z63),"")</f>
        <v/>
      </c>
    </row>
    <row r="64" spans="1:27">
      <c r="A64" s="22"/>
      <c r="B64" s="22"/>
      <c r="C64" s="22"/>
      <c r="D64" s="22"/>
      <c r="E64" s="22"/>
      <c r="F64" s="23"/>
      <c r="G64" s="23"/>
      <c r="H64" s="24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6"/>
      <c r="U64" s="23" t="str">
        <f t="shared" si="0"/>
        <v/>
      </c>
      <c r="V64" s="22" t="str">
        <f t="shared" si="1"/>
        <v/>
      </c>
      <c r="W64" s="18" t="str">
        <f t="shared" si="2"/>
        <v/>
      </c>
      <c r="X64" s="22"/>
      <c r="Y64" s="22"/>
      <c r="Z64" s="27">
        <f>IF($D64="",0,IF(COUNTIF($D$5:$D64,$D64)=1,1,0))</f>
        <v>0</v>
      </c>
      <c r="AA64" t="str">
        <f>IF(Z64=1,SUM($Z$5:$Z64),"")</f>
        <v/>
      </c>
    </row>
    <row r="65" spans="1:27">
      <c r="A65" s="22"/>
      <c r="B65" s="22"/>
      <c r="C65" s="22"/>
      <c r="D65" s="22"/>
      <c r="E65" s="22"/>
      <c r="F65" s="23"/>
      <c r="G65" s="23"/>
      <c r="H65" s="24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6"/>
      <c r="U65" s="23" t="str">
        <f t="shared" si="0"/>
        <v/>
      </c>
      <c r="V65" s="22" t="str">
        <f t="shared" si="1"/>
        <v/>
      </c>
      <c r="W65" s="18" t="str">
        <f t="shared" si="2"/>
        <v/>
      </c>
      <c r="X65" s="22"/>
      <c r="Y65" s="22"/>
      <c r="Z65" s="27">
        <f>IF($D65="",0,IF(COUNTIF($D$5:$D65,$D65)=1,1,0))</f>
        <v>0</v>
      </c>
      <c r="AA65" t="str">
        <f>IF(Z65=1,SUM($Z$5:$Z65),"")</f>
        <v/>
      </c>
    </row>
    <row r="66" spans="1:27">
      <c r="A66" s="22"/>
      <c r="B66" s="22"/>
      <c r="C66" s="22"/>
      <c r="D66" s="22"/>
      <c r="E66" s="22"/>
      <c r="F66" s="23"/>
      <c r="G66" s="23"/>
      <c r="H66" s="24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6"/>
      <c r="U66" s="23" t="str">
        <f t="shared" si="0"/>
        <v/>
      </c>
      <c r="V66" s="22" t="str">
        <f t="shared" si="1"/>
        <v/>
      </c>
      <c r="W66" s="18" t="str">
        <f t="shared" si="2"/>
        <v/>
      </c>
      <c r="X66" s="22"/>
      <c r="Y66" s="22"/>
      <c r="Z66" s="27">
        <f>IF($D66="",0,IF(COUNTIF($D$5:$D66,$D66)=1,1,0))</f>
        <v>0</v>
      </c>
      <c r="AA66" t="str">
        <f>IF(Z66=1,SUM($Z$5:$Z66),"")</f>
        <v/>
      </c>
    </row>
    <row r="67" spans="1:27">
      <c r="A67" s="22"/>
      <c r="B67" s="22"/>
      <c r="C67" s="22"/>
      <c r="D67" s="22"/>
      <c r="E67" s="22"/>
      <c r="F67" s="23"/>
      <c r="G67" s="23"/>
      <c r="H67" s="24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6"/>
      <c r="U67" s="23" t="str">
        <f t="shared" si="0"/>
        <v/>
      </c>
      <c r="V67" s="22" t="str">
        <f t="shared" si="1"/>
        <v/>
      </c>
      <c r="W67" s="18" t="str">
        <f t="shared" si="2"/>
        <v/>
      </c>
      <c r="X67" s="22"/>
      <c r="Y67" s="22"/>
      <c r="Z67" s="27">
        <f>IF($D67="",0,IF(COUNTIF($D$5:$D67,$D67)=1,1,0))</f>
        <v>0</v>
      </c>
      <c r="AA67" t="str">
        <f>IF(Z67=1,SUM($Z$5:$Z67),"")</f>
        <v/>
      </c>
    </row>
    <row r="68" spans="1:27">
      <c r="A68" s="22"/>
      <c r="B68" s="22"/>
      <c r="C68" s="22"/>
      <c r="D68" s="22"/>
      <c r="E68" s="22"/>
      <c r="F68" s="23"/>
      <c r="G68" s="23"/>
      <c r="H68" s="24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6"/>
      <c r="U68" s="23" t="str">
        <f t="shared" si="0"/>
        <v/>
      </c>
      <c r="V68" s="22" t="str">
        <f t="shared" si="1"/>
        <v/>
      </c>
      <c r="W68" s="18" t="str">
        <f t="shared" si="2"/>
        <v/>
      </c>
      <c r="X68" s="22"/>
      <c r="Y68" s="22"/>
      <c r="Z68" s="27">
        <f>IF($D68="",0,IF(COUNTIF($D$5:$D68,$D68)=1,1,0))</f>
        <v>0</v>
      </c>
      <c r="AA68" t="str">
        <f>IF(Z68=1,SUM($Z$5:$Z68),"")</f>
        <v/>
      </c>
    </row>
    <row r="69" spans="1:27">
      <c r="A69" s="22"/>
      <c r="B69" s="22"/>
      <c r="C69" s="22"/>
      <c r="D69" s="22"/>
      <c r="E69" s="22"/>
      <c r="F69" s="23"/>
      <c r="G69" s="23"/>
      <c r="H69" s="24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6"/>
      <c r="U69" s="23" t="str">
        <f t="shared" si="0"/>
        <v/>
      </c>
      <c r="V69" s="22" t="str">
        <f t="shared" si="1"/>
        <v/>
      </c>
      <c r="W69" s="18" t="str">
        <f t="shared" si="2"/>
        <v/>
      </c>
      <c r="X69" s="22"/>
      <c r="Y69" s="22"/>
      <c r="Z69" s="27">
        <f>IF($D69="",0,IF(COUNTIF($D$5:$D69,$D69)=1,1,0))</f>
        <v>0</v>
      </c>
      <c r="AA69" t="str">
        <f>IF(Z69=1,SUM($Z$5:$Z69),"")</f>
        <v/>
      </c>
    </row>
    <row r="70" spans="1:27">
      <c r="A70" s="22"/>
      <c r="B70" s="22"/>
      <c r="C70" s="22"/>
      <c r="D70" s="22"/>
      <c r="E70" s="22"/>
      <c r="F70" s="23"/>
      <c r="G70" s="23"/>
      <c r="H70" s="24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6"/>
      <c r="U70" s="23" t="str">
        <f t="shared" ref="U70:U133" si="3">IF($E70="","",COUNTIF($I70:$S70,"V"))</f>
        <v/>
      </c>
      <c r="V70" s="22" t="str">
        <f t="shared" ref="V70:V133" si="4">IF($E70="","",IF(AND($T70="V",$U70&gt;0),"⚠ 勾選矛盾",IF($T70="V","○ 免調理",IF($U70=0,"⚠ 資料缺漏",IF($U70=1,"▲ 單一設備依賴","OK")))))</f>
        <v/>
      </c>
      <c r="W70" s="18" t="str">
        <f t="shared" ref="W70:W133" si="5">IF($E70="","",IF(AND($T70="V",$U70&gt;0),"「無使用調理設備」不可與設備欄同時勾選，請擇一修正",IF($T70="V","免調理半成品（外購/僅切配等），不列入設備風險評估",IF($U70=0,"未勾選任何設備，請補填或勾選「無使用調理設備」",IF($U70=1,"僅依賴1台設備，須確認故障/排修時之備援製程","無異常")))))</f>
        <v/>
      </c>
      <c r="X70" s="22"/>
      <c r="Y70" s="22"/>
      <c r="Z70" s="27">
        <f>IF($D70="",0,IF(COUNTIF($D$5:$D70,$D70)=1,1,0))</f>
        <v>0</v>
      </c>
      <c r="AA70" t="str">
        <f>IF(Z70=1,SUM($Z$5:$Z70),"")</f>
        <v/>
      </c>
    </row>
    <row r="71" spans="1:27">
      <c r="A71" s="22"/>
      <c r="B71" s="22"/>
      <c r="C71" s="22"/>
      <c r="D71" s="22"/>
      <c r="E71" s="22"/>
      <c r="F71" s="23"/>
      <c r="G71" s="23"/>
      <c r="H71" s="24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6"/>
      <c r="U71" s="23" t="str">
        <f t="shared" si="3"/>
        <v/>
      </c>
      <c r="V71" s="22" t="str">
        <f t="shared" si="4"/>
        <v/>
      </c>
      <c r="W71" s="18" t="str">
        <f t="shared" si="5"/>
        <v/>
      </c>
      <c r="X71" s="22"/>
      <c r="Y71" s="22"/>
      <c r="Z71" s="27">
        <f>IF($D71="",0,IF(COUNTIF($D$5:$D71,$D71)=1,1,0))</f>
        <v>0</v>
      </c>
      <c r="AA71" t="str">
        <f>IF(Z71=1,SUM($Z$5:$Z71),"")</f>
        <v/>
      </c>
    </row>
    <row r="72" spans="1:27">
      <c r="A72" s="22"/>
      <c r="B72" s="22"/>
      <c r="C72" s="22"/>
      <c r="D72" s="22"/>
      <c r="E72" s="22"/>
      <c r="F72" s="23"/>
      <c r="G72" s="23"/>
      <c r="H72" s="24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6"/>
      <c r="U72" s="23" t="str">
        <f t="shared" si="3"/>
        <v/>
      </c>
      <c r="V72" s="22" t="str">
        <f t="shared" si="4"/>
        <v/>
      </c>
      <c r="W72" s="18" t="str">
        <f t="shared" si="5"/>
        <v/>
      </c>
      <c r="X72" s="22"/>
      <c r="Y72" s="22"/>
      <c r="Z72" s="27">
        <f>IF($D72="",0,IF(COUNTIF($D$5:$D72,$D72)=1,1,0))</f>
        <v>0</v>
      </c>
      <c r="AA72" t="str">
        <f>IF(Z72=1,SUM($Z$5:$Z72),"")</f>
        <v/>
      </c>
    </row>
    <row r="73" spans="1:27">
      <c r="A73" s="22"/>
      <c r="B73" s="22"/>
      <c r="C73" s="22"/>
      <c r="D73" s="22"/>
      <c r="E73" s="22"/>
      <c r="F73" s="23"/>
      <c r="G73" s="23"/>
      <c r="H73" s="24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6"/>
      <c r="U73" s="23" t="str">
        <f t="shared" si="3"/>
        <v/>
      </c>
      <c r="V73" s="22" t="str">
        <f t="shared" si="4"/>
        <v/>
      </c>
      <c r="W73" s="18" t="str">
        <f t="shared" si="5"/>
        <v/>
      </c>
      <c r="X73" s="22"/>
      <c r="Y73" s="22"/>
      <c r="Z73" s="27">
        <f>IF($D73="",0,IF(COUNTIF($D$5:$D73,$D73)=1,1,0))</f>
        <v>0</v>
      </c>
      <c r="AA73" t="str">
        <f>IF(Z73=1,SUM($Z$5:$Z73),"")</f>
        <v/>
      </c>
    </row>
    <row r="74" spans="1:27">
      <c r="A74" s="22"/>
      <c r="B74" s="22"/>
      <c r="C74" s="22"/>
      <c r="D74" s="22"/>
      <c r="E74" s="22"/>
      <c r="F74" s="23"/>
      <c r="G74" s="23"/>
      <c r="H74" s="24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6"/>
      <c r="U74" s="23" t="str">
        <f t="shared" si="3"/>
        <v/>
      </c>
      <c r="V74" s="22" t="str">
        <f t="shared" si="4"/>
        <v/>
      </c>
      <c r="W74" s="18" t="str">
        <f t="shared" si="5"/>
        <v/>
      </c>
      <c r="X74" s="22"/>
      <c r="Y74" s="22"/>
      <c r="Z74" s="27">
        <f>IF($D74="",0,IF(COUNTIF($D$5:$D74,$D74)=1,1,0))</f>
        <v>0</v>
      </c>
      <c r="AA74" t="str">
        <f>IF(Z74=1,SUM($Z$5:$Z74),"")</f>
        <v/>
      </c>
    </row>
    <row r="75" spans="1:27">
      <c r="A75" s="22"/>
      <c r="B75" s="22"/>
      <c r="C75" s="22"/>
      <c r="D75" s="22"/>
      <c r="E75" s="22"/>
      <c r="F75" s="23"/>
      <c r="G75" s="23"/>
      <c r="H75" s="24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6"/>
      <c r="U75" s="23" t="str">
        <f t="shared" si="3"/>
        <v/>
      </c>
      <c r="V75" s="22" t="str">
        <f t="shared" si="4"/>
        <v/>
      </c>
      <c r="W75" s="18" t="str">
        <f t="shared" si="5"/>
        <v/>
      </c>
      <c r="X75" s="22"/>
      <c r="Y75" s="22"/>
      <c r="Z75" s="27">
        <f>IF($D75="",0,IF(COUNTIF($D$5:$D75,$D75)=1,1,0))</f>
        <v>0</v>
      </c>
      <c r="AA75" t="str">
        <f>IF(Z75=1,SUM($Z$5:$Z75),"")</f>
        <v/>
      </c>
    </row>
    <row r="76" spans="1:27">
      <c r="A76" s="22"/>
      <c r="B76" s="22"/>
      <c r="C76" s="22"/>
      <c r="D76" s="22"/>
      <c r="E76" s="22"/>
      <c r="F76" s="23"/>
      <c r="G76" s="23"/>
      <c r="H76" s="24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6"/>
      <c r="U76" s="23" t="str">
        <f t="shared" si="3"/>
        <v/>
      </c>
      <c r="V76" s="22" t="str">
        <f t="shared" si="4"/>
        <v/>
      </c>
      <c r="W76" s="18" t="str">
        <f t="shared" si="5"/>
        <v/>
      </c>
      <c r="X76" s="22"/>
      <c r="Y76" s="22"/>
      <c r="Z76" s="27">
        <f>IF($D76="",0,IF(COUNTIF($D$5:$D76,$D76)=1,1,0))</f>
        <v>0</v>
      </c>
      <c r="AA76" t="str">
        <f>IF(Z76=1,SUM($Z$5:$Z76),"")</f>
        <v/>
      </c>
    </row>
    <row r="77" spans="1:27">
      <c r="A77" s="22"/>
      <c r="B77" s="22"/>
      <c r="C77" s="22"/>
      <c r="D77" s="22"/>
      <c r="E77" s="22"/>
      <c r="F77" s="23"/>
      <c r="G77" s="23"/>
      <c r="H77" s="24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6"/>
      <c r="U77" s="23" t="str">
        <f t="shared" si="3"/>
        <v/>
      </c>
      <c r="V77" s="22" t="str">
        <f t="shared" si="4"/>
        <v/>
      </c>
      <c r="W77" s="18" t="str">
        <f t="shared" si="5"/>
        <v/>
      </c>
      <c r="X77" s="22"/>
      <c r="Y77" s="22"/>
      <c r="Z77" s="27">
        <f>IF($D77="",0,IF(COUNTIF($D$5:$D77,$D77)=1,1,0))</f>
        <v>0</v>
      </c>
      <c r="AA77" t="str">
        <f>IF(Z77=1,SUM($Z$5:$Z77),"")</f>
        <v/>
      </c>
    </row>
    <row r="78" spans="1:27">
      <c r="A78" s="22"/>
      <c r="B78" s="22"/>
      <c r="C78" s="22"/>
      <c r="D78" s="22"/>
      <c r="E78" s="22"/>
      <c r="F78" s="23"/>
      <c r="G78" s="23"/>
      <c r="H78" s="24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6"/>
      <c r="U78" s="23" t="str">
        <f t="shared" si="3"/>
        <v/>
      </c>
      <c r="V78" s="22" t="str">
        <f t="shared" si="4"/>
        <v/>
      </c>
      <c r="W78" s="18" t="str">
        <f t="shared" si="5"/>
        <v/>
      </c>
      <c r="X78" s="22"/>
      <c r="Y78" s="22"/>
      <c r="Z78" s="27">
        <f>IF($D78="",0,IF(COUNTIF($D$5:$D78,$D78)=1,1,0))</f>
        <v>0</v>
      </c>
      <c r="AA78" t="str">
        <f>IF(Z78=1,SUM($Z$5:$Z78),"")</f>
        <v/>
      </c>
    </row>
    <row r="79" spans="1:27">
      <c r="A79" s="22"/>
      <c r="B79" s="22"/>
      <c r="C79" s="22"/>
      <c r="D79" s="22"/>
      <c r="E79" s="22"/>
      <c r="F79" s="23"/>
      <c r="G79" s="23"/>
      <c r="H79" s="24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6"/>
      <c r="U79" s="23" t="str">
        <f t="shared" si="3"/>
        <v/>
      </c>
      <c r="V79" s="22" t="str">
        <f t="shared" si="4"/>
        <v/>
      </c>
      <c r="W79" s="18" t="str">
        <f t="shared" si="5"/>
        <v/>
      </c>
      <c r="X79" s="22"/>
      <c r="Y79" s="22"/>
      <c r="Z79" s="27">
        <f>IF($D79="",0,IF(COUNTIF($D$5:$D79,$D79)=1,1,0))</f>
        <v>0</v>
      </c>
      <c r="AA79" t="str">
        <f>IF(Z79=1,SUM($Z$5:$Z79),"")</f>
        <v/>
      </c>
    </row>
    <row r="80" spans="1:27">
      <c r="A80" s="22"/>
      <c r="B80" s="22"/>
      <c r="C80" s="22"/>
      <c r="D80" s="22"/>
      <c r="E80" s="22"/>
      <c r="F80" s="23"/>
      <c r="G80" s="23"/>
      <c r="H80" s="24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6"/>
      <c r="U80" s="23" t="str">
        <f t="shared" si="3"/>
        <v/>
      </c>
      <c r="V80" s="22" t="str">
        <f t="shared" si="4"/>
        <v/>
      </c>
      <c r="W80" s="18" t="str">
        <f t="shared" si="5"/>
        <v/>
      </c>
      <c r="X80" s="22"/>
      <c r="Y80" s="22"/>
      <c r="Z80" s="27">
        <f>IF($D80="",0,IF(COUNTIF($D$5:$D80,$D80)=1,1,0))</f>
        <v>0</v>
      </c>
      <c r="AA80" t="str">
        <f>IF(Z80=1,SUM($Z$5:$Z80),"")</f>
        <v/>
      </c>
    </row>
    <row r="81" spans="1:27">
      <c r="A81" s="22"/>
      <c r="B81" s="22"/>
      <c r="C81" s="22"/>
      <c r="D81" s="22"/>
      <c r="E81" s="22"/>
      <c r="F81" s="23"/>
      <c r="G81" s="23"/>
      <c r="H81" s="24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6"/>
      <c r="U81" s="23" t="str">
        <f t="shared" si="3"/>
        <v/>
      </c>
      <c r="V81" s="22" t="str">
        <f t="shared" si="4"/>
        <v/>
      </c>
      <c r="W81" s="18" t="str">
        <f t="shared" si="5"/>
        <v/>
      </c>
      <c r="X81" s="22"/>
      <c r="Y81" s="22"/>
      <c r="Z81" s="27">
        <f>IF($D81="",0,IF(COUNTIF($D$5:$D81,$D81)=1,1,0))</f>
        <v>0</v>
      </c>
      <c r="AA81" t="str">
        <f>IF(Z81=1,SUM($Z$5:$Z81),"")</f>
        <v/>
      </c>
    </row>
    <row r="82" spans="1:27">
      <c r="A82" s="22"/>
      <c r="B82" s="22"/>
      <c r="C82" s="22"/>
      <c r="D82" s="22"/>
      <c r="E82" s="22"/>
      <c r="F82" s="23"/>
      <c r="G82" s="23"/>
      <c r="H82" s="24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6"/>
      <c r="U82" s="23" t="str">
        <f t="shared" si="3"/>
        <v/>
      </c>
      <c r="V82" s="22" t="str">
        <f t="shared" si="4"/>
        <v/>
      </c>
      <c r="W82" s="18" t="str">
        <f t="shared" si="5"/>
        <v/>
      </c>
      <c r="X82" s="22"/>
      <c r="Y82" s="22"/>
      <c r="Z82" s="27">
        <f>IF($D82="",0,IF(COUNTIF($D$5:$D82,$D82)=1,1,0))</f>
        <v>0</v>
      </c>
      <c r="AA82" t="str">
        <f>IF(Z82=1,SUM($Z$5:$Z82),"")</f>
        <v/>
      </c>
    </row>
    <row r="83" spans="1:27">
      <c r="A83" s="22"/>
      <c r="B83" s="22"/>
      <c r="C83" s="22"/>
      <c r="D83" s="22"/>
      <c r="E83" s="22"/>
      <c r="F83" s="23"/>
      <c r="G83" s="23"/>
      <c r="H83" s="24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6"/>
      <c r="U83" s="23" t="str">
        <f t="shared" si="3"/>
        <v/>
      </c>
      <c r="V83" s="22" t="str">
        <f t="shared" si="4"/>
        <v/>
      </c>
      <c r="W83" s="18" t="str">
        <f t="shared" si="5"/>
        <v/>
      </c>
      <c r="X83" s="22"/>
      <c r="Y83" s="22"/>
      <c r="Z83" s="27">
        <f>IF($D83="",0,IF(COUNTIF($D$5:$D83,$D83)=1,1,0))</f>
        <v>0</v>
      </c>
      <c r="AA83" t="str">
        <f>IF(Z83=1,SUM($Z$5:$Z83),"")</f>
        <v/>
      </c>
    </row>
    <row r="84" spans="1:27">
      <c r="A84" s="22"/>
      <c r="B84" s="22"/>
      <c r="C84" s="22"/>
      <c r="D84" s="22"/>
      <c r="E84" s="22"/>
      <c r="F84" s="23"/>
      <c r="G84" s="23"/>
      <c r="H84" s="24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6"/>
      <c r="U84" s="23" t="str">
        <f t="shared" si="3"/>
        <v/>
      </c>
      <c r="V84" s="22" t="str">
        <f t="shared" si="4"/>
        <v/>
      </c>
      <c r="W84" s="18" t="str">
        <f t="shared" si="5"/>
        <v/>
      </c>
      <c r="X84" s="22"/>
      <c r="Y84" s="22"/>
      <c r="Z84" s="27">
        <f>IF($D84="",0,IF(COUNTIF($D$5:$D84,$D84)=1,1,0))</f>
        <v>0</v>
      </c>
      <c r="AA84" t="str">
        <f>IF(Z84=1,SUM($Z$5:$Z84),"")</f>
        <v/>
      </c>
    </row>
    <row r="85" spans="1:27">
      <c r="A85" s="22"/>
      <c r="B85" s="22"/>
      <c r="C85" s="22"/>
      <c r="D85" s="22"/>
      <c r="E85" s="22"/>
      <c r="F85" s="23"/>
      <c r="G85" s="23"/>
      <c r="H85" s="24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6"/>
      <c r="U85" s="23" t="str">
        <f t="shared" si="3"/>
        <v/>
      </c>
      <c r="V85" s="22" t="str">
        <f t="shared" si="4"/>
        <v/>
      </c>
      <c r="W85" s="18" t="str">
        <f t="shared" si="5"/>
        <v/>
      </c>
      <c r="X85" s="22"/>
      <c r="Y85" s="22"/>
      <c r="Z85" s="27">
        <f>IF($D85="",0,IF(COUNTIF($D$5:$D85,$D85)=1,1,0))</f>
        <v>0</v>
      </c>
      <c r="AA85" t="str">
        <f>IF(Z85=1,SUM($Z$5:$Z85),"")</f>
        <v/>
      </c>
    </row>
    <row r="86" spans="1:27">
      <c r="A86" s="22"/>
      <c r="B86" s="22"/>
      <c r="C86" s="22"/>
      <c r="D86" s="22"/>
      <c r="E86" s="22"/>
      <c r="F86" s="23"/>
      <c r="G86" s="23"/>
      <c r="H86" s="24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6"/>
      <c r="U86" s="23" t="str">
        <f t="shared" si="3"/>
        <v/>
      </c>
      <c r="V86" s="22" t="str">
        <f t="shared" si="4"/>
        <v/>
      </c>
      <c r="W86" s="18" t="str">
        <f t="shared" si="5"/>
        <v/>
      </c>
      <c r="X86" s="22"/>
      <c r="Y86" s="22"/>
      <c r="Z86" s="27">
        <f>IF($D86="",0,IF(COUNTIF($D$5:$D86,$D86)=1,1,0))</f>
        <v>0</v>
      </c>
      <c r="AA86" t="str">
        <f>IF(Z86=1,SUM($Z$5:$Z86),"")</f>
        <v/>
      </c>
    </row>
    <row r="87" spans="1:27">
      <c r="A87" s="22"/>
      <c r="B87" s="22"/>
      <c r="C87" s="22"/>
      <c r="D87" s="22"/>
      <c r="E87" s="22"/>
      <c r="F87" s="23"/>
      <c r="G87" s="23"/>
      <c r="H87" s="24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6"/>
      <c r="U87" s="23" t="str">
        <f t="shared" si="3"/>
        <v/>
      </c>
      <c r="V87" s="22" t="str">
        <f t="shared" si="4"/>
        <v/>
      </c>
      <c r="W87" s="18" t="str">
        <f t="shared" si="5"/>
        <v/>
      </c>
      <c r="X87" s="22"/>
      <c r="Y87" s="22"/>
      <c r="Z87" s="27">
        <f>IF($D87="",0,IF(COUNTIF($D$5:$D87,$D87)=1,1,0))</f>
        <v>0</v>
      </c>
      <c r="AA87" t="str">
        <f>IF(Z87=1,SUM($Z$5:$Z87),"")</f>
        <v/>
      </c>
    </row>
    <row r="88" spans="1:27">
      <c r="A88" s="22"/>
      <c r="B88" s="22"/>
      <c r="C88" s="22"/>
      <c r="D88" s="22"/>
      <c r="E88" s="22"/>
      <c r="F88" s="23"/>
      <c r="G88" s="23"/>
      <c r="H88" s="24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6"/>
      <c r="U88" s="23" t="str">
        <f t="shared" si="3"/>
        <v/>
      </c>
      <c r="V88" s="22" t="str">
        <f t="shared" si="4"/>
        <v/>
      </c>
      <c r="W88" s="18" t="str">
        <f t="shared" si="5"/>
        <v/>
      </c>
      <c r="X88" s="22"/>
      <c r="Y88" s="22"/>
      <c r="Z88" s="27">
        <f>IF($D88="",0,IF(COUNTIF($D$5:$D88,$D88)=1,1,0))</f>
        <v>0</v>
      </c>
      <c r="AA88" t="str">
        <f>IF(Z88=1,SUM($Z$5:$Z88),"")</f>
        <v/>
      </c>
    </row>
    <row r="89" spans="1:27">
      <c r="A89" s="22"/>
      <c r="B89" s="22"/>
      <c r="C89" s="22"/>
      <c r="D89" s="22"/>
      <c r="E89" s="22"/>
      <c r="F89" s="23"/>
      <c r="G89" s="23"/>
      <c r="H89" s="24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6"/>
      <c r="U89" s="23" t="str">
        <f t="shared" si="3"/>
        <v/>
      </c>
      <c r="V89" s="22" t="str">
        <f t="shared" si="4"/>
        <v/>
      </c>
      <c r="W89" s="18" t="str">
        <f t="shared" si="5"/>
        <v/>
      </c>
      <c r="X89" s="22"/>
      <c r="Y89" s="22"/>
      <c r="Z89" s="27">
        <f>IF($D89="",0,IF(COUNTIF($D$5:$D89,$D89)=1,1,0))</f>
        <v>0</v>
      </c>
      <c r="AA89" t="str">
        <f>IF(Z89=1,SUM($Z$5:$Z89),"")</f>
        <v/>
      </c>
    </row>
    <row r="90" spans="1:27">
      <c r="A90" s="22"/>
      <c r="B90" s="22"/>
      <c r="C90" s="22"/>
      <c r="D90" s="22"/>
      <c r="E90" s="22"/>
      <c r="F90" s="23"/>
      <c r="G90" s="23"/>
      <c r="H90" s="24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6"/>
      <c r="U90" s="23" t="str">
        <f t="shared" si="3"/>
        <v/>
      </c>
      <c r="V90" s="22" t="str">
        <f t="shared" si="4"/>
        <v/>
      </c>
      <c r="W90" s="18" t="str">
        <f t="shared" si="5"/>
        <v/>
      </c>
      <c r="X90" s="22"/>
      <c r="Y90" s="22"/>
      <c r="Z90" s="27">
        <f>IF($D90="",0,IF(COUNTIF($D$5:$D90,$D90)=1,1,0))</f>
        <v>0</v>
      </c>
      <c r="AA90" t="str">
        <f>IF(Z90=1,SUM($Z$5:$Z90),"")</f>
        <v/>
      </c>
    </row>
    <row r="91" spans="1:27">
      <c r="A91" s="22"/>
      <c r="B91" s="22"/>
      <c r="C91" s="22"/>
      <c r="D91" s="22"/>
      <c r="E91" s="22"/>
      <c r="F91" s="23"/>
      <c r="G91" s="23"/>
      <c r="H91" s="24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6"/>
      <c r="U91" s="23" t="str">
        <f t="shared" si="3"/>
        <v/>
      </c>
      <c r="V91" s="22" t="str">
        <f t="shared" si="4"/>
        <v/>
      </c>
      <c r="W91" s="18" t="str">
        <f t="shared" si="5"/>
        <v/>
      </c>
      <c r="X91" s="22"/>
      <c r="Y91" s="22"/>
      <c r="Z91" s="27">
        <f>IF($D91="",0,IF(COUNTIF($D$5:$D91,$D91)=1,1,0))</f>
        <v>0</v>
      </c>
      <c r="AA91" t="str">
        <f>IF(Z91=1,SUM($Z$5:$Z91),"")</f>
        <v/>
      </c>
    </row>
    <row r="92" spans="1:27">
      <c r="A92" s="22"/>
      <c r="B92" s="22"/>
      <c r="C92" s="22"/>
      <c r="D92" s="22"/>
      <c r="E92" s="22"/>
      <c r="F92" s="23"/>
      <c r="G92" s="23"/>
      <c r="H92" s="24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6"/>
      <c r="U92" s="23" t="str">
        <f t="shared" si="3"/>
        <v/>
      </c>
      <c r="V92" s="22" t="str">
        <f t="shared" si="4"/>
        <v/>
      </c>
      <c r="W92" s="18" t="str">
        <f t="shared" si="5"/>
        <v/>
      </c>
      <c r="X92" s="22"/>
      <c r="Y92" s="22"/>
      <c r="Z92" s="27">
        <f>IF($D92="",0,IF(COUNTIF($D$5:$D92,$D92)=1,1,0))</f>
        <v>0</v>
      </c>
      <c r="AA92" t="str">
        <f>IF(Z92=1,SUM($Z$5:$Z92),"")</f>
        <v/>
      </c>
    </row>
    <row r="93" spans="1:27">
      <c r="A93" s="22"/>
      <c r="B93" s="22"/>
      <c r="C93" s="22"/>
      <c r="D93" s="22"/>
      <c r="E93" s="22"/>
      <c r="F93" s="23"/>
      <c r="G93" s="23"/>
      <c r="H93" s="24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6"/>
      <c r="U93" s="23" t="str">
        <f t="shared" si="3"/>
        <v/>
      </c>
      <c r="V93" s="22" t="str">
        <f t="shared" si="4"/>
        <v/>
      </c>
      <c r="W93" s="18" t="str">
        <f t="shared" si="5"/>
        <v/>
      </c>
      <c r="X93" s="22"/>
      <c r="Y93" s="22"/>
      <c r="Z93" s="27">
        <f>IF($D93="",0,IF(COUNTIF($D$5:$D93,$D93)=1,1,0))</f>
        <v>0</v>
      </c>
      <c r="AA93" t="str">
        <f>IF(Z93=1,SUM($Z$5:$Z93),"")</f>
        <v/>
      </c>
    </row>
    <row r="94" spans="1:27">
      <c r="A94" s="22"/>
      <c r="B94" s="22"/>
      <c r="C94" s="22"/>
      <c r="D94" s="22"/>
      <c r="E94" s="22"/>
      <c r="F94" s="23"/>
      <c r="G94" s="23"/>
      <c r="H94" s="24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6"/>
      <c r="U94" s="23" t="str">
        <f t="shared" si="3"/>
        <v/>
      </c>
      <c r="V94" s="22" t="str">
        <f t="shared" si="4"/>
        <v/>
      </c>
      <c r="W94" s="18" t="str">
        <f t="shared" si="5"/>
        <v/>
      </c>
      <c r="X94" s="22"/>
      <c r="Y94" s="22"/>
      <c r="Z94" s="27">
        <f>IF($D94="",0,IF(COUNTIF($D$5:$D94,$D94)=1,1,0))</f>
        <v>0</v>
      </c>
      <c r="AA94" t="str">
        <f>IF(Z94=1,SUM($Z$5:$Z94),"")</f>
        <v/>
      </c>
    </row>
    <row r="95" spans="1:27">
      <c r="A95" s="22"/>
      <c r="B95" s="22"/>
      <c r="C95" s="22"/>
      <c r="D95" s="22"/>
      <c r="E95" s="22"/>
      <c r="F95" s="23"/>
      <c r="G95" s="23"/>
      <c r="H95" s="24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6"/>
      <c r="U95" s="23" t="str">
        <f t="shared" si="3"/>
        <v/>
      </c>
      <c r="V95" s="22" t="str">
        <f t="shared" si="4"/>
        <v/>
      </c>
      <c r="W95" s="18" t="str">
        <f t="shared" si="5"/>
        <v/>
      </c>
      <c r="X95" s="22"/>
      <c r="Y95" s="22"/>
      <c r="Z95" s="27">
        <f>IF($D95="",0,IF(COUNTIF($D$5:$D95,$D95)=1,1,0))</f>
        <v>0</v>
      </c>
      <c r="AA95" t="str">
        <f>IF(Z95=1,SUM($Z$5:$Z95),"")</f>
        <v/>
      </c>
    </row>
    <row r="96" spans="1:27">
      <c r="A96" s="22"/>
      <c r="B96" s="22"/>
      <c r="C96" s="22"/>
      <c r="D96" s="22"/>
      <c r="E96" s="22"/>
      <c r="F96" s="23"/>
      <c r="G96" s="23"/>
      <c r="H96" s="24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6"/>
      <c r="U96" s="23" t="str">
        <f t="shared" si="3"/>
        <v/>
      </c>
      <c r="V96" s="22" t="str">
        <f t="shared" si="4"/>
        <v/>
      </c>
      <c r="W96" s="18" t="str">
        <f t="shared" si="5"/>
        <v/>
      </c>
      <c r="X96" s="22"/>
      <c r="Y96" s="22"/>
      <c r="Z96" s="27">
        <f>IF($D96="",0,IF(COUNTIF($D$5:$D96,$D96)=1,1,0))</f>
        <v>0</v>
      </c>
      <c r="AA96" t="str">
        <f>IF(Z96=1,SUM($Z$5:$Z96),"")</f>
        <v/>
      </c>
    </row>
    <row r="97" spans="1:27">
      <c r="A97" s="22"/>
      <c r="B97" s="22"/>
      <c r="C97" s="22"/>
      <c r="D97" s="22"/>
      <c r="E97" s="22"/>
      <c r="F97" s="23"/>
      <c r="G97" s="23"/>
      <c r="H97" s="24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6"/>
      <c r="U97" s="23" t="str">
        <f t="shared" si="3"/>
        <v/>
      </c>
      <c r="V97" s="22" t="str">
        <f t="shared" si="4"/>
        <v/>
      </c>
      <c r="W97" s="18" t="str">
        <f t="shared" si="5"/>
        <v/>
      </c>
      <c r="X97" s="22"/>
      <c r="Y97" s="22"/>
      <c r="Z97" s="27">
        <f>IF($D97="",0,IF(COUNTIF($D$5:$D97,$D97)=1,1,0))</f>
        <v>0</v>
      </c>
      <c r="AA97" t="str">
        <f>IF(Z97=1,SUM($Z$5:$Z97),"")</f>
        <v/>
      </c>
    </row>
    <row r="98" spans="1:27">
      <c r="A98" s="22"/>
      <c r="B98" s="22"/>
      <c r="C98" s="22"/>
      <c r="D98" s="22"/>
      <c r="E98" s="22"/>
      <c r="F98" s="23"/>
      <c r="G98" s="23"/>
      <c r="H98" s="24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6"/>
      <c r="U98" s="23" t="str">
        <f t="shared" si="3"/>
        <v/>
      </c>
      <c r="V98" s="22" t="str">
        <f t="shared" si="4"/>
        <v/>
      </c>
      <c r="W98" s="18" t="str">
        <f t="shared" si="5"/>
        <v/>
      </c>
      <c r="X98" s="22"/>
      <c r="Y98" s="22"/>
      <c r="Z98" s="27">
        <f>IF($D98="",0,IF(COUNTIF($D$5:$D98,$D98)=1,1,0))</f>
        <v>0</v>
      </c>
      <c r="AA98" t="str">
        <f>IF(Z98=1,SUM($Z$5:$Z98),"")</f>
        <v/>
      </c>
    </row>
    <row r="99" spans="1:27">
      <c r="A99" s="22"/>
      <c r="B99" s="22"/>
      <c r="C99" s="22"/>
      <c r="D99" s="22"/>
      <c r="E99" s="22"/>
      <c r="F99" s="23"/>
      <c r="G99" s="23"/>
      <c r="H99" s="24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6"/>
      <c r="U99" s="23" t="str">
        <f t="shared" si="3"/>
        <v/>
      </c>
      <c r="V99" s="22" t="str">
        <f t="shared" si="4"/>
        <v/>
      </c>
      <c r="W99" s="18" t="str">
        <f t="shared" si="5"/>
        <v/>
      </c>
      <c r="X99" s="22"/>
      <c r="Y99" s="22"/>
      <c r="Z99" s="27">
        <f>IF($D99="",0,IF(COUNTIF($D$5:$D99,$D99)=1,1,0))</f>
        <v>0</v>
      </c>
      <c r="AA99" t="str">
        <f>IF(Z99=1,SUM($Z$5:$Z99),"")</f>
        <v/>
      </c>
    </row>
    <row r="100" spans="1:27">
      <c r="A100" s="22"/>
      <c r="B100" s="22"/>
      <c r="C100" s="22"/>
      <c r="D100" s="22"/>
      <c r="E100" s="22"/>
      <c r="F100" s="23"/>
      <c r="G100" s="23"/>
      <c r="H100" s="24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6"/>
      <c r="U100" s="23" t="str">
        <f t="shared" si="3"/>
        <v/>
      </c>
      <c r="V100" s="22" t="str">
        <f t="shared" si="4"/>
        <v/>
      </c>
      <c r="W100" s="18" t="str">
        <f t="shared" si="5"/>
        <v/>
      </c>
      <c r="X100" s="22"/>
      <c r="Y100" s="22"/>
      <c r="Z100" s="27">
        <f>IF($D100="",0,IF(COUNTIF($D$5:$D100,$D100)=1,1,0))</f>
        <v>0</v>
      </c>
      <c r="AA100" t="str">
        <f>IF(Z100=1,SUM($Z$5:$Z100),"")</f>
        <v/>
      </c>
    </row>
    <row r="101" spans="1:27">
      <c r="A101" s="22"/>
      <c r="B101" s="22"/>
      <c r="C101" s="22"/>
      <c r="D101" s="22"/>
      <c r="E101" s="22"/>
      <c r="F101" s="23"/>
      <c r="G101" s="23"/>
      <c r="H101" s="24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6"/>
      <c r="U101" s="23" t="str">
        <f t="shared" si="3"/>
        <v/>
      </c>
      <c r="V101" s="22" t="str">
        <f t="shared" si="4"/>
        <v/>
      </c>
      <c r="W101" s="18" t="str">
        <f t="shared" si="5"/>
        <v/>
      </c>
      <c r="X101" s="22"/>
      <c r="Y101" s="22"/>
      <c r="Z101" s="27">
        <f>IF($D101="",0,IF(COUNTIF($D$5:$D101,$D101)=1,1,0))</f>
        <v>0</v>
      </c>
      <c r="AA101" t="str">
        <f>IF(Z101=1,SUM($Z$5:$Z101),"")</f>
        <v/>
      </c>
    </row>
    <row r="102" spans="1:27">
      <c r="A102" s="22"/>
      <c r="B102" s="22"/>
      <c r="C102" s="22"/>
      <c r="D102" s="22"/>
      <c r="E102" s="22"/>
      <c r="F102" s="23"/>
      <c r="G102" s="23"/>
      <c r="H102" s="24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6"/>
      <c r="U102" s="23" t="str">
        <f t="shared" si="3"/>
        <v/>
      </c>
      <c r="V102" s="22" t="str">
        <f t="shared" si="4"/>
        <v/>
      </c>
      <c r="W102" s="18" t="str">
        <f t="shared" si="5"/>
        <v/>
      </c>
      <c r="X102" s="22"/>
      <c r="Y102" s="22"/>
      <c r="Z102" s="27">
        <f>IF($D102="",0,IF(COUNTIF($D$5:$D102,$D102)=1,1,0))</f>
        <v>0</v>
      </c>
      <c r="AA102" t="str">
        <f>IF(Z102=1,SUM($Z$5:$Z102),"")</f>
        <v/>
      </c>
    </row>
    <row r="103" spans="1:27">
      <c r="A103" s="22"/>
      <c r="B103" s="22"/>
      <c r="C103" s="22"/>
      <c r="D103" s="22"/>
      <c r="E103" s="22"/>
      <c r="F103" s="23"/>
      <c r="G103" s="23"/>
      <c r="H103" s="24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6"/>
      <c r="U103" s="23" t="str">
        <f t="shared" si="3"/>
        <v/>
      </c>
      <c r="V103" s="22" t="str">
        <f t="shared" si="4"/>
        <v/>
      </c>
      <c r="W103" s="18" t="str">
        <f t="shared" si="5"/>
        <v/>
      </c>
      <c r="X103" s="22"/>
      <c r="Y103" s="22"/>
      <c r="Z103" s="27">
        <f>IF($D103="",0,IF(COUNTIF($D$5:$D103,$D103)=1,1,0))</f>
        <v>0</v>
      </c>
      <c r="AA103" t="str">
        <f>IF(Z103=1,SUM($Z$5:$Z103),"")</f>
        <v/>
      </c>
    </row>
    <row r="104" spans="1:27">
      <c r="A104" s="22"/>
      <c r="B104" s="22"/>
      <c r="C104" s="22"/>
      <c r="D104" s="22"/>
      <c r="E104" s="22"/>
      <c r="F104" s="23"/>
      <c r="G104" s="23"/>
      <c r="H104" s="24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6"/>
      <c r="U104" s="23" t="str">
        <f t="shared" si="3"/>
        <v/>
      </c>
      <c r="V104" s="22" t="str">
        <f t="shared" si="4"/>
        <v/>
      </c>
      <c r="W104" s="18" t="str">
        <f t="shared" si="5"/>
        <v/>
      </c>
      <c r="X104" s="22"/>
      <c r="Y104" s="22"/>
      <c r="Z104" s="27">
        <f>IF($D104="",0,IF(COUNTIF($D$5:$D104,$D104)=1,1,0))</f>
        <v>0</v>
      </c>
      <c r="AA104" t="str">
        <f>IF(Z104=1,SUM($Z$5:$Z104),"")</f>
        <v/>
      </c>
    </row>
    <row r="105" spans="1:27">
      <c r="A105" s="22"/>
      <c r="B105" s="22"/>
      <c r="C105" s="22"/>
      <c r="D105" s="22"/>
      <c r="E105" s="22"/>
      <c r="F105" s="23"/>
      <c r="G105" s="23"/>
      <c r="H105" s="24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6"/>
      <c r="U105" s="23" t="str">
        <f t="shared" si="3"/>
        <v/>
      </c>
      <c r="V105" s="22" t="str">
        <f t="shared" si="4"/>
        <v/>
      </c>
      <c r="W105" s="18" t="str">
        <f t="shared" si="5"/>
        <v/>
      </c>
      <c r="X105" s="22"/>
      <c r="Y105" s="22"/>
      <c r="Z105" s="27">
        <f>IF($D105="",0,IF(COUNTIF($D$5:$D105,$D105)=1,1,0))</f>
        <v>0</v>
      </c>
      <c r="AA105" t="str">
        <f>IF(Z105=1,SUM($Z$5:$Z105),"")</f>
        <v/>
      </c>
    </row>
    <row r="106" spans="1:27">
      <c r="A106" s="22"/>
      <c r="B106" s="22"/>
      <c r="C106" s="22"/>
      <c r="D106" s="22"/>
      <c r="E106" s="22"/>
      <c r="F106" s="23"/>
      <c r="G106" s="23"/>
      <c r="H106" s="24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6"/>
      <c r="U106" s="23" t="str">
        <f t="shared" si="3"/>
        <v/>
      </c>
      <c r="V106" s="22" t="str">
        <f t="shared" si="4"/>
        <v/>
      </c>
      <c r="W106" s="18" t="str">
        <f t="shared" si="5"/>
        <v/>
      </c>
      <c r="X106" s="22"/>
      <c r="Y106" s="22"/>
      <c r="Z106" s="27">
        <f>IF($D106="",0,IF(COUNTIF($D$5:$D106,$D106)=1,1,0))</f>
        <v>0</v>
      </c>
      <c r="AA106" t="str">
        <f>IF(Z106=1,SUM($Z$5:$Z106),"")</f>
        <v/>
      </c>
    </row>
    <row r="107" spans="1:27">
      <c r="A107" s="22"/>
      <c r="B107" s="22"/>
      <c r="C107" s="22"/>
      <c r="D107" s="22"/>
      <c r="E107" s="22"/>
      <c r="F107" s="23"/>
      <c r="G107" s="23"/>
      <c r="H107" s="24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6"/>
      <c r="U107" s="23" t="str">
        <f t="shared" si="3"/>
        <v/>
      </c>
      <c r="V107" s="22" t="str">
        <f t="shared" si="4"/>
        <v/>
      </c>
      <c r="W107" s="18" t="str">
        <f t="shared" si="5"/>
        <v/>
      </c>
      <c r="X107" s="22"/>
      <c r="Y107" s="22"/>
      <c r="Z107" s="27">
        <f>IF($D107="",0,IF(COUNTIF($D$5:$D107,$D107)=1,1,0))</f>
        <v>0</v>
      </c>
      <c r="AA107" t="str">
        <f>IF(Z107=1,SUM($Z$5:$Z107),"")</f>
        <v/>
      </c>
    </row>
    <row r="108" spans="1:27">
      <c r="A108" s="22"/>
      <c r="B108" s="22"/>
      <c r="C108" s="22"/>
      <c r="D108" s="22"/>
      <c r="E108" s="22"/>
      <c r="F108" s="23"/>
      <c r="G108" s="23"/>
      <c r="H108" s="24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6"/>
      <c r="U108" s="23" t="str">
        <f t="shared" si="3"/>
        <v/>
      </c>
      <c r="V108" s="22" t="str">
        <f t="shared" si="4"/>
        <v/>
      </c>
      <c r="W108" s="18" t="str">
        <f t="shared" si="5"/>
        <v/>
      </c>
      <c r="X108" s="22"/>
      <c r="Y108" s="22"/>
      <c r="Z108" s="27">
        <f>IF($D108="",0,IF(COUNTIF($D$5:$D108,$D108)=1,1,0))</f>
        <v>0</v>
      </c>
      <c r="AA108" t="str">
        <f>IF(Z108=1,SUM($Z$5:$Z108),"")</f>
        <v/>
      </c>
    </row>
    <row r="109" spans="1:27">
      <c r="A109" s="22"/>
      <c r="B109" s="22"/>
      <c r="C109" s="22"/>
      <c r="D109" s="22"/>
      <c r="E109" s="22"/>
      <c r="F109" s="23"/>
      <c r="G109" s="23"/>
      <c r="H109" s="24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6"/>
      <c r="U109" s="23" t="str">
        <f t="shared" si="3"/>
        <v/>
      </c>
      <c r="V109" s="22" t="str">
        <f t="shared" si="4"/>
        <v/>
      </c>
      <c r="W109" s="18" t="str">
        <f t="shared" si="5"/>
        <v/>
      </c>
      <c r="X109" s="22"/>
      <c r="Y109" s="22"/>
      <c r="Z109" s="27">
        <f>IF($D109="",0,IF(COUNTIF($D$5:$D109,$D109)=1,1,0))</f>
        <v>0</v>
      </c>
      <c r="AA109" t="str">
        <f>IF(Z109=1,SUM($Z$5:$Z109),"")</f>
        <v/>
      </c>
    </row>
    <row r="110" spans="1:27">
      <c r="A110" s="22"/>
      <c r="B110" s="22"/>
      <c r="C110" s="22"/>
      <c r="D110" s="22"/>
      <c r="E110" s="22"/>
      <c r="F110" s="23"/>
      <c r="G110" s="23"/>
      <c r="H110" s="24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6"/>
      <c r="U110" s="23" t="str">
        <f t="shared" si="3"/>
        <v/>
      </c>
      <c r="V110" s="22" t="str">
        <f t="shared" si="4"/>
        <v/>
      </c>
      <c r="W110" s="18" t="str">
        <f t="shared" si="5"/>
        <v/>
      </c>
      <c r="X110" s="22"/>
      <c r="Y110" s="22"/>
      <c r="Z110" s="27">
        <f>IF($D110="",0,IF(COUNTIF($D$5:$D110,$D110)=1,1,0))</f>
        <v>0</v>
      </c>
      <c r="AA110" t="str">
        <f>IF(Z110=1,SUM($Z$5:$Z110),"")</f>
        <v/>
      </c>
    </row>
    <row r="111" spans="1:27">
      <c r="A111" s="22"/>
      <c r="B111" s="22"/>
      <c r="C111" s="22"/>
      <c r="D111" s="22"/>
      <c r="E111" s="22"/>
      <c r="F111" s="23"/>
      <c r="G111" s="23"/>
      <c r="H111" s="24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6"/>
      <c r="U111" s="23" t="str">
        <f t="shared" si="3"/>
        <v/>
      </c>
      <c r="V111" s="22" t="str">
        <f t="shared" si="4"/>
        <v/>
      </c>
      <c r="W111" s="18" t="str">
        <f t="shared" si="5"/>
        <v/>
      </c>
      <c r="X111" s="22"/>
      <c r="Y111" s="22"/>
      <c r="Z111" s="27">
        <f>IF($D111="",0,IF(COUNTIF($D$5:$D111,$D111)=1,1,0))</f>
        <v>0</v>
      </c>
      <c r="AA111" t="str">
        <f>IF(Z111=1,SUM($Z$5:$Z111),"")</f>
        <v/>
      </c>
    </row>
    <row r="112" spans="1:27">
      <c r="A112" s="22"/>
      <c r="B112" s="22"/>
      <c r="C112" s="22"/>
      <c r="D112" s="22"/>
      <c r="E112" s="22"/>
      <c r="F112" s="23"/>
      <c r="G112" s="23"/>
      <c r="H112" s="24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6"/>
      <c r="U112" s="23" t="str">
        <f t="shared" si="3"/>
        <v/>
      </c>
      <c r="V112" s="22" t="str">
        <f t="shared" si="4"/>
        <v/>
      </c>
      <c r="W112" s="18" t="str">
        <f t="shared" si="5"/>
        <v/>
      </c>
      <c r="X112" s="22"/>
      <c r="Y112" s="22"/>
      <c r="Z112" s="27">
        <f>IF($D112="",0,IF(COUNTIF($D$5:$D112,$D112)=1,1,0))</f>
        <v>0</v>
      </c>
      <c r="AA112" t="str">
        <f>IF(Z112=1,SUM($Z$5:$Z112),"")</f>
        <v/>
      </c>
    </row>
    <row r="113" spans="1:27">
      <c r="A113" s="22"/>
      <c r="B113" s="22"/>
      <c r="C113" s="22"/>
      <c r="D113" s="22"/>
      <c r="E113" s="22"/>
      <c r="F113" s="23"/>
      <c r="G113" s="23"/>
      <c r="H113" s="24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6"/>
      <c r="U113" s="23" t="str">
        <f t="shared" si="3"/>
        <v/>
      </c>
      <c r="V113" s="22" t="str">
        <f t="shared" si="4"/>
        <v/>
      </c>
      <c r="W113" s="18" t="str">
        <f t="shared" si="5"/>
        <v/>
      </c>
      <c r="X113" s="22"/>
      <c r="Y113" s="22"/>
      <c r="Z113" s="27">
        <f>IF($D113="",0,IF(COUNTIF($D$5:$D113,$D113)=1,1,0))</f>
        <v>0</v>
      </c>
      <c r="AA113" t="str">
        <f>IF(Z113=1,SUM($Z$5:$Z113),"")</f>
        <v/>
      </c>
    </row>
    <row r="114" spans="1:27">
      <c r="A114" s="22"/>
      <c r="B114" s="22"/>
      <c r="C114" s="22"/>
      <c r="D114" s="22"/>
      <c r="E114" s="22"/>
      <c r="F114" s="23"/>
      <c r="G114" s="23"/>
      <c r="H114" s="24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6"/>
      <c r="U114" s="23" t="str">
        <f t="shared" si="3"/>
        <v/>
      </c>
      <c r="V114" s="22" t="str">
        <f t="shared" si="4"/>
        <v/>
      </c>
      <c r="W114" s="18" t="str">
        <f t="shared" si="5"/>
        <v/>
      </c>
      <c r="X114" s="22"/>
      <c r="Y114" s="22"/>
      <c r="Z114" s="27">
        <f>IF($D114="",0,IF(COUNTIF($D$5:$D114,$D114)=1,1,0))</f>
        <v>0</v>
      </c>
      <c r="AA114" t="str">
        <f>IF(Z114=1,SUM($Z$5:$Z114),"")</f>
        <v/>
      </c>
    </row>
    <row r="115" spans="1:27">
      <c r="A115" s="22"/>
      <c r="B115" s="22"/>
      <c r="C115" s="22"/>
      <c r="D115" s="22"/>
      <c r="E115" s="22"/>
      <c r="F115" s="23"/>
      <c r="G115" s="23"/>
      <c r="H115" s="24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6"/>
      <c r="U115" s="23" t="str">
        <f t="shared" si="3"/>
        <v/>
      </c>
      <c r="V115" s="22" t="str">
        <f t="shared" si="4"/>
        <v/>
      </c>
      <c r="W115" s="18" t="str">
        <f t="shared" si="5"/>
        <v/>
      </c>
      <c r="X115" s="22"/>
      <c r="Y115" s="22"/>
      <c r="Z115" s="27">
        <f>IF($D115="",0,IF(COUNTIF($D$5:$D115,$D115)=1,1,0))</f>
        <v>0</v>
      </c>
      <c r="AA115" t="str">
        <f>IF(Z115=1,SUM($Z$5:$Z115),"")</f>
        <v/>
      </c>
    </row>
    <row r="116" spans="1:27">
      <c r="A116" s="22"/>
      <c r="B116" s="22"/>
      <c r="C116" s="22"/>
      <c r="D116" s="22"/>
      <c r="E116" s="22"/>
      <c r="F116" s="23"/>
      <c r="G116" s="23"/>
      <c r="H116" s="24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6"/>
      <c r="U116" s="23" t="str">
        <f t="shared" si="3"/>
        <v/>
      </c>
      <c r="V116" s="22" t="str">
        <f t="shared" si="4"/>
        <v/>
      </c>
      <c r="W116" s="18" t="str">
        <f t="shared" si="5"/>
        <v/>
      </c>
      <c r="X116" s="22"/>
      <c r="Y116" s="22"/>
      <c r="Z116" s="27">
        <f>IF($D116="",0,IF(COUNTIF($D$5:$D116,$D116)=1,1,0))</f>
        <v>0</v>
      </c>
      <c r="AA116" t="str">
        <f>IF(Z116=1,SUM($Z$5:$Z116),"")</f>
        <v/>
      </c>
    </row>
    <row r="117" spans="1:27">
      <c r="A117" s="22"/>
      <c r="B117" s="22"/>
      <c r="C117" s="22"/>
      <c r="D117" s="22"/>
      <c r="E117" s="22"/>
      <c r="F117" s="23"/>
      <c r="G117" s="23"/>
      <c r="H117" s="24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6"/>
      <c r="U117" s="23" t="str">
        <f t="shared" si="3"/>
        <v/>
      </c>
      <c r="V117" s="22" t="str">
        <f t="shared" si="4"/>
        <v/>
      </c>
      <c r="W117" s="18" t="str">
        <f t="shared" si="5"/>
        <v/>
      </c>
      <c r="X117" s="22"/>
      <c r="Y117" s="22"/>
      <c r="Z117" s="27">
        <f>IF($D117="",0,IF(COUNTIF($D$5:$D117,$D117)=1,1,0))</f>
        <v>0</v>
      </c>
      <c r="AA117" t="str">
        <f>IF(Z117=1,SUM($Z$5:$Z117),"")</f>
        <v/>
      </c>
    </row>
    <row r="118" spans="1:27">
      <c r="A118" s="22"/>
      <c r="B118" s="22"/>
      <c r="C118" s="22"/>
      <c r="D118" s="22"/>
      <c r="E118" s="22"/>
      <c r="F118" s="23"/>
      <c r="G118" s="23"/>
      <c r="H118" s="24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6"/>
      <c r="U118" s="23" t="str">
        <f t="shared" si="3"/>
        <v/>
      </c>
      <c r="V118" s="22" t="str">
        <f t="shared" si="4"/>
        <v/>
      </c>
      <c r="W118" s="18" t="str">
        <f t="shared" si="5"/>
        <v/>
      </c>
      <c r="X118" s="22"/>
      <c r="Y118" s="22"/>
      <c r="Z118" s="27">
        <f>IF($D118="",0,IF(COUNTIF($D$5:$D118,$D118)=1,1,0))</f>
        <v>0</v>
      </c>
      <c r="AA118" t="str">
        <f>IF(Z118=1,SUM($Z$5:$Z118),"")</f>
        <v/>
      </c>
    </row>
    <row r="119" spans="1:27">
      <c r="A119" s="22"/>
      <c r="B119" s="22"/>
      <c r="C119" s="22"/>
      <c r="D119" s="22"/>
      <c r="E119" s="22"/>
      <c r="F119" s="23"/>
      <c r="G119" s="23"/>
      <c r="H119" s="24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6"/>
      <c r="U119" s="23" t="str">
        <f t="shared" si="3"/>
        <v/>
      </c>
      <c r="V119" s="22" t="str">
        <f t="shared" si="4"/>
        <v/>
      </c>
      <c r="W119" s="18" t="str">
        <f t="shared" si="5"/>
        <v/>
      </c>
      <c r="X119" s="22"/>
      <c r="Y119" s="22"/>
      <c r="Z119" s="27">
        <f>IF($D119="",0,IF(COUNTIF($D$5:$D119,$D119)=1,1,0))</f>
        <v>0</v>
      </c>
      <c r="AA119" t="str">
        <f>IF(Z119=1,SUM($Z$5:$Z119),"")</f>
        <v/>
      </c>
    </row>
    <row r="120" spans="1:27">
      <c r="A120" s="22"/>
      <c r="B120" s="22"/>
      <c r="C120" s="22"/>
      <c r="D120" s="22"/>
      <c r="E120" s="22"/>
      <c r="F120" s="23"/>
      <c r="G120" s="23"/>
      <c r="H120" s="24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6"/>
      <c r="U120" s="23" t="str">
        <f t="shared" si="3"/>
        <v/>
      </c>
      <c r="V120" s="22" t="str">
        <f t="shared" si="4"/>
        <v/>
      </c>
      <c r="W120" s="18" t="str">
        <f t="shared" si="5"/>
        <v/>
      </c>
      <c r="X120" s="22"/>
      <c r="Y120" s="22"/>
      <c r="Z120" s="27">
        <f>IF($D120="",0,IF(COUNTIF($D$5:$D120,$D120)=1,1,0))</f>
        <v>0</v>
      </c>
      <c r="AA120" t="str">
        <f>IF(Z120=1,SUM($Z$5:$Z120),"")</f>
        <v/>
      </c>
    </row>
    <row r="121" spans="1:27">
      <c r="A121" s="22"/>
      <c r="B121" s="22"/>
      <c r="C121" s="22"/>
      <c r="D121" s="22"/>
      <c r="E121" s="22"/>
      <c r="F121" s="23"/>
      <c r="G121" s="23"/>
      <c r="H121" s="24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6"/>
      <c r="U121" s="23" t="str">
        <f t="shared" si="3"/>
        <v/>
      </c>
      <c r="V121" s="22" t="str">
        <f t="shared" si="4"/>
        <v/>
      </c>
      <c r="W121" s="18" t="str">
        <f t="shared" si="5"/>
        <v/>
      </c>
      <c r="X121" s="22"/>
      <c r="Y121" s="22"/>
      <c r="Z121" s="27">
        <f>IF($D121="",0,IF(COUNTIF($D$5:$D121,$D121)=1,1,0))</f>
        <v>0</v>
      </c>
      <c r="AA121" t="str">
        <f>IF(Z121=1,SUM($Z$5:$Z121),"")</f>
        <v/>
      </c>
    </row>
    <row r="122" spans="1:27">
      <c r="A122" s="22"/>
      <c r="B122" s="22"/>
      <c r="C122" s="22"/>
      <c r="D122" s="22"/>
      <c r="E122" s="22"/>
      <c r="F122" s="23"/>
      <c r="G122" s="23"/>
      <c r="H122" s="24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6"/>
      <c r="U122" s="23" t="str">
        <f t="shared" si="3"/>
        <v/>
      </c>
      <c r="V122" s="22" t="str">
        <f t="shared" si="4"/>
        <v/>
      </c>
      <c r="W122" s="18" t="str">
        <f t="shared" si="5"/>
        <v/>
      </c>
      <c r="X122" s="22"/>
      <c r="Y122" s="22"/>
      <c r="Z122" s="27">
        <f>IF($D122="",0,IF(COUNTIF($D$5:$D122,$D122)=1,1,0))</f>
        <v>0</v>
      </c>
      <c r="AA122" t="str">
        <f>IF(Z122=1,SUM($Z$5:$Z122),"")</f>
        <v/>
      </c>
    </row>
    <row r="123" spans="1:27">
      <c r="A123" s="22"/>
      <c r="B123" s="22"/>
      <c r="C123" s="22"/>
      <c r="D123" s="22"/>
      <c r="E123" s="22"/>
      <c r="F123" s="23"/>
      <c r="G123" s="23"/>
      <c r="H123" s="24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6"/>
      <c r="U123" s="23" t="str">
        <f t="shared" si="3"/>
        <v/>
      </c>
      <c r="V123" s="22" t="str">
        <f t="shared" si="4"/>
        <v/>
      </c>
      <c r="W123" s="18" t="str">
        <f t="shared" si="5"/>
        <v/>
      </c>
      <c r="X123" s="22"/>
      <c r="Y123" s="22"/>
      <c r="Z123" s="27">
        <f>IF($D123="",0,IF(COUNTIF($D$5:$D123,$D123)=1,1,0))</f>
        <v>0</v>
      </c>
      <c r="AA123" t="str">
        <f>IF(Z123=1,SUM($Z$5:$Z123),"")</f>
        <v/>
      </c>
    </row>
    <row r="124" spans="1:27">
      <c r="A124" s="22"/>
      <c r="B124" s="22"/>
      <c r="C124" s="22"/>
      <c r="D124" s="22"/>
      <c r="E124" s="22"/>
      <c r="F124" s="23"/>
      <c r="G124" s="23"/>
      <c r="H124" s="24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6"/>
      <c r="U124" s="23" t="str">
        <f t="shared" si="3"/>
        <v/>
      </c>
      <c r="V124" s="22" t="str">
        <f t="shared" si="4"/>
        <v/>
      </c>
      <c r="W124" s="18" t="str">
        <f t="shared" si="5"/>
        <v/>
      </c>
      <c r="X124" s="22"/>
      <c r="Y124" s="22"/>
      <c r="Z124" s="27">
        <f>IF($D124="",0,IF(COUNTIF($D$5:$D124,$D124)=1,1,0))</f>
        <v>0</v>
      </c>
      <c r="AA124" t="str">
        <f>IF(Z124=1,SUM($Z$5:$Z124),"")</f>
        <v/>
      </c>
    </row>
    <row r="125" spans="1:27">
      <c r="A125" s="22"/>
      <c r="B125" s="22"/>
      <c r="C125" s="22"/>
      <c r="D125" s="22"/>
      <c r="E125" s="22"/>
      <c r="F125" s="23"/>
      <c r="G125" s="23"/>
      <c r="H125" s="24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6"/>
      <c r="U125" s="23" t="str">
        <f t="shared" si="3"/>
        <v/>
      </c>
      <c r="V125" s="22" t="str">
        <f t="shared" si="4"/>
        <v/>
      </c>
      <c r="W125" s="18" t="str">
        <f t="shared" si="5"/>
        <v/>
      </c>
      <c r="X125" s="22"/>
      <c r="Y125" s="22"/>
      <c r="Z125" s="27">
        <f>IF($D125="",0,IF(COUNTIF($D$5:$D125,$D125)=1,1,0))</f>
        <v>0</v>
      </c>
      <c r="AA125" t="str">
        <f>IF(Z125=1,SUM($Z$5:$Z125),"")</f>
        <v/>
      </c>
    </row>
    <row r="126" spans="1:27">
      <c r="A126" s="22"/>
      <c r="B126" s="22"/>
      <c r="C126" s="22"/>
      <c r="D126" s="22"/>
      <c r="E126" s="22"/>
      <c r="F126" s="23"/>
      <c r="G126" s="23"/>
      <c r="H126" s="24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6"/>
      <c r="U126" s="23" t="str">
        <f t="shared" si="3"/>
        <v/>
      </c>
      <c r="V126" s="22" t="str">
        <f t="shared" si="4"/>
        <v/>
      </c>
      <c r="W126" s="18" t="str">
        <f t="shared" si="5"/>
        <v/>
      </c>
      <c r="X126" s="22"/>
      <c r="Y126" s="22"/>
      <c r="Z126" s="27">
        <f>IF($D126="",0,IF(COUNTIF($D$5:$D126,$D126)=1,1,0))</f>
        <v>0</v>
      </c>
      <c r="AA126" t="str">
        <f>IF(Z126=1,SUM($Z$5:$Z126),"")</f>
        <v/>
      </c>
    </row>
    <row r="127" spans="1:27">
      <c r="A127" s="22"/>
      <c r="B127" s="22"/>
      <c r="C127" s="22"/>
      <c r="D127" s="22"/>
      <c r="E127" s="22"/>
      <c r="F127" s="23"/>
      <c r="G127" s="23"/>
      <c r="H127" s="24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6"/>
      <c r="U127" s="23" t="str">
        <f t="shared" si="3"/>
        <v/>
      </c>
      <c r="V127" s="22" t="str">
        <f t="shared" si="4"/>
        <v/>
      </c>
      <c r="W127" s="18" t="str">
        <f t="shared" si="5"/>
        <v/>
      </c>
      <c r="X127" s="22"/>
      <c r="Y127" s="22"/>
      <c r="Z127" s="27">
        <f>IF($D127="",0,IF(COUNTIF($D$5:$D127,$D127)=1,1,0))</f>
        <v>0</v>
      </c>
      <c r="AA127" t="str">
        <f>IF(Z127=1,SUM($Z$5:$Z127),"")</f>
        <v/>
      </c>
    </row>
    <row r="128" spans="1:27">
      <c r="A128" s="22"/>
      <c r="B128" s="22"/>
      <c r="C128" s="22"/>
      <c r="D128" s="22"/>
      <c r="E128" s="22"/>
      <c r="F128" s="23"/>
      <c r="G128" s="23"/>
      <c r="H128" s="24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6"/>
      <c r="U128" s="23" t="str">
        <f t="shared" si="3"/>
        <v/>
      </c>
      <c r="V128" s="22" t="str">
        <f t="shared" si="4"/>
        <v/>
      </c>
      <c r="W128" s="18" t="str">
        <f t="shared" si="5"/>
        <v/>
      </c>
      <c r="X128" s="22"/>
      <c r="Y128" s="22"/>
      <c r="Z128" s="27">
        <f>IF($D128="",0,IF(COUNTIF($D$5:$D128,$D128)=1,1,0))</f>
        <v>0</v>
      </c>
      <c r="AA128" t="str">
        <f>IF(Z128=1,SUM($Z$5:$Z128),"")</f>
        <v/>
      </c>
    </row>
    <row r="129" spans="1:27">
      <c r="A129" s="22"/>
      <c r="B129" s="22"/>
      <c r="C129" s="22"/>
      <c r="D129" s="22"/>
      <c r="E129" s="22"/>
      <c r="F129" s="23"/>
      <c r="G129" s="23"/>
      <c r="H129" s="24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6"/>
      <c r="U129" s="23" t="str">
        <f t="shared" si="3"/>
        <v/>
      </c>
      <c r="V129" s="22" t="str">
        <f t="shared" si="4"/>
        <v/>
      </c>
      <c r="W129" s="18" t="str">
        <f t="shared" si="5"/>
        <v/>
      </c>
      <c r="X129" s="22"/>
      <c r="Y129" s="22"/>
      <c r="Z129" s="27">
        <f>IF($D129="",0,IF(COUNTIF($D$5:$D129,$D129)=1,1,0))</f>
        <v>0</v>
      </c>
      <c r="AA129" t="str">
        <f>IF(Z129=1,SUM($Z$5:$Z129),"")</f>
        <v/>
      </c>
    </row>
    <row r="130" spans="1:27">
      <c r="A130" s="22"/>
      <c r="B130" s="22"/>
      <c r="C130" s="22"/>
      <c r="D130" s="22"/>
      <c r="E130" s="22"/>
      <c r="F130" s="23"/>
      <c r="G130" s="23"/>
      <c r="H130" s="24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6"/>
      <c r="U130" s="23" t="str">
        <f t="shared" si="3"/>
        <v/>
      </c>
      <c r="V130" s="22" t="str">
        <f t="shared" si="4"/>
        <v/>
      </c>
      <c r="W130" s="18" t="str">
        <f t="shared" si="5"/>
        <v/>
      </c>
      <c r="X130" s="22"/>
      <c r="Y130" s="22"/>
      <c r="Z130" s="27">
        <f>IF($D130="",0,IF(COUNTIF($D$5:$D130,$D130)=1,1,0))</f>
        <v>0</v>
      </c>
      <c r="AA130" t="str">
        <f>IF(Z130=1,SUM($Z$5:$Z130),"")</f>
        <v/>
      </c>
    </row>
    <row r="131" spans="1:27">
      <c r="A131" s="22"/>
      <c r="B131" s="22"/>
      <c r="C131" s="22"/>
      <c r="D131" s="22"/>
      <c r="E131" s="22"/>
      <c r="F131" s="23"/>
      <c r="G131" s="23"/>
      <c r="H131" s="24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6"/>
      <c r="U131" s="23" t="str">
        <f t="shared" si="3"/>
        <v/>
      </c>
      <c r="V131" s="22" t="str">
        <f t="shared" si="4"/>
        <v/>
      </c>
      <c r="W131" s="18" t="str">
        <f t="shared" si="5"/>
        <v/>
      </c>
      <c r="X131" s="22"/>
      <c r="Y131" s="22"/>
      <c r="Z131" s="27">
        <f>IF($D131="",0,IF(COUNTIF($D$5:$D131,$D131)=1,1,0))</f>
        <v>0</v>
      </c>
      <c r="AA131" t="str">
        <f>IF(Z131=1,SUM($Z$5:$Z131),"")</f>
        <v/>
      </c>
    </row>
    <row r="132" spans="1:27">
      <c r="A132" s="22"/>
      <c r="B132" s="22"/>
      <c r="C132" s="22"/>
      <c r="D132" s="22"/>
      <c r="E132" s="22"/>
      <c r="F132" s="23"/>
      <c r="G132" s="23"/>
      <c r="H132" s="24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6"/>
      <c r="U132" s="23" t="str">
        <f t="shared" si="3"/>
        <v/>
      </c>
      <c r="V132" s="22" t="str">
        <f t="shared" si="4"/>
        <v/>
      </c>
      <c r="W132" s="18" t="str">
        <f t="shared" si="5"/>
        <v/>
      </c>
      <c r="X132" s="22"/>
      <c r="Y132" s="22"/>
      <c r="Z132" s="27">
        <f>IF($D132="",0,IF(COUNTIF($D$5:$D132,$D132)=1,1,0))</f>
        <v>0</v>
      </c>
      <c r="AA132" t="str">
        <f>IF(Z132=1,SUM($Z$5:$Z132),"")</f>
        <v/>
      </c>
    </row>
    <row r="133" spans="1:27">
      <c r="A133" s="22"/>
      <c r="B133" s="22"/>
      <c r="C133" s="22"/>
      <c r="D133" s="22"/>
      <c r="E133" s="22"/>
      <c r="F133" s="23"/>
      <c r="G133" s="23"/>
      <c r="H133" s="24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6"/>
      <c r="U133" s="23" t="str">
        <f t="shared" si="3"/>
        <v/>
      </c>
      <c r="V133" s="22" t="str">
        <f t="shared" si="4"/>
        <v/>
      </c>
      <c r="W133" s="18" t="str">
        <f t="shared" si="5"/>
        <v/>
      </c>
      <c r="X133" s="22"/>
      <c r="Y133" s="22"/>
      <c r="Z133" s="27">
        <f>IF($D133="",0,IF(COUNTIF($D$5:$D133,$D133)=1,1,0))</f>
        <v>0</v>
      </c>
      <c r="AA133" t="str">
        <f>IF(Z133=1,SUM($Z$5:$Z133),"")</f>
        <v/>
      </c>
    </row>
    <row r="134" spans="1:27">
      <c r="A134" s="22"/>
      <c r="B134" s="22"/>
      <c r="C134" s="22"/>
      <c r="D134" s="22"/>
      <c r="E134" s="22"/>
      <c r="F134" s="23"/>
      <c r="G134" s="23"/>
      <c r="H134" s="24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6"/>
      <c r="U134" s="23" t="str">
        <f t="shared" ref="U134:U197" si="6">IF($E134="","",COUNTIF($I134:$S134,"V"))</f>
        <v/>
      </c>
      <c r="V134" s="22" t="str">
        <f t="shared" ref="V134:V197" si="7">IF($E134="","",IF(AND($T134="V",$U134&gt;0),"⚠ 勾選矛盾",IF($T134="V","○ 免調理",IF($U134=0,"⚠ 資料缺漏",IF($U134=1,"▲ 單一設備依賴","OK")))))</f>
        <v/>
      </c>
      <c r="W134" s="18" t="str">
        <f t="shared" ref="W134:W197" si="8">IF($E134="","",IF(AND($T134="V",$U134&gt;0),"「無使用調理設備」不可與設備欄同時勾選，請擇一修正",IF($T134="V","免調理半成品（外購/僅切配等），不列入設備風險評估",IF($U134=0,"未勾選任何設備，請補填或勾選「無使用調理設備」",IF($U134=1,"僅依賴1台設備，須確認故障/排修時之備援製程","無異常")))))</f>
        <v/>
      </c>
      <c r="X134" s="22"/>
      <c r="Y134" s="22"/>
      <c r="Z134" s="27">
        <f>IF($D134="",0,IF(COUNTIF($D$5:$D134,$D134)=1,1,0))</f>
        <v>0</v>
      </c>
      <c r="AA134" t="str">
        <f>IF(Z134=1,SUM($Z$5:$Z134),"")</f>
        <v/>
      </c>
    </row>
    <row r="135" spans="1:27">
      <c r="A135" s="22"/>
      <c r="B135" s="22"/>
      <c r="C135" s="22"/>
      <c r="D135" s="22"/>
      <c r="E135" s="22"/>
      <c r="F135" s="23"/>
      <c r="G135" s="23"/>
      <c r="H135" s="24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6"/>
      <c r="U135" s="23" t="str">
        <f t="shared" si="6"/>
        <v/>
      </c>
      <c r="V135" s="22" t="str">
        <f t="shared" si="7"/>
        <v/>
      </c>
      <c r="W135" s="18" t="str">
        <f t="shared" si="8"/>
        <v/>
      </c>
      <c r="X135" s="22"/>
      <c r="Y135" s="22"/>
      <c r="Z135" s="27">
        <f>IF($D135="",0,IF(COUNTIF($D$5:$D135,$D135)=1,1,0))</f>
        <v>0</v>
      </c>
      <c r="AA135" t="str">
        <f>IF(Z135=1,SUM($Z$5:$Z135),"")</f>
        <v/>
      </c>
    </row>
    <row r="136" spans="1:27">
      <c r="A136" s="22"/>
      <c r="B136" s="22"/>
      <c r="C136" s="22"/>
      <c r="D136" s="22"/>
      <c r="E136" s="22"/>
      <c r="F136" s="23"/>
      <c r="G136" s="23"/>
      <c r="H136" s="24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6"/>
      <c r="U136" s="23" t="str">
        <f t="shared" si="6"/>
        <v/>
      </c>
      <c r="V136" s="22" t="str">
        <f t="shared" si="7"/>
        <v/>
      </c>
      <c r="W136" s="18" t="str">
        <f t="shared" si="8"/>
        <v/>
      </c>
      <c r="X136" s="22"/>
      <c r="Y136" s="22"/>
      <c r="Z136" s="27">
        <f>IF($D136="",0,IF(COUNTIF($D$5:$D136,$D136)=1,1,0))</f>
        <v>0</v>
      </c>
      <c r="AA136" t="str">
        <f>IF(Z136=1,SUM($Z$5:$Z136),"")</f>
        <v/>
      </c>
    </row>
    <row r="137" spans="1:27">
      <c r="A137" s="22"/>
      <c r="B137" s="22"/>
      <c r="C137" s="22"/>
      <c r="D137" s="22"/>
      <c r="E137" s="22"/>
      <c r="F137" s="23"/>
      <c r="G137" s="23"/>
      <c r="H137" s="24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6"/>
      <c r="U137" s="23" t="str">
        <f t="shared" si="6"/>
        <v/>
      </c>
      <c r="V137" s="22" t="str">
        <f t="shared" si="7"/>
        <v/>
      </c>
      <c r="W137" s="18" t="str">
        <f t="shared" si="8"/>
        <v/>
      </c>
      <c r="X137" s="22"/>
      <c r="Y137" s="22"/>
      <c r="Z137" s="27">
        <f>IF($D137="",0,IF(COUNTIF($D$5:$D137,$D137)=1,1,0))</f>
        <v>0</v>
      </c>
      <c r="AA137" t="str">
        <f>IF(Z137=1,SUM($Z$5:$Z137),"")</f>
        <v/>
      </c>
    </row>
    <row r="138" spans="1:27">
      <c r="A138" s="22"/>
      <c r="B138" s="22"/>
      <c r="C138" s="22"/>
      <c r="D138" s="22"/>
      <c r="E138" s="22"/>
      <c r="F138" s="23"/>
      <c r="G138" s="23"/>
      <c r="H138" s="24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6"/>
      <c r="U138" s="23" t="str">
        <f t="shared" si="6"/>
        <v/>
      </c>
      <c r="V138" s="22" t="str">
        <f t="shared" si="7"/>
        <v/>
      </c>
      <c r="W138" s="18" t="str">
        <f t="shared" si="8"/>
        <v/>
      </c>
      <c r="X138" s="22"/>
      <c r="Y138" s="22"/>
      <c r="Z138" s="27">
        <f>IF($D138="",0,IF(COUNTIF($D$5:$D138,$D138)=1,1,0))</f>
        <v>0</v>
      </c>
      <c r="AA138" t="str">
        <f>IF(Z138=1,SUM($Z$5:$Z138),"")</f>
        <v/>
      </c>
    </row>
    <row r="139" spans="1:27">
      <c r="A139" s="22"/>
      <c r="B139" s="22"/>
      <c r="C139" s="22"/>
      <c r="D139" s="22"/>
      <c r="E139" s="22"/>
      <c r="F139" s="23"/>
      <c r="G139" s="23"/>
      <c r="H139" s="24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6"/>
      <c r="U139" s="23" t="str">
        <f t="shared" si="6"/>
        <v/>
      </c>
      <c r="V139" s="22" t="str">
        <f t="shared" si="7"/>
        <v/>
      </c>
      <c r="W139" s="18" t="str">
        <f t="shared" si="8"/>
        <v/>
      </c>
      <c r="X139" s="22"/>
      <c r="Y139" s="22"/>
      <c r="Z139" s="27">
        <f>IF($D139="",0,IF(COUNTIF($D$5:$D139,$D139)=1,1,0))</f>
        <v>0</v>
      </c>
      <c r="AA139" t="str">
        <f>IF(Z139=1,SUM($Z$5:$Z139),"")</f>
        <v/>
      </c>
    </row>
    <row r="140" spans="1:27">
      <c r="A140" s="22"/>
      <c r="B140" s="22"/>
      <c r="C140" s="22"/>
      <c r="D140" s="22"/>
      <c r="E140" s="22"/>
      <c r="F140" s="23"/>
      <c r="G140" s="23"/>
      <c r="H140" s="24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6"/>
      <c r="U140" s="23" t="str">
        <f t="shared" si="6"/>
        <v/>
      </c>
      <c r="V140" s="22" t="str">
        <f t="shared" si="7"/>
        <v/>
      </c>
      <c r="W140" s="18" t="str">
        <f t="shared" si="8"/>
        <v/>
      </c>
      <c r="X140" s="22"/>
      <c r="Y140" s="22"/>
      <c r="Z140" s="27">
        <f>IF($D140="",0,IF(COUNTIF($D$5:$D140,$D140)=1,1,0))</f>
        <v>0</v>
      </c>
      <c r="AA140" t="str">
        <f>IF(Z140=1,SUM($Z$5:$Z140),"")</f>
        <v/>
      </c>
    </row>
    <row r="141" spans="1:27">
      <c r="A141" s="22"/>
      <c r="B141" s="22"/>
      <c r="C141" s="22"/>
      <c r="D141" s="22"/>
      <c r="E141" s="22"/>
      <c r="F141" s="23"/>
      <c r="G141" s="23"/>
      <c r="H141" s="24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6"/>
      <c r="U141" s="23" t="str">
        <f t="shared" si="6"/>
        <v/>
      </c>
      <c r="V141" s="22" t="str">
        <f t="shared" si="7"/>
        <v/>
      </c>
      <c r="W141" s="18" t="str">
        <f t="shared" si="8"/>
        <v/>
      </c>
      <c r="X141" s="22"/>
      <c r="Y141" s="22"/>
      <c r="Z141" s="27">
        <f>IF($D141="",0,IF(COUNTIF($D$5:$D141,$D141)=1,1,0))</f>
        <v>0</v>
      </c>
      <c r="AA141" t="str">
        <f>IF(Z141=1,SUM($Z$5:$Z141),"")</f>
        <v/>
      </c>
    </row>
    <row r="142" spans="1:27">
      <c r="A142" s="22"/>
      <c r="B142" s="22"/>
      <c r="C142" s="22"/>
      <c r="D142" s="22"/>
      <c r="E142" s="22"/>
      <c r="F142" s="23"/>
      <c r="G142" s="23"/>
      <c r="H142" s="24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6"/>
      <c r="U142" s="23" t="str">
        <f t="shared" si="6"/>
        <v/>
      </c>
      <c r="V142" s="22" t="str">
        <f t="shared" si="7"/>
        <v/>
      </c>
      <c r="W142" s="18" t="str">
        <f t="shared" si="8"/>
        <v/>
      </c>
      <c r="X142" s="22"/>
      <c r="Y142" s="22"/>
      <c r="Z142" s="27">
        <f>IF($D142="",0,IF(COUNTIF($D$5:$D142,$D142)=1,1,0))</f>
        <v>0</v>
      </c>
      <c r="AA142" t="str">
        <f>IF(Z142=1,SUM($Z$5:$Z142),"")</f>
        <v/>
      </c>
    </row>
    <row r="143" spans="1:27">
      <c r="A143" s="22"/>
      <c r="B143" s="22"/>
      <c r="C143" s="22"/>
      <c r="D143" s="22"/>
      <c r="E143" s="22"/>
      <c r="F143" s="23"/>
      <c r="G143" s="23"/>
      <c r="H143" s="24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6"/>
      <c r="U143" s="23" t="str">
        <f t="shared" si="6"/>
        <v/>
      </c>
      <c r="V143" s="22" t="str">
        <f t="shared" si="7"/>
        <v/>
      </c>
      <c r="W143" s="18" t="str">
        <f t="shared" si="8"/>
        <v/>
      </c>
      <c r="X143" s="22"/>
      <c r="Y143" s="22"/>
      <c r="Z143" s="27">
        <f>IF($D143="",0,IF(COUNTIF($D$5:$D143,$D143)=1,1,0))</f>
        <v>0</v>
      </c>
      <c r="AA143" t="str">
        <f>IF(Z143=1,SUM($Z$5:$Z143),"")</f>
        <v/>
      </c>
    </row>
    <row r="144" spans="1:27">
      <c r="A144" s="22"/>
      <c r="B144" s="22"/>
      <c r="C144" s="22"/>
      <c r="D144" s="22"/>
      <c r="E144" s="22"/>
      <c r="F144" s="23"/>
      <c r="G144" s="23"/>
      <c r="H144" s="24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6"/>
      <c r="U144" s="23" t="str">
        <f t="shared" si="6"/>
        <v/>
      </c>
      <c r="V144" s="22" t="str">
        <f t="shared" si="7"/>
        <v/>
      </c>
      <c r="W144" s="18" t="str">
        <f t="shared" si="8"/>
        <v/>
      </c>
      <c r="X144" s="22"/>
      <c r="Y144" s="22"/>
      <c r="Z144" s="27">
        <f>IF($D144="",0,IF(COUNTIF($D$5:$D144,$D144)=1,1,0))</f>
        <v>0</v>
      </c>
      <c r="AA144" t="str">
        <f>IF(Z144=1,SUM($Z$5:$Z144),"")</f>
        <v/>
      </c>
    </row>
    <row r="145" spans="1:27">
      <c r="A145" s="22"/>
      <c r="B145" s="22"/>
      <c r="C145" s="22"/>
      <c r="D145" s="22"/>
      <c r="E145" s="22"/>
      <c r="F145" s="23"/>
      <c r="G145" s="23"/>
      <c r="H145" s="24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6"/>
      <c r="U145" s="23" t="str">
        <f t="shared" si="6"/>
        <v/>
      </c>
      <c r="V145" s="22" t="str">
        <f t="shared" si="7"/>
        <v/>
      </c>
      <c r="W145" s="18" t="str">
        <f t="shared" si="8"/>
        <v/>
      </c>
      <c r="X145" s="22"/>
      <c r="Y145" s="22"/>
      <c r="Z145" s="27">
        <f>IF($D145="",0,IF(COUNTIF($D$5:$D145,$D145)=1,1,0))</f>
        <v>0</v>
      </c>
      <c r="AA145" t="str">
        <f>IF(Z145=1,SUM($Z$5:$Z145),"")</f>
        <v/>
      </c>
    </row>
    <row r="146" spans="1:27">
      <c r="A146" s="22"/>
      <c r="B146" s="22"/>
      <c r="C146" s="22"/>
      <c r="D146" s="22"/>
      <c r="E146" s="22"/>
      <c r="F146" s="23"/>
      <c r="G146" s="23"/>
      <c r="H146" s="24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6"/>
      <c r="U146" s="23" t="str">
        <f t="shared" si="6"/>
        <v/>
      </c>
      <c r="V146" s="22" t="str">
        <f t="shared" si="7"/>
        <v/>
      </c>
      <c r="W146" s="18" t="str">
        <f t="shared" si="8"/>
        <v/>
      </c>
      <c r="X146" s="22"/>
      <c r="Y146" s="22"/>
      <c r="Z146" s="27">
        <f>IF($D146="",0,IF(COUNTIF($D$5:$D146,$D146)=1,1,0))</f>
        <v>0</v>
      </c>
      <c r="AA146" t="str">
        <f>IF(Z146=1,SUM($Z$5:$Z146),"")</f>
        <v/>
      </c>
    </row>
    <row r="147" spans="1:27">
      <c r="A147" s="22"/>
      <c r="B147" s="22"/>
      <c r="C147" s="22"/>
      <c r="D147" s="22"/>
      <c r="E147" s="22"/>
      <c r="F147" s="23"/>
      <c r="G147" s="23"/>
      <c r="H147" s="24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6"/>
      <c r="U147" s="23" t="str">
        <f t="shared" si="6"/>
        <v/>
      </c>
      <c r="V147" s="22" t="str">
        <f t="shared" si="7"/>
        <v/>
      </c>
      <c r="W147" s="18" t="str">
        <f t="shared" si="8"/>
        <v/>
      </c>
      <c r="X147" s="22"/>
      <c r="Y147" s="22"/>
      <c r="Z147" s="27">
        <f>IF($D147="",0,IF(COUNTIF($D$5:$D147,$D147)=1,1,0))</f>
        <v>0</v>
      </c>
      <c r="AA147" t="str">
        <f>IF(Z147=1,SUM($Z$5:$Z147),"")</f>
        <v/>
      </c>
    </row>
    <row r="148" spans="1:27">
      <c r="A148" s="22"/>
      <c r="B148" s="22"/>
      <c r="C148" s="22"/>
      <c r="D148" s="22"/>
      <c r="E148" s="22"/>
      <c r="F148" s="23"/>
      <c r="G148" s="23"/>
      <c r="H148" s="24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6"/>
      <c r="U148" s="23" t="str">
        <f t="shared" si="6"/>
        <v/>
      </c>
      <c r="V148" s="22" t="str">
        <f t="shared" si="7"/>
        <v/>
      </c>
      <c r="W148" s="18" t="str">
        <f t="shared" si="8"/>
        <v/>
      </c>
      <c r="X148" s="22"/>
      <c r="Y148" s="22"/>
      <c r="Z148" s="27">
        <f>IF($D148="",0,IF(COUNTIF($D$5:$D148,$D148)=1,1,0))</f>
        <v>0</v>
      </c>
      <c r="AA148" t="str">
        <f>IF(Z148=1,SUM($Z$5:$Z148),"")</f>
        <v/>
      </c>
    </row>
    <row r="149" spans="1:27">
      <c r="A149" s="22"/>
      <c r="B149" s="22"/>
      <c r="C149" s="22"/>
      <c r="D149" s="22"/>
      <c r="E149" s="22"/>
      <c r="F149" s="23"/>
      <c r="G149" s="23"/>
      <c r="H149" s="24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6"/>
      <c r="U149" s="23" t="str">
        <f t="shared" si="6"/>
        <v/>
      </c>
      <c r="V149" s="22" t="str">
        <f t="shared" si="7"/>
        <v/>
      </c>
      <c r="W149" s="18" t="str">
        <f t="shared" si="8"/>
        <v/>
      </c>
      <c r="X149" s="22"/>
      <c r="Y149" s="22"/>
      <c r="Z149" s="27">
        <f>IF($D149="",0,IF(COUNTIF($D$5:$D149,$D149)=1,1,0))</f>
        <v>0</v>
      </c>
      <c r="AA149" t="str">
        <f>IF(Z149=1,SUM($Z$5:$Z149),"")</f>
        <v/>
      </c>
    </row>
    <row r="150" spans="1:27">
      <c r="A150" s="22"/>
      <c r="B150" s="22"/>
      <c r="C150" s="22"/>
      <c r="D150" s="22"/>
      <c r="E150" s="22"/>
      <c r="F150" s="23"/>
      <c r="G150" s="23"/>
      <c r="H150" s="24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6"/>
      <c r="U150" s="23" t="str">
        <f t="shared" si="6"/>
        <v/>
      </c>
      <c r="V150" s="22" t="str">
        <f t="shared" si="7"/>
        <v/>
      </c>
      <c r="W150" s="18" t="str">
        <f t="shared" si="8"/>
        <v/>
      </c>
      <c r="X150" s="22"/>
      <c r="Y150" s="22"/>
      <c r="Z150" s="27">
        <f>IF($D150="",0,IF(COUNTIF($D$5:$D150,$D150)=1,1,0))</f>
        <v>0</v>
      </c>
      <c r="AA150" t="str">
        <f>IF(Z150=1,SUM($Z$5:$Z150),"")</f>
        <v/>
      </c>
    </row>
    <row r="151" spans="1:27">
      <c r="A151" s="22"/>
      <c r="B151" s="22"/>
      <c r="C151" s="22"/>
      <c r="D151" s="22"/>
      <c r="E151" s="22"/>
      <c r="F151" s="23"/>
      <c r="G151" s="23"/>
      <c r="H151" s="24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6"/>
      <c r="U151" s="23" t="str">
        <f t="shared" si="6"/>
        <v/>
      </c>
      <c r="V151" s="22" t="str">
        <f t="shared" si="7"/>
        <v/>
      </c>
      <c r="W151" s="18" t="str">
        <f t="shared" si="8"/>
        <v/>
      </c>
      <c r="X151" s="22"/>
      <c r="Y151" s="22"/>
      <c r="Z151" s="27">
        <f>IF($D151="",0,IF(COUNTIF($D$5:$D151,$D151)=1,1,0))</f>
        <v>0</v>
      </c>
      <c r="AA151" t="str">
        <f>IF(Z151=1,SUM($Z$5:$Z151),"")</f>
        <v/>
      </c>
    </row>
    <row r="152" spans="1:27">
      <c r="A152" s="22"/>
      <c r="B152" s="22"/>
      <c r="C152" s="22"/>
      <c r="D152" s="22"/>
      <c r="E152" s="22"/>
      <c r="F152" s="23"/>
      <c r="G152" s="23"/>
      <c r="H152" s="24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6"/>
      <c r="U152" s="23" t="str">
        <f t="shared" si="6"/>
        <v/>
      </c>
      <c r="V152" s="22" t="str">
        <f t="shared" si="7"/>
        <v/>
      </c>
      <c r="W152" s="18" t="str">
        <f t="shared" si="8"/>
        <v/>
      </c>
      <c r="X152" s="22"/>
      <c r="Y152" s="22"/>
      <c r="Z152" s="27">
        <f>IF($D152="",0,IF(COUNTIF($D$5:$D152,$D152)=1,1,0))</f>
        <v>0</v>
      </c>
      <c r="AA152" t="str">
        <f>IF(Z152=1,SUM($Z$5:$Z152),"")</f>
        <v/>
      </c>
    </row>
    <row r="153" spans="1:27">
      <c r="A153" s="22"/>
      <c r="B153" s="22"/>
      <c r="C153" s="22"/>
      <c r="D153" s="22"/>
      <c r="E153" s="22"/>
      <c r="F153" s="23"/>
      <c r="G153" s="23"/>
      <c r="H153" s="24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6"/>
      <c r="U153" s="23" t="str">
        <f t="shared" si="6"/>
        <v/>
      </c>
      <c r="V153" s="22" t="str">
        <f t="shared" si="7"/>
        <v/>
      </c>
      <c r="W153" s="18" t="str">
        <f t="shared" si="8"/>
        <v/>
      </c>
      <c r="X153" s="22"/>
      <c r="Y153" s="22"/>
      <c r="Z153" s="27">
        <f>IF($D153="",0,IF(COUNTIF($D$5:$D153,$D153)=1,1,0))</f>
        <v>0</v>
      </c>
      <c r="AA153" t="str">
        <f>IF(Z153=1,SUM($Z$5:$Z153),"")</f>
        <v/>
      </c>
    </row>
    <row r="154" spans="1:27">
      <c r="A154" s="22"/>
      <c r="B154" s="22"/>
      <c r="C154" s="22"/>
      <c r="D154" s="22"/>
      <c r="E154" s="22"/>
      <c r="F154" s="23"/>
      <c r="G154" s="23"/>
      <c r="H154" s="24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6"/>
      <c r="U154" s="23" t="str">
        <f t="shared" si="6"/>
        <v/>
      </c>
      <c r="V154" s="22" t="str">
        <f t="shared" si="7"/>
        <v/>
      </c>
      <c r="W154" s="18" t="str">
        <f t="shared" si="8"/>
        <v/>
      </c>
      <c r="X154" s="22"/>
      <c r="Y154" s="22"/>
      <c r="Z154" s="27">
        <f>IF($D154="",0,IF(COUNTIF($D$5:$D154,$D154)=1,1,0))</f>
        <v>0</v>
      </c>
      <c r="AA154" t="str">
        <f>IF(Z154=1,SUM($Z$5:$Z154),"")</f>
        <v/>
      </c>
    </row>
    <row r="155" spans="1:27">
      <c r="A155" s="22"/>
      <c r="B155" s="22"/>
      <c r="C155" s="22"/>
      <c r="D155" s="22"/>
      <c r="E155" s="22"/>
      <c r="F155" s="23"/>
      <c r="G155" s="23"/>
      <c r="H155" s="24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6"/>
      <c r="U155" s="23" t="str">
        <f t="shared" si="6"/>
        <v/>
      </c>
      <c r="V155" s="22" t="str">
        <f t="shared" si="7"/>
        <v/>
      </c>
      <c r="W155" s="18" t="str">
        <f t="shared" si="8"/>
        <v/>
      </c>
      <c r="X155" s="22"/>
      <c r="Y155" s="22"/>
      <c r="Z155" s="27">
        <f>IF($D155="",0,IF(COUNTIF($D$5:$D155,$D155)=1,1,0))</f>
        <v>0</v>
      </c>
      <c r="AA155" t="str">
        <f>IF(Z155=1,SUM($Z$5:$Z155),"")</f>
        <v/>
      </c>
    </row>
    <row r="156" spans="1:27">
      <c r="A156" s="22"/>
      <c r="B156" s="22"/>
      <c r="C156" s="22"/>
      <c r="D156" s="22"/>
      <c r="E156" s="22"/>
      <c r="F156" s="23"/>
      <c r="G156" s="23"/>
      <c r="H156" s="24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6"/>
      <c r="U156" s="23" t="str">
        <f t="shared" si="6"/>
        <v/>
      </c>
      <c r="V156" s="22" t="str">
        <f t="shared" si="7"/>
        <v/>
      </c>
      <c r="W156" s="18" t="str">
        <f t="shared" si="8"/>
        <v/>
      </c>
      <c r="X156" s="22"/>
      <c r="Y156" s="22"/>
      <c r="Z156" s="27">
        <f>IF($D156="",0,IF(COUNTIF($D$5:$D156,$D156)=1,1,0))</f>
        <v>0</v>
      </c>
      <c r="AA156" t="str">
        <f>IF(Z156=1,SUM($Z$5:$Z156),"")</f>
        <v/>
      </c>
    </row>
    <row r="157" spans="1:27">
      <c r="A157" s="22"/>
      <c r="B157" s="22"/>
      <c r="C157" s="22"/>
      <c r="D157" s="22"/>
      <c r="E157" s="22"/>
      <c r="F157" s="23"/>
      <c r="G157" s="23"/>
      <c r="H157" s="24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6"/>
      <c r="U157" s="23" t="str">
        <f t="shared" si="6"/>
        <v/>
      </c>
      <c r="V157" s="22" t="str">
        <f t="shared" si="7"/>
        <v/>
      </c>
      <c r="W157" s="18" t="str">
        <f t="shared" si="8"/>
        <v/>
      </c>
      <c r="X157" s="22"/>
      <c r="Y157" s="22"/>
      <c r="Z157" s="27">
        <f>IF($D157="",0,IF(COUNTIF($D$5:$D157,$D157)=1,1,0))</f>
        <v>0</v>
      </c>
      <c r="AA157" t="str">
        <f>IF(Z157=1,SUM($Z$5:$Z157),"")</f>
        <v/>
      </c>
    </row>
    <row r="158" spans="1:27">
      <c r="A158" s="22"/>
      <c r="B158" s="22"/>
      <c r="C158" s="22"/>
      <c r="D158" s="22"/>
      <c r="E158" s="22"/>
      <c r="F158" s="23"/>
      <c r="G158" s="23"/>
      <c r="H158" s="24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6"/>
      <c r="U158" s="23" t="str">
        <f t="shared" si="6"/>
        <v/>
      </c>
      <c r="V158" s="22" t="str">
        <f t="shared" si="7"/>
        <v/>
      </c>
      <c r="W158" s="18" t="str">
        <f t="shared" si="8"/>
        <v/>
      </c>
      <c r="X158" s="22"/>
      <c r="Y158" s="22"/>
      <c r="Z158" s="27">
        <f>IF($D158="",0,IF(COUNTIF($D$5:$D158,$D158)=1,1,0))</f>
        <v>0</v>
      </c>
      <c r="AA158" t="str">
        <f>IF(Z158=1,SUM($Z$5:$Z158),"")</f>
        <v/>
      </c>
    </row>
    <row r="159" spans="1:27">
      <c r="A159" s="22"/>
      <c r="B159" s="22"/>
      <c r="C159" s="22"/>
      <c r="D159" s="22"/>
      <c r="E159" s="22"/>
      <c r="F159" s="23"/>
      <c r="G159" s="23"/>
      <c r="H159" s="24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6"/>
      <c r="U159" s="23" t="str">
        <f t="shared" si="6"/>
        <v/>
      </c>
      <c r="V159" s="22" t="str">
        <f t="shared" si="7"/>
        <v/>
      </c>
      <c r="W159" s="18" t="str">
        <f t="shared" si="8"/>
        <v/>
      </c>
      <c r="X159" s="22"/>
      <c r="Y159" s="22"/>
      <c r="Z159" s="27">
        <f>IF($D159="",0,IF(COUNTIF($D$5:$D159,$D159)=1,1,0))</f>
        <v>0</v>
      </c>
      <c r="AA159" t="str">
        <f>IF(Z159=1,SUM($Z$5:$Z159),"")</f>
        <v/>
      </c>
    </row>
    <row r="160" spans="1:27">
      <c r="A160" s="22"/>
      <c r="B160" s="22"/>
      <c r="C160" s="22"/>
      <c r="D160" s="22"/>
      <c r="E160" s="22"/>
      <c r="F160" s="23"/>
      <c r="G160" s="23"/>
      <c r="H160" s="24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6"/>
      <c r="U160" s="23" t="str">
        <f t="shared" si="6"/>
        <v/>
      </c>
      <c r="V160" s="22" t="str">
        <f t="shared" si="7"/>
        <v/>
      </c>
      <c r="W160" s="18" t="str">
        <f t="shared" si="8"/>
        <v/>
      </c>
      <c r="X160" s="22"/>
      <c r="Y160" s="22"/>
      <c r="Z160" s="27">
        <f>IF($D160="",0,IF(COUNTIF($D$5:$D160,$D160)=1,1,0))</f>
        <v>0</v>
      </c>
      <c r="AA160" t="str">
        <f>IF(Z160=1,SUM($Z$5:$Z160),"")</f>
        <v/>
      </c>
    </row>
    <row r="161" spans="1:27">
      <c r="A161" s="22"/>
      <c r="B161" s="22"/>
      <c r="C161" s="22"/>
      <c r="D161" s="22"/>
      <c r="E161" s="22"/>
      <c r="F161" s="23"/>
      <c r="G161" s="23"/>
      <c r="H161" s="24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6"/>
      <c r="U161" s="23" t="str">
        <f t="shared" si="6"/>
        <v/>
      </c>
      <c r="V161" s="22" t="str">
        <f t="shared" si="7"/>
        <v/>
      </c>
      <c r="W161" s="18" t="str">
        <f t="shared" si="8"/>
        <v/>
      </c>
      <c r="X161" s="22"/>
      <c r="Y161" s="22"/>
      <c r="Z161" s="27">
        <f>IF($D161="",0,IF(COUNTIF($D$5:$D161,$D161)=1,1,0))</f>
        <v>0</v>
      </c>
      <c r="AA161" t="str">
        <f>IF(Z161=1,SUM($Z$5:$Z161),"")</f>
        <v/>
      </c>
    </row>
    <row r="162" spans="1:27">
      <c r="A162" s="22"/>
      <c r="B162" s="22"/>
      <c r="C162" s="22"/>
      <c r="D162" s="22"/>
      <c r="E162" s="22"/>
      <c r="F162" s="23"/>
      <c r="G162" s="23"/>
      <c r="H162" s="24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6"/>
      <c r="U162" s="23" t="str">
        <f t="shared" si="6"/>
        <v/>
      </c>
      <c r="V162" s="22" t="str">
        <f t="shared" si="7"/>
        <v/>
      </c>
      <c r="W162" s="18" t="str">
        <f t="shared" si="8"/>
        <v/>
      </c>
      <c r="X162" s="22"/>
      <c r="Y162" s="22"/>
      <c r="Z162" s="27">
        <f>IF($D162="",0,IF(COUNTIF($D$5:$D162,$D162)=1,1,0))</f>
        <v>0</v>
      </c>
      <c r="AA162" t="str">
        <f>IF(Z162=1,SUM($Z$5:$Z162),"")</f>
        <v/>
      </c>
    </row>
    <row r="163" spans="1:27">
      <c r="A163" s="22"/>
      <c r="B163" s="22"/>
      <c r="C163" s="22"/>
      <c r="D163" s="22"/>
      <c r="E163" s="22"/>
      <c r="F163" s="23"/>
      <c r="G163" s="23"/>
      <c r="H163" s="24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6"/>
      <c r="U163" s="23" t="str">
        <f t="shared" si="6"/>
        <v/>
      </c>
      <c r="V163" s="22" t="str">
        <f t="shared" si="7"/>
        <v/>
      </c>
      <c r="W163" s="18" t="str">
        <f t="shared" si="8"/>
        <v/>
      </c>
      <c r="X163" s="22"/>
      <c r="Y163" s="22"/>
      <c r="Z163" s="27">
        <f>IF($D163="",0,IF(COUNTIF($D$5:$D163,$D163)=1,1,0))</f>
        <v>0</v>
      </c>
      <c r="AA163" t="str">
        <f>IF(Z163=1,SUM($Z$5:$Z163),"")</f>
        <v/>
      </c>
    </row>
    <row r="164" spans="1:27">
      <c r="A164" s="22"/>
      <c r="B164" s="22"/>
      <c r="C164" s="22"/>
      <c r="D164" s="22"/>
      <c r="E164" s="22"/>
      <c r="F164" s="23"/>
      <c r="G164" s="23"/>
      <c r="H164" s="24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6"/>
      <c r="U164" s="23" t="str">
        <f t="shared" si="6"/>
        <v/>
      </c>
      <c r="V164" s="22" t="str">
        <f t="shared" si="7"/>
        <v/>
      </c>
      <c r="W164" s="18" t="str">
        <f t="shared" si="8"/>
        <v/>
      </c>
      <c r="X164" s="22"/>
      <c r="Y164" s="22"/>
      <c r="Z164" s="27">
        <f>IF($D164="",0,IF(COUNTIF($D$5:$D164,$D164)=1,1,0))</f>
        <v>0</v>
      </c>
      <c r="AA164" t="str">
        <f>IF(Z164=1,SUM($Z$5:$Z164),"")</f>
        <v/>
      </c>
    </row>
    <row r="165" spans="1:27">
      <c r="A165" s="22"/>
      <c r="B165" s="22"/>
      <c r="C165" s="22"/>
      <c r="D165" s="22"/>
      <c r="E165" s="22"/>
      <c r="F165" s="23"/>
      <c r="G165" s="23"/>
      <c r="H165" s="24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6"/>
      <c r="U165" s="23" t="str">
        <f t="shared" si="6"/>
        <v/>
      </c>
      <c r="V165" s="22" t="str">
        <f t="shared" si="7"/>
        <v/>
      </c>
      <c r="W165" s="18" t="str">
        <f t="shared" si="8"/>
        <v/>
      </c>
      <c r="X165" s="22"/>
      <c r="Y165" s="22"/>
      <c r="Z165" s="27">
        <f>IF($D165="",0,IF(COUNTIF($D$5:$D165,$D165)=1,1,0))</f>
        <v>0</v>
      </c>
      <c r="AA165" t="str">
        <f>IF(Z165=1,SUM($Z$5:$Z165),"")</f>
        <v/>
      </c>
    </row>
    <row r="166" spans="1:27">
      <c r="A166" s="22"/>
      <c r="B166" s="22"/>
      <c r="C166" s="22"/>
      <c r="D166" s="22"/>
      <c r="E166" s="22"/>
      <c r="F166" s="23"/>
      <c r="G166" s="23"/>
      <c r="H166" s="24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6"/>
      <c r="U166" s="23" t="str">
        <f t="shared" si="6"/>
        <v/>
      </c>
      <c r="V166" s="22" t="str">
        <f t="shared" si="7"/>
        <v/>
      </c>
      <c r="W166" s="18" t="str">
        <f t="shared" si="8"/>
        <v/>
      </c>
      <c r="X166" s="22"/>
      <c r="Y166" s="22"/>
      <c r="Z166" s="27">
        <f>IF($D166="",0,IF(COUNTIF($D$5:$D166,$D166)=1,1,0))</f>
        <v>0</v>
      </c>
      <c r="AA166" t="str">
        <f>IF(Z166=1,SUM($Z$5:$Z166),"")</f>
        <v/>
      </c>
    </row>
    <row r="167" spans="1:27">
      <c r="A167" s="22"/>
      <c r="B167" s="22"/>
      <c r="C167" s="22"/>
      <c r="D167" s="22"/>
      <c r="E167" s="22"/>
      <c r="F167" s="23"/>
      <c r="G167" s="23"/>
      <c r="H167" s="24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6"/>
      <c r="U167" s="23" t="str">
        <f t="shared" si="6"/>
        <v/>
      </c>
      <c r="V167" s="22" t="str">
        <f t="shared" si="7"/>
        <v/>
      </c>
      <c r="W167" s="18" t="str">
        <f t="shared" si="8"/>
        <v/>
      </c>
      <c r="X167" s="22"/>
      <c r="Y167" s="22"/>
      <c r="Z167" s="27">
        <f>IF($D167="",0,IF(COUNTIF($D$5:$D167,$D167)=1,1,0))</f>
        <v>0</v>
      </c>
      <c r="AA167" t="str">
        <f>IF(Z167=1,SUM($Z$5:$Z167),"")</f>
        <v/>
      </c>
    </row>
    <row r="168" spans="1:27">
      <c r="A168" s="22"/>
      <c r="B168" s="22"/>
      <c r="C168" s="22"/>
      <c r="D168" s="22"/>
      <c r="E168" s="22"/>
      <c r="F168" s="23"/>
      <c r="G168" s="23"/>
      <c r="H168" s="24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6"/>
      <c r="U168" s="23" t="str">
        <f t="shared" si="6"/>
        <v/>
      </c>
      <c r="V168" s="22" t="str">
        <f t="shared" si="7"/>
        <v/>
      </c>
      <c r="W168" s="18" t="str">
        <f t="shared" si="8"/>
        <v/>
      </c>
      <c r="X168" s="22"/>
      <c r="Y168" s="22"/>
      <c r="Z168" s="27">
        <f>IF($D168="",0,IF(COUNTIF($D$5:$D168,$D168)=1,1,0))</f>
        <v>0</v>
      </c>
      <c r="AA168" t="str">
        <f>IF(Z168=1,SUM($Z$5:$Z168),"")</f>
        <v/>
      </c>
    </row>
    <row r="169" spans="1:27">
      <c r="A169" s="22"/>
      <c r="B169" s="22"/>
      <c r="C169" s="22"/>
      <c r="D169" s="22"/>
      <c r="E169" s="22"/>
      <c r="F169" s="23"/>
      <c r="G169" s="23"/>
      <c r="H169" s="24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6"/>
      <c r="U169" s="23" t="str">
        <f t="shared" si="6"/>
        <v/>
      </c>
      <c r="V169" s="22" t="str">
        <f t="shared" si="7"/>
        <v/>
      </c>
      <c r="W169" s="18" t="str">
        <f t="shared" si="8"/>
        <v/>
      </c>
      <c r="X169" s="22"/>
      <c r="Y169" s="22"/>
      <c r="Z169" s="27">
        <f>IF($D169="",0,IF(COUNTIF($D$5:$D169,$D169)=1,1,0))</f>
        <v>0</v>
      </c>
      <c r="AA169" t="str">
        <f>IF(Z169=1,SUM($Z$5:$Z169),"")</f>
        <v/>
      </c>
    </row>
    <row r="170" spans="1:27">
      <c r="A170" s="22"/>
      <c r="B170" s="22"/>
      <c r="C170" s="22"/>
      <c r="D170" s="22"/>
      <c r="E170" s="22"/>
      <c r="F170" s="23"/>
      <c r="G170" s="23"/>
      <c r="H170" s="24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6"/>
      <c r="U170" s="23" t="str">
        <f t="shared" si="6"/>
        <v/>
      </c>
      <c r="V170" s="22" t="str">
        <f t="shared" si="7"/>
        <v/>
      </c>
      <c r="W170" s="18" t="str">
        <f t="shared" si="8"/>
        <v/>
      </c>
      <c r="X170" s="22"/>
      <c r="Y170" s="22"/>
      <c r="Z170" s="27">
        <f>IF($D170="",0,IF(COUNTIF($D$5:$D170,$D170)=1,1,0))</f>
        <v>0</v>
      </c>
      <c r="AA170" t="str">
        <f>IF(Z170=1,SUM($Z$5:$Z170),"")</f>
        <v/>
      </c>
    </row>
    <row r="171" spans="1:27">
      <c r="A171" s="22"/>
      <c r="B171" s="22"/>
      <c r="C171" s="22"/>
      <c r="D171" s="22"/>
      <c r="E171" s="22"/>
      <c r="F171" s="23"/>
      <c r="G171" s="23"/>
      <c r="H171" s="24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6"/>
      <c r="U171" s="23" t="str">
        <f t="shared" si="6"/>
        <v/>
      </c>
      <c r="V171" s="22" t="str">
        <f t="shared" si="7"/>
        <v/>
      </c>
      <c r="W171" s="18" t="str">
        <f t="shared" si="8"/>
        <v/>
      </c>
      <c r="X171" s="22"/>
      <c r="Y171" s="22"/>
      <c r="Z171" s="27">
        <f>IF($D171="",0,IF(COUNTIF($D$5:$D171,$D171)=1,1,0))</f>
        <v>0</v>
      </c>
      <c r="AA171" t="str">
        <f>IF(Z171=1,SUM($Z$5:$Z171),"")</f>
        <v/>
      </c>
    </row>
    <row r="172" spans="1:27">
      <c r="A172" s="22"/>
      <c r="B172" s="22"/>
      <c r="C172" s="22"/>
      <c r="D172" s="22"/>
      <c r="E172" s="22"/>
      <c r="F172" s="23"/>
      <c r="G172" s="23"/>
      <c r="H172" s="24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6"/>
      <c r="U172" s="23" t="str">
        <f t="shared" si="6"/>
        <v/>
      </c>
      <c r="V172" s="22" t="str">
        <f t="shared" si="7"/>
        <v/>
      </c>
      <c r="W172" s="18" t="str">
        <f t="shared" si="8"/>
        <v/>
      </c>
      <c r="X172" s="22"/>
      <c r="Y172" s="22"/>
      <c r="Z172" s="27">
        <f>IF($D172="",0,IF(COUNTIF($D$5:$D172,$D172)=1,1,0))</f>
        <v>0</v>
      </c>
      <c r="AA172" t="str">
        <f>IF(Z172=1,SUM($Z$5:$Z172),"")</f>
        <v/>
      </c>
    </row>
    <row r="173" spans="1:27">
      <c r="A173" s="22"/>
      <c r="B173" s="22"/>
      <c r="C173" s="22"/>
      <c r="D173" s="22"/>
      <c r="E173" s="22"/>
      <c r="F173" s="23"/>
      <c r="G173" s="23"/>
      <c r="H173" s="24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6"/>
      <c r="U173" s="23" t="str">
        <f t="shared" si="6"/>
        <v/>
      </c>
      <c r="V173" s="22" t="str">
        <f t="shared" si="7"/>
        <v/>
      </c>
      <c r="W173" s="18" t="str">
        <f t="shared" si="8"/>
        <v/>
      </c>
      <c r="X173" s="22"/>
      <c r="Y173" s="22"/>
      <c r="Z173" s="27">
        <f>IF($D173="",0,IF(COUNTIF($D$5:$D173,$D173)=1,1,0))</f>
        <v>0</v>
      </c>
      <c r="AA173" t="str">
        <f>IF(Z173=1,SUM($Z$5:$Z173),"")</f>
        <v/>
      </c>
    </row>
    <row r="174" spans="1:27">
      <c r="A174" s="22"/>
      <c r="B174" s="22"/>
      <c r="C174" s="22"/>
      <c r="D174" s="22"/>
      <c r="E174" s="22"/>
      <c r="F174" s="23"/>
      <c r="G174" s="23"/>
      <c r="H174" s="24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6"/>
      <c r="U174" s="23" t="str">
        <f t="shared" si="6"/>
        <v/>
      </c>
      <c r="V174" s="22" t="str">
        <f t="shared" si="7"/>
        <v/>
      </c>
      <c r="W174" s="18" t="str">
        <f t="shared" si="8"/>
        <v/>
      </c>
      <c r="X174" s="22"/>
      <c r="Y174" s="22"/>
      <c r="Z174" s="27">
        <f>IF($D174="",0,IF(COUNTIF($D$5:$D174,$D174)=1,1,0))</f>
        <v>0</v>
      </c>
      <c r="AA174" t="str">
        <f>IF(Z174=1,SUM($Z$5:$Z174),"")</f>
        <v/>
      </c>
    </row>
    <row r="175" spans="1:27">
      <c r="A175" s="22"/>
      <c r="B175" s="22"/>
      <c r="C175" s="22"/>
      <c r="D175" s="22"/>
      <c r="E175" s="22"/>
      <c r="F175" s="23"/>
      <c r="G175" s="23"/>
      <c r="H175" s="24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6"/>
      <c r="U175" s="23" t="str">
        <f t="shared" si="6"/>
        <v/>
      </c>
      <c r="V175" s="22" t="str">
        <f t="shared" si="7"/>
        <v/>
      </c>
      <c r="W175" s="18" t="str">
        <f t="shared" si="8"/>
        <v/>
      </c>
      <c r="X175" s="22"/>
      <c r="Y175" s="22"/>
      <c r="Z175" s="27">
        <f>IF($D175="",0,IF(COUNTIF($D$5:$D175,$D175)=1,1,0))</f>
        <v>0</v>
      </c>
      <c r="AA175" t="str">
        <f>IF(Z175=1,SUM($Z$5:$Z175),"")</f>
        <v/>
      </c>
    </row>
    <row r="176" spans="1:27">
      <c r="A176" s="22"/>
      <c r="B176" s="22"/>
      <c r="C176" s="22"/>
      <c r="D176" s="22"/>
      <c r="E176" s="22"/>
      <c r="F176" s="23"/>
      <c r="G176" s="23"/>
      <c r="H176" s="24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6"/>
      <c r="U176" s="23" t="str">
        <f t="shared" si="6"/>
        <v/>
      </c>
      <c r="V176" s="22" t="str">
        <f t="shared" si="7"/>
        <v/>
      </c>
      <c r="W176" s="18" t="str">
        <f t="shared" si="8"/>
        <v/>
      </c>
      <c r="X176" s="22"/>
      <c r="Y176" s="22"/>
      <c r="Z176" s="27">
        <f>IF($D176="",0,IF(COUNTIF($D$5:$D176,$D176)=1,1,0))</f>
        <v>0</v>
      </c>
      <c r="AA176" t="str">
        <f>IF(Z176=1,SUM($Z$5:$Z176),"")</f>
        <v/>
      </c>
    </row>
    <row r="177" spans="1:27">
      <c r="A177" s="22"/>
      <c r="B177" s="22"/>
      <c r="C177" s="22"/>
      <c r="D177" s="22"/>
      <c r="E177" s="22"/>
      <c r="F177" s="23"/>
      <c r="G177" s="23"/>
      <c r="H177" s="24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6"/>
      <c r="U177" s="23" t="str">
        <f t="shared" si="6"/>
        <v/>
      </c>
      <c r="V177" s="22" t="str">
        <f t="shared" si="7"/>
        <v/>
      </c>
      <c r="W177" s="18" t="str">
        <f t="shared" si="8"/>
        <v/>
      </c>
      <c r="X177" s="22"/>
      <c r="Y177" s="22"/>
      <c r="Z177" s="27">
        <f>IF($D177="",0,IF(COUNTIF($D$5:$D177,$D177)=1,1,0))</f>
        <v>0</v>
      </c>
      <c r="AA177" t="str">
        <f>IF(Z177=1,SUM($Z$5:$Z177),"")</f>
        <v/>
      </c>
    </row>
    <row r="178" spans="1:27">
      <c r="A178" s="22"/>
      <c r="B178" s="22"/>
      <c r="C178" s="22"/>
      <c r="D178" s="22"/>
      <c r="E178" s="22"/>
      <c r="F178" s="23"/>
      <c r="G178" s="23"/>
      <c r="H178" s="24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6"/>
      <c r="U178" s="23" t="str">
        <f t="shared" si="6"/>
        <v/>
      </c>
      <c r="V178" s="22" t="str">
        <f t="shared" si="7"/>
        <v/>
      </c>
      <c r="W178" s="18" t="str">
        <f t="shared" si="8"/>
        <v/>
      </c>
      <c r="X178" s="22"/>
      <c r="Y178" s="22"/>
      <c r="Z178" s="27">
        <f>IF($D178="",0,IF(COUNTIF($D$5:$D178,$D178)=1,1,0))</f>
        <v>0</v>
      </c>
      <c r="AA178" t="str">
        <f>IF(Z178=1,SUM($Z$5:$Z178),"")</f>
        <v/>
      </c>
    </row>
    <row r="179" spans="1:27">
      <c r="A179" s="22"/>
      <c r="B179" s="22"/>
      <c r="C179" s="22"/>
      <c r="D179" s="22"/>
      <c r="E179" s="22"/>
      <c r="F179" s="23"/>
      <c r="G179" s="23"/>
      <c r="H179" s="24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6"/>
      <c r="U179" s="23" t="str">
        <f t="shared" si="6"/>
        <v/>
      </c>
      <c r="V179" s="22" t="str">
        <f t="shared" si="7"/>
        <v/>
      </c>
      <c r="W179" s="18" t="str">
        <f t="shared" si="8"/>
        <v/>
      </c>
      <c r="X179" s="22"/>
      <c r="Y179" s="22"/>
      <c r="Z179" s="27">
        <f>IF($D179="",0,IF(COUNTIF($D$5:$D179,$D179)=1,1,0))</f>
        <v>0</v>
      </c>
      <c r="AA179" t="str">
        <f>IF(Z179=1,SUM($Z$5:$Z179),"")</f>
        <v/>
      </c>
    </row>
    <row r="180" spans="1:27">
      <c r="A180" s="22"/>
      <c r="B180" s="22"/>
      <c r="C180" s="22"/>
      <c r="D180" s="22"/>
      <c r="E180" s="22"/>
      <c r="F180" s="23"/>
      <c r="G180" s="23"/>
      <c r="H180" s="24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6"/>
      <c r="U180" s="23" t="str">
        <f t="shared" si="6"/>
        <v/>
      </c>
      <c r="V180" s="22" t="str">
        <f t="shared" si="7"/>
        <v/>
      </c>
      <c r="W180" s="18" t="str">
        <f t="shared" si="8"/>
        <v/>
      </c>
      <c r="X180" s="22"/>
      <c r="Y180" s="22"/>
      <c r="Z180" s="27">
        <f>IF($D180="",0,IF(COUNTIF($D$5:$D180,$D180)=1,1,0))</f>
        <v>0</v>
      </c>
      <c r="AA180" t="str">
        <f>IF(Z180=1,SUM($Z$5:$Z180),"")</f>
        <v/>
      </c>
    </row>
    <row r="181" spans="1:27">
      <c r="A181" s="22"/>
      <c r="B181" s="22"/>
      <c r="C181" s="22"/>
      <c r="D181" s="22"/>
      <c r="E181" s="22"/>
      <c r="F181" s="23"/>
      <c r="G181" s="23"/>
      <c r="H181" s="24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6"/>
      <c r="U181" s="23" t="str">
        <f t="shared" si="6"/>
        <v/>
      </c>
      <c r="V181" s="22" t="str">
        <f t="shared" si="7"/>
        <v/>
      </c>
      <c r="W181" s="18" t="str">
        <f t="shared" si="8"/>
        <v/>
      </c>
      <c r="X181" s="22"/>
      <c r="Y181" s="22"/>
      <c r="Z181" s="27">
        <f>IF($D181="",0,IF(COUNTIF($D$5:$D181,$D181)=1,1,0))</f>
        <v>0</v>
      </c>
      <c r="AA181" t="str">
        <f>IF(Z181=1,SUM($Z$5:$Z181),"")</f>
        <v/>
      </c>
    </row>
    <row r="182" spans="1:27">
      <c r="A182" s="22"/>
      <c r="B182" s="22"/>
      <c r="C182" s="22"/>
      <c r="D182" s="22"/>
      <c r="E182" s="22"/>
      <c r="F182" s="23"/>
      <c r="G182" s="23"/>
      <c r="H182" s="24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6"/>
      <c r="U182" s="23" t="str">
        <f t="shared" si="6"/>
        <v/>
      </c>
      <c r="V182" s="22" t="str">
        <f t="shared" si="7"/>
        <v/>
      </c>
      <c r="W182" s="18" t="str">
        <f t="shared" si="8"/>
        <v/>
      </c>
      <c r="X182" s="22"/>
      <c r="Y182" s="22"/>
      <c r="Z182" s="27">
        <f>IF($D182="",0,IF(COUNTIF($D$5:$D182,$D182)=1,1,0))</f>
        <v>0</v>
      </c>
      <c r="AA182" t="str">
        <f>IF(Z182=1,SUM($Z$5:$Z182),"")</f>
        <v/>
      </c>
    </row>
    <row r="183" spans="1:27">
      <c r="A183" s="22"/>
      <c r="B183" s="22"/>
      <c r="C183" s="22"/>
      <c r="D183" s="22"/>
      <c r="E183" s="22"/>
      <c r="F183" s="23"/>
      <c r="G183" s="23"/>
      <c r="H183" s="24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6"/>
      <c r="U183" s="23" t="str">
        <f t="shared" si="6"/>
        <v/>
      </c>
      <c r="V183" s="22" t="str">
        <f t="shared" si="7"/>
        <v/>
      </c>
      <c r="W183" s="18" t="str">
        <f t="shared" si="8"/>
        <v/>
      </c>
      <c r="X183" s="22"/>
      <c r="Y183" s="22"/>
      <c r="Z183" s="27">
        <f>IF($D183="",0,IF(COUNTIF($D$5:$D183,$D183)=1,1,0))</f>
        <v>0</v>
      </c>
      <c r="AA183" t="str">
        <f>IF(Z183=1,SUM($Z$5:$Z183),"")</f>
        <v/>
      </c>
    </row>
    <row r="184" spans="1:27">
      <c r="A184" s="22"/>
      <c r="B184" s="22"/>
      <c r="C184" s="22"/>
      <c r="D184" s="22"/>
      <c r="E184" s="22"/>
      <c r="F184" s="23"/>
      <c r="G184" s="23"/>
      <c r="H184" s="24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6"/>
      <c r="U184" s="23" t="str">
        <f t="shared" si="6"/>
        <v/>
      </c>
      <c r="V184" s="22" t="str">
        <f t="shared" si="7"/>
        <v/>
      </c>
      <c r="W184" s="18" t="str">
        <f t="shared" si="8"/>
        <v/>
      </c>
      <c r="X184" s="22"/>
      <c r="Y184" s="22"/>
      <c r="Z184" s="27">
        <f>IF($D184="",0,IF(COUNTIF($D$5:$D184,$D184)=1,1,0))</f>
        <v>0</v>
      </c>
      <c r="AA184" t="str">
        <f>IF(Z184=1,SUM($Z$5:$Z184),"")</f>
        <v/>
      </c>
    </row>
    <row r="185" spans="1:27">
      <c r="A185" s="22"/>
      <c r="B185" s="22"/>
      <c r="C185" s="22"/>
      <c r="D185" s="22"/>
      <c r="E185" s="22"/>
      <c r="F185" s="23"/>
      <c r="G185" s="23"/>
      <c r="H185" s="24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6"/>
      <c r="U185" s="23" t="str">
        <f t="shared" si="6"/>
        <v/>
      </c>
      <c r="V185" s="22" t="str">
        <f t="shared" si="7"/>
        <v/>
      </c>
      <c r="W185" s="18" t="str">
        <f t="shared" si="8"/>
        <v/>
      </c>
      <c r="X185" s="22"/>
      <c r="Y185" s="22"/>
      <c r="Z185" s="27">
        <f>IF($D185="",0,IF(COUNTIF($D$5:$D185,$D185)=1,1,0))</f>
        <v>0</v>
      </c>
      <c r="AA185" t="str">
        <f>IF(Z185=1,SUM($Z$5:$Z185),"")</f>
        <v/>
      </c>
    </row>
    <row r="186" spans="1:27">
      <c r="A186" s="22"/>
      <c r="B186" s="22"/>
      <c r="C186" s="22"/>
      <c r="D186" s="22"/>
      <c r="E186" s="22"/>
      <c r="F186" s="23"/>
      <c r="G186" s="23"/>
      <c r="H186" s="24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6"/>
      <c r="U186" s="23" t="str">
        <f t="shared" si="6"/>
        <v/>
      </c>
      <c r="V186" s="22" t="str">
        <f t="shared" si="7"/>
        <v/>
      </c>
      <c r="W186" s="18" t="str">
        <f t="shared" si="8"/>
        <v/>
      </c>
      <c r="X186" s="22"/>
      <c r="Y186" s="22"/>
      <c r="Z186" s="27">
        <f>IF($D186="",0,IF(COUNTIF($D$5:$D186,$D186)=1,1,0))</f>
        <v>0</v>
      </c>
      <c r="AA186" t="str">
        <f>IF(Z186=1,SUM($Z$5:$Z186),"")</f>
        <v/>
      </c>
    </row>
    <row r="187" spans="1:27">
      <c r="A187" s="22"/>
      <c r="B187" s="22"/>
      <c r="C187" s="22"/>
      <c r="D187" s="22"/>
      <c r="E187" s="22"/>
      <c r="F187" s="23"/>
      <c r="G187" s="23"/>
      <c r="H187" s="24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6"/>
      <c r="U187" s="23" t="str">
        <f t="shared" si="6"/>
        <v/>
      </c>
      <c r="V187" s="22" t="str">
        <f t="shared" si="7"/>
        <v/>
      </c>
      <c r="W187" s="18" t="str">
        <f t="shared" si="8"/>
        <v/>
      </c>
      <c r="X187" s="22"/>
      <c r="Y187" s="22"/>
      <c r="Z187" s="27">
        <f>IF($D187="",0,IF(COUNTIF($D$5:$D187,$D187)=1,1,0))</f>
        <v>0</v>
      </c>
      <c r="AA187" t="str">
        <f>IF(Z187=1,SUM($Z$5:$Z187),"")</f>
        <v/>
      </c>
    </row>
    <row r="188" spans="1:27">
      <c r="A188" s="22"/>
      <c r="B188" s="22"/>
      <c r="C188" s="22"/>
      <c r="D188" s="22"/>
      <c r="E188" s="22"/>
      <c r="F188" s="23"/>
      <c r="G188" s="23"/>
      <c r="H188" s="24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6"/>
      <c r="U188" s="23" t="str">
        <f t="shared" si="6"/>
        <v/>
      </c>
      <c r="V188" s="22" t="str">
        <f t="shared" si="7"/>
        <v/>
      </c>
      <c r="W188" s="18" t="str">
        <f t="shared" si="8"/>
        <v/>
      </c>
      <c r="X188" s="22"/>
      <c r="Y188" s="22"/>
      <c r="Z188" s="27">
        <f>IF($D188="",0,IF(COUNTIF($D$5:$D188,$D188)=1,1,0))</f>
        <v>0</v>
      </c>
      <c r="AA188" t="str">
        <f>IF(Z188=1,SUM($Z$5:$Z188),"")</f>
        <v/>
      </c>
    </row>
    <row r="189" spans="1:27">
      <c r="A189" s="22"/>
      <c r="B189" s="22"/>
      <c r="C189" s="22"/>
      <c r="D189" s="22"/>
      <c r="E189" s="22"/>
      <c r="F189" s="23"/>
      <c r="G189" s="23"/>
      <c r="H189" s="24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6"/>
      <c r="U189" s="23" t="str">
        <f t="shared" si="6"/>
        <v/>
      </c>
      <c r="V189" s="22" t="str">
        <f t="shared" si="7"/>
        <v/>
      </c>
      <c r="W189" s="18" t="str">
        <f t="shared" si="8"/>
        <v/>
      </c>
      <c r="X189" s="22"/>
      <c r="Y189" s="22"/>
      <c r="Z189" s="27">
        <f>IF($D189="",0,IF(COUNTIF($D$5:$D189,$D189)=1,1,0))</f>
        <v>0</v>
      </c>
      <c r="AA189" t="str">
        <f>IF(Z189=1,SUM($Z$5:$Z189),"")</f>
        <v/>
      </c>
    </row>
    <row r="190" spans="1:27">
      <c r="A190" s="22"/>
      <c r="B190" s="22"/>
      <c r="C190" s="22"/>
      <c r="D190" s="22"/>
      <c r="E190" s="22"/>
      <c r="F190" s="23"/>
      <c r="G190" s="23"/>
      <c r="H190" s="24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6"/>
      <c r="U190" s="23" t="str">
        <f t="shared" si="6"/>
        <v/>
      </c>
      <c r="V190" s="22" t="str">
        <f t="shared" si="7"/>
        <v/>
      </c>
      <c r="W190" s="18" t="str">
        <f t="shared" si="8"/>
        <v/>
      </c>
      <c r="X190" s="22"/>
      <c r="Y190" s="22"/>
      <c r="Z190" s="27">
        <f>IF($D190="",0,IF(COUNTIF($D$5:$D190,$D190)=1,1,0))</f>
        <v>0</v>
      </c>
      <c r="AA190" t="str">
        <f>IF(Z190=1,SUM($Z$5:$Z190),"")</f>
        <v/>
      </c>
    </row>
    <row r="191" spans="1:27">
      <c r="A191" s="22"/>
      <c r="B191" s="22"/>
      <c r="C191" s="22"/>
      <c r="D191" s="22"/>
      <c r="E191" s="22"/>
      <c r="F191" s="23"/>
      <c r="G191" s="23"/>
      <c r="H191" s="24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6"/>
      <c r="U191" s="23" t="str">
        <f t="shared" si="6"/>
        <v/>
      </c>
      <c r="V191" s="22" t="str">
        <f t="shared" si="7"/>
        <v/>
      </c>
      <c r="W191" s="18" t="str">
        <f t="shared" si="8"/>
        <v/>
      </c>
      <c r="X191" s="22"/>
      <c r="Y191" s="22"/>
      <c r="Z191" s="27">
        <f>IF($D191="",0,IF(COUNTIF($D$5:$D191,$D191)=1,1,0))</f>
        <v>0</v>
      </c>
      <c r="AA191" t="str">
        <f>IF(Z191=1,SUM($Z$5:$Z191),"")</f>
        <v/>
      </c>
    </row>
    <row r="192" spans="1:27">
      <c r="A192" s="22"/>
      <c r="B192" s="22"/>
      <c r="C192" s="22"/>
      <c r="D192" s="22"/>
      <c r="E192" s="22"/>
      <c r="F192" s="23"/>
      <c r="G192" s="23"/>
      <c r="H192" s="24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6"/>
      <c r="U192" s="23" t="str">
        <f t="shared" si="6"/>
        <v/>
      </c>
      <c r="V192" s="22" t="str">
        <f t="shared" si="7"/>
        <v/>
      </c>
      <c r="W192" s="18" t="str">
        <f t="shared" si="8"/>
        <v/>
      </c>
      <c r="X192" s="22"/>
      <c r="Y192" s="22"/>
      <c r="Z192" s="27">
        <f>IF($D192="",0,IF(COUNTIF($D$5:$D192,$D192)=1,1,0))</f>
        <v>0</v>
      </c>
      <c r="AA192" t="str">
        <f>IF(Z192=1,SUM($Z$5:$Z192),"")</f>
        <v/>
      </c>
    </row>
    <row r="193" spans="1:27">
      <c r="A193" s="22"/>
      <c r="B193" s="22"/>
      <c r="C193" s="22"/>
      <c r="D193" s="22"/>
      <c r="E193" s="22"/>
      <c r="F193" s="23"/>
      <c r="G193" s="23"/>
      <c r="H193" s="24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6"/>
      <c r="U193" s="23" t="str">
        <f t="shared" si="6"/>
        <v/>
      </c>
      <c r="V193" s="22" t="str">
        <f t="shared" si="7"/>
        <v/>
      </c>
      <c r="W193" s="18" t="str">
        <f t="shared" si="8"/>
        <v/>
      </c>
      <c r="X193" s="22"/>
      <c r="Y193" s="22"/>
      <c r="Z193" s="27">
        <f>IF($D193="",0,IF(COUNTIF($D$5:$D193,$D193)=1,1,0))</f>
        <v>0</v>
      </c>
      <c r="AA193" t="str">
        <f>IF(Z193=1,SUM($Z$5:$Z193),"")</f>
        <v/>
      </c>
    </row>
    <row r="194" spans="1:27">
      <c r="A194" s="22"/>
      <c r="B194" s="22"/>
      <c r="C194" s="22"/>
      <c r="D194" s="22"/>
      <c r="E194" s="22"/>
      <c r="F194" s="23"/>
      <c r="G194" s="23"/>
      <c r="H194" s="24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6"/>
      <c r="U194" s="23" t="str">
        <f t="shared" si="6"/>
        <v/>
      </c>
      <c r="V194" s="22" t="str">
        <f t="shared" si="7"/>
        <v/>
      </c>
      <c r="W194" s="18" t="str">
        <f t="shared" si="8"/>
        <v/>
      </c>
      <c r="X194" s="22"/>
      <c r="Y194" s="22"/>
      <c r="Z194" s="27">
        <f>IF($D194="",0,IF(COUNTIF($D$5:$D194,$D194)=1,1,0))</f>
        <v>0</v>
      </c>
      <c r="AA194" t="str">
        <f>IF(Z194=1,SUM($Z$5:$Z194),"")</f>
        <v/>
      </c>
    </row>
    <row r="195" spans="1:27">
      <c r="A195" s="22"/>
      <c r="B195" s="22"/>
      <c r="C195" s="22"/>
      <c r="D195" s="22"/>
      <c r="E195" s="22"/>
      <c r="F195" s="23"/>
      <c r="G195" s="23"/>
      <c r="H195" s="24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6"/>
      <c r="U195" s="23" t="str">
        <f t="shared" si="6"/>
        <v/>
      </c>
      <c r="V195" s="22" t="str">
        <f t="shared" si="7"/>
        <v/>
      </c>
      <c r="W195" s="18" t="str">
        <f t="shared" si="8"/>
        <v/>
      </c>
      <c r="X195" s="22"/>
      <c r="Y195" s="22"/>
      <c r="Z195" s="27">
        <f>IF($D195="",0,IF(COUNTIF($D$5:$D195,$D195)=1,1,0))</f>
        <v>0</v>
      </c>
      <c r="AA195" t="str">
        <f>IF(Z195=1,SUM($Z$5:$Z195),"")</f>
        <v/>
      </c>
    </row>
    <row r="196" spans="1:27">
      <c r="A196" s="22"/>
      <c r="B196" s="22"/>
      <c r="C196" s="22"/>
      <c r="D196" s="22"/>
      <c r="E196" s="22"/>
      <c r="F196" s="23"/>
      <c r="G196" s="23"/>
      <c r="H196" s="24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6"/>
      <c r="U196" s="23" t="str">
        <f t="shared" si="6"/>
        <v/>
      </c>
      <c r="V196" s="22" t="str">
        <f t="shared" si="7"/>
        <v/>
      </c>
      <c r="W196" s="18" t="str">
        <f t="shared" si="8"/>
        <v/>
      </c>
      <c r="X196" s="22"/>
      <c r="Y196" s="22"/>
      <c r="Z196" s="27">
        <f>IF($D196="",0,IF(COUNTIF($D$5:$D196,$D196)=1,1,0))</f>
        <v>0</v>
      </c>
      <c r="AA196" t="str">
        <f>IF(Z196=1,SUM($Z$5:$Z196),"")</f>
        <v/>
      </c>
    </row>
    <row r="197" spans="1:27">
      <c r="A197" s="22"/>
      <c r="B197" s="22"/>
      <c r="C197" s="22"/>
      <c r="D197" s="22"/>
      <c r="E197" s="22"/>
      <c r="F197" s="23"/>
      <c r="G197" s="23"/>
      <c r="H197" s="24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6"/>
      <c r="U197" s="23" t="str">
        <f t="shared" si="6"/>
        <v/>
      </c>
      <c r="V197" s="22" t="str">
        <f t="shared" si="7"/>
        <v/>
      </c>
      <c r="W197" s="18" t="str">
        <f t="shared" si="8"/>
        <v/>
      </c>
      <c r="X197" s="22"/>
      <c r="Y197" s="22"/>
      <c r="Z197" s="27">
        <f>IF($D197="",0,IF(COUNTIF($D$5:$D197,$D197)=1,1,0))</f>
        <v>0</v>
      </c>
      <c r="AA197" t="str">
        <f>IF(Z197=1,SUM($Z$5:$Z197),"")</f>
        <v/>
      </c>
    </row>
    <row r="198" spans="1:27">
      <c r="A198" s="22"/>
      <c r="B198" s="22"/>
      <c r="C198" s="22"/>
      <c r="D198" s="22"/>
      <c r="E198" s="22"/>
      <c r="F198" s="23"/>
      <c r="G198" s="23"/>
      <c r="H198" s="24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6"/>
      <c r="U198" s="23" t="str">
        <f t="shared" ref="U198:U261" si="9">IF($E198="","",COUNTIF($I198:$S198,"V"))</f>
        <v/>
      </c>
      <c r="V198" s="22" t="str">
        <f t="shared" ref="V198:V261" si="10">IF($E198="","",IF(AND($T198="V",$U198&gt;0),"⚠ 勾選矛盾",IF($T198="V","○ 免調理",IF($U198=0,"⚠ 資料缺漏",IF($U198=1,"▲ 單一設備依賴","OK")))))</f>
        <v/>
      </c>
      <c r="W198" s="18" t="str">
        <f t="shared" ref="W198:W261" si="11">IF($E198="","",IF(AND($T198="V",$U198&gt;0),"「無使用調理設備」不可與設備欄同時勾選，請擇一修正",IF($T198="V","免調理半成品（外購/僅切配等），不列入設備風險評估",IF($U198=0,"未勾選任何設備，請補填或勾選「無使用調理設備」",IF($U198=1,"僅依賴1台設備，須確認故障/排修時之備援製程","無異常")))))</f>
        <v/>
      </c>
      <c r="X198" s="22"/>
      <c r="Y198" s="22"/>
      <c r="Z198" s="27">
        <f>IF($D198="",0,IF(COUNTIF($D$5:$D198,$D198)=1,1,0))</f>
        <v>0</v>
      </c>
      <c r="AA198" t="str">
        <f>IF(Z198=1,SUM($Z$5:$Z198),"")</f>
        <v/>
      </c>
    </row>
    <row r="199" spans="1:27">
      <c r="A199" s="22"/>
      <c r="B199" s="22"/>
      <c r="C199" s="22"/>
      <c r="D199" s="22"/>
      <c r="E199" s="22"/>
      <c r="F199" s="23"/>
      <c r="G199" s="23"/>
      <c r="H199" s="24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6"/>
      <c r="U199" s="23" t="str">
        <f t="shared" si="9"/>
        <v/>
      </c>
      <c r="V199" s="22" t="str">
        <f t="shared" si="10"/>
        <v/>
      </c>
      <c r="W199" s="18" t="str">
        <f t="shared" si="11"/>
        <v/>
      </c>
      <c r="X199" s="22"/>
      <c r="Y199" s="22"/>
      <c r="Z199" s="27">
        <f>IF($D199="",0,IF(COUNTIF($D$5:$D199,$D199)=1,1,0))</f>
        <v>0</v>
      </c>
      <c r="AA199" t="str">
        <f>IF(Z199=1,SUM($Z$5:$Z199),"")</f>
        <v/>
      </c>
    </row>
    <row r="200" spans="1:27">
      <c r="A200" s="22"/>
      <c r="B200" s="22"/>
      <c r="C200" s="22"/>
      <c r="D200" s="22"/>
      <c r="E200" s="22"/>
      <c r="F200" s="23"/>
      <c r="G200" s="23"/>
      <c r="H200" s="24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6"/>
      <c r="U200" s="23" t="str">
        <f t="shared" si="9"/>
        <v/>
      </c>
      <c r="V200" s="22" t="str">
        <f t="shared" si="10"/>
        <v/>
      </c>
      <c r="W200" s="18" t="str">
        <f t="shared" si="11"/>
        <v/>
      </c>
      <c r="X200" s="22"/>
      <c r="Y200" s="22"/>
      <c r="Z200" s="27">
        <f>IF($D200="",0,IF(COUNTIF($D$5:$D200,$D200)=1,1,0))</f>
        <v>0</v>
      </c>
      <c r="AA200" t="str">
        <f>IF(Z200=1,SUM($Z$5:$Z200),"")</f>
        <v/>
      </c>
    </row>
    <row r="201" spans="1:27">
      <c r="A201" s="22"/>
      <c r="B201" s="22"/>
      <c r="C201" s="22"/>
      <c r="D201" s="22"/>
      <c r="E201" s="22"/>
      <c r="F201" s="23"/>
      <c r="G201" s="23"/>
      <c r="H201" s="24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6"/>
      <c r="U201" s="23" t="str">
        <f t="shared" si="9"/>
        <v/>
      </c>
      <c r="V201" s="22" t="str">
        <f t="shared" si="10"/>
        <v/>
      </c>
      <c r="W201" s="18" t="str">
        <f t="shared" si="11"/>
        <v/>
      </c>
      <c r="X201" s="22"/>
      <c r="Y201" s="22"/>
      <c r="Z201" s="27">
        <f>IF($D201="",0,IF(COUNTIF($D$5:$D201,$D201)=1,1,0))</f>
        <v>0</v>
      </c>
      <c r="AA201" t="str">
        <f>IF(Z201=1,SUM($Z$5:$Z201),"")</f>
        <v/>
      </c>
    </row>
    <row r="202" spans="1:27">
      <c r="A202" s="22"/>
      <c r="B202" s="22"/>
      <c r="C202" s="22"/>
      <c r="D202" s="22"/>
      <c r="E202" s="22"/>
      <c r="F202" s="23"/>
      <c r="G202" s="23"/>
      <c r="H202" s="24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6"/>
      <c r="U202" s="23" t="str">
        <f t="shared" si="9"/>
        <v/>
      </c>
      <c r="V202" s="22" t="str">
        <f t="shared" si="10"/>
        <v/>
      </c>
      <c r="W202" s="18" t="str">
        <f t="shared" si="11"/>
        <v/>
      </c>
      <c r="X202" s="22"/>
      <c r="Y202" s="22"/>
      <c r="Z202" s="27">
        <f>IF($D202="",0,IF(COUNTIF($D$5:$D202,$D202)=1,1,0))</f>
        <v>0</v>
      </c>
      <c r="AA202" t="str">
        <f>IF(Z202=1,SUM($Z$5:$Z202),"")</f>
        <v/>
      </c>
    </row>
    <row r="203" spans="1:27">
      <c r="A203" s="22"/>
      <c r="B203" s="22"/>
      <c r="C203" s="22"/>
      <c r="D203" s="22"/>
      <c r="E203" s="22"/>
      <c r="F203" s="23"/>
      <c r="G203" s="23"/>
      <c r="H203" s="24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6"/>
      <c r="U203" s="23" t="str">
        <f t="shared" si="9"/>
        <v/>
      </c>
      <c r="V203" s="22" t="str">
        <f t="shared" si="10"/>
        <v/>
      </c>
      <c r="W203" s="18" t="str">
        <f t="shared" si="11"/>
        <v/>
      </c>
      <c r="X203" s="22"/>
      <c r="Y203" s="22"/>
      <c r="Z203" s="27">
        <f>IF($D203="",0,IF(COUNTIF($D$5:$D203,$D203)=1,1,0))</f>
        <v>0</v>
      </c>
      <c r="AA203" t="str">
        <f>IF(Z203=1,SUM($Z$5:$Z203),"")</f>
        <v/>
      </c>
    </row>
    <row r="204" spans="1:27">
      <c r="A204" s="22"/>
      <c r="B204" s="22"/>
      <c r="C204" s="22"/>
      <c r="D204" s="22"/>
      <c r="E204" s="22"/>
      <c r="F204" s="23"/>
      <c r="G204" s="23"/>
      <c r="H204" s="24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6"/>
      <c r="U204" s="23" t="str">
        <f t="shared" si="9"/>
        <v/>
      </c>
      <c r="V204" s="22" t="str">
        <f t="shared" si="10"/>
        <v/>
      </c>
      <c r="W204" s="18" t="str">
        <f t="shared" si="11"/>
        <v/>
      </c>
      <c r="X204" s="22"/>
      <c r="Y204" s="22"/>
      <c r="Z204" s="27">
        <f>IF($D204="",0,IF(COUNTIF($D$5:$D204,$D204)=1,1,0))</f>
        <v>0</v>
      </c>
      <c r="AA204" t="str">
        <f>IF(Z204=1,SUM($Z$5:$Z204),"")</f>
        <v/>
      </c>
    </row>
    <row r="205" spans="1:27">
      <c r="A205" s="22"/>
      <c r="B205" s="22"/>
      <c r="C205" s="22"/>
      <c r="D205" s="22"/>
      <c r="E205" s="22"/>
      <c r="F205" s="23"/>
      <c r="G205" s="23"/>
      <c r="H205" s="24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6"/>
      <c r="U205" s="23" t="str">
        <f t="shared" si="9"/>
        <v/>
      </c>
      <c r="V205" s="22" t="str">
        <f t="shared" si="10"/>
        <v/>
      </c>
      <c r="W205" s="18" t="str">
        <f t="shared" si="11"/>
        <v/>
      </c>
      <c r="X205" s="22"/>
      <c r="Y205" s="22"/>
      <c r="Z205" s="27">
        <f>IF($D205="",0,IF(COUNTIF($D$5:$D205,$D205)=1,1,0))</f>
        <v>0</v>
      </c>
      <c r="AA205" t="str">
        <f>IF(Z205=1,SUM($Z$5:$Z205),"")</f>
        <v/>
      </c>
    </row>
    <row r="206" spans="1:27">
      <c r="A206" s="22"/>
      <c r="B206" s="22"/>
      <c r="C206" s="22"/>
      <c r="D206" s="22"/>
      <c r="E206" s="22"/>
      <c r="F206" s="23"/>
      <c r="G206" s="23"/>
      <c r="H206" s="24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6"/>
      <c r="U206" s="23" t="str">
        <f t="shared" si="9"/>
        <v/>
      </c>
      <c r="V206" s="22" t="str">
        <f t="shared" si="10"/>
        <v/>
      </c>
      <c r="W206" s="18" t="str">
        <f t="shared" si="11"/>
        <v/>
      </c>
      <c r="X206" s="22"/>
      <c r="Y206" s="22"/>
      <c r="Z206" s="27">
        <f>IF($D206="",0,IF(COUNTIF($D$5:$D206,$D206)=1,1,0))</f>
        <v>0</v>
      </c>
      <c r="AA206" t="str">
        <f>IF(Z206=1,SUM($Z$5:$Z206),"")</f>
        <v/>
      </c>
    </row>
    <row r="207" spans="1:27">
      <c r="A207" s="22"/>
      <c r="B207" s="22"/>
      <c r="C207" s="22"/>
      <c r="D207" s="22"/>
      <c r="E207" s="22"/>
      <c r="F207" s="23"/>
      <c r="G207" s="23"/>
      <c r="H207" s="24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6"/>
      <c r="U207" s="23" t="str">
        <f t="shared" si="9"/>
        <v/>
      </c>
      <c r="V207" s="22" t="str">
        <f t="shared" si="10"/>
        <v/>
      </c>
      <c r="W207" s="18" t="str">
        <f t="shared" si="11"/>
        <v/>
      </c>
      <c r="X207" s="22"/>
      <c r="Y207" s="22"/>
      <c r="Z207" s="27">
        <f>IF($D207="",0,IF(COUNTIF($D$5:$D207,$D207)=1,1,0))</f>
        <v>0</v>
      </c>
      <c r="AA207" t="str">
        <f>IF(Z207=1,SUM($Z$5:$Z207),"")</f>
        <v/>
      </c>
    </row>
    <row r="208" spans="1:27">
      <c r="A208" s="22"/>
      <c r="B208" s="22"/>
      <c r="C208" s="22"/>
      <c r="D208" s="22"/>
      <c r="E208" s="22"/>
      <c r="F208" s="23"/>
      <c r="G208" s="23"/>
      <c r="H208" s="24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6"/>
      <c r="U208" s="23" t="str">
        <f t="shared" si="9"/>
        <v/>
      </c>
      <c r="V208" s="22" t="str">
        <f t="shared" si="10"/>
        <v/>
      </c>
      <c r="W208" s="18" t="str">
        <f t="shared" si="11"/>
        <v/>
      </c>
      <c r="X208" s="22"/>
      <c r="Y208" s="22"/>
      <c r="Z208" s="27">
        <f>IF($D208="",0,IF(COUNTIF($D$5:$D208,$D208)=1,1,0))</f>
        <v>0</v>
      </c>
      <c r="AA208" t="str">
        <f>IF(Z208=1,SUM($Z$5:$Z208),"")</f>
        <v/>
      </c>
    </row>
    <row r="209" spans="1:27">
      <c r="A209" s="22"/>
      <c r="B209" s="22"/>
      <c r="C209" s="22"/>
      <c r="D209" s="22"/>
      <c r="E209" s="22"/>
      <c r="F209" s="23"/>
      <c r="G209" s="23"/>
      <c r="H209" s="24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6"/>
      <c r="U209" s="23" t="str">
        <f t="shared" si="9"/>
        <v/>
      </c>
      <c r="V209" s="22" t="str">
        <f t="shared" si="10"/>
        <v/>
      </c>
      <c r="W209" s="18" t="str">
        <f t="shared" si="11"/>
        <v/>
      </c>
      <c r="X209" s="22"/>
      <c r="Y209" s="22"/>
      <c r="Z209" s="27">
        <f>IF($D209="",0,IF(COUNTIF($D$5:$D209,$D209)=1,1,0))</f>
        <v>0</v>
      </c>
      <c r="AA209" t="str">
        <f>IF(Z209=1,SUM($Z$5:$Z209),"")</f>
        <v/>
      </c>
    </row>
    <row r="210" spans="1:27">
      <c r="A210" s="22"/>
      <c r="B210" s="22"/>
      <c r="C210" s="22"/>
      <c r="D210" s="22"/>
      <c r="E210" s="22"/>
      <c r="F210" s="23"/>
      <c r="G210" s="23"/>
      <c r="H210" s="24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6"/>
      <c r="U210" s="23" t="str">
        <f t="shared" si="9"/>
        <v/>
      </c>
      <c r="V210" s="22" t="str">
        <f t="shared" si="10"/>
        <v/>
      </c>
      <c r="W210" s="18" t="str">
        <f t="shared" si="11"/>
        <v/>
      </c>
      <c r="X210" s="22"/>
      <c r="Y210" s="22"/>
      <c r="Z210" s="27">
        <f>IF($D210="",0,IF(COUNTIF($D$5:$D210,$D210)=1,1,0))</f>
        <v>0</v>
      </c>
      <c r="AA210" t="str">
        <f>IF(Z210=1,SUM($Z$5:$Z210),"")</f>
        <v/>
      </c>
    </row>
    <row r="211" spans="1:27">
      <c r="A211" s="22"/>
      <c r="B211" s="22"/>
      <c r="C211" s="22"/>
      <c r="D211" s="22"/>
      <c r="E211" s="22"/>
      <c r="F211" s="23"/>
      <c r="G211" s="23"/>
      <c r="H211" s="24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6"/>
      <c r="U211" s="23" t="str">
        <f t="shared" si="9"/>
        <v/>
      </c>
      <c r="V211" s="22" t="str">
        <f t="shared" si="10"/>
        <v/>
      </c>
      <c r="W211" s="18" t="str">
        <f t="shared" si="11"/>
        <v/>
      </c>
      <c r="X211" s="22"/>
      <c r="Y211" s="22"/>
      <c r="Z211" s="27">
        <f>IF($D211="",0,IF(COUNTIF($D$5:$D211,$D211)=1,1,0))</f>
        <v>0</v>
      </c>
      <c r="AA211" t="str">
        <f>IF(Z211=1,SUM($Z$5:$Z211),"")</f>
        <v/>
      </c>
    </row>
    <row r="212" spans="1:27">
      <c r="A212" s="22"/>
      <c r="B212" s="22"/>
      <c r="C212" s="22"/>
      <c r="D212" s="22"/>
      <c r="E212" s="22"/>
      <c r="F212" s="23"/>
      <c r="G212" s="23"/>
      <c r="H212" s="24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6"/>
      <c r="U212" s="23" t="str">
        <f t="shared" si="9"/>
        <v/>
      </c>
      <c r="V212" s="22" t="str">
        <f t="shared" si="10"/>
        <v/>
      </c>
      <c r="W212" s="18" t="str">
        <f t="shared" si="11"/>
        <v/>
      </c>
      <c r="X212" s="22"/>
      <c r="Y212" s="22"/>
      <c r="Z212" s="27">
        <f>IF($D212="",0,IF(COUNTIF($D$5:$D212,$D212)=1,1,0))</f>
        <v>0</v>
      </c>
      <c r="AA212" t="str">
        <f>IF(Z212=1,SUM($Z$5:$Z212),"")</f>
        <v/>
      </c>
    </row>
    <row r="213" spans="1:27">
      <c r="A213" s="22"/>
      <c r="B213" s="22"/>
      <c r="C213" s="22"/>
      <c r="D213" s="22"/>
      <c r="E213" s="22"/>
      <c r="F213" s="23"/>
      <c r="G213" s="23"/>
      <c r="H213" s="24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6"/>
      <c r="U213" s="23" t="str">
        <f t="shared" si="9"/>
        <v/>
      </c>
      <c r="V213" s="22" t="str">
        <f t="shared" si="10"/>
        <v/>
      </c>
      <c r="W213" s="18" t="str">
        <f t="shared" si="11"/>
        <v/>
      </c>
      <c r="X213" s="22"/>
      <c r="Y213" s="22"/>
      <c r="Z213" s="27">
        <f>IF($D213="",0,IF(COUNTIF($D$5:$D213,$D213)=1,1,0))</f>
        <v>0</v>
      </c>
      <c r="AA213" t="str">
        <f>IF(Z213=1,SUM($Z$5:$Z213),"")</f>
        <v/>
      </c>
    </row>
    <row r="214" spans="1:27">
      <c r="A214" s="22"/>
      <c r="B214" s="22"/>
      <c r="C214" s="22"/>
      <c r="D214" s="22"/>
      <c r="E214" s="22"/>
      <c r="F214" s="23"/>
      <c r="G214" s="23"/>
      <c r="H214" s="24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6"/>
      <c r="U214" s="23" t="str">
        <f t="shared" si="9"/>
        <v/>
      </c>
      <c r="V214" s="22" t="str">
        <f t="shared" si="10"/>
        <v/>
      </c>
      <c r="W214" s="18" t="str">
        <f t="shared" si="11"/>
        <v/>
      </c>
      <c r="X214" s="22"/>
      <c r="Y214" s="22"/>
      <c r="Z214" s="27">
        <f>IF($D214="",0,IF(COUNTIF($D$5:$D214,$D214)=1,1,0))</f>
        <v>0</v>
      </c>
      <c r="AA214" t="str">
        <f>IF(Z214=1,SUM($Z$5:$Z214),"")</f>
        <v/>
      </c>
    </row>
    <row r="215" spans="1:27">
      <c r="A215" s="22"/>
      <c r="B215" s="22"/>
      <c r="C215" s="22"/>
      <c r="D215" s="22"/>
      <c r="E215" s="22"/>
      <c r="F215" s="23"/>
      <c r="G215" s="23"/>
      <c r="H215" s="24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6"/>
      <c r="U215" s="23" t="str">
        <f t="shared" si="9"/>
        <v/>
      </c>
      <c r="V215" s="22" t="str">
        <f t="shared" si="10"/>
        <v/>
      </c>
      <c r="W215" s="18" t="str">
        <f t="shared" si="11"/>
        <v/>
      </c>
      <c r="X215" s="22"/>
      <c r="Y215" s="22"/>
      <c r="Z215" s="27">
        <f>IF($D215="",0,IF(COUNTIF($D$5:$D215,$D215)=1,1,0))</f>
        <v>0</v>
      </c>
      <c r="AA215" t="str">
        <f>IF(Z215=1,SUM($Z$5:$Z215),"")</f>
        <v/>
      </c>
    </row>
    <row r="216" spans="1:27">
      <c r="A216" s="22"/>
      <c r="B216" s="22"/>
      <c r="C216" s="22"/>
      <c r="D216" s="22"/>
      <c r="E216" s="22"/>
      <c r="F216" s="23"/>
      <c r="G216" s="23"/>
      <c r="H216" s="24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6"/>
      <c r="U216" s="23" t="str">
        <f t="shared" si="9"/>
        <v/>
      </c>
      <c r="V216" s="22" t="str">
        <f t="shared" si="10"/>
        <v/>
      </c>
      <c r="W216" s="18" t="str">
        <f t="shared" si="11"/>
        <v/>
      </c>
      <c r="X216" s="22"/>
      <c r="Y216" s="22"/>
      <c r="Z216" s="27">
        <f>IF($D216="",0,IF(COUNTIF($D$5:$D216,$D216)=1,1,0))</f>
        <v>0</v>
      </c>
      <c r="AA216" t="str">
        <f>IF(Z216=1,SUM($Z$5:$Z216),"")</f>
        <v/>
      </c>
    </row>
    <row r="217" spans="1:27">
      <c r="A217" s="22"/>
      <c r="B217" s="22"/>
      <c r="C217" s="22"/>
      <c r="D217" s="22"/>
      <c r="E217" s="22"/>
      <c r="F217" s="23"/>
      <c r="G217" s="23"/>
      <c r="H217" s="24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6"/>
      <c r="U217" s="23" t="str">
        <f t="shared" si="9"/>
        <v/>
      </c>
      <c r="V217" s="22" t="str">
        <f t="shared" si="10"/>
        <v/>
      </c>
      <c r="W217" s="18" t="str">
        <f t="shared" si="11"/>
        <v/>
      </c>
      <c r="X217" s="22"/>
      <c r="Y217" s="22"/>
      <c r="Z217" s="27">
        <f>IF($D217="",0,IF(COUNTIF($D$5:$D217,$D217)=1,1,0))</f>
        <v>0</v>
      </c>
      <c r="AA217" t="str">
        <f>IF(Z217=1,SUM($Z$5:$Z217),"")</f>
        <v/>
      </c>
    </row>
    <row r="218" spans="1:27">
      <c r="A218" s="22"/>
      <c r="B218" s="22"/>
      <c r="C218" s="22"/>
      <c r="D218" s="22"/>
      <c r="E218" s="22"/>
      <c r="F218" s="23"/>
      <c r="G218" s="23"/>
      <c r="H218" s="24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6"/>
      <c r="U218" s="23" t="str">
        <f t="shared" si="9"/>
        <v/>
      </c>
      <c r="V218" s="22" t="str">
        <f t="shared" si="10"/>
        <v/>
      </c>
      <c r="W218" s="18" t="str">
        <f t="shared" si="11"/>
        <v/>
      </c>
      <c r="X218" s="22"/>
      <c r="Y218" s="22"/>
      <c r="Z218" s="27">
        <f>IF($D218="",0,IF(COUNTIF($D$5:$D218,$D218)=1,1,0))</f>
        <v>0</v>
      </c>
      <c r="AA218" t="str">
        <f>IF(Z218=1,SUM($Z$5:$Z218),"")</f>
        <v/>
      </c>
    </row>
    <row r="219" spans="1:27">
      <c r="A219" s="22"/>
      <c r="B219" s="22"/>
      <c r="C219" s="22"/>
      <c r="D219" s="22"/>
      <c r="E219" s="22"/>
      <c r="F219" s="23"/>
      <c r="G219" s="23"/>
      <c r="H219" s="24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6"/>
      <c r="U219" s="23" t="str">
        <f t="shared" si="9"/>
        <v/>
      </c>
      <c r="V219" s="22" t="str">
        <f t="shared" si="10"/>
        <v/>
      </c>
      <c r="W219" s="18" t="str">
        <f t="shared" si="11"/>
        <v/>
      </c>
      <c r="X219" s="22"/>
      <c r="Y219" s="22"/>
      <c r="Z219" s="27">
        <f>IF($D219="",0,IF(COUNTIF($D$5:$D219,$D219)=1,1,0))</f>
        <v>0</v>
      </c>
      <c r="AA219" t="str">
        <f>IF(Z219=1,SUM($Z$5:$Z219),"")</f>
        <v/>
      </c>
    </row>
    <row r="220" spans="1:27">
      <c r="A220" s="22"/>
      <c r="B220" s="22"/>
      <c r="C220" s="22"/>
      <c r="D220" s="22"/>
      <c r="E220" s="22"/>
      <c r="F220" s="23"/>
      <c r="G220" s="23"/>
      <c r="H220" s="24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6"/>
      <c r="U220" s="23" t="str">
        <f t="shared" si="9"/>
        <v/>
      </c>
      <c r="V220" s="22" t="str">
        <f t="shared" si="10"/>
        <v/>
      </c>
      <c r="W220" s="18" t="str">
        <f t="shared" si="11"/>
        <v/>
      </c>
      <c r="X220" s="22"/>
      <c r="Y220" s="22"/>
      <c r="Z220" s="27">
        <f>IF($D220="",0,IF(COUNTIF($D$5:$D220,$D220)=1,1,0))</f>
        <v>0</v>
      </c>
      <c r="AA220" t="str">
        <f>IF(Z220=1,SUM($Z$5:$Z220),"")</f>
        <v/>
      </c>
    </row>
    <row r="221" spans="1:27">
      <c r="A221" s="22"/>
      <c r="B221" s="22"/>
      <c r="C221" s="22"/>
      <c r="D221" s="22"/>
      <c r="E221" s="22"/>
      <c r="F221" s="23"/>
      <c r="G221" s="23"/>
      <c r="H221" s="24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6"/>
      <c r="U221" s="23" t="str">
        <f t="shared" si="9"/>
        <v/>
      </c>
      <c r="V221" s="22" t="str">
        <f t="shared" si="10"/>
        <v/>
      </c>
      <c r="W221" s="18" t="str">
        <f t="shared" si="11"/>
        <v/>
      </c>
      <c r="X221" s="22"/>
      <c r="Y221" s="22"/>
      <c r="Z221" s="27">
        <f>IF($D221="",0,IF(COUNTIF($D$5:$D221,$D221)=1,1,0))</f>
        <v>0</v>
      </c>
      <c r="AA221" t="str">
        <f>IF(Z221=1,SUM($Z$5:$Z221),"")</f>
        <v/>
      </c>
    </row>
    <row r="222" spans="1:27">
      <c r="A222" s="22"/>
      <c r="B222" s="22"/>
      <c r="C222" s="22"/>
      <c r="D222" s="22"/>
      <c r="E222" s="22"/>
      <c r="F222" s="23"/>
      <c r="G222" s="23"/>
      <c r="H222" s="24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6"/>
      <c r="U222" s="23" t="str">
        <f t="shared" si="9"/>
        <v/>
      </c>
      <c r="V222" s="22" t="str">
        <f t="shared" si="10"/>
        <v/>
      </c>
      <c r="W222" s="18" t="str">
        <f t="shared" si="11"/>
        <v/>
      </c>
      <c r="X222" s="22"/>
      <c r="Y222" s="22"/>
      <c r="Z222" s="27">
        <f>IF($D222="",0,IF(COUNTIF($D$5:$D222,$D222)=1,1,0))</f>
        <v>0</v>
      </c>
      <c r="AA222" t="str">
        <f>IF(Z222=1,SUM($Z$5:$Z222),"")</f>
        <v/>
      </c>
    </row>
    <row r="223" spans="1:27">
      <c r="A223" s="22"/>
      <c r="B223" s="22"/>
      <c r="C223" s="22"/>
      <c r="D223" s="22"/>
      <c r="E223" s="22"/>
      <c r="F223" s="23"/>
      <c r="G223" s="23"/>
      <c r="H223" s="24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6"/>
      <c r="U223" s="23" t="str">
        <f t="shared" si="9"/>
        <v/>
      </c>
      <c r="V223" s="22" t="str">
        <f t="shared" si="10"/>
        <v/>
      </c>
      <c r="W223" s="18" t="str">
        <f t="shared" si="11"/>
        <v/>
      </c>
      <c r="X223" s="22"/>
      <c r="Y223" s="22"/>
      <c r="Z223" s="27">
        <f>IF($D223="",0,IF(COUNTIF($D$5:$D223,$D223)=1,1,0))</f>
        <v>0</v>
      </c>
      <c r="AA223" t="str">
        <f>IF(Z223=1,SUM($Z$5:$Z223),"")</f>
        <v/>
      </c>
    </row>
    <row r="224" spans="1:27">
      <c r="A224" s="22"/>
      <c r="B224" s="22"/>
      <c r="C224" s="22"/>
      <c r="D224" s="22"/>
      <c r="E224" s="22"/>
      <c r="F224" s="23"/>
      <c r="G224" s="23"/>
      <c r="H224" s="24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6"/>
      <c r="U224" s="23" t="str">
        <f t="shared" si="9"/>
        <v/>
      </c>
      <c r="V224" s="22" t="str">
        <f t="shared" si="10"/>
        <v/>
      </c>
      <c r="W224" s="18" t="str">
        <f t="shared" si="11"/>
        <v/>
      </c>
      <c r="X224" s="22"/>
      <c r="Y224" s="22"/>
      <c r="Z224" s="27">
        <f>IF($D224="",0,IF(COUNTIF($D$5:$D224,$D224)=1,1,0))</f>
        <v>0</v>
      </c>
      <c r="AA224" t="str">
        <f>IF(Z224=1,SUM($Z$5:$Z224),"")</f>
        <v/>
      </c>
    </row>
    <row r="225" spans="1:27">
      <c r="A225" s="22"/>
      <c r="B225" s="22"/>
      <c r="C225" s="22"/>
      <c r="D225" s="22"/>
      <c r="E225" s="22"/>
      <c r="F225" s="23"/>
      <c r="G225" s="23"/>
      <c r="H225" s="24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6"/>
      <c r="U225" s="23" t="str">
        <f t="shared" si="9"/>
        <v/>
      </c>
      <c r="V225" s="22" t="str">
        <f t="shared" si="10"/>
        <v/>
      </c>
      <c r="W225" s="18" t="str">
        <f t="shared" si="11"/>
        <v/>
      </c>
      <c r="X225" s="22"/>
      <c r="Y225" s="22"/>
      <c r="Z225" s="27">
        <f>IF($D225="",0,IF(COUNTIF($D$5:$D225,$D225)=1,1,0))</f>
        <v>0</v>
      </c>
      <c r="AA225" t="str">
        <f>IF(Z225=1,SUM($Z$5:$Z225),"")</f>
        <v/>
      </c>
    </row>
    <row r="226" spans="1:27">
      <c r="A226" s="22"/>
      <c r="B226" s="22"/>
      <c r="C226" s="22"/>
      <c r="D226" s="22"/>
      <c r="E226" s="22"/>
      <c r="F226" s="23"/>
      <c r="G226" s="23"/>
      <c r="H226" s="24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6"/>
      <c r="U226" s="23" t="str">
        <f t="shared" si="9"/>
        <v/>
      </c>
      <c r="V226" s="22" t="str">
        <f t="shared" si="10"/>
        <v/>
      </c>
      <c r="W226" s="18" t="str">
        <f t="shared" si="11"/>
        <v/>
      </c>
      <c r="X226" s="22"/>
      <c r="Y226" s="22"/>
      <c r="Z226" s="27">
        <f>IF($D226="",0,IF(COUNTIF($D$5:$D226,$D226)=1,1,0))</f>
        <v>0</v>
      </c>
      <c r="AA226" t="str">
        <f>IF(Z226=1,SUM($Z$5:$Z226),"")</f>
        <v/>
      </c>
    </row>
    <row r="227" spans="1:27">
      <c r="A227" s="22"/>
      <c r="B227" s="22"/>
      <c r="C227" s="22"/>
      <c r="D227" s="22"/>
      <c r="E227" s="22"/>
      <c r="F227" s="23"/>
      <c r="G227" s="23"/>
      <c r="H227" s="24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6"/>
      <c r="U227" s="23" t="str">
        <f t="shared" si="9"/>
        <v/>
      </c>
      <c r="V227" s="22" t="str">
        <f t="shared" si="10"/>
        <v/>
      </c>
      <c r="W227" s="18" t="str">
        <f t="shared" si="11"/>
        <v/>
      </c>
      <c r="X227" s="22"/>
      <c r="Y227" s="22"/>
      <c r="Z227" s="27">
        <f>IF($D227="",0,IF(COUNTIF($D$5:$D227,$D227)=1,1,0))</f>
        <v>0</v>
      </c>
      <c r="AA227" t="str">
        <f>IF(Z227=1,SUM($Z$5:$Z227),"")</f>
        <v/>
      </c>
    </row>
    <row r="228" spans="1:27">
      <c r="A228" s="22"/>
      <c r="B228" s="22"/>
      <c r="C228" s="22"/>
      <c r="D228" s="22"/>
      <c r="E228" s="22"/>
      <c r="F228" s="23"/>
      <c r="G228" s="23"/>
      <c r="H228" s="24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6"/>
      <c r="U228" s="23" t="str">
        <f t="shared" si="9"/>
        <v/>
      </c>
      <c r="V228" s="22" t="str">
        <f t="shared" si="10"/>
        <v/>
      </c>
      <c r="W228" s="18" t="str">
        <f t="shared" si="11"/>
        <v/>
      </c>
      <c r="X228" s="22"/>
      <c r="Y228" s="22"/>
      <c r="Z228" s="27">
        <f>IF($D228="",0,IF(COUNTIF($D$5:$D228,$D228)=1,1,0))</f>
        <v>0</v>
      </c>
      <c r="AA228" t="str">
        <f>IF(Z228=1,SUM($Z$5:$Z228),"")</f>
        <v/>
      </c>
    </row>
    <row r="229" spans="1:27">
      <c r="A229" s="22"/>
      <c r="B229" s="22"/>
      <c r="C229" s="22"/>
      <c r="D229" s="22"/>
      <c r="E229" s="22"/>
      <c r="F229" s="23"/>
      <c r="G229" s="23"/>
      <c r="H229" s="24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6"/>
      <c r="U229" s="23" t="str">
        <f t="shared" si="9"/>
        <v/>
      </c>
      <c r="V229" s="22" t="str">
        <f t="shared" si="10"/>
        <v/>
      </c>
      <c r="W229" s="18" t="str">
        <f t="shared" si="11"/>
        <v/>
      </c>
      <c r="X229" s="22"/>
      <c r="Y229" s="22"/>
      <c r="Z229" s="27">
        <f>IF($D229="",0,IF(COUNTIF($D$5:$D229,$D229)=1,1,0))</f>
        <v>0</v>
      </c>
      <c r="AA229" t="str">
        <f>IF(Z229=1,SUM($Z$5:$Z229),"")</f>
        <v/>
      </c>
    </row>
    <row r="230" spans="1:27">
      <c r="A230" s="22"/>
      <c r="B230" s="22"/>
      <c r="C230" s="22"/>
      <c r="D230" s="22"/>
      <c r="E230" s="22"/>
      <c r="F230" s="23"/>
      <c r="G230" s="23"/>
      <c r="H230" s="24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6"/>
      <c r="U230" s="23" t="str">
        <f t="shared" si="9"/>
        <v/>
      </c>
      <c r="V230" s="22" t="str">
        <f t="shared" si="10"/>
        <v/>
      </c>
      <c r="W230" s="18" t="str">
        <f t="shared" si="11"/>
        <v/>
      </c>
      <c r="X230" s="22"/>
      <c r="Y230" s="22"/>
      <c r="Z230" s="27">
        <f>IF($D230="",0,IF(COUNTIF($D$5:$D230,$D230)=1,1,0))</f>
        <v>0</v>
      </c>
      <c r="AA230" t="str">
        <f>IF(Z230=1,SUM($Z$5:$Z230),"")</f>
        <v/>
      </c>
    </row>
    <row r="231" spans="1:27">
      <c r="A231" s="22"/>
      <c r="B231" s="22"/>
      <c r="C231" s="22"/>
      <c r="D231" s="22"/>
      <c r="E231" s="22"/>
      <c r="F231" s="23"/>
      <c r="G231" s="23"/>
      <c r="H231" s="24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6"/>
      <c r="U231" s="23" t="str">
        <f t="shared" si="9"/>
        <v/>
      </c>
      <c r="V231" s="22" t="str">
        <f t="shared" si="10"/>
        <v/>
      </c>
      <c r="W231" s="18" t="str">
        <f t="shared" si="11"/>
        <v/>
      </c>
      <c r="X231" s="22"/>
      <c r="Y231" s="22"/>
      <c r="Z231" s="27">
        <f>IF($D231="",0,IF(COUNTIF($D$5:$D231,$D231)=1,1,0))</f>
        <v>0</v>
      </c>
      <c r="AA231" t="str">
        <f>IF(Z231=1,SUM($Z$5:$Z231),"")</f>
        <v/>
      </c>
    </row>
    <row r="232" spans="1:27">
      <c r="A232" s="22"/>
      <c r="B232" s="22"/>
      <c r="C232" s="22"/>
      <c r="D232" s="22"/>
      <c r="E232" s="22"/>
      <c r="F232" s="23"/>
      <c r="G232" s="23"/>
      <c r="H232" s="24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6"/>
      <c r="U232" s="23" t="str">
        <f t="shared" si="9"/>
        <v/>
      </c>
      <c r="V232" s="22" t="str">
        <f t="shared" si="10"/>
        <v/>
      </c>
      <c r="W232" s="18" t="str">
        <f t="shared" si="11"/>
        <v/>
      </c>
      <c r="X232" s="22"/>
      <c r="Y232" s="22"/>
      <c r="Z232" s="27">
        <f>IF($D232="",0,IF(COUNTIF($D$5:$D232,$D232)=1,1,0))</f>
        <v>0</v>
      </c>
      <c r="AA232" t="str">
        <f>IF(Z232=1,SUM($Z$5:$Z232),"")</f>
        <v/>
      </c>
    </row>
    <row r="233" spans="1:27">
      <c r="A233" s="22"/>
      <c r="B233" s="22"/>
      <c r="C233" s="22"/>
      <c r="D233" s="22"/>
      <c r="E233" s="22"/>
      <c r="F233" s="23"/>
      <c r="G233" s="23"/>
      <c r="H233" s="24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6"/>
      <c r="U233" s="23" t="str">
        <f t="shared" si="9"/>
        <v/>
      </c>
      <c r="V233" s="22" t="str">
        <f t="shared" si="10"/>
        <v/>
      </c>
      <c r="W233" s="18" t="str">
        <f t="shared" si="11"/>
        <v/>
      </c>
      <c r="X233" s="22"/>
      <c r="Y233" s="22"/>
      <c r="Z233" s="27">
        <f>IF($D233="",0,IF(COUNTIF($D$5:$D233,$D233)=1,1,0))</f>
        <v>0</v>
      </c>
      <c r="AA233" t="str">
        <f>IF(Z233=1,SUM($Z$5:$Z233),"")</f>
        <v/>
      </c>
    </row>
    <row r="234" spans="1:27">
      <c r="A234" s="22"/>
      <c r="B234" s="22"/>
      <c r="C234" s="22"/>
      <c r="D234" s="22"/>
      <c r="E234" s="22"/>
      <c r="F234" s="23"/>
      <c r="G234" s="23"/>
      <c r="H234" s="24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6"/>
      <c r="U234" s="23" t="str">
        <f t="shared" si="9"/>
        <v/>
      </c>
      <c r="V234" s="22" t="str">
        <f t="shared" si="10"/>
        <v/>
      </c>
      <c r="W234" s="18" t="str">
        <f t="shared" si="11"/>
        <v/>
      </c>
      <c r="X234" s="22"/>
      <c r="Y234" s="22"/>
      <c r="Z234" s="27">
        <f>IF($D234="",0,IF(COUNTIF($D$5:$D234,$D234)=1,1,0))</f>
        <v>0</v>
      </c>
      <c r="AA234" t="str">
        <f>IF(Z234=1,SUM($Z$5:$Z234),"")</f>
        <v/>
      </c>
    </row>
    <row r="235" spans="1:27">
      <c r="A235" s="22"/>
      <c r="B235" s="22"/>
      <c r="C235" s="22"/>
      <c r="D235" s="22"/>
      <c r="E235" s="22"/>
      <c r="F235" s="23"/>
      <c r="G235" s="23"/>
      <c r="H235" s="24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6"/>
      <c r="U235" s="23" t="str">
        <f t="shared" si="9"/>
        <v/>
      </c>
      <c r="V235" s="22" t="str">
        <f t="shared" si="10"/>
        <v/>
      </c>
      <c r="W235" s="18" t="str">
        <f t="shared" si="11"/>
        <v/>
      </c>
      <c r="X235" s="22"/>
      <c r="Y235" s="22"/>
      <c r="Z235" s="27">
        <f>IF($D235="",0,IF(COUNTIF($D$5:$D235,$D235)=1,1,0))</f>
        <v>0</v>
      </c>
      <c r="AA235" t="str">
        <f>IF(Z235=1,SUM($Z$5:$Z235),"")</f>
        <v/>
      </c>
    </row>
    <row r="236" spans="1:27">
      <c r="A236" s="22"/>
      <c r="B236" s="22"/>
      <c r="C236" s="22"/>
      <c r="D236" s="22"/>
      <c r="E236" s="22"/>
      <c r="F236" s="23"/>
      <c r="G236" s="23"/>
      <c r="H236" s="24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6"/>
      <c r="U236" s="23" t="str">
        <f t="shared" si="9"/>
        <v/>
      </c>
      <c r="V236" s="22" t="str">
        <f t="shared" si="10"/>
        <v/>
      </c>
      <c r="W236" s="18" t="str">
        <f t="shared" si="11"/>
        <v/>
      </c>
      <c r="X236" s="22"/>
      <c r="Y236" s="22"/>
      <c r="Z236" s="27">
        <f>IF($D236="",0,IF(COUNTIF($D$5:$D236,$D236)=1,1,0))</f>
        <v>0</v>
      </c>
      <c r="AA236" t="str">
        <f>IF(Z236=1,SUM($Z$5:$Z236),"")</f>
        <v/>
      </c>
    </row>
    <row r="237" spans="1:27">
      <c r="A237" s="22"/>
      <c r="B237" s="22"/>
      <c r="C237" s="22"/>
      <c r="D237" s="22"/>
      <c r="E237" s="22"/>
      <c r="F237" s="23"/>
      <c r="G237" s="23"/>
      <c r="H237" s="24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6"/>
      <c r="U237" s="23" t="str">
        <f t="shared" si="9"/>
        <v/>
      </c>
      <c r="V237" s="22" t="str">
        <f t="shared" si="10"/>
        <v/>
      </c>
      <c r="W237" s="18" t="str">
        <f t="shared" si="11"/>
        <v/>
      </c>
      <c r="X237" s="22"/>
      <c r="Y237" s="22"/>
      <c r="Z237" s="27">
        <f>IF($D237="",0,IF(COUNTIF($D$5:$D237,$D237)=1,1,0))</f>
        <v>0</v>
      </c>
      <c r="AA237" t="str">
        <f>IF(Z237=1,SUM($Z$5:$Z237),"")</f>
        <v/>
      </c>
    </row>
    <row r="238" spans="1:27">
      <c r="A238" s="22"/>
      <c r="B238" s="22"/>
      <c r="C238" s="22"/>
      <c r="D238" s="22"/>
      <c r="E238" s="22"/>
      <c r="F238" s="23"/>
      <c r="G238" s="23"/>
      <c r="H238" s="24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6"/>
      <c r="U238" s="23" t="str">
        <f t="shared" si="9"/>
        <v/>
      </c>
      <c r="V238" s="22" t="str">
        <f t="shared" si="10"/>
        <v/>
      </c>
      <c r="W238" s="18" t="str">
        <f t="shared" si="11"/>
        <v/>
      </c>
      <c r="X238" s="22"/>
      <c r="Y238" s="22"/>
      <c r="Z238" s="27">
        <f>IF($D238="",0,IF(COUNTIF($D$5:$D238,$D238)=1,1,0))</f>
        <v>0</v>
      </c>
      <c r="AA238" t="str">
        <f>IF(Z238=1,SUM($Z$5:$Z238),"")</f>
        <v/>
      </c>
    </row>
    <row r="239" spans="1:27">
      <c r="A239" s="22"/>
      <c r="B239" s="22"/>
      <c r="C239" s="22"/>
      <c r="D239" s="22"/>
      <c r="E239" s="22"/>
      <c r="F239" s="23"/>
      <c r="G239" s="23"/>
      <c r="H239" s="24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6"/>
      <c r="U239" s="23" t="str">
        <f t="shared" si="9"/>
        <v/>
      </c>
      <c r="V239" s="22" t="str">
        <f t="shared" si="10"/>
        <v/>
      </c>
      <c r="W239" s="18" t="str">
        <f t="shared" si="11"/>
        <v/>
      </c>
      <c r="X239" s="22"/>
      <c r="Y239" s="22"/>
      <c r="Z239" s="27">
        <f>IF($D239="",0,IF(COUNTIF($D$5:$D239,$D239)=1,1,0))</f>
        <v>0</v>
      </c>
      <c r="AA239" t="str">
        <f>IF(Z239=1,SUM($Z$5:$Z239),"")</f>
        <v/>
      </c>
    </row>
    <row r="240" spans="1:27">
      <c r="A240" s="22"/>
      <c r="B240" s="22"/>
      <c r="C240" s="22"/>
      <c r="D240" s="22"/>
      <c r="E240" s="22"/>
      <c r="F240" s="23"/>
      <c r="G240" s="23"/>
      <c r="H240" s="24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6"/>
      <c r="U240" s="23" t="str">
        <f t="shared" si="9"/>
        <v/>
      </c>
      <c r="V240" s="22" t="str">
        <f t="shared" si="10"/>
        <v/>
      </c>
      <c r="W240" s="18" t="str">
        <f t="shared" si="11"/>
        <v/>
      </c>
      <c r="X240" s="22"/>
      <c r="Y240" s="22"/>
      <c r="Z240" s="27">
        <f>IF($D240="",0,IF(COUNTIF($D$5:$D240,$D240)=1,1,0))</f>
        <v>0</v>
      </c>
      <c r="AA240" t="str">
        <f>IF(Z240=1,SUM($Z$5:$Z240),"")</f>
        <v/>
      </c>
    </row>
    <row r="241" spans="1:27">
      <c r="A241" s="22"/>
      <c r="B241" s="22"/>
      <c r="C241" s="22"/>
      <c r="D241" s="22"/>
      <c r="E241" s="22"/>
      <c r="F241" s="23"/>
      <c r="G241" s="23"/>
      <c r="H241" s="24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6"/>
      <c r="U241" s="23" t="str">
        <f t="shared" si="9"/>
        <v/>
      </c>
      <c r="V241" s="22" t="str">
        <f t="shared" si="10"/>
        <v/>
      </c>
      <c r="W241" s="18" t="str">
        <f t="shared" si="11"/>
        <v/>
      </c>
      <c r="X241" s="22"/>
      <c r="Y241" s="22"/>
      <c r="Z241" s="27">
        <f>IF($D241="",0,IF(COUNTIF($D$5:$D241,$D241)=1,1,0))</f>
        <v>0</v>
      </c>
      <c r="AA241" t="str">
        <f>IF(Z241=1,SUM($Z$5:$Z241),"")</f>
        <v/>
      </c>
    </row>
    <row r="242" spans="1:27">
      <c r="A242" s="22"/>
      <c r="B242" s="22"/>
      <c r="C242" s="22"/>
      <c r="D242" s="22"/>
      <c r="E242" s="22"/>
      <c r="F242" s="23"/>
      <c r="G242" s="23"/>
      <c r="H242" s="24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6"/>
      <c r="U242" s="23" t="str">
        <f t="shared" si="9"/>
        <v/>
      </c>
      <c r="V242" s="22" t="str">
        <f t="shared" si="10"/>
        <v/>
      </c>
      <c r="W242" s="18" t="str">
        <f t="shared" si="11"/>
        <v/>
      </c>
      <c r="X242" s="22"/>
      <c r="Y242" s="22"/>
      <c r="Z242" s="27">
        <f>IF($D242="",0,IF(COUNTIF($D$5:$D242,$D242)=1,1,0))</f>
        <v>0</v>
      </c>
      <c r="AA242" t="str">
        <f>IF(Z242=1,SUM($Z$5:$Z242),"")</f>
        <v/>
      </c>
    </row>
    <row r="243" spans="1:27">
      <c r="A243" s="22"/>
      <c r="B243" s="22"/>
      <c r="C243" s="22"/>
      <c r="D243" s="22"/>
      <c r="E243" s="22"/>
      <c r="F243" s="23"/>
      <c r="G243" s="23"/>
      <c r="H243" s="24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6"/>
      <c r="U243" s="23" t="str">
        <f t="shared" si="9"/>
        <v/>
      </c>
      <c r="V243" s="22" t="str">
        <f t="shared" si="10"/>
        <v/>
      </c>
      <c r="W243" s="18" t="str">
        <f t="shared" si="11"/>
        <v/>
      </c>
      <c r="X243" s="22"/>
      <c r="Y243" s="22"/>
      <c r="Z243" s="27">
        <f>IF($D243="",0,IF(COUNTIF($D$5:$D243,$D243)=1,1,0))</f>
        <v>0</v>
      </c>
      <c r="AA243" t="str">
        <f>IF(Z243=1,SUM($Z$5:$Z243),"")</f>
        <v/>
      </c>
    </row>
    <row r="244" spans="1:27">
      <c r="A244" s="22"/>
      <c r="B244" s="22"/>
      <c r="C244" s="22"/>
      <c r="D244" s="22"/>
      <c r="E244" s="22"/>
      <c r="F244" s="23"/>
      <c r="G244" s="23"/>
      <c r="H244" s="24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6"/>
      <c r="U244" s="23" t="str">
        <f t="shared" si="9"/>
        <v/>
      </c>
      <c r="V244" s="22" t="str">
        <f t="shared" si="10"/>
        <v/>
      </c>
      <c r="W244" s="18" t="str">
        <f t="shared" si="11"/>
        <v/>
      </c>
      <c r="X244" s="22"/>
      <c r="Y244" s="22"/>
      <c r="Z244" s="27">
        <f>IF($D244="",0,IF(COUNTIF($D$5:$D244,$D244)=1,1,0))</f>
        <v>0</v>
      </c>
      <c r="AA244" t="str">
        <f>IF(Z244=1,SUM($Z$5:$Z244),"")</f>
        <v/>
      </c>
    </row>
    <row r="245" spans="1:27">
      <c r="A245" s="22"/>
      <c r="B245" s="22"/>
      <c r="C245" s="22"/>
      <c r="D245" s="22"/>
      <c r="E245" s="22"/>
      <c r="F245" s="23"/>
      <c r="G245" s="23"/>
      <c r="H245" s="24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6"/>
      <c r="U245" s="23" t="str">
        <f t="shared" si="9"/>
        <v/>
      </c>
      <c r="V245" s="22" t="str">
        <f t="shared" si="10"/>
        <v/>
      </c>
      <c r="W245" s="18" t="str">
        <f t="shared" si="11"/>
        <v/>
      </c>
      <c r="X245" s="22"/>
      <c r="Y245" s="22"/>
      <c r="Z245" s="27">
        <f>IF($D245="",0,IF(COUNTIF($D$5:$D245,$D245)=1,1,0))</f>
        <v>0</v>
      </c>
      <c r="AA245" t="str">
        <f>IF(Z245=1,SUM($Z$5:$Z245),"")</f>
        <v/>
      </c>
    </row>
    <row r="246" spans="1:27">
      <c r="A246" s="22"/>
      <c r="B246" s="22"/>
      <c r="C246" s="22"/>
      <c r="D246" s="22"/>
      <c r="E246" s="22"/>
      <c r="F246" s="23"/>
      <c r="G246" s="23"/>
      <c r="H246" s="24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6"/>
      <c r="U246" s="23" t="str">
        <f t="shared" si="9"/>
        <v/>
      </c>
      <c r="V246" s="22" t="str">
        <f t="shared" si="10"/>
        <v/>
      </c>
      <c r="W246" s="18" t="str">
        <f t="shared" si="11"/>
        <v/>
      </c>
      <c r="X246" s="22"/>
      <c r="Y246" s="22"/>
      <c r="Z246" s="27">
        <f>IF($D246="",0,IF(COUNTIF($D$5:$D246,$D246)=1,1,0))</f>
        <v>0</v>
      </c>
      <c r="AA246" t="str">
        <f>IF(Z246=1,SUM($Z$5:$Z246),"")</f>
        <v/>
      </c>
    </row>
    <row r="247" spans="1:27">
      <c r="A247" s="22"/>
      <c r="B247" s="22"/>
      <c r="C247" s="22"/>
      <c r="D247" s="22"/>
      <c r="E247" s="22"/>
      <c r="F247" s="23"/>
      <c r="G247" s="23"/>
      <c r="H247" s="24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6"/>
      <c r="U247" s="23" t="str">
        <f t="shared" si="9"/>
        <v/>
      </c>
      <c r="V247" s="22" t="str">
        <f t="shared" si="10"/>
        <v/>
      </c>
      <c r="W247" s="18" t="str">
        <f t="shared" si="11"/>
        <v/>
      </c>
      <c r="X247" s="22"/>
      <c r="Y247" s="22"/>
      <c r="Z247" s="27">
        <f>IF($D247="",0,IF(COUNTIF($D$5:$D247,$D247)=1,1,0))</f>
        <v>0</v>
      </c>
      <c r="AA247" t="str">
        <f>IF(Z247=1,SUM($Z$5:$Z247),"")</f>
        <v/>
      </c>
    </row>
    <row r="248" spans="1:27">
      <c r="A248" s="22"/>
      <c r="B248" s="22"/>
      <c r="C248" s="22"/>
      <c r="D248" s="22"/>
      <c r="E248" s="22"/>
      <c r="F248" s="23"/>
      <c r="G248" s="23"/>
      <c r="H248" s="24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6"/>
      <c r="U248" s="23" t="str">
        <f t="shared" si="9"/>
        <v/>
      </c>
      <c r="V248" s="22" t="str">
        <f t="shared" si="10"/>
        <v/>
      </c>
      <c r="W248" s="18" t="str">
        <f t="shared" si="11"/>
        <v/>
      </c>
      <c r="X248" s="22"/>
      <c r="Y248" s="22"/>
      <c r="Z248" s="27">
        <f>IF($D248="",0,IF(COUNTIF($D$5:$D248,$D248)=1,1,0))</f>
        <v>0</v>
      </c>
      <c r="AA248" t="str">
        <f>IF(Z248=1,SUM($Z$5:$Z248),"")</f>
        <v/>
      </c>
    </row>
    <row r="249" spans="1:27">
      <c r="A249" s="22"/>
      <c r="B249" s="22"/>
      <c r="C249" s="22"/>
      <c r="D249" s="22"/>
      <c r="E249" s="22"/>
      <c r="F249" s="23"/>
      <c r="G249" s="23"/>
      <c r="H249" s="24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6"/>
      <c r="U249" s="23" t="str">
        <f t="shared" si="9"/>
        <v/>
      </c>
      <c r="V249" s="22" t="str">
        <f t="shared" si="10"/>
        <v/>
      </c>
      <c r="W249" s="18" t="str">
        <f t="shared" si="11"/>
        <v/>
      </c>
      <c r="X249" s="22"/>
      <c r="Y249" s="22"/>
      <c r="Z249" s="27">
        <f>IF($D249="",0,IF(COUNTIF($D$5:$D249,$D249)=1,1,0))</f>
        <v>0</v>
      </c>
      <c r="AA249" t="str">
        <f>IF(Z249=1,SUM($Z$5:$Z249),"")</f>
        <v/>
      </c>
    </row>
    <row r="250" spans="1:27">
      <c r="A250" s="22"/>
      <c r="B250" s="22"/>
      <c r="C250" s="22"/>
      <c r="D250" s="22"/>
      <c r="E250" s="22"/>
      <c r="F250" s="23"/>
      <c r="G250" s="23"/>
      <c r="H250" s="24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6"/>
      <c r="U250" s="23" t="str">
        <f t="shared" si="9"/>
        <v/>
      </c>
      <c r="V250" s="22" t="str">
        <f t="shared" si="10"/>
        <v/>
      </c>
      <c r="W250" s="18" t="str">
        <f t="shared" si="11"/>
        <v/>
      </c>
      <c r="X250" s="22"/>
      <c r="Y250" s="22"/>
      <c r="Z250" s="27">
        <f>IF($D250="",0,IF(COUNTIF($D$5:$D250,$D250)=1,1,0))</f>
        <v>0</v>
      </c>
      <c r="AA250" t="str">
        <f>IF(Z250=1,SUM($Z$5:$Z250),"")</f>
        <v/>
      </c>
    </row>
    <row r="251" spans="1:27">
      <c r="A251" s="22"/>
      <c r="B251" s="22"/>
      <c r="C251" s="22"/>
      <c r="D251" s="22"/>
      <c r="E251" s="22"/>
      <c r="F251" s="23"/>
      <c r="G251" s="23"/>
      <c r="H251" s="24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6"/>
      <c r="U251" s="23" t="str">
        <f t="shared" si="9"/>
        <v/>
      </c>
      <c r="V251" s="22" t="str">
        <f t="shared" si="10"/>
        <v/>
      </c>
      <c r="W251" s="18" t="str">
        <f t="shared" si="11"/>
        <v/>
      </c>
      <c r="X251" s="22"/>
      <c r="Y251" s="22"/>
      <c r="Z251" s="27">
        <f>IF($D251="",0,IF(COUNTIF($D$5:$D251,$D251)=1,1,0))</f>
        <v>0</v>
      </c>
      <c r="AA251" t="str">
        <f>IF(Z251=1,SUM($Z$5:$Z251),"")</f>
        <v/>
      </c>
    </row>
    <row r="252" spans="1:27">
      <c r="A252" s="22"/>
      <c r="B252" s="22"/>
      <c r="C252" s="22"/>
      <c r="D252" s="22"/>
      <c r="E252" s="22"/>
      <c r="F252" s="23"/>
      <c r="G252" s="23"/>
      <c r="H252" s="24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6"/>
      <c r="U252" s="23" t="str">
        <f t="shared" si="9"/>
        <v/>
      </c>
      <c r="V252" s="22" t="str">
        <f t="shared" si="10"/>
        <v/>
      </c>
      <c r="W252" s="18" t="str">
        <f t="shared" si="11"/>
        <v/>
      </c>
      <c r="X252" s="22"/>
      <c r="Y252" s="22"/>
      <c r="Z252" s="27">
        <f>IF($D252="",0,IF(COUNTIF($D$5:$D252,$D252)=1,1,0))</f>
        <v>0</v>
      </c>
      <c r="AA252" t="str">
        <f>IF(Z252=1,SUM($Z$5:$Z252),"")</f>
        <v/>
      </c>
    </row>
    <row r="253" spans="1:27">
      <c r="A253" s="22"/>
      <c r="B253" s="22"/>
      <c r="C253" s="22"/>
      <c r="D253" s="22"/>
      <c r="E253" s="22"/>
      <c r="F253" s="23"/>
      <c r="G253" s="23"/>
      <c r="H253" s="24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6"/>
      <c r="U253" s="23" t="str">
        <f t="shared" si="9"/>
        <v/>
      </c>
      <c r="V253" s="22" t="str">
        <f t="shared" si="10"/>
        <v/>
      </c>
      <c r="W253" s="18" t="str">
        <f t="shared" si="11"/>
        <v/>
      </c>
      <c r="X253" s="22"/>
      <c r="Y253" s="22"/>
      <c r="Z253" s="27">
        <f>IF($D253="",0,IF(COUNTIF($D$5:$D253,$D253)=1,1,0))</f>
        <v>0</v>
      </c>
      <c r="AA253" t="str">
        <f>IF(Z253=1,SUM($Z$5:$Z253),"")</f>
        <v/>
      </c>
    </row>
    <row r="254" spans="1:27">
      <c r="A254" s="22"/>
      <c r="B254" s="22"/>
      <c r="C254" s="22"/>
      <c r="D254" s="22"/>
      <c r="E254" s="22"/>
      <c r="F254" s="23"/>
      <c r="G254" s="23"/>
      <c r="H254" s="24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6"/>
      <c r="U254" s="23" t="str">
        <f t="shared" si="9"/>
        <v/>
      </c>
      <c r="V254" s="22" t="str">
        <f t="shared" si="10"/>
        <v/>
      </c>
      <c r="W254" s="18" t="str">
        <f t="shared" si="11"/>
        <v/>
      </c>
      <c r="X254" s="22"/>
      <c r="Y254" s="22"/>
      <c r="Z254" s="27">
        <f>IF($D254="",0,IF(COUNTIF($D$5:$D254,$D254)=1,1,0))</f>
        <v>0</v>
      </c>
      <c r="AA254" t="str">
        <f>IF(Z254=1,SUM($Z$5:$Z254),"")</f>
        <v/>
      </c>
    </row>
    <row r="255" spans="1:27">
      <c r="A255" s="22"/>
      <c r="B255" s="22"/>
      <c r="C255" s="22"/>
      <c r="D255" s="22"/>
      <c r="E255" s="22"/>
      <c r="F255" s="23"/>
      <c r="G255" s="23"/>
      <c r="H255" s="24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6"/>
      <c r="U255" s="23" t="str">
        <f t="shared" si="9"/>
        <v/>
      </c>
      <c r="V255" s="22" t="str">
        <f t="shared" si="10"/>
        <v/>
      </c>
      <c r="W255" s="18" t="str">
        <f t="shared" si="11"/>
        <v/>
      </c>
      <c r="X255" s="22"/>
      <c r="Y255" s="22"/>
      <c r="Z255" s="27">
        <f>IF($D255="",0,IF(COUNTIF($D$5:$D255,$D255)=1,1,0))</f>
        <v>0</v>
      </c>
      <c r="AA255" t="str">
        <f>IF(Z255=1,SUM($Z$5:$Z255),"")</f>
        <v/>
      </c>
    </row>
    <row r="256" spans="1:27">
      <c r="A256" s="22"/>
      <c r="B256" s="22"/>
      <c r="C256" s="22"/>
      <c r="D256" s="22"/>
      <c r="E256" s="22"/>
      <c r="F256" s="23"/>
      <c r="G256" s="23"/>
      <c r="H256" s="24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6"/>
      <c r="U256" s="23" t="str">
        <f t="shared" si="9"/>
        <v/>
      </c>
      <c r="V256" s="22" t="str">
        <f t="shared" si="10"/>
        <v/>
      </c>
      <c r="W256" s="18" t="str">
        <f t="shared" si="11"/>
        <v/>
      </c>
      <c r="X256" s="22"/>
      <c r="Y256" s="22"/>
      <c r="Z256" s="27">
        <f>IF($D256="",0,IF(COUNTIF($D$5:$D256,$D256)=1,1,0))</f>
        <v>0</v>
      </c>
      <c r="AA256" t="str">
        <f>IF(Z256=1,SUM($Z$5:$Z256),"")</f>
        <v/>
      </c>
    </row>
    <row r="257" spans="1:27">
      <c r="A257" s="22"/>
      <c r="B257" s="22"/>
      <c r="C257" s="22"/>
      <c r="D257" s="22"/>
      <c r="E257" s="22"/>
      <c r="F257" s="23"/>
      <c r="G257" s="23"/>
      <c r="H257" s="24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6"/>
      <c r="U257" s="23" t="str">
        <f t="shared" si="9"/>
        <v/>
      </c>
      <c r="V257" s="22" t="str">
        <f t="shared" si="10"/>
        <v/>
      </c>
      <c r="W257" s="18" t="str">
        <f t="shared" si="11"/>
        <v/>
      </c>
      <c r="X257" s="22"/>
      <c r="Y257" s="22"/>
      <c r="Z257" s="27">
        <f>IF($D257="",0,IF(COUNTIF($D$5:$D257,$D257)=1,1,0))</f>
        <v>0</v>
      </c>
      <c r="AA257" t="str">
        <f>IF(Z257=1,SUM($Z$5:$Z257),"")</f>
        <v/>
      </c>
    </row>
    <row r="258" spans="1:27">
      <c r="A258" s="22"/>
      <c r="B258" s="22"/>
      <c r="C258" s="22"/>
      <c r="D258" s="22"/>
      <c r="E258" s="22"/>
      <c r="F258" s="23"/>
      <c r="G258" s="23"/>
      <c r="H258" s="24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6"/>
      <c r="U258" s="23" t="str">
        <f t="shared" si="9"/>
        <v/>
      </c>
      <c r="V258" s="22" t="str">
        <f t="shared" si="10"/>
        <v/>
      </c>
      <c r="W258" s="18" t="str">
        <f t="shared" si="11"/>
        <v/>
      </c>
      <c r="X258" s="22"/>
      <c r="Y258" s="22"/>
      <c r="Z258" s="27">
        <f>IF($D258="",0,IF(COUNTIF($D$5:$D258,$D258)=1,1,0))</f>
        <v>0</v>
      </c>
      <c r="AA258" t="str">
        <f>IF(Z258=1,SUM($Z$5:$Z258),"")</f>
        <v/>
      </c>
    </row>
    <row r="259" spans="1:27">
      <c r="A259" s="22"/>
      <c r="B259" s="22"/>
      <c r="C259" s="22"/>
      <c r="D259" s="22"/>
      <c r="E259" s="22"/>
      <c r="F259" s="23"/>
      <c r="G259" s="23"/>
      <c r="H259" s="24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6"/>
      <c r="U259" s="23" t="str">
        <f t="shared" si="9"/>
        <v/>
      </c>
      <c r="V259" s="22" t="str">
        <f t="shared" si="10"/>
        <v/>
      </c>
      <c r="W259" s="18" t="str">
        <f t="shared" si="11"/>
        <v/>
      </c>
      <c r="X259" s="22"/>
      <c r="Y259" s="22"/>
      <c r="Z259" s="27">
        <f>IF($D259="",0,IF(COUNTIF($D$5:$D259,$D259)=1,1,0))</f>
        <v>0</v>
      </c>
      <c r="AA259" t="str">
        <f>IF(Z259=1,SUM($Z$5:$Z259),"")</f>
        <v/>
      </c>
    </row>
    <row r="260" spans="1:27">
      <c r="A260" s="22"/>
      <c r="B260" s="22"/>
      <c r="C260" s="22"/>
      <c r="D260" s="22"/>
      <c r="E260" s="22"/>
      <c r="F260" s="23"/>
      <c r="G260" s="23"/>
      <c r="H260" s="24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6"/>
      <c r="U260" s="23" t="str">
        <f t="shared" si="9"/>
        <v/>
      </c>
      <c r="V260" s="22" t="str">
        <f t="shared" si="10"/>
        <v/>
      </c>
      <c r="W260" s="18" t="str">
        <f t="shared" si="11"/>
        <v/>
      </c>
      <c r="X260" s="22"/>
      <c r="Y260" s="22"/>
      <c r="Z260" s="27">
        <f>IF($D260="",0,IF(COUNTIF($D$5:$D260,$D260)=1,1,0))</f>
        <v>0</v>
      </c>
      <c r="AA260" t="str">
        <f>IF(Z260=1,SUM($Z$5:$Z260),"")</f>
        <v/>
      </c>
    </row>
    <row r="261" spans="1:27">
      <c r="A261" s="22"/>
      <c r="B261" s="22"/>
      <c r="C261" s="22"/>
      <c r="D261" s="22"/>
      <c r="E261" s="22"/>
      <c r="F261" s="23"/>
      <c r="G261" s="23"/>
      <c r="H261" s="24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6"/>
      <c r="U261" s="23" t="str">
        <f t="shared" si="9"/>
        <v/>
      </c>
      <c r="V261" s="22" t="str">
        <f t="shared" si="10"/>
        <v/>
      </c>
      <c r="W261" s="18" t="str">
        <f t="shared" si="11"/>
        <v/>
      </c>
      <c r="X261" s="22"/>
      <c r="Y261" s="22"/>
      <c r="Z261" s="27">
        <f>IF($D261="",0,IF(COUNTIF($D$5:$D261,$D261)=1,1,0))</f>
        <v>0</v>
      </c>
      <c r="AA261" t="str">
        <f>IF(Z261=1,SUM($Z$5:$Z261),"")</f>
        <v/>
      </c>
    </row>
    <row r="262" spans="1:27">
      <c r="A262" s="22"/>
      <c r="B262" s="22"/>
      <c r="C262" s="22"/>
      <c r="D262" s="22"/>
      <c r="E262" s="22"/>
      <c r="F262" s="23"/>
      <c r="G262" s="23"/>
      <c r="H262" s="24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6"/>
      <c r="U262" s="23" t="str">
        <f t="shared" ref="U262:U305" si="12">IF($E262="","",COUNTIF($I262:$S262,"V"))</f>
        <v/>
      </c>
      <c r="V262" s="22" t="str">
        <f t="shared" ref="V262:V305" si="13">IF($E262="","",IF(AND($T262="V",$U262&gt;0),"⚠ 勾選矛盾",IF($T262="V","○ 免調理",IF($U262=0,"⚠ 資料缺漏",IF($U262=1,"▲ 單一設備依賴","OK")))))</f>
        <v/>
      </c>
      <c r="W262" s="18" t="str">
        <f t="shared" ref="W262:W305" si="14">IF($E262="","",IF(AND($T262="V",$U262&gt;0),"「無使用調理設備」不可與設備欄同時勾選，請擇一修正",IF($T262="V","免調理半成品（外購/僅切配等），不列入設備風險評估",IF($U262=0,"未勾選任何設備，請補填或勾選「無使用調理設備」",IF($U262=1,"僅依賴1台設備，須確認故障/排修時之備援製程","無異常")))))</f>
        <v/>
      </c>
      <c r="X262" s="22"/>
      <c r="Y262" s="22"/>
      <c r="Z262" s="27">
        <f>IF($D262="",0,IF(COUNTIF($D$5:$D262,$D262)=1,1,0))</f>
        <v>0</v>
      </c>
      <c r="AA262" t="str">
        <f>IF(Z262=1,SUM($Z$5:$Z262),"")</f>
        <v/>
      </c>
    </row>
    <row r="263" spans="1:27">
      <c r="A263" s="22"/>
      <c r="B263" s="22"/>
      <c r="C263" s="22"/>
      <c r="D263" s="22"/>
      <c r="E263" s="22"/>
      <c r="F263" s="23"/>
      <c r="G263" s="23"/>
      <c r="H263" s="24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6"/>
      <c r="U263" s="23" t="str">
        <f t="shared" si="12"/>
        <v/>
      </c>
      <c r="V263" s="22" t="str">
        <f t="shared" si="13"/>
        <v/>
      </c>
      <c r="W263" s="18" t="str">
        <f t="shared" si="14"/>
        <v/>
      </c>
      <c r="X263" s="22"/>
      <c r="Y263" s="22"/>
      <c r="Z263" s="27">
        <f>IF($D263="",0,IF(COUNTIF($D$5:$D263,$D263)=1,1,0))</f>
        <v>0</v>
      </c>
      <c r="AA263" t="str">
        <f>IF(Z263=1,SUM($Z$5:$Z263),"")</f>
        <v/>
      </c>
    </row>
    <row r="264" spans="1:27">
      <c r="A264" s="22"/>
      <c r="B264" s="22"/>
      <c r="C264" s="22"/>
      <c r="D264" s="22"/>
      <c r="E264" s="22"/>
      <c r="F264" s="23"/>
      <c r="G264" s="23"/>
      <c r="H264" s="24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6"/>
      <c r="U264" s="23" t="str">
        <f t="shared" si="12"/>
        <v/>
      </c>
      <c r="V264" s="22" t="str">
        <f t="shared" si="13"/>
        <v/>
      </c>
      <c r="W264" s="18" t="str">
        <f t="shared" si="14"/>
        <v/>
      </c>
      <c r="X264" s="22"/>
      <c r="Y264" s="22"/>
      <c r="Z264" s="27">
        <f>IF($D264="",0,IF(COUNTIF($D$5:$D264,$D264)=1,1,0))</f>
        <v>0</v>
      </c>
      <c r="AA264" t="str">
        <f>IF(Z264=1,SUM($Z$5:$Z264),"")</f>
        <v/>
      </c>
    </row>
    <row r="265" spans="1:27">
      <c r="A265" s="22"/>
      <c r="B265" s="22"/>
      <c r="C265" s="22"/>
      <c r="D265" s="22"/>
      <c r="E265" s="22"/>
      <c r="F265" s="23"/>
      <c r="G265" s="23"/>
      <c r="H265" s="24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6"/>
      <c r="U265" s="23" t="str">
        <f t="shared" si="12"/>
        <v/>
      </c>
      <c r="V265" s="22" t="str">
        <f t="shared" si="13"/>
        <v/>
      </c>
      <c r="W265" s="18" t="str">
        <f t="shared" si="14"/>
        <v/>
      </c>
      <c r="X265" s="22"/>
      <c r="Y265" s="22"/>
      <c r="Z265" s="27">
        <f>IF($D265="",0,IF(COUNTIF($D$5:$D265,$D265)=1,1,0))</f>
        <v>0</v>
      </c>
      <c r="AA265" t="str">
        <f>IF(Z265=1,SUM($Z$5:$Z265),"")</f>
        <v/>
      </c>
    </row>
    <row r="266" spans="1:27">
      <c r="A266" s="22"/>
      <c r="B266" s="22"/>
      <c r="C266" s="22"/>
      <c r="D266" s="22"/>
      <c r="E266" s="22"/>
      <c r="F266" s="23"/>
      <c r="G266" s="23"/>
      <c r="H266" s="24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6"/>
      <c r="U266" s="23" t="str">
        <f t="shared" si="12"/>
        <v/>
      </c>
      <c r="V266" s="22" t="str">
        <f t="shared" si="13"/>
        <v/>
      </c>
      <c r="W266" s="18" t="str">
        <f t="shared" si="14"/>
        <v/>
      </c>
      <c r="X266" s="22"/>
      <c r="Y266" s="22"/>
      <c r="Z266" s="27">
        <f>IF($D266="",0,IF(COUNTIF($D$5:$D266,$D266)=1,1,0))</f>
        <v>0</v>
      </c>
      <c r="AA266" t="str">
        <f>IF(Z266=1,SUM($Z$5:$Z266),"")</f>
        <v/>
      </c>
    </row>
    <row r="267" spans="1:27">
      <c r="A267" s="22"/>
      <c r="B267" s="22"/>
      <c r="C267" s="22"/>
      <c r="D267" s="22"/>
      <c r="E267" s="22"/>
      <c r="F267" s="23"/>
      <c r="G267" s="23"/>
      <c r="H267" s="24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6"/>
      <c r="U267" s="23" t="str">
        <f t="shared" si="12"/>
        <v/>
      </c>
      <c r="V267" s="22" t="str">
        <f t="shared" si="13"/>
        <v/>
      </c>
      <c r="W267" s="18" t="str">
        <f t="shared" si="14"/>
        <v/>
      </c>
      <c r="X267" s="22"/>
      <c r="Y267" s="22"/>
      <c r="Z267" s="27">
        <f>IF($D267="",0,IF(COUNTIF($D$5:$D267,$D267)=1,1,0))</f>
        <v>0</v>
      </c>
      <c r="AA267" t="str">
        <f>IF(Z267=1,SUM($Z$5:$Z267),"")</f>
        <v/>
      </c>
    </row>
    <row r="268" spans="1:27">
      <c r="A268" s="22"/>
      <c r="B268" s="22"/>
      <c r="C268" s="22"/>
      <c r="D268" s="22"/>
      <c r="E268" s="22"/>
      <c r="F268" s="23"/>
      <c r="G268" s="23"/>
      <c r="H268" s="24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6"/>
      <c r="U268" s="23" t="str">
        <f t="shared" si="12"/>
        <v/>
      </c>
      <c r="V268" s="22" t="str">
        <f t="shared" si="13"/>
        <v/>
      </c>
      <c r="W268" s="18" t="str">
        <f t="shared" si="14"/>
        <v/>
      </c>
      <c r="X268" s="22"/>
      <c r="Y268" s="22"/>
      <c r="Z268" s="27">
        <f>IF($D268="",0,IF(COUNTIF($D$5:$D268,$D268)=1,1,0))</f>
        <v>0</v>
      </c>
      <c r="AA268" t="str">
        <f>IF(Z268=1,SUM($Z$5:$Z268),"")</f>
        <v/>
      </c>
    </row>
    <row r="269" spans="1:27">
      <c r="A269" s="22"/>
      <c r="B269" s="22"/>
      <c r="C269" s="22"/>
      <c r="D269" s="22"/>
      <c r="E269" s="22"/>
      <c r="F269" s="23"/>
      <c r="G269" s="23"/>
      <c r="H269" s="24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6"/>
      <c r="U269" s="23" t="str">
        <f t="shared" si="12"/>
        <v/>
      </c>
      <c r="V269" s="22" t="str">
        <f t="shared" si="13"/>
        <v/>
      </c>
      <c r="W269" s="18" t="str">
        <f t="shared" si="14"/>
        <v/>
      </c>
      <c r="X269" s="22"/>
      <c r="Y269" s="22"/>
      <c r="Z269" s="27">
        <f>IF($D269="",0,IF(COUNTIF($D$5:$D269,$D269)=1,1,0))</f>
        <v>0</v>
      </c>
      <c r="AA269" t="str">
        <f>IF(Z269=1,SUM($Z$5:$Z269),"")</f>
        <v/>
      </c>
    </row>
    <row r="270" spans="1:27">
      <c r="A270" s="22"/>
      <c r="B270" s="22"/>
      <c r="C270" s="22"/>
      <c r="D270" s="22"/>
      <c r="E270" s="22"/>
      <c r="F270" s="23"/>
      <c r="G270" s="23"/>
      <c r="H270" s="24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6"/>
      <c r="U270" s="23" t="str">
        <f t="shared" si="12"/>
        <v/>
      </c>
      <c r="V270" s="22" t="str">
        <f t="shared" si="13"/>
        <v/>
      </c>
      <c r="W270" s="18" t="str">
        <f t="shared" si="14"/>
        <v/>
      </c>
      <c r="X270" s="22"/>
      <c r="Y270" s="22"/>
      <c r="Z270" s="27">
        <f>IF($D270="",0,IF(COUNTIF($D$5:$D270,$D270)=1,1,0))</f>
        <v>0</v>
      </c>
      <c r="AA270" t="str">
        <f>IF(Z270=1,SUM($Z$5:$Z270),"")</f>
        <v/>
      </c>
    </row>
    <row r="271" spans="1:27">
      <c r="A271" s="22"/>
      <c r="B271" s="22"/>
      <c r="C271" s="22"/>
      <c r="D271" s="22"/>
      <c r="E271" s="22"/>
      <c r="F271" s="23"/>
      <c r="G271" s="23"/>
      <c r="H271" s="24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6"/>
      <c r="U271" s="23" t="str">
        <f t="shared" si="12"/>
        <v/>
      </c>
      <c r="V271" s="22" t="str">
        <f t="shared" si="13"/>
        <v/>
      </c>
      <c r="W271" s="18" t="str">
        <f t="shared" si="14"/>
        <v/>
      </c>
      <c r="X271" s="22"/>
      <c r="Y271" s="22"/>
      <c r="Z271" s="27">
        <f>IF($D271="",0,IF(COUNTIF($D$5:$D271,$D271)=1,1,0))</f>
        <v>0</v>
      </c>
      <c r="AA271" t="str">
        <f>IF(Z271=1,SUM($Z$5:$Z271),"")</f>
        <v/>
      </c>
    </row>
    <row r="272" spans="1:27">
      <c r="A272" s="22"/>
      <c r="B272" s="22"/>
      <c r="C272" s="22"/>
      <c r="D272" s="22"/>
      <c r="E272" s="22"/>
      <c r="F272" s="23"/>
      <c r="G272" s="23"/>
      <c r="H272" s="24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6"/>
      <c r="U272" s="23" t="str">
        <f t="shared" si="12"/>
        <v/>
      </c>
      <c r="V272" s="22" t="str">
        <f t="shared" si="13"/>
        <v/>
      </c>
      <c r="W272" s="18" t="str">
        <f t="shared" si="14"/>
        <v/>
      </c>
      <c r="X272" s="22"/>
      <c r="Y272" s="22"/>
      <c r="Z272" s="27">
        <f>IF($D272="",0,IF(COUNTIF($D$5:$D272,$D272)=1,1,0))</f>
        <v>0</v>
      </c>
      <c r="AA272" t="str">
        <f>IF(Z272=1,SUM($Z$5:$Z272),"")</f>
        <v/>
      </c>
    </row>
    <row r="273" spans="1:27">
      <c r="A273" s="22"/>
      <c r="B273" s="22"/>
      <c r="C273" s="22"/>
      <c r="D273" s="22"/>
      <c r="E273" s="22"/>
      <c r="F273" s="23"/>
      <c r="G273" s="23"/>
      <c r="H273" s="24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6"/>
      <c r="U273" s="23" t="str">
        <f t="shared" si="12"/>
        <v/>
      </c>
      <c r="V273" s="22" t="str">
        <f t="shared" si="13"/>
        <v/>
      </c>
      <c r="W273" s="18" t="str">
        <f t="shared" si="14"/>
        <v/>
      </c>
      <c r="X273" s="22"/>
      <c r="Y273" s="22"/>
      <c r="Z273" s="27">
        <f>IF($D273="",0,IF(COUNTIF($D$5:$D273,$D273)=1,1,0))</f>
        <v>0</v>
      </c>
      <c r="AA273" t="str">
        <f>IF(Z273=1,SUM($Z$5:$Z273),"")</f>
        <v/>
      </c>
    </row>
    <row r="274" spans="1:27">
      <c r="A274" s="22"/>
      <c r="B274" s="22"/>
      <c r="C274" s="22"/>
      <c r="D274" s="22"/>
      <c r="E274" s="22"/>
      <c r="F274" s="23"/>
      <c r="G274" s="23"/>
      <c r="H274" s="24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6"/>
      <c r="U274" s="23" t="str">
        <f t="shared" si="12"/>
        <v/>
      </c>
      <c r="V274" s="22" t="str">
        <f t="shared" si="13"/>
        <v/>
      </c>
      <c r="W274" s="18" t="str">
        <f t="shared" si="14"/>
        <v/>
      </c>
      <c r="X274" s="22"/>
      <c r="Y274" s="22"/>
      <c r="Z274" s="27">
        <f>IF($D274="",0,IF(COUNTIF($D$5:$D274,$D274)=1,1,0))</f>
        <v>0</v>
      </c>
      <c r="AA274" t="str">
        <f>IF(Z274=1,SUM($Z$5:$Z274),"")</f>
        <v/>
      </c>
    </row>
    <row r="275" spans="1:27">
      <c r="A275" s="22"/>
      <c r="B275" s="22"/>
      <c r="C275" s="22"/>
      <c r="D275" s="22"/>
      <c r="E275" s="22"/>
      <c r="F275" s="23"/>
      <c r="G275" s="23"/>
      <c r="H275" s="24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6"/>
      <c r="U275" s="23" t="str">
        <f t="shared" si="12"/>
        <v/>
      </c>
      <c r="V275" s="22" t="str">
        <f t="shared" si="13"/>
        <v/>
      </c>
      <c r="W275" s="18" t="str">
        <f t="shared" si="14"/>
        <v/>
      </c>
      <c r="X275" s="22"/>
      <c r="Y275" s="22"/>
      <c r="Z275" s="27">
        <f>IF($D275="",0,IF(COUNTIF($D$5:$D275,$D275)=1,1,0))</f>
        <v>0</v>
      </c>
      <c r="AA275" t="str">
        <f>IF(Z275=1,SUM($Z$5:$Z275),"")</f>
        <v/>
      </c>
    </row>
    <row r="276" spans="1:27">
      <c r="A276" s="22"/>
      <c r="B276" s="22"/>
      <c r="C276" s="22"/>
      <c r="D276" s="22"/>
      <c r="E276" s="22"/>
      <c r="F276" s="23"/>
      <c r="G276" s="23"/>
      <c r="H276" s="24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6"/>
      <c r="U276" s="23" t="str">
        <f t="shared" si="12"/>
        <v/>
      </c>
      <c r="V276" s="22" t="str">
        <f t="shared" si="13"/>
        <v/>
      </c>
      <c r="W276" s="18" t="str">
        <f t="shared" si="14"/>
        <v/>
      </c>
      <c r="X276" s="22"/>
      <c r="Y276" s="22"/>
      <c r="Z276" s="27">
        <f>IF($D276="",0,IF(COUNTIF($D$5:$D276,$D276)=1,1,0))</f>
        <v>0</v>
      </c>
      <c r="AA276" t="str">
        <f>IF(Z276=1,SUM($Z$5:$Z276),"")</f>
        <v/>
      </c>
    </row>
    <row r="277" spans="1:27">
      <c r="A277" s="22"/>
      <c r="B277" s="22"/>
      <c r="C277" s="22"/>
      <c r="D277" s="22"/>
      <c r="E277" s="22"/>
      <c r="F277" s="23"/>
      <c r="G277" s="23"/>
      <c r="H277" s="24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6"/>
      <c r="U277" s="23" t="str">
        <f t="shared" si="12"/>
        <v/>
      </c>
      <c r="V277" s="22" t="str">
        <f t="shared" si="13"/>
        <v/>
      </c>
      <c r="W277" s="18" t="str">
        <f t="shared" si="14"/>
        <v/>
      </c>
      <c r="X277" s="22"/>
      <c r="Y277" s="22"/>
      <c r="Z277" s="27">
        <f>IF($D277="",0,IF(COUNTIF($D$5:$D277,$D277)=1,1,0))</f>
        <v>0</v>
      </c>
      <c r="AA277" t="str">
        <f>IF(Z277=1,SUM($Z$5:$Z277),"")</f>
        <v/>
      </c>
    </row>
    <row r="278" spans="1:27">
      <c r="A278" s="28"/>
      <c r="B278" s="22"/>
      <c r="C278" s="22"/>
      <c r="D278" s="22"/>
      <c r="E278" s="22"/>
      <c r="F278" s="23"/>
      <c r="G278" s="23"/>
      <c r="H278" s="24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6"/>
      <c r="U278" s="23" t="str">
        <f t="shared" si="12"/>
        <v/>
      </c>
      <c r="V278" s="22" t="str">
        <f t="shared" si="13"/>
        <v/>
      </c>
      <c r="W278" s="18" t="str">
        <f t="shared" si="14"/>
        <v/>
      </c>
      <c r="X278" s="22"/>
      <c r="Y278" s="22"/>
      <c r="Z278" s="27">
        <f>IF($D278="",0,IF(COUNTIF($D$5:$D278,$D278)=1,1,0))</f>
        <v>0</v>
      </c>
      <c r="AA278" t="str">
        <f>IF(Z278=1,SUM($Z$5:$Z278),"")</f>
        <v/>
      </c>
    </row>
    <row r="279" spans="1:27">
      <c r="A279" s="28"/>
      <c r="B279" s="22"/>
      <c r="C279" s="22"/>
      <c r="D279" s="22"/>
      <c r="E279" s="22"/>
      <c r="F279" s="23"/>
      <c r="G279" s="23"/>
      <c r="H279" s="24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6"/>
      <c r="U279" s="23" t="str">
        <f t="shared" si="12"/>
        <v/>
      </c>
      <c r="V279" s="22" t="str">
        <f t="shared" si="13"/>
        <v/>
      </c>
      <c r="W279" s="18" t="str">
        <f t="shared" si="14"/>
        <v/>
      </c>
      <c r="X279" s="22"/>
      <c r="Y279" s="22"/>
      <c r="Z279" s="27">
        <f>IF($D279="",0,IF(COUNTIF($D$5:$D279,$D279)=1,1,0))</f>
        <v>0</v>
      </c>
      <c r="AA279" t="str">
        <f>IF(Z279=1,SUM($Z$5:$Z279),"")</f>
        <v/>
      </c>
    </row>
    <row r="280" spans="1:27">
      <c r="A280" s="28"/>
      <c r="B280" s="22"/>
      <c r="C280" s="22"/>
      <c r="D280" s="22"/>
      <c r="E280" s="22"/>
      <c r="F280" s="23"/>
      <c r="G280" s="23"/>
      <c r="H280" s="24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6"/>
      <c r="U280" s="23" t="str">
        <f t="shared" si="12"/>
        <v/>
      </c>
      <c r="V280" s="22" t="str">
        <f t="shared" si="13"/>
        <v/>
      </c>
      <c r="W280" s="18" t="str">
        <f t="shared" si="14"/>
        <v/>
      </c>
      <c r="X280" s="22"/>
      <c r="Y280" s="22"/>
      <c r="Z280" s="27">
        <f>IF($D280="",0,IF(COUNTIF($D$5:$D280,$D280)=1,1,0))</f>
        <v>0</v>
      </c>
      <c r="AA280" t="str">
        <f>IF(Z280=1,SUM($Z$5:$Z280),"")</f>
        <v/>
      </c>
    </row>
    <row r="281" spans="1:27">
      <c r="A281" s="28"/>
      <c r="B281" s="22"/>
      <c r="C281" s="22"/>
      <c r="D281" s="22"/>
      <c r="E281" s="22"/>
      <c r="F281" s="23"/>
      <c r="G281" s="23"/>
      <c r="H281" s="24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6"/>
      <c r="U281" s="23" t="str">
        <f t="shared" si="12"/>
        <v/>
      </c>
      <c r="V281" s="22" t="str">
        <f t="shared" si="13"/>
        <v/>
      </c>
      <c r="W281" s="18" t="str">
        <f t="shared" si="14"/>
        <v/>
      </c>
      <c r="X281" s="22"/>
      <c r="Y281" s="22"/>
      <c r="Z281" s="27">
        <f>IF($D281="",0,IF(COUNTIF($D$5:$D281,$D281)=1,1,0))</f>
        <v>0</v>
      </c>
      <c r="AA281" t="str">
        <f>IF(Z281=1,SUM($Z$5:$Z281),"")</f>
        <v/>
      </c>
    </row>
    <row r="282" spans="1:27">
      <c r="A282" s="28"/>
      <c r="B282" s="22"/>
      <c r="C282" s="22"/>
      <c r="D282" s="22"/>
      <c r="E282" s="22"/>
      <c r="F282" s="23"/>
      <c r="G282" s="23"/>
      <c r="H282" s="24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6"/>
      <c r="U282" s="23" t="str">
        <f t="shared" si="12"/>
        <v/>
      </c>
      <c r="V282" s="22" t="str">
        <f t="shared" si="13"/>
        <v/>
      </c>
      <c r="W282" s="18" t="str">
        <f t="shared" si="14"/>
        <v/>
      </c>
      <c r="X282" s="22"/>
      <c r="Y282" s="22"/>
      <c r="Z282" s="27">
        <f>IF($D282="",0,IF(COUNTIF($D$5:$D282,$D282)=1,1,0))</f>
        <v>0</v>
      </c>
      <c r="AA282" t="str">
        <f>IF(Z282=1,SUM($Z$5:$Z282),"")</f>
        <v/>
      </c>
    </row>
    <row r="283" spans="1:27">
      <c r="A283" s="28"/>
      <c r="B283" s="22"/>
      <c r="C283" s="22"/>
      <c r="D283" s="22"/>
      <c r="E283" s="22"/>
      <c r="F283" s="23"/>
      <c r="G283" s="23"/>
      <c r="H283" s="24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6"/>
      <c r="U283" s="23" t="str">
        <f t="shared" si="12"/>
        <v/>
      </c>
      <c r="V283" s="22" t="str">
        <f t="shared" si="13"/>
        <v/>
      </c>
      <c r="W283" s="18" t="str">
        <f t="shared" si="14"/>
        <v/>
      </c>
      <c r="X283" s="22"/>
      <c r="Y283" s="22"/>
      <c r="Z283" s="27">
        <f>IF($D283="",0,IF(COUNTIF($D$5:$D283,$D283)=1,1,0))</f>
        <v>0</v>
      </c>
      <c r="AA283" t="str">
        <f>IF(Z283=1,SUM($Z$5:$Z283),"")</f>
        <v/>
      </c>
    </row>
    <row r="284" spans="1:27">
      <c r="A284" s="28"/>
      <c r="B284" s="22"/>
      <c r="C284" s="22"/>
      <c r="D284" s="22"/>
      <c r="E284" s="22"/>
      <c r="F284" s="23"/>
      <c r="G284" s="23"/>
      <c r="H284" s="24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6"/>
      <c r="U284" s="23" t="str">
        <f t="shared" si="12"/>
        <v/>
      </c>
      <c r="V284" s="22" t="str">
        <f t="shared" si="13"/>
        <v/>
      </c>
      <c r="W284" s="18" t="str">
        <f t="shared" si="14"/>
        <v/>
      </c>
      <c r="X284" s="22"/>
      <c r="Y284" s="22"/>
      <c r="Z284" s="27">
        <f>IF($D284="",0,IF(COUNTIF($D$5:$D284,$D284)=1,1,0))</f>
        <v>0</v>
      </c>
      <c r="AA284" t="str">
        <f>IF(Z284=1,SUM($Z$5:$Z284),"")</f>
        <v/>
      </c>
    </row>
    <row r="285" spans="1:27">
      <c r="A285" s="28"/>
      <c r="B285" s="22"/>
      <c r="C285" s="22"/>
      <c r="D285" s="22"/>
      <c r="E285" s="22"/>
      <c r="F285" s="23"/>
      <c r="G285" s="23"/>
      <c r="H285" s="24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6"/>
      <c r="U285" s="23" t="str">
        <f t="shared" si="12"/>
        <v/>
      </c>
      <c r="V285" s="22" t="str">
        <f t="shared" si="13"/>
        <v/>
      </c>
      <c r="W285" s="18" t="str">
        <f t="shared" si="14"/>
        <v/>
      </c>
      <c r="X285" s="22"/>
      <c r="Y285" s="22"/>
      <c r="Z285" s="27">
        <f>IF($D285="",0,IF(COUNTIF($D$5:$D285,$D285)=1,1,0))</f>
        <v>0</v>
      </c>
      <c r="AA285" t="str">
        <f>IF(Z285=1,SUM($Z$5:$Z285),"")</f>
        <v/>
      </c>
    </row>
    <row r="286" spans="1:27">
      <c r="A286" s="28"/>
      <c r="B286" s="22"/>
      <c r="C286" s="22"/>
      <c r="D286" s="22"/>
      <c r="E286" s="22"/>
      <c r="F286" s="23"/>
      <c r="G286" s="23"/>
      <c r="H286" s="24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6"/>
      <c r="U286" s="23" t="str">
        <f t="shared" si="12"/>
        <v/>
      </c>
      <c r="V286" s="22" t="str">
        <f t="shared" si="13"/>
        <v/>
      </c>
      <c r="W286" s="18" t="str">
        <f t="shared" si="14"/>
        <v/>
      </c>
      <c r="X286" s="22"/>
      <c r="Y286" s="22"/>
      <c r="Z286" s="27">
        <f>IF($D286="",0,IF(COUNTIF($D$5:$D286,$D286)=1,1,0))</f>
        <v>0</v>
      </c>
      <c r="AA286" t="str">
        <f>IF(Z286=1,SUM($Z$5:$Z286),"")</f>
        <v/>
      </c>
    </row>
    <row r="287" spans="1:27">
      <c r="A287" s="28"/>
      <c r="B287" s="22"/>
      <c r="C287" s="22"/>
      <c r="D287" s="22"/>
      <c r="E287" s="22"/>
      <c r="F287" s="23"/>
      <c r="G287" s="23"/>
      <c r="H287" s="24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6"/>
      <c r="U287" s="23" t="str">
        <f t="shared" si="12"/>
        <v/>
      </c>
      <c r="V287" s="22" t="str">
        <f t="shared" si="13"/>
        <v/>
      </c>
      <c r="W287" s="18" t="str">
        <f t="shared" si="14"/>
        <v/>
      </c>
      <c r="X287" s="22"/>
      <c r="Y287" s="22"/>
      <c r="Z287" s="27">
        <f>IF($D287="",0,IF(COUNTIF($D$5:$D287,$D287)=1,1,0))</f>
        <v>0</v>
      </c>
      <c r="AA287" t="str">
        <f>IF(Z287=1,SUM($Z$5:$Z287),"")</f>
        <v/>
      </c>
    </row>
    <row r="288" spans="1:27">
      <c r="A288" s="28"/>
      <c r="B288" s="22"/>
      <c r="C288" s="22"/>
      <c r="D288" s="22"/>
      <c r="E288" s="22"/>
      <c r="F288" s="23"/>
      <c r="G288" s="23"/>
      <c r="H288" s="24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6"/>
      <c r="U288" s="23" t="str">
        <f t="shared" si="12"/>
        <v/>
      </c>
      <c r="V288" s="22" t="str">
        <f t="shared" si="13"/>
        <v/>
      </c>
      <c r="W288" s="18" t="str">
        <f t="shared" si="14"/>
        <v/>
      </c>
      <c r="X288" s="22"/>
      <c r="Y288" s="22"/>
      <c r="Z288" s="27">
        <f>IF($D288="",0,IF(COUNTIF($D$5:$D288,$D288)=1,1,0))</f>
        <v>0</v>
      </c>
      <c r="AA288" t="str">
        <f>IF(Z288=1,SUM($Z$5:$Z288),"")</f>
        <v/>
      </c>
    </row>
    <row r="289" spans="1:27">
      <c r="A289" s="28"/>
      <c r="B289" s="22"/>
      <c r="C289" s="22"/>
      <c r="D289" s="22"/>
      <c r="E289" s="22"/>
      <c r="F289" s="23"/>
      <c r="G289" s="23"/>
      <c r="H289" s="24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6"/>
      <c r="U289" s="23" t="str">
        <f t="shared" si="12"/>
        <v/>
      </c>
      <c r="V289" s="22" t="str">
        <f t="shared" si="13"/>
        <v/>
      </c>
      <c r="W289" s="18" t="str">
        <f t="shared" si="14"/>
        <v/>
      </c>
      <c r="X289" s="22"/>
      <c r="Y289" s="22"/>
      <c r="Z289" s="27">
        <f>IF($D289="",0,IF(COUNTIF($D$5:$D289,$D289)=1,1,0))</f>
        <v>0</v>
      </c>
      <c r="AA289" t="str">
        <f>IF(Z289=1,SUM($Z$5:$Z289),"")</f>
        <v/>
      </c>
    </row>
    <row r="290" spans="1:27">
      <c r="A290" s="28"/>
      <c r="B290" s="22"/>
      <c r="C290" s="22"/>
      <c r="D290" s="22"/>
      <c r="E290" s="22"/>
      <c r="F290" s="23"/>
      <c r="G290" s="23"/>
      <c r="H290" s="24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6"/>
      <c r="U290" s="23" t="str">
        <f t="shared" si="12"/>
        <v/>
      </c>
      <c r="V290" s="22" t="str">
        <f t="shared" si="13"/>
        <v/>
      </c>
      <c r="W290" s="18" t="str">
        <f t="shared" si="14"/>
        <v/>
      </c>
      <c r="X290" s="22"/>
      <c r="Y290" s="22"/>
      <c r="Z290" s="27">
        <f>IF($D290="",0,IF(COUNTIF($D$5:$D290,$D290)=1,1,0))</f>
        <v>0</v>
      </c>
      <c r="AA290" t="str">
        <f>IF(Z290=1,SUM($Z$5:$Z290),"")</f>
        <v/>
      </c>
    </row>
    <row r="291" spans="1:27">
      <c r="A291" s="28"/>
      <c r="B291" s="22"/>
      <c r="C291" s="22"/>
      <c r="D291" s="22"/>
      <c r="E291" s="22"/>
      <c r="F291" s="23"/>
      <c r="G291" s="23"/>
      <c r="H291" s="24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6"/>
      <c r="U291" s="23" t="str">
        <f t="shared" si="12"/>
        <v/>
      </c>
      <c r="V291" s="22" t="str">
        <f t="shared" si="13"/>
        <v/>
      </c>
      <c r="W291" s="18" t="str">
        <f t="shared" si="14"/>
        <v/>
      </c>
      <c r="X291" s="22"/>
      <c r="Y291" s="22"/>
      <c r="Z291" s="27">
        <f>IF($D291="",0,IF(COUNTIF($D$5:$D291,$D291)=1,1,0))</f>
        <v>0</v>
      </c>
      <c r="AA291" t="str">
        <f>IF(Z291=1,SUM($Z$5:$Z291),"")</f>
        <v/>
      </c>
    </row>
    <row r="292" spans="1:27">
      <c r="A292" s="28"/>
      <c r="B292" s="22"/>
      <c r="C292" s="22"/>
      <c r="D292" s="22"/>
      <c r="E292" s="22"/>
      <c r="F292" s="23"/>
      <c r="G292" s="23"/>
      <c r="H292" s="24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6"/>
      <c r="U292" s="23" t="str">
        <f t="shared" si="12"/>
        <v/>
      </c>
      <c r="V292" s="22" t="str">
        <f t="shared" si="13"/>
        <v/>
      </c>
      <c r="W292" s="18" t="str">
        <f t="shared" si="14"/>
        <v/>
      </c>
      <c r="X292" s="22"/>
      <c r="Y292" s="22"/>
      <c r="Z292" s="27">
        <f>IF($D292="",0,IF(COUNTIF($D$5:$D292,$D292)=1,1,0))</f>
        <v>0</v>
      </c>
      <c r="AA292" t="str">
        <f>IF(Z292=1,SUM($Z$5:$Z292),"")</f>
        <v/>
      </c>
    </row>
    <row r="293" spans="1:27">
      <c r="A293" s="28"/>
      <c r="B293" s="22"/>
      <c r="C293" s="22"/>
      <c r="D293" s="22"/>
      <c r="E293" s="22"/>
      <c r="F293" s="23"/>
      <c r="G293" s="23"/>
      <c r="H293" s="24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6"/>
      <c r="U293" s="23" t="str">
        <f t="shared" si="12"/>
        <v/>
      </c>
      <c r="V293" s="22" t="str">
        <f t="shared" si="13"/>
        <v/>
      </c>
      <c r="W293" s="18" t="str">
        <f t="shared" si="14"/>
        <v/>
      </c>
      <c r="X293" s="22"/>
      <c r="Y293" s="22"/>
      <c r="Z293" s="27">
        <f>IF($D293="",0,IF(COUNTIF($D$5:$D293,$D293)=1,1,0))</f>
        <v>0</v>
      </c>
      <c r="AA293" t="str">
        <f>IF(Z293=1,SUM($Z$5:$Z293),"")</f>
        <v/>
      </c>
    </row>
    <row r="294" spans="1:27">
      <c r="A294" s="28"/>
      <c r="B294" s="22"/>
      <c r="C294" s="22"/>
      <c r="D294" s="22"/>
      <c r="E294" s="22"/>
      <c r="F294" s="23"/>
      <c r="G294" s="23"/>
      <c r="H294" s="24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6"/>
      <c r="U294" s="23" t="str">
        <f t="shared" si="12"/>
        <v/>
      </c>
      <c r="V294" s="22" t="str">
        <f t="shared" si="13"/>
        <v/>
      </c>
      <c r="W294" s="18" t="str">
        <f t="shared" si="14"/>
        <v/>
      </c>
      <c r="X294" s="22"/>
      <c r="Y294" s="22"/>
      <c r="Z294" s="27">
        <f>IF($D294="",0,IF(COUNTIF($D$5:$D294,$D294)=1,1,0))</f>
        <v>0</v>
      </c>
      <c r="AA294" t="str">
        <f>IF(Z294=1,SUM($Z$5:$Z294),"")</f>
        <v/>
      </c>
    </row>
    <row r="295" spans="1:27">
      <c r="A295" s="28"/>
      <c r="B295" s="22"/>
      <c r="C295" s="22"/>
      <c r="D295" s="22"/>
      <c r="E295" s="22"/>
      <c r="F295" s="23"/>
      <c r="G295" s="23"/>
      <c r="H295" s="24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6"/>
      <c r="U295" s="23" t="str">
        <f t="shared" si="12"/>
        <v/>
      </c>
      <c r="V295" s="22" t="str">
        <f t="shared" si="13"/>
        <v/>
      </c>
      <c r="W295" s="18" t="str">
        <f t="shared" si="14"/>
        <v/>
      </c>
      <c r="X295" s="22"/>
      <c r="Y295" s="22"/>
      <c r="Z295" s="27">
        <f>IF($D295="",0,IF(COUNTIF($D$5:$D295,$D295)=1,1,0))</f>
        <v>0</v>
      </c>
      <c r="AA295" t="str">
        <f>IF(Z295=1,SUM($Z$5:$Z295),"")</f>
        <v/>
      </c>
    </row>
    <row r="296" spans="1:27">
      <c r="A296" s="28"/>
      <c r="B296" s="22"/>
      <c r="C296" s="22"/>
      <c r="D296" s="22"/>
      <c r="E296" s="22"/>
      <c r="F296" s="23"/>
      <c r="G296" s="23"/>
      <c r="H296" s="24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6"/>
      <c r="U296" s="23" t="str">
        <f t="shared" si="12"/>
        <v/>
      </c>
      <c r="V296" s="22" t="str">
        <f t="shared" si="13"/>
        <v/>
      </c>
      <c r="W296" s="18" t="str">
        <f t="shared" si="14"/>
        <v/>
      </c>
      <c r="X296" s="22"/>
      <c r="Y296" s="22"/>
      <c r="Z296" s="27">
        <f>IF($D296="",0,IF(COUNTIF($D$5:$D296,$D296)=1,1,0))</f>
        <v>0</v>
      </c>
      <c r="AA296" t="str">
        <f>IF(Z296=1,SUM($Z$5:$Z296),"")</f>
        <v/>
      </c>
    </row>
    <row r="297" spans="1:27">
      <c r="A297" s="28"/>
      <c r="B297" s="22"/>
      <c r="C297" s="22"/>
      <c r="D297" s="22"/>
      <c r="E297" s="22"/>
      <c r="F297" s="23"/>
      <c r="G297" s="23"/>
      <c r="H297" s="24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6"/>
      <c r="U297" s="23" t="str">
        <f t="shared" si="12"/>
        <v/>
      </c>
      <c r="V297" s="22" t="str">
        <f t="shared" si="13"/>
        <v/>
      </c>
      <c r="W297" s="18" t="str">
        <f t="shared" si="14"/>
        <v/>
      </c>
      <c r="X297" s="22"/>
      <c r="Y297" s="22"/>
      <c r="Z297" s="27">
        <f>IF($D297="",0,IF(COUNTIF($D$5:$D297,$D297)=1,1,0))</f>
        <v>0</v>
      </c>
      <c r="AA297" t="str">
        <f>IF(Z297=1,SUM($Z$5:$Z297),"")</f>
        <v/>
      </c>
    </row>
    <row r="298" spans="1:27">
      <c r="A298" s="28"/>
      <c r="B298" s="22"/>
      <c r="C298" s="22"/>
      <c r="D298" s="22"/>
      <c r="E298" s="22"/>
      <c r="F298" s="23"/>
      <c r="G298" s="23"/>
      <c r="H298" s="24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6"/>
      <c r="U298" s="23" t="str">
        <f t="shared" si="12"/>
        <v/>
      </c>
      <c r="V298" s="22" t="str">
        <f t="shared" si="13"/>
        <v/>
      </c>
      <c r="W298" s="18" t="str">
        <f t="shared" si="14"/>
        <v/>
      </c>
      <c r="X298" s="22"/>
      <c r="Y298" s="22"/>
      <c r="Z298" s="27">
        <f>IF($D298="",0,IF(COUNTIF($D$5:$D298,$D298)=1,1,0))</f>
        <v>0</v>
      </c>
      <c r="AA298" t="str">
        <f>IF(Z298=1,SUM($Z$5:$Z298),"")</f>
        <v/>
      </c>
    </row>
    <row r="299" spans="1:27">
      <c r="A299" s="28"/>
      <c r="B299" s="22"/>
      <c r="C299" s="22"/>
      <c r="D299" s="22"/>
      <c r="E299" s="22"/>
      <c r="F299" s="23"/>
      <c r="G299" s="23"/>
      <c r="H299" s="24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6"/>
      <c r="U299" s="23" t="str">
        <f t="shared" si="12"/>
        <v/>
      </c>
      <c r="V299" s="22" t="str">
        <f t="shared" si="13"/>
        <v/>
      </c>
      <c r="W299" s="18" t="str">
        <f t="shared" si="14"/>
        <v/>
      </c>
      <c r="X299" s="22"/>
      <c r="Y299" s="22"/>
      <c r="Z299" s="27">
        <f>IF($D299="",0,IF(COUNTIF($D$5:$D299,$D299)=1,1,0))</f>
        <v>0</v>
      </c>
      <c r="AA299" t="str">
        <f>IF(Z299=1,SUM($Z$5:$Z299),"")</f>
        <v/>
      </c>
    </row>
    <row r="300" spans="1:27">
      <c r="A300" s="28"/>
      <c r="B300" s="22"/>
      <c r="C300" s="22"/>
      <c r="D300" s="22"/>
      <c r="E300" s="22"/>
      <c r="F300" s="23"/>
      <c r="G300" s="23"/>
      <c r="H300" s="24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6"/>
      <c r="U300" s="23" t="str">
        <f t="shared" si="12"/>
        <v/>
      </c>
      <c r="V300" s="22" t="str">
        <f t="shared" si="13"/>
        <v/>
      </c>
      <c r="W300" s="18" t="str">
        <f t="shared" si="14"/>
        <v/>
      </c>
      <c r="X300" s="22"/>
      <c r="Y300" s="22"/>
      <c r="Z300" s="27">
        <f>IF($D300="",0,IF(COUNTIF($D$5:$D300,$D300)=1,1,0))</f>
        <v>0</v>
      </c>
      <c r="AA300" t="str">
        <f>IF(Z300=1,SUM($Z$5:$Z300),"")</f>
        <v/>
      </c>
    </row>
    <row r="301" spans="1:27">
      <c r="A301" s="28"/>
      <c r="B301" s="22"/>
      <c r="C301" s="22"/>
      <c r="D301" s="22"/>
      <c r="E301" s="22"/>
      <c r="F301" s="23"/>
      <c r="G301" s="23"/>
      <c r="H301" s="24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6"/>
      <c r="U301" s="23" t="str">
        <f t="shared" si="12"/>
        <v/>
      </c>
      <c r="V301" s="22" t="str">
        <f t="shared" si="13"/>
        <v/>
      </c>
      <c r="W301" s="18" t="str">
        <f t="shared" si="14"/>
        <v/>
      </c>
      <c r="X301" s="22"/>
      <c r="Y301" s="22"/>
      <c r="Z301" s="27">
        <f>IF($D301="",0,IF(COUNTIF($D$5:$D301,$D301)=1,1,0))</f>
        <v>0</v>
      </c>
      <c r="AA301" t="str">
        <f>IF(Z301=1,SUM($Z$5:$Z301),"")</f>
        <v/>
      </c>
    </row>
    <row r="302" spans="1:27">
      <c r="B302" s="22"/>
      <c r="C302" s="22"/>
      <c r="D302" s="22"/>
      <c r="E302" s="22"/>
      <c r="F302" s="23"/>
      <c r="G302" s="23"/>
      <c r="H302" s="24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6"/>
      <c r="U302" s="23" t="str">
        <f t="shared" si="12"/>
        <v/>
      </c>
      <c r="V302" s="22" t="str">
        <f t="shared" si="13"/>
        <v/>
      </c>
      <c r="W302" s="18" t="str">
        <f t="shared" si="14"/>
        <v/>
      </c>
      <c r="X302" s="22"/>
      <c r="Y302" s="22"/>
      <c r="Z302" s="27">
        <f>IF($D302="",0,IF(COUNTIF($D$5:$D302,$D302)=1,1,0))</f>
        <v>0</v>
      </c>
      <c r="AA302" t="str">
        <f>IF(Z302=1,SUM($Z$5:$Z302),"")</f>
        <v/>
      </c>
    </row>
    <row r="303" spans="1:27">
      <c r="B303" s="22"/>
      <c r="C303" s="22"/>
      <c r="D303" s="22"/>
      <c r="E303" s="22"/>
      <c r="F303" s="23"/>
      <c r="G303" s="23"/>
      <c r="H303" s="24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6"/>
      <c r="U303" s="23" t="str">
        <f t="shared" si="12"/>
        <v/>
      </c>
      <c r="V303" s="22" t="str">
        <f t="shared" si="13"/>
        <v/>
      </c>
      <c r="W303" s="18" t="str">
        <f t="shared" si="14"/>
        <v/>
      </c>
      <c r="X303" s="22"/>
      <c r="Y303" s="22"/>
      <c r="Z303" s="27">
        <f>IF($D303="",0,IF(COUNTIF($D$5:$D303,$D303)=1,1,0))</f>
        <v>0</v>
      </c>
      <c r="AA303" t="str">
        <f>IF(Z303=1,SUM($Z$5:$Z303),"")</f>
        <v/>
      </c>
    </row>
    <row r="304" spans="1:27">
      <c r="B304" s="22"/>
      <c r="C304" s="22"/>
      <c r="D304" s="22"/>
      <c r="E304" s="22"/>
      <c r="F304" s="23"/>
      <c r="G304" s="23"/>
      <c r="H304" s="24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6"/>
      <c r="U304" s="23" t="str">
        <f t="shared" si="12"/>
        <v/>
      </c>
      <c r="V304" s="22" t="str">
        <f t="shared" si="13"/>
        <v/>
      </c>
      <c r="W304" s="18" t="str">
        <f t="shared" si="14"/>
        <v/>
      </c>
      <c r="X304" s="22"/>
      <c r="Y304" s="22"/>
      <c r="Z304" s="27">
        <f>IF($D304="",0,IF(COUNTIF($D$5:$D304,$D304)=1,1,0))</f>
        <v>0</v>
      </c>
      <c r="AA304" t="str">
        <f>IF(Z304=1,SUM($Z$5:$Z304),"")</f>
        <v/>
      </c>
    </row>
    <row r="305" spans="2:27">
      <c r="B305" s="22"/>
      <c r="C305" s="22"/>
      <c r="D305" s="22"/>
      <c r="E305" s="22"/>
      <c r="F305" s="23"/>
      <c r="G305" s="23"/>
      <c r="H305" s="24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6"/>
      <c r="U305" s="23" t="str">
        <f t="shared" si="12"/>
        <v/>
      </c>
      <c r="V305" s="22" t="str">
        <f t="shared" si="13"/>
        <v/>
      </c>
      <c r="W305" s="18" t="str">
        <f t="shared" si="14"/>
        <v/>
      </c>
      <c r="X305" s="22"/>
      <c r="Y305" s="22"/>
      <c r="Z305" s="27">
        <f>IF($D305="",0,IF(COUNTIF($D$5:$D305,$D305)=1,1,0))</f>
        <v>0</v>
      </c>
      <c r="AA305" t="str">
        <f>IF(Z305=1,SUM($Z$5:$Z305),"")</f>
        <v/>
      </c>
    </row>
  </sheetData>
  <autoFilter ref="A4:Y305"/>
  <mergeCells count="28">
    <mergeCell ref="B2:H2"/>
    <mergeCell ref="I2:T2"/>
    <mergeCell ref="U2:W2"/>
    <mergeCell ref="X2:Y2"/>
    <mergeCell ref="B3:B4"/>
    <mergeCell ref="C3:C4"/>
    <mergeCell ref="D3:D4"/>
    <mergeCell ref="E3:E4"/>
    <mergeCell ref="F3:G3"/>
    <mergeCell ref="H3:H4"/>
    <mergeCell ref="I3:I4"/>
    <mergeCell ref="J3:J4"/>
    <mergeCell ref="K3:K4"/>
    <mergeCell ref="L3:L4"/>
    <mergeCell ref="M3:M4"/>
    <mergeCell ref="N3:N4"/>
    <mergeCell ref="A3:A4"/>
    <mergeCell ref="Y3:Y4"/>
    <mergeCell ref="R3:R4"/>
    <mergeCell ref="S3:S4"/>
    <mergeCell ref="T3:T4"/>
    <mergeCell ref="U3:U4"/>
    <mergeCell ref="V3:V4"/>
    <mergeCell ref="O3:O4"/>
    <mergeCell ref="P3:P4"/>
    <mergeCell ref="Q3:Q4"/>
    <mergeCell ref="W3:W4"/>
    <mergeCell ref="X3:X4"/>
  </mergeCells>
  <phoneticPr fontId="27" type="noConversion"/>
  <conditionalFormatting sqref="V28:V305 V5:V20">
    <cfRule type="expression" dxfId="71" priority="13">
      <formula>ISNUMBER(SEARCH("⚠",$V5))</formula>
    </cfRule>
    <cfRule type="expression" dxfId="70" priority="14">
      <formula>$V5="▲ 單一設備依賴"</formula>
    </cfRule>
    <cfRule type="expression" dxfId="69" priority="15">
      <formula>$V5="○ 免調理"</formula>
    </cfRule>
    <cfRule type="expression" dxfId="68" priority="16">
      <formula>$V5="OK"</formula>
    </cfRule>
  </conditionalFormatting>
  <conditionalFormatting sqref="B14:H20 B28:H305 B5:E13">
    <cfRule type="expression" dxfId="67" priority="17">
      <formula>ISNUMBER(SEARCH("⚠",$V5))</formula>
    </cfRule>
  </conditionalFormatting>
  <conditionalFormatting sqref="F5:H13">
    <cfRule type="expression" dxfId="66" priority="11">
      <formula>ISNUMBER(SEARCH("⚠",$V5))</formula>
    </cfRule>
  </conditionalFormatting>
  <conditionalFormatting sqref="B21:H27">
    <cfRule type="expression" dxfId="65" priority="10">
      <formula>ISNUMBER(SEARCH("⚠",$V21))</formula>
    </cfRule>
  </conditionalFormatting>
  <conditionalFormatting sqref="V21:V27">
    <cfRule type="expression" dxfId="64" priority="6">
      <formula>ISNUMBER(SEARCH("⚠",$V21))</formula>
    </cfRule>
    <cfRule type="expression" dxfId="63" priority="7">
      <formula>$V21="▲ 單一設備依賴"</formula>
    </cfRule>
    <cfRule type="expression" dxfId="62" priority="8">
      <formula>$V21="○ 免調理"</formula>
    </cfRule>
    <cfRule type="expression" dxfId="61" priority="9">
      <formula>$V21="OK"</formula>
    </cfRule>
  </conditionalFormatting>
  <conditionalFormatting sqref="A5:A277">
    <cfRule type="expression" dxfId="60" priority="4">
      <formula>$R5="⚠ 資料缺漏"</formula>
    </cfRule>
  </conditionalFormatting>
  <conditionalFormatting sqref="A278:A301">
    <cfRule type="expression" dxfId="59" priority="5">
      <formula>ISNUMBER(SEARCH("⚠",$V278))</formula>
    </cfRule>
  </conditionalFormatting>
  <conditionalFormatting sqref="A5:A305">
    <cfRule type="expression" dxfId="58" priority="1" stopIfTrue="1">
      <formula>AND($D5&lt;&gt;"",OR($A5="",COUNTIFS($D$5:$D$305,$D5,$A$5:$A$305,$A5)&lt;&gt;COUNTIF($D$5:$D$305,$D5)))</formula>
    </cfRule>
  </conditionalFormatting>
  <conditionalFormatting sqref="Y5:Y305">
    <cfRule type="expression" dxfId="57" priority="2" stopIfTrue="1">
      <formula>AND($E5&lt;&gt;"",$Y5="")</formula>
    </cfRule>
  </conditionalFormatting>
  <conditionalFormatting sqref="G5:G305">
    <cfRule type="expression" dxfId="56" priority="3" stopIfTrue="1">
      <formula>AND($E5&lt;&gt;"",$F5&lt;&gt;"",$G5="")</formula>
    </cfRule>
  </conditionalFormatting>
  <dataValidations count="4">
    <dataValidation type="list" allowBlank="1" showErrorMessage="1" errorTitle="請使用下拉選單" error="請選擇選單中的項目，或清除儲存格。" sqref="B5:B305">
      <formula1>"大溪,新豐,長家,晉欣"</formula1>
    </dataValidation>
    <dataValidation type="list" allowBlank="1" showErrorMessage="1" errorTitle="請使用下拉選單" error="請選擇選單中的項目，或清除儲存格。" sqref="G5:G305">
      <formula1>"公克,個"</formula1>
    </dataValidation>
    <dataValidation type="list" allowBlank="1" showErrorMessage="1" errorTitle="請使用下拉選單" error="請選擇選單中的項目，或清除儲存格。" sqref="I5:T305">
      <formula1>"V"</formula1>
    </dataValidation>
    <dataValidation type="list" allowBlank="1" showErrorMessage="1" errorTitle="請使用下拉選單" error="請選擇選單中的項目，或清除儲存格。" sqref="A5:A305">
      <formula1>"架上,下架,待上架"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4FA6"/>
  </sheetPr>
  <dimension ref="A1:AA302"/>
  <sheetViews>
    <sheetView showGridLines="0" tabSelected="1" zoomScale="90" zoomScaleNormal="90" workbookViewId="0">
      <pane xSplit="5" ySplit="4" topLeftCell="F65" activePane="bottomRight" state="frozen"/>
      <selection pane="topRight"/>
      <selection pane="bottomLeft"/>
      <selection pane="bottomRight" activeCell="D66" sqref="D66"/>
    </sheetView>
  </sheetViews>
  <sheetFormatPr defaultColWidth="8.7265625" defaultRowHeight="14.5"/>
  <cols>
    <col min="1" max="1" width="9" style="27" customWidth="1"/>
    <col min="2" max="2" width="9" customWidth="1"/>
    <col min="3" max="3" width="12" customWidth="1"/>
    <col min="4" max="4" width="22" customWidth="1"/>
    <col min="5" max="5" width="26" customWidth="1"/>
    <col min="6" max="7" width="8" customWidth="1"/>
    <col min="8" max="8" width="10.7265625" customWidth="1"/>
    <col min="9" max="19" width="7" customWidth="1"/>
    <col min="20" max="20" width="9" customWidth="1"/>
    <col min="21" max="21" width="7" customWidth="1"/>
    <col min="22" max="22" width="13" customWidth="1"/>
    <col min="23" max="23" width="30" customWidth="1"/>
    <col min="24" max="24" width="20" customWidth="1"/>
    <col min="25" max="25" width="12" customWidth="1"/>
    <col min="26" max="26" width="0.81640625" hidden="1" customWidth="1"/>
    <col min="27" max="27" width="1.1796875" hidden="1" customWidth="1"/>
  </cols>
  <sheetData>
    <row r="1" spans="1:27" ht="30" customHeight="1">
      <c r="A1" s="89" t="s">
        <v>77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</row>
    <row r="2" spans="1:27" ht="19.5" customHeight="1">
      <c r="A2" s="90" t="s">
        <v>43</v>
      </c>
      <c r="B2" s="90"/>
      <c r="C2" s="90"/>
      <c r="D2" s="90"/>
      <c r="E2" s="90"/>
      <c r="F2" s="90"/>
      <c r="G2" s="90"/>
      <c r="H2" s="91"/>
      <c r="I2" s="79" t="s">
        <v>44</v>
      </c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 t="s">
        <v>45</v>
      </c>
      <c r="V2" s="79"/>
      <c r="W2" s="79"/>
      <c r="X2" s="79" t="s">
        <v>46</v>
      </c>
      <c r="Y2" s="79"/>
    </row>
    <row r="3" spans="1:27" ht="24" customHeight="1">
      <c r="A3" s="88" t="s">
        <v>475</v>
      </c>
      <c r="B3" s="76" t="s">
        <v>47</v>
      </c>
      <c r="C3" s="76" t="s">
        <v>48</v>
      </c>
      <c r="D3" s="76" t="s">
        <v>49</v>
      </c>
      <c r="E3" s="76" t="s">
        <v>50</v>
      </c>
      <c r="F3" s="80" t="s">
        <v>51</v>
      </c>
      <c r="G3" s="80"/>
      <c r="H3" s="76" t="s">
        <v>52</v>
      </c>
      <c r="I3" s="77" t="s">
        <v>53</v>
      </c>
      <c r="J3" s="77" t="s">
        <v>54</v>
      </c>
      <c r="K3" s="77" t="s">
        <v>55</v>
      </c>
      <c r="L3" s="77" t="s">
        <v>56</v>
      </c>
      <c r="M3" s="77" t="s">
        <v>57</v>
      </c>
      <c r="N3" s="77" t="s">
        <v>58</v>
      </c>
      <c r="O3" s="77" t="s">
        <v>59</v>
      </c>
      <c r="P3" s="77" t="s">
        <v>60</v>
      </c>
      <c r="Q3" s="77" t="s">
        <v>61</v>
      </c>
      <c r="R3" s="77" t="s">
        <v>62</v>
      </c>
      <c r="S3" s="77" t="s">
        <v>63</v>
      </c>
      <c r="T3" s="78" t="s">
        <v>64</v>
      </c>
      <c r="U3" s="76" t="s">
        <v>65</v>
      </c>
      <c r="V3" s="76" t="s">
        <v>66</v>
      </c>
      <c r="W3" s="76" t="s">
        <v>67</v>
      </c>
      <c r="X3" s="76" t="s">
        <v>258</v>
      </c>
      <c r="Y3" s="76" t="s">
        <v>69</v>
      </c>
      <c r="Z3" s="20" t="s">
        <v>70</v>
      </c>
      <c r="AA3" s="20" t="s">
        <v>71</v>
      </c>
    </row>
    <row r="4" spans="1:27" ht="18" customHeight="1">
      <c r="A4" s="76"/>
      <c r="B4" s="76"/>
      <c r="C4" s="76"/>
      <c r="D4" s="76"/>
      <c r="E4" s="76"/>
      <c r="F4" s="21" t="s">
        <v>72</v>
      </c>
      <c r="G4" s="21" t="s">
        <v>73</v>
      </c>
      <c r="H4" s="76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8"/>
      <c r="U4" s="76"/>
      <c r="V4" s="76"/>
      <c r="W4" s="76"/>
      <c r="X4" s="76"/>
      <c r="Y4" s="76"/>
    </row>
    <row r="5" spans="1:27">
      <c r="A5" s="22" t="s">
        <v>477</v>
      </c>
      <c r="B5" s="22" t="s">
        <v>254</v>
      </c>
      <c r="C5" s="22" t="s">
        <v>256</v>
      </c>
      <c r="D5" s="22" t="s">
        <v>118</v>
      </c>
      <c r="E5" s="22" t="s">
        <v>119</v>
      </c>
      <c r="F5" s="23">
        <v>1</v>
      </c>
      <c r="G5" s="23" t="s">
        <v>75</v>
      </c>
      <c r="H5" s="24">
        <v>1200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 t="s">
        <v>242</v>
      </c>
      <c r="U5" s="23">
        <f t="shared" ref="U5:U16" si="0">IF($E5="","",COUNTIF($I5:$S5,"V"))</f>
        <v>0</v>
      </c>
      <c r="V5" s="22" t="str">
        <f t="shared" ref="V5:V16" si="1">IF($E5="","",IF(AND($T5="V",$U5&gt;0),"⚠ 勾選矛盾",IF($T5="V","○ 免調理",IF($U5=0,"⚠ 資料缺漏",IF($U5=1,"▲ 單一設備依賴","OK")))))</f>
        <v>○ 免調理</v>
      </c>
      <c r="W5" s="18" t="str">
        <f t="shared" ref="W5:W16" si="2">IF($E5="","",IF(AND($T5="V",$U5&gt;0),"「無使用調理設備」不可與設備欄同時勾選，請擇一修正",IF($T5="V","免調理半成品（外購/僅切配等），不列入設備風險評估",IF($U5=0,"未勾選任何設備，請補填或勾選「無使用調理設備」",IF($U5=1,"僅依賴1台設備，須確認故障/排修時之備援製程","無異常")))))</f>
        <v>免調理半成品（外購/僅切配等），不列入設備風險評估</v>
      </c>
      <c r="X5" s="22" t="s">
        <v>340</v>
      </c>
      <c r="Y5" s="22" t="s">
        <v>338</v>
      </c>
      <c r="Z5" s="27">
        <f>IF($D5="",0,IF(COUNTIF($D$5:$D5,$D5)=1,1,0))</f>
        <v>1</v>
      </c>
      <c r="AA5">
        <f>IF(Z5=1,SUM($Z$5:$Z5),"")</f>
        <v>1</v>
      </c>
    </row>
    <row r="6" spans="1:27">
      <c r="A6" s="22" t="s">
        <v>477</v>
      </c>
      <c r="B6" s="22" t="s">
        <v>254</v>
      </c>
      <c r="C6" s="22" t="s">
        <v>256</v>
      </c>
      <c r="D6" s="22" t="s">
        <v>118</v>
      </c>
      <c r="E6" s="22" t="s">
        <v>120</v>
      </c>
      <c r="F6" s="23">
        <v>15</v>
      </c>
      <c r="G6" s="23" t="s">
        <v>346</v>
      </c>
      <c r="H6" s="24">
        <v>74.7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6" t="s">
        <v>272</v>
      </c>
      <c r="U6" s="23">
        <f t="shared" si="0"/>
        <v>0</v>
      </c>
      <c r="V6" s="22" t="str">
        <f t="shared" si="1"/>
        <v>○ 免調理</v>
      </c>
      <c r="W6" s="18" t="str">
        <f t="shared" si="2"/>
        <v>免調理半成品（外購/僅切配等），不列入設備風險評估</v>
      </c>
      <c r="X6" s="22" t="s">
        <v>273</v>
      </c>
      <c r="Y6" s="22" t="s">
        <v>338</v>
      </c>
      <c r="Z6" s="27">
        <f>IF($D6="",0,IF(COUNTIF($D$5:$D6,$D6)=1,1,0))</f>
        <v>0</v>
      </c>
      <c r="AA6" s="27" t="str">
        <f>IF(Z6=1,SUM($Z$5:$Z6),"")</f>
        <v/>
      </c>
    </row>
    <row r="7" spans="1:27">
      <c r="A7" s="22" t="s">
        <v>477</v>
      </c>
      <c r="B7" s="22" t="s">
        <v>254</v>
      </c>
      <c r="C7" s="22" t="s">
        <v>256</v>
      </c>
      <c r="D7" s="22" t="s">
        <v>118</v>
      </c>
      <c r="E7" s="22" t="s">
        <v>121</v>
      </c>
      <c r="F7" s="23">
        <v>25</v>
      </c>
      <c r="G7" s="23" t="s">
        <v>346</v>
      </c>
      <c r="H7" s="24">
        <v>90.8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6" t="s">
        <v>272</v>
      </c>
      <c r="U7" s="23">
        <f t="shared" si="0"/>
        <v>0</v>
      </c>
      <c r="V7" s="22" t="str">
        <f t="shared" si="1"/>
        <v>○ 免調理</v>
      </c>
      <c r="W7" s="18" t="str">
        <f t="shared" si="2"/>
        <v>免調理半成品（外購/僅切配等），不列入設備風險評估</v>
      </c>
      <c r="X7" s="22" t="s">
        <v>273</v>
      </c>
      <c r="Y7" s="22" t="s">
        <v>338</v>
      </c>
      <c r="Z7" s="27">
        <f>IF($D7="",0,IF(COUNTIF($D$5:$D7,$D7)=1,1,0))</f>
        <v>0</v>
      </c>
      <c r="AA7" s="27" t="str">
        <f>IF(Z7=1,SUM($Z$5:$Z7),"")</f>
        <v/>
      </c>
    </row>
    <row r="8" spans="1:27">
      <c r="A8" s="22" t="s">
        <v>477</v>
      </c>
      <c r="B8" s="22" t="s">
        <v>254</v>
      </c>
      <c r="C8" s="22" t="s">
        <v>256</v>
      </c>
      <c r="D8" s="22" t="s">
        <v>118</v>
      </c>
      <c r="E8" s="22" t="s">
        <v>122</v>
      </c>
      <c r="F8" s="23">
        <v>10</v>
      </c>
      <c r="G8" s="23" t="s">
        <v>346</v>
      </c>
      <c r="H8" s="24">
        <v>79</v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6" t="s">
        <v>272</v>
      </c>
      <c r="U8" s="23">
        <f t="shared" si="0"/>
        <v>0</v>
      </c>
      <c r="V8" s="22" t="str">
        <f t="shared" si="1"/>
        <v>○ 免調理</v>
      </c>
      <c r="W8" s="18" t="str">
        <f t="shared" si="2"/>
        <v>免調理半成品（外購/僅切配等），不列入設備風險評估</v>
      </c>
      <c r="X8" s="22" t="s">
        <v>273</v>
      </c>
      <c r="Y8" s="22" t="s">
        <v>338</v>
      </c>
      <c r="Z8" s="27">
        <f>IF($D8="",0,IF(COUNTIF($D$5:$D8,$D8)=1,1,0))</f>
        <v>0</v>
      </c>
      <c r="AA8" s="27" t="str">
        <f>IF(Z8=1,SUM($Z$5:$Z8),"")</f>
        <v/>
      </c>
    </row>
    <row r="9" spans="1:27">
      <c r="A9" s="22" t="s">
        <v>477</v>
      </c>
      <c r="B9" s="22" t="s">
        <v>254</v>
      </c>
      <c r="C9" s="22" t="s">
        <v>256</v>
      </c>
      <c r="D9" s="22" t="s">
        <v>118</v>
      </c>
      <c r="E9" s="22" t="s">
        <v>271</v>
      </c>
      <c r="F9" s="23">
        <v>2</v>
      </c>
      <c r="G9" s="23" t="s">
        <v>75</v>
      </c>
      <c r="H9" s="24">
        <v>2800</v>
      </c>
      <c r="I9" s="25"/>
      <c r="J9" s="25"/>
      <c r="K9" s="25" t="s">
        <v>272</v>
      </c>
      <c r="L9" s="25"/>
      <c r="M9" s="25"/>
      <c r="N9" s="25"/>
      <c r="O9" s="25"/>
      <c r="P9" s="25"/>
      <c r="Q9" s="25"/>
      <c r="R9" s="25"/>
      <c r="S9" s="25"/>
      <c r="T9" s="26"/>
      <c r="U9" s="23">
        <f t="shared" si="0"/>
        <v>1</v>
      </c>
      <c r="V9" s="22" t="str">
        <f t="shared" si="1"/>
        <v>▲ 單一設備依賴</v>
      </c>
      <c r="W9" s="18" t="str">
        <f t="shared" si="2"/>
        <v>僅依賴1台設備，須確認故障/排修時之備援製程</v>
      </c>
      <c r="X9" s="22" t="s">
        <v>273</v>
      </c>
      <c r="Y9" s="22" t="s">
        <v>338</v>
      </c>
      <c r="Z9" s="27">
        <f>IF($D9="",0,IF(COUNTIF($D$5:$D9,$D9)=1,1,0))</f>
        <v>0</v>
      </c>
      <c r="AA9" s="27" t="str">
        <f>IF(Z9=1,SUM($Z$5:$Z9),"")</f>
        <v/>
      </c>
    </row>
    <row r="10" spans="1:27">
      <c r="A10" s="22" t="s">
        <v>476</v>
      </c>
      <c r="B10" s="22" t="s">
        <v>254</v>
      </c>
      <c r="C10" s="22" t="s">
        <v>256</v>
      </c>
      <c r="D10" s="22" t="s">
        <v>123</v>
      </c>
      <c r="E10" s="22" t="s">
        <v>737</v>
      </c>
      <c r="F10" s="23">
        <v>100</v>
      </c>
      <c r="G10" s="23" t="s">
        <v>346</v>
      </c>
      <c r="H10" s="24">
        <v>86.4</v>
      </c>
      <c r="I10" s="25"/>
      <c r="J10" s="25" t="s">
        <v>272</v>
      </c>
      <c r="K10" s="25"/>
      <c r="L10" s="25"/>
      <c r="M10" s="25"/>
      <c r="N10" s="25"/>
      <c r="O10" s="25"/>
      <c r="P10" s="25"/>
      <c r="Q10" s="25"/>
      <c r="R10" s="25"/>
      <c r="S10" s="25"/>
      <c r="T10" s="26"/>
      <c r="U10" s="23">
        <f t="shared" si="0"/>
        <v>1</v>
      </c>
      <c r="V10" s="22" t="str">
        <f t="shared" si="1"/>
        <v>▲ 單一設備依賴</v>
      </c>
      <c r="W10" s="18" t="str">
        <f t="shared" si="2"/>
        <v>僅依賴1台設備，須確認故障/排修時之備援製程</v>
      </c>
      <c r="X10" s="22" t="s">
        <v>274</v>
      </c>
      <c r="Y10" s="22" t="s">
        <v>338</v>
      </c>
      <c r="Z10" s="27">
        <f>IF($D10="",0,IF(COUNTIF($D$5:$D10,$D10)=1,1,0))</f>
        <v>1</v>
      </c>
      <c r="AA10" s="27">
        <f>IF(Z10=1,SUM($Z$5:$Z10),"")</f>
        <v>2</v>
      </c>
    </row>
    <row r="11" spans="1:27">
      <c r="A11" s="22" t="s">
        <v>476</v>
      </c>
      <c r="B11" s="22" t="s">
        <v>254</v>
      </c>
      <c r="C11" s="22" t="s">
        <v>256</v>
      </c>
      <c r="D11" s="22" t="s">
        <v>123</v>
      </c>
      <c r="E11" s="22" t="s">
        <v>382</v>
      </c>
      <c r="F11" s="23">
        <v>30</v>
      </c>
      <c r="G11" s="23" t="s">
        <v>346</v>
      </c>
      <c r="H11" s="24">
        <v>79</v>
      </c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6" t="s">
        <v>272</v>
      </c>
      <c r="U11" s="23">
        <f t="shared" si="0"/>
        <v>0</v>
      </c>
      <c r="V11" s="22" t="str">
        <f t="shared" si="1"/>
        <v>○ 免調理</v>
      </c>
      <c r="W11" s="18" t="str">
        <f t="shared" si="2"/>
        <v>免調理半成品（外購/僅切配等），不列入設備風險評估</v>
      </c>
      <c r="X11" s="22" t="s">
        <v>274</v>
      </c>
      <c r="Y11" s="22" t="s">
        <v>338</v>
      </c>
      <c r="Z11" s="27">
        <f>IF($D11="",0,IF(COUNTIF($D$5:$D11,$D11)=1,1,0))</f>
        <v>0</v>
      </c>
      <c r="AA11" s="27" t="str">
        <f>IF(Z11=1,SUM($Z$5:$Z11),"")</f>
        <v/>
      </c>
    </row>
    <row r="12" spans="1:27">
      <c r="A12" s="22" t="s">
        <v>476</v>
      </c>
      <c r="B12" s="22" t="s">
        <v>254</v>
      </c>
      <c r="C12" s="22" t="s">
        <v>256</v>
      </c>
      <c r="D12" s="22" t="s">
        <v>123</v>
      </c>
      <c r="E12" s="22" t="s">
        <v>124</v>
      </c>
      <c r="F12" s="23">
        <v>40</v>
      </c>
      <c r="G12" s="23" t="s">
        <v>346</v>
      </c>
      <c r="H12" s="24">
        <v>61.8</v>
      </c>
      <c r="I12" s="25"/>
      <c r="J12" s="25"/>
      <c r="K12" s="25"/>
      <c r="L12" s="25"/>
      <c r="M12" s="25"/>
      <c r="N12" s="25"/>
      <c r="O12" s="25" t="s">
        <v>272</v>
      </c>
      <c r="P12" s="25"/>
      <c r="Q12" s="25"/>
      <c r="R12" s="25"/>
      <c r="S12" s="25"/>
      <c r="T12" s="26"/>
      <c r="U12" s="23">
        <f t="shared" si="0"/>
        <v>1</v>
      </c>
      <c r="V12" s="22" t="str">
        <f t="shared" si="1"/>
        <v>▲ 單一設備依賴</v>
      </c>
      <c r="W12" s="18" t="str">
        <f t="shared" si="2"/>
        <v>僅依賴1台設備，須確認故障/排修時之備援製程</v>
      </c>
      <c r="X12" s="22" t="s">
        <v>274</v>
      </c>
      <c r="Y12" s="22" t="s">
        <v>338</v>
      </c>
      <c r="Z12" s="27">
        <f>IF($D12="",0,IF(COUNTIF($D$5:$D12,$D12)=1,1,0))</f>
        <v>0</v>
      </c>
      <c r="AA12" s="27" t="str">
        <f>IF(Z12=1,SUM($Z$5:$Z12),"")</f>
        <v/>
      </c>
    </row>
    <row r="13" spans="1:27">
      <c r="A13" s="22" t="s">
        <v>476</v>
      </c>
      <c r="B13" s="22" t="s">
        <v>254</v>
      </c>
      <c r="C13" s="22" t="s">
        <v>256</v>
      </c>
      <c r="D13" s="22" t="s">
        <v>123</v>
      </c>
      <c r="E13" s="22" t="s">
        <v>738</v>
      </c>
      <c r="F13" s="23">
        <v>10</v>
      </c>
      <c r="G13" s="23" t="s">
        <v>346</v>
      </c>
      <c r="H13" s="24">
        <v>75</v>
      </c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6" t="s">
        <v>272</v>
      </c>
      <c r="U13" s="23">
        <f t="shared" si="0"/>
        <v>0</v>
      </c>
      <c r="V13" s="22" t="str">
        <f t="shared" si="1"/>
        <v>○ 免調理</v>
      </c>
      <c r="W13" s="18" t="str">
        <f t="shared" si="2"/>
        <v>免調理半成品（外購/僅切配等），不列入設備風險評估</v>
      </c>
      <c r="X13" s="22" t="s">
        <v>274</v>
      </c>
      <c r="Y13" s="22" t="s">
        <v>338</v>
      </c>
      <c r="Z13" s="27">
        <f>IF($D13="",0,IF(COUNTIF($D$5:$D13,$D13)=1,1,0))</f>
        <v>0</v>
      </c>
      <c r="AA13" s="27" t="str">
        <f>IF(Z13=1,SUM($Z$5:$Z13),"")</f>
        <v/>
      </c>
    </row>
    <row r="14" spans="1:27">
      <c r="A14" s="22" t="s">
        <v>476</v>
      </c>
      <c r="B14" s="22" t="s">
        <v>254</v>
      </c>
      <c r="C14" s="22" t="s">
        <v>256</v>
      </c>
      <c r="D14" s="22" t="s">
        <v>123</v>
      </c>
      <c r="E14" s="22" t="s">
        <v>739</v>
      </c>
      <c r="F14" s="23">
        <v>5</v>
      </c>
      <c r="G14" s="23" t="s">
        <v>346</v>
      </c>
      <c r="H14" s="24">
        <v>62.8</v>
      </c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6" t="s">
        <v>272</v>
      </c>
      <c r="U14" s="23">
        <f t="shared" si="0"/>
        <v>0</v>
      </c>
      <c r="V14" s="22" t="str">
        <f t="shared" si="1"/>
        <v>○ 免調理</v>
      </c>
      <c r="W14" s="18" t="str">
        <f t="shared" si="2"/>
        <v>免調理半成品（外購/僅切配等），不列入設備風險評估</v>
      </c>
      <c r="X14" s="22" t="s">
        <v>274</v>
      </c>
      <c r="Y14" s="22" t="s">
        <v>338</v>
      </c>
      <c r="Z14" s="27">
        <f>IF($D14="",0,IF(COUNTIF($D$5:$D14,$D14)=1,1,0))</f>
        <v>0</v>
      </c>
      <c r="AA14" s="27" t="str">
        <f>IF(Z14=1,SUM($Z$5:$Z14),"")</f>
        <v/>
      </c>
    </row>
    <row r="15" spans="1:27">
      <c r="A15" s="22" t="s">
        <v>476</v>
      </c>
      <c r="B15" s="22" t="s">
        <v>254</v>
      </c>
      <c r="C15" s="22" t="s">
        <v>256</v>
      </c>
      <c r="D15" s="22" t="s">
        <v>123</v>
      </c>
      <c r="E15" s="22" t="s">
        <v>740</v>
      </c>
      <c r="F15" s="23">
        <v>1</v>
      </c>
      <c r="G15" s="23" t="s">
        <v>75</v>
      </c>
      <c r="H15" s="24">
        <v>4000</v>
      </c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6" t="s">
        <v>275</v>
      </c>
      <c r="U15" s="23">
        <f t="shared" si="0"/>
        <v>0</v>
      </c>
      <c r="V15" s="22" t="str">
        <f t="shared" si="1"/>
        <v>○ 免調理</v>
      </c>
      <c r="W15" s="18" t="str">
        <f t="shared" si="2"/>
        <v>免調理半成品（外購/僅切配等），不列入設備風險評估</v>
      </c>
      <c r="X15" s="22" t="s">
        <v>274</v>
      </c>
      <c r="Y15" s="22" t="s">
        <v>338</v>
      </c>
      <c r="Z15" s="27">
        <f>IF($D15="",0,IF(COUNTIF($D$5:$D15,$D15)=1,1,0))</f>
        <v>0</v>
      </c>
      <c r="AA15" s="27" t="str">
        <f>IF(Z15=1,SUM($Z$5:$Z15),"")</f>
        <v/>
      </c>
    </row>
    <row r="16" spans="1:27">
      <c r="A16" s="22" t="s">
        <v>476</v>
      </c>
      <c r="B16" s="22" t="s">
        <v>254</v>
      </c>
      <c r="C16" s="22" t="s">
        <v>256</v>
      </c>
      <c r="D16" s="22" t="s">
        <v>123</v>
      </c>
      <c r="E16" s="22" t="s">
        <v>741</v>
      </c>
      <c r="F16" s="23">
        <v>4</v>
      </c>
      <c r="G16" s="23" t="s">
        <v>75</v>
      </c>
      <c r="H16" s="24">
        <v>800</v>
      </c>
      <c r="I16" s="25"/>
      <c r="J16" s="25"/>
      <c r="K16" s="25" t="s">
        <v>272</v>
      </c>
      <c r="L16" s="25"/>
      <c r="M16" s="25"/>
      <c r="N16" s="25"/>
      <c r="O16" s="25"/>
      <c r="P16" s="25"/>
      <c r="Q16" s="25"/>
      <c r="R16" s="25"/>
      <c r="S16" s="25"/>
      <c r="T16" s="26"/>
      <c r="U16" s="23">
        <f t="shared" si="0"/>
        <v>1</v>
      </c>
      <c r="V16" s="22" t="str">
        <f t="shared" si="1"/>
        <v>▲ 單一設備依賴</v>
      </c>
      <c r="W16" s="18" t="str">
        <f t="shared" si="2"/>
        <v>僅依賴1台設備，須確認故障/排修時之備援製程</v>
      </c>
      <c r="X16" s="22" t="s">
        <v>274</v>
      </c>
      <c r="Y16" s="22" t="s">
        <v>338</v>
      </c>
      <c r="Z16" s="27">
        <f>IF($D16="",0,IF(COUNTIF($D$5:$D16,$D16)=1,1,0))</f>
        <v>0</v>
      </c>
      <c r="AA16" s="27" t="str">
        <f>IF(Z16=1,SUM($Z$5:$Z16),"")</f>
        <v/>
      </c>
    </row>
    <row r="17" spans="1:27">
      <c r="A17" s="22" t="s">
        <v>476</v>
      </c>
      <c r="B17" s="22" t="s">
        <v>254</v>
      </c>
      <c r="C17" s="22" t="s">
        <v>276</v>
      </c>
      <c r="D17" s="22" t="s">
        <v>136</v>
      </c>
      <c r="E17" s="22" t="s">
        <v>380</v>
      </c>
      <c r="F17" s="23">
        <v>1</v>
      </c>
      <c r="G17" s="23" t="s">
        <v>75</v>
      </c>
      <c r="H17" s="24">
        <v>1200</v>
      </c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6" t="s">
        <v>272</v>
      </c>
      <c r="U17" s="23">
        <f t="shared" ref="U17:U46" si="3">IF($E17="","",COUNTIF($I17:$S17,"V"))</f>
        <v>0</v>
      </c>
      <c r="V17" s="22" t="str">
        <f t="shared" ref="V17:V46" si="4">IF($E17="","",IF(AND($T17="V",$U17&gt;0),"⚠ 勾選矛盾",IF($T17="V","○ 免調理",IF($U17=0,"⚠ 資料缺漏",IF($U17=1,"▲ 單一設備依賴","OK")))))</f>
        <v>○ 免調理</v>
      </c>
      <c r="W17" s="18" t="str">
        <f t="shared" ref="W17:W46" si="5">IF($E17="","",IF(AND($T17="V",$U17&gt;0),"「無使用調理設備」不可與設備欄同時勾選，請擇一修正",IF($T17="V","免調理半成品（外購/僅切配等），不列入設備風險評估",IF($U17=0,"未勾選任何設備，請補填或勾選「無使用調理設備」",IF($U17=1,"僅依賴1台設備，須確認故障/排修時之備援製程","無異常")))))</f>
        <v>免調理半成品（外購/僅切配等），不列入設備風險評估</v>
      </c>
      <c r="X17" s="22" t="s">
        <v>746</v>
      </c>
      <c r="Y17" s="22" t="s">
        <v>347</v>
      </c>
      <c r="Z17" s="27">
        <f>IF($D17="",0,IF(COUNTIF($D$5:$D17,$D17)=1,1,0))</f>
        <v>1</v>
      </c>
      <c r="AA17" s="27">
        <f>IF(Z17=1,SUM($Z$5:$Z17),"")</f>
        <v>3</v>
      </c>
    </row>
    <row r="18" spans="1:27">
      <c r="A18" s="22" t="s">
        <v>476</v>
      </c>
      <c r="B18" s="22" t="s">
        <v>254</v>
      </c>
      <c r="C18" s="22" t="s">
        <v>276</v>
      </c>
      <c r="D18" s="22" t="s">
        <v>136</v>
      </c>
      <c r="E18" s="22" t="s">
        <v>137</v>
      </c>
      <c r="F18" s="23">
        <v>5</v>
      </c>
      <c r="G18" s="23" t="s">
        <v>346</v>
      </c>
      <c r="H18" s="24">
        <v>53.8</v>
      </c>
      <c r="I18" s="25"/>
      <c r="J18" s="25"/>
      <c r="K18" s="25"/>
      <c r="L18" s="25"/>
      <c r="M18" s="25"/>
      <c r="N18" s="25"/>
      <c r="O18" s="25" t="s">
        <v>278</v>
      </c>
      <c r="P18" s="25"/>
      <c r="Q18" s="25"/>
      <c r="R18" s="25"/>
      <c r="S18" s="25"/>
      <c r="T18" s="26"/>
      <c r="U18" s="23">
        <f t="shared" si="3"/>
        <v>1</v>
      </c>
      <c r="V18" s="22" t="str">
        <f t="shared" si="4"/>
        <v>▲ 單一設備依賴</v>
      </c>
      <c r="W18" s="18" t="str">
        <f t="shared" si="5"/>
        <v>僅依賴1台設備，須確認故障/排修時之備援製程</v>
      </c>
      <c r="X18" s="22" t="s">
        <v>746</v>
      </c>
      <c r="Y18" s="22" t="s">
        <v>347</v>
      </c>
      <c r="Z18" s="27">
        <f>IF($D18="",0,IF(COUNTIF($D$5:$D18,$D18)=1,1,0))</f>
        <v>0</v>
      </c>
      <c r="AA18" s="27" t="str">
        <f>IF(Z18=1,SUM($Z$5:$Z18),"")</f>
        <v/>
      </c>
    </row>
    <row r="19" spans="1:27">
      <c r="A19" s="22" t="s">
        <v>476</v>
      </c>
      <c r="B19" s="22" t="s">
        <v>254</v>
      </c>
      <c r="C19" s="22" t="s">
        <v>276</v>
      </c>
      <c r="D19" s="22" t="s">
        <v>136</v>
      </c>
      <c r="E19" s="22" t="s">
        <v>742</v>
      </c>
      <c r="F19" s="23">
        <v>2</v>
      </c>
      <c r="G19" s="23" t="s">
        <v>75</v>
      </c>
      <c r="H19" s="24">
        <v>6</v>
      </c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6" t="s">
        <v>272</v>
      </c>
      <c r="U19" s="23">
        <f t="shared" si="3"/>
        <v>0</v>
      </c>
      <c r="V19" s="22" t="str">
        <f t="shared" si="4"/>
        <v>○ 免調理</v>
      </c>
      <c r="W19" s="18" t="str">
        <f t="shared" si="5"/>
        <v>免調理半成品（外購/僅切配等），不列入設備風險評估</v>
      </c>
      <c r="X19" s="22" t="s">
        <v>746</v>
      </c>
      <c r="Y19" s="22" t="s">
        <v>347</v>
      </c>
      <c r="Z19" s="27">
        <f>IF($D19="",0,IF(COUNTIF($D$5:$D19,$D19)=1,1,0))</f>
        <v>0</v>
      </c>
      <c r="AA19" s="27" t="str">
        <f>IF(Z19=1,SUM($Z$5:$Z19),"")</f>
        <v/>
      </c>
    </row>
    <row r="20" spans="1:27">
      <c r="A20" s="22" t="s">
        <v>476</v>
      </c>
      <c r="B20" s="22" t="s">
        <v>254</v>
      </c>
      <c r="C20" s="22" t="s">
        <v>277</v>
      </c>
      <c r="D20" s="22" t="s">
        <v>136</v>
      </c>
      <c r="E20" s="22" t="s">
        <v>743</v>
      </c>
      <c r="F20" s="23">
        <v>35</v>
      </c>
      <c r="G20" s="23" t="s">
        <v>346</v>
      </c>
      <c r="H20" s="24">
        <v>90</v>
      </c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6" t="s">
        <v>272</v>
      </c>
      <c r="U20" s="23">
        <f t="shared" si="3"/>
        <v>0</v>
      </c>
      <c r="V20" s="22" t="str">
        <f t="shared" si="4"/>
        <v>○ 免調理</v>
      </c>
      <c r="W20" s="18" t="str">
        <f t="shared" si="5"/>
        <v>免調理半成品（外購/僅切配等），不列入設備風險評估</v>
      </c>
      <c r="X20" s="22" t="s">
        <v>746</v>
      </c>
      <c r="Y20" s="22" t="s">
        <v>347</v>
      </c>
      <c r="Z20" s="27">
        <f>IF($D20="",0,IF(COUNTIF($D$5:$D20,$D20)=1,1,0))</f>
        <v>0</v>
      </c>
      <c r="AA20" s="27" t="str">
        <f>IF(Z20=1,SUM($Z$5:$Z20),"")</f>
        <v/>
      </c>
    </row>
    <row r="21" spans="1:27">
      <c r="A21" s="22" t="s">
        <v>476</v>
      </c>
      <c r="B21" s="22" t="s">
        <v>254</v>
      </c>
      <c r="C21" s="22" t="s">
        <v>276</v>
      </c>
      <c r="D21" s="22" t="s">
        <v>136</v>
      </c>
      <c r="E21" s="22" t="s">
        <v>744</v>
      </c>
      <c r="F21" s="23">
        <v>22</v>
      </c>
      <c r="G21" s="23" t="s">
        <v>346</v>
      </c>
      <c r="H21" s="24">
        <v>72</v>
      </c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6" t="s">
        <v>279</v>
      </c>
      <c r="U21" s="23">
        <f t="shared" si="3"/>
        <v>0</v>
      </c>
      <c r="V21" s="22" t="str">
        <f t="shared" si="4"/>
        <v>○ 免調理</v>
      </c>
      <c r="W21" s="18" t="str">
        <f t="shared" si="5"/>
        <v>免調理半成品（外購/僅切配等），不列入設備風險評估</v>
      </c>
      <c r="X21" s="22" t="s">
        <v>746</v>
      </c>
      <c r="Y21" s="22" t="s">
        <v>347</v>
      </c>
      <c r="Z21" s="27">
        <f>IF($D21="",0,IF(COUNTIF($D$5:$D21,$D21)=1,1,0))</f>
        <v>0</v>
      </c>
      <c r="AA21" s="27" t="str">
        <f>IF(Z21=1,SUM($Z$5:$Z21),"")</f>
        <v/>
      </c>
    </row>
    <row r="22" spans="1:27">
      <c r="A22" s="22" t="s">
        <v>476</v>
      </c>
      <c r="B22" s="22" t="s">
        <v>254</v>
      </c>
      <c r="C22" s="22" t="s">
        <v>276</v>
      </c>
      <c r="D22" s="22" t="s">
        <v>136</v>
      </c>
      <c r="E22" s="22" t="s">
        <v>745</v>
      </c>
      <c r="F22" s="23">
        <v>2</v>
      </c>
      <c r="G22" s="23" t="s">
        <v>75</v>
      </c>
      <c r="H22" s="24">
        <v>400</v>
      </c>
      <c r="I22" s="25"/>
      <c r="J22" s="25"/>
      <c r="K22" s="25" t="s">
        <v>272</v>
      </c>
      <c r="L22" s="25"/>
      <c r="M22" s="25"/>
      <c r="N22" s="25"/>
      <c r="O22" s="25"/>
      <c r="P22" s="25"/>
      <c r="Q22" s="25"/>
      <c r="R22" s="25"/>
      <c r="S22" s="25"/>
      <c r="T22" s="26"/>
      <c r="U22" s="23">
        <f t="shared" si="3"/>
        <v>1</v>
      </c>
      <c r="V22" s="22" t="str">
        <f t="shared" si="4"/>
        <v>▲ 單一設備依賴</v>
      </c>
      <c r="W22" s="18" t="str">
        <f t="shared" si="5"/>
        <v>僅依賴1台設備，須確認故障/排修時之備援製程</v>
      </c>
      <c r="X22" s="22" t="s">
        <v>746</v>
      </c>
      <c r="Y22" s="22" t="s">
        <v>347</v>
      </c>
      <c r="Z22" s="27">
        <f>IF($D22="",0,IF(COUNTIF($D$5:$D22,$D22)=1,1,0))</f>
        <v>0</v>
      </c>
      <c r="AA22" s="27" t="str">
        <f>IF(Z22=1,SUM($Z$5:$Z22),"")</f>
        <v/>
      </c>
    </row>
    <row r="23" spans="1:27">
      <c r="A23" s="22" t="s">
        <v>476</v>
      </c>
      <c r="B23" s="22" t="s">
        <v>254</v>
      </c>
      <c r="C23" s="22" t="s">
        <v>277</v>
      </c>
      <c r="D23" s="22" t="s">
        <v>145</v>
      </c>
      <c r="E23" s="22" t="s">
        <v>747</v>
      </c>
      <c r="F23" s="23">
        <v>1</v>
      </c>
      <c r="G23" s="23" t="s">
        <v>75</v>
      </c>
      <c r="H23" s="24">
        <v>1200</v>
      </c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6" t="s">
        <v>272</v>
      </c>
      <c r="U23" s="23">
        <f t="shared" si="3"/>
        <v>0</v>
      </c>
      <c r="V23" s="22" t="str">
        <f t="shared" si="4"/>
        <v>○ 免調理</v>
      </c>
      <c r="W23" s="18" t="str">
        <f t="shared" si="5"/>
        <v>免調理半成品（外購/僅切配等），不列入設備風險評估</v>
      </c>
      <c r="X23" s="22" t="s">
        <v>753</v>
      </c>
      <c r="Y23" s="22" t="s">
        <v>347</v>
      </c>
      <c r="Z23" s="27">
        <f>IF($D23="",0,IF(COUNTIF($D$5:$D23,$D23)=1,1,0))</f>
        <v>1</v>
      </c>
      <c r="AA23" s="27">
        <f>IF(Z23=1,SUM($Z$5:$Z23),"")</f>
        <v>4</v>
      </c>
    </row>
    <row r="24" spans="1:27">
      <c r="A24" s="22" t="s">
        <v>476</v>
      </c>
      <c r="B24" s="22" t="s">
        <v>254</v>
      </c>
      <c r="C24" s="22" t="s">
        <v>276</v>
      </c>
      <c r="D24" s="22" t="s">
        <v>145</v>
      </c>
      <c r="E24" s="22" t="s">
        <v>748</v>
      </c>
      <c r="F24" s="23">
        <v>10</v>
      </c>
      <c r="G24" s="23" t="s">
        <v>346</v>
      </c>
      <c r="H24" s="24">
        <v>100</v>
      </c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6" t="s">
        <v>74</v>
      </c>
      <c r="U24" s="23">
        <f t="shared" si="3"/>
        <v>0</v>
      </c>
      <c r="V24" s="22" t="str">
        <f t="shared" si="4"/>
        <v>○ 免調理</v>
      </c>
      <c r="W24" s="18" t="str">
        <f t="shared" si="5"/>
        <v>免調理半成品（外購/僅切配等），不列入設備風險評估</v>
      </c>
      <c r="X24" s="22" t="s">
        <v>753</v>
      </c>
      <c r="Y24" s="22" t="s">
        <v>347</v>
      </c>
      <c r="Z24" s="27">
        <f>IF($D24="",0,IF(COUNTIF($D$5:$D24,$D24)=1,1,0))</f>
        <v>0</v>
      </c>
      <c r="AA24" s="27" t="str">
        <f>IF(Z24=1,SUM($Z$5:$Z24),"")</f>
        <v/>
      </c>
    </row>
    <row r="25" spans="1:27">
      <c r="A25" s="22" t="s">
        <v>476</v>
      </c>
      <c r="B25" s="22" t="s">
        <v>254</v>
      </c>
      <c r="C25" s="22" t="s">
        <v>276</v>
      </c>
      <c r="D25" s="22" t="s">
        <v>145</v>
      </c>
      <c r="E25" s="22" t="s">
        <v>749</v>
      </c>
      <c r="F25" s="23">
        <v>14</v>
      </c>
      <c r="G25" s="23" t="s">
        <v>346</v>
      </c>
      <c r="H25" s="24">
        <v>66</v>
      </c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6" t="s">
        <v>272</v>
      </c>
      <c r="U25" s="23">
        <f t="shared" si="3"/>
        <v>0</v>
      </c>
      <c r="V25" s="22" t="str">
        <f t="shared" si="4"/>
        <v>○ 免調理</v>
      </c>
      <c r="W25" s="18" t="str">
        <f t="shared" si="5"/>
        <v>免調理半成品（外購/僅切配等），不列入設備風險評估</v>
      </c>
      <c r="X25" s="22" t="s">
        <v>753</v>
      </c>
      <c r="Y25" s="22" t="s">
        <v>347</v>
      </c>
      <c r="Z25" s="27">
        <f>IF($D25="",0,IF(COUNTIF($D$5:$D25,$D25)=1,1,0))</f>
        <v>0</v>
      </c>
      <c r="AA25" s="27" t="str">
        <f>IF(Z25=1,SUM($Z$5:$Z25),"")</f>
        <v/>
      </c>
    </row>
    <row r="26" spans="1:27">
      <c r="A26" s="22" t="s">
        <v>476</v>
      </c>
      <c r="B26" s="22" t="s">
        <v>254</v>
      </c>
      <c r="C26" s="22" t="s">
        <v>276</v>
      </c>
      <c r="D26" s="22" t="s">
        <v>145</v>
      </c>
      <c r="E26" s="22" t="s">
        <v>398</v>
      </c>
      <c r="F26" s="23">
        <v>3</v>
      </c>
      <c r="G26" s="23" t="s">
        <v>346</v>
      </c>
      <c r="H26" s="24">
        <v>40</v>
      </c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6" t="s">
        <v>74</v>
      </c>
      <c r="U26" s="23">
        <f t="shared" si="3"/>
        <v>0</v>
      </c>
      <c r="V26" s="22" t="str">
        <f t="shared" si="4"/>
        <v>○ 免調理</v>
      </c>
      <c r="W26" s="18" t="str">
        <f t="shared" si="5"/>
        <v>免調理半成品（外購/僅切配等），不列入設備風險評估</v>
      </c>
      <c r="X26" s="22" t="s">
        <v>753</v>
      </c>
      <c r="Y26" s="22" t="s">
        <v>347</v>
      </c>
      <c r="Z26" s="27">
        <f>IF($D26="",0,IF(COUNTIF($D$5:$D26,$D26)=1,1,0))</f>
        <v>0</v>
      </c>
      <c r="AA26" s="27" t="str">
        <f>IF(Z26=1,SUM($Z$5:$Z26),"")</f>
        <v/>
      </c>
    </row>
    <row r="27" spans="1:27">
      <c r="A27" s="22" t="s">
        <v>476</v>
      </c>
      <c r="B27" s="22" t="s">
        <v>254</v>
      </c>
      <c r="C27" s="22" t="s">
        <v>276</v>
      </c>
      <c r="D27" s="22" t="s">
        <v>145</v>
      </c>
      <c r="E27" s="22" t="s">
        <v>750</v>
      </c>
      <c r="F27" s="23">
        <v>10</v>
      </c>
      <c r="G27" s="23" t="s">
        <v>346</v>
      </c>
      <c r="H27" s="24">
        <v>60</v>
      </c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6" t="s">
        <v>74</v>
      </c>
      <c r="U27" s="23">
        <f t="shared" si="3"/>
        <v>0</v>
      </c>
      <c r="V27" s="22" t="str">
        <f t="shared" si="4"/>
        <v>○ 免調理</v>
      </c>
      <c r="W27" s="18" t="str">
        <f t="shared" si="5"/>
        <v>免調理半成品（外購/僅切配等），不列入設備風險評估</v>
      </c>
      <c r="X27" s="22" t="s">
        <v>753</v>
      </c>
      <c r="Y27" s="22" t="s">
        <v>347</v>
      </c>
      <c r="Z27" s="27">
        <f>IF($D27="",0,IF(COUNTIF($D$5:$D27,$D27)=1,1,0))</f>
        <v>0</v>
      </c>
      <c r="AA27" s="27" t="str">
        <f>IF(Z27=1,SUM($Z$5:$Z27),"")</f>
        <v/>
      </c>
    </row>
    <row r="28" spans="1:27">
      <c r="A28" s="22" t="s">
        <v>476</v>
      </c>
      <c r="B28" s="22" t="s">
        <v>254</v>
      </c>
      <c r="C28" s="22" t="s">
        <v>280</v>
      </c>
      <c r="D28" s="22" t="s">
        <v>145</v>
      </c>
      <c r="E28" s="22" t="s">
        <v>146</v>
      </c>
      <c r="F28" s="23">
        <v>20</v>
      </c>
      <c r="G28" s="23" t="s">
        <v>346</v>
      </c>
      <c r="H28" s="24">
        <v>130</v>
      </c>
      <c r="I28" s="25"/>
      <c r="J28" s="25"/>
      <c r="K28" s="25"/>
      <c r="L28" s="25"/>
      <c r="M28" s="25" t="s">
        <v>74</v>
      </c>
      <c r="N28" s="25"/>
      <c r="O28" s="25"/>
      <c r="P28" s="25"/>
      <c r="Q28" s="25"/>
      <c r="R28" s="25"/>
      <c r="S28" s="25"/>
      <c r="T28" s="26"/>
      <c r="U28" s="23">
        <f t="shared" si="3"/>
        <v>1</v>
      </c>
      <c r="V28" s="22" t="str">
        <f t="shared" si="4"/>
        <v>▲ 單一設備依賴</v>
      </c>
      <c r="W28" s="18" t="str">
        <f t="shared" si="5"/>
        <v>僅依賴1台設備，須確認故障/排修時之備援製程</v>
      </c>
      <c r="X28" s="22" t="s">
        <v>753</v>
      </c>
      <c r="Y28" s="22" t="s">
        <v>347</v>
      </c>
      <c r="Z28" s="27">
        <f>IF($D28="",0,IF(COUNTIF($D$5:$D28,$D28)=1,1,0))</f>
        <v>0</v>
      </c>
      <c r="AA28" s="27" t="str">
        <f>IF(Z28=1,SUM($Z$5:$Z28),"")</f>
        <v/>
      </c>
    </row>
    <row r="29" spans="1:27" s="27" customFormat="1">
      <c r="A29" s="22" t="s">
        <v>476</v>
      </c>
      <c r="B29" s="22" t="s">
        <v>254</v>
      </c>
      <c r="C29" s="22" t="s">
        <v>256</v>
      </c>
      <c r="D29" s="22" t="s">
        <v>145</v>
      </c>
      <c r="E29" s="22" t="s">
        <v>751</v>
      </c>
      <c r="F29" s="23">
        <v>1</v>
      </c>
      <c r="G29" s="23" t="s">
        <v>75</v>
      </c>
      <c r="H29" s="24">
        <v>3600</v>
      </c>
      <c r="I29" s="25"/>
      <c r="J29" s="25"/>
      <c r="K29" s="25" t="s">
        <v>74</v>
      </c>
      <c r="L29" s="25"/>
      <c r="M29" s="25"/>
      <c r="N29" s="25"/>
      <c r="O29" s="25"/>
      <c r="P29" s="25"/>
      <c r="Q29" s="25"/>
      <c r="R29" s="25"/>
      <c r="S29" s="25"/>
      <c r="T29" s="26"/>
      <c r="U29" s="23">
        <f t="shared" si="3"/>
        <v>1</v>
      </c>
      <c r="V29" s="22" t="str">
        <f t="shared" si="4"/>
        <v>▲ 單一設備依賴</v>
      </c>
      <c r="W29" s="18" t="str">
        <f t="shared" si="5"/>
        <v>僅依賴1台設備，須確認故障/排修時之備援製程</v>
      </c>
      <c r="X29" s="22" t="s">
        <v>753</v>
      </c>
      <c r="Y29" s="22" t="s">
        <v>347</v>
      </c>
    </row>
    <row r="30" spans="1:27" s="27" customFormat="1">
      <c r="A30" s="22" t="s">
        <v>476</v>
      </c>
      <c r="B30" s="22" t="s">
        <v>254</v>
      </c>
      <c r="C30" s="22" t="s">
        <v>256</v>
      </c>
      <c r="D30" s="22" t="s">
        <v>145</v>
      </c>
      <c r="E30" s="22" t="s">
        <v>752</v>
      </c>
      <c r="F30" s="23">
        <v>15</v>
      </c>
      <c r="G30" s="23" t="s">
        <v>346</v>
      </c>
      <c r="H30" s="24">
        <v>71</v>
      </c>
      <c r="I30" s="25"/>
      <c r="J30" s="25"/>
      <c r="K30" s="25"/>
      <c r="L30" s="25"/>
      <c r="M30" s="25"/>
      <c r="N30" s="25"/>
      <c r="O30" s="25" t="s">
        <v>74</v>
      </c>
      <c r="P30" s="25"/>
      <c r="Q30" s="25"/>
      <c r="R30" s="25"/>
      <c r="S30" s="25"/>
      <c r="T30" s="26"/>
      <c r="U30" s="23">
        <f t="shared" si="3"/>
        <v>1</v>
      </c>
      <c r="V30" s="22" t="str">
        <f t="shared" si="4"/>
        <v>▲ 單一設備依賴</v>
      </c>
      <c r="W30" s="18" t="str">
        <f t="shared" si="5"/>
        <v>僅依賴1台設備，須確認故障/排修時之備援製程</v>
      </c>
      <c r="X30" s="22" t="s">
        <v>753</v>
      </c>
      <c r="Y30" s="22" t="s">
        <v>347</v>
      </c>
    </row>
    <row r="31" spans="1:27">
      <c r="A31" s="22" t="s">
        <v>476</v>
      </c>
      <c r="B31" s="22" t="s">
        <v>254</v>
      </c>
      <c r="C31" s="22" t="s">
        <v>276</v>
      </c>
      <c r="D31" s="22" t="s">
        <v>145</v>
      </c>
      <c r="E31" s="22" t="s">
        <v>147</v>
      </c>
      <c r="F31" s="23">
        <v>21</v>
      </c>
      <c r="G31" s="23" t="s">
        <v>346</v>
      </c>
      <c r="H31" s="24">
        <v>75</v>
      </c>
      <c r="I31" s="25"/>
      <c r="J31" s="25"/>
      <c r="K31" s="25"/>
      <c r="L31" s="25"/>
      <c r="M31" s="25" t="s">
        <v>74</v>
      </c>
      <c r="N31" s="25"/>
      <c r="O31" s="25"/>
      <c r="P31" s="25"/>
      <c r="Q31" s="25"/>
      <c r="R31" s="25"/>
      <c r="S31" s="25"/>
      <c r="T31" s="26"/>
      <c r="U31" s="23">
        <f t="shared" si="3"/>
        <v>1</v>
      </c>
      <c r="V31" s="22" t="str">
        <f t="shared" si="4"/>
        <v>▲ 單一設備依賴</v>
      </c>
      <c r="W31" s="18" t="str">
        <f t="shared" si="5"/>
        <v>僅依賴1台設備，須確認故障/排修時之備援製程</v>
      </c>
      <c r="X31" s="22" t="s">
        <v>753</v>
      </c>
      <c r="Y31" s="22" t="s">
        <v>347</v>
      </c>
      <c r="Z31" s="27">
        <f>IF($D31="",0,IF(COUNTIF($D$5:$D31,$D31)=1,1,0))</f>
        <v>0</v>
      </c>
      <c r="AA31" s="27" t="str">
        <f>IF(Z31=1,SUM($Z$5:$Z31),"")</f>
        <v/>
      </c>
    </row>
    <row r="32" spans="1:27" ht="14.5" customHeight="1">
      <c r="A32" s="22" t="s">
        <v>476</v>
      </c>
      <c r="B32" s="22" t="s">
        <v>254</v>
      </c>
      <c r="C32" s="22" t="s">
        <v>276</v>
      </c>
      <c r="D32" s="22" t="s">
        <v>148</v>
      </c>
      <c r="E32" s="22" t="s">
        <v>149</v>
      </c>
      <c r="F32" s="23">
        <v>50</v>
      </c>
      <c r="G32" s="23" t="s">
        <v>346</v>
      </c>
      <c r="H32" s="24">
        <v>169</v>
      </c>
      <c r="I32" s="25"/>
      <c r="J32" s="25" t="s">
        <v>74</v>
      </c>
      <c r="K32" s="25"/>
      <c r="L32" s="25"/>
      <c r="M32" s="25"/>
      <c r="N32" s="25"/>
      <c r="O32" s="25"/>
      <c r="P32" s="25"/>
      <c r="Q32" s="25"/>
      <c r="R32" s="25"/>
      <c r="S32" s="25"/>
      <c r="T32" s="26"/>
      <c r="U32" s="23">
        <f t="shared" si="3"/>
        <v>1</v>
      </c>
      <c r="V32" s="22" t="str">
        <f t="shared" si="4"/>
        <v>▲ 單一設備依賴</v>
      </c>
      <c r="W32" s="18" t="str">
        <f t="shared" si="5"/>
        <v>僅依賴1台設備，須確認故障/排修時之備援製程</v>
      </c>
      <c r="X32" s="22" t="s">
        <v>758</v>
      </c>
      <c r="Y32" s="22" t="s">
        <v>347</v>
      </c>
      <c r="Z32" s="27">
        <f>IF($D32="",0,IF(COUNTIF($D$5:$D32,$D32)=1,1,0))</f>
        <v>1</v>
      </c>
      <c r="AA32" s="27">
        <f>IF(Z32=1,SUM($Z$5:$Z32),"")</f>
        <v>5</v>
      </c>
    </row>
    <row r="33" spans="1:27">
      <c r="A33" s="22" t="s">
        <v>476</v>
      </c>
      <c r="B33" s="22" t="s">
        <v>254</v>
      </c>
      <c r="C33" s="22" t="s">
        <v>276</v>
      </c>
      <c r="D33" s="22" t="s">
        <v>148</v>
      </c>
      <c r="E33" s="22" t="s">
        <v>382</v>
      </c>
      <c r="F33" s="23">
        <v>36</v>
      </c>
      <c r="G33" s="23" t="s">
        <v>346</v>
      </c>
      <c r="H33" s="24">
        <v>79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6" t="s">
        <v>74</v>
      </c>
      <c r="U33" s="23">
        <f t="shared" si="3"/>
        <v>0</v>
      </c>
      <c r="V33" s="22" t="str">
        <f t="shared" si="4"/>
        <v>○ 免調理</v>
      </c>
      <c r="W33" s="18" t="str">
        <f t="shared" si="5"/>
        <v>免調理半成品（外購/僅切配等），不列入設備風險評估</v>
      </c>
      <c r="X33" s="22" t="s">
        <v>758</v>
      </c>
      <c r="Y33" s="22" t="s">
        <v>347</v>
      </c>
      <c r="Z33" s="27">
        <f>IF($D33="",0,IF(COUNTIF($D$5:$D33,$D33)=1,1,0))</f>
        <v>0</v>
      </c>
      <c r="AA33" s="27" t="str">
        <f>IF(Z33=1,SUM($Z$5:$Z33),"")</f>
        <v/>
      </c>
    </row>
    <row r="34" spans="1:27">
      <c r="A34" s="22" t="s">
        <v>476</v>
      </c>
      <c r="B34" s="22" t="s">
        <v>254</v>
      </c>
      <c r="C34" s="22" t="s">
        <v>276</v>
      </c>
      <c r="D34" s="22" t="s">
        <v>148</v>
      </c>
      <c r="E34" s="22" t="s">
        <v>754</v>
      </c>
      <c r="F34" s="23">
        <v>15</v>
      </c>
      <c r="G34" s="23" t="s">
        <v>346</v>
      </c>
      <c r="H34" s="24">
        <v>90</v>
      </c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6" t="s">
        <v>272</v>
      </c>
      <c r="U34" s="23">
        <f t="shared" si="3"/>
        <v>0</v>
      </c>
      <c r="V34" s="22" t="str">
        <f t="shared" si="4"/>
        <v>○ 免調理</v>
      </c>
      <c r="W34" s="18" t="str">
        <f t="shared" si="5"/>
        <v>免調理半成品（外購/僅切配等），不列入設備風險評估</v>
      </c>
      <c r="X34" s="22" t="s">
        <v>758</v>
      </c>
      <c r="Y34" s="22" t="s">
        <v>347</v>
      </c>
      <c r="Z34" s="27">
        <f>IF($D34="",0,IF(COUNTIF($D$5:$D34,$D34)=1,1,0))</f>
        <v>0</v>
      </c>
      <c r="AA34" s="27" t="str">
        <f>IF(Z34=1,SUM($Z$5:$Z34),"")</f>
        <v/>
      </c>
    </row>
    <row r="35" spans="1:27">
      <c r="A35" s="22" t="s">
        <v>476</v>
      </c>
      <c r="B35" s="22" t="s">
        <v>254</v>
      </c>
      <c r="C35" s="22" t="s">
        <v>276</v>
      </c>
      <c r="D35" s="22" t="s">
        <v>148</v>
      </c>
      <c r="E35" s="22" t="s">
        <v>755</v>
      </c>
      <c r="F35" s="23">
        <v>4</v>
      </c>
      <c r="G35" s="23" t="s">
        <v>346</v>
      </c>
      <c r="H35" s="24">
        <v>62</v>
      </c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6" t="s">
        <v>272</v>
      </c>
      <c r="U35" s="23">
        <f t="shared" si="3"/>
        <v>0</v>
      </c>
      <c r="V35" s="22" t="str">
        <f t="shared" si="4"/>
        <v>○ 免調理</v>
      </c>
      <c r="W35" s="18" t="str">
        <f t="shared" si="5"/>
        <v>免調理半成品（外購/僅切配等），不列入設備風險評估</v>
      </c>
      <c r="X35" s="22" t="s">
        <v>758</v>
      </c>
      <c r="Y35" s="22" t="s">
        <v>347</v>
      </c>
      <c r="Z35" s="27">
        <f>IF($D35="",0,IF(COUNTIF($D$5:$D35,$D35)=1,1,0))</f>
        <v>0</v>
      </c>
      <c r="AA35" s="27" t="str">
        <f>IF(Z35=1,SUM($Z$5:$Z35),"")</f>
        <v/>
      </c>
    </row>
    <row r="36" spans="1:27">
      <c r="A36" s="22" t="s">
        <v>476</v>
      </c>
      <c r="B36" s="22" t="s">
        <v>254</v>
      </c>
      <c r="C36" s="22" t="s">
        <v>276</v>
      </c>
      <c r="D36" s="22" t="s">
        <v>148</v>
      </c>
      <c r="E36" s="22" t="s">
        <v>740</v>
      </c>
      <c r="F36" s="23">
        <v>1</v>
      </c>
      <c r="G36" s="23" t="s">
        <v>75</v>
      </c>
      <c r="H36" s="24">
        <v>400</v>
      </c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6" t="s">
        <v>272</v>
      </c>
      <c r="U36" s="23">
        <f t="shared" si="3"/>
        <v>0</v>
      </c>
      <c r="V36" s="22" t="str">
        <f t="shared" si="4"/>
        <v>○ 免調理</v>
      </c>
      <c r="W36" s="18" t="str">
        <f t="shared" si="5"/>
        <v>免調理半成品（外購/僅切配等），不列入設備風險評估</v>
      </c>
      <c r="X36" s="22" t="s">
        <v>758</v>
      </c>
      <c r="Y36" s="22" t="s">
        <v>347</v>
      </c>
      <c r="Z36" s="27">
        <f>IF($D36="",0,IF(COUNTIF($D$5:$D36,$D36)=1,1,0))</f>
        <v>0</v>
      </c>
      <c r="AA36" s="27" t="str">
        <f>IF(Z36=1,SUM($Z$5:$Z36),"")</f>
        <v/>
      </c>
    </row>
    <row r="37" spans="1:27">
      <c r="A37" s="22" t="s">
        <v>476</v>
      </c>
      <c r="B37" s="22" t="s">
        <v>254</v>
      </c>
      <c r="C37" s="22" t="s">
        <v>276</v>
      </c>
      <c r="D37" s="22" t="s">
        <v>148</v>
      </c>
      <c r="E37" s="22" t="s">
        <v>756</v>
      </c>
      <c r="F37" s="23">
        <v>3</v>
      </c>
      <c r="G37" s="23" t="s">
        <v>75</v>
      </c>
      <c r="H37" s="24">
        <v>400</v>
      </c>
      <c r="I37" s="25"/>
      <c r="J37" s="25"/>
      <c r="K37" s="25" t="s">
        <v>74</v>
      </c>
      <c r="L37" s="25"/>
      <c r="M37" s="25"/>
      <c r="N37" s="25"/>
      <c r="O37" s="25"/>
      <c r="P37" s="25"/>
      <c r="Q37" s="25"/>
      <c r="R37" s="25"/>
      <c r="S37" s="25"/>
      <c r="T37" s="26"/>
      <c r="U37" s="23">
        <f t="shared" si="3"/>
        <v>1</v>
      </c>
      <c r="V37" s="22" t="str">
        <f t="shared" si="4"/>
        <v>▲ 單一設備依賴</v>
      </c>
      <c r="W37" s="18" t="str">
        <f t="shared" si="5"/>
        <v>僅依賴1台設備，須確認故障/排修時之備援製程</v>
      </c>
      <c r="X37" s="22" t="s">
        <v>758</v>
      </c>
      <c r="Y37" s="22" t="s">
        <v>347</v>
      </c>
      <c r="Z37" s="27">
        <f>IF($D37="",0,IF(COUNTIF($D$5:$D37,$D37)=1,1,0))</f>
        <v>0</v>
      </c>
      <c r="AA37" s="27" t="str">
        <f>IF(Z37=1,SUM($Z$5:$Z37),"")</f>
        <v/>
      </c>
    </row>
    <row r="38" spans="1:27">
      <c r="A38" s="22" t="s">
        <v>476</v>
      </c>
      <c r="B38" s="22" t="s">
        <v>254</v>
      </c>
      <c r="C38" s="22" t="s">
        <v>276</v>
      </c>
      <c r="D38" s="22" t="s">
        <v>148</v>
      </c>
      <c r="E38" s="22" t="s">
        <v>757</v>
      </c>
      <c r="F38" s="23">
        <v>1</v>
      </c>
      <c r="G38" s="23" t="s">
        <v>75</v>
      </c>
      <c r="H38" s="24">
        <v>100</v>
      </c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6" t="s">
        <v>74</v>
      </c>
      <c r="U38" s="23">
        <f t="shared" si="3"/>
        <v>0</v>
      </c>
      <c r="V38" s="22" t="str">
        <f t="shared" si="4"/>
        <v>○ 免調理</v>
      </c>
      <c r="W38" s="18" t="str">
        <f t="shared" si="5"/>
        <v>免調理半成品（外購/僅切配等），不列入設備風險評估</v>
      </c>
      <c r="X38" s="22" t="s">
        <v>758</v>
      </c>
      <c r="Y38" s="22" t="s">
        <v>347</v>
      </c>
      <c r="Z38" s="27">
        <f>IF($D38="",0,IF(COUNTIF($D$5:$D38,$D38)=1,1,0))</f>
        <v>0</v>
      </c>
      <c r="AA38" s="27" t="str">
        <f>IF(Z38=1,SUM($Z$5:$Z38),"")</f>
        <v/>
      </c>
    </row>
    <row r="39" spans="1:27">
      <c r="A39" s="22" t="s">
        <v>477</v>
      </c>
      <c r="B39" s="22" t="s">
        <v>254</v>
      </c>
      <c r="C39" s="22" t="s">
        <v>277</v>
      </c>
      <c r="D39" s="22" t="s">
        <v>759</v>
      </c>
      <c r="E39" s="22" t="s">
        <v>380</v>
      </c>
      <c r="F39" s="23">
        <v>1</v>
      </c>
      <c r="G39" s="23" t="s">
        <v>75</v>
      </c>
      <c r="H39" s="24">
        <v>1200</v>
      </c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6" t="s">
        <v>272</v>
      </c>
      <c r="U39" s="23">
        <f t="shared" si="3"/>
        <v>0</v>
      </c>
      <c r="V39" s="22" t="str">
        <f t="shared" si="4"/>
        <v>○ 免調理</v>
      </c>
      <c r="W39" s="18" t="str">
        <f t="shared" si="5"/>
        <v>免調理半成品（外購/僅切配等），不列入設備風險評估</v>
      </c>
      <c r="X39" s="22" t="s">
        <v>764</v>
      </c>
      <c r="Y39" s="22" t="s">
        <v>347</v>
      </c>
      <c r="Z39" s="27">
        <f>IF($D39="",0,IF(COUNTIF($D$5:$D39,$D39)=1,1,0))</f>
        <v>1</v>
      </c>
      <c r="AA39" s="27">
        <f>IF(Z39=1,SUM($Z$5:$Z39),"")</f>
        <v>6</v>
      </c>
    </row>
    <row r="40" spans="1:27">
      <c r="A40" s="22" t="s">
        <v>477</v>
      </c>
      <c r="B40" s="22" t="s">
        <v>254</v>
      </c>
      <c r="C40" s="22" t="s">
        <v>277</v>
      </c>
      <c r="D40" s="22" t="s">
        <v>208</v>
      </c>
      <c r="E40" s="22" t="s">
        <v>209</v>
      </c>
      <c r="F40" s="23">
        <v>12</v>
      </c>
      <c r="G40" s="23" t="s">
        <v>346</v>
      </c>
      <c r="H40" s="24">
        <v>71</v>
      </c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6" t="s">
        <v>272</v>
      </c>
      <c r="U40" s="23">
        <f t="shared" si="3"/>
        <v>0</v>
      </c>
      <c r="V40" s="22" t="str">
        <f t="shared" si="4"/>
        <v>○ 免調理</v>
      </c>
      <c r="W40" s="18" t="str">
        <f t="shared" si="5"/>
        <v>免調理半成品（外購/僅切配等），不列入設備風險評估</v>
      </c>
      <c r="X40" s="22" t="s">
        <v>764</v>
      </c>
      <c r="Y40" s="22" t="s">
        <v>347</v>
      </c>
      <c r="Z40" s="27">
        <f>IF($D40="",0,IF(COUNTIF($D$5:$D40,$D40)=1,1,0))</f>
        <v>0</v>
      </c>
      <c r="AA40" s="27" t="str">
        <f>IF(Z40=1,SUM($Z$5:$Z40),"")</f>
        <v/>
      </c>
    </row>
    <row r="41" spans="1:27">
      <c r="A41" s="22" t="s">
        <v>477</v>
      </c>
      <c r="B41" s="22" t="s">
        <v>254</v>
      </c>
      <c r="C41" s="22" t="s">
        <v>277</v>
      </c>
      <c r="D41" s="22" t="s">
        <v>208</v>
      </c>
      <c r="E41" s="22" t="s">
        <v>760</v>
      </c>
      <c r="F41" s="23">
        <v>7</v>
      </c>
      <c r="G41" s="23" t="s">
        <v>346</v>
      </c>
      <c r="H41" s="24">
        <v>41</v>
      </c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6" t="s">
        <v>322</v>
      </c>
      <c r="U41" s="23">
        <f t="shared" si="3"/>
        <v>0</v>
      </c>
      <c r="V41" s="22" t="str">
        <f t="shared" si="4"/>
        <v>○ 免調理</v>
      </c>
      <c r="W41" s="18" t="str">
        <f t="shared" si="5"/>
        <v>免調理半成品（外購/僅切配等），不列入設備風險評估</v>
      </c>
      <c r="X41" s="22" t="s">
        <v>764</v>
      </c>
      <c r="Y41" s="22" t="s">
        <v>347</v>
      </c>
      <c r="Z41" s="27">
        <f>IF($D41="",0,IF(COUNTIF($D$5:$D41,$D41)=1,1,0))</f>
        <v>0</v>
      </c>
      <c r="AA41" s="27" t="str">
        <f>IF(Z41=1,SUM($Z$5:$Z41),"")</f>
        <v/>
      </c>
    </row>
    <row r="42" spans="1:27">
      <c r="A42" s="22" t="s">
        <v>477</v>
      </c>
      <c r="B42" s="22" t="s">
        <v>254</v>
      </c>
      <c r="C42" s="22" t="s">
        <v>277</v>
      </c>
      <c r="D42" s="22" t="s">
        <v>208</v>
      </c>
      <c r="E42" s="22" t="s">
        <v>761</v>
      </c>
      <c r="F42" s="23">
        <v>10</v>
      </c>
      <c r="G42" s="23" t="s">
        <v>346</v>
      </c>
      <c r="H42" s="24">
        <v>66</v>
      </c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6" t="s">
        <v>272</v>
      </c>
      <c r="U42" s="23">
        <f t="shared" si="3"/>
        <v>0</v>
      </c>
      <c r="V42" s="22" t="str">
        <f t="shared" si="4"/>
        <v>○ 免調理</v>
      </c>
      <c r="W42" s="18" t="str">
        <f t="shared" si="5"/>
        <v>免調理半成品（外購/僅切配等），不列入設備風險評估</v>
      </c>
      <c r="X42" s="22" t="s">
        <v>764</v>
      </c>
      <c r="Y42" s="22" t="s">
        <v>347</v>
      </c>
      <c r="Z42" s="27">
        <f>IF($D42="",0,IF(COUNTIF($D$5:$D42,$D42)=1,1,0))</f>
        <v>0</v>
      </c>
      <c r="AA42" s="27" t="str">
        <f>IF(Z42=1,SUM($Z$5:$Z42),"")</f>
        <v/>
      </c>
    </row>
    <row r="43" spans="1:27">
      <c r="A43" s="22" t="s">
        <v>477</v>
      </c>
      <c r="B43" s="22" t="s">
        <v>254</v>
      </c>
      <c r="C43" s="22" t="s">
        <v>277</v>
      </c>
      <c r="D43" s="22" t="s">
        <v>208</v>
      </c>
      <c r="E43" s="22" t="s">
        <v>730</v>
      </c>
      <c r="F43" s="23">
        <v>10</v>
      </c>
      <c r="G43" s="23" t="s">
        <v>346</v>
      </c>
      <c r="H43" s="24">
        <v>60</v>
      </c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6" t="s">
        <v>272</v>
      </c>
      <c r="U43" s="23">
        <f t="shared" si="3"/>
        <v>0</v>
      </c>
      <c r="V43" s="22" t="str">
        <f t="shared" si="4"/>
        <v>○ 免調理</v>
      </c>
      <c r="W43" s="18" t="str">
        <f t="shared" si="5"/>
        <v>免調理半成品（外購/僅切配等），不列入設備風險評估</v>
      </c>
      <c r="X43" s="22" t="s">
        <v>764</v>
      </c>
      <c r="Y43" s="22" t="s">
        <v>347</v>
      </c>
      <c r="Z43" s="27">
        <f>IF($D43="",0,IF(COUNTIF($D$5:$D43,$D43)=1,1,0))</f>
        <v>0</v>
      </c>
      <c r="AA43" s="27" t="str">
        <f>IF(Z43=1,SUM($Z$5:$Z43),"")</f>
        <v/>
      </c>
    </row>
    <row r="44" spans="1:27">
      <c r="A44" s="22" t="s">
        <v>477</v>
      </c>
      <c r="B44" s="22" t="s">
        <v>254</v>
      </c>
      <c r="C44" s="22" t="s">
        <v>320</v>
      </c>
      <c r="D44" s="22" t="s">
        <v>208</v>
      </c>
      <c r="E44" s="22" t="s">
        <v>762</v>
      </c>
      <c r="F44" s="23">
        <v>10</v>
      </c>
      <c r="G44" s="23" t="s">
        <v>346</v>
      </c>
      <c r="H44" s="24">
        <v>61</v>
      </c>
      <c r="I44" s="25"/>
      <c r="J44" s="25"/>
      <c r="K44" s="25"/>
      <c r="L44" s="25"/>
      <c r="M44" s="25"/>
      <c r="N44" s="25"/>
      <c r="O44" s="25" t="s">
        <v>74</v>
      </c>
      <c r="P44" s="25"/>
      <c r="Q44" s="25"/>
      <c r="R44" s="25"/>
      <c r="S44" s="25"/>
      <c r="T44" s="26"/>
      <c r="U44" s="23">
        <f t="shared" si="3"/>
        <v>1</v>
      </c>
      <c r="V44" s="22" t="str">
        <f t="shared" si="4"/>
        <v>▲ 單一設備依賴</v>
      </c>
      <c r="W44" s="18" t="str">
        <f t="shared" si="5"/>
        <v>僅依賴1台設備，須確認故障/排修時之備援製程</v>
      </c>
      <c r="X44" s="22" t="s">
        <v>764</v>
      </c>
      <c r="Y44" s="22" t="s">
        <v>347</v>
      </c>
      <c r="Z44" s="27">
        <f>IF($D44="",0,IF(COUNTIF($D$5:$D44,$D44)=1,1,0))</f>
        <v>0</v>
      </c>
      <c r="AA44" s="27" t="str">
        <f>IF(Z44=1,SUM($Z$5:$Z44),"")</f>
        <v/>
      </c>
    </row>
    <row r="45" spans="1:27">
      <c r="A45" s="22" t="s">
        <v>477</v>
      </c>
      <c r="B45" s="22" t="s">
        <v>254</v>
      </c>
      <c r="C45" s="22" t="s">
        <v>321</v>
      </c>
      <c r="D45" s="22" t="s">
        <v>208</v>
      </c>
      <c r="E45" s="22" t="s">
        <v>211</v>
      </c>
      <c r="F45" s="23">
        <v>35</v>
      </c>
      <c r="G45" s="23" t="s">
        <v>346</v>
      </c>
      <c r="H45" s="24">
        <v>67</v>
      </c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6" t="s">
        <v>74</v>
      </c>
      <c r="U45" s="23">
        <f t="shared" si="3"/>
        <v>0</v>
      </c>
      <c r="V45" s="22" t="str">
        <f t="shared" si="4"/>
        <v>○ 免調理</v>
      </c>
      <c r="W45" s="18" t="str">
        <f t="shared" si="5"/>
        <v>免調理半成品（外購/僅切配等），不列入設備風險評估</v>
      </c>
      <c r="X45" s="22" t="s">
        <v>764</v>
      </c>
      <c r="Y45" s="22" t="s">
        <v>347</v>
      </c>
      <c r="Z45" s="27">
        <f>IF($D45="",0,IF(COUNTIF($D$5:$D45,$D45)=1,1,0))</f>
        <v>0</v>
      </c>
      <c r="AA45" s="27" t="str">
        <f>IF(Z45=1,SUM($Z$5:$Z45),"")</f>
        <v/>
      </c>
    </row>
    <row r="46" spans="1:27">
      <c r="A46" s="22" t="s">
        <v>477</v>
      </c>
      <c r="B46" s="22" t="s">
        <v>254</v>
      </c>
      <c r="C46" s="22" t="s">
        <v>277</v>
      </c>
      <c r="D46" s="22" t="s">
        <v>208</v>
      </c>
      <c r="E46" s="22" t="s">
        <v>763</v>
      </c>
      <c r="F46" s="23">
        <v>30</v>
      </c>
      <c r="G46" s="23" t="s">
        <v>346</v>
      </c>
      <c r="H46" s="24">
        <v>100</v>
      </c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6" t="s">
        <v>74</v>
      </c>
      <c r="U46" s="23">
        <f t="shared" si="3"/>
        <v>0</v>
      </c>
      <c r="V46" s="22" t="str">
        <f t="shared" si="4"/>
        <v>○ 免調理</v>
      </c>
      <c r="W46" s="18" t="str">
        <f t="shared" si="5"/>
        <v>免調理半成品（外購/僅切配等），不列入設備風險評估</v>
      </c>
      <c r="X46" s="22" t="s">
        <v>764</v>
      </c>
      <c r="Y46" s="22" t="s">
        <v>347</v>
      </c>
      <c r="Z46" s="27">
        <f>IF($D46="",0,IF(COUNTIF($D$5:$D46,$D46)=1,1,0))</f>
        <v>0</v>
      </c>
      <c r="AA46" s="27" t="str">
        <f>IF(Z46=1,SUM($Z$5:$Z46),"")</f>
        <v/>
      </c>
    </row>
    <row r="47" spans="1:27" s="27" customFormat="1">
      <c r="A47" s="22" t="s">
        <v>476</v>
      </c>
      <c r="B47" s="22" t="s">
        <v>254</v>
      </c>
      <c r="C47" s="22" t="s">
        <v>259</v>
      </c>
      <c r="D47" s="22" t="s">
        <v>125</v>
      </c>
      <c r="E47" s="22" t="s">
        <v>388</v>
      </c>
      <c r="F47" s="23">
        <v>1</v>
      </c>
      <c r="G47" s="23" t="s">
        <v>75</v>
      </c>
      <c r="H47" s="24">
        <v>2000</v>
      </c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6" t="s">
        <v>233</v>
      </c>
      <c r="U47" s="23">
        <f t="shared" ref="U47:U55" si="6">IF($E47="","",COUNTIF($I47:$S47,"V"))</f>
        <v>0</v>
      </c>
      <c r="V47" s="22" t="str">
        <f t="shared" ref="V47:V55" si="7">IF($E47="","",IF(AND($T47="V",$U47&gt;0),"⚠ 勾選矛盾",IF($T47="V","○ 免調理",IF($U47=0,"⚠ 資料缺漏",IF($U47=1,"▲ 單一設備依賴","OK")))))</f>
        <v>○ 免調理</v>
      </c>
      <c r="W47" s="18" t="str">
        <f t="shared" ref="W47:W55" si="8">IF($E47="","",IF(AND($T47="V",$U47&gt;0),"「無使用調理設備」不可與設備欄同時勾選，請擇一修正",IF($T47="V","免調理半成品（外購/僅切配等），不列入設備風險評估",IF($U47=0,"未勾選任何設備，請補填或勾選「無使用調理設備」",IF($U47=1,"僅依賴1台設備，須確認故障/排修時之備援製程","無異常")))))</f>
        <v>免調理半成品（外購/僅切配等），不列入設備風險評估</v>
      </c>
      <c r="X47" s="22" t="s">
        <v>262</v>
      </c>
      <c r="Y47" s="22" t="s">
        <v>347</v>
      </c>
      <c r="Z47" s="27">
        <f>IF($D47="",0,IF(COUNTIF($D$5:$D47,$D47)=1,1,0))</f>
        <v>1</v>
      </c>
      <c r="AA47" s="27">
        <f>IF(Z47=1,SUM($Z$5:$Z47),"")</f>
        <v>7</v>
      </c>
    </row>
    <row r="48" spans="1:27" s="27" customFormat="1">
      <c r="A48" s="22" t="s">
        <v>476</v>
      </c>
      <c r="B48" s="22" t="s">
        <v>254</v>
      </c>
      <c r="C48" s="22" t="s">
        <v>259</v>
      </c>
      <c r="D48" s="22" t="s">
        <v>125</v>
      </c>
      <c r="E48" s="22" t="s">
        <v>126</v>
      </c>
      <c r="F48" s="23">
        <v>1</v>
      </c>
      <c r="G48" s="23" t="s">
        <v>75</v>
      </c>
      <c r="H48" s="24">
        <v>100</v>
      </c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6" t="s">
        <v>233</v>
      </c>
      <c r="U48" s="23">
        <f t="shared" si="6"/>
        <v>0</v>
      </c>
      <c r="V48" s="22" t="str">
        <f t="shared" si="7"/>
        <v>○ 免調理</v>
      </c>
      <c r="W48" s="18" t="str">
        <f t="shared" si="8"/>
        <v>免調理半成品（外購/僅切配等），不列入設備風險評估</v>
      </c>
      <c r="X48" s="22" t="s">
        <v>262</v>
      </c>
      <c r="Y48" s="22" t="s">
        <v>347</v>
      </c>
      <c r="Z48" s="27">
        <f>IF($D48="",0,IF(COUNTIF($D$5:$D48,$D48)=1,1,0))</f>
        <v>0</v>
      </c>
      <c r="AA48" s="27" t="str">
        <f>IF(Z48=1,SUM($Z$5:$Z48),"")</f>
        <v/>
      </c>
    </row>
    <row r="49" spans="1:27" s="27" customFormat="1">
      <c r="A49" s="22" t="s">
        <v>476</v>
      </c>
      <c r="B49" s="22" t="s">
        <v>254</v>
      </c>
      <c r="C49" s="22" t="s">
        <v>259</v>
      </c>
      <c r="D49" s="22" t="s">
        <v>125</v>
      </c>
      <c r="E49" s="22" t="s">
        <v>127</v>
      </c>
      <c r="F49" s="23">
        <v>1</v>
      </c>
      <c r="G49" s="23" t="s">
        <v>75</v>
      </c>
      <c r="H49" s="24">
        <v>100</v>
      </c>
      <c r="I49" s="25"/>
      <c r="J49" s="25"/>
      <c r="K49" s="25" t="s">
        <v>233</v>
      </c>
      <c r="L49" s="25"/>
      <c r="M49" s="25"/>
      <c r="N49" s="25"/>
      <c r="O49" s="25"/>
      <c r="P49" s="25"/>
      <c r="Q49" s="25"/>
      <c r="R49" s="25"/>
      <c r="S49" s="25"/>
      <c r="T49" s="26"/>
      <c r="U49" s="23">
        <f t="shared" si="6"/>
        <v>1</v>
      </c>
      <c r="V49" s="22" t="str">
        <f t="shared" si="7"/>
        <v>▲ 單一設備依賴</v>
      </c>
      <c r="W49" s="18" t="str">
        <f t="shared" si="8"/>
        <v>僅依賴1台設備，須確認故障/排修時之備援製程</v>
      </c>
      <c r="X49" s="22" t="s">
        <v>262</v>
      </c>
      <c r="Y49" s="22" t="s">
        <v>347</v>
      </c>
      <c r="Z49" s="27">
        <f>IF($D49="",0,IF(COUNTIF($D$5:$D49,$D49)=1,1,0))</f>
        <v>0</v>
      </c>
      <c r="AA49" s="27" t="str">
        <f>IF(Z49=1,SUM($Z$5:$Z49),"")</f>
        <v/>
      </c>
    </row>
    <row r="50" spans="1:27" s="27" customFormat="1">
      <c r="A50" s="22" t="s">
        <v>476</v>
      </c>
      <c r="B50" s="22" t="s">
        <v>254</v>
      </c>
      <c r="C50" s="22" t="s">
        <v>259</v>
      </c>
      <c r="D50" s="22" t="s">
        <v>125</v>
      </c>
      <c r="E50" s="22" t="s">
        <v>128</v>
      </c>
      <c r="F50" s="23">
        <v>8</v>
      </c>
      <c r="G50" s="23" t="s">
        <v>346</v>
      </c>
      <c r="H50" s="24">
        <v>95</v>
      </c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6" t="s">
        <v>233</v>
      </c>
      <c r="U50" s="23">
        <f t="shared" si="6"/>
        <v>0</v>
      </c>
      <c r="V50" s="22" t="str">
        <f t="shared" si="7"/>
        <v>○ 免調理</v>
      </c>
      <c r="W50" s="18" t="str">
        <f t="shared" si="8"/>
        <v>免調理半成品（外購/僅切配等），不列入設備風險評估</v>
      </c>
      <c r="X50" s="22" t="s">
        <v>262</v>
      </c>
      <c r="Y50" s="22" t="s">
        <v>347</v>
      </c>
      <c r="Z50" s="27">
        <f>IF($D50="",0,IF(COUNTIF($D$5:$D50,$D50)=1,1,0))</f>
        <v>0</v>
      </c>
      <c r="AA50" s="27" t="str">
        <f>IF(Z50=1,SUM($Z$5:$Z50),"")</f>
        <v/>
      </c>
    </row>
    <row r="51" spans="1:27">
      <c r="A51" s="22" t="s">
        <v>476</v>
      </c>
      <c r="B51" s="22" t="s">
        <v>254</v>
      </c>
      <c r="C51" s="22" t="s">
        <v>442</v>
      </c>
      <c r="D51" s="22" t="s">
        <v>443</v>
      </c>
      <c r="E51" s="22" t="s">
        <v>131</v>
      </c>
      <c r="F51" s="23">
        <v>1</v>
      </c>
      <c r="G51" s="23" t="s">
        <v>75</v>
      </c>
      <c r="H51" s="24">
        <v>2000</v>
      </c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6" t="s">
        <v>74</v>
      </c>
      <c r="U51" s="23">
        <f t="shared" si="6"/>
        <v>0</v>
      </c>
      <c r="V51" s="22" t="str">
        <f t="shared" si="7"/>
        <v>○ 免調理</v>
      </c>
      <c r="W51" s="18" t="str">
        <f t="shared" si="8"/>
        <v>免調理半成品（外購/僅切配等），不列入設備風險評估</v>
      </c>
      <c r="X51" s="22" t="s">
        <v>444</v>
      </c>
      <c r="Y51" s="22" t="s">
        <v>445</v>
      </c>
      <c r="Z51" s="27">
        <f>IF($D51="",0,IF(COUNTIF($D$5:$D51,$D51)=1,1,0))</f>
        <v>1</v>
      </c>
      <c r="AA51" s="27">
        <f>IF(Z51=1,SUM($Z$5:$Z51),"")</f>
        <v>8</v>
      </c>
    </row>
    <row r="52" spans="1:27">
      <c r="A52" s="22" t="s">
        <v>476</v>
      </c>
      <c r="B52" s="22" t="s">
        <v>254</v>
      </c>
      <c r="C52" s="22" t="s">
        <v>442</v>
      </c>
      <c r="D52" s="22" t="s">
        <v>443</v>
      </c>
      <c r="E52" s="22" t="s">
        <v>132</v>
      </c>
      <c r="F52" s="23">
        <v>1</v>
      </c>
      <c r="G52" s="23" t="s">
        <v>75</v>
      </c>
      <c r="H52" s="24">
        <v>100</v>
      </c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6" t="s">
        <v>74</v>
      </c>
      <c r="U52" s="23">
        <f t="shared" si="6"/>
        <v>0</v>
      </c>
      <c r="V52" s="22" t="str">
        <f t="shared" si="7"/>
        <v>○ 免調理</v>
      </c>
      <c r="W52" s="18" t="str">
        <f t="shared" si="8"/>
        <v>免調理半成品（外購/僅切配等），不列入設備風險評估</v>
      </c>
      <c r="X52" s="22" t="s">
        <v>444</v>
      </c>
      <c r="Y52" s="22" t="s">
        <v>445</v>
      </c>
      <c r="Z52" s="27">
        <f>IF($D52="",0,IF(COUNTIF($D$5:$D52,$D52)=1,1,0))</f>
        <v>0</v>
      </c>
      <c r="AA52" s="27" t="str">
        <f>IF(Z52=1,SUM($Z$5:$Z52),"")</f>
        <v/>
      </c>
    </row>
    <row r="53" spans="1:27">
      <c r="A53" s="22" t="s">
        <v>476</v>
      </c>
      <c r="B53" s="22" t="s">
        <v>254</v>
      </c>
      <c r="C53" s="22" t="s">
        <v>442</v>
      </c>
      <c r="D53" s="22" t="s">
        <v>443</v>
      </c>
      <c r="E53" s="22" t="s">
        <v>133</v>
      </c>
      <c r="F53" s="23">
        <v>6</v>
      </c>
      <c r="G53" s="23" t="s">
        <v>346</v>
      </c>
      <c r="H53" s="24">
        <v>100</v>
      </c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6" t="s">
        <v>74</v>
      </c>
      <c r="U53" s="23">
        <f t="shared" si="6"/>
        <v>0</v>
      </c>
      <c r="V53" s="22" t="str">
        <f t="shared" si="7"/>
        <v>○ 免調理</v>
      </c>
      <c r="W53" s="18" t="str">
        <f t="shared" si="8"/>
        <v>免調理半成品（外購/僅切配等），不列入設備風險評估</v>
      </c>
      <c r="X53" s="22" t="s">
        <v>444</v>
      </c>
      <c r="Y53" s="22" t="s">
        <v>445</v>
      </c>
      <c r="Z53" s="27">
        <f>IF($D53="",0,IF(COUNTIF($D$5:$D53,$D53)=1,1,0))</f>
        <v>0</v>
      </c>
      <c r="AA53" s="27" t="str">
        <f>IF(Z53=1,SUM($Z$5:$Z53),"")</f>
        <v/>
      </c>
    </row>
    <row r="54" spans="1:27">
      <c r="A54" s="22" t="s">
        <v>476</v>
      </c>
      <c r="B54" s="22" t="s">
        <v>254</v>
      </c>
      <c r="C54" s="22" t="s">
        <v>442</v>
      </c>
      <c r="D54" s="22" t="s">
        <v>443</v>
      </c>
      <c r="E54" s="22" t="s">
        <v>134</v>
      </c>
      <c r="F54" s="23">
        <v>2</v>
      </c>
      <c r="G54" s="23" t="s">
        <v>75</v>
      </c>
      <c r="H54" s="24">
        <v>100</v>
      </c>
      <c r="I54" s="25"/>
      <c r="J54" s="25"/>
      <c r="K54" s="25" t="s">
        <v>74</v>
      </c>
      <c r="L54" s="25"/>
      <c r="M54" s="25"/>
      <c r="N54" s="25"/>
      <c r="O54" s="25"/>
      <c r="P54" s="25"/>
      <c r="Q54" s="25"/>
      <c r="R54" s="25"/>
      <c r="S54" s="25"/>
      <c r="T54" s="26"/>
      <c r="U54" s="23">
        <f t="shared" si="6"/>
        <v>1</v>
      </c>
      <c r="V54" s="22" t="str">
        <f t="shared" si="7"/>
        <v>▲ 單一設備依賴</v>
      </c>
      <c r="W54" s="18" t="str">
        <f t="shared" si="8"/>
        <v>僅依賴1台設備，須確認故障/排修時之備援製程</v>
      </c>
      <c r="X54" s="22" t="s">
        <v>444</v>
      </c>
      <c r="Y54" s="22" t="s">
        <v>445</v>
      </c>
      <c r="Z54" s="27">
        <f>IF($D54="",0,IF(COUNTIF($D$5:$D54,$D54)=1,1,0))</f>
        <v>0</v>
      </c>
      <c r="AA54" s="27" t="str">
        <f>IF(Z54=1,SUM($Z$5:$Z54),"")</f>
        <v/>
      </c>
    </row>
    <row r="55" spans="1:27">
      <c r="A55" s="22" t="s">
        <v>476</v>
      </c>
      <c r="B55" s="22" t="s">
        <v>254</v>
      </c>
      <c r="C55" s="22" t="s">
        <v>442</v>
      </c>
      <c r="D55" s="22" t="s">
        <v>443</v>
      </c>
      <c r="E55" s="22" t="s">
        <v>135</v>
      </c>
      <c r="F55" s="23">
        <v>8</v>
      </c>
      <c r="G55" s="23" t="s">
        <v>346</v>
      </c>
      <c r="H55" s="24">
        <v>95</v>
      </c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6" t="s">
        <v>74</v>
      </c>
      <c r="U55" s="23">
        <f t="shared" si="6"/>
        <v>0</v>
      </c>
      <c r="V55" s="22" t="str">
        <f t="shared" si="7"/>
        <v>○ 免調理</v>
      </c>
      <c r="W55" s="18" t="str">
        <f t="shared" si="8"/>
        <v>免調理半成品（外購/僅切配等），不列入設備風險評估</v>
      </c>
      <c r="X55" s="22" t="s">
        <v>444</v>
      </c>
      <c r="Y55" s="22" t="s">
        <v>445</v>
      </c>
      <c r="Z55" s="27">
        <f>IF($D55="",0,IF(COUNTIF($D$5:$D55,$D55)=1,1,0))</f>
        <v>0</v>
      </c>
      <c r="AA55" s="27" t="str">
        <f>IF(Z55=1,SUM($Z$5:$Z55),"")</f>
        <v/>
      </c>
    </row>
    <row r="56" spans="1:27" s="27" customFormat="1">
      <c r="A56" s="22" t="s">
        <v>476</v>
      </c>
      <c r="B56" s="22" t="s">
        <v>254</v>
      </c>
      <c r="C56" s="22" t="s">
        <v>259</v>
      </c>
      <c r="D56" s="22" t="s">
        <v>150</v>
      </c>
      <c r="E56" s="22" t="s">
        <v>151</v>
      </c>
      <c r="F56" s="23">
        <v>1</v>
      </c>
      <c r="G56" s="23" t="s">
        <v>75</v>
      </c>
      <c r="H56" s="24">
        <v>100</v>
      </c>
      <c r="I56" s="25"/>
      <c r="J56" s="25"/>
      <c r="K56" s="25" t="s">
        <v>233</v>
      </c>
      <c r="L56" s="25"/>
      <c r="M56" s="25"/>
      <c r="N56" s="25"/>
      <c r="O56" s="25"/>
      <c r="P56" s="25"/>
      <c r="Q56" s="25"/>
      <c r="R56" s="25"/>
      <c r="S56" s="25"/>
      <c r="T56" s="26"/>
      <c r="U56" s="23">
        <f t="shared" ref="U56:U65" si="9">IF($E56="","",COUNTIF($I56:$S56,"V"))</f>
        <v>1</v>
      </c>
      <c r="V56" s="22" t="str">
        <f t="shared" ref="V56:V65" si="10">IF($E56="","",IF(AND($T56="V",$U56&gt;0),"⚠ 勾選矛盾",IF($T56="V","○ 免調理",IF($U56=0,"⚠ 資料缺漏",IF($U56=1,"▲ 單一設備依賴","OK")))))</f>
        <v>▲ 單一設備依賴</v>
      </c>
      <c r="W56" s="18" t="str">
        <f t="shared" ref="W56:W65" si="11">IF($E56="","",IF(AND($T56="V",$U56&gt;0),"「無使用調理設備」不可與設備欄同時勾選，請擇一修正",IF($T56="V","免調理半成品（外購/僅切配等），不列入設備風險評估",IF($U56=0,"未勾選任何設備，請補填或勾選「無使用調理設備」",IF($U56=1,"僅依賴1台設備，須確認故障/排修時之備援製程","無異常")))))</f>
        <v>僅依賴1台設備，須確認故障/排修時之備援製程</v>
      </c>
      <c r="X56" s="22" t="s">
        <v>282</v>
      </c>
      <c r="Y56" s="22" t="s">
        <v>347</v>
      </c>
      <c r="Z56" s="27">
        <f>IF($D56="",0,IF(COUNTIF($D$5:$D56,$D56)=1,1,0))</f>
        <v>1</v>
      </c>
      <c r="AA56" s="27">
        <f>IF(Z56=1,SUM($Z$5:$Z56),"")</f>
        <v>9</v>
      </c>
    </row>
    <row r="57" spans="1:27" s="27" customFormat="1">
      <c r="A57" s="22" t="s">
        <v>476</v>
      </c>
      <c r="B57" s="22" t="s">
        <v>254</v>
      </c>
      <c r="C57" s="22" t="s">
        <v>259</v>
      </c>
      <c r="D57" s="22" t="s">
        <v>150</v>
      </c>
      <c r="E57" s="22" t="s">
        <v>446</v>
      </c>
      <c r="F57" s="23">
        <v>1</v>
      </c>
      <c r="G57" s="23" t="s">
        <v>75</v>
      </c>
      <c r="H57" s="24">
        <v>2000</v>
      </c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6" t="s">
        <v>233</v>
      </c>
      <c r="U57" s="23">
        <f t="shared" si="9"/>
        <v>0</v>
      </c>
      <c r="V57" s="22" t="str">
        <f t="shared" si="10"/>
        <v>○ 免調理</v>
      </c>
      <c r="W57" s="18" t="str">
        <f t="shared" si="11"/>
        <v>免調理半成品（外購/僅切配等），不列入設備風險評估</v>
      </c>
      <c r="X57" s="22" t="s">
        <v>282</v>
      </c>
      <c r="Y57" s="22" t="s">
        <v>347</v>
      </c>
      <c r="Z57" s="27">
        <f>IF($D57="",0,IF(COUNTIF($D$5:$D57,$D57)=1,1,0))</f>
        <v>0</v>
      </c>
      <c r="AA57" s="27" t="str">
        <f>IF(Z57=1,SUM($Z$5:$Z57),"")</f>
        <v/>
      </c>
    </row>
    <row r="58" spans="1:27" s="27" customFormat="1">
      <c r="A58" s="22" t="s">
        <v>476</v>
      </c>
      <c r="B58" s="22" t="s">
        <v>254</v>
      </c>
      <c r="C58" s="22" t="s">
        <v>259</v>
      </c>
      <c r="D58" s="22" t="s">
        <v>150</v>
      </c>
      <c r="E58" s="22" t="s">
        <v>132</v>
      </c>
      <c r="F58" s="23">
        <v>1</v>
      </c>
      <c r="G58" s="23" t="s">
        <v>75</v>
      </c>
      <c r="H58" s="24">
        <v>100</v>
      </c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6" t="s">
        <v>233</v>
      </c>
      <c r="U58" s="23">
        <f t="shared" si="9"/>
        <v>0</v>
      </c>
      <c r="V58" s="22" t="str">
        <f t="shared" si="10"/>
        <v>○ 免調理</v>
      </c>
      <c r="W58" s="18" t="str">
        <f t="shared" si="11"/>
        <v>免調理半成品（外購/僅切配等），不列入設備風險評估</v>
      </c>
      <c r="X58" s="22" t="s">
        <v>282</v>
      </c>
      <c r="Y58" s="22" t="s">
        <v>347</v>
      </c>
      <c r="Z58" s="27">
        <f>IF($D58="",0,IF(COUNTIF($D$5:$D58,$D58)=1,1,0))</f>
        <v>0</v>
      </c>
      <c r="AA58" s="27" t="str">
        <f>IF(Z58=1,SUM($Z$5:$Z58),"")</f>
        <v/>
      </c>
    </row>
    <row r="59" spans="1:27" s="27" customFormat="1">
      <c r="A59" s="22" t="s">
        <v>476</v>
      </c>
      <c r="B59" s="22" t="s">
        <v>254</v>
      </c>
      <c r="C59" s="22" t="s">
        <v>259</v>
      </c>
      <c r="D59" s="22" t="s">
        <v>152</v>
      </c>
      <c r="E59" s="22" t="s">
        <v>388</v>
      </c>
      <c r="F59" s="23">
        <v>1</v>
      </c>
      <c r="G59" s="23" t="s">
        <v>75</v>
      </c>
      <c r="H59" s="24">
        <v>2000</v>
      </c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6" t="s">
        <v>233</v>
      </c>
      <c r="U59" s="23">
        <f t="shared" si="9"/>
        <v>0</v>
      </c>
      <c r="V59" s="22" t="str">
        <f t="shared" si="10"/>
        <v>○ 免調理</v>
      </c>
      <c r="W59" s="18" t="str">
        <f t="shared" si="11"/>
        <v>免調理半成品（外購/僅切配等），不列入設備風險評估</v>
      </c>
      <c r="X59" s="22" t="s">
        <v>283</v>
      </c>
      <c r="Y59" s="22" t="s">
        <v>347</v>
      </c>
      <c r="Z59" s="27">
        <f>IF($D59="",0,IF(COUNTIF($D$5:$D59,$D59)=1,1,0))</f>
        <v>1</v>
      </c>
      <c r="AA59" s="27">
        <f>IF(Z59=1,SUM($Z$5:$Z59),"")</f>
        <v>10</v>
      </c>
    </row>
    <row r="60" spans="1:27" s="27" customFormat="1">
      <c r="A60" s="22" t="s">
        <v>476</v>
      </c>
      <c r="B60" s="22" t="s">
        <v>254</v>
      </c>
      <c r="C60" s="22" t="s">
        <v>259</v>
      </c>
      <c r="D60" s="22" t="s">
        <v>152</v>
      </c>
      <c r="E60" s="22" t="s">
        <v>132</v>
      </c>
      <c r="F60" s="23">
        <v>1</v>
      </c>
      <c r="G60" s="23" t="s">
        <v>75</v>
      </c>
      <c r="H60" s="24">
        <v>100</v>
      </c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6" t="s">
        <v>233</v>
      </c>
      <c r="U60" s="23">
        <f t="shared" si="9"/>
        <v>0</v>
      </c>
      <c r="V60" s="22" t="str">
        <f t="shared" si="10"/>
        <v>○ 免調理</v>
      </c>
      <c r="W60" s="18" t="str">
        <f t="shared" si="11"/>
        <v>免調理半成品（外購/僅切配等），不列入設備風險評估</v>
      </c>
      <c r="X60" s="22" t="s">
        <v>283</v>
      </c>
      <c r="Y60" s="22" t="s">
        <v>347</v>
      </c>
      <c r="Z60" s="27">
        <f>IF($D60="",0,IF(COUNTIF($D$5:$D60,$D60)=1,1,0))</f>
        <v>0</v>
      </c>
      <c r="AA60" s="27" t="str">
        <f>IF(Z60=1,SUM($Z$5:$Z60),"")</f>
        <v/>
      </c>
    </row>
    <row r="61" spans="1:27" s="27" customFormat="1">
      <c r="A61" s="22" t="s">
        <v>476</v>
      </c>
      <c r="B61" s="22" t="s">
        <v>254</v>
      </c>
      <c r="C61" s="22" t="s">
        <v>259</v>
      </c>
      <c r="D61" s="22" t="s">
        <v>152</v>
      </c>
      <c r="E61" s="22" t="s">
        <v>151</v>
      </c>
      <c r="F61" s="23">
        <v>1</v>
      </c>
      <c r="G61" s="23" t="s">
        <v>75</v>
      </c>
      <c r="H61" s="24">
        <v>100</v>
      </c>
      <c r="I61" s="25"/>
      <c r="J61" s="25"/>
      <c r="K61" s="25" t="s">
        <v>233</v>
      </c>
      <c r="L61" s="25"/>
      <c r="M61" s="25"/>
      <c r="N61" s="25"/>
      <c r="O61" s="25"/>
      <c r="P61" s="25"/>
      <c r="Q61" s="25"/>
      <c r="R61" s="25"/>
      <c r="S61" s="25"/>
      <c r="T61" s="26"/>
      <c r="U61" s="23">
        <f t="shared" si="9"/>
        <v>1</v>
      </c>
      <c r="V61" s="22" t="str">
        <f t="shared" si="10"/>
        <v>▲ 單一設備依賴</v>
      </c>
      <c r="W61" s="18" t="str">
        <f t="shared" si="11"/>
        <v>僅依賴1台設備，須確認故障/排修時之備援製程</v>
      </c>
      <c r="X61" s="22" t="s">
        <v>283</v>
      </c>
      <c r="Y61" s="22" t="s">
        <v>347</v>
      </c>
      <c r="Z61" s="27">
        <f>IF($D61="",0,IF(COUNTIF($D$5:$D61,$D61)=1,1,0))</f>
        <v>0</v>
      </c>
      <c r="AA61" s="27" t="str">
        <f>IF(Z61=1,SUM($Z$5:$Z61),"")</f>
        <v/>
      </c>
    </row>
    <row r="62" spans="1:27" s="27" customFormat="1">
      <c r="A62" s="22" t="s">
        <v>476</v>
      </c>
      <c r="B62" s="22" t="s">
        <v>254</v>
      </c>
      <c r="C62" s="22" t="s">
        <v>259</v>
      </c>
      <c r="D62" s="22" t="s">
        <v>152</v>
      </c>
      <c r="E62" s="22" t="s">
        <v>153</v>
      </c>
      <c r="F62" s="23">
        <v>1</v>
      </c>
      <c r="G62" s="23" t="s">
        <v>75</v>
      </c>
      <c r="H62" s="24">
        <v>100</v>
      </c>
      <c r="I62" s="25"/>
      <c r="J62" s="25"/>
      <c r="K62" s="25" t="s">
        <v>233</v>
      </c>
      <c r="L62" s="25"/>
      <c r="M62" s="25"/>
      <c r="N62" s="25"/>
      <c r="O62" s="25"/>
      <c r="P62" s="25"/>
      <c r="Q62" s="25"/>
      <c r="R62" s="25"/>
      <c r="S62" s="25"/>
      <c r="T62" s="26"/>
      <c r="U62" s="23">
        <f t="shared" si="9"/>
        <v>1</v>
      </c>
      <c r="V62" s="22" t="str">
        <f t="shared" si="10"/>
        <v>▲ 單一設備依賴</v>
      </c>
      <c r="W62" s="18" t="str">
        <f t="shared" si="11"/>
        <v>僅依賴1台設備，須確認故障/排修時之備援製程</v>
      </c>
      <c r="X62" s="22" t="s">
        <v>283</v>
      </c>
      <c r="Y62" s="22" t="s">
        <v>347</v>
      </c>
      <c r="Z62" s="27">
        <f>IF($D62="",0,IF(COUNTIF($D$5:$D62,$D62)=1,1,0))</f>
        <v>0</v>
      </c>
      <c r="AA62" s="27" t="str">
        <f>IF(Z62=1,SUM($Z$5:$Z62),"")</f>
        <v/>
      </c>
    </row>
    <row r="63" spans="1:27" s="27" customFormat="1">
      <c r="A63" s="22" t="s">
        <v>476</v>
      </c>
      <c r="B63" s="22" t="s">
        <v>254</v>
      </c>
      <c r="C63" s="22" t="s">
        <v>259</v>
      </c>
      <c r="D63" s="22" t="s">
        <v>154</v>
      </c>
      <c r="E63" s="22" t="s">
        <v>155</v>
      </c>
      <c r="F63" s="23">
        <v>1</v>
      </c>
      <c r="G63" s="23" t="s">
        <v>75</v>
      </c>
      <c r="H63" s="24">
        <v>2000</v>
      </c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6" t="s">
        <v>233</v>
      </c>
      <c r="U63" s="23">
        <f t="shared" si="9"/>
        <v>0</v>
      </c>
      <c r="V63" s="22" t="str">
        <f t="shared" si="10"/>
        <v>○ 免調理</v>
      </c>
      <c r="W63" s="18" t="str">
        <f t="shared" si="11"/>
        <v>免調理半成品（外購/僅切配等），不列入設備風險評估</v>
      </c>
      <c r="X63" s="22" t="s">
        <v>284</v>
      </c>
      <c r="Y63" s="22" t="s">
        <v>347</v>
      </c>
      <c r="Z63" s="27">
        <f>IF($D63="",0,IF(COUNTIF($D$5:$D63,$D63)=1,1,0))</f>
        <v>1</v>
      </c>
      <c r="AA63" s="27">
        <f>IF(Z63=1,SUM($Z$5:$Z63),"")</f>
        <v>11</v>
      </c>
    </row>
    <row r="64" spans="1:27" s="27" customFormat="1">
      <c r="A64" s="22" t="s">
        <v>476</v>
      </c>
      <c r="B64" s="22" t="s">
        <v>254</v>
      </c>
      <c r="C64" s="22" t="s">
        <v>259</v>
      </c>
      <c r="D64" s="22" t="s">
        <v>154</v>
      </c>
      <c r="E64" s="22" t="s">
        <v>156</v>
      </c>
      <c r="F64" s="23">
        <v>15</v>
      </c>
      <c r="G64" s="23" t="s">
        <v>346</v>
      </c>
      <c r="H64" s="24">
        <v>95</v>
      </c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6" t="s">
        <v>233</v>
      </c>
      <c r="U64" s="23">
        <f t="shared" si="9"/>
        <v>0</v>
      </c>
      <c r="V64" s="22" t="str">
        <f t="shared" si="10"/>
        <v>○ 免調理</v>
      </c>
      <c r="W64" s="18" t="str">
        <f t="shared" si="11"/>
        <v>免調理半成品（外購/僅切配等），不列入設備風險評估</v>
      </c>
      <c r="X64" s="22" t="s">
        <v>284</v>
      </c>
      <c r="Y64" s="22" t="s">
        <v>347</v>
      </c>
      <c r="Z64" s="27">
        <f>IF($D64="",0,IF(COUNTIF($D$5:$D64,$D64)=1,1,0))</f>
        <v>0</v>
      </c>
      <c r="AA64" s="27" t="str">
        <f>IF(Z64=1,SUM($Z$5:$Z64),"")</f>
        <v/>
      </c>
    </row>
    <row r="65" spans="1:27" s="27" customFormat="1">
      <c r="A65" s="22" t="s">
        <v>476</v>
      </c>
      <c r="B65" s="22" t="s">
        <v>254</v>
      </c>
      <c r="C65" s="22" t="s">
        <v>259</v>
      </c>
      <c r="D65" s="22" t="s">
        <v>154</v>
      </c>
      <c r="E65" s="22" t="s">
        <v>157</v>
      </c>
      <c r="F65" s="23">
        <v>1</v>
      </c>
      <c r="G65" s="23" t="s">
        <v>75</v>
      </c>
      <c r="H65" s="24">
        <v>100</v>
      </c>
      <c r="I65" s="25"/>
      <c r="J65" s="25"/>
      <c r="K65" s="25"/>
      <c r="L65" s="25"/>
      <c r="M65" s="25"/>
      <c r="N65" s="25" t="s">
        <v>233</v>
      </c>
      <c r="O65" s="25"/>
      <c r="P65" s="25"/>
      <c r="Q65" s="25"/>
      <c r="R65" s="25"/>
      <c r="S65" s="25"/>
      <c r="T65" s="26"/>
      <c r="U65" s="23">
        <f t="shared" si="9"/>
        <v>1</v>
      </c>
      <c r="V65" s="22" t="str">
        <f t="shared" si="10"/>
        <v>▲ 單一設備依賴</v>
      </c>
      <c r="W65" s="18" t="str">
        <f t="shared" si="11"/>
        <v>僅依賴1台設備，須確認故障/排修時之備援製程</v>
      </c>
      <c r="X65" s="22" t="s">
        <v>284</v>
      </c>
      <c r="Y65" s="22" t="s">
        <v>347</v>
      </c>
      <c r="Z65" s="27">
        <f>IF($D65="",0,IF(COUNTIF($D$5:$D65,$D65)=1,1,0))</f>
        <v>0</v>
      </c>
      <c r="AA65" s="27" t="str">
        <f>IF(Z65=1,SUM($Z$5:$Z65),"")</f>
        <v/>
      </c>
    </row>
    <row r="66" spans="1:27">
      <c r="A66" s="22" t="s">
        <v>477</v>
      </c>
      <c r="B66" s="22" t="s">
        <v>254</v>
      </c>
      <c r="C66" s="22" t="s">
        <v>288</v>
      </c>
      <c r="D66" s="22" t="s">
        <v>163</v>
      </c>
      <c r="E66" s="22" t="s">
        <v>388</v>
      </c>
      <c r="F66" s="23">
        <v>1</v>
      </c>
      <c r="G66" s="23" t="s">
        <v>75</v>
      </c>
      <c r="H66" s="24">
        <v>2000</v>
      </c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6" t="s">
        <v>272</v>
      </c>
      <c r="U66" s="23">
        <f t="shared" ref="U66:U78" si="12">IF($E66="","",COUNTIF($I66:$S66,"V"))</f>
        <v>0</v>
      </c>
      <c r="V66" s="22" t="str">
        <f t="shared" ref="V66:V78" si="13">IF($E66="","",IF(AND($T66="V",$U66&gt;0),"⚠ 勾選矛盾",IF($T66="V","○ 免調理",IF($U66=0,"⚠ 資料缺漏",IF($U66=1,"▲ 單一設備依賴","OK")))))</f>
        <v>○ 免調理</v>
      </c>
      <c r="W66" s="18" t="str">
        <f t="shared" ref="W66:W78" si="14">IF($E66="","",IF(AND($T66="V",$U66&gt;0),"「無使用調理設備」不可與設備欄同時勾選，請擇一修正",IF($T66="V","免調理半成品（外購/僅切配等），不列入設備風險評估",IF($U66=0,"未勾選任何設備，請補填或勾選「無使用調理設備」",IF($U66=1,"僅依賴1台設備，須確認故障/排修時之備援製程","無異常")))))</f>
        <v>免調理半成品（外購/僅切配等），不列入設備風險評估</v>
      </c>
      <c r="X66" s="22" t="s">
        <v>290</v>
      </c>
      <c r="Y66" s="22" t="s">
        <v>338</v>
      </c>
      <c r="Z66" s="27">
        <f>IF($D66="",0,IF(COUNTIF($D$5:$D66,$D66)=1,1,0))</f>
        <v>1</v>
      </c>
      <c r="AA66" s="27">
        <f>IF(Z66=1,SUM($Z$5:$Z66),"")</f>
        <v>12</v>
      </c>
    </row>
    <row r="67" spans="1:27">
      <c r="A67" s="22" t="s">
        <v>477</v>
      </c>
      <c r="B67" s="22" t="s">
        <v>254</v>
      </c>
      <c r="C67" s="22" t="s">
        <v>281</v>
      </c>
      <c r="D67" s="22" t="s">
        <v>163</v>
      </c>
      <c r="E67" s="22" t="s">
        <v>151</v>
      </c>
      <c r="F67" s="23">
        <v>1</v>
      </c>
      <c r="G67" s="23" t="s">
        <v>75</v>
      </c>
      <c r="H67" s="24">
        <v>100</v>
      </c>
      <c r="I67" s="25"/>
      <c r="J67" s="25"/>
      <c r="K67" s="25" t="s">
        <v>272</v>
      </c>
      <c r="L67" s="25"/>
      <c r="M67" s="25"/>
      <c r="N67" s="25"/>
      <c r="O67" s="25"/>
      <c r="P67" s="25"/>
      <c r="Q67" s="25"/>
      <c r="R67" s="25"/>
      <c r="S67" s="25"/>
      <c r="T67" s="26"/>
      <c r="U67" s="23">
        <f t="shared" si="12"/>
        <v>1</v>
      </c>
      <c r="V67" s="22" t="str">
        <f t="shared" si="13"/>
        <v>▲ 單一設備依賴</v>
      </c>
      <c r="W67" s="18" t="str">
        <f t="shared" si="14"/>
        <v>僅依賴1台設備，須確認故障/排修時之備援製程</v>
      </c>
      <c r="X67" s="22" t="s">
        <v>290</v>
      </c>
      <c r="Y67" s="22" t="s">
        <v>338</v>
      </c>
      <c r="Z67" s="27">
        <f>IF($D67="",0,IF(COUNTIF($D$5:$D67,$D67)=1,1,0))</f>
        <v>0</v>
      </c>
      <c r="AA67" s="27" t="str">
        <f>IF(Z67=1,SUM($Z$5:$Z67),"")</f>
        <v/>
      </c>
    </row>
    <row r="68" spans="1:27">
      <c r="A68" s="22" t="s">
        <v>477</v>
      </c>
      <c r="B68" s="22" t="s">
        <v>254</v>
      </c>
      <c r="C68" s="22" t="s">
        <v>289</v>
      </c>
      <c r="D68" s="22" t="s">
        <v>163</v>
      </c>
      <c r="E68" s="22" t="s">
        <v>164</v>
      </c>
      <c r="F68" s="23">
        <v>1</v>
      </c>
      <c r="G68" s="23" t="s">
        <v>75</v>
      </c>
      <c r="H68" s="24">
        <v>100</v>
      </c>
      <c r="I68" s="25"/>
      <c r="J68" s="25"/>
      <c r="K68" s="25" t="s">
        <v>272</v>
      </c>
      <c r="L68" s="25"/>
      <c r="M68" s="25"/>
      <c r="N68" s="25"/>
      <c r="O68" s="25"/>
      <c r="P68" s="25"/>
      <c r="Q68" s="25"/>
      <c r="R68" s="25"/>
      <c r="S68" s="25"/>
      <c r="T68" s="26"/>
      <c r="U68" s="23">
        <f t="shared" si="12"/>
        <v>1</v>
      </c>
      <c r="V68" s="22" t="str">
        <f t="shared" si="13"/>
        <v>▲ 單一設備依賴</v>
      </c>
      <c r="W68" s="18" t="str">
        <f t="shared" si="14"/>
        <v>僅依賴1台設備，須確認故障/排修時之備援製程</v>
      </c>
      <c r="X68" s="22" t="s">
        <v>290</v>
      </c>
      <c r="Y68" s="22" t="s">
        <v>338</v>
      </c>
      <c r="Z68" s="27">
        <f>IF($D68="",0,IF(COUNTIF($D$5:$D68,$D68)=1,1,0))</f>
        <v>0</v>
      </c>
      <c r="AA68" s="27" t="str">
        <f>IF(Z68=1,SUM($Z$5:$Z68),"")</f>
        <v/>
      </c>
    </row>
    <row r="69" spans="1:27">
      <c r="A69" s="22" t="s">
        <v>477</v>
      </c>
      <c r="B69" s="22" t="s">
        <v>254</v>
      </c>
      <c r="C69" s="22" t="s">
        <v>281</v>
      </c>
      <c r="D69" s="22" t="s">
        <v>163</v>
      </c>
      <c r="E69" s="22" t="s">
        <v>165</v>
      </c>
      <c r="F69" s="23">
        <v>11</v>
      </c>
      <c r="G69" s="23" t="s">
        <v>346</v>
      </c>
      <c r="H69" s="24">
        <v>62</v>
      </c>
      <c r="I69" s="25"/>
      <c r="J69" s="25"/>
      <c r="K69" s="25"/>
      <c r="L69" s="25"/>
      <c r="M69" s="25"/>
      <c r="N69" s="25"/>
      <c r="O69" s="25" t="s">
        <v>272</v>
      </c>
      <c r="P69" s="25"/>
      <c r="Q69" s="25"/>
      <c r="R69" s="25"/>
      <c r="S69" s="25"/>
      <c r="T69" s="26"/>
      <c r="U69" s="23">
        <f t="shared" si="12"/>
        <v>1</v>
      </c>
      <c r="V69" s="22" t="str">
        <f t="shared" si="13"/>
        <v>▲ 單一設備依賴</v>
      </c>
      <c r="W69" s="18" t="str">
        <f t="shared" si="14"/>
        <v>僅依賴1台設備，須確認故障/排修時之備援製程</v>
      </c>
      <c r="X69" s="22" t="s">
        <v>290</v>
      </c>
      <c r="Y69" s="22" t="s">
        <v>338</v>
      </c>
      <c r="Z69" s="27">
        <f>IF($D69="",0,IF(COUNTIF($D$5:$D69,$D69)=1,1,0))</f>
        <v>0</v>
      </c>
      <c r="AA69" s="27" t="str">
        <f>IF(Z69=1,SUM($Z$5:$Z69),"")</f>
        <v/>
      </c>
    </row>
    <row r="70" spans="1:27">
      <c r="A70" s="22" t="s">
        <v>477</v>
      </c>
      <c r="B70" s="22" t="s">
        <v>254</v>
      </c>
      <c r="C70" s="22" t="s">
        <v>281</v>
      </c>
      <c r="D70" s="22" t="s">
        <v>447</v>
      </c>
      <c r="E70" s="22" t="s">
        <v>448</v>
      </c>
      <c r="F70" s="23">
        <v>1</v>
      </c>
      <c r="G70" s="23" t="s">
        <v>75</v>
      </c>
      <c r="H70" s="24">
        <v>2000</v>
      </c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6" t="s">
        <v>272</v>
      </c>
      <c r="U70" s="23">
        <f t="shared" si="12"/>
        <v>0</v>
      </c>
      <c r="V70" s="22" t="str">
        <f t="shared" si="13"/>
        <v>○ 免調理</v>
      </c>
      <c r="W70" s="18" t="str">
        <f t="shared" si="14"/>
        <v>免調理半成品（外購/僅切配等），不列入設備風險評估</v>
      </c>
      <c r="X70" s="22" t="s">
        <v>300</v>
      </c>
      <c r="Y70" s="22" t="s">
        <v>338</v>
      </c>
      <c r="Z70" s="27">
        <f>IF($D70="",0,IF(COUNTIF($D$5:$D70,$D70)=1,1,0))</f>
        <v>1</v>
      </c>
      <c r="AA70" s="27">
        <f>IF(Z70=1,SUM($Z$5:$Z70),"")</f>
        <v>13</v>
      </c>
    </row>
    <row r="71" spans="1:27">
      <c r="A71" s="22" t="s">
        <v>477</v>
      </c>
      <c r="B71" s="22" t="s">
        <v>254</v>
      </c>
      <c r="C71" s="22" t="s">
        <v>281</v>
      </c>
      <c r="D71" s="22" t="s">
        <v>173</v>
      </c>
      <c r="E71" s="22" t="s">
        <v>172</v>
      </c>
      <c r="F71" s="23">
        <v>1</v>
      </c>
      <c r="G71" s="23" t="s">
        <v>75</v>
      </c>
      <c r="H71" s="24">
        <v>200</v>
      </c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6" t="s">
        <v>301</v>
      </c>
      <c r="U71" s="23">
        <f t="shared" si="12"/>
        <v>0</v>
      </c>
      <c r="V71" s="22" t="str">
        <f t="shared" si="13"/>
        <v>○ 免調理</v>
      </c>
      <c r="W71" s="18" t="str">
        <f t="shared" si="14"/>
        <v>免調理半成品（外購/僅切配等），不列入設備風險評估</v>
      </c>
      <c r="X71" s="22" t="s">
        <v>300</v>
      </c>
      <c r="Y71" s="22" t="s">
        <v>338</v>
      </c>
      <c r="Z71" s="27">
        <f>IF($D71="",0,IF(COUNTIF($D$5:$D71,$D71)=1,1,0))</f>
        <v>0</v>
      </c>
      <c r="AA71" s="27" t="str">
        <f>IF(Z71=1,SUM($Z$5:$Z71),"")</f>
        <v/>
      </c>
    </row>
    <row r="72" spans="1:27">
      <c r="A72" s="22" t="s">
        <v>477</v>
      </c>
      <c r="B72" s="22" t="s">
        <v>254</v>
      </c>
      <c r="C72" s="22" t="s">
        <v>299</v>
      </c>
      <c r="D72" s="22" t="s">
        <v>173</v>
      </c>
      <c r="E72" s="22" t="s">
        <v>174</v>
      </c>
      <c r="F72" s="23">
        <v>1</v>
      </c>
      <c r="G72" s="23" t="s">
        <v>75</v>
      </c>
      <c r="H72" s="24">
        <v>100</v>
      </c>
      <c r="I72" s="25"/>
      <c r="J72" s="25"/>
      <c r="K72" s="25"/>
      <c r="L72" s="25"/>
      <c r="M72" s="25"/>
      <c r="N72" s="25" t="s">
        <v>279</v>
      </c>
      <c r="O72" s="25"/>
      <c r="P72" s="25"/>
      <c r="Q72" s="25"/>
      <c r="R72" s="25"/>
      <c r="S72" s="25"/>
      <c r="T72" s="26"/>
      <c r="U72" s="23">
        <f t="shared" si="12"/>
        <v>1</v>
      </c>
      <c r="V72" s="22" t="str">
        <f t="shared" si="13"/>
        <v>▲ 單一設備依賴</v>
      </c>
      <c r="W72" s="18" t="str">
        <f t="shared" si="14"/>
        <v>僅依賴1台設備，須確認故障/排修時之備援製程</v>
      </c>
      <c r="X72" s="22" t="s">
        <v>300</v>
      </c>
      <c r="Y72" s="22" t="s">
        <v>338</v>
      </c>
      <c r="Z72" s="27">
        <f>IF($D72="",0,IF(COUNTIF($D$5:$D72,$D72)=1,1,0))</f>
        <v>0</v>
      </c>
      <c r="AA72" s="27" t="str">
        <f>IF(Z72=1,SUM($Z$5:$Z72),"")</f>
        <v/>
      </c>
    </row>
    <row r="73" spans="1:27">
      <c r="A73" s="22" t="s">
        <v>477</v>
      </c>
      <c r="B73" s="22" t="s">
        <v>254</v>
      </c>
      <c r="C73" s="22" t="s">
        <v>281</v>
      </c>
      <c r="D73" s="22" t="s">
        <v>173</v>
      </c>
      <c r="E73" s="22" t="s">
        <v>175</v>
      </c>
      <c r="F73" s="23">
        <v>16</v>
      </c>
      <c r="G73" s="23" t="s">
        <v>346</v>
      </c>
      <c r="H73" s="24">
        <v>95</v>
      </c>
      <c r="I73" s="25"/>
      <c r="J73" s="25"/>
      <c r="K73" s="25"/>
      <c r="L73" s="25"/>
      <c r="M73" s="25"/>
      <c r="N73" s="25"/>
      <c r="O73" s="25" t="s">
        <v>337</v>
      </c>
      <c r="P73" s="25"/>
      <c r="Q73" s="25"/>
      <c r="R73" s="25"/>
      <c r="S73" s="25"/>
      <c r="T73" s="26"/>
      <c r="U73" s="23">
        <f t="shared" si="12"/>
        <v>1</v>
      </c>
      <c r="V73" s="22" t="str">
        <f t="shared" si="13"/>
        <v>▲ 單一設備依賴</v>
      </c>
      <c r="W73" s="18" t="str">
        <f t="shared" si="14"/>
        <v>僅依賴1台設備，須確認故障/排修時之備援製程</v>
      </c>
      <c r="X73" s="22" t="s">
        <v>300</v>
      </c>
      <c r="Y73" s="22" t="s">
        <v>338</v>
      </c>
      <c r="Z73" s="27">
        <f>IF($D73="",0,IF(COUNTIF($D$5:$D73,$D73)=1,1,0))</f>
        <v>0</v>
      </c>
      <c r="AA73" s="27" t="str">
        <f>IF(Z73=1,SUM($Z$5:$Z73),"")</f>
        <v/>
      </c>
    </row>
    <row r="74" spans="1:27">
      <c r="A74" s="22" t="s">
        <v>477</v>
      </c>
      <c r="B74" s="22" t="s">
        <v>254</v>
      </c>
      <c r="C74" s="22" t="s">
        <v>333</v>
      </c>
      <c r="D74" s="22" t="s">
        <v>334</v>
      </c>
      <c r="E74" s="22" t="s">
        <v>230</v>
      </c>
      <c r="F74" s="23">
        <v>1</v>
      </c>
      <c r="G74" s="23" t="s">
        <v>75</v>
      </c>
      <c r="H74" s="24">
        <v>2000</v>
      </c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6" t="s">
        <v>336</v>
      </c>
      <c r="U74" s="23">
        <f t="shared" si="12"/>
        <v>0</v>
      </c>
      <c r="V74" s="22" t="str">
        <f t="shared" si="13"/>
        <v>○ 免調理</v>
      </c>
      <c r="W74" s="18" t="str">
        <f t="shared" si="14"/>
        <v>免調理半成品（外購/僅切配等），不列入設備風險評估</v>
      </c>
      <c r="X74" s="22" t="s">
        <v>335</v>
      </c>
      <c r="Y74" s="22" t="s">
        <v>338</v>
      </c>
      <c r="Z74" s="27">
        <f>IF($D74="",0,IF(COUNTIF($D$5:$D74,$D74)=1,1,0))</f>
        <v>1</v>
      </c>
      <c r="AA74" s="27">
        <f>IF(Z74=1,SUM($Z$5:$Z74),"")</f>
        <v>14</v>
      </c>
    </row>
    <row r="75" spans="1:27">
      <c r="A75" s="22" t="s">
        <v>477</v>
      </c>
      <c r="B75" s="22" t="s">
        <v>254</v>
      </c>
      <c r="C75" s="22" t="s">
        <v>333</v>
      </c>
      <c r="D75" s="22" t="s">
        <v>229</v>
      </c>
      <c r="E75" s="22" t="s">
        <v>207</v>
      </c>
      <c r="F75" s="23">
        <v>1</v>
      </c>
      <c r="G75" s="23" t="s">
        <v>75</v>
      </c>
      <c r="H75" s="24">
        <v>100</v>
      </c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6" t="s">
        <v>324</v>
      </c>
      <c r="U75" s="23">
        <f t="shared" si="12"/>
        <v>0</v>
      </c>
      <c r="V75" s="22" t="str">
        <f t="shared" si="13"/>
        <v>○ 免調理</v>
      </c>
      <c r="W75" s="18" t="str">
        <f t="shared" si="14"/>
        <v>免調理半成品（外購/僅切配等），不列入設備風險評估</v>
      </c>
      <c r="X75" s="22" t="s">
        <v>335</v>
      </c>
      <c r="Y75" s="22" t="s">
        <v>338</v>
      </c>
      <c r="Z75" s="27">
        <f>IF($D75="",0,IF(COUNTIF($D$5:$D75,$D75)=1,1,0))</f>
        <v>0</v>
      </c>
      <c r="AA75" s="27" t="str">
        <f>IF(Z75=1,SUM($Z$5:$Z75),"")</f>
        <v/>
      </c>
    </row>
    <row r="76" spans="1:27">
      <c r="A76" s="22" t="s">
        <v>477</v>
      </c>
      <c r="B76" s="22" t="s">
        <v>254</v>
      </c>
      <c r="C76" s="22" t="s">
        <v>333</v>
      </c>
      <c r="D76" s="22" t="s">
        <v>229</v>
      </c>
      <c r="E76" s="22" t="s">
        <v>231</v>
      </c>
      <c r="F76" s="23">
        <v>1</v>
      </c>
      <c r="G76" s="23" t="s">
        <v>75</v>
      </c>
      <c r="H76" s="24">
        <v>100</v>
      </c>
      <c r="I76" s="25"/>
      <c r="J76" s="25"/>
      <c r="K76" s="25"/>
      <c r="L76" s="25"/>
      <c r="M76" s="25"/>
      <c r="N76" s="25" t="s">
        <v>324</v>
      </c>
      <c r="O76" s="25"/>
      <c r="P76" s="25"/>
      <c r="Q76" s="25"/>
      <c r="R76" s="25"/>
      <c r="S76" s="25"/>
      <c r="T76" s="26"/>
      <c r="U76" s="23">
        <f t="shared" si="12"/>
        <v>1</v>
      </c>
      <c r="V76" s="22" t="str">
        <f t="shared" si="13"/>
        <v>▲ 單一設備依賴</v>
      </c>
      <c r="W76" s="18" t="str">
        <f t="shared" si="14"/>
        <v>僅依賴1台設備，須確認故障/排修時之備援製程</v>
      </c>
      <c r="X76" s="22" t="s">
        <v>335</v>
      </c>
      <c r="Y76" s="22" t="s">
        <v>338</v>
      </c>
      <c r="Z76" s="27">
        <f>IF($D76="",0,IF(COUNTIF($D$5:$D76,$D76)=1,1,0))</f>
        <v>0</v>
      </c>
      <c r="AA76" s="27" t="str">
        <f>IF(Z76=1,SUM($Z$5:$Z76),"")</f>
        <v/>
      </c>
    </row>
    <row r="77" spans="1:27">
      <c r="A77" s="22" t="s">
        <v>477</v>
      </c>
      <c r="B77" s="22" t="s">
        <v>254</v>
      </c>
      <c r="C77" s="22" t="s">
        <v>333</v>
      </c>
      <c r="D77" s="22" t="s">
        <v>229</v>
      </c>
      <c r="E77" s="22" t="s">
        <v>341</v>
      </c>
      <c r="F77" s="23">
        <v>6</v>
      </c>
      <c r="G77" s="23" t="s">
        <v>346</v>
      </c>
      <c r="H77" s="24">
        <v>95</v>
      </c>
      <c r="I77" s="25"/>
      <c r="J77" s="25"/>
      <c r="K77" s="25"/>
      <c r="L77" s="25"/>
      <c r="M77" s="25"/>
      <c r="N77" s="25"/>
      <c r="O77" s="25" t="s">
        <v>324</v>
      </c>
      <c r="P77" s="25"/>
      <c r="Q77" s="25"/>
      <c r="R77" s="25"/>
      <c r="S77" s="25"/>
      <c r="T77" s="26"/>
      <c r="U77" s="23">
        <f t="shared" si="12"/>
        <v>1</v>
      </c>
      <c r="V77" s="22" t="str">
        <f t="shared" si="13"/>
        <v>▲ 單一設備依賴</v>
      </c>
      <c r="W77" s="18" t="str">
        <f t="shared" si="14"/>
        <v>僅依賴1台設備，須確認故障/排修時之備援製程</v>
      </c>
      <c r="X77" s="22" t="s">
        <v>335</v>
      </c>
      <c r="Y77" s="22" t="s">
        <v>338</v>
      </c>
      <c r="Z77" s="27">
        <f>IF($D77="",0,IF(COUNTIF($D$5:$D77,$D77)=1,1,0))</f>
        <v>0</v>
      </c>
      <c r="AA77" s="27" t="str">
        <f>IF(Z77=1,SUM($Z$5:$Z77),"")</f>
        <v/>
      </c>
    </row>
    <row r="78" spans="1:27">
      <c r="A78" s="22" t="s">
        <v>477</v>
      </c>
      <c r="B78" s="22" t="s">
        <v>254</v>
      </c>
      <c r="C78" s="22" t="s">
        <v>333</v>
      </c>
      <c r="D78" s="22" t="s">
        <v>229</v>
      </c>
      <c r="E78" s="22" t="s">
        <v>232</v>
      </c>
      <c r="F78" s="23">
        <v>21</v>
      </c>
      <c r="G78" s="23" t="s">
        <v>346</v>
      </c>
      <c r="H78" s="24">
        <v>67</v>
      </c>
      <c r="I78" s="25"/>
      <c r="J78" s="25"/>
      <c r="K78" s="25"/>
      <c r="L78" s="25"/>
      <c r="M78" s="25"/>
      <c r="N78" s="25"/>
      <c r="O78" s="25" t="s">
        <v>327</v>
      </c>
      <c r="P78" s="25"/>
      <c r="Q78" s="25"/>
      <c r="R78" s="25"/>
      <c r="S78" s="25"/>
      <c r="T78" s="26"/>
      <c r="U78" s="23">
        <f t="shared" si="12"/>
        <v>1</v>
      </c>
      <c r="V78" s="22" t="str">
        <f t="shared" si="13"/>
        <v>▲ 單一設備依賴</v>
      </c>
      <c r="W78" s="18" t="str">
        <f t="shared" si="14"/>
        <v>僅依賴1台設備，須確認故障/排修時之備援製程</v>
      </c>
      <c r="X78" s="22" t="s">
        <v>335</v>
      </c>
      <c r="Y78" s="22" t="s">
        <v>338</v>
      </c>
      <c r="Z78" s="27">
        <f>IF($D78="",0,IF(COUNTIF($D$5:$D78,$D78)=1,1,0))</f>
        <v>0</v>
      </c>
      <c r="AA78" s="27" t="str">
        <f>IF(Z78=1,SUM($Z$5:$Z78),"")</f>
        <v/>
      </c>
    </row>
    <row r="79" spans="1:27">
      <c r="A79" s="22" t="s">
        <v>476</v>
      </c>
      <c r="B79" s="22" t="s">
        <v>254</v>
      </c>
      <c r="C79" s="22" t="s">
        <v>261</v>
      </c>
      <c r="D79" s="22" t="s">
        <v>129</v>
      </c>
      <c r="E79" s="22" t="s">
        <v>130</v>
      </c>
      <c r="F79" s="23">
        <v>1</v>
      </c>
      <c r="G79" s="23" t="s">
        <v>75</v>
      </c>
      <c r="H79" s="24">
        <v>100</v>
      </c>
      <c r="I79" s="25"/>
      <c r="J79" s="25"/>
      <c r="K79" s="25"/>
      <c r="L79" s="25"/>
      <c r="M79" s="25" t="s">
        <v>260</v>
      </c>
      <c r="N79" s="25"/>
      <c r="O79" s="25" t="s">
        <v>260</v>
      </c>
      <c r="P79" s="25"/>
      <c r="Q79" s="25"/>
      <c r="R79" s="25"/>
      <c r="S79" s="25"/>
      <c r="T79" s="26"/>
      <c r="U79" s="23">
        <f t="shared" ref="U79:U87" si="15">IF($E79="","",COUNTIF($I79:$S79,"V"))</f>
        <v>2</v>
      </c>
      <c r="V79" s="22" t="str">
        <f t="shared" ref="V79:V87" si="16">IF($E79="","",IF(AND($T79="V",$U79&gt;0),"⚠ 勾選矛盾",IF($T79="V","○ 免調理",IF($U79=0,"⚠ 資料缺漏",IF($U79=1,"▲ 單一設備依賴","OK")))))</f>
        <v>OK</v>
      </c>
      <c r="W79" s="18" t="str">
        <f t="shared" ref="W79:W87" si="17">IF($E79="","",IF(AND($T79="V",$U79&gt;0),"「無使用調理設備」不可與設備欄同時勾選，請擇一修正",IF($T79="V","免調理半成品（外購/僅切配等），不列入設備風險評估",IF($U79=0,"未勾選任何設備，請補填或勾選「無使用調理設備」",IF($U79=1,"僅依賴1台設備，須確認故障/排修時之備援製程","無異常")))))</f>
        <v>無異常</v>
      </c>
      <c r="X79" s="22" t="s">
        <v>263</v>
      </c>
      <c r="Y79" s="22" t="s">
        <v>338</v>
      </c>
      <c r="Z79" s="27">
        <f>IF($D79="",0,IF(COUNTIF($D$5:$D79,$D79)=1,1,0))</f>
        <v>1</v>
      </c>
      <c r="AA79" s="27">
        <f>IF(Z79=1,SUM($Z$5:$Z79),"")</f>
        <v>15</v>
      </c>
    </row>
    <row r="80" spans="1:27">
      <c r="A80" s="22" t="s">
        <v>477</v>
      </c>
      <c r="B80" s="22" t="s">
        <v>254</v>
      </c>
      <c r="C80" s="22" t="s">
        <v>297</v>
      </c>
      <c r="D80" s="22" t="s">
        <v>298</v>
      </c>
      <c r="E80" s="22" t="s">
        <v>171</v>
      </c>
      <c r="F80" s="23">
        <v>1</v>
      </c>
      <c r="G80" s="23" t="s">
        <v>75</v>
      </c>
      <c r="H80" s="24">
        <v>100</v>
      </c>
      <c r="I80" s="25"/>
      <c r="J80" s="25"/>
      <c r="K80" s="25"/>
      <c r="L80" s="25"/>
      <c r="M80" s="25" t="s">
        <v>272</v>
      </c>
      <c r="N80" s="25"/>
      <c r="O80" s="25" t="s">
        <v>272</v>
      </c>
      <c r="P80" s="25"/>
      <c r="Q80" s="25"/>
      <c r="R80" s="25"/>
      <c r="S80" s="25"/>
      <c r="T80" s="26"/>
      <c r="U80" s="23">
        <f t="shared" si="15"/>
        <v>2</v>
      </c>
      <c r="V80" s="22" t="str">
        <f t="shared" si="16"/>
        <v>OK</v>
      </c>
      <c r="W80" s="18" t="str">
        <f t="shared" si="17"/>
        <v>無異常</v>
      </c>
      <c r="X80" s="22" t="s">
        <v>342</v>
      </c>
      <c r="Y80" s="22" t="s">
        <v>338</v>
      </c>
      <c r="Z80" s="27">
        <f>IF($D80="",0,IF(COUNTIF($D$5:$D80,$D80)=1,1,0))</f>
        <v>1</v>
      </c>
      <c r="AA80" s="27">
        <f>IF(Z80=1,SUM($Z$5:$Z80),"")</f>
        <v>16</v>
      </c>
    </row>
    <row r="81" spans="1:27">
      <c r="A81" s="22" t="s">
        <v>476</v>
      </c>
      <c r="B81" s="22" t="s">
        <v>254</v>
      </c>
      <c r="C81" s="22" t="s">
        <v>264</v>
      </c>
      <c r="D81" s="22" t="s">
        <v>140</v>
      </c>
      <c r="E81" s="22" t="s">
        <v>141</v>
      </c>
      <c r="F81" s="23">
        <v>2</v>
      </c>
      <c r="G81" s="23" t="s">
        <v>75</v>
      </c>
      <c r="H81" s="24">
        <v>2200</v>
      </c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6" t="s">
        <v>268</v>
      </c>
      <c r="U81" s="23">
        <f t="shared" si="15"/>
        <v>0</v>
      </c>
      <c r="V81" s="22" t="str">
        <f t="shared" si="16"/>
        <v>○ 免調理</v>
      </c>
      <c r="W81" s="18" t="str">
        <f t="shared" si="17"/>
        <v>免調理半成品（外購/僅切配等），不列入設備風險評估</v>
      </c>
      <c r="X81" s="22" t="s">
        <v>266</v>
      </c>
      <c r="Y81" s="22" t="s">
        <v>338</v>
      </c>
      <c r="Z81" s="27">
        <f>IF($D81="",0,IF(COUNTIF($D$5:$D81,$D81)=1,1,0))</f>
        <v>1</v>
      </c>
      <c r="AA81" s="27">
        <f>IF(Z81=1,SUM($Z$5:$Z81),"")</f>
        <v>17</v>
      </c>
    </row>
    <row r="82" spans="1:27">
      <c r="A82" s="22" t="s">
        <v>476</v>
      </c>
      <c r="B82" s="22" t="s">
        <v>254</v>
      </c>
      <c r="C82" s="22" t="s">
        <v>265</v>
      </c>
      <c r="D82" s="22" t="s">
        <v>140</v>
      </c>
      <c r="E82" s="22" t="s">
        <v>142</v>
      </c>
      <c r="F82" s="23">
        <v>0.5</v>
      </c>
      <c r="G82" s="23" t="s">
        <v>75</v>
      </c>
      <c r="H82" s="24">
        <v>200</v>
      </c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6" t="s">
        <v>260</v>
      </c>
      <c r="U82" s="23">
        <f t="shared" si="15"/>
        <v>0</v>
      </c>
      <c r="V82" s="22" t="str">
        <f t="shared" si="16"/>
        <v>○ 免調理</v>
      </c>
      <c r="W82" s="18" t="str">
        <f t="shared" si="17"/>
        <v>免調理半成品（外購/僅切配等），不列入設備風險評估</v>
      </c>
      <c r="X82" s="22" t="s">
        <v>266</v>
      </c>
      <c r="Y82" s="22" t="s">
        <v>338</v>
      </c>
      <c r="Z82" s="27">
        <f>IF($D82="",0,IF(COUNTIF($D$5:$D82,$D82)=1,1,0))</f>
        <v>0</v>
      </c>
      <c r="AA82" s="27" t="str">
        <f>IF(Z82=1,SUM($Z$5:$Z82),"")</f>
        <v/>
      </c>
    </row>
    <row r="83" spans="1:27">
      <c r="A83" s="22" t="s">
        <v>476</v>
      </c>
      <c r="B83" s="22" t="s">
        <v>254</v>
      </c>
      <c r="C83" s="22" t="s">
        <v>264</v>
      </c>
      <c r="D83" s="22" t="s">
        <v>140</v>
      </c>
      <c r="E83" s="22" t="s">
        <v>143</v>
      </c>
      <c r="F83" s="23">
        <v>8</v>
      </c>
      <c r="G83" s="23" t="s">
        <v>346</v>
      </c>
      <c r="H83" s="24">
        <v>82</v>
      </c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6" t="s">
        <v>269</v>
      </c>
      <c r="U83" s="23">
        <f t="shared" si="15"/>
        <v>0</v>
      </c>
      <c r="V83" s="22" t="str">
        <f t="shared" si="16"/>
        <v>○ 免調理</v>
      </c>
      <c r="W83" s="18" t="str">
        <f t="shared" si="17"/>
        <v>免調理半成品（外購/僅切配等），不列入設備風險評估</v>
      </c>
      <c r="X83" s="22" t="s">
        <v>266</v>
      </c>
      <c r="Y83" s="22" t="s">
        <v>338</v>
      </c>
      <c r="Z83" s="27">
        <f>IF($D83="",0,IF(COUNTIF($D$5:$D83,$D83)=1,1,0))</f>
        <v>0</v>
      </c>
      <c r="AA83" s="27" t="str">
        <f>IF(Z83=1,SUM($Z$5:$Z83),"")</f>
        <v/>
      </c>
    </row>
    <row r="84" spans="1:27">
      <c r="A84" s="22" t="s">
        <v>476</v>
      </c>
      <c r="B84" s="22" t="s">
        <v>254</v>
      </c>
      <c r="C84" s="22" t="s">
        <v>264</v>
      </c>
      <c r="D84" s="22" t="s">
        <v>140</v>
      </c>
      <c r="E84" s="22" t="s">
        <v>267</v>
      </c>
      <c r="F84" s="23">
        <v>4</v>
      </c>
      <c r="G84" s="23" t="s">
        <v>346</v>
      </c>
      <c r="H84" s="24">
        <v>100</v>
      </c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6" t="s">
        <v>270</v>
      </c>
      <c r="U84" s="23">
        <f t="shared" si="15"/>
        <v>0</v>
      </c>
      <c r="V84" s="22" t="str">
        <f t="shared" si="16"/>
        <v>○ 免調理</v>
      </c>
      <c r="W84" s="18" t="str">
        <f t="shared" si="17"/>
        <v>免調理半成品（外購/僅切配等），不列入設備風險評估</v>
      </c>
      <c r="X84" s="22" t="s">
        <v>266</v>
      </c>
      <c r="Y84" s="22" t="s">
        <v>338</v>
      </c>
      <c r="Z84" s="27">
        <f>IF($D84="",0,IF(COUNTIF($D$5:$D84,$D84)=1,1,0))</f>
        <v>0</v>
      </c>
      <c r="AA84" s="27" t="str">
        <f>IF(Z84=1,SUM($Z$5:$Z84),"")</f>
        <v/>
      </c>
    </row>
    <row r="85" spans="1:27">
      <c r="A85" s="22" t="s">
        <v>476</v>
      </c>
      <c r="B85" s="22" t="s">
        <v>254</v>
      </c>
      <c r="C85" s="22" t="s">
        <v>265</v>
      </c>
      <c r="D85" s="22" t="s">
        <v>140</v>
      </c>
      <c r="E85" s="22" t="s">
        <v>144</v>
      </c>
      <c r="F85" s="23">
        <v>0.5</v>
      </c>
      <c r="G85" s="23" t="s">
        <v>75</v>
      </c>
      <c r="H85" s="24">
        <v>100</v>
      </c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6" t="s">
        <v>260</v>
      </c>
      <c r="U85" s="23">
        <f t="shared" si="15"/>
        <v>0</v>
      </c>
      <c r="V85" s="22" t="str">
        <f t="shared" si="16"/>
        <v>○ 免調理</v>
      </c>
      <c r="W85" s="18" t="str">
        <f t="shared" si="17"/>
        <v>免調理半成品（外購/僅切配等），不列入設備風險評估</v>
      </c>
      <c r="X85" s="22" t="s">
        <v>266</v>
      </c>
      <c r="Y85" s="22" t="s">
        <v>338</v>
      </c>
      <c r="Z85" s="27">
        <f>IF($D85="",0,IF(COUNTIF($D$5:$D85,$D85)=1,1,0))</f>
        <v>0</v>
      </c>
      <c r="AA85" s="27" t="str">
        <f>IF(Z85=1,SUM($Z$5:$Z85),"")</f>
        <v/>
      </c>
    </row>
    <row r="86" spans="1:27">
      <c r="A86" s="22" t="s">
        <v>476</v>
      </c>
      <c r="B86" s="22" t="s">
        <v>254</v>
      </c>
      <c r="C86" s="22" t="s">
        <v>264</v>
      </c>
      <c r="D86" s="22" t="s">
        <v>140</v>
      </c>
      <c r="E86" s="22" t="s">
        <v>449</v>
      </c>
      <c r="F86" s="23">
        <v>0.5</v>
      </c>
      <c r="G86" s="23" t="s">
        <v>75</v>
      </c>
      <c r="H86" s="24">
        <v>4400</v>
      </c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6" t="s">
        <v>260</v>
      </c>
      <c r="U86" s="23">
        <f t="shared" si="15"/>
        <v>0</v>
      </c>
      <c r="V86" s="22" t="str">
        <f t="shared" si="16"/>
        <v>○ 免調理</v>
      </c>
      <c r="W86" s="18" t="str">
        <f t="shared" si="17"/>
        <v>免調理半成品（外購/僅切配等），不列入設備風險評估</v>
      </c>
      <c r="X86" s="22" t="s">
        <v>266</v>
      </c>
      <c r="Y86" s="22" t="s">
        <v>338</v>
      </c>
      <c r="Z86" s="27">
        <f>IF($D86="",0,IF(COUNTIF($D$5:$D86,$D86)=1,1,0))</f>
        <v>0</v>
      </c>
      <c r="AA86" s="27" t="str">
        <f>IF(Z86=1,SUM($Z$5:$Z86),"")</f>
        <v/>
      </c>
    </row>
    <row r="87" spans="1:27">
      <c r="A87" s="22" t="s">
        <v>476</v>
      </c>
      <c r="B87" s="22" t="s">
        <v>254</v>
      </c>
      <c r="C87" s="22" t="s">
        <v>285</v>
      </c>
      <c r="D87" s="22" t="s">
        <v>158</v>
      </c>
      <c r="E87" s="22" t="s">
        <v>159</v>
      </c>
      <c r="F87" s="23">
        <v>2</v>
      </c>
      <c r="G87" s="23" t="s">
        <v>75</v>
      </c>
      <c r="H87" s="24">
        <v>2200</v>
      </c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6" t="s">
        <v>272</v>
      </c>
      <c r="U87" s="23">
        <f t="shared" si="15"/>
        <v>0</v>
      </c>
      <c r="V87" s="22" t="str">
        <f t="shared" si="16"/>
        <v>○ 免調理</v>
      </c>
      <c r="W87" s="18" t="str">
        <f t="shared" si="17"/>
        <v>免調理半成品（外購/僅切配等），不列入設備風險評估</v>
      </c>
      <c r="X87" s="22" t="s">
        <v>287</v>
      </c>
      <c r="Y87" s="22" t="s">
        <v>338</v>
      </c>
      <c r="Z87" s="27">
        <f>IF($D87="",0,IF(COUNTIF($D$5:$D87,$D87)=1,1,0))</f>
        <v>1</v>
      </c>
      <c r="AA87" s="27">
        <f>IF(Z87=1,SUM($Z$5:$Z87),"")</f>
        <v>18</v>
      </c>
    </row>
    <row r="88" spans="1:27">
      <c r="A88" s="22" t="s">
        <v>476</v>
      </c>
      <c r="B88" s="22" t="s">
        <v>254</v>
      </c>
      <c r="C88" s="22" t="s">
        <v>286</v>
      </c>
      <c r="D88" s="22" t="s">
        <v>158</v>
      </c>
      <c r="E88" s="22" t="s">
        <v>160</v>
      </c>
      <c r="F88" s="23">
        <v>1</v>
      </c>
      <c r="G88" s="23" t="s">
        <v>75</v>
      </c>
      <c r="H88" s="24">
        <v>100</v>
      </c>
      <c r="I88" s="25"/>
      <c r="J88" s="25"/>
      <c r="K88" s="25" t="s">
        <v>272</v>
      </c>
      <c r="L88" s="25"/>
      <c r="M88" s="25"/>
      <c r="N88" s="25"/>
      <c r="O88" s="25"/>
      <c r="P88" s="25"/>
      <c r="Q88" s="25"/>
      <c r="R88" s="25"/>
      <c r="S88" s="25"/>
      <c r="T88" s="26"/>
      <c r="U88" s="23">
        <f t="shared" ref="U88:U139" si="18">IF($E88="","",COUNTIF($I88:$S88,"V"))</f>
        <v>1</v>
      </c>
      <c r="V88" s="22" t="str">
        <f t="shared" ref="V88:V139" si="19">IF($E88="","",IF(AND($T88="V",$U88&gt;0),"⚠ 勾選矛盾",IF($T88="V","○ 免調理",IF($U88=0,"⚠ 資料缺漏",IF($U88=1,"▲ 單一設備依賴","OK")))))</f>
        <v>▲ 單一設備依賴</v>
      </c>
      <c r="W88" s="18" t="str">
        <f t="shared" ref="W88:W139" si="20">IF($E88="","",IF(AND($T88="V",$U88&gt;0),"「無使用調理設備」不可與設備欄同時勾選，請擇一修正",IF($T88="V","免調理半成品（外購/僅切配等），不列入設備風險評估",IF($U88=0,"未勾選任何設備，請補填或勾選「無使用調理設備」",IF($U88=1,"僅依賴1台設備，須確認故障/排修時之備援製程","無異常")))))</f>
        <v>僅依賴1台設備，須確認故障/排修時之備援製程</v>
      </c>
      <c r="X88" s="22" t="s">
        <v>287</v>
      </c>
      <c r="Y88" s="22" t="s">
        <v>338</v>
      </c>
      <c r="Z88" s="27">
        <f>IF($D88="",0,IF(COUNTIF($D$5:$D88,$D88)=1,1,0))</f>
        <v>0</v>
      </c>
      <c r="AA88" s="27" t="str">
        <f>IF(Z88=1,SUM($Z$5:$Z88),"")</f>
        <v/>
      </c>
    </row>
    <row r="89" spans="1:27">
      <c r="A89" s="22" t="s">
        <v>476</v>
      </c>
      <c r="B89" s="22" t="s">
        <v>254</v>
      </c>
      <c r="C89" s="22" t="s">
        <v>285</v>
      </c>
      <c r="D89" s="22" t="s">
        <v>158</v>
      </c>
      <c r="E89" s="22" t="s">
        <v>161</v>
      </c>
      <c r="F89" s="23">
        <v>4</v>
      </c>
      <c r="G89" s="23" t="s">
        <v>346</v>
      </c>
      <c r="H89" s="24">
        <v>94.6</v>
      </c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6" t="s">
        <v>272</v>
      </c>
      <c r="U89" s="23">
        <f t="shared" si="18"/>
        <v>0</v>
      </c>
      <c r="V89" s="22" t="str">
        <f t="shared" si="19"/>
        <v>○ 免調理</v>
      </c>
      <c r="W89" s="18" t="str">
        <f t="shared" si="20"/>
        <v>免調理半成品（外購/僅切配等），不列入設備風險評估</v>
      </c>
      <c r="X89" s="22" t="s">
        <v>287</v>
      </c>
      <c r="Y89" s="22" t="s">
        <v>338</v>
      </c>
      <c r="Z89" s="27">
        <f>IF($D89="",0,IF(COUNTIF($D$5:$D89,$D89)=1,1,0))</f>
        <v>0</v>
      </c>
      <c r="AA89" s="27" t="str">
        <f>IF(Z89=1,SUM($Z$5:$Z89),"")</f>
        <v/>
      </c>
    </row>
    <row r="90" spans="1:27">
      <c r="A90" s="22" t="s">
        <v>476</v>
      </c>
      <c r="B90" s="22" t="s">
        <v>254</v>
      </c>
      <c r="C90" s="22" t="s">
        <v>285</v>
      </c>
      <c r="D90" s="22" t="s">
        <v>158</v>
      </c>
      <c r="E90" s="22" t="s">
        <v>162</v>
      </c>
      <c r="F90" s="23">
        <v>10</v>
      </c>
      <c r="G90" s="23" t="s">
        <v>346</v>
      </c>
      <c r="H90" s="24">
        <v>79</v>
      </c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6" t="s">
        <v>272</v>
      </c>
      <c r="U90" s="23">
        <f t="shared" si="18"/>
        <v>0</v>
      </c>
      <c r="V90" s="22" t="str">
        <f t="shared" si="19"/>
        <v>○ 免調理</v>
      </c>
      <c r="W90" s="18" t="str">
        <f t="shared" si="20"/>
        <v>免調理半成品（外購/僅切配等），不列入設備風險評估</v>
      </c>
      <c r="X90" s="22" t="s">
        <v>287</v>
      </c>
      <c r="Y90" s="22" t="s">
        <v>338</v>
      </c>
      <c r="Z90" s="27">
        <f>IF($D90="",0,IF(COUNTIF($D$5:$D90,$D90)=1,1,0))</f>
        <v>0</v>
      </c>
      <c r="AA90" s="27" t="str">
        <f>IF(Z90=1,SUM($Z$5:$Z90),"")</f>
        <v/>
      </c>
    </row>
    <row r="91" spans="1:27">
      <c r="A91" s="22" t="s">
        <v>476</v>
      </c>
      <c r="B91" s="22" t="s">
        <v>254</v>
      </c>
      <c r="C91" s="22" t="s">
        <v>291</v>
      </c>
      <c r="D91" s="22" t="s">
        <v>166</v>
      </c>
      <c r="E91" s="22" t="s">
        <v>167</v>
      </c>
      <c r="F91" s="23">
        <v>2</v>
      </c>
      <c r="G91" s="23" t="s">
        <v>75</v>
      </c>
      <c r="H91" s="24">
        <v>2700</v>
      </c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6" t="s">
        <v>293</v>
      </c>
      <c r="U91" s="23">
        <f t="shared" si="18"/>
        <v>0</v>
      </c>
      <c r="V91" s="22" t="str">
        <f t="shared" si="19"/>
        <v>○ 免調理</v>
      </c>
      <c r="W91" s="18" t="str">
        <f t="shared" si="20"/>
        <v>免調理半成品（外購/僅切配等），不列入設備風險評估</v>
      </c>
      <c r="X91" s="22" t="s">
        <v>292</v>
      </c>
      <c r="Y91" s="22" t="s">
        <v>338</v>
      </c>
      <c r="Z91" s="27">
        <f>IF($D91="",0,IF(COUNTIF($D$5:$D91,$D91)=1,1,0))</f>
        <v>1</v>
      </c>
      <c r="AA91" s="27">
        <f>IF(Z91=1,SUM($Z$5:$Z91),"")</f>
        <v>19</v>
      </c>
    </row>
    <row r="92" spans="1:27">
      <c r="A92" s="22" t="s">
        <v>476</v>
      </c>
      <c r="B92" s="22" t="s">
        <v>254</v>
      </c>
      <c r="C92" s="22" t="s">
        <v>286</v>
      </c>
      <c r="D92" s="22" t="s">
        <v>166</v>
      </c>
      <c r="E92" s="22" t="s">
        <v>168</v>
      </c>
      <c r="F92" s="23">
        <v>0.5</v>
      </c>
      <c r="G92" s="23" t="s">
        <v>75</v>
      </c>
      <c r="H92" s="24">
        <v>100</v>
      </c>
      <c r="I92" s="25"/>
      <c r="J92" s="25"/>
      <c r="K92" s="25" t="s">
        <v>272</v>
      </c>
      <c r="L92" s="25"/>
      <c r="M92" s="25"/>
      <c r="N92" s="25"/>
      <c r="O92" s="25"/>
      <c r="P92" s="25"/>
      <c r="Q92" s="25"/>
      <c r="R92" s="25"/>
      <c r="S92" s="25"/>
      <c r="T92" s="26"/>
      <c r="U92" s="23">
        <f t="shared" si="18"/>
        <v>1</v>
      </c>
      <c r="V92" s="22" t="str">
        <f t="shared" si="19"/>
        <v>▲ 單一設備依賴</v>
      </c>
      <c r="W92" s="18" t="str">
        <f t="shared" si="20"/>
        <v>僅依賴1台設備，須確認故障/排修時之備援製程</v>
      </c>
      <c r="X92" s="22" t="s">
        <v>292</v>
      </c>
      <c r="Y92" s="22" t="s">
        <v>338</v>
      </c>
      <c r="Z92" s="27">
        <f>IF($D92="",0,IF(COUNTIF($D$5:$D92,$D92)=1,1,0))</f>
        <v>0</v>
      </c>
      <c r="AA92" s="27" t="str">
        <f>IF(Z92=1,SUM($Z$5:$Z92),"")</f>
        <v/>
      </c>
    </row>
    <row r="93" spans="1:27">
      <c r="A93" s="22" t="s">
        <v>476</v>
      </c>
      <c r="B93" s="22" t="s">
        <v>254</v>
      </c>
      <c r="C93" s="22" t="s">
        <v>291</v>
      </c>
      <c r="D93" s="22" t="s">
        <v>166</v>
      </c>
      <c r="E93" s="22" t="s">
        <v>410</v>
      </c>
      <c r="F93" s="23">
        <v>8</v>
      </c>
      <c r="G93" s="23" t="s">
        <v>346</v>
      </c>
      <c r="H93" s="24">
        <v>100</v>
      </c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6" t="s">
        <v>272</v>
      </c>
      <c r="U93" s="23">
        <f t="shared" si="18"/>
        <v>0</v>
      </c>
      <c r="V93" s="22" t="str">
        <f t="shared" si="19"/>
        <v>○ 免調理</v>
      </c>
      <c r="W93" s="18" t="str">
        <f t="shared" si="20"/>
        <v>免調理半成品（外購/僅切配等），不列入設備風險評估</v>
      </c>
      <c r="X93" s="22" t="s">
        <v>292</v>
      </c>
      <c r="Y93" s="22" t="s">
        <v>338</v>
      </c>
      <c r="Z93" s="27">
        <f>IF($D93="",0,IF(COUNTIF($D$5:$D93,$D93)=1,1,0))</f>
        <v>0</v>
      </c>
      <c r="AA93" s="27" t="str">
        <f>IF(Z93=1,SUM($Z$5:$Z93),"")</f>
        <v/>
      </c>
    </row>
    <row r="94" spans="1:27">
      <c r="A94" s="22" t="s">
        <v>476</v>
      </c>
      <c r="B94" s="22" t="s">
        <v>254</v>
      </c>
      <c r="C94" s="22" t="s">
        <v>285</v>
      </c>
      <c r="D94" s="22" t="s">
        <v>166</v>
      </c>
      <c r="E94" s="22" t="s">
        <v>132</v>
      </c>
      <c r="F94" s="23">
        <v>0.5</v>
      </c>
      <c r="G94" s="23" t="s">
        <v>75</v>
      </c>
      <c r="H94" s="24">
        <v>100</v>
      </c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6" t="s">
        <v>272</v>
      </c>
      <c r="U94" s="23">
        <f t="shared" si="18"/>
        <v>0</v>
      </c>
      <c r="V94" s="22" t="str">
        <f t="shared" si="19"/>
        <v>○ 免調理</v>
      </c>
      <c r="W94" s="18" t="str">
        <f t="shared" si="20"/>
        <v>免調理半成品（外購/僅切配等），不列入設備風險評估</v>
      </c>
      <c r="X94" s="22" t="s">
        <v>292</v>
      </c>
      <c r="Y94" s="22" t="s">
        <v>338</v>
      </c>
      <c r="Z94" s="27">
        <f>IF($D94="",0,IF(COUNTIF($D$5:$D94,$D94)=1,1,0))</f>
        <v>0</v>
      </c>
      <c r="AA94" s="27" t="str">
        <f>IF(Z94=1,SUM($Z$5:$Z94),"")</f>
        <v/>
      </c>
    </row>
    <row r="95" spans="1:27">
      <c r="A95" s="22" t="s">
        <v>476</v>
      </c>
      <c r="B95" s="22" t="s">
        <v>254</v>
      </c>
      <c r="C95" s="22" t="s">
        <v>291</v>
      </c>
      <c r="D95" s="22" t="s">
        <v>166</v>
      </c>
      <c r="E95" s="22" t="s">
        <v>450</v>
      </c>
      <c r="F95" s="23">
        <v>0.5</v>
      </c>
      <c r="G95" s="23" t="s">
        <v>75</v>
      </c>
      <c r="H95" s="24">
        <v>2200</v>
      </c>
      <c r="I95" s="25"/>
      <c r="J95" s="25"/>
      <c r="K95" s="25"/>
      <c r="L95" s="25"/>
      <c r="M95" s="25" t="s">
        <v>74</v>
      </c>
      <c r="N95" s="25"/>
      <c r="O95" s="25"/>
      <c r="P95" s="25"/>
      <c r="Q95" s="25"/>
      <c r="R95" s="25"/>
      <c r="S95" s="25"/>
      <c r="T95" s="26"/>
      <c r="U95" s="23">
        <f t="shared" si="18"/>
        <v>1</v>
      </c>
      <c r="V95" s="22" t="str">
        <f t="shared" si="19"/>
        <v>▲ 單一設備依賴</v>
      </c>
      <c r="W95" s="18" t="str">
        <f t="shared" si="20"/>
        <v>僅依賴1台設備，須確認故障/排修時之備援製程</v>
      </c>
      <c r="X95" s="22" t="s">
        <v>292</v>
      </c>
      <c r="Y95" s="22" t="s">
        <v>338</v>
      </c>
      <c r="Z95" s="27">
        <f>IF($D95="",0,IF(COUNTIF($D$5:$D95,$D95)=1,1,0))</f>
        <v>0</v>
      </c>
      <c r="AA95" s="27" t="str">
        <f>IF(Z95=1,SUM($Z$5:$Z95),"")</f>
        <v/>
      </c>
    </row>
    <row r="96" spans="1:27">
      <c r="A96" s="22" t="s">
        <v>476</v>
      </c>
      <c r="B96" s="22" t="s">
        <v>254</v>
      </c>
      <c r="C96" s="22" t="s">
        <v>291</v>
      </c>
      <c r="D96" s="22" t="s">
        <v>169</v>
      </c>
      <c r="E96" s="22" t="s">
        <v>416</v>
      </c>
      <c r="F96" s="23">
        <v>2</v>
      </c>
      <c r="G96" s="23" t="s">
        <v>75</v>
      </c>
      <c r="H96" s="24">
        <v>2100</v>
      </c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6" t="s">
        <v>295</v>
      </c>
      <c r="U96" s="23">
        <f t="shared" si="18"/>
        <v>0</v>
      </c>
      <c r="V96" s="22" t="str">
        <f t="shared" si="19"/>
        <v>○ 免調理</v>
      </c>
      <c r="W96" s="18" t="str">
        <f t="shared" si="20"/>
        <v>免調理半成品（外購/僅切配等），不列入設備風險評估</v>
      </c>
      <c r="X96" s="22" t="s">
        <v>294</v>
      </c>
      <c r="Y96" s="22" t="s">
        <v>338</v>
      </c>
      <c r="Z96" s="27">
        <f>IF($D96="",0,IF(COUNTIF($D$5:$D96,$D96)=1,1,0))</f>
        <v>1</v>
      </c>
      <c r="AA96" s="27">
        <f>IF(Z96=1,SUM($Z$5:$Z96),"")</f>
        <v>20</v>
      </c>
    </row>
    <row r="97" spans="1:27">
      <c r="A97" s="22" t="s">
        <v>476</v>
      </c>
      <c r="B97" s="22" t="s">
        <v>254</v>
      </c>
      <c r="C97" s="22" t="s">
        <v>291</v>
      </c>
      <c r="D97" s="22" t="s">
        <v>169</v>
      </c>
      <c r="E97" s="22" t="s">
        <v>170</v>
      </c>
      <c r="F97" s="23">
        <v>50</v>
      </c>
      <c r="G97" s="23" t="s">
        <v>346</v>
      </c>
      <c r="H97" s="24">
        <v>100</v>
      </c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6" t="s">
        <v>296</v>
      </c>
      <c r="U97" s="23">
        <f t="shared" si="18"/>
        <v>0</v>
      </c>
      <c r="V97" s="22" t="str">
        <f t="shared" si="19"/>
        <v>○ 免調理</v>
      </c>
      <c r="W97" s="18" t="str">
        <f t="shared" si="20"/>
        <v>免調理半成品（外購/僅切配等），不列入設備風險評估</v>
      </c>
      <c r="X97" s="22" t="s">
        <v>294</v>
      </c>
      <c r="Y97" s="22" t="s">
        <v>338</v>
      </c>
      <c r="Z97" s="27">
        <f>IF($D97="",0,IF(COUNTIF($D$5:$D97,$D97)=1,1,0))</f>
        <v>0</v>
      </c>
      <c r="AA97" s="27" t="str">
        <f>IF(Z97=1,SUM($Z$5:$Z97),"")</f>
        <v/>
      </c>
    </row>
    <row r="98" spans="1:27">
      <c r="A98" s="22" t="s">
        <v>476</v>
      </c>
      <c r="B98" s="22" t="s">
        <v>254</v>
      </c>
      <c r="C98" s="22" t="s">
        <v>291</v>
      </c>
      <c r="D98" s="22" t="s">
        <v>303</v>
      </c>
      <c r="E98" s="22" t="s">
        <v>180</v>
      </c>
      <c r="F98" s="23">
        <v>2</v>
      </c>
      <c r="G98" s="23" t="s">
        <v>75</v>
      </c>
      <c r="H98" s="24">
        <v>2300</v>
      </c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6" t="s">
        <v>272</v>
      </c>
      <c r="U98" s="23">
        <f t="shared" si="18"/>
        <v>0</v>
      </c>
      <c r="V98" s="22" t="str">
        <f t="shared" si="19"/>
        <v>○ 免調理</v>
      </c>
      <c r="W98" s="18" t="str">
        <f t="shared" si="20"/>
        <v>免調理半成品（外購/僅切配等），不列入設備風險評估</v>
      </c>
      <c r="X98" s="22" t="s">
        <v>304</v>
      </c>
      <c r="Y98" s="22" t="s">
        <v>338</v>
      </c>
      <c r="Z98" s="27">
        <f>IF($D98="",0,IF(COUNTIF($D$5:$D98,$D98)=1,1,0))</f>
        <v>1</v>
      </c>
      <c r="AA98" s="27">
        <f>IF(Z98=1,SUM($Z$5:$Z98),"")</f>
        <v>21</v>
      </c>
    </row>
    <row r="99" spans="1:27">
      <c r="A99" s="22" t="s">
        <v>476</v>
      </c>
      <c r="B99" s="22" t="s">
        <v>254</v>
      </c>
      <c r="C99" s="22" t="s">
        <v>302</v>
      </c>
      <c r="D99" s="22" t="s">
        <v>179</v>
      </c>
      <c r="E99" s="22" t="s">
        <v>181</v>
      </c>
      <c r="F99" s="23">
        <v>10</v>
      </c>
      <c r="G99" s="23" t="s">
        <v>346</v>
      </c>
      <c r="H99" s="24">
        <v>79</v>
      </c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6" t="s">
        <v>272</v>
      </c>
      <c r="U99" s="23">
        <f t="shared" si="18"/>
        <v>0</v>
      </c>
      <c r="V99" s="22" t="str">
        <f t="shared" si="19"/>
        <v>○ 免調理</v>
      </c>
      <c r="W99" s="18" t="str">
        <f t="shared" si="20"/>
        <v>免調理半成品（外購/僅切配等），不列入設備風險評估</v>
      </c>
      <c r="X99" s="22" t="s">
        <v>304</v>
      </c>
      <c r="Y99" s="22" t="s">
        <v>338</v>
      </c>
      <c r="Z99" s="27">
        <f>IF($D99="",0,IF(COUNTIF($D$5:$D99,$D99)=1,1,0))</f>
        <v>0</v>
      </c>
      <c r="AA99" s="27" t="str">
        <f>IF(Z99=1,SUM($Z$5:$Z99),"")</f>
        <v/>
      </c>
    </row>
    <row r="100" spans="1:27">
      <c r="A100" s="22" t="s">
        <v>476</v>
      </c>
      <c r="B100" s="22" t="s">
        <v>254</v>
      </c>
      <c r="C100" s="22" t="s">
        <v>285</v>
      </c>
      <c r="D100" s="22" t="s">
        <v>179</v>
      </c>
      <c r="E100" s="22" t="s">
        <v>182</v>
      </c>
      <c r="F100" s="23">
        <v>7</v>
      </c>
      <c r="G100" s="23" t="s">
        <v>346</v>
      </c>
      <c r="H100" s="24">
        <v>77.8</v>
      </c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6" t="s">
        <v>305</v>
      </c>
      <c r="U100" s="23">
        <f t="shared" si="18"/>
        <v>0</v>
      </c>
      <c r="V100" s="22" t="str">
        <f t="shared" si="19"/>
        <v>○ 免調理</v>
      </c>
      <c r="W100" s="18" t="str">
        <f t="shared" si="20"/>
        <v>免調理半成品（外購/僅切配等），不列入設備風險評估</v>
      </c>
      <c r="X100" s="22" t="s">
        <v>304</v>
      </c>
      <c r="Y100" s="22" t="s">
        <v>338</v>
      </c>
      <c r="Z100" s="27">
        <f>IF($D100="",0,IF(COUNTIF($D$5:$D100,$D100)=1,1,0))</f>
        <v>0</v>
      </c>
      <c r="AA100" s="27" t="str">
        <f>IF(Z100=1,SUM($Z$5:$Z100),"")</f>
        <v/>
      </c>
    </row>
    <row r="101" spans="1:27">
      <c r="A101" s="22" t="s">
        <v>476</v>
      </c>
      <c r="B101" s="22" t="s">
        <v>254</v>
      </c>
      <c r="C101" s="22" t="s">
        <v>291</v>
      </c>
      <c r="D101" s="22" t="s">
        <v>179</v>
      </c>
      <c r="E101" s="22" t="s">
        <v>183</v>
      </c>
      <c r="F101" s="23">
        <v>9</v>
      </c>
      <c r="G101" s="23" t="s">
        <v>346</v>
      </c>
      <c r="H101" s="24">
        <v>80</v>
      </c>
      <c r="I101" s="25"/>
      <c r="J101" s="25"/>
      <c r="K101" s="25"/>
      <c r="L101" s="25"/>
      <c r="M101" s="25"/>
      <c r="N101" s="25"/>
      <c r="O101" s="25" t="s">
        <v>337</v>
      </c>
      <c r="P101" s="25"/>
      <c r="Q101" s="25"/>
      <c r="R101" s="25"/>
      <c r="S101" s="25"/>
      <c r="T101" s="26"/>
      <c r="U101" s="23">
        <f t="shared" si="18"/>
        <v>1</v>
      </c>
      <c r="V101" s="22" t="str">
        <f t="shared" si="19"/>
        <v>▲ 單一設備依賴</v>
      </c>
      <c r="W101" s="18" t="str">
        <f t="shared" si="20"/>
        <v>僅依賴1台設備，須確認故障/排修時之備援製程</v>
      </c>
      <c r="X101" s="22" t="s">
        <v>304</v>
      </c>
      <c r="Y101" s="22" t="s">
        <v>338</v>
      </c>
      <c r="Z101" s="27">
        <f>IF($D101="",0,IF(COUNTIF($D$5:$D101,$D101)=1,1,0))</f>
        <v>0</v>
      </c>
      <c r="AA101" s="27" t="str">
        <f>IF(Z101=1,SUM($Z$5:$Z101),"")</f>
        <v/>
      </c>
    </row>
    <row r="102" spans="1:27">
      <c r="A102" s="22" t="s">
        <v>476</v>
      </c>
      <c r="B102" s="22" t="s">
        <v>254</v>
      </c>
      <c r="C102" s="22" t="s">
        <v>291</v>
      </c>
      <c r="D102" s="22" t="s">
        <v>179</v>
      </c>
      <c r="E102" s="22" t="s">
        <v>184</v>
      </c>
      <c r="F102" s="23">
        <v>15</v>
      </c>
      <c r="G102" s="23" t="s">
        <v>346</v>
      </c>
      <c r="H102" s="24">
        <v>95.7</v>
      </c>
      <c r="I102" s="25"/>
      <c r="J102" s="25"/>
      <c r="K102" s="25"/>
      <c r="L102" s="25"/>
      <c r="M102" s="25"/>
      <c r="N102" s="25"/>
      <c r="O102" s="25" t="s">
        <v>337</v>
      </c>
      <c r="P102" s="25"/>
      <c r="Q102" s="25"/>
      <c r="R102" s="25"/>
      <c r="S102" s="25"/>
      <c r="T102" s="26"/>
      <c r="U102" s="23">
        <f t="shared" si="18"/>
        <v>1</v>
      </c>
      <c r="V102" s="22" t="str">
        <f t="shared" si="19"/>
        <v>▲ 單一設備依賴</v>
      </c>
      <c r="W102" s="18" t="str">
        <f t="shared" si="20"/>
        <v>僅依賴1台設備，須確認故障/排修時之備援製程</v>
      </c>
      <c r="X102" s="22" t="s">
        <v>304</v>
      </c>
      <c r="Y102" s="22" t="s">
        <v>338</v>
      </c>
      <c r="Z102" s="27">
        <f>IF($D102="",0,IF(COUNTIF($D$5:$D102,$D102)=1,1,0))</f>
        <v>0</v>
      </c>
      <c r="AA102" s="27" t="str">
        <f>IF(Z102=1,SUM($Z$5:$Z102),"")</f>
        <v/>
      </c>
    </row>
    <row r="103" spans="1:27">
      <c r="A103" s="22" t="s">
        <v>476</v>
      </c>
      <c r="B103" s="22" t="s">
        <v>254</v>
      </c>
      <c r="C103" s="22" t="s">
        <v>291</v>
      </c>
      <c r="D103" s="22" t="s">
        <v>179</v>
      </c>
      <c r="E103" s="22" t="s">
        <v>410</v>
      </c>
      <c r="F103" s="23">
        <v>6</v>
      </c>
      <c r="G103" s="23" t="s">
        <v>346</v>
      </c>
      <c r="H103" s="24">
        <v>100</v>
      </c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6" t="s">
        <v>272</v>
      </c>
      <c r="U103" s="23">
        <f t="shared" si="18"/>
        <v>0</v>
      </c>
      <c r="V103" s="22" t="str">
        <f t="shared" si="19"/>
        <v>○ 免調理</v>
      </c>
      <c r="W103" s="18" t="str">
        <f t="shared" si="20"/>
        <v>免調理半成品（外購/僅切配等），不列入設備風險評估</v>
      </c>
      <c r="X103" s="22" t="s">
        <v>304</v>
      </c>
      <c r="Y103" s="22" t="s">
        <v>338</v>
      </c>
      <c r="Z103" s="27">
        <f>IF($D103="",0,IF(COUNTIF($D$5:$D103,$D103)=1,1,0))</f>
        <v>0</v>
      </c>
      <c r="AA103" s="27" t="str">
        <f>IF(Z103=1,SUM($Z$5:$Z103),"")</f>
        <v/>
      </c>
    </row>
    <row r="104" spans="1:27">
      <c r="A104" s="22" t="s">
        <v>476</v>
      </c>
      <c r="B104" s="22" t="s">
        <v>254</v>
      </c>
      <c r="C104" s="22" t="s">
        <v>291</v>
      </c>
      <c r="D104" s="22" t="s">
        <v>185</v>
      </c>
      <c r="E104" s="22" t="s">
        <v>180</v>
      </c>
      <c r="F104" s="23">
        <v>2</v>
      </c>
      <c r="G104" s="23" t="s">
        <v>75</v>
      </c>
      <c r="H104" s="24">
        <v>2300</v>
      </c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6" t="s">
        <v>279</v>
      </c>
      <c r="U104" s="23">
        <f t="shared" si="18"/>
        <v>0</v>
      </c>
      <c r="V104" s="22" t="str">
        <f t="shared" si="19"/>
        <v>○ 免調理</v>
      </c>
      <c r="W104" s="18" t="str">
        <f t="shared" si="20"/>
        <v>免調理半成品（外購/僅切配等），不列入設備風險評估</v>
      </c>
      <c r="X104" s="22" t="s">
        <v>306</v>
      </c>
      <c r="Y104" s="22" t="s">
        <v>338</v>
      </c>
      <c r="Z104" s="27">
        <f>IF($D104="",0,IF(COUNTIF($D$5:$D104,$D104)=1,1,0))</f>
        <v>1</v>
      </c>
      <c r="AA104" s="27">
        <f>IF(Z104=1,SUM($Z$5:$Z104),"")</f>
        <v>22</v>
      </c>
    </row>
    <row r="105" spans="1:27">
      <c r="A105" s="22" t="s">
        <v>476</v>
      </c>
      <c r="B105" s="22" t="s">
        <v>254</v>
      </c>
      <c r="C105" s="22" t="s">
        <v>291</v>
      </c>
      <c r="D105" s="22" t="s">
        <v>185</v>
      </c>
      <c r="E105" s="22" t="s">
        <v>410</v>
      </c>
      <c r="F105" s="23">
        <v>3</v>
      </c>
      <c r="G105" s="23" t="s">
        <v>346</v>
      </c>
      <c r="H105" s="24">
        <v>100</v>
      </c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6" t="s">
        <v>272</v>
      </c>
      <c r="U105" s="23">
        <f t="shared" si="18"/>
        <v>0</v>
      </c>
      <c r="V105" s="22" t="str">
        <f t="shared" si="19"/>
        <v>○ 免調理</v>
      </c>
      <c r="W105" s="18" t="str">
        <f t="shared" si="20"/>
        <v>免調理半成品（外購/僅切配等），不列入設備風險評估</v>
      </c>
      <c r="X105" s="22" t="s">
        <v>306</v>
      </c>
      <c r="Y105" s="22" t="s">
        <v>338</v>
      </c>
      <c r="Z105" s="27">
        <f>IF($D105="",0,IF(COUNTIF($D$5:$D105,$D105)=1,1,0))</f>
        <v>0</v>
      </c>
      <c r="AA105" s="27" t="str">
        <f>IF(Z105=1,SUM($Z$5:$Z105),"")</f>
        <v/>
      </c>
    </row>
    <row r="106" spans="1:27">
      <c r="A106" s="22" t="s">
        <v>476</v>
      </c>
      <c r="B106" s="22" t="s">
        <v>254</v>
      </c>
      <c r="C106" s="22" t="s">
        <v>291</v>
      </c>
      <c r="D106" s="22" t="s">
        <v>185</v>
      </c>
      <c r="E106" s="22" t="s">
        <v>184</v>
      </c>
      <c r="F106" s="23">
        <v>18</v>
      </c>
      <c r="G106" s="23" t="s">
        <v>346</v>
      </c>
      <c r="H106" s="24">
        <v>79.400000000000006</v>
      </c>
      <c r="I106" s="25"/>
      <c r="J106" s="25"/>
      <c r="K106" s="25"/>
      <c r="L106" s="25"/>
      <c r="M106" s="25"/>
      <c r="N106" s="25"/>
      <c r="O106" s="25" t="s">
        <v>272</v>
      </c>
      <c r="P106" s="25"/>
      <c r="Q106" s="25"/>
      <c r="R106" s="25"/>
      <c r="S106" s="25"/>
      <c r="T106" s="26"/>
      <c r="U106" s="23">
        <f t="shared" si="18"/>
        <v>1</v>
      </c>
      <c r="V106" s="22" t="str">
        <f t="shared" si="19"/>
        <v>▲ 單一設備依賴</v>
      </c>
      <c r="W106" s="18" t="str">
        <f t="shared" si="20"/>
        <v>僅依賴1台設備，須確認故障/排修時之備援製程</v>
      </c>
      <c r="X106" s="22" t="s">
        <v>306</v>
      </c>
      <c r="Y106" s="22" t="s">
        <v>338</v>
      </c>
      <c r="Z106" s="27">
        <f>IF($D106="",0,IF(COUNTIF($D$5:$D106,$D106)=1,1,0))</f>
        <v>0</v>
      </c>
      <c r="AA106" s="27" t="str">
        <f>IF(Z106=1,SUM($Z$5:$Z106),"")</f>
        <v/>
      </c>
    </row>
    <row r="107" spans="1:27">
      <c r="A107" s="22" t="s">
        <v>476</v>
      </c>
      <c r="B107" s="22" t="s">
        <v>254</v>
      </c>
      <c r="C107" s="22" t="s">
        <v>291</v>
      </c>
      <c r="D107" s="22" t="s">
        <v>185</v>
      </c>
      <c r="E107" s="22" t="s">
        <v>186</v>
      </c>
      <c r="F107" s="23">
        <v>2</v>
      </c>
      <c r="G107" s="23" t="s">
        <v>346</v>
      </c>
      <c r="H107" s="24">
        <v>58.2</v>
      </c>
      <c r="I107" s="25"/>
      <c r="J107" s="25"/>
      <c r="K107" s="25"/>
      <c r="L107" s="25"/>
      <c r="M107" s="25"/>
      <c r="N107" s="25"/>
      <c r="O107" s="25" t="s">
        <v>279</v>
      </c>
      <c r="P107" s="25"/>
      <c r="Q107" s="25"/>
      <c r="R107" s="25"/>
      <c r="S107" s="25"/>
      <c r="T107" s="26"/>
      <c r="U107" s="23">
        <f t="shared" si="18"/>
        <v>1</v>
      </c>
      <c r="V107" s="22" t="str">
        <f t="shared" si="19"/>
        <v>▲ 單一設備依賴</v>
      </c>
      <c r="W107" s="18" t="str">
        <f t="shared" si="20"/>
        <v>僅依賴1台設備，須確認故障/排修時之備援製程</v>
      </c>
      <c r="X107" s="22" t="s">
        <v>306</v>
      </c>
      <c r="Y107" s="22" t="s">
        <v>338</v>
      </c>
      <c r="Z107" s="27">
        <f>IF($D107="",0,IF(COUNTIF($D$5:$D107,$D107)=1,1,0))</f>
        <v>0</v>
      </c>
      <c r="AA107" s="27" t="str">
        <f>IF(Z107=1,SUM($Z$5:$Z107),"")</f>
        <v/>
      </c>
    </row>
    <row r="108" spans="1:27">
      <c r="A108" s="22" t="s">
        <v>476</v>
      </c>
      <c r="B108" s="22" t="s">
        <v>254</v>
      </c>
      <c r="C108" s="22" t="s">
        <v>291</v>
      </c>
      <c r="D108" s="22" t="s">
        <v>185</v>
      </c>
      <c r="E108" s="22" t="s">
        <v>187</v>
      </c>
      <c r="F108" s="23">
        <v>2</v>
      </c>
      <c r="G108" s="23" t="s">
        <v>75</v>
      </c>
      <c r="H108" s="24">
        <v>1000</v>
      </c>
      <c r="I108" s="25"/>
      <c r="J108" s="25"/>
      <c r="K108" s="25" t="s">
        <v>307</v>
      </c>
      <c r="L108" s="25"/>
      <c r="M108" s="25"/>
      <c r="N108" s="25"/>
      <c r="O108" s="25"/>
      <c r="P108" s="25"/>
      <c r="Q108" s="25"/>
      <c r="R108" s="25"/>
      <c r="S108" s="25"/>
      <c r="T108" s="26"/>
      <c r="U108" s="23">
        <f t="shared" si="18"/>
        <v>1</v>
      </c>
      <c r="V108" s="22" t="str">
        <f t="shared" si="19"/>
        <v>▲ 單一設備依賴</v>
      </c>
      <c r="W108" s="18" t="str">
        <f t="shared" si="20"/>
        <v>僅依賴1台設備，須確認故障/排修時之備援製程</v>
      </c>
      <c r="X108" s="22" t="s">
        <v>306</v>
      </c>
      <c r="Y108" s="22" t="s">
        <v>338</v>
      </c>
      <c r="Z108" s="27">
        <f>IF($D108="",0,IF(COUNTIF($D$5:$D108,$D108)=1,1,0))</f>
        <v>0</v>
      </c>
      <c r="AA108" s="27" t="str">
        <f>IF(Z108=1,SUM($Z$5:$Z108),"")</f>
        <v/>
      </c>
    </row>
    <row r="109" spans="1:27">
      <c r="A109" s="22" t="s">
        <v>476</v>
      </c>
      <c r="B109" s="22" t="s">
        <v>254</v>
      </c>
      <c r="C109" s="22" t="s">
        <v>291</v>
      </c>
      <c r="D109" s="22" t="s">
        <v>185</v>
      </c>
      <c r="E109" s="22" t="s">
        <v>188</v>
      </c>
      <c r="F109" s="23">
        <v>1</v>
      </c>
      <c r="G109" s="23" t="s">
        <v>75</v>
      </c>
      <c r="H109" s="24">
        <v>3200</v>
      </c>
      <c r="I109" s="25"/>
      <c r="J109" s="25"/>
      <c r="K109" s="25" t="s">
        <v>279</v>
      </c>
      <c r="L109" s="25"/>
      <c r="M109" s="25"/>
      <c r="N109" s="25"/>
      <c r="O109" s="25"/>
      <c r="P109" s="25"/>
      <c r="Q109" s="25"/>
      <c r="R109" s="25"/>
      <c r="S109" s="25"/>
      <c r="T109" s="26"/>
      <c r="U109" s="23">
        <f t="shared" si="18"/>
        <v>1</v>
      </c>
      <c r="V109" s="22" t="str">
        <f t="shared" si="19"/>
        <v>▲ 單一設備依賴</v>
      </c>
      <c r="W109" s="18" t="str">
        <f t="shared" si="20"/>
        <v>僅依賴1台設備，須確認故障/排修時之備援製程</v>
      </c>
      <c r="X109" s="22" t="s">
        <v>306</v>
      </c>
      <c r="Y109" s="22" t="s">
        <v>338</v>
      </c>
      <c r="Z109" s="27">
        <f>IF($D109="",0,IF(COUNTIF($D$5:$D109,$D109)=1,1,0))</f>
        <v>0</v>
      </c>
      <c r="AA109" s="27" t="str">
        <f>IF(Z109=1,SUM($Z$5:$Z109),"")</f>
        <v/>
      </c>
    </row>
    <row r="110" spans="1:27">
      <c r="A110" s="22" t="s">
        <v>476</v>
      </c>
      <c r="B110" s="22" t="s">
        <v>254</v>
      </c>
      <c r="C110" s="22" t="s">
        <v>291</v>
      </c>
      <c r="D110" s="22" t="s">
        <v>185</v>
      </c>
      <c r="E110" s="22" t="s">
        <v>181</v>
      </c>
      <c r="F110" s="23">
        <v>10</v>
      </c>
      <c r="G110" s="23" t="s">
        <v>346</v>
      </c>
      <c r="H110" s="24">
        <v>66</v>
      </c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6" t="s">
        <v>307</v>
      </c>
      <c r="U110" s="23">
        <f t="shared" si="18"/>
        <v>0</v>
      </c>
      <c r="V110" s="22" t="str">
        <f t="shared" si="19"/>
        <v>○ 免調理</v>
      </c>
      <c r="W110" s="18" t="str">
        <f t="shared" si="20"/>
        <v>免調理半成品（外購/僅切配等），不列入設備風險評估</v>
      </c>
      <c r="X110" s="22" t="s">
        <v>306</v>
      </c>
      <c r="Y110" s="22" t="s">
        <v>338</v>
      </c>
      <c r="Z110" s="27">
        <f>IF($D110="",0,IF(COUNTIF($D$5:$D110,$D110)=1,1,0))</f>
        <v>0</v>
      </c>
      <c r="AA110" s="27" t="str">
        <f>IF(Z110=1,SUM($Z$5:$Z110),"")</f>
        <v/>
      </c>
    </row>
    <row r="111" spans="1:27">
      <c r="A111" s="22" t="s">
        <v>476</v>
      </c>
      <c r="B111" s="22" t="s">
        <v>254</v>
      </c>
      <c r="C111" s="22" t="s">
        <v>291</v>
      </c>
      <c r="D111" s="22" t="s">
        <v>185</v>
      </c>
      <c r="E111" s="22" t="s">
        <v>182</v>
      </c>
      <c r="F111" s="23">
        <v>6</v>
      </c>
      <c r="G111" s="23" t="s">
        <v>346</v>
      </c>
      <c r="H111" s="24">
        <v>77.8</v>
      </c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6" t="s">
        <v>272</v>
      </c>
      <c r="U111" s="23">
        <f t="shared" si="18"/>
        <v>0</v>
      </c>
      <c r="V111" s="22" t="str">
        <f t="shared" si="19"/>
        <v>○ 免調理</v>
      </c>
      <c r="W111" s="18" t="str">
        <f t="shared" si="20"/>
        <v>免調理半成品（外購/僅切配等），不列入設備風險評估</v>
      </c>
      <c r="X111" s="22" t="s">
        <v>306</v>
      </c>
      <c r="Y111" s="22" t="s">
        <v>338</v>
      </c>
      <c r="Z111" s="27">
        <f>IF($D111="",0,IF(COUNTIF($D$5:$D111,$D111)=1,1,0))</f>
        <v>0</v>
      </c>
      <c r="AA111" s="27" t="str">
        <f>IF(Z111=1,SUM($Z$5:$Z111),"")</f>
        <v/>
      </c>
    </row>
    <row r="112" spans="1:27">
      <c r="A112" s="22" t="s">
        <v>476</v>
      </c>
      <c r="B112" s="22" t="s">
        <v>254</v>
      </c>
      <c r="C112" s="22" t="s">
        <v>291</v>
      </c>
      <c r="D112" s="22" t="s">
        <v>189</v>
      </c>
      <c r="E112" s="22" t="s">
        <v>167</v>
      </c>
      <c r="F112" s="23">
        <v>3</v>
      </c>
      <c r="G112" s="23" t="s">
        <v>75</v>
      </c>
      <c r="H112" s="24">
        <v>2700</v>
      </c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6" t="s">
        <v>310</v>
      </c>
      <c r="U112" s="23">
        <f t="shared" si="18"/>
        <v>0</v>
      </c>
      <c r="V112" s="22" t="str">
        <f t="shared" si="19"/>
        <v>○ 免調理</v>
      </c>
      <c r="W112" s="18" t="str">
        <f t="shared" si="20"/>
        <v>免調理半成品（外購/僅切配等），不列入設備風險評估</v>
      </c>
      <c r="X112" s="22" t="s">
        <v>308</v>
      </c>
      <c r="Y112" s="22" t="s">
        <v>338</v>
      </c>
      <c r="Z112" s="27">
        <f>IF($D112="",0,IF(COUNTIF($D$5:$D112,$D112)=1,1,0))</f>
        <v>1</v>
      </c>
      <c r="AA112" s="27">
        <f>IF(Z112=1,SUM($Z$5:$Z112),"")</f>
        <v>23</v>
      </c>
    </row>
    <row r="113" spans="1:27">
      <c r="A113" s="22" t="s">
        <v>476</v>
      </c>
      <c r="B113" s="22" t="s">
        <v>254</v>
      </c>
      <c r="C113" s="22" t="s">
        <v>291</v>
      </c>
      <c r="D113" s="22" t="s">
        <v>189</v>
      </c>
      <c r="E113" s="22" t="s">
        <v>190</v>
      </c>
      <c r="F113" s="23">
        <v>25</v>
      </c>
      <c r="G113" s="23" t="s">
        <v>346</v>
      </c>
      <c r="H113" s="24">
        <v>95.1</v>
      </c>
      <c r="I113" s="25"/>
      <c r="J113" s="25"/>
      <c r="K113" s="25"/>
      <c r="L113" s="25"/>
      <c r="M113" s="25"/>
      <c r="N113" s="25"/>
      <c r="O113" s="25" t="s">
        <v>279</v>
      </c>
      <c r="P113" s="25"/>
      <c r="Q113" s="25"/>
      <c r="R113" s="25"/>
      <c r="S113" s="25"/>
      <c r="T113" s="26"/>
      <c r="U113" s="23">
        <f t="shared" si="18"/>
        <v>1</v>
      </c>
      <c r="V113" s="22" t="str">
        <f t="shared" si="19"/>
        <v>▲ 單一設備依賴</v>
      </c>
      <c r="W113" s="18" t="str">
        <f t="shared" si="20"/>
        <v>僅依賴1台設備，須確認故障/排修時之備援製程</v>
      </c>
      <c r="X113" s="22" t="s">
        <v>308</v>
      </c>
      <c r="Y113" s="22" t="s">
        <v>338</v>
      </c>
      <c r="Z113" s="27">
        <f>IF($D113="",0,IF(COUNTIF($D$5:$D113,$D113)=1,1,0))</f>
        <v>0</v>
      </c>
      <c r="AA113" s="27" t="str">
        <f>IF(Z113=1,SUM($Z$5:$Z113),"")</f>
        <v/>
      </c>
    </row>
    <row r="114" spans="1:27">
      <c r="A114" s="22" t="s">
        <v>476</v>
      </c>
      <c r="B114" s="22" t="s">
        <v>254</v>
      </c>
      <c r="C114" s="22" t="s">
        <v>291</v>
      </c>
      <c r="D114" s="22" t="s">
        <v>309</v>
      </c>
      <c r="E114" s="22" t="s">
        <v>191</v>
      </c>
      <c r="F114" s="23">
        <v>0.25</v>
      </c>
      <c r="G114" s="23" t="s">
        <v>75</v>
      </c>
      <c r="H114" s="24">
        <v>8000</v>
      </c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6" t="s">
        <v>310</v>
      </c>
      <c r="U114" s="23">
        <f t="shared" si="18"/>
        <v>0</v>
      </c>
      <c r="V114" s="22" t="str">
        <f t="shared" si="19"/>
        <v>○ 免調理</v>
      </c>
      <c r="W114" s="18" t="str">
        <f t="shared" si="20"/>
        <v>免調理半成品（外購/僅切配等），不列入設備風險評估</v>
      </c>
      <c r="X114" s="22" t="s">
        <v>308</v>
      </c>
      <c r="Y114" s="22" t="s">
        <v>338</v>
      </c>
      <c r="Z114" s="27">
        <f>IF($D114="",0,IF(COUNTIF($D$5:$D114,$D114)=1,1,0))</f>
        <v>0</v>
      </c>
      <c r="AA114" s="27" t="str">
        <f>IF(Z114=1,SUM($Z$5:$Z114),"")</f>
        <v/>
      </c>
    </row>
    <row r="115" spans="1:27">
      <c r="A115" s="22" t="s">
        <v>476</v>
      </c>
      <c r="B115" s="22" t="s">
        <v>254</v>
      </c>
      <c r="C115" s="22" t="s">
        <v>291</v>
      </c>
      <c r="D115" s="22" t="s">
        <v>451</v>
      </c>
      <c r="E115" s="22" t="s">
        <v>170</v>
      </c>
      <c r="F115" s="23">
        <v>38</v>
      </c>
      <c r="G115" s="23" t="s">
        <v>346</v>
      </c>
      <c r="H115" s="24">
        <v>100</v>
      </c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6" t="s">
        <v>272</v>
      </c>
      <c r="U115" s="23">
        <f t="shared" si="18"/>
        <v>0</v>
      </c>
      <c r="V115" s="22" t="str">
        <f t="shared" si="19"/>
        <v>○ 免調理</v>
      </c>
      <c r="W115" s="18" t="str">
        <f t="shared" si="20"/>
        <v>免調理半成品（外購/僅切配等），不列入設備風險評估</v>
      </c>
      <c r="X115" s="22" t="s">
        <v>308</v>
      </c>
      <c r="Y115" s="22" t="s">
        <v>338</v>
      </c>
      <c r="Z115" s="27">
        <f>IF($D115="",0,IF(COUNTIF($D$5:$D115,$D115)=1,1,0))</f>
        <v>0</v>
      </c>
      <c r="AA115" s="27" t="str">
        <f>IF(Z115=1,SUM($Z$5:$Z115),"")</f>
        <v/>
      </c>
    </row>
    <row r="116" spans="1:27">
      <c r="A116" s="22" t="s">
        <v>476</v>
      </c>
      <c r="B116" s="22" t="s">
        <v>254</v>
      </c>
      <c r="C116" s="22" t="s">
        <v>291</v>
      </c>
      <c r="D116" s="22" t="s">
        <v>194</v>
      </c>
      <c r="E116" s="22" t="s">
        <v>180</v>
      </c>
      <c r="F116" s="23">
        <v>2</v>
      </c>
      <c r="G116" s="23" t="s">
        <v>75</v>
      </c>
      <c r="H116" s="24">
        <v>2300</v>
      </c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6" t="s">
        <v>312</v>
      </c>
      <c r="U116" s="23">
        <f t="shared" si="18"/>
        <v>0</v>
      </c>
      <c r="V116" s="22" t="str">
        <f t="shared" si="19"/>
        <v>○ 免調理</v>
      </c>
      <c r="W116" s="18" t="str">
        <f t="shared" si="20"/>
        <v>免調理半成品（外購/僅切配等），不列入設備風險評估</v>
      </c>
      <c r="X116" s="22" t="s">
        <v>311</v>
      </c>
      <c r="Y116" s="22" t="s">
        <v>338</v>
      </c>
      <c r="Z116" s="27">
        <f>IF($D116="",0,IF(COUNTIF($D$5:$D116,$D116)=1,1,0))</f>
        <v>1</v>
      </c>
      <c r="AA116" s="27">
        <f>IF(Z116=1,SUM($Z$5:$Z116),"")</f>
        <v>24</v>
      </c>
    </row>
    <row r="117" spans="1:27">
      <c r="A117" s="22" t="s">
        <v>476</v>
      </c>
      <c r="B117" s="22" t="s">
        <v>254</v>
      </c>
      <c r="C117" s="22" t="s">
        <v>291</v>
      </c>
      <c r="D117" s="22" t="s">
        <v>194</v>
      </c>
      <c r="E117" s="22" t="s">
        <v>184</v>
      </c>
      <c r="F117" s="23">
        <v>15</v>
      </c>
      <c r="G117" s="23" t="s">
        <v>346</v>
      </c>
      <c r="H117" s="24">
        <v>95.7</v>
      </c>
      <c r="I117" s="25"/>
      <c r="J117" s="25"/>
      <c r="K117" s="25"/>
      <c r="L117" s="25"/>
      <c r="M117" s="25"/>
      <c r="N117" s="25"/>
      <c r="O117" s="25" t="s">
        <v>272</v>
      </c>
      <c r="P117" s="25"/>
      <c r="Q117" s="25"/>
      <c r="R117" s="25"/>
      <c r="S117" s="25"/>
      <c r="T117" s="26"/>
      <c r="U117" s="23">
        <f t="shared" si="18"/>
        <v>1</v>
      </c>
      <c r="V117" s="22" t="str">
        <f t="shared" si="19"/>
        <v>▲ 單一設備依賴</v>
      </c>
      <c r="W117" s="18" t="str">
        <f t="shared" si="20"/>
        <v>僅依賴1台設備，須確認故障/排修時之備援製程</v>
      </c>
      <c r="X117" s="22" t="s">
        <v>311</v>
      </c>
      <c r="Y117" s="22" t="s">
        <v>338</v>
      </c>
      <c r="Z117" s="27">
        <f>IF($D117="",0,IF(COUNTIF($D$5:$D117,$D117)=1,1,0))</f>
        <v>0</v>
      </c>
      <c r="AA117" s="27" t="str">
        <f>IF(Z117=1,SUM($Z$5:$Z117),"")</f>
        <v/>
      </c>
    </row>
    <row r="118" spans="1:27">
      <c r="A118" s="22" t="s">
        <v>476</v>
      </c>
      <c r="B118" s="22" t="s">
        <v>254</v>
      </c>
      <c r="C118" s="22" t="s">
        <v>291</v>
      </c>
      <c r="D118" s="22" t="s">
        <v>194</v>
      </c>
      <c r="E118" s="22" t="s">
        <v>191</v>
      </c>
      <c r="F118" s="23">
        <v>0.25</v>
      </c>
      <c r="G118" s="23" t="s">
        <v>75</v>
      </c>
      <c r="H118" s="24">
        <v>8000</v>
      </c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6" t="s">
        <v>272</v>
      </c>
      <c r="U118" s="23">
        <f t="shared" si="18"/>
        <v>0</v>
      </c>
      <c r="V118" s="22" t="str">
        <f t="shared" si="19"/>
        <v>○ 免調理</v>
      </c>
      <c r="W118" s="18" t="str">
        <f t="shared" si="20"/>
        <v>免調理半成品（外購/僅切配等），不列入設備風險評估</v>
      </c>
      <c r="X118" s="22" t="s">
        <v>311</v>
      </c>
      <c r="Y118" s="22" t="s">
        <v>338</v>
      </c>
      <c r="Z118" s="27">
        <f>IF($D118="",0,IF(COUNTIF($D$5:$D118,$D118)=1,1,0))</f>
        <v>0</v>
      </c>
      <c r="AA118" s="27" t="str">
        <f>IF(Z118=1,SUM($Z$5:$Z118),"")</f>
        <v/>
      </c>
    </row>
    <row r="119" spans="1:27">
      <c r="A119" s="22" t="s">
        <v>476</v>
      </c>
      <c r="B119" s="22" t="s">
        <v>254</v>
      </c>
      <c r="C119" s="22" t="s">
        <v>291</v>
      </c>
      <c r="D119" s="22" t="s">
        <v>194</v>
      </c>
      <c r="E119" s="22" t="s">
        <v>192</v>
      </c>
      <c r="F119" s="23">
        <v>2</v>
      </c>
      <c r="G119" s="23" t="s">
        <v>346</v>
      </c>
      <c r="H119" s="24">
        <v>95.4</v>
      </c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6" t="s">
        <v>310</v>
      </c>
      <c r="U119" s="23">
        <f t="shared" si="18"/>
        <v>0</v>
      </c>
      <c r="V119" s="22" t="str">
        <f t="shared" si="19"/>
        <v>○ 免調理</v>
      </c>
      <c r="W119" s="18" t="str">
        <f t="shared" si="20"/>
        <v>免調理半成品（外購/僅切配等），不列入設備風險評估</v>
      </c>
      <c r="X119" s="22" t="s">
        <v>311</v>
      </c>
      <c r="Y119" s="22" t="s">
        <v>338</v>
      </c>
      <c r="Z119" s="27">
        <f>IF($D119="",0,IF(COUNTIF($D$5:$D119,$D119)=1,1,0))</f>
        <v>0</v>
      </c>
      <c r="AA119" s="27" t="str">
        <f>IF(Z119=1,SUM($Z$5:$Z119),"")</f>
        <v/>
      </c>
    </row>
    <row r="120" spans="1:27">
      <c r="A120" s="22" t="s">
        <v>476</v>
      </c>
      <c r="B120" s="22" t="s">
        <v>254</v>
      </c>
      <c r="C120" s="22" t="s">
        <v>291</v>
      </c>
      <c r="D120" s="22" t="s">
        <v>194</v>
      </c>
      <c r="E120" s="22" t="s">
        <v>182</v>
      </c>
      <c r="F120" s="23">
        <v>7</v>
      </c>
      <c r="G120" s="23" t="s">
        <v>346</v>
      </c>
      <c r="H120" s="24">
        <v>77.8</v>
      </c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6" t="s">
        <v>272</v>
      </c>
      <c r="U120" s="23">
        <f t="shared" si="18"/>
        <v>0</v>
      </c>
      <c r="V120" s="22" t="str">
        <f t="shared" si="19"/>
        <v>○ 免調理</v>
      </c>
      <c r="W120" s="18" t="str">
        <f t="shared" si="20"/>
        <v>免調理半成品（外購/僅切配等），不列入設備風險評估</v>
      </c>
      <c r="X120" s="22" t="s">
        <v>311</v>
      </c>
      <c r="Y120" s="22" t="s">
        <v>338</v>
      </c>
      <c r="Z120" s="27">
        <f>IF($D120="",0,IF(COUNTIF($D$5:$D120,$D120)=1,1,0))</f>
        <v>0</v>
      </c>
      <c r="AA120" s="27" t="str">
        <f>IF(Z120=1,SUM($Z$5:$Z120),"")</f>
        <v/>
      </c>
    </row>
    <row r="121" spans="1:27">
      <c r="A121" s="22" t="s">
        <v>476</v>
      </c>
      <c r="B121" s="22" t="s">
        <v>254</v>
      </c>
      <c r="C121" s="22" t="s">
        <v>291</v>
      </c>
      <c r="D121" s="22" t="s">
        <v>194</v>
      </c>
      <c r="E121" s="22" t="s">
        <v>162</v>
      </c>
      <c r="F121" s="23">
        <v>10</v>
      </c>
      <c r="G121" s="23" t="s">
        <v>346</v>
      </c>
      <c r="H121" s="24">
        <v>79</v>
      </c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6" t="s">
        <v>310</v>
      </c>
      <c r="U121" s="23">
        <f t="shared" si="18"/>
        <v>0</v>
      </c>
      <c r="V121" s="22" t="str">
        <f t="shared" si="19"/>
        <v>○ 免調理</v>
      </c>
      <c r="W121" s="18" t="str">
        <f t="shared" si="20"/>
        <v>免調理半成品（外購/僅切配等），不列入設備風險評估</v>
      </c>
      <c r="X121" s="22" t="s">
        <v>311</v>
      </c>
      <c r="Y121" s="22" t="s">
        <v>338</v>
      </c>
      <c r="Z121" s="27">
        <f>IF($D121="",0,IF(COUNTIF($D$5:$D121,$D121)=1,1,0))</f>
        <v>0</v>
      </c>
      <c r="AA121" s="27" t="str">
        <f>IF(Z121=1,SUM($Z$5:$Z121),"")</f>
        <v/>
      </c>
    </row>
    <row r="122" spans="1:27">
      <c r="A122" s="22" t="s">
        <v>476</v>
      </c>
      <c r="B122" s="22" t="s">
        <v>254</v>
      </c>
      <c r="C122" s="22" t="s">
        <v>291</v>
      </c>
      <c r="D122" s="22" t="s">
        <v>194</v>
      </c>
      <c r="E122" s="22" t="s">
        <v>193</v>
      </c>
      <c r="F122" s="23">
        <v>19</v>
      </c>
      <c r="G122" s="23" t="s">
        <v>346</v>
      </c>
      <c r="H122" s="24">
        <v>94.7</v>
      </c>
      <c r="I122" s="25"/>
      <c r="J122" s="25"/>
      <c r="K122" s="25"/>
      <c r="L122" s="25"/>
      <c r="M122" s="25" t="s">
        <v>272</v>
      </c>
      <c r="N122" s="25"/>
      <c r="O122" s="25" t="s">
        <v>272</v>
      </c>
      <c r="P122" s="25"/>
      <c r="Q122" s="25"/>
      <c r="R122" s="25"/>
      <c r="S122" s="25"/>
      <c r="T122" s="26"/>
      <c r="U122" s="23">
        <f t="shared" si="18"/>
        <v>2</v>
      </c>
      <c r="V122" s="22" t="str">
        <f t="shared" si="19"/>
        <v>OK</v>
      </c>
      <c r="W122" s="18" t="str">
        <f t="shared" si="20"/>
        <v>無異常</v>
      </c>
      <c r="X122" s="22" t="s">
        <v>311</v>
      </c>
      <c r="Y122" s="22" t="s">
        <v>338</v>
      </c>
      <c r="Z122" s="27">
        <f>IF($D122="",0,IF(COUNTIF($D$5:$D122,$D122)=1,1,0))</f>
        <v>0</v>
      </c>
      <c r="AA122" s="27" t="str">
        <f>IF(Z122=1,SUM($Z$5:$Z122),"")</f>
        <v/>
      </c>
    </row>
    <row r="123" spans="1:27">
      <c r="A123" s="22" t="s">
        <v>476</v>
      </c>
      <c r="B123" s="22" t="s">
        <v>254</v>
      </c>
      <c r="C123" s="22" t="s">
        <v>291</v>
      </c>
      <c r="D123" s="22" t="s">
        <v>194</v>
      </c>
      <c r="E123" s="22" t="s">
        <v>132</v>
      </c>
      <c r="F123" s="23">
        <v>0.5</v>
      </c>
      <c r="G123" s="23" t="s">
        <v>75</v>
      </c>
      <c r="H123" s="24">
        <v>100</v>
      </c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6" t="s">
        <v>313</v>
      </c>
      <c r="U123" s="23">
        <f t="shared" si="18"/>
        <v>0</v>
      </c>
      <c r="V123" s="22" t="str">
        <f t="shared" si="19"/>
        <v>○ 免調理</v>
      </c>
      <c r="W123" s="18" t="str">
        <f t="shared" si="20"/>
        <v>免調理半成品（外購/僅切配等），不列入設備風險評估</v>
      </c>
      <c r="X123" s="22" t="s">
        <v>311</v>
      </c>
      <c r="Y123" s="22" t="s">
        <v>338</v>
      </c>
      <c r="Z123" s="27">
        <f>IF($D123="",0,IF(COUNTIF($D$5:$D123,$D123)=1,1,0))</f>
        <v>0</v>
      </c>
      <c r="AA123" s="27" t="str">
        <f>IF(Z123=1,SUM($Z$5:$Z123),"")</f>
        <v/>
      </c>
    </row>
    <row r="124" spans="1:27">
      <c r="A124" s="22" t="s">
        <v>476</v>
      </c>
      <c r="B124" s="22" t="s">
        <v>254</v>
      </c>
      <c r="C124" s="22" t="s">
        <v>291</v>
      </c>
      <c r="D124" s="22" t="s">
        <v>195</v>
      </c>
      <c r="E124" s="22" t="s">
        <v>180</v>
      </c>
      <c r="F124" s="23">
        <v>2</v>
      </c>
      <c r="G124" s="23" t="s">
        <v>75</v>
      </c>
      <c r="H124" s="24">
        <v>2300</v>
      </c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6" t="s">
        <v>272</v>
      </c>
      <c r="U124" s="23">
        <f t="shared" si="18"/>
        <v>0</v>
      </c>
      <c r="V124" s="22" t="str">
        <f t="shared" si="19"/>
        <v>○ 免調理</v>
      </c>
      <c r="W124" s="18" t="str">
        <f t="shared" si="20"/>
        <v>免調理半成品（外購/僅切配等），不列入設備風險評估</v>
      </c>
      <c r="X124" s="22" t="s">
        <v>314</v>
      </c>
      <c r="Y124" s="22" t="s">
        <v>338</v>
      </c>
      <c r="Z124" s="27">
        <f>IF($D124="",0,IF(COUNTIF($D$5:$D124,$D124)=1,1,0))</f>
        <v>1</v>
      </c>
      <c r="AA124" s="27">
        <f>IF(Z124=1,SUM($Z$5:$Z124),"")</f>
        <v>25</v>
      </c>
    </row>
    <row r="125" spans="1:27">
      <c r="A125" s="22" t="s">
        <v>476</v>
      </c>
      <c r="B125" s="22" t="s">
        <v>254</v>
      </c>
      <c r="C125" s="22" t="s">
        <v>291</v>
      </c>
      <c r="D125" s="22" t="s">
        <v>195</v>
      </c>
      <c r="E125" s="22" t="s">
        <v>196</v>
      </c>
      <c r="F125" s="23">
        <v>30</v>
      </c>
      <c r="G125" s="23" t="s">
        <v>346</v>
      </c>
      <c r="H125" s="24">
        <v>93.6</v>
      </c>
      <c r="I125" s="25"/>
      <c r="J125" s="25"/>
      <c r="K125" s="25"/>
      <c r="L125" s="25"/>
      <c r="M125" s="25"/>
      <c r="N125" s="25"/>
      <c r="O125" s="25" t="s">
        <v>272</v>
      </c>
      <c r="P125" s="25"/>
      <c r="Q125" s="25"/>
      <c r="R125" s="25"/>
      <c r="S125" s="25"/>
      <c r="T125" s="26"/>
      <c r="U125" s="23">
        <f t="shared" si="18"/>
        <v>1</v>
      </c>
      <c r="V125" s="22" t="str">
        <f t="shared" si="19"/>
        <v>▲ 單一設備依賴</v>
      </c>
      <c r="W125" s="18" t="str">
        <f t="shared" si="20"/>
        <v>僅依賴1台設備，須確認故障/排修時之備援製程</v>
      </c>
      <c r="X125" s="22" t="s">
        <v>314</v>
      </c>
      <c r="Y125" s="22" t="s">
        <v>338</v>
      </c>
      <c r="Z125" s="27">
        <f>IF($D125="",0,IF(COUNTIF($D$5:$D125,$D125)=1,1,0))</f>
        <v>0</v>
      </c>
      <c r="AA125" s="27" t="str">
        <f>IF(Z125=1,SUM($Z$5:$Z125),"")</f>
        <v/>
      </c>
    </row>
    <row r="126" spans="1:27">
      <c r="A126" s="22" t="s">
        <v>476</v>
      </c>
      <c r="B126" s="22" t="s">
        <v>254</v>
      </c>
      <c r="C126" s="22" t="s">
        <v>291</v>
      </c>
      <c r="D126" s="22" t="s">
        <v>195</v>
      </c>
      <c r="E126" s="22" t="s">
        <v>191</v>
      </c>
      <c r="F126" s="23">
        <v>0.25</v>
      </c>
      <c r="G126" s="23" t="s">
        <v>75</v>
      </c>
      <c r="H126" s="24">
        <v>8000</v>
      </c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6" t="s">
        <v>272</v>
      </c>
      <c r="U126" s="23">
        <f t="shared" si="18"/>
        <v>0</v>
      </c>
      <c r="V126" s="22" t="str">
        <f t="shared" si="19"/>
        <v>○ 免調理</v>
      </c>
      <c r="W126" s="18" t="str">
        <f t="shared" si="20"/>
        <v>免調理半成品（外購/僅切配等），不列入設備風險評估</v>
      </c>
      <c r="X126" s="22" t="s">
        <v>314</v>
      </c>
      <c r="Y126" s="22" t="s">
        <v>338</v>
      </c>
      <c r="Z126" s="27">
        <f>IF($D126="",0,IF(COUNTIF($D$5:$D126,$D126)=1,1,0))</f>
        <v>0</v>
      </c>
      <c r="AA126" s="27" t="str">
        <f>IF(Z126=1,SUM($Z$5:$Z126),"")</f>
        <v/>
      </c>
    </row>
    <row r="127" spans="1:27">
      <c r="A127" s="22" t="s">
        <v>476</v>
      </c>
      <c r="B127" s="22" t="s">
        <v>254</v>
      </c>
      <c r="C127" s="22" t="s">
        <v>291</v>
      </c>
      <c r="D127" s="22" t="s">
        <v>195</v>
      </c>
      <c r="E127" s="22" t="s">
        <v>184</v>
      </c>
      <c r="F127" s="23">
        <v>16</v>
      </c>
      <c r="G127" s="23" t="s">
        <v>346</v>
      </c>
      <c r="H127" s="24">
        <v>95.7</v>
      </c>
      <c r="I127" s="25"/>
      <c r="J127" s="25"/>
      <c r="K127" s="25"/>
      <c r="L127" s="25"/>
      <c r="M127" s="25"/>
      <c r="N127" s="25"/>
      <c r="O127" s="25" t="s">
        <v>272</v>
      </c>
      <c r="P127" s="25"/>
      <c r="Q127" s="25"/>
      <c r="R127" s="25"/>
      <c r="S127" s="25"/>
      <c r="T127" s="26"/>
      <c r="U127" s="23">
        <f t="shared" si="18"/>
        <v>1</v>
      </c>
      <c r="V127" s="22" t="str">
        <f t="shared" si="19"/>
        <v>▲ 單一設備依賴</v>
      </c>
      <c r="W127" s="18" t="str">
        <f t="shared" si="20"/>
        <v>僅依賴1台設備，須確認故障/排修時之備援製程</v>
      </c>
      <c r="X127" s="22" t="s">
        <v>314</v>
      </c>
      <c r="Y127" s="22" t="s">
        <v>338</v>
      </c>
      <c r="Z127" s="27">
        <f>IF($D127="",0,IF(COUNTIF($D$5:$D127,$D127)=1,1,0))</f>
        <v>0</v>
      </c>
      <c r="AA127" s="27" t="str">
        <f>IF(Z127=1,SUM($Z$5:$Z127),"")</f>
        <v/>
      </c>
    </row>
    <row r="128" spans="1:27">
      <c r="A128" s="22" t="s">
        <v>476</v>
      </c>
      <c r="B128" s="22" t="s">
        <v>254</v>
      </c>
      <c r="C128" s="22" t="s">
        <v>291</v>
      </c>
      <c r="D128" s="22" t="s">
        <v>195</v>
      </c>
      <c r="E128" s="22" t="s">
        <v>132</v>
      </c>
      <c r="F128" s="23">
        <v>0.5</v>
      </c>
      <c r="G128" s="23" t="s">
        <v>75</v>
      </c>
      <c r="H128" s="24">
        <v>100</v>
      </c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6" t="s">
        <v>272</v>
      </c>
      <c r="U128" s="23">
        <f t="shared" si="18"/>
        <v>0</v>
      </c>
      <c r="V128" s="22" t="str">
        <f t="shared" si="19"/>
        <v>○ 免調理</v>
      </c>
      <c r="W128" s="18" t="str">
        <f t="shared" si="20"/>
        <v>免調理半成品（外購/僅切配等），不列入設備風險評估</v>
      </c>
      <c r="X128" s="22" t="s">
        <v>314</v>
      </c>
      <c r="Y128" s="22" t="s">
        <v>338</v>
      </c>
      <c r="Z128" s="27">
        <f>IF($D128="",0,IF(COUNTIF($D$5:$D128,$D128)=1,1,0))</f>
        <v>0</v>
      </c>
      <c r="AA128" s="27" t="str">
        <f>IF(Z128=1,SUM($Z$5:$Z128),"")</f>
        <v/>
      </c>
    </row>
    <row r="129" spans="1:27">
      <c r="A129" s="22" t="s">
        <v>476</v>
      </c>
      <c r="B129" s="22" t="s">
        <v>254</v>
      </c>
      <c r="C129" s="22" t="s">
        <v>291</v>
      </c>
      <c r="D129" s="22" t="s">
        <v>452</v>
      </c>
      <c r="E129" s="22" t="s">
        <v>410</v>
      </c>
      <c r="F129" s="23">
        <v>3</v>
      </c>
      <c r="G129" s="23" t="s">
        <v>346</v>
      </c>
      <c r="H129" s="24">
        <v>100</v>
      </c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6" t="s">
        <v>272</v>
      </c>
      <c r="U129" s="23">
        <f t="shared" si="18"/>
        <v>0</v>
      </c>
      <c r="V129" s="22" t="str">
        <f t="shared" si="19"/>
        <v>○ 免調理</v>
      </c>
      <c r="W129" s="18" t="str">
        <f t="shared" si="20"/>
        <v>免調理半成品（外購/僅切配等），不列入設備風險評估</v>
      </c>
      <c r="X129" s="22" t="s">
        <v>314</v>
      </c>
      <c r="Y129" s="22" t="s">
        <v>338</v>
      </c>
      <c r="Z129" s="27">
        <f>IF($D129="",0,IF(COUNTIF($D$5:$D129,$D129)=1,1,0))</f>
        <v>0</v>
      </c>
      <c r="AA129" s="27" t="str">
        <f>IF(Z129=1,SUM($Z$5:$Z129),"")</f>
        <v/>
      </c>
    </row>
    <row r="130" spans="1:27">
      <c r="A130" s="22" t="s">
        <v>477</v>
      </c>
      <c r="B130" s="22" t="s">
        <v>254</v>
      </c>
      <c r="C130" s="22" t="s">
        <v>291</v>
      </c>
      <c r="D130" s="22" t="s">
        <v>197</v>
      </c>
      <c r="E130" s="22" t="s">
        <v>198</v>
      </c>
      <c r="F130" s="23">
        <v>2</v>
      </c>
      <c r="G130" s="23" t="s">
        <v>75</v>
      </c>
      <c r="H130" s="24">
        <v>2300</v>
      </c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6" t="s">
        <v>272</v>
      </c>
      <c r="U130" s="23">
        <f t="shared" si="18"/>
        <v>0</v>
      </c>
      <c r="V130" s="22" t="str">
        <f t="shared" si="19"/>
        <v>○ 免調理</v>
      </c>
      <c r="W130" s="18" t="str">
        <f t="shared" si="20"/>
        <v>免調理半成品（外購/僅切配等），不列入設備風險評估</v>
      </c>
      <c r="X130" s="22" t="s">
        <v>315</v>
      </c>
      <c r="Y130" s="22" t="s">
        <v>338</v>
      </c>
      <c r="Z130" s="27">
        <f>IF($D130="",0,IF(COUNTIF($D$5:$D130,$D130)=1,1,0))</f>
        <v>1</v>
      </c>
      <c r="AA130" s="27">
        <f>IF(Z130=1,SUM($Z$5:$Z130),"")</f>
        <v>26</v>
      </c>
    </row>
    <row r="131" spans="1:27">
      <c r="A131" s="22" t="s">
        <v>477</v>
      </c>
      <c r="B131" s="22" t="s">
        <v>254</v>
      </c>
      <c r="C131" s="22" t="s">
        <v>291</v>
      </c>
      <c r="D131" s="22" t="s">
        <v>197</v>
      </c>
      <c r="E131" s="22" t="s">
        <v>199</v>
      </c>
      <c r="F131" s="23">
        <v>10</v>
      </c>
      <c r="G131" s="23" t="s">
        <v>346</v>
      </c>
      <c r="H131" s="24">
        <v>78.7</v>
      </c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6" t="s">
        <v>272</v>
      </c>
      <c r="U131" s="23">
        <f t="shared" si="18"/>
        <v>0</v>
      </c>
      <c r="V131" s="22" t="str">
        <f t="shared" si="19"/>
        <v>○ 免調理</v>
      </c>
      <c r="W131" s="18" t="str">
        <f t="shared" si="20"/>
        <v>免調理半成品（外購/僅切配等），不列入設備風險評估</v>
      </c>
      <c r="X131" s="22" t="s">
        <v>315</v>
      </c>
      <c r="Y131" s="22" t="s">
        <v>338</v>
      </c>
      <c r="Z131" s="27">
        <f>IF($D131="",0,IF(COUNTIF($D$5:$D131,$D131)=1,1,0))</f>
        <v>0</v>
      </c>
      <c r="AA131" s="27" t="str">
        <f>IF(Z131=1,SUM($Z$5:$Z131),"")</f>
        <v/>
      </c>
    </row>
    <row r="132" spans="1:27">
      <c r="A132" s="22" t="s">
        <v>477</v>
      </c>
      <c r="B132" s="22" t="s">
        <v>254</v>
      </c>
      <c r="C132" s="22" t="s">
        <v>291</v>
      </c>
      <c r="D132" s="22" t="s">
        <v>197</v>
      </c>
      <c r="E132" s="22" t="s">
        <v>200</v>
      </c>
      <c r="F132" s="23">
        <v>8</v>
      </c>
      <c r="G132" s="23" t="s">
        <v>346</v>
      </c>
      <c r="H132" s="24">
        <v>81.099999999999994</v>
      </c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6" t="s">
        <v>316</v>
      </c>
      <c r="U132" s="23">
        <f t="shared" si="18"/>
        <v>0</v>
      </c>
      <c r="V132" s="22" t="str">
        <f t="shared" si="19"/>
        <v>○ 免調理</v>
      </c>
      <c r="W132" s="18" t="str">
        <f t="shared" si="20"/>
        <v>免調理半成品（外購/僅切配等），不列入設備風險評估</v>
      </c>
      <c r="X132" s="22" t="s">
        <v>315</v>
      </c>
      <c r="Y132" s="22" t="s">
        <v>338</v>
      </c>
      <c r="Z132" s="27">
        <f>IF($D132="",0,IF(COUNTIF($D$5:$D132,$D132)=1,1,0))</f>
        <v>0</v>
      </c>
      <c r="AA132" s="27" t="str">
        <f>IF(Z132=1,SUM($Z$5:$Z132),"")</f>
        <v/>
      </c>
    </row>
    <row r="133" spans="1:27">
      <c r="A133" s="22" t="s">
        <v>476</v>
      </c>
      <c r="B133" s="22" t="s">
        <v>254</v>
      </c>
      <c r="C133" s="22" t="s">
        <v>291</v>
      </c>
      <c r="D133" s="22" t="s">
        <v>201</v>
      </c>
      <c r="E133" s="22" t="s">
        <v>202</v>
      </c>
      <c r="F133" s="23">
        <v>1</v>
      </c>
      <c r="G133" s="23" t="s">
        <v>75</v>
      </c>
      <c r="H133" s="24">
        <v>3300</v>
      </c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6" t="s">
        <v>318</v>
      </c>
      <c r="U133" s="23">
        <f t="shared" si="18"/>
        <v>0</v>
      </c>
      <c r="V133" s="22" t="str">
        <f t="shared" si="19"/>
        <v>○ 免調理</v>
      </c>
      <c r="W133" s="18" t="str">
        <f t="shared" si="20"/>
        <v>免調理半成品（外購/僅切配等），不列入設備風險評估</v>
      </c>
      <c r="X133" s="22" t="s">
        <v>317</v>
      </c>
      <c r="Y133" s="22" t="s">
        <v>338</v>
      </c>
      <c r="Z133" s="27">
        <f>IF($D133="",0,IF(COUNTIF($D$5:$D133,$D133)=1,1,0))</f>
        <v>1</v>
      </c>
      <c r="AA133" s="27">
        <f>IF(Z133=1,SUM($Z$5:$Z133),"")</f>
        <v>27</v>
      </c>
    </row>
    <row r="134" spans="1:27">
      <c r="A134" s="22" t="s">
        <v>476</v>
      </c>
      <c r="B134" s="22" t="s">
        <v>254</v>
      </c>
      <c r="C134" s="22" t="s">
        <v>291</v>
      </c>
      <c r="D134" s="22" t="s">
        <v>201</v>
      </c>
      <c r="E134" s="22" t="s">
        <v>203</v>
      </c>
      <c r="F134" s="23">
        <v>9</v>
      </c>
      <c r="G134" s="23" t="s">
        <v>346</v>
      </c>
      <c r="H134" s="24">
        <v>94.8</v>
      </c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6" t="s">
        <v>272</v>
      </c>
      <c r="U134" s="23">
        <f t="shared" si="18"/>
        <v>0</v>
      </c>
      <c r="V134" s="22" t="str">
        <f t="shared" si="19"/>
        <v>○ 免調理</v>
      </c>
      <c r="W134" s="18" t="str">
        <f t="shared" si="20"/>
        <v>免調理半成品（外購/僅切配等），不列入設備風險評估</v>
      </c>
      <c r="X134" s="22" t="s">
        <v>317</v>
      </c>
      <c r="Y134" s="22" t="s">
        <v>338</v>
      </c>
      <c r="Z134" s="27">
        <f>IF($D134="",0,IF(COUNTIF($D$5:$D134,$D134)=1,1,0))</f>
        <v>0</v>
      </c>
      <c r="AA134" s="27" t="str">
        <f>IF(Z134=1,SUM($Z$5:$Z134),"")</f>
        <v/>
      </c>
    </row>
    <row r="135" spans="1:27">
      <c r="A135" s="22" t="s">
        <v>476</v>
      </c>
      <c r="B135" s="22" t="s">
        <v>254</v>
      </c>
      <c r="C135" s="22" t="s">
        <v>291</v>
      </c>
      <c r="D135" s="22" t="s">
        <v>201</v>
      </c>
      <c r="E135" s="22" t="s">
        <v>204</v>
      </c>
      <c r="F135" s="23">
        <v>0.5</v>
      </c>
      <c r="G135" s="23" t="s">
        <v>75</v>
      </c>
      <c r="H135" s="24">
        <v>43000</v>
      </c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6" t="s">
        <v>272</v>
      </c>
      <c r="U135" s="23">
        <f t="shared" si="18"/>
        <v>0</v>
      </c>
      <c r="V135" s="22" t="str">
        <f t="shared" si="19"/>
        <v>○ 免調理</v>
      </c>
      <c r="W135" s="18" t="str">
        <f t="shared" si="20"/>
        <v>免調理半成品（外購/僅切配等），不列入設備風險評估</v>
      </c>
      <c r="X135" s="22" t="s">
        <v>317</v>
      </c>
      <c r="Y135" s="22" t="s">
        <v>338</v>
      </c>
      <c r="Z135" s="27">
        <f>IF($D135="",0,IF(COUNTIF($D$5:$D135,$D135)=1,1,0))</f>
        <v>0</v>
      </c>
      <c r="AA135" s="27" t="str">
        <f>IF(Z135=1,SUM($Z$5:$Z135),"")</f>
        <v/>
      </c>
    </row>
    <row r="136" spans="1:27">
      <c r="A136" s="22" t="s">
        <v>476</v>
      </c>
      <c r="B136" s="22" t="s">
        <v>254</v>
      </c>
      <c r="C136" s="22" t="s">
        <v>291</v>
      </c>
      <c r="D136" s="22" t="s">
        <v>201</v>
      </c>
      <c r="E136" s="22" t="s">
        <v>205</v>
      </c>
      <c r="F136" s="23">
        <v>2</v>
      </c>
      <c r="G136" s="23" t="s">
        <v>75</v>
      </c>
      <c r="H136" s="24">
        <v>100</v>
      </c>
      <c r="I136" s="25"/>
      <c r="J136" s="25"/>
      <c r="K136" s="25" t="s">
        <v>272</v>
      </c>
      <c r="L136" s="25"/>
      <c r="M136" s="25"/>
      <c r="N136" s="25"/>
      <c r="O136" s="25"/>
      <c r="P136" s="25"/>
      <c r="Q136" s="25"/>
      <c r="R136" s="25"/>
      <c r="S136" s="25"/>
      <c r="T136" s="26"/>
      <c r="U136" s="23">
        <f t="shared" si="18"/>
        <v>1</v>
      </c>
      <c r="V136" s="22" t="str">
        <f t="shared" si="19"/>
        <v>▲ 單一設備依賴</v>
      </c>
      <c r="W136" s="18" t="str">
        <f t="shared" si="20"/>
        <v>僅依賴1台設備，須確認故障/排修時之備援製程</v>
      </c>
      <c r="X136" s="22" t="s">
        <v>317</v>
      </c>
      <c r="Y136" s="22" t="s">
        <v>338</v>
      </c>
      <c r="Z136" s="27">
        <f>IF($D136="",0,IF(COUNTIF($D$5:$D136,$D136)=1,1,0))</f>
        <v>0</v>
      </c>
      <c r="AA136" s="27" t="str">
        <f>IF(Z136=1,SUM($Z$5:$Z136),"")</f>
        <v/>
      </c>
    </row>
    <row r="137" spans="1:27">
      <c r="A137" s="22" t="s">
        <v>476</v>
      </c>
      <c r="B137" s="22" t="s">
        <v>254</v>
      </c>
      <c r="C137" s="22" t="s">
        <v>291</v>
      </c>
      <c r="D137" s="22" t="s">
        <v>453</v>
      </c>
      <c r="E137" s="22" t="s">
        <v>410</v>
      </c>
      <c r="F137" s="23">
        <v>4</v>
      </c>
      <c r="G137" s="23" t="s">
        <v>346</v>
      </c>
      <c r="H137" s="24">
        <v>100</v>
      </c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6" t="s">
        <v>272</v>
      </c>
      <c r="U137" s="23">
        <f t="shared" si="18"/>
        <v>0</v>
      </c>
      <c r="V137" s="22" t="str">
        <f t="shared" si="19"/>
        <v>○ 免調理</v>
      </c>
      <c r="W137" s="18" t="str">
        <f t="shared" si="20"/>
        <v>免調理半成品（外購/僅切配等），不列入設備風險評估</v>
      </c>
      <c r="X137" s="22" t="s">
        <v>317</v>
      </c>
      <c r="Y137" s="22" t="s">
        <v>338</v>
      </c>
      <c r="Z137" s="27">
        <f>IF($D137="",0,IF(COUNTIF($D$5:$D137,$D137)=1,1,0))</f>
        <v>0</v>
      </c>
      <c r="AA137" s="27" t="str">
        <f>IF(Z137=1,SUM($Z$5:$Z137),"")</f>
        <v/>
      </c>
    </row>
    <row r="138" spans="1:27">
      <c r="A138" s="22" t="s">
        <v>476</v>
      </c>
      <c r="B138" s="22" t="s">
        <v>254</v>
      </c>
      <c r="C138" s="22" t="s">
        <v>291</v>
      </c>
      <c r="D138" s="22" t="s">
        <v>201</v>
      </c>
      <c r="E138" s="22" t="s">
        <v>206</v>
      </c>
      <c r="F138" s="23">
        <v>1</v>
      </c>
      <c r="G138" s="23" t="s">
        <v>75</v>
      </c>
      <c r="H138" s="24">
        <v>100</v>
      </c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6" t="s">
        <v>319</v>
      </c>
      <c r="U138" s="23">
        <f t="shared" si="18"/>
        <v>0</v>
      </c>
      <c r="V138" s="22" t="str">
        <f t="shared" si="19"/>
        <v>○ 免調理</v>
      </c>
      <c r="W138" s="18" t="str">
        <f t="shared" si="20"/>
        <v>免調理半成品（外購/僅切配等），不列入設備風險評估</v>
      </c>
      <c r="X138" s="22" t="s">
        <v>317</v>
      </c>
      <c r="Y138" s="22" t="s">
        <v>338</v>
      </c>
      <c r="Z138" s="27">
        <f>IF($D138="",0,IF(COUNTIF($D$5:$D138,$D138)=1,1,0))</f>
        <v>0</v>
      </c>
      <c r="AA138" s="27" t="str">
        <f>IF(Z138=1,SUM($Z$5:$Z138),"")</f>
        <v/>
      </c>
    </row>
    <row r="139" spans="1:27">
      <c r="A139" s="22" t="s">
        <v>476</v>
      </c>
      <c r="B139" s="22" t="s">
        <v>254</v>
      </c>
      <c r="C139" s="22" t="s">
        <v>291</v>
      </c>
      <c r="D139" s="22" t="s">
        <v>201</v>
      </c>
      <c r="E139" s="22" t="s">
        <v>207</v>
      </c>
      <c r="F139" s="23">
        <v>0.5</v>
      </c>
      <c r="G139" s="23" t="s">
        <v>75</v>
      </c>
      <c r="H139" s="24">
        <v>100</v>
      </c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6" t="s">
        <v>272</v>
      </c>
      <c r="U139" s="23">
        <f t="shared" si="18"/>
        <v>0</v>
      </c>
      <c r="V139" s="22" t="str">
        <f t="shared" si="19"/>
        <v>○ 免調理</v>
      </c>
      <c r="W139" s="18" t="str">
        <f t="shared" si="20"/>
        <v>免調理半成品（外購/僅切配等），不列入設備風險評估</v>
      </c>
      <c r="X139" s="22" t="s">
        <v>317</v>
      </c>
      <c r="Y139" s="22" t="s">
        <v>338</v>
      </c>
      <c r="Z139" s="27">
        <f>IF($D139="",0,IF(COUNTIF($D$5:$D139,$D139)=1,1,0))</f>
        <v>0</v>
      </c>
      <c r="AA139" s="27" t="str">
        <f>IF(Z139=1,SUM($Z$5:$Z139),"")</f>
        <v/>
      </c>
    </row>
    <row r="140" spans="1:27">
      <c r="A140" s="22" t="s">
        <v>477</v>
      </c>
      <c r="B140" s="22" t="s">
        <v>254</v>
      </c>
      <c r="C140" s="22" t="s">
        <v>291</v>
      </c>
      <c r="D140" s="22" t="s">
        <v>212</v>
      </c>
      <c r="E140" s="22" t="s">
        <v>167</v>
      </c>
      <c r="F140" s="23">
        <v>2</v>
      </c>
      <c r="G140" s="23" t="s">
        <v>75</v>
      </c>
      <c r="H140" s="24">
        <v>2700</v>
      </c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6" t="s">
        <v>324</v>
      </c>
      <c r="U140" s="23">
        <f t="shared" ref="U140:U194" si="21">IF($E140="","",COUNTIF($I140:$S140,"V"))</f>
        <v>0</v>
      </c>
      <c r="V140" s="22" t="str">
        <f t="shared" ref="V140:V194" si="22">IF($E140="","",IF(AND($T140="V",$U140&gt;0),"⚠ 勾選矛盾",IF($T140="V","○ 免調理",IF($U140=0,"⚠ 資料缺漏",IF($U140=1,"▲ 單一設備依賴","OK")))))</f>
        <v>○ 免調理</v>
      </c>
      <c r="W140" s="18" t="str">
        <f t="shared" ref="W140:W194" si="23">IF($E140="","",IF(AND($T140="V",$U140&gt;0),"「無使用調理設備」不可與設備欄同時勾選，請擇一修正",IF($T140="V","免調理半成品（外購/僅切配等），不列入設備風險評估",IF($U140=0,"未勾選任何設備，請補填或勾選「無使用調理設備」",IF($U140=1,"僅依賴1台設備，須確認故障/排修時之備援製程","無異常")))))</f>
        <v>免調理半成品（外購/僅切配等），不列入設備風險評估</v>
      </c>
      <c r="X140" s="22" t="s">
        <v>323</v>
      </c>
      <c r="Y140" s="22" t="s">
        <v>338</v>
      </c>
      <c r="Z140" s="27">
        <f>IF($D140="",0,IF(COUNTIF($D$5:$D140,$D140)=1,1,0))</f>
        <v>1</v>
      </c>
      <c r="AA140" s="27">
        <f>IF(Z140=1,SUM($Z$5:$Z140),"")</f>
        <v>28</v>
      </c>
    </row>
    <row r="141" spans="1:27">
      <c r="A141" s="22" t="s">
        <v>477</v>
      </c>
      <c r="B141" s="22" t="s">
        <v>254</v>
      </c>
      <c r="C141" s="22" t="s">
        <v>264</v>
      </c>
      <c r="D141" s="22" t="s">
        <v>212</v>
      </c>
      <c r="E141" s="22" t="s">
        <v>410</v>
      </c>
      <c r="F141" s="23">
        <v>4</v>
      </c>
      <c r="G141" s="23" t="s">
        <v>346</v>
      </c>
      <c r="H141" s="24">
        <v>100</v>
      </c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6" t="s">
        <v>324</v>
      </c>
      <c r="U141" s="23">
        <f t="shared" si="21"/>
        <v>0</v>
      </c>
      <c r="V141" s="22" t="str">
        <f t="shared" si="22"/>
        <v>○ 免調理</v>
      </c>
      <c r="W141" s="18" t="str">
        <f t="shared" si="23"/>
        <v>免調理半成品（外購/僅切配等），不列入設備風險評估</v>
      </c>
      <c r="X141" s="22" t="s">
        <v>323</v>
      </c>
      <c r="Y141" s="22" t="s">
        <v>338</v>
      </c>
      <c r="Z141" s="27">
        <f>IF($D141="",0,IF(COUNTIF($D$5:$D141,$D141)=1,1,0))</f>
        <v>0</v>
      </c>
      <c r="AA141" s="27" t="str">
        <f>IF(Z141=1,SUM($Z$5:$Z141),"")</f>
        <v/>
      </c>
    </row>
    <row r="142" spans="1:27">
      <c r="A142" s="22" t="s">
        <v>477</v>
      </c>
      <c r="B142" s="22" t="s">
        <v>254</v>
      </c>
      <c r="C142" s="22" t="s">
        <v>264</v>
      </c>
      <c r="D142" s="22" t="s">
        <v>212</v>
      </c>
      <c r="E142" s="22" t="s">
        <v>132</v>
      </c>
      <c r="F142" s="23">
        <v>0.5</v>
      </c>
      <c r="G142" s="23" t="s">
        <v>75</v>
      </c>
      <c r="H142" s="24">
        <v>100</v>
      </c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6" t="s">
        <v>324</v>
      </c>
      <c r="U142" s="23">
        <f t="shared" si="21"/>
        <v>0</v>
      </c>
      <c r="V142" s="22" t="str">
        <f t="shared" si="22"/>
        <v>○ 免調理</v>
      </c>
      <c r="W142" s="18" t="str">
        <f t="shared" si="23"/>
        <v>免調理半成品（外購/僅切配等），不列入設備風險評估</v>
      </c>
      <c r="X142" s="22" t="s">
        <v>323</v>
      </c>
      <c r="Y142" s="22" t="s">
        <v>338</v>
      </c>
      <c r="Z142" s="27">
        <f>IF($D142="",0,IF(COUNTIF($D$5:$D142,$D142)=1,1,0))</f>
        <v>0</v>
      </c>
      <c r="AA142" s="27" t="str">
        <f>IF(Z142=1,SUM($Z$5:$Z142),"")</f>
        <v/>
      </c>
    </row>
    <row r="143" spans="1:27">
      <c r="A143" s="22" t="s">
        <v>477</v>
      </c>
      <c r="B143" s="22" t="s">
        <v>254</v>
      </c>
      <c r="C143" s="22" t="s">
        <v>264</v>
      </c>
      <c r="D143" s="22" t="s">
        <v>212</v>
      </c>
      <c r="E143" s="22" t="s">
        <v>213</v>
      </c>
      <c r="F143" s="23">
        <v>8</v>
      </c>
      <c r="G143" s="23" t="s">
        <v>346</v>
      </c>
      <c r="H143" s="24">
        <v>73.599999999999994</v>
      </c>
      <c r="I143" s="25"/>
      <c r="J143" s="25"/>
      <c r="K143" s="25"/>
      <c r="L143" s="25"/>
      <c r="M143" s="25"/>
      <c r="N143" s="25"/>
      <c r="O143" s="25" t="s">
        <v>324</v>
      </c>
      <c r="P143" s="25"/>
      <c r="Q143" s="25"/>
      <c r="R143" s="25"/>
      <c r="S143" s="25"/>
      <c r="T143" s="26"/>
      <c r="U143" s="23">
        <f t="shared" si="21"/>
        <v>1</v>
      </c>
      <c r="V143" s="22" t="str">
        <f t="shared" si="22"/>
        <v>▲ 單一設備依賴</v>
      </c>
      <c r="W143" s="18" t="str">
        <f t="shared" si="23"/>
        <v>僅依賴1台設備，須確認故障/排修時之備援製程</v>
      </c>
      <c r="X143" s="22" t="s">
        <v>323</v>
      </c>
      <c r="Y143" s="22" t="s">
        <v>338</v>
      </c>
      <c r="Z143" s="27">
        <f>IF($D143="",0,IF(COUNTIF($D$5:$D143,$D143)=1,1,0))</f>
        <v>0</v>
      </c>
      <c r="AA143" s="27" t="str">
        <f>IF(Z143=1,SUM($Z$5:$Z143),"")</f>
        <v/>
      </c>
    </row>
    <row r="144" spans="1:27">
      <c r="A144" s="22" t="s">
        <v>477</v>
      </c>
      <c r="B144" s="22" t="s">
        <v>254</v>
      </c>
      <c r="C144" s="22" t="s">
        <v>264</v>
      </c>
      <c r="D144" s="22" t="s">
        <v>212</v>
      </c>
      <c r="E144" s="22" t="s">
        <v>214</v>
      </c>
      <c r="F144" s="23">
        <v>44</v>
      </c>
      <c r="G144" s="23" t="s">
        <v>346</v>
      </c>
      <c r="H144" s="24">
        <v>94.8</v>
      </c>
      <c r="I144" s="25"/>
      <c r="J144" s="25"/>
      <c r="K144" s="25"/>
      <c r="L144" s="25"/>
      <c r="M144" s="25"/>
      <c r="N144" s="25"/>
      <c r="O144" s="25" t="s">
        <v>343</v>
      </c>
      <c r="P144" s="25"/>
      <c r="Q144" s="25"/>
      <c r="R144" s="25"/>
      <c r="S144" s="25"/>
      <c r="T144" s="26"/>
      <c r="U144" s="23">
        <f t="shared" si="21"/>
        <v>1</v>
      </c>
      <c r="V144" s="22" t="str">
        <f t="shared" si="22"/>
        <v>▲ 單一設備依賴</v>
      </c>
      <c r="W144" s="18" t="str">
        <f t="shared" si="23"/>
        <v>僅依賴1台設備，須確認故障/排修時之備援製程</v>
      </c>
      <c r="X144" s="22" t="s">
        <v>323</v>
      </c>
      <c r="Y144" s="22" t="s">
        <v>338</v>
      </c>
      <c r="Z144" s="27">
        <f>IF($D144="",0,IF(COUNTIF($D$5:$D144,$D144)=1,1,0))</f>
        <v>0</v>
      </c>
      <c r="AA144" s="27" t="str">
        <f>IF(Z144=1,SUM($Z$5:$Z144),"")</f>
        <v/>
      </c>
    </row>
    <row r="145" spans="1:27">
      <c r="A145" s="22" t="s">
        <v>477</v>
      </c>
      <c r="B145" s="22" t="s">
        <v>254</v>
      </c>
      <c r="C145" s="22" t="s">
        <v>264</v>
      </c>
      <c r="D145" s="22" t="s">
        <v>215</v>
      </c>
      <c r="E145" s="22" t="s">
        <v>216</v>
      </c>
      <c r="F145" s="23">
        <v>2</v>
      </c>
      <c r="G145" s="23" t="s">
        <v>75</v>
      </c>
      <c r="H145" s="24">
        <v>2700</v>
      </c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6" t="s">
        <v>326</v>
      </c>
      <c r="U145" s="23">
        <f t="shared" si="21"/>
        <v>0</v>
      </c>
      <c r="V145" s="22" t="str">
        <f t="shared" si="22"/>
        <v>○ 免調理</v>
      </c>
      <c r="W145" s="18" t="str">
        <f t="shared" si="23"/>
        <v>免調理半成品（外購/僅切配等），不列入設備風險評估</v>
      </c>
      <c r="X145" s="22" t="s">
        <v>325</v>
      </c>
      <c r="Y145" s="22" t="s">
        <v>338</v>
      </c>
      <c r="Z145" s="27">
        <f>IF($D145="",0,IF(COUNTIF($D$5:$D145,$D145)=1,1,0))</f>
        <v>1</v>
      </c>
      <c r="AA145" s="27">
        <f>IF(Z145=1,SUM($Z$5:$Z145),"")</f>
        <v>29</v>
      </c>
    </row>
    <row r="146" spans="1:27">
      <c r="A146" s="22" t="s">
        <v>477</v>
      </c>
      <c r="B146" s="22" t="s">
        <v>254</v>
      </c>
      <c r="C146" s="22" t="s">
        <v>264</v>
      </c>
      <c r="D146" s="22" t="s">
        <v>215</v>
      </c>
      <c r="E146" s="22" t="s">
        <v>410</v>
      </c>
      <c r="F146" s="23">
        <v>10</v>
      </c>
      <c r="G146" s="23" t="s">
        <v>346</v>
      </c>
      <c r="H146" s="24">
        <v>100</v>
      </c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6" t="s">
        <v>326</v>
      </c>
      <c r="U146" s="23">
        <f t="shared" si="21"/>
        <v>0</v>
      </c>
      <c r="V146" s="22" t="str">
        <f t="shared" si="22"/>
        <v>○ 免調理</v>
      </c>
      <c r="W146" s="18" t="str">
        <f t="shared" si="23"/>
        <v>免調理半成品（外購/僅切配等），不列入設備風險評估</v>
      </c>
      <c r="X146" s="22" t="s">
        <v>325</v>
      </c>
      <c r="Y146" s="22" t="s">
        <v>338</v>
      </c>
      <c r="Z146" s="27">
        <f>IF($D146="",0,IF(COUNTIF($D$5:$D146,$D146)=1,1,0))</f>
        <v>0</v>
      </c>
      <c r="AA146" s="27" t="str">
        <f>IF(Z146=1,SUM($Z$5:$Z146),"")</f>
        <v/>
      </c>
    </row>
    <row r="147" spans="1:27">
      <c r="A147" s="22" t="s">
        <v>477</v>
      </c>
      <c r="B147" s="22" t="s">
        <v>254</v>
      </c>
      <c r="C147" s="22" t="s">
        <v>264</v>
      </c>
      <c r="D147" s="22" t="s">
        <v>215</v>
      </c>
      <c r="E147" s="22" t="s">
        <v>144</v>
      </c>
      <c r="F147" s="23">
        <v>0.5</v>
      </c>
      <c r="G147" s="23" t="s">
        <v>75</v>
      </c>
      <c r="H147" s="24">
        <v>100</v>
      </c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6" t="s">
        <v>324</v>
      </c>
      <c r="U147" s="23">
        <f t="shared" si="21"/>
        <v>0</v>
      </c>
      <c r="V147" s="22" t="str">
        <f t="shared" si="22"/>
        <v>○ 免調理</v>
      </c>
      <c r="W147" s="18" t="str">
        <f t="shared" si="23"/>
        <v>免調理半成品（外購/僅切配等），不列入設備風險評估</v>
      </c>
      <c r="X147" s="22" t="s">
        <v>325</v>
      </c>
      <c r="Y147" s="22" t="s">
        <v>338</v>
      </c>
      <c r="Z147" s="27">
        <f>IF($D147="",0,IF(COUNTIF($D$5:$D147,$D147)=1,1,0))</f>
        <v>0</v>
      </c>
      <c r="AA147" s="27" t="str">
        <f>IF(Z147=1,SUM($Z$5:$Z147),"")</f>
        <v/>
      </c>
    </row>
    <row r="148" spans="1:27">
      <c r="A148" s="22" t="s">
        <v>477</v>
      </c>
      <c r="B148" s="22" t="s">
        <v>254</v>
      </c>
      <c r="C148" s="22" t="s">
        <v>264</v>
      </c>
      <c r="D148" s="22" t="s">
        <v>454</v>
      </c>
      <c r="E148" s="22" t="s">
        <v>217</v>
      </c>
      <c r="F148" s="23">
        <v>2</v>
      </c>
      <c r="G148" s="23" t="s">
        <v>346</v>
      </c>
      <c r="H148" s="24">
        <v>100</v>
      </c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6" t="s">
        <v>327</v>
      </c>
      <c r="U148" s="23">
        <f t="shared" si="21"/>
        <v>0</v>
      </c>
      <c r="V148" s="22" t="str">
        <f t="shared" si="22"/>
        <v>○ 免調理</v>
      </c>
      <c r="W148" s="18" t="str">
        <f t="shared" si="23"/>
        <v>免調理半成品（外購/僅切配等），不列入設備風險評估</v>
      </c>
      <c r="X148" s="22" t="s">
        <v>325</v>
      </c>
      <c r="Y148" s="22" t="s">
        <v>338</v>
      </c>
      <c r="Z148" s="27">
        <f>IF($D148="",0,IF(COUNTIF($D$5:$D148,$D148)=1,1,0))</f>
        <v>0</v>
      </c>
      <c r="AA148" s="27" t="str">
        <f>IF(Z148=1,SUM($Z$5:$Z148),"")</f>
        <v/>
      </c>
    </row>
    <row r="149" spans="1:27">
      <c r="A149" s="22" t="s">
        <v>477</v>
      </c>
      <c r="B149" s="22" t="s">
        <v>254</v>
      </c>
      <c r="C149" s="22" t="s">
        <v>264</v>
      </c>
      <c r="D149" s="22" t="s">
        <v>215</v>
      </c>
      <c r="E149" s="22" t="s">
        <v>177</v>
      </c>
      <c r="F149" s="23">
        <v>4</v>
      </c>
      <c r="G149" s="23" t="s">
        <v>346</v>
      </c>
      <c r="H149" s="24">
        <v>66</v>
      </c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6" t="s">
        <v>324</v>
      </c>
      <c r="U149" s="23">
        <f t="shared" si="21"/>
        <v>0</v>
      </c>
      <c r="V149" s="22" t="str">
        <f t="shared" si="22"/>
        <v>○ 免調理</v>
      </c>
      <c r="W149" s="18" t="str">
        <f t="shared" si="23"/>
        <v>免調理半成品（外購/僅切配等），不列入設備風險評估</v>
      </c>
      <c r="X149" s="22" t="s">
        <v>325</v>
      </c>
      <c r="Y149" s="22" t="s">
        <v>338</v>
      </c>
      <c r="Z149" s="27">
        <f>IF($D149="",0,IF(COUNTIF($D$5:$D149,$D149)=1,1,0))</f>
        <v>0</v>
      </c>
      <c r="AA149" s="27" t="str">
        <f>IF(Z149=1,SUM($Z$5:$Z149),"")</f>
        <v/>
      </c>
    </row>
    <row r="150" spans="1:27">
      <c r="A150" s="22" t="s">
        <v>477</v>
      </c>
      <c r="B150" s="22" t="s">
        <v>254</v>
      </c>
      <c r="C150" s="22" t="s">
        <v>264</v>
      </c>
      <c r="D150" s="22" t="s">
        <v>215</v>
      </c>
      <c r="E150" s="22" t="s">
        <v>162</v>
      </c>
      <c r="F150" s="23">
        <v>14</v>
      </c>
      <c r="G150" s="23" t="s">
        <v>346</v>
      </c>
      <c r="H150" s="24">
        <v>79</v>
      </c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6" t="s">
        <v>327</v>
      </c>
      <c r="U150" s="23">
        <f t="shared" si="21"/>
        <v>0</v>
      </c>
      <c r="V150" s="22" t="str">
        <f t="shared" si="22"/>
        <v>○ 免調理</v>
      </c>
      <c r="W150" s="18" t="str">
        <f t="shared" si="23"/>
        <v>免調理半成品（外購/僅切配等），不列入設備風險評估</v>
      </c>
      <c r="X150" s="22" t="s">
        <v>325</v>
      </c>
      <c r="Y150" s="22" t="s">
        <v>338</v>
      </c>
      <c r="Z150" s="27">
        <f>IF($D150="",0,IF(COUNTIF($D$5:$D150,$D150)=1,1,0))</f>
        <v>0</v>
      </c>
      <c r="AA150" s="27" t="str">
        <f>IF(Z150=1,SUM($Z$5:$Z150),"")</f>
        <v/>
      </c>
    </row>
    <row r="151" spans="1:27">
      <c r="A151" s="22" t="s">
        <v>477</v>
      </c>
      <c r="B151" s="22" t="s">
        <v>254</v>
      </c>
      <c r="C151" s="22" t="s">
        <v>264</v>
      </c>
      <c r="D151" s="22" t="s">
        <v>215</v>
      </c>
      <c r="E151" s="22" t="s">
        <v>218</v>
      </c>
      <c r="F151" s="23">
        <v>0.5</v>
      </c>
      <c r="G151" s="23" t="s">
        <v>75</v>
      </c>
      <c r="H151" s="24">
        <v>5</v>
      </c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6" t="s">
        <v>328</v>
      </c>
      <c r="U151" s="23">
        <f t="shared" si="21"/>
        <v>0</v>
      </c>
      <c r="V151" s="22" t="str">
        <f t="shared" si="22"/>
        <v>○ 免調理</v>
      </c>
      <c r="W151" s="18" t="str">
        <f t="shared" si="23"/>
        <v>免調理半成品（外購/僅切配等），不列入設備風險評估</v>
      </c>
      <c r="X151" s="22" t="s">
        <v>325</v>
      </c>
      <c r="Y151" s="22" t="s">
        <v>338</v>
      </c>
      <c r="Z151" s="27">
        <f>IF($D151="",0,IF(COUNTIF($D$5:$D151,$D151)=1,1,0))</f>
        <v>0</v>
      </c>
      <c r="AA151" s="27" t="str">
        <f>IF(Z151=1,SUM($Z$5:$Z151),"")</f>
        <v/>
      </c>
    </row>
    <row r="152" spans="1:27">
      <c r="A152" s="22" t="s">
        <v>477</v>
      </c>
      <c r="B152" s="22" t="s">
        <v>254</v>
      </c>
      <c r="C152" s="22" t="s">
        <v>264</v>
      </c>
      <c r="D152" s="22" t="s">
        <v>215</v>
      </c>
      <c r="E152" s="22" t="s">
        <v>191</v>
      </c>
      <c r="F152" s="23">
        <v>0.25</v>
      </c>
      <c r="G152" s="23" t="s">
        <v>75</v>
      </c>
      <c r="H152" s="24">
        <v>8000</v>
      </c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6" t="s">
        <v>327</v>
      </c>
      <c r="U152" s="23">
        <f t="shared" si="21"/>
        <v>0</v>
      </c>
      <c r="V152" s="22" t="str">
        <f t="shared" si="22"/>
        <v>○ 免調理</v>
      </c>
      <c r="W152" s="18" t="str">
        <f t="shared" si="23"/>
        <v>免調理半成品（外購/僅切配等），不列入設備風險評估</v>
      </c>
      <c r="X152" s="22" t="s">
        <v>325</v>
      </c>
      <c r="Y152" s="22" t="s">
        <v>338</v>
      </c>
      <c r="Z152" s="27">
        <f>IF($D152="",0,IF(COUNTIF($D$5:$D152,$D152)=1,1,0))</f>
        <v>0</v>
      </c>
      <c r="AA152" s="27" t="str">
        <f>IF(Z152=1,SUM($Z$5:$Z152),"")</f>
        <v/>
      </c>
    </row>
    <row r="153" spans="1:27">
      <c r="A153" s="22" t="s">
        <v>477</v>
      </c>
      <c r="B153" s="22" t="s">
        <v>254</v>
      </c>
      <c r="C153" s="22" t="s">
        <v>264</v>
      </c>
      <c r="D153" s="22" t="s">
        <v>215</v>
      </c>
      <c r="E153" s="22" t="s">
        <v>210</v>
      </c>
      <c r="F153" s="23">
        <v>8</v>
      </c>
      <c r="G153" s="23" t="s">
        <v>346</v>
      </c>
      <c r="H153" s="24">
        <v>66</v>
      </c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6" t="s">
        <v>324</v>
      </c>
      <c r="U153" s="23">
        <f t="shared" si="21"/>
        <v>0</v>
      </c>
      <c r="V153" s="22" t="str">
        <f t="shared" si="22"/>
        <v>○ 免調理</v>
      </c>
      <c r="W153" s="18" t="str">
        <f t="shared" si="23"/>
        <v>免調理半成品（外購/僅切配等），不列入設備風險評估</v>
      </c>
      <c r="X153" s="22" t="s">
        <v>325</v>
      </c>
      <c r="Y153" s="22" t="s">
        <v>338</v>
      </c>
      <c r="Z153" s="27">
        <f>IF($D153="",0,IF(COUNTIF($D$5:$D153,$D153)=1,1,0))</f>
        <v>0</v>
      </c>
      <c r="AA153" s="27" t="str">
        <f>IF(Z153=1,SUM($Z$5:$Z153),"")</f>
        <v/>
      </c>
    </row>
    <row r="154" spans="1:27">
      <c r="A154" s="22" t="s">
        <v>476</v>
      </c>
      <c r="B154" s="22" t="s">
        <v>254</v>
      </c>
      <c r="C154" s="22" t="s">
        <v>264</v>
      </c>
      <c r="D154" s="22" t="s">
        <v>219</v>
      </c>
      <c r="E154" s="22" t="s">
        <v>216</v>
      </c>
      <c r="F154" s="23">
        <v>2</v>
      </c>
      <c r="G154" s="23" t="s">
        <v>75</v>
      </c>
      <c r="H154" s="24">
        <v>2700</v>
      </c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6" t="s">
        <v>324</v>
      </c>
      <c r="U154" s="23">
        <f t="shared" si="21"/>
        <v>0</v>
      </c>
      <c r="V154" s="22" t="str">
        <f t="shared" si="22"/>
        <v>○ 免調理</v>
      </c>
      <c r="W154" s="18" t="str">
        <f t="shared" si="23"/>
        <v>免調理半成品（外購/僅切配等），不列入設備風險評估</v>
      </c>
      <c r="X154" s="22" t="s">
        <v>329</v>
      </c>
      <c r="Y154" s="22" t="s">
        <v>338</v>
      </c>
      <c r="Z154" s="27">
        <f>IF($D154="",0,IF(COUNTIF($D$5:$D154,$D154)=1,1,0))</f>
        <v>1</v>
      </c>
      <c r="AA154" s="27">
        <f>IF(Z154=1,SUM($Z$5:$Z154),"")</f>
        <v>30</v>
      </c>
    </row>
    <row r="155" spans="1:27">
      <c r="A155" s="22" t="s">
        <v>476</v>
      </c>
      <c r="B155" s="22" t="s">
        <v>254</v>
      </c>
      <c r="C155" s="22" t="s">
        <v>264</v>
      </c>
      <c r="D155" s="22" t="s">
        <v>219</v>
      </c>
      <c r="E155" s="22" t="s">
        <v>220</v>
      </c>
      <c r="F155" s="23">
        <v>32</v>
      </c>
      <c r="G155" s="23" t="s">
        <v>346</v>
      </c>
      <c r="H155" s="24">
        <v>95</v>
      </c>
      <c r="I155" s="25"/>
      <c r="J155" s="25"/>
      <c r="K155" s="25"/>
      <c r="L155" s="25"/>
      <c r="M155" s="25"/>
      <c r="N155" s="25"/>
      <c r="O155" s="25" t="s">
        <v>324</v>
      </c>
      <c r="P155" s="25"/>
      <c r="Q155" s="25"/>
      <c r="R155" s="25"/>
      <c r="S155" s="25"/>
      <c r="T155" s="26"/>
      <c r="U155" s="23">
        <f t="shared" si="21"/>
        <v>1</v>
      </c>
      <c r="V155" s="22" t="str">
        <f t="shared" si="22"/>
        <v>▲ 單一設備依賴</v>
      </c>
      <c r="W155" s="18" t="str">
        <f t="shared" si="23"/>
        <v>僅依賴1台設備，須確認故障/排修時之備援製程</v>
      </c>
      <c r="X155" s="22" t="s">
        <v>329</v>
      </c>
      <c r="Y155" s="22" t="s">
        <v>338</v>
      </c>
      <c r="Z155" s="27">
        <f>IF($D155="",0,IF(COUNTIF($D$5:$D155,$D155)=1,1,0))</f>
        <v>0</v>
      </c>
      <c r="AA155" s="27" t="str">
        <f>IF(Z155=1,SUM($Z$5:$Z155),"")</f>
        <v/>
      </c>
    </row>
    <row r="156" spans="1:27">
      <c r="A156" s="22" t="s">
        <v>476</v>
      </c>
      <c r="B156" s="22" t="s">
        <v>254</v>
      </c>
      <c r="C156" s="22" t="s">
        <v>264</v>
      </c>
      <c r="D156" s="22" t="s">
        <v>219</v>
      </c>
      <c r="E156" s="22" t="s">
        <v>221</v>
      </c>
      <c r="F156" s="23">
        <v>1</v>
      </c>
      <c r="G156" s="23" t="s">
        <v>75</v>
      </c>
      <c r="H156" s="24">
        <v>100</v>
      </c>
      <c r="I156" s="25"/>
      <c r="J156" s="25"/>
      <c r="K156" s="25" t="s">
        <v>324</v>
      </c>
      <c r="L156" s="25"/>
      <c r="M156" s="25"/>
      <c r="N156" s="25"/>
      <c r="O156" s="25"/>
      <c r="P156" s="25"/>
      <c r="Q156" s="25"/>
      <c r="R156" s="25"/>
      <c r="S156" s="25"/>
      <c r="T156" s="26"/>
      <c r="U156" s="23">
        <f t="shared" si="21"/>
        <v>1</v>
      </c>
      <c r="V156" s="22" t="str">
        <f t="shared" si="22"/>
        <v>▲ 單一設備依賴</v>
      </c>
      <c r="W156" s="18" t="str">
        <f t="shared" si="23"/>
        <v>僅依賴1台設備，須確認故障/排修時之備援製程</v>
      </c>
      <c r="X156" s="22" t="s">
        <v>329</v>
      </c>
      <c r="Y156" s="22" t="s">
        <v>338</v>
      </c>
      <c r="Z156" s="27">
        <f>IF($D156="",0,IF(COUNTIF($D$5:$D156,$D156)=1,1,0))</f>
        <v>0</v>
      </c>
      <c r="AA156" s="27" t="str">
        <f>IF(Z156=1,SUM($Z$5:$Z156),"")</f>
        <v/>
      </c>
    </row>
    <row r="157" spans="1:27">
      <c r="A157" s="22" t="s">
        <v>476</v>
      </c>
      <c r="B157" s="22" t="s">
        <v>254</v>
      </c>
      <c r="C157" s="22" t="s">
        <v>264</v>
      </c>
      <c r="D157" s="22" t="s">
        <v>455</v>
      </c>
      <c r="E157" s="22" t="s">
        <v>410</v>
      </c>
      <c r="F157" s="23">
        <v>4</v>
      </c>
      <c r="G157" s="23" t="s">
        <v>346</v>
      </c>
      <c r="H157" s="24">
        <v>100</v>
      </c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6" t="s">
        <v>330</v>
      </c>
      <c r="U157" s="23">
        <f t="shared" si="21"/>
        <v>0</v>
      </c>
      <c r="V157" s="22" t="str">
        <f t="shared" si="22"/>
        <v>○ 免調理</v>
      </c>
      <c r="W157" s="18" t="str">
        <f t="shared" si="23"/>
        <v>免調理半成品（外購/僅切配等），不列入設備風險評估</v>
      </c>
      <c r="X157" s="22" t="s">
        <v>329</v>
      </c>
      <c r="Y157" s="22" t="s">
        <v>338</v>
      </c>
      <c r="Z157" s="27">
        <f>IF($D157="",0,IF(COUNTIF($D$5:$D157,$D157)=1,1,0))</f>
        <v>0</v>
      </c>
      <c r="AA157" s="27" t="str">
        <f>IF(Z157=1,SUM($Z$5:$Z157),"")</f>
        <v/>
      </c>
    </row>
    <row r="158" spans="1:27">
      <c r="A158" s="22" t="s">
        <v>477</v>
      </c>
      <c r="B158" s="22" t="s">
        <v>254</v>
      </c>
      <c r="C158" s="22" t="s">
        <v>264</v>
      </c>
      <c r="D158" s="22" t="s">
        <v>331</v>
      </c>
      <c r="E158" s="22" t="s">
        <v>223</v>
      </c>
      <c r="F158" s="23">
        <v>2</v>
      </c>
      <c r="G158" s="23" t="s">
        <v>75</v>
      </c>
      <c r="H158" s="24">
        <v>2700</v>
      </c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6" t="s">
        <v>324</v>
      </c>
      <c r="U158" s="23">
        <f t="shared" si="21"/>
        <v>0</v>
      </c>
      <c r="V158" s="22" t="str">
        <f t="shared" si="22"/>
        <v>○ 免調理</v>
      </c>
      <c r="W158" s="18" t="str">
        <f t="shared" si="23"/>
        <v>免調理半成品（外購/僅切配等），不列入設備風險評估</v>
      </c>
      <c r="X158" s="22" t="s">
        <v>332</v>
      </c>
      <c r="Y158" s="22" t="s">
        <v>338</v>
      </c>
      <c r="Z158" s="27">
        <f>IF($D158="",0,IF(COUNTIF($D$5:$D158,$D158)=1,1,0))</f>
        <v>1</v>
      </c>
      <c r="AA158" s="27">
        <f>IF(Z158=1,SUM($Z$5:$Z158),"")</f>
        <v>31</v>
      </c>
    </row>
    <row r="159" spans="1:27">
      <c r="A159" s="22" t="s">
        <v>477</v>
      </c>
      <c r="B159" s="22" t="s">
        <v>254</v>
      </c>
      <c r="C159" s="22" t="s">
        <v>264</v>
      </c>
      <c r="D159" s="22" t="s">
        <v>222</v>
      </c>
      <c r="E159" s="22" t="s">
        <v>224</v>
      </c>
      <c r="F159" s="23">
        <v>14</v>
      </c>
      <c r="G159" s="23" t="s">
        <v>346</v>
      </c>
      <c r="H159" s="24">
        <v>95.1</v>
      </c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6" t="s">
        <v>324</v>
      </c>
      <c r="U159" s="23">
        <f t="shared" si="21"/>
        <v>0</v>
      </c>
      <c r="V159" s="22" t="str">
        <f t="shared" si="22"/>
        <v>○ 免調理</v>
      </c>
      <c r="W159" s="18" t="str">
        <f t="shared" si="23"/>
        <v>免調理半成品（外購/僅切配等），不列入設備風險評估</v>
      </c>
      <c r="X159" s="22" t="s">
        <v>332</v>
      </c>
      <c r="Y159" s="22" t="s">
        <v>338</v>
      </c>
      <c r="Z159" s="27">
        <f>IF($D159="",0,IF(COUNTIF($D$5:$D159,$D159)=1,1,0))</f>
        <v>0</v>
      </c>
      <c r="AA159" s="27" t="str">
        <f>IF(Z159=1,SUM($Z$5:$Z159),"")</f>
        <v/>
      </c>
    </row>
    <row r="160" spans="1:27">
      <c r="A160" s="22" t="s">
        <v>477</v>
      </c>
      <c r="B160" s="22" t="s">
        <v>254</v>
      </c>
      <c r="C160" s="22" t="s">
        <v>264</v>
      </c>
      <c r="D160" s="22" t="s">
        <v>222</v>
      </c>
      <c r="E160" s="22" t="s">
        <v>225</v>
      </c>
      <c r="F160" s="23">
        <v>1</v>
      </c>
      <c r="G160" s="23" t="s">
        <v>75</v>
      </c>
      <c r="H160" s="24">
        <v>600</v>
      </c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6" t="s">
        <v>324</v>
      </c>
      <c r="U160" s="23">
        <f t="shared" si="21"/>
        <v>0</v>
      </c>
      <c r="V160" s="22" t="str">
        <f t="shared" si="22"/>
        <v>○ 免調理</v>
      </c>
      <c r="W160" s="18" t="str">
        <f t="shared" si="23"/>
        <v>免調理半成品（外購/僅切配等），不列入設備風險評估</v>
      </c>
      <c r="X160" s="22" t="s">
        <v>332</v>
      </c>
      <c r="Y160" s="22" t="s">
        <v>338</v>
      </c>
      <c r="Z160" s="27">
        <f>IF($D160="",0,IF(COUNTIF($D$5:$D160,$D160)=1,1,0))</f>
        <v>0</v>
      </c>
      <c r="AA160" s="27" t="str">
        <f>IF(Z160=1,SUM($Z$5:$Z160),"")</f>
        <v/>
      </c>
    </row>
    <row r="161" spans="1:27">
      <c r="A161" s="22" t="s">
        <v>477</v>
      </c>
      <c r="B161" s="22" t="s">
        <v>254</v>
      </c>
      <c r="C161" s="22" t="s">
        <v>264</v>
      </c>
      <c r="D161" s="22" t="s">
        <v>222</v>
      </c>
      <c r="E161" s="22" t="s">
        <v>226</v>
      </c>
      <c r="F161" s="23">
        <v>1</v>
      </c>
      <c r="G161" s="23" t="s">
        <v>75</v>
      </c>
      <c r="H161" s="24">
        <v>500</v>
      </c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6" t="s">
        <v>327</v>
      </c>
      <c r="U161" s="23">
        <f t="shared" si="21"/>
        <v>0</v>
      </c>
      <c r="V161" s="22" t="str">
        <f t="shared" si="22"/>
        <v>○ 免調理</v>
      </c>
      <c r="W161" s="18" t="str">
        <f t="shared" si="23"/>
        <v>免調理半成品（外購/僅切配等），不列入設備風險評估</v>
      </c>
      <c r="X161" s="22" t="s">
        <v>332</v>
      </c>
      <c r="Y161" s="22" t="s">
        <v>338</v>
      </c>
      <c r="Z161" s="27">
        <f>IF($D161="",0,IF(COUNTIF($D$5:$D161,$D161)=1,1,0))</f>
        <v>0</v>
      </c>
      <c r="AA161" s="27" t="str">
        <f>IF(Z161=1,SUM($Z$5:$Z161),"")</f>
        <v/>
      </c>
    </row>
    <row r="162" spans="1:27">
      <c r="A162" s="22" t="s">
        <v>477</v>
      </c>
      <c r="B162" s="22" t="s">
        <v>254</v>
      </c>
      <c r="C162" s="22" t="s">
        <v>264</v>
      </c>
      <c r="D162" s="22" t="s">
        <v>222</v>
      </c>
      <c r="E162" s="22" t="s">
        <v>227</v>
      </c>
      <c r="F162" s="23">
        <v>10</v>
      </c>
      <c r="G162" s="23" t="s">
        <v>346</v>
      </c>
      <c r="H162" s="24">
        <v>48000</v>
      </c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6" t="s">
        <v>324</v>
      </c>
      <c r="U162" s="23">
        <f t="shared" si="21"/>
        <v>0</v>
      </c>
      <c r="V162" s="22" t="str">
        <f t="shared" si="22"/>
        <v>○ 免調理</v>
      </c>
      <c r="W162" s="18" t="str">
        <f t="shared" si="23"/>
        <v>免調理半成品（外購/僅切配等），不列入設備風險評估</v>
      </c>
      <c r="X162" s="22" t="s">
        <v>332</v>
      </c>
      <c r="Y162" s="22" t="s">
        <v>338</v>
      </c>
      <c r="Z162" s="27">
        <f>IF($D162="",0,IF(COUNTIF($D$5:$D162,$D162)=1,1,0))</f>
        <v>0</v>
      </c>
      <c r="AA162" s="27" t="str">
        <f>IF(Z162=1,SUM($Z$5:$Z162),"")</f>
        <v/>
      </c>
    </row>
    <row r="163" spans="1:27">
      <c r="A163" s="22" t="s">
        <v>477</v>
      </c>
      <c r="B163" s="22" t="s">
        <v>254</v>
      </c>
      <c r="C163" s="22" t="s">
        <v>264</v>
      </c>
      <c r="D163" s="22" t="s">
        <v>222</v>
      </c>
      <c r="E163" s="22" t="s">
        <v>228</v>
      </c>
      <c r="F163" s="23">
        <v>14</v>
      </c>
      <c r="G163" s="23" t="s">
        <v>346</v>
      </c>
      <c r="H163" s="24">
        <v>184000</v>
      </c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6" t="s">
        <v>327</v>
      </c>
      <c r="U163" s="23">
        <f t="shared" si="21"/>
        <v>0</v>
      </c>
      <c r="V163" s="22" t="str">
        <f t="shared" si="22"/>
        <v>○ 免調理</v>
      </c>
      <c r="W163" s="18" t="str">
        <f t="shared" si="23"/>
        <v>免調理半成品（外購/僅切配等），不列入設備風險評估</v>
      </c>
      <c r="X163" s="22" t="s">
        <v>332</v>
      </c>
      <c r="Y163" s="22" t="s">
        <v>338</v>
      </c>
      <c r="Z163" s="27">
        <f>IF($D163="",0,IF(COUNTIF($D$5:$D163,$D163)=1,1,0))</f>
        <v>0</v>
      </c>
      <c r="AA163" s="27" t="str">
        <f>IF(Z163=1,SUM($Z$5:$Z163),"")</f>
        <v/>
      </c>
    </row>
    <row r="164" spans="1:27">
      <c r="A164" s="22" t="s">
        <v>476</v>
      </c>
      <c r="B164" s="22" t="s">
        <v>254</v>
      </c>
      <c r="C164" s="22" t="s">
        <v>264</v>
      </c>
      <c r="D164" s="22" t="s">
        <v>348</v>
      </c>
      <c r="E164" s="22" t="s">
        <v>349</v>
      </c>
      <c r="F164" s="23">
        <v>2</v>
      </c>
      <c r="G164" s="23" t="s">
        <v>75</v>
      </c>
      <c r="H164" s="24">
        <v>2700</v>
      </c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6" t="s">
        <v>74</v>
      </c>
      <c r="U164" s="23">
        <f t="shared" si="21"/>
        <v>0</v>
      </c>
      <c r="V164" s="22" t="str">
        <f t="shared" si="22"/>
        <v>○ 免調理</v>
      </c>
      <c r="W164" s="18" t="str">
        <f t="shared" si="23"/>
        <v>免調理半成品（外購/僅切配等），不列入設備風險評估</v>
      </c>
      <c r="X164" s="22" t="s">
        <v>353</v>
      </c>
      <c r="Y164" s="22" t="s">
        <v>347</v>
      </c>
      <c r="Z164" s="27">
        <f>IF($D164="",0,IF(COUNTIF($D$5:$D164,$D164)=1,1,0))</f>
        <v>1</v>
      </c>
      <c r="AA164" s="27">
        <f>IF(Z164=1,SUM($Z$5:$Z164),"")</f>
        <v>32</v>
      </c>
    </row>
    <row r="165" spans="1:27">
      <c r="A165" s="22" t="s">
        <v>476</v>
      </c>
      <c r="B165" s="22" t="s">
        <v>254</v>
      </c>
      <c r="C165" s="22" t="s">
        <v>264</v>
      </c>
      <c r="D165" s="22" t="s">
        <v>348</v>
      </c>
      <c r="E165" s="22" t="s">
        <v>350</v>
      </c>
      <c r="F165" s="23">
        <v>26</v>
      </c>
      <c r="G165" s="23" t="s">
        <v>346</v>
      </c>
      <c r="H165" s="24">
        <v>95</v>
      </c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6" t="s">
        <v>74</v>
      </c>
      <c r="U165" s="23">
        <f t="shared" si="21"/>
        <v>0</v>
      </c>
      <c r="V165" s="22" t="str">
        <f t="shared" si="22"/>
        <v>○ 免調理</v>
      </c>
      <c r="W165" s="18" t="str">
        <f t="shared" si="23"/>
        <v>免調理半成品（外購/僅切配等），不列入設備風險評估</v>
      </c>
      <c r="X165" s="22" t="s">
        <v>353</v>
      </c>
      <c r="Y165" s="22" t="s">
        <v>347</v>
      </c>
      <c r="Z165" s="27">
        <f>IF($D165="",0,IF(COUNTIF($D$5:$D165,$D165)=1,1,0))</f>
        <v>0</v>
      </c>
      <c r="AA165" s="27" t="str">
        <f>IF(Z165=1,SUM($Z$5:$Z165),"")</f>
        <v/>
      </c>
    </row>
    <row r="166" spans="1:27">
      <c r="A166" s="22" t="s">
        <v>476</v>
      </c>
      <c r="B166" s="22" t="s">
        <v>254</v>
      </c>
      <c r="C166" s="22" t="s">
        <v>264</v>
      </c>
      <c r="D166" s="22" t="s">
        <v>348</v>
      </c>
      <c r="E166" s="22" t="s">
        <v>351</v>
      </c>
      <c r="F166" s="23">
        <v>5</v>
      </c>
      <c r="G166" s="23" t="s">
        <v>346</v>
      </c>
      <c r="H166" s="24">
        <v>100</v>
      </c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6" t="s">
        <v>74</v>
      </c>
      <c r="U166" s="23">
        <f t="shared" si="21"/>
        <v>0</v>
      </c>
      <c r="V166" s="22" t="str">
        <f t="shared" si="22"/>
        <v>○ 免調理</v>
      </c>
      <c r="W166" s="18" t="str">
        <f t="shared" si="23"/>
        <v>免調理半成品（外購/僅切配等），不列入設備風險評估</v>
      </c>
      <c r="X166" s="22" t="s">
        <v>353</v>
      </c>
      <c r="Y166" s="22" t="s">
        <v>347</v>
      </c>
      <c r="Z166" s="27">
        <f>IF($D166="",0,IF(COUNTIF($D$5:$D166,$D166)=1,1,0))</f>
        <v>0</v>
      </c>
      <c r="AA166" s="27" t="str">
        <f>IF(Z166=1,SUM($Z$5:$Z166),"")</f>
        <v/>
      </c>
    </row>
    <row r="167" spans="1:27">
      <c r="A167" s="22" t="s">
        <v>476</v>
      </c>
      <c r="B167" s="22" t="s">
        <v>254</v>
      </c>
      <c r="C167" s="22" t="s">
        <v>264</v>
      </c>
      <c r="D167" s="22" t="s">
        <v>348</v>
      </c>
      <c r="E167" s="22" t="s">
        <v>352</v>
      </c>
      <c r="F167" s="23">
        <v>0.5</v>
      </c>
      <c r="G167" s="23" t="s">
        <v>75</v>
      </c>
      <c r="H167" s="24">
        <v>100</v>
      </c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6" t="s">
        <v>74</v>
      </c>
      <c r="U167" s="23">
        <f t="shared" si="21"/>
        <v>0</v>
      </c>
      <c r="V167" s="22" t="str">
        <f t="shared" si="22"/>
        <v>○ 免調理</v>
      </c>
      <c r="W167" s="18" t="str">
        <f t="shared" si="23"/>
        <v>免調理半成品（外購/僅切配等），不列入設備風險評估</v>
      </c>
      <c r="X167" s="22" t="s">
        <v>353</v>
      </c>
      <c r="Y167" s="22" t="s">
        <v>347</v>
      </c>
      <c r="Z167" s="27">
        <f>IF($D167="",0,IF(COUNTIF($D$5:$D167,$D167)=1,1,0))</f>
        <v>0</v>
      </c>
      <c r="AA167" s="27" t="str">
        <f>IF(Z167=1,SUM($Z$5:$Z167),"")</f>
        <v/>
      </c>
    </row>
    <row r="168" spans="1:27">
      <c r="A168" s="22" t="s">
        <v>477</v>
      </c>
      <c r="B168" s="22" t="s">
        <v>254</v>
      </c>
      <c r="C168" s="22" t="s">
        <v>264</v>
      </c>
      <c r="D168" s="22" t="s">
        <v>369</v>
      </c>
      <c r="E168" s="22" t="s">
        <v>366</v>
      </c>
      <c r="F168" s="23">
        <v>2</v>
      </c>
      <c r="G168" s="23" t="s">
        <v>75</v>
      </c>
      <c r="H168" s="24">
        <v>2700</v>
      </c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6" t="s">
        <v>74</v>
      </c>
      <c r="U168" s="23">
        <f t="shared" si="21"/>
        <v>0</v>
      </c>
      <c r="V168" s="22" t="str">
        <f t="shared" si="22"/>
        <v>○ 免調理</v>
      </c>
      <c r="W168" s="18" t="str">
        <f t="shared" si="23"/>
        <v>免調理半成品（外購/僅切配等），不列入設備風險評估</v>
      </c>
      <c r="X168" s="22" t="s">
        <v>370</v>
      </c>
      <c r="Y168" s="22" t="s">
        <v>347</v>
      </c>
      <c r="Z168" s="27">
        <f>IF($D168="",0,IF(COUNTIF($D$5:$D168,$D168)=1,1,0))</f>
        <v>1</v>
      </c>
      <c r="AA168" s="27">
        <f>IF(Z168=1,SUM($Z$5:$Z168),"")</f>
        <v>33</v>
      </c>
    </row>
    <row r="169" spans="1:27">
      <c r="A169" s="22" t="s">
        <v>477</v>
      </c>
      <c r="B169" s="22" t="s">
        <v>254</v>
      </c>
      <c r="C169" s="22" t="s">
        <v>264</v>
      </c>
      <c r="D169" s="22" t="s">
        <v>369</v>
      </c>
      <c r="E169" s="22" t="s">
        <v>367</v>
      </c>
      <c r="F169" s="23">
        <v>22</v>
      </c>
      <c r="G169" s="23" t="s">
        <v>346</v>
      </c>
      <c r="H169" s="24">
        <v>95</v>
      </c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6" t="s">
        <v>74</v>
      </c>
      <c r="U169" s="23">
        <f t="shared" si="21"/>
        <v>0</v>
      </c>
      <c r="V169" s="22" t="str">
        <f t="shared" si="22"/>
        <v>○ 免調理</v>
      </c>
      <c r="W169" s="18" t="str">
        <f t="shared" si="23"/>
        <v>免調理半成品（外購/僅切配等），不列入設備風險評估</v>
      </c>
      <c r="X169" s="22" t="s">
        <v>371</v>
      </c>
      <c r="Y169" s="22" t="s">
        <v>347</v>
      </c>
      <c r="Z169" s="27">
        <f>IF($D169="",0,IF(COUNTIF($D$5:$D169,$D169)=1,1,0))</f>
        <v>0</v>
      </c>
      <c r="AA169" s="27" t="str">
        <f>IF(Z169=1,SUM($Z$5:$Z169),"")</f>
        <v/>
      </c>
    </row>
    <row r="170" spans="1:27">
      <c r="A170" s="22" t="s">
        <v>477</v>
      </c>
      <c r="B170" s="22" t="s">
        <v>254</v>
      </c>
      <c r="C170" s="22" t="s">
        <v>264</v>
      </c>
      <c r="D170" s="22" t="s">
        <v>369</v>
      </c>
      <c r="E170" s="22" t="s">
        <v>368</v>
      </c>
      <c r="F170" s="23">
        <v>22</v>
      </c>
      <c r="G170" s="23" t="s">
        <v>346</v>
      </c>
      <c r="H170" s="24">
        <v>95</v>
      </c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6" t="s">
        <v>74</v>
      </c>
      <c r="U170" s="23">
        <f t="shared" si="21"/>
        <v>0</v>
      </c>
      <c r="V170" s="22" t="str">
        <f t="shared" si="22"/>
        <v>○ 免調理</v>
      </c>
      <c r="W170" s="18" t="str">
        <f t="shared" si="23"/>
        <v>免調理半成品（外購/僅切配等），不列入設備風險評估</v>
      </c>
      <c r="X170" s="22" t="s">
        <v>372</v>
      </c>
      <c r="Y170" s="22" t="s">
        <v>347</v>
      </c>
      <c r="Z170" s="27">
        <f>IF($D170="",0,IF(COUNTIF($D$5:$D170,$D170)=1,1,0))</f>
        <v>0</v>
      </c>
      <c r="AA170" s="27" t="str">
        <f>IF(Z170=1,SUM($Z$5:$Z170),"")</f>
        <v/>
      </c>
    </row>
    <row r="171" spans="1:27">
      <c r="A171" s="22" t="s">
        <v>476</v>
      </c>
      <c r="B171" s="22" t="s">
        <v>254</v>
      </c>
      <c r="C171" s="22" t="s">
        <v>377</v>
      </c>
      <c r="D171" s="22" t="s">
        <v>376</v>
      </c>
      <c r="E171" s="22" t="s">
        <v>155</v>
      </c>
      <c r="F171" s="23">
        <v>1</v>
      </c>
      <c r="G171" s="23" t="s">
        <v>75</v>
      </c>
      <c r="H171" s="24">
        <v>2000</v>
      </c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6" t="s">
        <v>74</v>
      </c>
      <c r="U171" s="23">
        <f t="shared" si="21"/>
        <v>0</v>
      </c>
      <c r="V171" s="22" t="str">
        <f t="shared" si="22"/>
        <v>○ 免調理</v>
      </c>
      <c r="W171" s="18" t="str">
        <f t="shared" si="23"/>
        <v>免調理半成品（外購/僅切配等），不列入設備風險評估</v>
      </c>
      <c r="X171" s="22" t="s">
        <v>373</v>
      </c>
      <c r="Y171" s="22" t="s">
        <v>347</v>
      </c>
      <c r="Z171" s="27">
        <f>IF($D171="",0,IF(COUNTIF($D$5:$D171,$D171)=1,1,0))</f>
        <v>1</v>
      </c>
      <c r="AA171" s="27">
        <f>IF(Z171=1,SUM($Z$5:$Z171),"")</f>
        <v>34</v>
      </c>
    </row>
    <row r="172" spans="1:27">
      <c r="A172" s="22" t="s">
        <v>476</v>
      </c>
      <c r="B172" s="22" t="s">
        <v>254</v>
      </c>
      <c r="C172" s="22" t="s">
        <v>377</v>
      </c>
      <c r="D172" s="22" t="s">
        <v>376</v>
      </c>
      <c r="E172" s="22" t="s">
        <v>374</v>
      </c>
      <c r="F172" s="23">
        <v>17</v>
      </c>
      <c r="G172" s="23" t="s">
        <v>346</v>
      </c>
      <c r="H172" s="24">
        <v>95</v>
      </c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6" t="s">
        <v>74</v>
      </c>
      <c r="U172" s="23">
        <f t="shared" si="21"/>
        <v>0</v>
      </c>
      <c r="V172" s="22" t="str">
        <f t="shared" si="22"/>
        <v>○ 免調理</v>
      </c>
      <c r="W172" s="18" t="str">
        <f t="shared" si="23"/>
        <v>免調理半成品（外購/僅切配等），不列入設備風險評估</v>
      </c>
      <c r="X172" s="22" t="s">
        <v>378</v>
      </c>
      <c r="Y172" s="22" t="s">
        <v>347</v>
      </c>
      <c r="Z172" s="27">
        <f>IF($D172="",0,IF(COUNTIF($D$5:$D172,$D172)=1,1,0))</f>
        <v>0</v>
      </c>
      <c r="AA172" s="27" t="str">
        <f>IF(Z172=1,SUM($Z$5:$Z172),"")</f>
        <v/>
      </c>
    </row>
    <row r="173" spans="1:27">
      <c r="A173" s="22" t="s">
        <v>476</v>
      </c>
      <c r="B173" s="22" t="s">
        <v>254</v>
      </c>
      <c r="C173" s="22" t="s">
        <v>377</v>
      </c>
      <c r="D173" s="22" t="s">
        <v>376</v>
      </c>
      <c r="E173" s="22" t="s">
        <v>375</v>
      </c>
      <c r="F173" s="23">
        <v>1</v>
      </c>
      <c r="G173" s="23" t="s">
        <v>75</v>
      </c>
      <c r="H173" s="24">
        <v>100</v>
      </c>
      <c r="I173" s="25"/>
      <c r="J173" s="25"/>
      <c r="K173" s="25"/>
      <c r="L173" s="25"/>
      <c r="M173" s="25"/>
      <c r="N173" s="25" t="s">
        <v>74</v>
      </c>
      <c r="O173" s="25"/>
      <c r="P173" s="25"/>
      <c r="Q173" s="25"/>
      <c r="R173" s="25"/>
      <c r="S173" s="25"/>
      <c r="T173" s="26"/>
      <c r="U173" s="23">
        <f t="shared" si="21"/>
        <v>1</v>
      </c>
      <c r="V173" s="22" t="str">
        <f t="shared" si="22"/>
        <v>▲ 單一設備依賴</v>
      </c>
      <c r="W173" s="18" t="str">
        <f t="shared" si="23"/>
        <v>僅依賴1台設備，須確認故障/排修時之備援製程</v>
      </c>
      <c r="X173" s="22" t="s">
        <v>379</v>
      </c>
      <c r="Y173" s="22" t="s">
        <v>347</v>
      </c>
      <c r="Z173" s="27">
        <f>IF($D173="",0,IF(COUNTIF($D$5:$D173,$D173)=1,1,0))</f>
        <v>0</v>
      </c>
      <c r="AA173" s="27" t="str">
        <f>IF(Z173=1,SUM($Z$5:$Z173),"")</f>
        <v/>
      </c>
    </row>
    <row r="174" spans="1:27" s="27" customFormat="1">
      <c r="A174" s="22" t="s">
        <v>476</v>
      </c>
      <c r="B174" s="22" t="s">
        <v>254</v>
      </c>
      <c r="C174" s="22" t="s">
        <v>256</v>
      </c>
      <c r="D174" s="22" t="s">
        <v>383</v>
      </c>
      <c r="E174" s="22" t="s">
        <v>380</v>
      </c>
      <c r="F174" s="23">
        <v>1</v>
      </c>
      <c r="G174" s="23" t="s">
        <v>75</v>
      </c>
      <c r="H174" s="24">
        <v>1200</v>
      </c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6" t="s">
        <v>233</v>
      </c>
      <c r="U174" s="23">
        <f t="shared" si="21"/>
        <v>0</v>
      </c>
      <c r="V174" s="22" t="str">
        <f t="shared" si="22"/>
        <v>○ 免調理</v>
      </c>
      <c r="W174" s="18" t="str">
        <f t="shared" si="23"/>
        <v>免調理半成品（外購/僅切配等），不列入設備風險評估</v>
      </c>
      <c r="X174" s="22" t="s">
        <v>384</v>
      </c>
      <c r="Y174" s="22" t="s">
        <v>347</v>
      </c>
      <c r="Z174" s="27">
        <f>IF($D174="",0,IF(COUNTIF($D$5:$D174,$D174)=1,1,0))</f>
        <v>1</v>
      </c>
      <c r="AA174" s="27">
        <f>IF(Z174=1,SUM($Z$5:$Z174),"")</f>
        <v>35</v>
      </c>
    </row>
    <row r="175" spans="1:27" s="27" customFormat="1">
      <c r="A175" s="22" t="s">
        <v>476</v>
      </c>
      <c r="B175" s="22" t="s">
        <v>254</v>
      </c>
      <c r="C175" s="22" t="s">
        <v>256</v>
      </c>
      <c r="D175" s="22" t="s">
        <v>383</v>
      </c>
      <c r="E175" s="22" t="s">
        <v>120</v>
      </c>
      <c r="F175" s="23">
        <v>15</v>
      </c>
      <c r="G175" s="23" t="s">
        <v>346</v>
      </c>
      <c r="H175" s="24">
        <v>74.7</v>
      </c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6" t="s">
        <v>233</v>
      </c>
      <c r="U175" s="23">
        <f t="shared" si="21"/>
        <v>0</v>
      </c>
      <c r="V175" s="22" t="str">
        <f t="shared" si="22"/>
        <v>○ 免調理</v>
      </c>
      <c r="W175" s="18" t="str">
        <f t="shared" si="23"/>
        <v>免調理半成品（外購/僅切配等），不列入設備風險評估</v>
      </c>
      <c r="X175" s="22" t="s">
        <v>384</v>
      </c>
      <c r="Y175" s="22" t="s">
        <v>347</v>
      </c>
      <c r="Z175" s="27">
        <f>IF($D175="",0,IF(COUNTIF($D$5:$D175,$D175)=1,1,0))</f>
        <v>0</v>
      </c>
      <c r="AA175" s="27" t="str">
        <f>IF(Z175=1,SUM($Z$5:$Z175),"")</f>
        <v/>
      </c>
    </row>
    <row r="176" spans="1:27" s="27" customFormat="1">
      <c r="A176" s="22" t="s">
        <v>476</v>
      </c>
      <c r="B176" s="22" t="s">
        <v>254</v>
      </c>
      <c r="C176" s="22" t="s">
        <v>256</v>
      </c>
      <c r="D176" s="22" t="s">
        <v>383</v>
      </c>
      <c r="E176" s="22" t="s">
        <v>381</v>
      </c>
      <c r="F176" s="23">
        <v>25</v>
      </c>
      <c r="G176" s="23" t="s">
        <v>346</v>
      </c>
      <c r="H176" s="24">
        <v>94.6</v>
      </c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6" t="s">
        <v>233</v>
      </c>
      <c r="U176" s="23">
        <f t="shared" si="21"/>
        <v>0</v>
      </c>
      <c r="V176" s="22" t="str">
        <f t="shared" si="22"/>
        <v>○ 免調理</v>
      </c>
      <c r="W176" s="18" t="str">
        <f t="shared" si="23"/>
        <v>免調理半成品（外購/僅切配等），不列入設備風險評估</v>
      </c>
      <c r="X176" s="22" t="s">
        <v>384</v>
      </c>
      <c r="Y176" s="22" t="s">
        <v>347</v>
      </c>
      <c r="Z176" s="27">
        <f>IF($D176="",0,IF(COUNTIF($D$5:$D176,$D176)=1,1,0))</f>
        <v>0</v>
      </c>
      <c r="AA176" s="27" t="str">
        <f>IF(Z176=1,SUM($Z$5:$Z176),"")</f>
        <v/>
      </c>
    </row>
    <row r="177" spans="1:27" s="27" customFormat="1">
      <c r="A177" s="22" t="s">
        <v>476</v>
      </c>
      <c r="B177" s="22" t="s">
        <v>254</v>
      </c>
      <c r="C177" s="22" t="s">
        <v>256</v>
      </c>
      <c r="D177" s="22" t="s">
        <v>383</v>
      </c>
      <c r="E177" s="22" t="s">
        <v>382</v>
      </c>
      <c r="F177" s="23">
        <v>10</v>
      </c>
      <c r="G177" s="23" t="s">
        <v>346</v>
      </c>
      <c r="H177" s="24">
        <v>79</v>
      </c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6" t="s">
        <v>233</v>
      </c>
      <c r="U177" s="23">
        <f t="shared" si="21"/>
        <v>0</v>
      </c>
      <c r="V177" s="22" t="str">
        <f t="shared" si="22"/>
        <v>○ 免調理</v>
      </c>
      <c r="W177" s="18" t="str">
        <f t="shared" si="23"/>
        <v>免調理半成品（外購/僅切配等），不列入設備風險評估</v>
      </c>
      <c r="X177" s="22" t="s">
        <v>384</v>
      </c>
      <c r="Y177" s="22" t="s">
        <v>347</v>
      </c>
      <c r="Z177" s="27">
        <f>IF($D177="",0,IF(COUNTIF($D$5:$D177,$D177)=1,1,0))</f>
        <v>0</v>
      </c>
      <c r="AA177" s="27" t="str">
        <f>IF(Z177=1,SUM($Z$5:$Z177),"")</f>
        <v/>
      </c>
    </row>
    <row r="178" spans="1:27" s="27" customFormat="1">
      <c r="A178" s="22" t="s">
        <v>476</v>
      </c>
      <c r="B178" s="22" t="s">
        <v>254</v>
      </c>
      <c r="C178" s="22" t="s">
        <v>256</v>
      </c>
      <c r="D178" s="22" t="s">
        <v>383</v>
      </c>
      <c r="E178" s="22" t="s">
        <v>271</v>
      </c>
      <c r="F178" s="23">
        <v>2</v>
      </c>
      <c r="G178" s="23" t="s">
        <v>75</v>
      </c>
      <c r="H178" s="24">
        <v>2800</v>
      </c>
      <c r="I178" s="25"/>
      <c r="J178" s="25"/>
      <c r="K178" s="25" t="s">
        <v>233</v>
      </c>
      <c r="L178" s="25"/>
      <c r="M178" s="25"/>
      <c r="N178" s="25"/>
      <c r="O178" s="25"/>
      <c r="P178" s="25"/>
      <c r="Q178" s="25"/>
      <c r="R178" s="25"/>
      <c r="S178" s="25"/>
      <c r="T178" s="26"/>
      <c r="U178" s="23">
        <f t="shared" si="21"/>
        <v>1</v>
      </c>
      <c r="V178" s="22" t="str">
        <f t="shared" si="22"/>
        <v>▲ 單一設備依賴</v>
      </c>
      <c r="W178" s="18" t="str">
        <f t="shared" si="23"/>
        <v>僅依賴1台設備，須確認故障/排修時之備援製程</v>
      </c>
      <c r="X178" s="22" t="s">
        <v>384</v>
      </c>
      <c r="Y178" s="22" t="s">
        <v>347</v>
      </c>
      <c r="Z178" s="27">
        <f>IF($D178="",0,IF(COUNTIF($D$5:$D178,$D178)=1,1,0))</f>
        <v>0</v>
      </c>
      <c r="AA178" s="27" t="str">
        <f>IF(Z178=1,SUM($Z$5:$Z178),"")</f>
        <v/>
      </c>
    </row>
    <row r="179" spans="1:27" s="27" customFormat="1">
      <c r="A179" s="22" t="s">
        <v>476</v>
      </c>
      <c r="B179" s="22" t="s">
        <v>254</v>
      </c>
      <c r="C179" s="22" t="s">
        <v>256</v>
      </c>
      <c r="D179" s="22" t="s">
        <v>385</v>
      </c>
      <c r="E179" s="22" t="s">
        <v>380</v>
      </c>
      <c r="F179" s="23">
        <v>1</v>
      </c>
      <c r="G179" s="23" t="s">
        <v>75</v>
      </c>
      <c r="H179" s="24">
        <v>1200</v>
      </c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6" t="s">
        <v>233</v>
      </c>
      <c r="U179" s="23">
        <f t="shared" si="21"/>
        <v>0</v>
      </c>
      <c r="V179" s="22" t="str">
        <f t="shared" si="22"/>
        <v>○ 免調理</v>
      </c>
      <c r="W179" s="18" t="str">
        <f t="shared" si="23"/>
        <v>免調理半成品（外購/僅切配等），不列入設備風險評估</v>
      </c>
      <c r="X179" s="22" t="s">
        <v>386</v>
      </c>
      <c r="Y179" s="22" t="s">
        <v>347</v>
      </c>
      <c r="Z179" s="27">
        <f>IF($D179="",0,IF(COUNTIF($D$5:$D179,$D179)=1,1,0))</f>
        <v>1</v>
      </c>
      <c r="AA179" s="27">
        <f>IF(Z179=1,SUM($Z$5:$Z179),"")</f>
        <v>36</v>
      </c>
    </row>
    <row r="180" spans="1:27" s="27" customFormat="1">
      <c r="A180" s="22" t="s">
        <v>476</v>
      </c>
      <c r="B180" s="22" t="s">
        <v>254</v>
      </c>
      <c r="C180" s="22" t="s">
        <v>256</v>
      </c>
      <c r="D180" s="22" t="s">
        <v>385</v>
      </c>
      <c r="E180" s="22" t="s">
        <v>120</v>
      </c>
      <c r="F180" s="23">
        <v>15</v>
      </c>
      <c r="G180" s="23" t="s">
        <v>346</v>
      </c>
      <c r="H180" s="24">
        <v>74.7</v>
      </c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6" t="s">
        <v>233</v>
      </c>
      <c r="U180" s="23">
        <f t="shared" si="21"/>
        <v>0</v>
      </c>
      <c r="V180" s="22" t="str">
        <f t="shared" si="22"/>
        <v>○ 免調理</v>
      </c>
      <c r="W180" s="18" t="str">
        <f t="shared" si="23"/>
        <v>免調理半成品（外購/僅切配等），不列入設備風險評估</v>
      </c>
      <c r="X180" s="22" t="s">
        <v>386</v>
      </c>
      <c r="Y180" s="22" t="s">
        <v>347</v>
      </c>
      <c r="Z180" s="27">
        <f>IF($D180="",0,IF(COUNTIF($D$5:$D180,$D180)=1,1,0))</f>
        <v>0</v>
      </c>
      <c r="AA180" s="27" t="str">
        <f>IF(Z180=1,SUM($Z$5:$Z180),"")</f>
        <v/>
      </c>
    </row>
    <row r="181" spans="1:27" s="27" customFormat="1">
      <c r="A181" s="22" t="s">
        <v>476</v>
      </c>
      <c r="B181" s="22" t="s">
        <v>254</v>
      </c>
      <c r="C181" s="22" t="s">
        <v>256</v>
      </c>
      <c r="D181" s="22" t="s">
        <v>385</v>
      </c>
      <c r="E181" s="22" t="s">
        <v>381</v>
      </c>
      <c r="F181" s="23">
        <v>25</v>
      </c>
      <c r="G181" s="23" t="s">
        <v>346</v>
      </c>
      <c r="H181" s="24">
        <v>90.8</v>
      </c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6" t="s">
        <v>233</v>
      </c>
      <c r="U181" s="23">
        <f t="shared" si="21"/>
        <v>0</v>
      </c>
      <c r="V181" s="22" t="str">
        <f t="shared" si="22"/>
        <v>○ 免調理</v>
      </c>
      <c r="W181" s="18" t="str">
        <f t="shared" si="23"/>
        <v>免調理半成品（外購/僅切配等），不列入設備風險評估</v>
      </c>
      <c r="X181" s="22" t="s">
        <v>386</v>
      </c>
      <c r="Y181" s="22" t="s">
        <v>347</v>
      </c>
      <c r="Z181" s="27">
        <f>IF($D181="",0,IF(COUNTIF($D$5:$D181,$D181)=1,1,0))</f>
        <v>0</v>
      </c>
      <c r="AA181" s="27" t="str">
        <f>IF(Z181=1,SUM($Z$5:$Z181),"")</f>
        <v/>
      </c>
    </row>
    <row r="182" spans="1:27" s="27" customFormat="1">
      <c r="A182" s="22" t="s">
        <v>476</v>
      </c>
      <c r="B182" s="22" t="s">
        <v>254</v>
      </c>
      <c r="C182" s="22" t="s">
        <v>256</v>
      </c>
      <c r="D182" s="22" t="s">
        <v>385</v>
      </c>
      <c r="E182" s="22" t="s">
        <v>382</v>
      </c>
      <c r="F182" s="23">
        <v>10</v>
      </c>
      <c r="G182" s="23" t="s">
        <v>346</v>
      </c>
      <c r="H182" s="24">
        <v>79</v>
      </c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6" t="s">
        <v>233</v>
      </c>
      <c r="U182" s="23">
        <f t="shared" si="21"/>
        <v>0</v>
      </c>
      <c r="V182" s="22" t="str">
        <f t="shared" si="22"/>
        <v>○ 免調理</v>
      </c>
      <c r="W182" s="18" t="str">
        <f t="shared" si="23"/>
        <v>免調理半成品（外購/僅切配等），不列入設備風險評估</v>
      </c>
      <c r="X182" s="22" t="s">
        <v>386</v>
      </c>
      <c r="Y182" s="22" t="s">
        <v>347</v>
      </c>
      <c r="Z182" s="27">
        <f>IF($D182="",0,IF(COUNTIF($D$5:$D182,$D182)=1,1,0))</f>
        <v>0</v>
      </c>
      <c r="AA182" s="27" t="str">
        <f>IF(Z182=1,SUM($Z$5:$Z182),"")</f>
        <v/>
      </c>
    </row>
    <row r="183" spans="1:27" s="27" customFormat="1">
      <c r="A183" s="22" t="s">
        <v>476</v>
      </c>
      <c r="B183" s="22" t="s">
        <v>254</v>
      </c>
      <c r="C183" s="22" t="s">
        <v>256</v>
      </c>
      <c r="D183" s="22" t="s">
        <v>385</v>
      </c>
      <c r="E183" s="22" t="s">
        <v>271</v>
      </c>
      <c r="F183" s="23">
        <v>2</v>
      </c>
      <c r="G183" s="23" t="s">
        <v>75</v>
      </c>
      <c r="H183" s="24">
        <v>2800</v>
      </c>
      <c r="I183" s="25"/>
      <c r="J183" s="25"/>
      <c r="K183" s="25" t="s">
        <v>233</v>
      </c>
      <c r="L183" s="25"/>
      <c r="M183" s="25"/>
      <c r="N183" s="25"/>
      <c r="O183" s="25"/>
      <c r="P183" s="25"/>
      <c r="Q183" s="25"/>
      <c r="R183" s="25"/>
      <c r="S183" s="25"/>
      <c r="T183" s="26"/>
      <c r="U183" s="23">
        <f t="shared" si="21"/>
        <v>1</v>
      </c>
      <c r="V183" s="22" t="str">
        <f t="shared" si="22"/>
        <v>▲ 單一設備依賴</v>
      </c>
      <c r="W183" s="18" t="str">
        <f t="shared" si="23"/>
        <v>僅依賴1台設備，須確認故障/排修時之備援製程</v>
      </c>
      <c r="X183" s="22" t="s">
        <v>386</v>
      </c>
      <c r="Y183" s="22" t="s">
        <v>347</v>
      </c>
      <c r="Z183" s="27">
        <f>IF($D183="",0,IF(COUNTIF($D$5:$D183,$D183)=1,1,0))</f>
        <v>0</v>
      </c>
      <c r="AA183" s="27" t="str">
        <f>IF(Z183=1,SUM($Z$5:$Z183),"")</f>
        <v/>
      </c>
    </row>
    <row r="184" spans="1:27">
      <c r="A184" s="22" t="s">
        <v>476</v>
      </c>
      <c r="B184" s="22" t="s">
        <v>254</v>
      </c>
      <c r="C184" s="22" t="s">
        <v>377</v>
      </c>
      <c r="D184" s="22" t="s">
        <v>387</v>
      </c>
      <c r="E184" s="22" t="s">
        <v>388</v>
      </c>
      <c r="F184" s="23">
        <v>1</v>
      </c>
      <c r="G184" s="23" t="s">
        <v>75</v>
      </c>
      <c r="H184" s="24">
        <v>2000</v>
      </c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6" t="s">
        <v>74</v>
      </c>
      <c r="U184" s="23">
        <f t="shared" si="21"/>
        <v>0</v>
      </c>
      <c r="V184" s="22" t="str">
        <f t="shared" si="22"/>
        <v>○ 免調理</v>
      </c>
      <c r="W184" s="18" t="str">
        <f t="shared" si="23"/>
        <v>免調理半成品（外購/僅切配等），不列入設備風險評估</v>
      </c>
      <c r="X184" s="22" t="s">
        <v>391</v>
      </c>
      <c r="Y184" s="22" t="s">
        <v>347</v>
      </c>
      <c r="Z184" s="27">
        <f>IF($D184="",0,IF(COUNTIF($D$5:$D184,$D184)=1,1,0))</f>
        <v>1</v>
      </c>
      <c r="AA184" s="27">
        <f>IF(Z184=1,SUM($Z$5:$Z184),"")</f>
        <v>37</v>
      </c>
    </row>
    <row r="185" spans="1:27">
      <c r="A185" s="22" t="s">
        <v>476</v>
      </c>
      <c r="B185" s="22" t="s">
        <v>254</v>
      </c>
      <c r="C185" s="22" t="s">
        <v>377</v>
      </c>
      <c r="D185" s="22" t="s">
        <v>387</v>
      </c>
      <c r="E185" s="22" t="s">
        <v>389</v>
      </c>
      <c r="F185" s="23">
        <v>2</v>
      </c>
      <c r="G185" s="23" t="s">
        <v>75</v>
      </c>
      <c r="H185" s="24">
        <v>100</v>
      </c>
      <c r="I185" s="25"/>
      <c r="J185" s="25"/>
      <c r="K185" s="25" t="s">
        <v>74</v>
      </c>
      <c r="L185" s="25"/>
      <c r="M185" s="25"/>
      <c r="N185" s="25"/>
      <c r="O185" s="25"/>
      <c r="P185" s="25"/>
      <c r="Q185" s="25"/>
      <c r="R185" s="25"/>
      <c r="S185" s="25"/>
      <c r="T185" s="26"/>
      <c r="U185" s="23">
        <f t="shared" si="21"/>
        <v>1</v>
      </c>
      <c r="V185" s="22" t="str">
        <f t="shared" si="22"/>
        <v>▲ 單一設備依賴</v>
      </c>
      <c r="W185" s="18" t="str">
        <f t="shared" si="23"/>
        <v>僅依賴1台設備，須確認故障/排修時之備援製程</v>
      </c>
      <c r="X185" s="22" t="s">
        <v>391</v>
      </c>
      <c r="Y185" s="22" t="s">
        <v>347</v>
      </c>
      <c r="Z185" s="27">
        <f>IF($D185="",0,IF(COUNTIF($D$5:$D185,$D185)=1,1,0))</f>
        <v>0</v>
      </c>
      <c r="AA185" s="27" t="str">
        <f>IF(Z185=1,SUM($Z$5:$Z185),"")</f>
        <v/>
      </c>
    </row>
    <row r="186" spans="1:27">
      <c r="A186" s="22" t="s">
        <v>476</v>
      </c>
      <c r="B186" s="22" t="s">
        <v>254</v>
      </c>
      <c r="C186" s="22" t="s">
        <v>377</v>
      </c>
      <c r="D186" s="22" t="s">
        <v>387</v>
      </c>
      <c r="E186" s="22" t="s">
        <v>390</v>
      </c>
      <c r="F186" s="23">
        <v>3</v>
      </c>
      <c r="G186" s="23" t="s">
        <v>75</v>
      </c>
      <c r="H186" s="24">
        <v>97</v>
      </c>
      <c r="I186" s="25"/>
      <c r="J186" s="25"/>
      <c r="K186" s="25" t="s">
        <v>74</v>
      </c>
      <c r="L186" s="25"/>
      <c r="M186" s="25"/>
      <c r="N186" s="25"/>
      <c r="O186" s="25"/>
      <c r="P186" s="25"/>
      <c r="Q186" s="25"/>
      <c r="R186" s="25"/>
      <c r="S186" s="25"/>
      <c r="T186" s="26"/>
      <c r="U186" s="23">
        <f t="shared" si="21"/>
        <v>1</v>
      </c>
      <c r="V186" s="22" t="str">
        <f t="shared" si="22"/>
        <v>▲ 單一設備依賴</v>
      </c>
      <c r="W186" s="18" t="str">
        <f t="shared" si="23"/>
        <v>僅依賴1台設備，須確認故障/排修時之備援製程</v>
      </c>
      <c r="X186" s="22" t="s">
        <v>391</v>
      </c>
      <c r="Y186" s="22" t="s">
        <v>347</v>
      </c>
      <c r="Z186" s="27">
        <f>IF($D186="",0,IF(COUNTIF($D$5:$D186,$D186)=1,1,0))</f>
        <v>0</v>
      </c>
      <c r="AA186" s="27" t="str">
        <f>IF(Z186=1,SUM($Z$5:$Z186),"")</f>
        <v/>
      </c>
    </row>
    <row r="187" spans="1:27">
      <c r="A187" s="22" t="s">
        <v>476</v>
      </c>
      <c r="B187" s="22" t="s">
        <v>254</v>
      </c>
      <c r="C187" s="22" t="s">
        <v>377</v>
      </c>
      <c r="D187" s="22" t="s">
        <v>387</v>
      </c>
      <c r="E187" s="22" t="s">
        <v>165</v>
      </c>
      <c r="F187" s="23">
        <v>13</v>
      </c>
      <c r="G187" s="23" t="s">
        <v>346</v>
      </c>
      <c r="H187" s="24">
        <v>56</v>
      </c>
      <c r="I187" s="25"/>
      <c r="J187" s="25"/>
      <c r="K187" s="25"/>
      <c r="L187" s="25"/>
      <c r="M187" s="25"/>
      <c r="N187" s="25"/>
      <c r="O187" s="25" t="s">
        <v>74</v>
      </c>
      <c r="P187" s="25"/>
      <c r="Q187" s="25"/>
      <c r="R187" s="25"/>
      <c r="S187" s="25"/>
      <c r="T187" s="26"/>
      <c r="U187" s="23">
        <f t="shared" si="21"/>
        <v>1</v>
      </c>
      <c r="V187" s="22" t="str">
        <f t="shared" si="22"/>
        <v>▲ 單一設備依賴</v>
      </c>
      <c r="W187" s="18" t="str">
        <f t="shared" si="23"/>
        <v>僅依賴1台設備，須確認故障/排修時之備援製程</v>
      </c>
      <c r="X187" s="22" t="s">
        <v>391</v>
      </c>
      <c r="Y187" s="22" t="s">
        <v>347</v>
      </c>
      <c r="Z187" s="27">
        <f>IF($D187="",0,IF(COUNTIF($D$5:$D187,$D187)=1,1,0))</f>
        <v>0</v>
      </c>
      <c r="AA187" s="27" t="str">
        <f>IF(Z187=1,SUM($Z$5:$Z187),"")</f>
        <v/>
      </c>
    </row>
    <row r="188" spans="1:27">
      <c r="A188" s="22" t="s">
        <v>476</v>
      </c>
      <c r="B188" s="22" t="s">
        <v>254</v>
      </c>
      <c r="C188" s="22" t="s">
        <v>264</v>
      </c>
      <c r="D188" s="22" t="s">
        <v>399</v>
      </c>
      <c r="E188" s="22" t="s">
        <v>392</v>
      </c>
      <c r="F188" s="23">
        <v>2</v>
      </c>
      <c r="G188" s="23" t="s">
        <v>75</v>
      </c>
      <c r="H188" s="24">
        <v>2500</v>
      </c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6" t="s">
        <v>74</v>
      </c>
      <c r="U188" s="23">
        <f t="shared" si="21"/>
        <v>0</v>
      </c>
      <c r="V188" s="22" t="str">
        <f t="shared" si="22"/>
        <v>○ 免調理</v>
      </c>
      <c r="W188" s="18" t="str">
        <f t="shared" si="23"/>
        <v>免調理半成品（外購/僅切配等），不列入設備風險評估</v>
      </c>
      <c r="X188" s="22" t="s">
        <v>400</v>
      </c>
      <c r="Y188" s="22" t="s">
        <v>347</v>
      </c>
      <c r="Z188" s="27">
        <f>IF($D188="",0,IF(COUNTIF($D$5:$D188,$D188)=1,1,0))</f>
        <v>1</v>
      </c>
      <c r="AA188" s="27">
        <f>IF(Z188=1,SUM($Z$5:$Z188),"")</f>
        <v>38</v>
      </c>
    </row>
    <row r="189" spans="1:27">
      <c r="A189" s="22" t="s">
        <v>476</v>
      </c>
      <c r="B189" s="22" t="s">
        <v>254</v>
      </c>
      <c r="C189" s="22" t="s">
        <v>264</v>
      </c>
      <c r="D189" s="22" t="s">
        <v>399</v>
      </c>
      <c r="E189" s="22" t="s">
        <v>393</v>
      </c>
      <c r="F189" s="23">
        <v>6</v>
      </c>
      <c r="G189" s="23" t="s">
        <v>346</v>
      </c>
      <c r="H189" s="24">
        <v>96</v>
      </c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6" t="s">
        <v>74</v>
      </c>
      <c r="U189" s="23">
        <f t="shared" si="21"/>
        <v>0</v>
      </c>
      <c r="V189" s="22" t="str">
        <f t="shared" si="22"/>
        <v>○ 免調理</v>
      </c>
      <c r="W189" s="18" t="str">
        <f t="shared" si="23"/>
        <v>免調理半成品（外購/僅切配等），不列入設備風險評估</v>
      </c>
      <c r="X189" s="22" t="s">
        <v>400</v>
      </c>
      <c r="Y189" s="22" t="s">
        <v>347</v>
      </c>
      <c r="Z189" s="27">
        <f>IF($D189="",0,IF(COUNTIF($D$5:$D189,$D189)=1,1,0))</f>
        <v>0</v>
      </c>
      <c r="AA189" s="27" t="str">
        <f>IF(Z189=1,SUM($Z$5:$Z189),"")</f>
        <v/>
      </c>
    </row>
    <row r="190" spans="1:27">
      <c r="A190" s="22" t="s">
        <v>476</v>
      </c>
      <c r="B190" s="22" t="s">
        <v>254</v>
      </c>
      <c r="C190" s="22" t="s">
        <v>264</v>
      </c>
      <c r="D190" s="22" t="s">
        <v>399</v>
      </c>
      <c r="E190" s="22" t="s">
        <v>394</v>
      </c>
      <c r="F190" s="23">
        <v>1</v>
      </c>
      <c r="G190" s="23" t="s">
        <v>75</v>
      </c>
      <c r="H190" s="24">
        <v>10</v>
      </c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6" t="s">
        <v>74</v>
      </c>
      <c r="U190" s="23">
        <f t="shared" si="21"/>
        <v>0</v>
      </c>
      <c r="V190" s="22" t="str">
        <f t="shared" si="22"/>
        <v>○ 免調理</v>
      </c>
      <c r="W190" s="18" t="str">
        <f t="shared" si="23"/>
        <v>免調理半成品（外購/僅切配等），不列入設備風險評估</v>
      </c>
      <c r="X190" s="22" t="s">
        <v>400</v>
      </c>
      <c r="Y190" s="22" t="s">
        <v>347</v>
      </c>
      <c r="Z190" s="27">
        <f>IF($D190="",0,IF(COUNTIF($D$5:$D190,$D190)=1,1,0))</f>
        <v>0</v>
      </c>
      <c r="AA190" s="27" t="str">
        <f>IF(Z190=1,SUM($Z$5:$Z190),"")</f>
        <v/>
      </c>
    </row>
    <row r="191" spans="1:27">
      <c r="A191" s="22" t="s">
        <v>476</v>
      </c>
      <c r="B191" s="22" t="s">
        <v>254</v>
      </c>
      <c r="C191" s="22" t="s">
        <v>264</v>
      </c>
      <c r="D191" s="22" t="s">
        <v>399</v>
      </c>
      <c r="E191" s="22" t="s">
        <v>395</v>
      </c>
      <c r="F191" s="23">
        <v>1.5</v>
      </c>
      <c r="G191" s="23" t="s">
        <v>75</v>
      </c>
      <c r="H191" s="24">
        <v>8</v>
      </c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6" t="s">
        <v>74</v>
      </c>
      <c r="U191" s="23">
        <f t="shared" si="21"/>
        <v>0</v>
      </c>
      <c r="V191" s="22" t="str">
        <f t="shared" si="22"/>
        <v>○ 免調理</v>
      </c>
      <c r="W191" s="18" t="str">
        <f t="shared" si="23"/>
        <v>免調理半成品（外購/僅切配等），不列入設備風險評估</v>
      </c>
      <c r="X191" s="22" t="s">
        <v>400</v>
      </c>
      <c r="Y191" s="22" t="s">
        <v>347</v>
      </c>
      <c r="Z191" s="27">
        <f>IF($D191="",0,IF(COUNTIF($D$5:$D191,$D191)=1,1,0))</f>
        <v>0</v>
      </c>
      <c r="AA191" s="27" t="str">
        <f>IF(Z191=1,SUM($Z$5:$Z191),"")</f>
        <v/>
      </c>
    </row>
    <row r="192" spans="1:27">
      <c r="A192" s="22" t="s">
        <v>476</v>
      </c>
      <c r="B192" s="22" t="s">
        <v>254</v>
      </c>
      <c r="C192" s="22" t="s">
        <v>264</v>
      </c>
      <c r="D192" s="22" t="s">
        <v>399</v>
      </c>
      <c r="E192" s="22" t="s">
        <v>396</v>
      </c>
      <c r="F192" s="23">
        <v>4</v>
      </c>
      <c r="G192" s="23" t="s">
        <v>346</v>
      </c>
      <c r="H192" s="24">
        <v>97</v>
      </c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6" t="s">
        <v>74</v>
      </c>
      <c r="U192" s="23">
        <f t="shared" si="21"/>
        <v>0</v>
      </c>
      <c r="V192" s="22" t="str">
        <f t="shared" si="22"/>
        <v>○ 免調理</v>
      </c>
      <c r="W192" s="18" t="str">
        <f t="shared" si="23"/>
        <v>免調理半成品（外購/僅切配等），不列入設備風險評估</v>
      </c>
      <c r="X192" s="22" t="s">
        <v>400</v>
      </c>
      <c r="Y192" s="22" t="s">
        <v>347</v>
      </c>
      <c r="Z192" s="27">
        <f>IF($D192="",0,IF(COUNTIF($D$5:$D192,$D192)=1,1,0))</f>
        <v>0</v>
      </c>
      <c r="AA192" s="27" t="str">
        <f>IF(Z192=1,SUM($Z$5:$Z192),"")</f>
        <v/>
      </c>
    </row>
    <row r="193" spans="1:27">
      <c r="A193" s="22" t="s">
        <v>476</v>
      </c>
      <c r="B193" s="22" t="s">
        <v>254</v>
      </c>
      <c r="C193" s="22" t="s">
        <v>264</v>
      </c>
      <c r="D193" s="22" t="s">
        <v>399</v>
      </c>
      <c r="E193" s="22" t="s">
        <v>397</v>
      </c>
      <c r="F193" s="23">
        <v>18</v>
      </c>
      <c r="G193" s="23" t="s">
        <v>346</v>
      </c>
      <c r="H193" s="24">
        <v>79</v>
      </c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6" t="s">
        <v>74</v>
      </c>
      <c r="U193" s="23">
        <f t="shared" si="21"/>
        <v>0</v>
      </c>
      <c r="V193" s="22" t="str">
        <f t="shared" si="22"/>
        <v>○ 免調理</v>
      </c>
      <c r="W193" s="18" t="str">
        <f t="shared" si="23"/>
        <v>免調理半成品（外購/僅切配等），不列入設備風險評估</v>
      </c>
      <c r="X193" s="22" t="s">
        <v>400</v>
      </c>
      <c r="Y193" s="22" t="s">
        <v>347</v>
      </c>
      <c r="Z193" s="27">
        <f>IF($D193="",0,IF(COUNTIF($D$5:$D193,$D193)=1,1,0))</f>
        <v>0</v>
      </c>
      <c r="AA193" s="27" t="str">
        <f>IF(Z193=1,SUM($Z$5:$Z193),"")</f>
        <v/>
      </c>
    </row>
    <row r="194" spans="1:27">
      <c r="A194" s="22" t="s">
        <v>476</v>
      </c>
      <c r="B194" s="22" t="s">
        <v>254</v>
      </c>
      <c r="C194" s="22" t="s">
        <v>264</v>
      </c>
      <c r="D194" s="22" t="s">
        <v>399</v>
      </c>
      <c r="E194" s="22" t="s">
        <v>398</v>
      </c>
      <c r="F194" s="23">
        <v>6</v>
      </c>
      <c r="G194" s="23" t="s">
        <v>346</v>
      </c>
      <c r="H194" s="24">
        <v>40</v>
      </c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6" t="s">
        <v>74</v>
      </c>
      <c r="U194" s="23">
        <f t="shared" si="21"/>
        <v>0</v>
      </c>
      <c r="V194" s="22" t="str">
        <f t="shared" si="22"/>
        <v>○ 免調理</v>
      </c>
      <c r="W194" s="18" t="str">
        <f t="shared" si="23"/>
        <v>免調理半成品（外購/僅切配等），不列入設備風險評估</v>
      </c>
      <c r="X194" s="22" t="s">
        <v>400</v>
      </c>
      <c r="Y194" s="22" t="s">
        <v>347</v>
      </c>
      <c r="Z194" s="27">
        <f>IF($D194="",0,IF(COUNTIF($D$5:$D194,$D194)=1,1,0))</f>
        <v>0</v>
      </c>
      <c r="AA194" s="27" t="str">
        <f>IF(Z194=1,SUM($Z$5:$Z194),"")</f>
        <v/>
      </c>
    </row>
    <row r="195" spans="1:27">
      <c r="A195" s="22" t="s">
        <v>477</v>
      </c>
      <c r="B195" s="22" t="s">
        <v>254</v>
      </c>
      <c r="C195" s="22" t="s">
        <v>264</v>
      </c>
      <c r="D195" s="22" t="s">
        <v>409</v>
      </c>
      <c r="E195" s="22" t="s">
        <v>392</v>
      </c>
      <c r="F195" s="23">
        <v>2</v>
      </c>
      <c r="G195" s="23" t="s">
        <v>75</v>
      </c>
      <c r="H195" s="24">
        <v>2500</v>
      </c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6" t="s">
        <v>74</v>
      </c>
      <c r="U195" s="23">
        <f t="shared" ref="U195:U257" si="24">IF($E195="","",COUNTIF($I195:$S195,"V"))</f>
        <v>0</v>
      </c>
      <c r="V195" s="22" t="str">
        <f t="shared" ref="V195:V257" si="25">IF($E195="","",IF(AND($T195="V",$U195&gt;0),"⚠ 勾選矛盾",IF($T195="V","○ 免調理",IF($U195=0,"⚠ 資料缺漏",IF($U195=1,"▲ 單一設備依賴","OK")))))</f>
        <v>○ 免調理</v>
      </c>
      <c r="W195" s="18" t="str">
        <f t="shared" ref="W195:W257" si="26">IF($E195="","",IF(AND($T195="V",$U195&gt;0),"「無使用調理設備」不可與設備欄同時勾選，請擇一修正",IF($T195="V","免調理半成品（外購/僅切配等），不列入設備風險評估",IF($U195=0,"未勾選任何設備，請補填或勾選「無使用調理設備」",IF($U195=1,"僅依賴1台設備，須確認故障/排修時之備援製程","無異常")))))</f>
        <v>免調理半成品（外購/僅切配等），不列入設備風險評估</v>
      </c>
      <c r="X195" s="22" t="s">
        <v>415</v>
      </c>
      <c r="Y195" s="22" t="s">
        <v>347</v>
      </c>
      <c r="Z195" s="27">
        <f>IF($D195="",0,IF(COUNTIF($D$5:$D195,$D195)=1,1,0))</f>
        <v>1</v>
      </c>
      <c r="AA195" s="27">
        <f>IF(Z195=1,SUM($Z$5:$Z195),"")</f>
        <v>39</v>
      </c>
    </row>
    <row r="196" spans="1:27">
      <c r="A196" s="22" t="s">
        <v>477</v>
      </c>
      <c r="B196" s="22" t="s">
        <v>254</v>
      </c>
      <c r="C196" s="22" t="s">
        <v>264</v>
      </c>
      <c r="D196" s="22" t="s">
        <v>409</v>
      </c>
      <c r="E196" s="22" t="s">
        <v>410</v>
      </c>
      <c r="F196" s="23">
        <v>4</v>
      </c>
      <c r="G196" s="23" t="s">
        <v>346</v>
      </c>
      <c r="H196" s="24">
        <v>100</v>
      </c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6" t="s">
        <v>74</v>
      </c>
      <c r="U196" s="23">
        <f t="shared" si="24"/>
        <v>0</v>
      </c>
      <c r="V196" s="22" t="str">
        <f t="shared" si="25"/>
        <v>○ 免調理</v>
      </c>
      <c r="W196" s="18" t="str">
        <f t="shared" si="26"/>
        <v>免調理半成品（外購/僅切配等），不列入設備風險評估</v>
      </c>
      <c r="X196" s="22" t="s">
        <v>415</v>
      </c>
      <c r="Y196" s="22" t="s">
        <v>347</v>
      </c>
      <c r="Z196" s="27">
        <f>IF($D196="",0,IF(COUNTIF($D$5:$D196,$D196)=1,1,0))</f>
        <v>0</v>
      </c>
      <c r="AA196" s="27" t="str">
        <f>IF(Z196=1,SUM($Z$5:$Z196),"")</f>
        <v/>
      </c>
    </row>
    <row r="197" spans="1:27">
      <c r="A197" s="22" t="s">
        <v>477</v>
      </c>
      <c r="B197" s="22" t="s">
        <v>254</v>
      </c>
      <c r="C197" s="22" t="s">
        <v>264</v>
      </c>
      <c r="D197" s="22" t="s">
        <v>409</v>
      </c>
      <c r="E197" s="22" t="s">
        <v>411</v>
      </c>
      <c r="F197" s="23">
        <v>7</v>
      </c>
      <c r="G197" s="23" t="s">
        <v>346</v>
      </c>
      <c r="H197" s="24">
        <v>78</v>
      </c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6" t="s">
        <v>74</v>
      </c>
      <c r="U197" s="23">
        <f t="shared" si="24"/>
        <v>0</v>
      </c>
      <c r="V197" s="22" t="str">
        <f t="shared" si="25"/>
        <v>○ 免調理</v>
      </c>
      <c r="W197" s="18" t="str">
        <f t="shared" si="26"/>
        <v>免調理半成品（外購/僅切配等），不列入設備風險評估</v>
      </c>
      <c r="X197" s="22" t="s">
        <v>415</v>
      </c>
      <c r="Y197" s="22" t="s">
        <v>347</v>
      </c>
      <c r="Z197" s="27">
        <f>IF($D197="",0,IF(COUNTIF($D$5:$D197,$D197)=1,1,0))</f>
        <v>0</v>
      </c>
      <c r="AA197" s="27" t="str">
        <f>IF(Z197=1,SUM($Z$5:$Z197),"")</f>
        <v/>
      </c>
    </row>
    <row r="198" spans="1:27">
      <c r="A198" s="22" t="s">
        <v>477</v>
      </c>
      <c r="B198" s="22" t="s">
        <v>254</v>
      </c>
      <c r="C198" s="22" t="s">
        <v>264</v>
      </c>
      <c r="D198" s="22" t="s">
        <v>409</v>
      </c>
      <c r="E198" s="22" t="s">
        <v>412</v>
      </c>
      <c r="F198" s="23">
        <v>14</v>
      </c>
      <c r="G198" s="23" t="s">
        <v>346</v>
      </c>
      <c r="H198" s="24">
        <v>4100</v>
      </c>
      <c r="I198" s="25"/>
      <c r="J198" s="25"/>
      <c r="K198" s="25"/>
      <c r="L198" s="25"/>
      <c r="M198" s="25" t="s">
        <v>74</v>
      </c>
      <c r="N198" s="25"/>
      <c r="O198" s="25"/>
      <c r="P198" s="25"/>
      <c r="Q198" s="25"/>
      <c r="R198" s="25"/>
      <c r="S198" s="25"/>
      <c r="T198" s="26"/>
      <c r="U198" s="23">
        <f t="shared" si="24"/>
        <v>1</v>
      </c>
      <c r="V198" s="22" t="str">
        <f t="shared" si="25"/>
        <v>▲ 單一設備依賴</v>
      </c>
      <c r="W198" s="18" t="str">
        <f t="shared" si="26"/>
        <v>僅依賴1台設備，須確認故障/排修時之備援製程</v>
      </c>
      <c r="X198" s="22" t="s">
        <v>415</v>
      </c>
      <c r="Y198" s="22" t="s">
        <v>347</v>
      </c>
      <c r="Z198" s="27">
        <f>IF($D198="",0,IF(COUNTIF($D$5:$D198,$D198)=1,1,0))</f>
        <v>0</v>
      </c>
      <c r="AA198" s="27" t="str">
        <f>IF(Z198=1,SUM($Z$5:$Z198),"")</f>
        <v/>
      </c>
    </row>
    <row r="199" spans="1:27">
      <c r="A199" s="22" t="s">
        <v>477</v>
      </c>
      <c r="B199" s="22" t="s">
        <v>254</v>
      </c>
      <c r="C199" s="22" t="s">
        <v>264</v>
      </c>
      <c r="D199" s="22" t="s">
        <v>409</v>
      </c>
      <c r="E199" s="22" t="s">
        <v>132</v>
      </c>
      <c r="F199" s="23">
        <v>0.5</v>
      </c>
      <c r="G199" s="23" t="s">
        <v>75</v>
      </c>
      <c r="H199" s="24">
        <v>100</v>
      </c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6" t="s">
        <v>74</v>
      </c>
      <c r="U199" s="23">
        <f t="shared" si="24"/>
        <v>0</v>
      </c>
      <c r="V199" s="22" t="str">
        <f t="shared" si="25"/>
        <v>○ 免調理</v>
      </c>
      <c r="W199" s="18" t="str">
        <f t="shared" si="26"/>
        <v>免調理半成品（外購/僅切配等），不列入設備風險評估</v>
      </c>
      <c r="X199" s="22" t="s">
        <v>415</v>
      </c>
      <c r="Y199" s="22" t="s">
        <v>347</v>
      </c>
      <c r="Z199" s="27">
        <f>IF($D199="",0,IF(COUNTIF($D$5:$D199,$D199)=1,1,0))</f>
        <v>0</v>
      </c>
      <c r="AA199" s="27" t="str">
        <f>IF(Z199=1,SUM($Z$5:$Z199),"")</f>
        <v/>
      </c>
    </row>
    <row r="200" spans="1:27">
      <c r="A200" s="22" t="s">
        <v>477</v>
      </c>
      <c r="B200" s="22" t="s">
        <v>254</v>
      </c>
      <c r="C200" s="22" t="s">
        <v>264</v>
      </c>
      <c r="D200" s="22" t="s">
        <v>409</v>
      </c>
      <c r="E200" s="22" t="s">
        <v>191</v>
      </c>
      <c r="F200" s="23">
        <v>2</v>
      </c>
      <c r="G200" s="23" t="s">
        <v>75</v>
      </c>
      <c r="H200" s="24">
        <v>8000</v>
      </c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6" t="s">
        <v>74</v>
      </c>
      <c r="U200" s="23">
        <f t="shared" si="24"/>
        <v>0</v>
      </c>
      <c r="V200" s="22" t="str">
        <f t="shared" si="25"/>
        <v>○ 免調理</v>
      </c>
      <c r="W200" s="18" t="str">
        <f t="shared" si="26"/>
        <v>免調理半成品（外購/僅切配等），不列入設備風險評估</v>
      </c>
      <c r="X200" s="22" t="s">
        <v>415</v>
      </c>
      <c r="Y200" s="22" t="s">
        <v>347</v>
      </c>
      <c r="Z200" s="27">
        <f>IF($D200="",0,IF(COUNTIF($D$5:$D200,$D200)=1,1,0))</f>
        <v>0</v>
      </c>
      <c r="AA200" s="27" t="str">
        <f>IF(Z200=1,SUM($Z$5:$Z200),"")</f>
        <v/>
      </c>
    </row>
    <row r="201" spans="1:27">
      <c r="A201" s="22" t="s">
        <v>477</v>
      </c>
      <c r="B201" s="22" t="s">
        <v>254</v>
      </c>
      <c r="C201" s="22" t="s">
        <v>264</v>
      </c>
      <c r="D201" s="22" t="s">
        <v>409</v>
      </c>
      <c r="E201" s="22" t="s">
        <v>397</v>
      </c>
      <c r="F201" s="23">
        <v>12</v>
      </c>
      <c r="G201" s="23" t="s">
        <v>346</v>
      </c>
      <c r="H201" s="24">
        <v>79</v>
      </c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6" t="s">
        <v>74</v>
      </c>
      <c r="U201" s="23">
        <f t="shared" si="24"/>
        <v>0</v>
      </c>
      <c r="V201" s="22" t="str">
        <f t="shared" si="25"/>
        <v>○ 免調理</v>
      </c>
      <c r="W201" s="18" t="str">
        <f t="shared" si="26"/>
        <v>免調理半成品（外購/僅切配等），不列入設備風險評估</v>
      </c>
      <c r="X201" s="22" t="s">
        <v>415</v>
      </c>
      <c r="Y201" s="22" t="s">
        <v>347</v>
      </c>
      <c r="Z201" s="27">
        <f>IF($D201="",0,IF(COUNTIF($D$5:$D201,$D201)=1,1,0))</f>
        <v>0</v>
      </c>
      <c r="AA201" s="27" t="str">
        <f>IF(Z201=1,SUM($Z$5:$Z201),"")</f>
        <v/>
      </c>
    </row>
    <row r="202" spans="1:27">
      <c r="A202" s="22" t="s">
        <v>477</v>
      </c>
      <c r="B202" s="22" t="s">
        <v>254</v>
      </c>
      <c r="C202" s="22" t="s">
        <v>264</v>
      </c>
      <c r="D202" s="22" t="s">
        <v>409</v>
      </c>
      <c r="E202" s="22" t="s">
        <v>413</v>
      </c>
      <c r="F202" s="23">
        <v>6</v>
      </c>
      <c r="G202" s="23" t="s">
        <v>346</v>
      </c>
      <c r="H202" s="24">
        <v>66</v>
      </c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6" t="s">
        <v>74</v>
      </c>
      <c r="U202" s="23">
        <f t="shared" si="24"/>
        <v>0</v>
      </c>
      <c r="V202" s="22" t="str">
        <f t="shared" si="25"/>
        <v>○ 免調理</v>
      </c>
      <c r="W202" s="18" t="str">
        <f t="shared" si="26"/>
        <v>免調理半成品（外購/僅切配等），不列入設備風險評估</v>
      </c>
      <c r="X202" s="22" t="s">
        <v>415</v>
      </c>
      <c r="Y202" s="22" t="s">
        <v>347</v>
      </c>
      <c r="Z202" s="27">
        <f>IF($D202="",0,IF(COUNTIF($D$5:$D202,$D202)=1,1,0))</f>
        <v>0</v>
      </c>
      <c r="AA202" s="27" t="str">
        <f>IF(Z202=1,SUM($Z$5:$Z202),"")</f>
        <v/>
      </c>
    </row>
    <row r="203" spans="1:27">
      <c r="A203" s="22" t="s">
        <v>476</v>
      </c>
      <c r="B203" s="22" t="s">
        <v>254</v>
      </c>
      <c r="C203" s="22" t="s">
        <v>264</v>
      </c>
      <c r="D203" s="22" t="s">
        <v>420</v>
      </c>
      <c r="E203" s="22" t="s">
        <v>416</v>
      </c>
      <c r="F203" s="23">
        <v>2</v>
      </c>
      <c r="G203" s="23" t="s">
        <v>75</v>
      </c>
      <c r="H203" s="24">
        <v>2200</v>
      </c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6" t="s">
        <v>74</v>
      </c>
      <c r="U203" s="23">
        <f t="shared" si="24"/>
        <v>0</v>
      </c>
      <c r="V203" s="22" t="str">
        <f t="shared" si="25"/>
        <v>○ 免調理</v>
      </c>
      <c r="W203" s="18" t="str">
        <f t="shared" si="26"/>
        <v>免調理半成品（外購/僅切配等），不列入設備風險評估</v>
      </c>
      <c r="X203" s="22" t="s">
        <v>414</v>
      </c>
      <c r="Y203" s="22" t="s">
        <v>347</v>
      </c>
      <c r="Z203" s="27">
        <f>IF($D203="",0,IF(COUNTIF($D$5:$D203,$D203)=1,1,0))</f>
        <v>1</v>
      </c>
      <c r="AA203" s="27">
        <f>IF(Z203=1,SUM($Z$5:$Z203),"")</f>
        <v>40</v>
      </c>
    </row>
    <row r="204" spans="1:27">
      <c r="A204" s="22" t="s">
        <v>476</v>
      </c>
      <c r="B204" s="22" t="s">
        <v>254</v>
      </c>
      <c r="C204" s="22" t="s">
        <v>264</v>
      </c>
      <c r="D204" s="22" t="s">
        <v>420</v>
      </c>
      <c r="E204" s="22" t="s">
        <v>417</v>
      </c>
      <c r="F204" s="23">
        <v>21</v>
      </c>
      <c r="G204" s="23" t="s">
        <v>346</v>
      </c>
      <c r="H204" s="24">
        <v>100</v>
      </c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6" t="s">
        <v>74</v>
      </c>
      <c r="U204" s="23">
        <f t="shared" si="24"/>
        <v>0</v>
      </c>
      <c r="V204" s="22" t="str">
        <f t="shared" si="25"/>
        <v>○ 免調理</v>
      </c>
      <c r="W204" s="18" t="str">
        <f t="shared" si="26"/>
        <v>免調理半成品（外購/僅切配等），不列入設備風險評估</v>
      </c>
      <c r="X204" s="22" t="s">
        <v>414</v>
      </c>
      <c r="Y204" s="22" t="s">
        <v>347</v>
      </c>
      <c r="Z204" s="27">
        <f>IF($D204="",0,IF(COUNTIF($D$5:$D204,$D204)=1,1,0))</f>
        <v>0</v>
      </c>
      <c r="AA204" s="27" t="str">
        <f>IF(Z204=1,SUM($Z$5:$Z204),"")</f>
        <v/>
      </c>
    </row>
    <row r="205" spans="1:27">
      <c r="A205" s="22" t="s">
        <v>476</v>
      </c>
      <c r="B205" s="22" t="s">
        <v>254</v>
      </c>
      <c r="C205" s="22" t="s">
        <v>264</v>
      </c>
      <c r="D205" s="22" t="s">
        <v>420</v>
      </c>
      <c r="E205" s="22" t="s">
        <v>418</v>
      </c>
      <c r="F205" s="23">
        <v>15</v>
      </c>
      <c r="G205" s="23" t="s">
        <v>346</v>
      </c>
      <c r="H205" s="24">
        <v>95</v>
      </c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6" t="s">
        <v>74</v>
      </c>
      <c r="U205" s="23">
        <f t="shared" si="24"/>
        <v>0</v>
      </c>
      <c r="V205" s="22" t="str">
        <f t="shared" si="25"/>
        <v>○ 免調理</v>
      </c>
      <c r="W205" s="18" t="str">
        <f t="shared" si="26"/>
        <v>免調理半成品（外購/僅切配等），不列入設備風險評估</v>
      </c>
      <c r="X205" s="22" t="s">
        <v>414</v>
      </c>
      <c r="Y205" s="22" t="s">
        <v>347</v>
      </c>
      <c r="Z205" s="27">
        <f>IF($D205="",0,IF(COUNTIF($D$5:$D205,$D205)=1,1,0))</f>
        <v>0</v>
      </c>
      <c r="AA205" s="27" t="str">
        <f>IF(Z205=1,SUM($Z$5:$Z205),"")</f>
        <v/>
      </c>
    </row>
    <row r="206" spans="1:27">
      <c r="A206" s="22" t="s">
        <v>476</v>
      </c>
      <c r="B206" s="22" t="s">
        <v>254</v>
      </c>
      <c r="C206" s="22" t="s">
        <v>264</v>
      </c>
      <c r="D206" s="22" t="s">
        <v>420</v>
      </c>
      <c r="E206" s="22" t="s">
        <v>419</v>
      </c>
      <c r="F206" s="23">
        <v>4</v>
      </c>
      <c r="G206" s="23" t="s">
        <v>346</v>
      </c>
      <c r="H206" s="24">
        <v>100</v>
      </c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6" t="s">
        <v>74</v>
      </c>
      <c r="U206" s="23">
        <f t="shared" si="24"/>
        <v>0</v>
      </c>
      <c r="V206" s="22" t="str">
        <f t="shared" si="25"/>
        <v>○ 免調理</v>
      </c>
      <c r="W206" s="18" t="str">
        <f t="shared" si="26"/>
        <v>免調理半成品（外購/僅切配等），不列入設備風險評估</v>
      </c>
      <c r="X206" s="22" t="s">
        <v>414</v>
      </c>
      <c r="Y206" s="22" t="s">
        <v>347</v>
      </c>
      <c r="Z206" s="27">
        <f>IF($D206="",0,IF(COUNTIF($D$5:$D206,$D206)=1,1,0))</f>
        <v>0</v>
      </c>
      <c r="AA206" s="27" t="str">
        <f>IF(Z206=1,SUM($Z$5:$Z206),"")</f>
        <v/>
      </c>
    </row>
    <row r="207" spans="1:27">
      <c r="A207" s="22" t="s">
        <v>476</v>
      </c>
      <c r="B207" s="22" t="s">
        <v>254</v>
      </c>
      <c r="C207" s="22" t="s">
        <v>427</v>
      </c>
      <c r="D207" s="22" t="s">
        <v>426</v>
      </c>
      <c r="E207" s="22" t="s">
        <v>422</v>
      </c>
      <c r="F207" s="23">
        <v>1</v>
      </c>
      <c r="G207" s="23" t="s">
        <v>75</v>
      </c>
      <c r="H207" s="24">
        <v>2000</v>
      </c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6" t="s">
        <v>74</v>
      </c>
      <c r="U207" s="23">
        <f t="shared" si="24"/>
        <v>0</v>
      </c>
      <c r="V207" s="22" t="str">
        <f t="shared" si="25"/>
        <v>○ 免調理</v>
      </c>
      <c r="W207" s="18" t="str">
        <f t="shared" si="26"/>
        <v>免調理半成品（外購/僅切配等），不列入設備風險評估</v>
      </c>
      <c r="X207" s="22" t="s">
        <v>421</v>
      </c>
      <c r="Y207" s="22" t="s">
        <v>347</v>
      </c>
      <c r="Z207" s="27">
        <f>IF($D207="",0,IF(COUNTIF($D$5:$D207,$D207)=1,1,0))</f>
        <v>1</v>
      </c>
      <c r="AA207" s="27">
        <f>IF(Z207=1,SUM($Z$5:$Z207),"")</f>
        <v>41</v>
      </c>
    </row>
    <row r="208" spans="1:27">
      <c r="A208" s="22" t="s">
        <v>476</v>
      </c>
      <c r="B208" s="22" t="s">
        <v>254</v>
      </c>
      <c r="C208" s="22" t="s">
        <v>427</v>
      </c>
      <c r="D208" s="22" t="s">
        <v>426</v>
      </c>
      <c r="E208" s="22" t="s">
        <v>423</v>
      </c>
      <c r="F208" s="23">
        <v>1</v>
      </c>
      <c r="G208" s="23" t="s">
        <v>75</v>
      </c>
      <c r="H208" s="24">
        <v>1000</v>
      </c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6" t="s">
        <v>74</v>
      </c>
      <c r="U208" s="23">
        <f t="shared" si="24"/>
        <v>0</v>
      </c>
      <c r="V208" s="22" t="str">
        <f t="shared" si="25"/>
        <v>○ 免調理</v>
      </c>
      <c r="W208" s="18" t="str">
        <f t="shared" si="26"/>
        <v>免調理半成品（外購/僅切配等），不列入設備風險評估</v>
      </c>
      <c r="X208" s="22" t="s">
        <v>421</v>
      </c>
      <c r="Y208" s="22" t="s">
        <v>347</v>
      </c>
      <c r="Z208" s="27">
        <f>IF($D208="",0,IF(COUNTIF($D$5:$D208,$D208)=1,1,0))</f>
        <v>0</v>
      </c>
      <c r="AA208" s="27" t="str">
        <f>IF(Z208=1,SUM($Z$5:$Z208),"")</f>
        <v/>
      </c>
    </row>
    <row r="209" spans="1:27">
      <c r="A209" s="22" t="s">
        <v>476</v>
      </c>
      <c r="B209" s="22" t="s">
        <v>254</v>
      </c>
      <c r="C209" s="22" t="s">
        <v>427</v>
      </c>
      <c r="D209" s="22" t="s">
        <v>426</v>
      </c>
      <c r="E209" s="22" t="s">
        <v>424</v>
      </c>
      <c r="F209" s="23">
        <v>10</v>
      </c>
      <c r="G209" s="23">
        <v>10</v>
      </c>
      <c r="H209" s="24">
        <v>2250</v>
      </c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6" t="s">
        <v>74</v>
      </c>
      <c r="U209" s="23">
        <f t="shared" si="24"/>
        <v>0</v>
      </c>
      <c r="V209" s="22" t="str">
        <f t="shared" si="25"/>
        <v>○ 免調理</v>
      </c>
      <c r="W209" s="18" t="str">
        <f t="shared" si="26"/>
        <v>免調理半成品（外購/僅切配等），不列入設備風險評估</v>
      </c>
      <c r="X209" s="22" t="s">
        <v>421</v>
      </c>
      <c r="Y209" s="22" t="s">
        <v>347</v>
      </c>
      <c r="Z209" s="27">
        <f>IF($D209="",0,IF(COUNTIF($D$5:$D209,$D209)=1,1,0))</f>
        <v>0</v>
      </c>
      <c r="AA209" s="27" t="str">
        <f>IF(Z209=1,SUM($Z$5:$Z209),"")</f>
        <v/>
      </c>
    </row>
    <row r="210" spans="1:27">
      <c r="A210" s="22" t="s">
        <v>476</v>
      </c>
      <c r="B210" s="22" t="s">
        <v>254</v>
      </c>
      <c r="C210" s="22" t="s">
        <v>427</v>
      </c>
      <c r="D210" s="22" t="s">
        <v>426</v>
      </c>
      <c r="E210" s="22" t="s">
        <v>425</v>
      </c>
      <c r="F210" s="23">
        <v>10</v>
      </c>
      <c r="G210" s="23">
        <v>10</v>
      </c>
      <c r="H210" s="24">
        <v>52</v>
      </c>
      <c r="I210" s="25"/>
      <c r="J210" s="25"/>
      <c r="K210" s="25"/>
      <c r="L210" s="25"/>
      <c r="M210" s="25"/>
      <c r="N210" s="25"/>
      <c r="O210" s="25" t="s">
        <v>74</v>
      </c>
      <c r="P210" s="25"/>
      <c r="Q210" s="25"/>
      <c r="R210" s="25"/>
      <c r="S210" s="25"/>
      <c r="T210" s="26"/>
      <c r="U210" s="23">
        <f t="shared" si="24"/>
        <v>1</v>
      </c>
      <c r="V210" s="22" t="str">
        <f t="shared" si="25"/>
        <v>▲ 單一設備依賴</v>
      </c>
      <c r="W210" s="18" t="str">
        <f t="shared" si="26"/>
        <v>僅依賴1台設備，須確認故障/排修時之備援製程</v>
      </c>
      <c r="X210" s="22" t="s">
        <v>421</v>
      </c>
      <c r="Y210" s="22" t="s">
        <v>347</v>
      </c>
      <c r="Z210" s="27">
        <f>IF($D210="",0,IF(COUNTIF($D$5:$D210,$D210)=1,1,0))</f>
        <v>0</v>
      </c>
      <c r="AA210" s="27" t="str">
        <f>IF(Z210=1,SUM($Z$5:$Z210),"")</f>
        <v/>
      </c>
    </row>
    <row r="211" spans="1:27">
      <c r="A211" s="22" t="s">
        <v>476</v>
      </c>
      <c r="B211" s="22" t="s">
        <v>254</v>
      </c>
      <c r="C211" s="22" t="s">
        <v>427</v>
      </c>
      <c r="D211" s="22" t="s">
        <v>426</v>
      </c>
      <c r="E211" s="22" t="s">
        <v>132</v>
      </c>
      <c r="F211" s="23">
        <v>1</v>
      </c>
      <c r="G211" s="23" t="s">
        <v>75</v>
      </c>
      <c r="H211" s="24">
        <v>100</v>
      </c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6" t="s">
        <v>74</v>
      </c>
      <c r="U211" s="23">
        <f t="shared" si="24"/>
        <v>0</v>
      </c>
      <c r="V211" s="22" t="str">
        <f t="shared" si="25"/>
        <v>○ 免調理</v>
      </c>
      <c r="W211" s="18" t="str">
        <f t="shared" si="26"/>
        <v>免調理半成品（外購/僅切配等），不列入設備風險評估</v>
      </c>
      <c r="X211" s="22" t="s">
        <v>421</v>
      </c>
      <c r="Y211" s="22" t="s">
        <v>347</v>
      </c>
      <c r="Z211" s="27">
        <f>IF($D211="",0,IF(COUNTIF($D$5:$D211,$D211)=1,1,0))</f>
        <v>0</v>
      </c>
      <c r="AA211" s="27" t="str">
        <f>IF(Z211=1,SUM($Z$5:$Z211),"")</f>
        <v/>
      </c>
    </row>
    <row r="212" spans="1:27">
      <c r="A212" s="22" t="s">
        <v>476</v>
      </c>
      <c r="B212" s="22" t="s">
        <v>254</v>
      </c>
      <c r="C212" s="22" t="s">
        <v>264</v>
      </c>
      <c r="D212" s="22" t="s">
        <v>431</v>
      </c>
      <c r="E212" s="22" t="s">
        <v>416</v>
      </c>
      <c r="F212" s="23">
        <v>2</v>
      </c>
      <c r="G212" s="23" t="s">
        <v>75</v>
      </c>
      <c r="H212" s="24">
        <v>2200</v>
      </c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6" t="s">
        <v>74</v>
      </c>
      <c r="U212" s="23">
        <f t="shared" si="24"/>
        <v>0</v>
      </c>
      <c r="V212" s="22" t="str">
        <f t="shared" si="25"/>
        <v>○ 免調理</v>
      </c>
      <c r="W212" s="18" t="str">
        <f t="shared" si="26"/>
        <v>免調理半成品（外購/僅切配等），不列入設備風險評估</v>
      </c>
      <c r="X212" s="22" t="s">
        <v>428</v>
      </c>
      <c r="Y212" s="22" t="s">
        <v>347</v>
      </c>
      <c r="Z212" s="27">
        <f>IF($D212="",0,IF(COUNTIF($D$5:$D212,$D212)=1,1,0))</f>
        <v>1</v>
      </c>
      <c r="AA212" s="27">
        <f>IF(Z212=1,SUM($Z$5:$Z212),"")</f>
        <v>42</v>
      </c>
    </row>
    <row r="213" spans="1:27">
      <c r="A213" s="22" t="s">
        <v>476</v>
      </c>
      <c r="B213" s="22" t="s">
        <v>254</v>
      </c>
      <c r="C213" s="22" t="s">
        <v>264</v>
      </c>
      <c r="D213" s="22" t="s">
        <v>431</v>
      </c>
      <c r="E213" s="22" t="s">
        <v>429</v>
      </c>
      <c r="F213" s="23">
        <v>12</v>
      </c>
      <c r="G213" s="23" t="s">
        <v>346</v>
      </c>
      <c r="H213" s="24">
        <v>100</v>
      </c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6" t="s">
        <v>74</v>
      </c>
      <c r="U213" s="23">
        <f t="shared" si="24"/>
        <v>0</v>
      </c>
      <c r="V213" s="22" t="str">
        <f t="shared" si="25"/>
        <v>○ 免調理</v>
      </c>
      <c r="W213" s="18" t="str">
        <f t="shared" si="26"/>
        <v>免調理半成品（外購/僅切配等），不列入設備風險評估</v>
      </c>
      <c r="X213" s="22" t="s">
        <v>428</v>
      </c>
      <c r="Y213" s="22" t="s">
        <v>347</v>
      </c>
      <c r="Z213" s="27">
        <f>IF($D213="",0,IF(COUNTIF($D$5:$D213,$D213)=1,1,0))</f>
        <v>0</v>
      </c>
      <c r="AA213" s="27" t="str">
        <f>IF(Z213=1,SUM($Z$5:$Z213),"")</f>
        <v/>
      </c>
    </row>
    <row r="214" spans="1:27">
      <c r="A214" s="22" t="s">
        <v>476</v>
      </c>
      <c r="B214" s="22" t="s">
        <v>254</v>
      </c>
      <c r="C214" s="22" t="s">
        <v>264</v>
      </c>
      <c r="D214" s="22" t="s">
        <v>431</v>
      </c>
      <c r="E214" s="22" t="s">
        <v>430</v>
      </c>
      <c r="F214" s="23">
        <v>13</v>
      </c>
      <c r="G214" s="23" t="s">
        <v>346</v>
      </c>
      <c r="H214" s="24">
        <v>95</v>
      </c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6" t="s">
        <v>74</v>
      </c>
      <c r="U214" s="23">
        <f t="shared" si="24"/>
        <v>0</v>
      </c>
      <c r="V214" s="22" t="str">
        <f t="shared" si="25"/>
        <v>○ 免調理</v>
      </c>
      <c r="W214" s="18" t="str">
        <f t="shared" si="26"/>
        <v>免調理半成品（外購/僅切配等），不列入設備風險評估</v>
      </c>
      <c r="X214" s="22" t="s">
        <v>428</v>
      </c>
      <c r="Y214" s="22" t="s">
        <v>347</v>
      </c>
      <c r="Z214" s="27">
        <f>IF($D214="",0,IF(COUNTIF($D$5:$D214,$D214)=1,1,0))</f>
        <v>0</v>
      </c>
      <c r="AA214" s="27" t="str">
        <f>IF(Z214=1,SUM($Z$5:$Z214),"")</f>
        <v/>
      </c>
    </row>
    <row r="215" spans="1:27">
      <c r="A215" s="22" t="s">
        <v>478</v>
      </c>
      <c r="B215" s="22" t="s">
        <v>254</v>
      </c>
      <c r="C215" s="22" t="s">
        <v>264</v>
      </c>
      <c r="D215" s="22" t="s">
        <v>434</v>
      </c>
      <c r="E215" s="22" t="s">
        <v>432</v>
      </c>
      <c r="F215" s="23">
        <v>2</v>
      </c>
      <c r="G215" s="23" t="s">
        <v>75</v>
      </c>
      <c r="H215" s="24">
        <v>2300</v>
      </c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6" t="s">
        <v>74</v>
      </c>
      <c r="U215" s="23">
        <f t="shared" si="24"/>
        <v>0</v>
      </c>
      <c r="V215" s="22" t="str">
        <f t="shared" si="25"/>
        <v>○ 免調理</v>
      </c>
      <c r="W215" s="18" t="str">
        <f t="shared" si="26"/>
        <v>免調理半成品（外購/僅切配等），不列入設備風險評估</v>
      </c>
      <c r="X215" s="22" t="s">
        <v>435</v>
      </c>
      <c r="Y215" s="22" t="s">
        <v>347</v>
      </c>
      <c r="Z215" s="27">
        <f>IF($D215="",0,IF(COUNTIF($D$5:$D215,$D215)=1,1,0))</f>
        <v>1</v>
      </c>
      <c r="AA215" s="27">
        <f>IF(Z215=1,SUM($Z$5:$Z215),"")</f>
        <v>43</v>
      </c>
    </row>
    <row r="216" spans="1:27">
      <c r="A216" s="22" t="s">
        <v>478</v>
      </c>
      <c r="B216" s="22" t="s">
        <v>254</v>
      </c>
      <c r="C216" s="22" t="s">
        <v>264</v>
      </c>
      <c r="D216" s="22" t="s">
        <v>434</v>
      </c>
      <c r="E216" s="22" t="s">
        <v>410</v>
      </c>
      <c r="F216" s="23">
        <v>8</v>
      </c>
      <c r="G216" s="23">
        <v>8</v>
      </c>
      <c r="H216" s="24">
        <v>100</v>
      </c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6" t="s">
        <v>74</v>
      </c>
      <c r="U216" s="23">
        <f t="shared" si="24"/>
        <v>0</v>
      </c>
      <c r="V216" s="22" t="str">
        <f t="shared" si="25"/>
        <v>○ 免調理</v>
      </c>
      <c r="W216" s="18" t="str">
        <f t="shared" si="26"/>
        <v>免調理半成品（外購/僅切配等），不列入設備風險評估</v>
      </c>
      <c r="X216" s="22" t="s">
        <v>435</v>
      </c>
      <c r="Y216" s="22" t="s">
        <v>347</v>
      </c>
      <c r="Z216" s="27">
        <f>IF($D216="",0,IF(COUNTIF($D$5:$D216,$D216)=1,1,0))</f>
        <v>0</v>
      </c>
      <c r="AA216" s="27" t="str">
        <f>IF(Z216=1,SUM($Z$5:$Z216),"")</f>
        <v/>
      </c>
    </row>
    <row r="217" spans="1:27">
      <c r="A217" s="22" t="s">
        <v>478</v>
      </c>
      <c r="B217" s="22" t="s">
        <v>254</v>
      </c>
      <c r="C217" s="22" t="s">
        <v>264</v>
      </c>
      <c r="D217" s="22" t="s">
        <v>434</v>
      </c>
      <c r="E217" s="22" t="s">
        <v>433</v>
      </c>
      <c r="F217" s="23">
        <v>11</v>
      </c>
      <c r="G217" s="23">
        <v>11</v>
      </c>
      <c r="H217" s="24">
        <v>61</v>
      </c>
      <c r="I217" s="25"/>
      <c r="J217" s="25"/>
      <c r="K217" s="25"/>
      <c r="L217" s="25"/>
      <c r="M217" s="25"/>
      <c r="N217" s="25"/>
      <c r="O217" s="25" t="s">
        <v>74</v>
      </c>
      <c r="P217" s="25"/>
      <c r="Q217" s="25"/>
      <c r="R217" s="25"/>
      <c r="S217" s="25"/>
      <c r="T217" s="26"/>
      <c r="U217" s="23">
        <f t="shared" si="24"/>
        <v>1</v>
      </c>
      <c r="V217" s="22" t="str">
        <f t="shared" si="25"/>
        <v>▲ 單一設備依賴</v>
      </c>
      <c r="W217" s="18" t="str">
        <f t="shared" si="26"/>
        <v>僅依賴1台設備，須確認故障/排修時之備援製程</v>
      </c>
      <c r="X217" s="22" t="s">
        <v>435</v>
      </c>
      <c r="Y217" s="22" t="s">
        <v>347</v>
      </c>
      <c r="Z217" s="27">
        <f>IF($D217="",0,IF(COUNTIF($D$5:$D217,$D217)=1,1,0))</f>
        <v>0</v>
      </c>
      <c r="AA217" s="27" t="str">
        <f>IF(Z217=1,SUM($Z$5:$Z217),"")</f>
        <v/>
      </c>
    </row>
    <row r="218" spans="1:27">
      <c r="A218" s="22" t="s">
        <v>478</v>
      </c>
      <c r="B218" s="22" t="s">
        <v>254</v>
      </c>
      <c r="C218" s="22" t="s">
        <v>264</v>
      </c>
      <c r="D218" s="22" t="s">
        <v>434</v>
      </c>
      <c r="E218" s="22" t="s">
        <v>413</v>
      </c>
      <c r="F218" s="23">
        <v>10</v>
      </c>
      <c r="G218" s="23">
        <v>10</v>
      </c>
      <c r="H218" s="24">
        <v>66</v>
      </c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6" t="s">
        <v>74</v>
      </c>
      <c r="U218" s="23">
        <f t="shared" si="24"/>
        <v>0</v>
      </c>
      <c r="V218" s="22" t="str">
        <f t="shared" si="25"/>
        <v>○ 免調理</v>
      </c>
      <c r="W218" s="18" t="str">
        <f t="shared" si="26"/>
        <v>免調理半成品（外購/僅切配等），不列入設備風險評估</v>
      </c>
      <c r="X218" s="22" t="s">
        <v>435</v>
      </c>
      <c r="Y218" s="22" t="s">
        <v>347</v>
      </c>
      <c r="Z218" s="27">
        <f>IF($D218="",0,IF(COUNTIF($D$5:$D218,$D218)=1,1,0))</f>
        <v>0</v>
      </c>
      <c r="AA218" s="27" t="str">
        <f>IF(Z218=1,SUM($Z$5:$Z218),"")</f>
        <v/>
      </c>
    </row>
    <row r="219" spans="1:27">
      <c r="A219" s="22" t="s">
        <v>478</v>
      </c>
      <c r="B219" s="22" t="s">
        <v>254</v>
      </c>
      <c r="C219" s="22" t="s">
        <v>264</v>
      </c>
      <c r="D219" s="22" t="s">
        <v>434</v>
      </c>
      <c r="E219" s="22" t="s">
        <v>132</v>
      </c>
      <c r="F219" s="23">
        <v>0.5</v>
      </c>
      <c r="G219" s="23" t="s">
        <v>75</v>
      </c>
      <c r="H219" s="24">
        <v>100</v>
      </c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6" t="s">
        <v>74</v>
      </c>
      <c r="U219" s="23">
        <f t="shared" si="24"/>
        <v>0</v>
      </c>
      <c r="V219" s="22" t="str">
        <f t="shared" si="25"/>
        <v>○ 免調理</v>
      </c>
      <c r="W219" s="18" t="str">
        <f t="shared" si="26"/>
        <v>免調理半成品（外購/僅切配等），不列入設備風險評估</v>
      </c>
      <c r="X219" s="22" t="s">
        <v>435</v>
      </c>
      <c r="Y219" s="22" t="s">
        <v>347</v>
      </c>
      <c r="Z219" s="27">
        <f>IF($D219="",0,IF(COUNTIF($D$5:$D219,$D219)=1,1,0))</f>
        <v>0</v>
      </c>
      <c r="AA219" s="27" t="str">
        <f>IF(Z219=1,SUM($Z$5:$Z219),"")</f>
        <v/>
      </c>
    </row>
    <row r="220" spans="1:27">
      <c r="A220" s="22" t="s">
        <v>476</v>
      </c>
      <c r="B220" s="22" t="s">
        <v>254</v>
      </c>
      <c r="C220" s="22" t="s">
        <v>264</v>
      </c>
      <c r="D220" s="22" t="s">
        <v>436</v>
      </c>
      <c r="E220" s="22" t="s">
        <v>366</v>
      </c>
      <c r="F220" s="23">
        <v>2</v>
      </c>
      <c r="G220" s="23" t="s">
        <v>75</v>
      </c>
      <c r="H220" s="24">
        <v>2700</v>
      </c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6" t="s">
        <v>74</v>
      </c>
      <c r="U220" s="23">
        <f t="shared" si="24"/>
        <v>0</v>
      </c>
      <c r="V220" s="22" t="str">
        <f t="shared" si="25"/>
        <v>○ 免調理</v>
      </c>
      <c r="W220" s="18" t="str">
        <f t="shared" si="26"/>
        <v>免調理半成品（外購/僅切配等），不列入設備風險評估</v>
      </c>
      <c r="X220" s="22" t="s">
        <v>439</v>
      </c>
      <c r="Y220" s="22" t="s">
        <v>347</v>
      </c>
      <c r="Z220" s="27">
        <f>IF($D220="",0,IF(COUNTIF($D$5:$D220,$D220)=1,1,0))</f>
        <v>1</v>
      </c>
      <c r="AA220" s="27">
        <f>IF(Z220=1,SUM($Z$5:$Z220),"")</f>
        <v>44</v>
      </c>
    </row>
    <row r="221" spans="1:27">
      <c r="A221" s="22" t="s">
        <v>476</v>
      </c>
      <c r="B221" s="22" t="s">
        <v>254</v>
      </c>
      <c r="C221" s="22" t="s">
        <v>264</v>
      </c>
      <c r="D221" s="22" t="s">
        <v>436</v>
      </c>
      <c r="E221" s="22" t="s">
        <v>437</v>
      </c>
      <c r="F221" s="23">
        <v>14</v>
      </c>
      <c r="G221" s="23" t="s">
        <v>346</v>
      </c>
      <c r="H221" s="24">
        <v>100</v>
      </c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6" t="s">
        <v>74</v>
      </c>
      <c r="U221" s="23">
        <f t="shared" si="24"/>
        <v>0</v>
      </c>
      <c r="V221" s="22" t="str">
        <f t="shared" si="25"/>
        <v>○ 免調理</v>
      </c>
      <c r="W221" s="18" t="str">
        <f t="shared" si="26"/>
        <v>免調理半成品（外購/僅切配等），不列入設備風險評估</v>
      </c>
      <c r="X221" s="22" t="s">
        <v>439</v>
      </c>
      <c r="Y221" s="22" t="s">
        <v>347</v>
      </c>
      <c r="Z221" s="27">
        <f>IF($D221="",0,IF(COUNTIF($D$5:$D221,$D221)=1,1,0))</f>
        <v>0</v>
      </c>
      <c r="AA221" s="27" t="str">
        <f>IF(Z221=1,SUM($Z$5:$Z221),"")</f>
        <v/>
      </c>
    </row>
    <row r="222" spans="1:27">
      <c r="A222" s="22" t="s">
        <v>476</v>
      </c>
      <c r="B222" s="22" t="s">
        <v>254</v>
      </c>
      <c r="C222" s="22" t="s">
        <v>264</v>
      </c>
      <c r="D222" s="22" t="s">
        <v>436</v>
      </c>
      <c r="E222" s="22" t="s">
        <v>438</v>
      </c>
      <c r="F222" s="23">
        <v>18</v>
      </c>
      <c r="G222" s="23" t="s">
        <v>346</v>
      </c>
      <c r="H222" s="24">
        <v>74</v>
      </c>
      <c r="I222" s="25"/>
      <c r="J222" s="25"/>
      <c r="K222" s="25"/>
      <c r="L222" s="25"/>
      <c r="M222" s="25"/>
      <c r="N222" s="25"/>
      <c r="O222" s="25" t="s">
        <v>74</v>
      </c>
      <c r="P222" s="25"/>
      <c r="Q222" s="25"/>
      <c r="R222" s="25"/>
      <c r="S222" s="25"/>
      <c r="T222" s="26"/>
      <c r="U222" s="23">
        <f t="shared" si="24"/>
        <v>1</v>
      </c>
      <c r="V222" s="22" t="str">
        <f t="shared" si="25"/>
        <v>▲ 單一設備依賴</v>
      </c>
      <c r="W222" s="18" t="str">
        <f t="shared" si="26"/>
        <v>僅依賴1台設備，須確認故障/排修時之備援製程</v>
      </c>
      <c r="X222" s="22" t="s">
        <v>439</v>
      </c>
      <c r="Y222" s="22" t="s">
        <v>347</v>
      </c>
      <c r="Z222" s="27">
        <f>IF($D222="",0,IF(COUNTIF($D$5:$D222,$D222)=1,1,0))</f>
        <v>0</v>
      </c>
      <c r="AA222" s="27" t="str">
        <f>IF(Z222=1,SUM($Z$5:$Z222),"")</f>
        <v/>
      </c>
    </row>
    <row r="223" spans="1:27">
      <c r="A223" s="22" t="s">
        <v>476</v>
      </c>
      <c r="B223" s="22" t="s">
        <v>254</v>
      </c>
      <c r="C223" s="22" t="s">
        <v>264</v>
      </c>
      <c r="D223" s="22" t="s">
        <v>436</v>
      </c>
      <c r="E223" s="22" t="s">
        <v>410</v>
      </c>
      <c r="F223" s="23">
        <v>6</v>
      </c>
      <c r="G223" s="23" t="s">
        <v>346</v>
      </c>
      <c r="H223" s="24">
        <v>100</v>
      </c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6" t="s">
        <v>74</v>
      </c>
      <c r="U223" s="23">
        <f t="shared" si="24"/>
        <v>0</v>
      </c>
      <c r="V223" s="22" t="str">
        <f t="shared" si="25"/>
        <v>○ 免調理</v>
      </c>
      <c r="W223" s="18" t="str">
        <f t="shared" si="26"/>
        <v>免調理半成品（外購/僅切配等），不列入設備風險評估</v>
      </c>
      <c r="X223" s="22" t="s">
        <v>439</v>
      </c>
      <c r="Y223" s="22" t="s">
        <v>347</v>
      </c>
      <c r="Z223" s="27">
        <f>IF($D223="",0,IF(COUNTIF($D$5:$D223,$D223)=1,1,0))</f>
        <v>0</v>
      </c>
      <c r="AA223" s="27" t="str">
        <f>IF(Z223=1,SUM($Z$5:$Z223),"")</f>
        <v/>
      </c>
    </row>
    <row r="224" spans="1:27">
      <c r="A224" s="22" t="s">
        <v>478</v>
      </c>
      <c r="B224" s="22" t="s">
        <v>254</v>
      </c>
      <c r="C224" s="22" t="s">
        <v>462</v>
      </c>
      <c r="D224" s="22" t="s">
        <v>461</v>
      </c>
      <c r="E224" s="22" t="s">
        <v>456</v>
      </c>
      <c r="F224" s="23">
        <v>100</v>
      </c>
      <c r="G224" s="23" t="s">
        <v>346</v>
      </c>
      <c r="H224" s="24">
        <v>145</v>
      </c>
      <c r="I224" s="25"/>
      <c r="J224" s="25" t="s">
        <v>74</v>
      </c>
      <c r="K224" s="25"/>
      <c r="L224" s="25"/>
      <c r="M224" s="25"/>
      <c r="N224" s="25"/>
      <c r="O224" s="25"/>
      <c r="P224" s="25"/>
      <c r="Q224" s="25"/>
      <c r="R224" s="25"/>
      <c r="S224" s="25"/>
      <c r="T224" s="26"/>
      <c r="U224" s="23">
        <f t="shared" si="24"/>
        <v>1</v>
      </c>
      <c r="V224" s="22" t="str">
        <f t="shared" si="25"/>
        <v>▲ 單一設備依賴</v>
      </c>
      <c r="W224" s="18" t="str">
        <f t="shared" si="26"/>
        <v>僅依賴1台設備，須確認故障/排修時之備援製程</v>
      </c>
      <c r="X224" s="22" t="s">
        <v>463</v>
      </c>
      <c r="Y224" s="22" t="s">
        <v>347</v>
      </c>
      <c r="Z224" s="27">
        <f>IF($D224="",0,IF(COUNTIF($D$5:$D224,$D224)=1,1,0))</f>
        <v>1</v>
      </c>
      <c r="AA224" s="27">
        <f>IF(Z224=1,SUM($Z$5:$Z224),"")</f>
        <v>45</v>
      </c>
    </row>
    <row r="225" spans="1:27">
      <c r="A225" s="22" t="s">
        <v>478</v>
      </c>
      <c r="B225" s="22" t="s">
        <v>254</v>
      </c>
      <c r="C225" s="22" t="s">
        <v>462</v>
      </c>
      <c r="D225" s="22" t="s">
        <v>461</v>
      </c>
      <c r="E225" s="22" t="s">
        <v>382</v>
      </c>
      <c r="F225" s="23">
        <v>45</v>
      </c>
      <c r="G225" s="23" t="s">
        <v>346</v>
      </c>
      <c r="H225" s="24">
        <v>66</v>
      </c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6" t="s">
        <v>74</v>
      </c>
      <c r="U225" s="23">
        <f t="shared" si="24"/>
        <v>0</v>
      </c>
      <c r="V225" s="22" t="str">
        <f t="shared" si="25"/>
        <v>○ 免調理</v>
      </c>
      <c r="W225" s="18" t="str">
        <f t="shared" si="26"/>
        <v>免調理半成品（外購/僅切配等），不列入設備風險評估</v>
      </c>
      <c r="X225" s="22" t="s">
        <v>463</v>
      </c>
      <c r="Y225" s="22" t="s">
        <v>347</v>
      </c>
      <c r="Z225" s="27">
        <f>IF($D225="",0,IF(COUNTIF($D$5:$D225,$D225)=1,1,0))</f>
        <v>0</v>
      </c>
      <c r="AA225" s="27" t="str">
        <f>IF(Z225=1,SUM($Z$5:$Z225),"")</f>
        <v/>
      </c>
    </row>
    <row r="226" spans="1:27">
      <c r="A226" s="22" t="s">
        <v>478</v>
      </c>
      <c r="B226" s="22" t="s">
        <v>254</v>
      </c>
      <c r="C226" s="22" t="s">
        <v>462</v>
      </c>
      <c r="D226" s="22" t="s">
        <v>461</v>
      </c>
      <c r="E226" s="22" t="s">
        <v>457</v>
      </c>
      <c r="F226" s="23">
        <v>22</v>
      </c>
      <c r="G226" s="23" t="s">
        <v>346</v>
      </c>
      <c r="H226" s="24">
        <v>79.900000000000006</v>
      </c>
      <c r="I226" s="25"/>
      <c r="J226" s="25"/>
      <c r="K226" s="25"/>
      <c r="L226" s="25"/>
      <c r="M226" s="25" t="s">
        <v>74</v>
      </c>
      <c r="N226" s="25"/>
      <c r="O226" s="25"/>
      <c r="P226" s="25"/>
      <c r="Q226" s="25"/>
      <c r="R226" s="25"/>
      <c r="S226" s="25"/>
      <c r="T226" s="26"/>
      <c r="U226" s="23">
        <f t="shared" si="24"/>
        <v>1</v>
      </c>
      <c r="V226" s="22" t="str">
        <f t="shared" si="25"/>
        <v>▲ 單一設備依賴</v>
      </c>
      <c r="W226" s="18" t="str">
        <f t="shared" si="26"/>
        <v>僅依賴1台設備，須確認故障/排修時之備援製程</v>
      </c>
      <c r="X226" s="22" t="s">
        <v>463</v>
      </c>
      <c r="Y226" s="22" t="s">
        <v>347</v>
      </c>
      <c r="Z226" s="27">
        <f>IF($D226="",0,IF(COUNTIF($D$5:$D226,$D226)=1,1,0))</f>
        <v>0</v>
      </c>
      <c r="AA226" s="27" t="str">
        <f>IF(Z226=1,SUM($Z$5:$Z226),"")</f>
        <v/>
      </c>
    </row>
    <row r="227" spans="1:27">
      <c r="A227" s="22" t="s">
        <v>478</v>
      </c>
      <c r="B227" s="22" t="s">
        <v>254</v>
      </c>
      <c r="C227" s="22" t="s">
        <v>462</v>
      </c>
      <c r="D227" s="22" t="s">
        <v>461</v>
      </c>
      <c r="E227" s="22" t="s">
        <v>458</v>
      </c>
      <c r="F227" s="23">
        <v>15</v>
      </c>
      <c r="G227" s="23" t="s">
        <v>346</v>
      </c>
      <c r="H227" s="24">
        <v>66</v>
      </c>
      <c r="I227" s="25"/>
      <c r="J227" s="25"/>
      <c r="K227" s="25"/>
      <c r="L227" s="25"/>
      <c r="M227" s="25"/>
      <c r="N227" s="25"/>
      <c r="O227" s="25" t="s">
        <v>74</v>
      </c>
      <c r="P227" s="25"/>
      <c r="Q227" s="25"/>
      <c r="R227" s="25"/>
      <c r="S227" s="25"/>
      <c r="T227" s="26"/>
      <c r="U227" s="23">
        <f t="shared" si="24"/>
        <v>1</v>
      </c>
      <c r="V227" s="22" t="str">
        <f t="shared" si="25"/>
        <v>▲ 單一設備依賴</v>
      </c>
      <c r="W227" s="18" t="str">
        <f t="shared" si="26"/>
        <v>僅依賴1台設備，須確認故障/排修時之備援製程</v>
      </c>
      <c r="X227" s="22" t="s">
        <v>463</v>
      </c>
      <c r="Y227" s="22" t="s">
        <v>347</v>
      </c>
      <c r="Z227" s="27">
        <f>IF($D227="",0,IF(COUNTIF($D$5:$D227,$D227)=1,1,0))</f>
        <v>0</v>
      </c>
      <c r="AA227" s="27" t="str">
        <f>IF(Z227=1,SUM($Z$5:$Z227),"")</f>
        <v/>
      </c>
    </row>
    <row r="228" spans="1:27">
      <c r="A228" s="22" t="s">
        <v>478</v>
      </c>
      <c r="B228" s="22" t="s">
        <v>254</v>
      </c>
      <c r="C228" s="22" t="s">
        <v>462</v>
      </c>
      <c r="D228" s="22" t="s">
        <v>461</v>
      </c>
      <c r="E228" s="22" t="s">
        <v>459</v>
      </c>
      <c r="F228" s="23">
        <v>20</v>
      </c>
      <c r="G228" s="23" t="s">
        <v>346</v>
      </c>
      <c r="H228" s="24">
        <v>59</v>
      </c>
      <c r="I228" s="25"/>
      <c r="J228" s="25"/>
      <c r="K228" s="25"/>
      <c r="L228" s="25"/>
      <c r="M228" s="25"/>
      <c r="N228" s="25"/>
      <c r="O228" s="25" t="s">
        <v>74</v>
      </c>
      <c r="P228" s="25"/>
      <c r="Q228" s="25"/>
      <c r="R228" s="25"/>
      <c r="S228" s="25"/>
      <c r="T228" s="26"/>
      <c r="U228" s="23">
        <f t="shared" si="24"/>
        <v>1</v>
      </c>
      <c r="V228" s="22" t="str">
        <f t="shared" si="25"/>
        <v>▲ 單一設備依賴</v>
      </c>
      <c r="W228" s="18" t="str">
        <f t="shared" si="26"/>
        <v>僅依賴1台設備，須確認故障/排修時之備援製程</v>
      </c>
      <c r="X228" s="22" t="s">
        <v>463</v>
      </c>
      <c r="Y228" s="22" t="s">
        <v>347</v>
      </c>
      <c r="Z228" s="27">
        <f>IF($D228="",0,IF(COUNTIF($D$5:$D228,$D228)=1,1,0))</f>
        <v>0</v>
      </c>
      <c r="AA228" s="27" t="str">
        <f>IF(Z228=1,SUM($Z$5:$Z228),"")</f>
        <v/>
      </c>
    </row>
    <row r="229" spans="1:27">
      <c r="A229" s="22" t="s">
        <v>478</v>
      </c>
      <c r="B229" s="22" t="s">
        <v>254</v>
      </c>
      <c r="C229" s="22" t="s">
        <v>462</v>
      </c>
      <c r="D229" s="22" t="s">
        <v>461</v>
      </c>
      <c r="E229" s="22" t="s">
        <v>460</v>
      </c>
      <c r="F229" s="23">
        <v>3</v>
      </c>
      <c r="G229" s="23" t="s">
        <v>75</v>
      </c>
      <c r="H229" s="24">
        <v>30</v>
      </c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6" t="s">
        <v>74</v>
      </c>
      <c r="U229" s="23">
        <f t="shared" si="24"/>
        <v>0</v>
      </c>
      <c r="V229" s="22" t="str">
        <f t="shared" si="25"/>
        <v>○ 免調理</v>
      </c>
      <c r="W229" s="18" t="str">
        <f t="shared" si="26"/>
        <v>免調理半成品（外購/僅切配等），不列入設備風險評估</v>
      </c>
      <c r="X229" s="22" t="s">
        <v>463</v>
      </c>
      <c r="Y229" s="22" t="s">
        <v>347</v>
      </c>
      <c r="Z229" s="27">
        <f>IF($D229="",0,IF(COUNTIF($D$5:$D229,$D229)=1,1,0))</f>
        <v>0</v>
      </c>
      <c r="AA229" s="27" t="str">
        <f>IF(Z229=1,SUM($Z$5:$Z229),"")</f>
        <v/>
      </c>
    </row>
    <row r="230" spans="1:27">
      <c r="A230" s="22" t="s">
        <v>478</v>
      </c>
      <c r="B230" s="22" t="s">
        <v>254</v>
      </c>
      <c r="C230" s="22" t="s">
        <v>442</v>
      </c>
      <c r="D230" s="22" t="s">
        <v>467</v>
      </c>
      <c r="E230" s="22" t="s">
        <v>464</v>
      </c>
      <c r="F230" s="23">
        <v>1</v>
      </c>
      <c r="G230" s="23" t="s">
        <v>75</v>
      </c>
      <c r="H230" s="24">
        <v>1000</v>
      </c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6" t="s">
        <v>74</v>
      </c>
      <c r="U230" s="23">
        <f t="shared" si="24"/>
        <v>0</v>
      </c>
      <c r="V230" s="22" t="str">
        <f t="shared" si="25"/>
        <v>○ 免調理</v>
      </c>
      <c r="W230" s="18" t="str">
        <f t="shared" si="26"/>
        <v>免調理半成品（外購/僅切配等），不列入設備風險評估</v>
      </c>
      <c r="X230" s="22" t="s">
        <v>468</v>
      </c>
      <c r="Y230" s="22" t="s">
        <v>347</v>
      </c>
      <c r="Z230" s="27">
        <f>IF($D230="",0,IF(COUNTIF($D$5:$D230,$D230)=1,1,0))</f>
        <v>1</v>
      </c>
      <c r="AA230" s="27">
        <f>IF(Z230=1,SUM($Z$5:$Z230),"")</f>
        <v>46</v>
      </c>
    </row>
    <row r="231" spans="1:27">
      <c r="A231" s="22" t="s">
        <v>478</v>
      </c>
      <c r="B231" s="22" t="s">
        <v>254</v>
      </c>
      <c r="C231" s="22" t="s">
        <v>442</v>
      </c>
      <c r="D231" s="22" t="s">
        <v>467</v>
      </c>
      <c r="E231" s="22" t="s">
        <v>465</v>
      </c>
      <c r="F231" s="23">
        <v>1</v>
      </c>
      <c r="G231" s="23" t="s">
        <v>75</v>
      </c>
      <c r="H231" s="24">
        <v>3800</v>
      </c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6" t="s">
        <v>74</v>
      </c>
      <c r="U231" s="23">
        <f t="shared" si="24"/>
        <v>0</v>
      </c>
      <c r="V231" s="22" t="str">
        <f t="shared" si="25"/>
        <v>○ 免調理</v>
      </c>
      <c r="W231" s="18" t="str">
        <f t="shared" si="26"/>
        <v>免調理半成品（外購/僅切配等），不列入設備風險評估</v>
      </c>
      <c r="X231" s="22" t="s">
        <v>468</v>
      </c>
      <c r="Y231" s="22" t="s">
        <v>347</v>
      </c>
      <c r="Z231" s="27">
        <f>IF($D231="",0,IF(COUNTIF($D$5:$D231,$D231)=1,1,0))</f>
        <v>0</v>
      </c>
      <c r="AA231" s="27" t="str">
        <f>IF(Z231=1,SUM($Z$5:$Z231),"")</f>
        <v/>
      </c>
    </row>
    <row r="232" spans="1:27">
      <c r="A232" s="22" t="s">
        <v>478</v>
      </c>
      <c r="B232" s="22" t="s">
        <v>254</v>
      </c>
      <c r="C232" s="22" t="s">
        <v>442</v>
      </c>
      <c r="D232" s="22" t="s">
        <v>467</v>
      </c>
      <c r="E232" s="22" t="s">
        <v>466</v>
      </c>
      <c r="F232" s="23">
        <v>2</v>
      </c>
      <c r="G232" s="23" t="s">
        <v>75</v>
      </c>
      <c r="H232" s="24">
        <v>100</v>
      </c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6" t="s">
        <v>74</v>
      </c>
      <c r="U232" s="23">
        <f t="shared" si="24"/>
        <v>0</v>
      </c>
      <c r="V232" s="22" t="str">
        <f t="shared" si="25"/>
        <v>○ 免調理</v>
      </c>
      <c r="W232" s="18" t="str">
        <f t="shared" si="26"/>
        <v>免調理半成品（外購/僅切配等），不列入設備風險評估</v>
      </c>
      <c r="X232" s="22" t="s">
        <v>468</v>
      </c>
      <c r="Y232" s="22" t="s">
        <v>347</v>
      </c>
      <c r="Z232" s="27">
        <f>IF($D232="",0,IF(COUNTIF($D$5:$D232,$D232)=1,1,0))</f>
        <v>0</v>
      </c>
      <c r="AA232" s="27" t="str">
        <f>IF(Z232=1,SUM($Z$5:$Z232),"")</f>
        <v/>
      </c>
    </row>
    <row r="233" spans="1:27">
      <c r="A233" s="22" t="s">
        <v>478</v>
      </c>
      <c r="B233" s="22" t="s">
        <v>254</v>
      </c>
      <c r="C233" s="22" t="s">
        <v>442</v>
      </c>
      <c r="D233" s="22" t="s">
        <v>467</v>
      </c>
      <c r="E233" s="22" t="s">
        <v>203</v>
      </c>
      <c r="F233" s="23">
        <v>15</v>
      </c>
      <c r="G233" s="23" t="s">
        <v>346</v>
      </c>
      <c r="H233" s="24">
        <v>95</v>
      </c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6" t="s">
        <v>74</v>
      </c>
      <c r="U233" s="23">
        <f t="shared" si="24"/>
        <v>0</v>
      </c>
      <c r="V233" s="22" t="str">
        <f t="shared" si="25"/>
        <v>○ 免調理</v>
      </c>
      <c r="W233" s="18" t="str">
        <f t="shared" si="26"/>
        <v>免調理半成品（外購/僅切配等），不列入設備風險評估</v>
      </c>
      <c r="X233" s="22" t="s">
        <v>468</v>
      </c>
      <c r="Y233" s="22" t="s">
        <v>347</v>
      </c>
      <c r="Z233" s="27">
        <f>IF($D233="",0,IF(COUNTIF($D$5:$D233,$D233)=1,1,0))</f>
        <v>0</v>
      </c>
      <c r="AA233" s="27" t="str">
        <f>IF(Z233=1,SUM($Z$5:$Z233),"")</f>
        <v/>
      </c>
    </row>
    <row r="234" spans="1:27">
      <c r="A234" s="22" t="s">
        <v>478</v>
      </c>
      <c r="B234" s="22" t="s">
        <v>254</v>
      </c>
      <c r="C234" s="22" t="s">
        <v>442</v>
      </c>
      <c r="D234" s="22" t="s">
        <v>473</v>
      </c>
      <c r="E234" s="22" t="s">
        <v>469</v>
      </c>
      <c r="F234" s="23">
        <v>1</v>
      </c>
      <c r="G234" s="23" t="s">
        <v>75</v>
      </c>
      <c r="H234" s="24">
        <v>100</v>
      </c>
      <c r="I234" s="25"/>
      <c r="J234" s="25"/>
      <c r="K234" s="25" t="s">
        <v>74</v>
      </c>
      <c r="L234" s="25"/>
      <c r="M234" s="25"/>
      <c r="N234" s="25"/>
      <c r="O234" s="25"/>
      <c r="P234" s="25"/>
      <c r="Q234" s="25"/>
      <c r="R234" s="25"/>
      <c r="S234" s="25"/>
      <c r="T234" s="26"/>
      <c r="U234" s="23">
        <f t="shared" si="24"/>
        <v>1</v>
      </c>
      <c r="V234" s="22" t="str">
        <f t="shared" si="25"/>
        <v>▲ 單一設備依賴</v>
      </c>
      <c r="W234" s="18" t="str">
        <f t="shared" si="26"/>
        <v>僅依賴1台設備，須確認故障/排修時之備援製程</v>
      </c>
      <c r="X234" s="22" t="s">
        <v>474</v>
      </c>
      <c r="Y234" s="22" t="s">
        <v>347</v>
      </c>
      <c r="Z234" s="27">
        <f>IF($D234="",0,IF(COUNTIF($D$5:$D234,$D234)=1,1,0))</f>
        <v>1</v>
      </c>
      <c r="AA234" s="27">
        <f>IF(Z234=1,SUM($Z$5:$Z234),"")</f>
        <v>47</v>
      </c>
    </row>
    <row r="235" spans="1:27">
      <c r="A235" s="22" t="s">
        <v>478</v>
      </c>
      <c r="B235" s="22" t="s">
        <v>254</v>
      </c>
      <c r="C235" s="22" t="s">
        <v>442</v>
      </c>
      <c r="D235" s="22" t="s">
        <v>473</v>
      </c>
      <c r="E235" s="22" t="s">
        <v>470</v>
      </c>
      <c r="F235" s="23">
        <v>1</v>
      </c>
      <c r="G235" s="23" t="s">
        <v>75</v>
      </c>
      <c r="H235" s="24">
        <v>100</v>
      </c>
      <c r="I235" s="25"/>
      <c r="J235" s="25"/>
      <c r="K235" s="25" t="s">
        <v>74</v>
      </c>
      <c r="L235" s="25"/>
      <c r="M235" s="25"/>
      <c r="N235" s="25"/>
      <c r="O235" s="25"/>
      <c r="P235" s="25"/>
      <c r="Q235" s="25"/>
      <c r="R235" s="25"/>
      <c r="S235" s="25"/>
      <c r="T235" s="26"/>
      <c r="U235" s="23">
        <f t="shared" si="24"/>
        <v>1</v>
      </c>
      <c r="V235" s="22" t="str">
        <f t="shared" si="25"/>
        <v>▲ 單一設備依賴</v>
      </c>
      <c r="W235" s="18" t="str">
        <f t="shared" si="26"/>
        <v>僅依賴1台設備，須確認故障/排修時之備援製程</v>
      </c>
      <c r="X235" s="22" t="s">
        <v>474</v>
      </c>
      <c r="Y235" s="22" t="s">
        <v>347</v>
      </c>
      <c r="Z235" s="27">
        <f>IF($D235="",0,IF(COUNTIF($D$5:$D235,$D235)=1,1,0))</f>
        <v>0</v>
      </c>
      <c r="AA235" s="27" t="str">
        <f>IF(Z235=1,SUM($Z$5:$Z235),"")</f>
        <v/>
      </c>
    </row>
    <row r="236" spans="1:27">
      <c r="A236" s="22" t="s">
        <v>478</v>
      </c>
      <c r="B236" s="22" t="s">
        <v>254</v>
      </c>
      <c r="C236" s="22" t="s">
        <v>442</v>
      </c>
      <c r="D236" s="22" t="s">
        <v>473</v>
      </c>
      <c r="E236" s="22" t="s">
        <v>471</v>
      </c>
      <c r="F236" s="23">
        <v>8</v>
      </c>
      <c r="G236" s="23" t="s">
        <v>346</v>
      </c>
      <c r="H236" s="24">
        <v>95</v>
      </c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6" t="s">
        <v>74</v>
      </c>
      <c r="U236" s="23">
        <f t="shared" si="24"/>
        <v>0</v>
      </c>
      <c r="V236" s="22" t="str">
        <f t="shared" si="25"/>
        <v>○ 免調理</v>
      </c>
      <c r="W236" s="18" t="str">
        <f t="shared" si="26"/>
        <v>免調理半成品（外購/僅切配等），不列入設備風險評估</v>
      </c>
      <c r="X236" s="22" t="s">
        <v>474</v>
      </c>
      <c r="Y236" s="22" t="s">
        <v>347</v>
      </c>
      <c r="Z236" s="27">
        <f>IF($D236="",0,IF(COUNTIF($D$5:$D236,$D236)=1,1,0))</f>
        <v>0</v>
      </c>
      <c r="AA236" s="27" t="str">
        <f>IF(Z236=1,SUM($Z$5:$Z236),"")</f>
        <v/>
      </c>
    </row>
    <row r="237" spans="1:27">
      <c r="A237" s="22" t="s">
        <v>478</v>
      </c>
      <c r="B237" s="22" t="s">
        <v>254</v>
      </c>
      <c r="C237" s="22" t="s">
        <v>442</v>
      </c>
      <c r="D237" s="22" t="s">
        <v>473</v>
      </c>
      <c r="E237" s="22" t="s">
        <v>472</v>
      </c>
      <c r="F237" s="23">
        <v>1</v>
      </c>
      <c r="G237" s="23" t="s">
        <v>75</v>
      </c>
      <c r="H237" s="24">
        <v>16800</v>
      </c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6" t="s">
        <v>74</v>
      </c>
      <c r="U237" s="23">
        <f t="shared" si="24"/>
        <v>0</v>
      </c>
      <c r="V237" s="22" t="str">
        <f t="shared" si="25"/>
        <v>○ 免調理</v>
      </c>
      <c r="W237" s="18" t="str">
        <f t="shared" si="26"/>
        <v>免調理半成品（外購/僅切配等），不列入設備風險評估</v>
      </c>
      <c r="X237" s="22" t="s">
        <v>474</v>
      </c>
      <c r="Y237" s="22" t="s">
        <v>347</v>
      </c>
      <c r="Z237" s="27">
        <f>IF($D237="",0,IF(COUNTIF($D$5:$D237,$D237)=1,1,0))</f>
        <v>0</v>
      </c>
      <c r="AA237" s="27" t="str">
        <f>IF(Z237=1,SUM($Z$5:$Z237),"")</f>
        <v/>
      </c>
    </row>
    <row r="238" spans="1:27">
      <c r="A238" s="22" t="s">
        <v>478</v>
      </c>
      <c r="B238" s="22" t="s">
        <v>254</v>
      </c>
      <c r="C238" s="22" t="s">
        <v>442</v>
      </c>
      <c r="D238" s="22" t="s">
        <v>473</v>
      </c>
      <c r="E238" s="22" t="s">
        <v>470</v>
      </c>
      <c r="F238" s="23">
        <v>1</v>
      </c>
      <c r="G238" s="23" t="s">
        <v>75</v>
      </c>
      <c r="H238" s="24">
        <v>100</v>
      </c>
      <c r="I238" s="25"/>
      <c r="J238" s="25"/>
      <c r="K238" s="25" t="s">
        <v>74</v>
      </c>
      <c r="L238" s="25"/>
      <c r="M238" s="25"/>
      <c r="N238" s="25"/>
      <c r="O238" s="25"/>
      <c r="P238" s="25"/>
      <c r="Q238" s="25"/>
      <c r="R238" s="25"/>
      <c r="S238" s="25"/>
      <c r="T238" s="26"/>
      <c r="U238" s="23">
        <f t="shared" si="24"/>
        <v>1</v>
      </c>
      <c r="V238" s="22" t="str">
        <f t="shared" si="25"/>
        <v>▲ 單一設備依賴</v>
      </c>
      <c r="W238" s="18" t="str">
        <f t="shared" si="26"/>
        <v>僅依賴1台設備，須確認故障/排修時之備援製程</v>
      </c>
      <c r="X238" s="22" t="s">
        <v>474</v>
      </c>
      <c r="Y238" s="22" t="s">
        <v>347</v>
      </c>
      <c r="Z238" s="27">
        <f>IF($D238="",0,IF(COUNTIF($D$5:$D238,$D238)=1,1,0))</f>
        <v>0</v>
      </c>
      <c r="AA238" s="27" t="str">
        <f>IF(Z238=1,SUM($Z$5:$Z238),"")</f>
        <v/>
      </c>
    </row>
    <row r="239" spans="1:27">
      <c r="A239" s="22" t="s">
        <v>478</v>
      </c>
      <c r="B239" s="22" t="s">
        <v>254</v>
      </c>
      <c r="C239" s="22" t="s">
        <v>442</v>
      </c>
      <c r="D239" s="22" t="s">
        <v>473</v>
      </c>
      <c r="E239" s="22" t="s">
        <v>469</v>
      </c>
      <c r="F239" s="23">
        <v>1</v>
      </c>
      <c r="G239" s="23" t="s">
        <v>75</v>
      </c>
      <c r="H239" s="24">
        <v>100</v>
      </c>
      <c r="I239" s="25"/>
      <c r="J239" s="25"/>
      <c r="K239" s="25" t="s">
        <v>74</v>
      </c>
      <c r="L239" s="25"/>
      <c r="M239" s="25"/>
      <c r="N239" s="25"/>
      <c r="O239" s="25"/>
      <c r="P239" s="25"/>
      <c r="Q239" s="25"/>
      <c r="R239" s="25"/>
      <c r="S239" s="25"/>
      <c r="T239" s="26"/>
      <c r="U239" s="23">
        <f t="shared" si="24"/>
        <v>1</v>
      </c>
      <c r="V239" s="22" t="str">
        <f t="shared" si="25"/>
        <v>▲ 單一設備依賴</v>
      </c>
      <c r="W239" s="18" t="str">
        <f t="shared" si="26"/>
        <v>僅依賴1台設備，須確認故障/排修時之備援製程</v>
      </c>
      <c r="X239" s="22" t="s">
        <v>474</v>
      </c>
      <c r="Y239" s="22" t="s">
        <v>347</v>
      </c>
      <c r="Z239" s="27">
        <f>IF($D239="",0,IF(COUNTIF($D$5:$D239,$D239)=1,1,0))</f>
        <v>0</v>
      </c>
      <c r="AA239" s="27" t="str">
        <f>IF(Z239=1,SUM($Z$5:$Z239),"")</f>
        <v/>
      </c>
    </row>
    <row r="240" spans="1:27">
      <c r="A240" s="22"/>
      <c r="B240" s="22"/>
      <c r="C240" s="22"/>
      <c r="D240" s="22"/>
      <c r="E240" s="22"/>
      <c r="F240" s="23"/>
      <c r="G240" s="23"/>
      <c r="H240" s="24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6"/>
      <c r="U240" s="23" t="str">
        <f t="shared" si="24"/>
        <v/>
      </c>
      <c r="V240" s="22" t="str">
        <f t="shared" si="25"/>
        <v/>
      </c>
      <c r="W240" s="18" t="str">
        <f t="shared" si="26"/>
        <v/>
      </c>
      <c r="X240" s="22"/>
      <c r="Y240" s="22"/>
      <c r="Z240" s="27">
        <f>IF($D240="",0,IF(COUNTIF($D$5:$D240,$D240)=1,1,0))</f>
        <v>0</v>
      </c>
      <c r="AA240" s="27" t="str">
        <f>IF(Z240=1,SUM($Z$5:$Z240),"")</f>
        <v/>
      </c>
    </row>
    <row r="241" spans="1:27">
      <c r="A241" s="22"/>
      <c r="B241" s="22"/>
      <c r="C241" s="22"/>
      <c r="D241" s="22"/>
      <c r="E241" s="22"/>
      <c r="F241" s="23"/>
      <c r="G241" s="23"/>
      <c r="H241" s="24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6"/>
      <c r="U241" s="23" t="str">
        <f t="shared" si="24"/>
        <v/>
      </c>
      <c r="V241" s="22" t="str">
        <f t="shared" si="25"/>
        <v/>
      </c>
      <c r="W241" s="18" t="str">
        <f t="shared" si="26"/>
        <v/>
      </c>
      <c r="X241" s="22"/>
      <c r="Y241" s="22"/>
      <c r="Z241" s="27">
        <f>IF($D241="",0,IF(COUNTIF($D$5:$D241,$D241)=1,1,0))</f>
        <v>0</v>
      </c>
      <c r="AA241" s="27" t="str">
        <f>IF(Z241=1,SUM($Z$5:$Z241),"")</f>
        <v/>
      </c>
    </row>
    <row r="242" spans="1:27">
      <c r="A242" s="22"/>
      <c r="B242" s="22"/>
      <c r="C242" s="22"/>
      <c r="D242" s="22"/>
      <c r="E242" s="22"/>
      <c r="F242" s="23"/>
      <c r="G242" s="23"/>
      <c r="H242" s="24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6"/>
      <c r="U242" s="23" t="str">
        <f t="shared" si="24"/>
        <v/>
      </c>
      <c r="V242" s="22" t="str">
        <f t="shared" si="25"/>
        <v/>
      </c>
      <c r="W242" s="18" t="str">
        <f t="shared" si="26"/>
        <v/>
      </c>
      <c r="X242" s="22"/>
      <c r="Y242" s="22"/>
      <c r="Z242" s="27">
        <f>IF($D242="",0,IF(COUNTIF($D$5:$D242,$D242)=1,1,0))</f>
        <v>0</v>
      </c>
      <c r="AA242" s="27" t="str">
        <f>IF(Z242=1,SUM($Z$5:$Z242),"")</f>
        <v/>
      </c>
    </row>
    <row r="243" spans="1:27">
      <c r="A243" s="22"/>
      <c r="B243" s="22"/>
      <c r="C243" s="22"/>
      <c r="D243" s="22"/>
      <c r="E243" s="22"/>
      <c r="F243" s="23"/>
      <c r="G243" s="23"/>
      <c r="H243" s="24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6"/>
      <c r="U243" s="23" t="str">
        <f t="shared" si="24"/>
        <v/>
      </c>
      <c r="V243" s="22" t="str">
        <f t="shared" si="25"/>
        <v/>
      </c>
      <c r="W243" s="18" t="str">
        <f t="shared" si="26"/>
        <v/>
      </c>
      <c r="X243" s="22"/>
      <c r="Y243" s="22"/>
      <c r="Z243" s="27">
        <f>IF($D243="",0,IF(COUNTIF($D$5:$D243,$D243)=1,1,0))</f>
        <v>0</v>
      </c>
      <c r="AA243" s="27" t="str">
        <f>IF(Z243=1,SUM($Z$5:$Z243),"")</f>
        <v/>
      </c>
    </row>
    <row r="244" spans="1:27">
      <c r="A244" s="22"/>
      <c r="B244" s="22"/>
      <c r="C244" s="22"/>
      <c r="D244" s="22"/>
      <c r="E244" s="22"/>
      <c r="F244" s="23"/>
      <c r="G244" s="23"/>
      <c r="H244" s="24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6"/>
      <c r="U244" s="23" t="str">
        <f t="shared" si="24"/>
        <v/>
      </c>
      <c r="V244" s="22" t="str">
        <f t="shared" si="25"/>
        <v/>
      </c>
      <c r="W244" s="18" t="str">
        <f t="shared" si="26"/>
        <v/>
      </c>
      <c r="X244" s="22"/>
      <c r="Y244" s="22"/>
      <c r="Z244" s="27">
        <f>IF($D244="",0,IF(COUNTIF($D$5:$D244,$D244)=1,1,0))</f>
        <v>0</v>
      </c>
      <c r="AA244" s="27" t="str">
        <f>IF(Z244=1,SUM($Z$5:$Z244),"")</f>
        <v/>
      </c>
    </row>
    <row r="245" spans="1:27">
      <c r="A245" s="22"/>
      <c r="B245" s="22"/>
      <c r="C245" s="22"/>
      <c r="D245" s="22"/>
      <c r="E245" s="22"/>
      <c r="F245" s="23"/>
      <c r="G245" s="23"/>
      <c r="H245" s="24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6"/>
      <c r="U245" s="23" t="str">
        <f t="shared" si="24"/>
        <v/>
      </c>
      <c r="V245" s="22" t="str">
        <f t="shared" si="25"/>
        <v/>
      </c>
      <c r="W245" s="18" t="str">
        <f t="shared" si="26"/>
        <v/>
      </c>
      <c r="X245" s="22"/>
      <c r="Y245" s="22"/>
      <c r="Z245" s="27">
        <f>IF($D245="",0,IF(COUNTIF($D$5:$D245,$D245)=1,1,0))</f>
        <v>0</v>
      </c>
      <c r="AA245" s="27" t="str">
        <f>IF(Z245=1,SUM($Z$5:$Z245),"")</f>
        <v/>
      </c>
    </row>
    <row r="246" spans="1:27">
      <c r="A246" s="22"/>
      <c r="B246" s="22"/>
      <c r="C246" s="22"/>
      <c r="D246" s="22"/>
      <c r="E246" s="22"/>
      <c r="F246" s="23"/>
      <c r="G246" s="23"/>
      <c r="H246" s="24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6"/>
      <c r="U246" s="23" t="str">
        <f t="shared" si="24"/>
        <v/>
      </c>
      <c r="V246" s="22" t="str">
        <f t="shared" si="25"/>
        <v/>
      </c>
      <c r="W246" s="18" t="str">
        <f t="shared" si="26"/>
        <v/>
      </c>
      <c r="X246" s="22"/>
      <c r="Y246" s="22"/>
      <c r="Z246" s="27">
        <f>IF($D246="",0,IF(COUNTIF($D$5:$D246,$D246)=1,1,0))</f>
        <v>0</v>
      </c>
      <c r="AA246" s="27" t="str">
        <f>IF(Z246=1,SUM($Z$5:$Z246),"")</f>
        <v/>
      </c>
    </row>
    <row r="247" spans="1:27">
      <c r="A247" s="22"/>
      <c r="B247" s="22"/>
      <c r="C247" s="22"/>
      <c r="D247" s="22"/>
      <c r="E247" s="22"/>
      <c r="F247" s="23"/>
      <c r="G247" s="23"/>
      <c r="H247" s="24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6"/>
      <c r="U247" s="23" t="str">
        <f t="shared" si="24"/>
        <v/>
      </c>
      <c r="V247" s="22" t="str">
        <f t="shared" si="25"/>
        <v/>
      </c>
      <c r="W247" s="18" t="str">
        <f t="shared" si="26"/>
        <v/>
      </c>
      <c r="X247" s="22"/>
      <c r="Y247" s="22"/>
      <c r="Z247" s="27">
        <f>IF($D247="",0,IF(COUNTIF($D$5:$D247,$D247)=1,1,0))</f>
        <v>0</v>
      </c>
      <c r="AA247" s="27" t="str">
        <f>IF(Z247=1,SUM($Z$5:$Z247),"")</f>
        <v/>
      </c>
    </row>
    <row r="248" spans="1:27">
      <c r="A248" s="22"/>
      <c r="B248" s="22"/>
      <c r="C248" s="22"/>
      <c r="D248" s="22"/>
      <c r="E248" s="22"/>
      <c r="F248" s="23"/>
      <c r="G248" s="23"/>
      <c r="H248" s="24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6"/>
      <c r="U248" s="23" t="str">
        <f t="shared" si="24"/>
        <v/>
      </c>
      <c r="V248" s="22" t="str">
        <f t="shared" si="25"/>
        <v/>
      </c>
      <c r="W248" s="18" t="str">
        <f t="shared" si="26"/>
        <v/>
      </c>
      <c r="X248" s="22"/>
      <c r="Y248" s="22"/>
      <c r="Z248" s="27">
        <f>IF($D248="",0,IF(COUNTIF($D$5:$D248,$D248)=1,1,0))</f>
        <v>0</v>
      </c>
      <c r="AA248" s="27" t="str">
        <f>IF(Z248=1,SUM($Z$5:$Z248),"")</f>
        <v/>
      </c>
    </row>
    <row r="249" spans="1:27">
      <c r="A249" s="22"/>
      <c r="B249" s="22"/>
      <c r="C249" s="22"/>
      <c r="D249" s="22"/>
      <c r="E249" s="22"/>
      <c r="F249" s="23"/>
      <c r="G249" s="23"/>
      <c r="H249" s="24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6"/>
      <c r="U249" s="23" t="str">
        <f t="shared" si="24"/>
        <v/>
      </c>
      <c r="V249" s="22" t="str">
        <f t="shared" si="25"/>
        <v/>
      </c>
      <c r="W249" s="18" t="str">
        <f t="shared" si="26"/>
        <v/>
      </c>
      <c r="X249" s="22"/>
      <c r="Y249" s="22"/>
      <c r="Z249" s="27">
        <f>IF($D249="",0,IF(COUNTIF($D$5:$D249,$D249)=1,1,0))</f>
        <v>0</v>
      </c>
      <c r="AA249" s="27" t="str">
        <f>IF(Z249=1,SUM($Z$5:$Z249),"")</f>
        <v/>
      </c>
    </row>
    <row r="250" spans="1:27">
      <c r="A250" s="22"/>
      <c r="B250" s="22"/>
      <c r="C250" s="22"/>
      <c r="D250" s="22"/>
      <c r="E250" s="22"/>
      <c r="F250" s="23"/>
      <c r="G250" s="23"/>
      <c r="H250" s="24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6"/>
      <c r="U250" s="23" t="str">
        <f t="shared" si="24"/>
        <v/>
      </c>
      <c r="V250" s="22" t="str">
        <f t="shared" si="25"/>
        <v/>
      </c>
      <c r="W250" s="18" t="str">
        <f t="shared" si="26"/>
        <v/>
      </c>
      <c r="X250" s="22"/>
      <c r="Y250" s="22"/>
      <c r="Z250" s="27">
        <f>IF($D250="",0,IF(COUNTIF($D$5:$D250,$D250)=1,1,0))</f>
        <v>0</v>
      </c>
      <c r="AA250" s="27" t="str">
        <f>IF(Z250=1,SUM($Z$5:$Z250),"")</f>
        <v/>
      </c>
    </row>
    <row r="251" spans="1:27">
      <c r="A251" s="22"/>
      <c r="B251" s="22"/>
      <c r="C251" s="22"/>
      <c r="D251" s="22"/>
      <c r="E251" s="22"/>
      <c r="F251" s="23"/>
      <c r="G251" s="23"/>
      <c r="H251" s="24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6"/>
      <c r="U251" s="23" t="str">
        <f t="shared" si="24"/>
        <v/>
      </c>
      <c r="V251" s="22" t="str">
        <f t="shared" si="25"/>
        <v/>
      </c>
      <c r="W251" s="18" t="str">
        <f t="shared" si="26"/>
        <v/>
      </c>
      <c r="X251" s="22"/>
      <c r="Y251" s="22"/>
      <c r="Z251" s="27">
        <f>IF($D251="",0,IF(COUNTIF($D$5:$D251,$D251)=1,1,0))</f>
        <v>0</v>
      </c>
      <c r="AA251" s="27" t="str">
        <f>IF(Z251=1,SUM($Z$5:$Z251),"")</f>
        <v/>
      </c>
    </row>
    <row r="252" spans="1:27">
      <c r="A252" s="22"/>
      <c r="B252" s="22"/>
      <c r="C252" s="22"/>
      <c r="D252" s="22"/>
      <c r="E252" s="22"/>
      <c r="F252" s="23"/>
      <c r="G252" s="23"/>
      <c r="H252" s="24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6"/>
      <c r="U252" s="23" t="str">
        <f t="shared" si="24"/>
        <v/>
      </c>
      <c r="V252" s="22" t="str">
        <f t="shared" si="25"/>
        <v/>
      </c>
      <c r="W252" s="18" t="str">
        <f t="shared" si="26"/>
        <v/>
      </c>
      <c r="X252" s="22"/>
      <c r="Y252" s="22"/>
      <c r="Z252" s="27">
        <f>IF($D252="",0,IF(COUNTIF($D$5:$D252,$D252)=1,1,0))</f>
        <v>0</v>
      </c>
      <c r="AA252" s="27" t="str">
        <f>IF(Z252=1,SUM($Z$5:$Z252),"")</f>
        <v/>
      </c>
    </row>
    <row r="253" spans="1:27">
      <c r="A253" s="22"/>
      <c r="B253" s="22"/>
      <c r="C253" s="22"/>
      <c r="D253" s="22"/>
      <c r="E253" s="22"/>
      <c r="F253" s="23"/>
      <c r="G253" s="23"/>
      <c r="H253" s="24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6"/>
      <c r="U253" s="23" t="str">
        <f t="shared" si="24"/>
        <v/>
      </c>
      <c r="V253" s="22" t="str">
        <f t="shared" si="25"/>
        <v/>
      </c>
      <c r="W253" s="18" t="str">
        <f t="shared" si="26"/>
        <v/>
      </c>
      <c r="X253" s="22"/>
      <c r="Y253" s="22"/>
      <c r="Z253" s="27">
        <f>IF($D253="",0,IF(COUNTIF($D$5:$D253,$D253)=1,1,0))</f>
        <v>0</v>
      </c>
      <c r="AA253" s="27" t="str">
        <f>IF(Z253=1,SUM($Z$5:$Z253),"")</f>
        <v/>
      </c>
    </row>
    <row r="254" spans="1:27">
      <c r="A254" s="22"/>
      <c r="B254" s="22"/>
      <c r="C254" s="22"/>
      <c r="D254" s="22"/>
      <c r="E254" s="22"/>
      <c r="F254" s="23"/>
      <c r="G254" s="23"/>
      <c r="H254" s="24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6"/>
      <c r="U254" s="23" t="str">
        <f t="shared" si="24"/>
        <v/>
      </c>
      <c r="V254" s="22" t="str">
        <f t="shared" si="25"/>
        <v/>
      </c>
      <c r="W254" s="18" t="str">
        <f t="shared" si="26"/>
        <v/>
      </c>
      <c r="X254" s="22"/>
      <c r="Y254" s="22"/>
      <c r="Z254" s="27">
        <f>IF($D254="",0,IF(COUNTIF($D$5:$D254,$D254)=1,1,0))</f>
        <v>0</v>
      </c>
      <c r="AA254" s="27" t="str">
        <f>IF(Z254=1,SUM($Z$5:$Z254),"")</f>
        <v/>
      </c>
    </row>
    <row r="255" spans="1:27">
      <c r="A255" s="22"/>
      <c r="B255" s="22"/>
      <c r="C255" s="22"/>
      <c r="D255" s="22"/>
      <c r="E255" s="22"/>
      <c r="F255" s="23"/>
      <c r="G255" s="23"/>
      <c r="H255" s="24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6"/>
      <c r="U255" s="23" t="str">
        <f t="shared" si="24"/>
        <v/>
      </c>
      <c r="V255" s="22" t="str">
        <f t="shared" si="25"/>
        <v/>
      </c>
      <c r="W255" s="18" t="str">
        <f t="shared" si="26"/>
        <v/>
      </c>
      <c r="X255" s="22"/>
      <c r="Y255" s="22"/>
      <c r="Z255" s="27">
        <f>IF($D255="",0,IF(COUNTIF($D$5:$D255,$D255)=1,1,0))</f>
        <v>0</v>
      </c>
      <c r="AA255" s="27" t="str">
        <f>IF(Z255=1,SUM($Z$5:$Z255),"")</f>
        <v/>
      </c>
    </row>
    <row r="256" spans="1:27">
      <c r="A256" s="22"/>
      <c r="B256" s="22"/>
      <c r="C256" s="22"/>
      <c r="D256" s="22"/>
      <c r="E256" s="22"/>
      <c r="F256" s="23"/>
      <c r="G256" s="23"/>
      <c r="H256" s="24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6"/>
      <c r="U256" s="23" t="str">
        <f t="shared" si="24"/>
        <v/>
      </c>
      <c r="V256" s="22" t="str">
        <f t="shared" si="25"/>
        <v/>
      </c>
      <c r="W256" s="18" t="str">
        <f t="shared" si="26"/>
        <v/>
      </c>
      <c r="X256" s="22"/>
      <c r="Y256" s="22"/>
      <c r="Z256" s="27">
        <f>IF($D256="",0,IF(COUNTIF($D$5:$D256,$D256)=1,1,0))</f>
        <v>0</v>
      </c>
      <c r="AA256" s="27" t="str">
        <f>IF(Z256=1,SUM($Z$5:$Z256),"")</f>
        <v/>
      </c>
    </row>
    <row r="257" spans="1:27">
      <c r="A257" s="22"/>
      <c r="B257" s="22"/>
      <c r="C257" s="22"/>
      <c r="D257" s="22"/>
      <c r="E257" s="22"/>
      <c r="F257" s="23"/>
      <c r="G257" s="23"/>
      <c r="H257" s="24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6"/>
      <c r="U257" s="23" t="str">
        <f t="shared" si="24"/>
        <v/>
      </c>
      <c r="V257" s="22" t="str">
        <f t="shared" si="25"/>
        <v/>
      </c>
      <c r="W257" s="18" t="str">
        <f t="shared" si="26"/>
        <v/>
      </c>
      <c r="X257" s="22"/>
      <c r="Y257" s="22"/>
      <c r="Z257" s="27">
        <f>IF($D257="",0,IF(COUNTIF($D$5:$D257,$D257)=1,1,0))</f>
        <v>0</v>
      </c>
      <c r="AA257" s="27" t="str">
        <f>IF(Z257=1,SUM($Z$5:$Z257),"")</f>
        <v/>
      </c>
    </row>
    <row r="258" spans="1:27">
      <c r="A258" s="22"/>
      <c r="B258" s="22"/>
      <c r="C258" s="22"/>
      <c r="D258" s="22"/>
      <c r="E258" s="22"/>
      <c r="F258" s="23"/>
      <c r="G258" s="23"/>
      <c r="H258" s="24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6"/>
      <c r="U258" s="23" t="str">
        <f t="shared" ref="U258:U301" si="27">IF($E258="","",COUNTIF($I258:$S258,"V"))</f>
        <v/>
      </c>
      <c r="V258" s="22" t="str">
        <f t="shared" ref="V258:V301" si="28">IF($E258="","",IF(AND($T258="V",$U258&gt;0),"⚠ 勾選矛盾",IF($T258="V","○ 免調理",IF($U258=0,"⚠ 資料缺漏",IF($U258=1,"▲ 單一設備依賴","OK")))))</f>
        <v/>
      </c>
      <c r="W258" s="18" t="str">
        <f t="shared" ref="W258:W301" si="29">IF($E258="","",IF(AND($T258="V",$U258&gt;0),"「無使用調理設備」不可與設備欄同時勾選，請擇一修正",IF($T258="V","免調理半成品（外購/僅切配等），不列入設備風險評估",IF($U258=0,"未勾選任何設備，請補填或勾選「無使用調理設備」",IF($U258=1,"僅依賴1台設備，須確認故障/排修時之備援製程","無異常")))))</f>
        <v/>
      </c>
      <c r="X258" s="22"/>
      <c r="Y258" s="22"/>
      <c r="Z258" s="27">
        <f>IF($D258="",0,IF(COUNTIF($D$5:$D258,$D258)=1,1,0))</f>
        <v>0</v>
      </c>
      <c r="AA258" s="27" t="str">
        <f>IF(Z258=1,SUM($Z$5:$Z258),"")</f>
        <v/>
      </c>
    </row>
    <row r="259" spans="1:27">
      <c r="A259" s="22"/>
      <c r="B259" s="22"/>
      <c r="C259" s="22"/>
      <c r="D259" s="22"/>
      <c r="E259" s="22"/>
      <c r="F259" s="23"/>
      <c r="G259" s="23"/>
      <c r="H259" s="24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6"/>
      <c r="U259" s="23" t="str">
        <f t="shared" si="27"/>
        <v/>
      </c>
      <c r="V259" s="22" t="str">
        <f t="shared" si="28"/>
        <v/>
      </c>
      <c r="W259" s="18" t="str">
        <f t="shared" si="29"/>
        <v/>
      </c>
      <c r="X259" s="22"/>
      <c r="Y259" s="22"/>
      <c r="Z259" s="27">
        <f>IF($D259="",0,IF(COUNTIF($D$5:$D259,$D259)=1,1,0))</f>
        <v>0</v>
      </c>
      <c r="AA259" s="27" t="str">
        <f>IF(Z259=1,SUM($Z$5:$Z259),"")</f>
        <v/>
      </c>
    </row>
    <row r="260" spans="1:27">
      <c r="A260" s="22"/>
      <c r="B260" s="22"/>
      <c r="C260" s="22"/>
      <c r="D260" s="22"/>
      <c r="E260" s="22"/>
      <c r="F260" s="23"/>
      <c r="G260" s="23"/>
      <c r="H260" s="24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6"/>
      <c r="U260" s="23" t="str">
        <f t="shared" si="27"/>
        <v/>
      </c>
      <c r="V260" s="22" t="str">
        <f t="shared" si="28"/>
        <v/>
      </c>
      <c r="W260" s="18" t="str">
        <f t="shared" si="29"/>
        <v/>
      </c>
      <c r="X260" s="22"/>
      <c r="Y260" s="22"/>
      <c r="Z260" s="27">
        <f>IF($D260="",0,IF(COUNTIF($D$5:$D260,$D260)=1,1,0))</f>
        <v>0</v>
      </c>
      <c r="AA260" s="27" t="str">
        <f>IF(Z260=1,SUM($Z$5:$Z260),"")</f>
        <v/>
      </c>
    </row>
    <row r="261" spans="1:27">
      <c r="A261" s="22"/>
      <c r="B261" s="22"/>
      <c r="C261" s="22"/>
      <c r="D261" s="22"/>
      <c r="E261" s="22"/>
      <c r="F261" s="23"/>
      <c r="G261" s="23"/>
      <c r="H261" s="24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6"/>
      <c r="U261" s="23" t="str">
        <f t="shared" si="27"/>
        <v/>
      </c>
      <c r="V261" s="22" t="str">
        <f t="shared" si="28"/>
        <v/>
      </c>
      <c r="W261" s="18" t="str">
        <f t="shared" si="29"/>
        <v/>
      </c>
      <c r="X261" s="22"/>
      <c r="Y261" s="22"/>
      <c r="Z261" s="27">
        <f>IF($D261="",0,IF(COUNTIF($D$5:$D261,$D261)=1,1,0))</f>
        <v>0</v>
      </c>
      <c r="AA261" s="27" t="str">
        <f>IF(Z261=1,SUM($Z$5:$Z261),"")</f>
        <v/>
      </c>
    </row>
    <row r="262" spans="1:27">
      <c r="A262" s="22"/>
      <c r="B262" s="22"/>
      <c r="C262" s="22"/>
      <c r="D262" s="22"/>
      <c r="E262" s="22"/>
      <c r="F262" s="23"/>
      <c r="G262" s="23"/>
      <c r="H262" s="24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6"/>
      <c r="U262" s="23" t="str">
        <f t="shared" si="27"/>
        <v/>
      </c>
      <c r="V262" s="22" t="str">
        <f t="shared" si="28"/>
        <v/>
      </c>
      <c r="W262" s="18" t="str">
        <f t="shared" si="29"/>
        <v/>
      </c>
      <c r="X262" s="22"/>
      <c r="Y262" s="22"/>
      <c r="Z262" s="27">
        <f>IF($D262="",0,IF(COUNTIF($D$5:$D262,$D262)=1,1,0))</f>
        <v>0</v>
      </c>
      <c r="AA262" s="27" t="str">
        <f>IF(Z262=1,SUM($Z$5:$Z262),"")</f>
        <v/>
      </c>
    </row>
    <row r="263" spans="1:27">
      <c r="A263" s="22"/>
      <c r="B263" s="22"/>
      <c r="C263" s="22"/>
      <c r="D263" s="22"/>
      <c r="E263" s="22"/>
      <c r="F263" s="23"/>
      <c r="G263" s="23"/>
      <c r="H263" s="24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6"/>
      <c r="U263" s="23" t="str">
        <f t="shared" si="27"/>
        <v/>
      </c>
      <c r="V263" s="22" t="str">
        <f t="shared" si="28"/>
        <v/>
      </c>
      <c r="W263" s="18" t="str">
        <f t="shared" si="29"/>
        <v/>
      </c>
      <c r="X263" s="22"/>
      <c r="Y263" s="22"/>
      <c r="Z263" s="27">
        <f>IF($D263="",0,IF(COUNTIF($D$5:$D263,$D263)=1,1,0))</f>
        <v>0</v>
      </c>
      <c r="AA263" s="27" t="str">
        <f>IF(Z263=1,SUM($Z$5:$Z263),"")</f>
        <v/>
      </c>
    </row>
    <row r="264" spans="1:27">
      <c r="A264" s="22"/>
      <c r="B264" s="22"/>
      <c r="C264" s="22"/>
      <c r="D264" s="22"/>
      <c r="E264" s="22"/>
      <c r="F264" s="23"/>
      <c r="G264" s="23"/>
      <c r="H264" s="24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6"/>
      <c r="U264" s="23" t="str">
        <f t="shared" si="27"/>
        <v/>
      </c>
      <c r="V264" s="22" t="str">
        <f t="shared" si="28"/>
        <v/>
      </c>
      <c r="W264" s="18" t="str">
        <f t="shared" si="29"/>
        <v/>
      </c>
      <c r="X264" s="22"/>
      <c r="Y264" s="22"/>
      <c r="Z264" s="27">
        <f>IF($D264="",0,IF(COUNTIF($D$5:$D264,$D264)=1,1,0))</f>
        <v>0</v>
      </c>
      <c r="AA264" s="27" t="str">
        <f>IF(Z264=1,SUM($Z$5:$Z264),"")</f>
        <v/>
      </c>
    </row>
    <row r="265" spans="1:27">
      <c r="A265" s="22"/>
      <c r="B265" s="22"/>
      <c r="C265" s="22"/>
      <c r="D265" s="22"/>
      <c r="E265" s="22"/>
      <c r="F265" s="23"/>
      <c r="G265" s="23"/>
      <c r="H265" s="24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6"/>
      <c r="U265" s="23" t="str">
        <f t="shared" si="27"/>
        <v/>
      </c>
      <c r="V265" s="22" t="str">
        <f t="shared" si="28"/>
        <v/>
      </c>
      <c r="W265" s="18" t="str">
        <f t="shared" si="29"/>
        <v/>
      </c>
      <c r="X265" s="22"/>
      <c r="Y265" s="22"/>
      <c r="Z265" s="27">
        <f>IF($D265="",0,IF(COUNTIF($D$5:$D265,$D265)=1,1,0))</f>
        <v>0</v>
      </c>
      <c r="AA265" s="27" t="str">
        <f>IF(Z265=1,SUM($Z$5:$Z265),"")</f>
        <v/>
      </c>
    </row>
    <row r="266" spans="1:27">
      <c r="A266" s="22"/>
      <c r="B266" s="22"/>
      <c r="C266" s="22"/>
      <c r="D266" s="22"/>
      <c r="E266" s="22"/>
      <c r="F266" s="23"/>
      <c r="G266" s="23"/>
      <c r="H266" s="24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6"/>
      <c r="U266" s="23" t="str">
        <f t="shared" si="27"/>
        <v/>
      </c>
      <c r="V266" s="22" t="str">
        <f t="shared" si="28"/>
        <v/>
      </c>
      <c r="W266" s="18" t="str">
        <f t="shared" si="29"/>
        <v/>
      </c>
      <c r="X266" s="22"/>
      <c r="Y266" s="22"/>
      <c r="Z266" s="27">
        <f>IF($D266="",0,IF(COUNTIF($D$5:$D266,$D266)=1,1,0))</f>
        <v>0</v>
      </c>
      <c r="AA266" s="27" t="str">
        <f>IF(Z266=1,SUM($Z$5:$Z266),"")</f>
        <v/>
      </c>
    </row>
    <row r="267" spans="1:27">
      <c r="A267" s="22"/>
      <c r="B267" s="22"/>
      <c r="C267" s="22"/>
      <c r="D267" s="22"/>
      <c r="E267" s="22"/>
      <c r="F267" s="23"/>
      <c r="G267" s="23"/>
      <c r="H267" s="24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6"/>
      <c r="U267" s="23" t="str">
        <f t="shared" si="27"/>
        <v/>
      </c>
      <c r="V267" s="22" t="str">
        <f t="shared" si="28"/>
        <v/>
      </c>
      <c r="W267" s="18" t="str">
        <f t="shared" si="29"/>
        <v/>
      </c>
      <c r="X267" s="22"/>
      <c r="Y267" s="22"/>
      <c r="Z267" s="27">
        <f>IF($D267="",0,IF(COUNTIF($D$5:$D267,$D267)=1,1,0))</f>
        <v>0</v>
      </c>
      <c r="AA267" s="27" t="str">
        <f>IF(Z267=1,SUM($Z$5:$Z267),"")</f>
        <v/>
      </c>
    </row>
    <row r="268" spans="1:27">
      <c r="A268" s="22"/>
      <c r="B268" s="22"/>
      <c r="C268" s="22"/>
      <c r="D268" s="22"/>
      <c r="E268" s="22"/>
      <c r="F268" s="23"/>
      <c r="G268" s="23"/>
      <c r="H268" s="24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6"/>
      <c r="U268" s="23" t="str">
        <f t="shared" si="27"/>
        <v/>
      </c>
      <c r="V268" s="22" t="str">
        <f t="shared" si="28"/>
        <v/>
      </c>
      <c r="W268" s="18" t="str">
        <f t="shared" si="29"/>
        <v/>
      </c>
      <c r="X268" s="22"/>
      <c r="Y268" s="22"/>
      <c r="Z268" s="27">
        <f>IF($D268="",0,IF(COUNTIF($D$5:$D268,$D268)=1,1,0))</f>
        <v>0</v>
      </c>
      <c r="AA268" s="27" t="str">
        <f>IF(Z268=1,SUM($Z$5:$Z268),"")</f>
        <v/>
      </c>
    </row>
    <row r="269" spans="1:27">
      <c r="A269" s="22"/>
      <c r="B269" s="22"/>
      <c r="C269" s="22"/>
      <c r="D269" s="22"/>
      <c r="E269" s="22"/>
      <c r="F269" s="23"/>
      <c r="G269" s="23"/>
      <c r="H269" s="24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6"/>
      <c r="U269" s="23" t="str">
        <f t="shared" si="27"/>
        <v/>
      </c>
      <c r="V269" s="22" t="str">
        <f t="shared" si="28"/>
        <v/>
      </c>
      <c r="W269" s="18" t="str">
        <f t="shared" si="29"/>
        <v/>
      </c>
      <c r="X269" s="22"/>
      <c r="Y269" s="22"/>
      <c r="Z269" s="27">
        <f>IF($D269="",0,IF(COUNTIF($D$5:$D269,$D269)=1,1,0))</f>
        <v>0</v>
      </c>
      <c r="AA269" s="27" t="str">
        <f>IF(Z269=1,SUM($Z$5:$Z269),"")</f>
        <v/>
      </c>
    </row>
    <row r="270" spans="1:27">
      <c r="A270" s="22"/>
      <c r="B270" s="22"/>
      <c r="C270" s="22"/>
      <c r="D270" s="22"/>
      <c r="E270" s="22"/>
      <c r="F270" s="23"/>
      <c r="G270" s="23"/>
      <c r="H270" s="24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6"/>
      <c r="U270" s="23" t="str">
        <f t="shared" si="27"/>
        <v/>
      </c>
      <c r="V270" s="22" t="str">
        <f t="shared" si="28"/>
        <v/>
      </c>
      <c r="W270" s="18" t="str">
        <f t="shared" si="29"/>
        <v/>
      </c>
      <c r="X270" s="22"/>
      <c r="Y270" s="22"/>
      <c r="Z270" s="27">
        <f>IF($D270="",0,IF(COUNTIF($D$5:$D270,$D270)=1,1,0))</f>
        <v>0</v>
      </c>
      <c r="AA270" s="27" t="str">
        <f>IF(Z270=1,SUM($Z$5:$Z270),"")</f>
        <v/>
      </c>
    </row>
    <row r="271" spans="1:27">
      <c r="A271" s="22"/>
      <c r="B271" s="22"/>
      <c r="C271" s="22"/>
      <c r="D271" s="22"/>
      <c r="E271" s="22"/>
      <c r="F271" s="23"/>
      <c r="G271" s="23"/>
      <c r="H271" s="24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6"/>
      <c r="U271" s="23" t="str">
        <f t="shared" si="27"/>
        <v/>
      </c>
      <c r="V271" s="22" t="str">
        <f t="shared" si="28"/>
        <v/>
      </c>
      <c r="W271" s="18" t="str">
        <f t="shared" si="29"/>
        <v/>
      </c>
      <c r="X271" s="22"/>
      <c r="Y271" s="22"/>
      <c r="Z271" s="27">
        <f>IF($D271="",0,IF(COUNTIF($D$5:$D271,$D271)=1,1,0))</f>
        <v>0</v>
      </c>
      <c r="AA271" s="27" t="str">
        <f>IF(Z271=1,SUM($Z$5:$Z271),"")</f>
        <v/>
      </c>
    </row>
    <row r="272" spans="1:27">
      <c r="A272" s="22"/>
      <c r="B272" s="22"/>
      <c r="C272" s="22"/>
      <c r="D272" s="22"/>
      <c r="E272" s="22"/>
      <c r="F272" s="23"/>
      <c r="G272" s="23"/>
      <c r="H272" s="24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6"/>
      <c r="U272" s="23" t="str">
        <f t="shared" si="27"/>
        <v/>
      </c>
      <c r="V272" s="22" t="str">
        <f t="shared" si="28"/>
        <v/>
      </c>
      <c r="W272" s="18" t="str">
        <f t="shared" si="29"/>
        <v/>
      </c>
      <c r="X272" s="22"/>
      <c r="Y272" s="22"/>
      <c r="Z272" s="27">
        <f>IF($D272="",0,IF(COUNTIF($D$5:$D272,$D272)=1,1,0))</f>
        <v>0</v>
      </c>
      <c r="AA272" s="27" t="str">
        <f>IF(Z272=1,SUM($Z$5:$Z272),"")</f>
        <v/>
      </c>
    </row>
    <row r="273" spans="1:27">
      <c r="A273" s="22"/>
      <c r="B273" s="22"/>
      <c r="C273" s="22"/>
      <c r="D273" s="22"/>
      <c r="E273" s="22"/>
      <c r="F273" s="23"/>
      <c r="G273" s="23"/>
      <c r="H273" s="24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6"/>
      <c r="U273" s="23" t="str">
        <f t="shared" si="27"/>
        <v/>
      </c>
      <c r="V273" s="22" t="str">
        <f t="shared" si="28"/>
        <v/>
      </c>
      <c r="W273" s="18" t="str">
        <f t="shared" si="29"/>
        <v/>
      </c>
      <c r="X273" s="22"/>
      <c r="Y273" s="22"/>
      <c r="Z273" s="27">
        <f>IF($D273="",0,IF(COUNTIF($D$5:$D273,$D273)=1,1,0))</f>
        <v>0</v>
      </c>
      <c r="AA273" s="27" t="str">
        <f>IF(Z273=1,SUM($Z$5:$Z273),"")</f>
        <v/>
      </c>
    </row>
    <row r="274" spans="1:27">
      <c r="A274" s="22"/>
      <c r="B274" s="22"/>
      <c r="C274" s="22"/>
      <c r="D274" s="22"/>
      <c r="E274" s="22"/>
      <c r="F274" s="23"/>
      <c r="G274" s="23"/>
      <c r="H274" s="24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6"/>
      <c r="U274" s="23" t="str">
        <f t="shared" si="27"/>
        <v/>
      </c>
      <c r="V274" s="22" t="str">
        <f t="shared" si="28"/>
        <v/>
      </c>
      <c r="W274" s="18" t="str">
        <f t="shared" si="29"/>
        <v/>
      </c>
      <c r="X274" s="22"/>
      <c r="Y274" s="22"/>
      <c r="Z274" s="27">
        <f>IF($D274="",0,IF(COUNTIF($D$5:$D274,$D274)=1,1,0))</f>
        <v>0</v>
      </c>
      <c r="AA274" s="27" t="str">
        <f>IF(Z274=1,SUM($Z$5:$Z274),"")</f>
        <v/>
      </c>
    </row>
    <row r="275" spans="1:27">
      <c r="A275" s="22"/>
      <c r="B275" s="22"/>
      <c r="C275" s="22"/>
      <c r="D275" s="22"/>
      <c r="E275" s="22"/>
      <c r="F275" s="23"/>
      <c r="G275" s="23"/>
      <c r="H275" s="24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6"/>
      <c r="U275" s="23" t="str">
        <f t="shared" si="27"/>
        <v/>
      </c>
      <c r="V275" s="22" t="str">
        <f t="shared" si="28"/>
        <v/>
      </c>
      <c r="W275" s="18" t="str">
        <f t="shared" si="29"/>
        <v/>
      </c>
      <c r="X275" s="22"/>
      <c r="Y275" s="22"/>
      <c r="Z275" s="27">
        <f>IF($D275="",0,IF(COUNTIF($D$5:$D275,$D275)=1,1,0))</f>
        <v>0</v>
      </c>
      <c r="AA275" s="27" t="str">
        <f>IF(Z275=1,SUM($Z$5:$Z275),"")</f>
        <v/>
      </c>
    </row>
    <row r="276" spans="1:27">
      <c r="A276" s="22"/>
      <c r="B276" s="22"/>
      <c r="C276" s="22"/>
      <c r="D276" s="22"/>
      <c r="E276" s="22"/>
      <c r="F276" s="23"/>
      <c r="G276" s="23"/>
      <c r="H276" s="24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6"/>
      <c r="U276" s="23" t="str">
        <f t="shared" si="27"/>
        <v/>
      </c>
      <c r="V276" s="22" t="str">
        <f t="shared" si="28"/>
        <v/>
      </c>
      <c r="W276" s="18" t="str">
        <f t="shared" si="29"/>
        <v/>
      </c>
      <c r="X276" s="22"/>
      <c r="Y276" s="22"/>
      <c r="Z276" s="27">
        <f>IF($D276="",0,IF(COUNTIF($D$5:$D276,$D276)=1,1,0))</f>
        <v>0</v>
      </c>
      <c r="AA276" s="27" t="str">
        <f>IF(Z276=1,SUM($Z$5:$Z276),"")</f>
        <v/>
      </c>
    </row>
    <row r="277" spans="1:27">
      <c r="A277" s="22"/>
      <c r="B277" s="22"/>
      <c r="C277" s="22"/>
      <c r="D277" s="22"/>
      <c r="E277" s="22"/>
      <c r="F277" s="23"/>
      <c r="G277" s="23"/>
      <c r="H277" s="24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6"/>
      <c r="U277" s="23" t="str">
        <f t="shared" si="27"/>
        <v/>
      </c>
      <c r="V277" s="22" t="str">
        <f t="shared" si="28"/>
        <v/>
      </c>
      <c r="W277" s="18" t="str">
        <f t="shared" si="29"/>
        <v/>
      </c>
      <c r="X277" s="22"/>
      <c r="Y277" s="22"/>
      <c r="Z277" s="27">
        <f>IF($D277="",0,IF(COUNTIF($D$5:$D277,$D277)=1,1,0))</f>
        <v>0</v>
      </c>
      <c r="AA277" s="27" t="str">
        <f>IF(Z277=1,SUM($Z$5:$Z277),"")</f>
        <v/>
      </c>
    </row>
    <row r="278" spans="1:27">
      <c r="A278" s="22"/>
      <c r="B278" s="22"/>
      <c r="C278" s="22"/>
      <c r="D278" s="22"/>
      <c r="E278" s="22"/>
      <c r="F278" s="23"/>
      <c r="G278" s="23"/>
      <c r="H278" s="24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6"/>
      <c r="U278" s="23" t="str">
        <f t="shared" si="27"/>
        <v/>
      </c>
      <c r="V278" s="22" t="str">
        <f t="shared" si="28"/>
        <v/>
      </c>
      <c r="W278" s="18" t="str">
        <f t="shared" si="29"/>
        <v/>
      </c>
      <c r="X278" s="22"/>
      <c r="Y278" s="22"/>
      <c r="Z278" s="27">
        <f>IF($D278="",0,IF(COUNTIF($D$5:$D278,$D278)=1,1,0))</f>
        <v>0</v>
      </c>
      <c r="AA278" s="27" t="str">
        <f>IF(Z278=1,SUM($Z$5:$Z278),"")</f>
        <v/>
      </c>
    </row>
    <row r="279" spans="1:27">
      <c r="A279" s="28"/>
      <c r="B279" s="22"/>
      <c r="C279" s="22"/>
      <c r="D279" s="22"/>
      <c r="E279" s="22"/>
      <c r="F279" s="23"/>
      <c r="G279" s="23"/>
      <c r="H279" s="24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6"/>
      <c r="U279" s="23" t="str">
        <f t="shared" si="27"/>
        <v/>
      </c>
      <c r="V279" s="22" t="str">
        <f t="shared" si="28"/>
        <v/>
      </c>
      <c r="W279" s="18" t="str">
        <f t="shared" si="29"/>
        <v/>
      </c>
      <c r="X279" s="22"/>
      <c r="Y279" s="22"/>
      <c r="Z279" s="27">
        <f>IF($D279="",0,IF(COUNTIF($D$5:$D279,$D279)=1,1,0))</f>
        <v>0</v>
      </c>
      <c r="AA279" s="27" t="str">
        <f>IF(Z279=1,SUM($Z$5:$Z279),"")</f>
        <v/>
      </c>
    </row>
    <row r="280" spans="1:27">
      <c r="A280" s="28"/>
      <c r="B280" s="22"/>
      <c r="C280" s="22"/>
      <c r="D280" s="22"/>
      <c r="E280" s="22"/>
      <c r="F280" s="23"/>
      <c r="G280" s="23"/>
      <c r="H280" s="24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6"/>
      <c r="U280" s="23" t="str">
        <f t="shared" si="27"/>
        <v/>
      </c>
      <c r="V280" s="22" t="str">
        <f t="shared" si="28"/>
        <v/>
      </c>
      <c r="W280" s="18" t="str">
        <f t="shared" si="29"/>
        <v/>
      </c>
      <c r="X280" s="22"/>
      <c r="Y280" s="22"/>
      <c r="Z280" s="27">
        <f>IF($D280="",0,IF(COUNTIF($D$5:$D280,$D280)=1,1,0))</f>
        <v>0</v>
      </c>
      <c r="AA280" s="27" t="str">
        <f>IF(Z280=1,SUM($Z$5:$Z280),"")</f>
        <v/>
      </c>
    </row>
    <row r="281" spans="1:27">
      <c r="A281" s="28"/>
      <c r="B281" s="22"/>
      <c r="C281" s="22"/>
      <c r="D281" s="22"/>
      <c r="E281" s="22"/>
      <c r="F281" s="23"/>
      <c r="G281" s="23"/>
      <c r="H281" s="24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6"/>
      <c r="U281" s="23" t="str">
        <f t="shared" si="27"/>
        <v/>
      </c>
      <c r="V281" s="22" t="str">
        <f t="shared" si="28"/>
        <v/>
      </c>
      <c r="W281" s="18" t="str">
        <f t="shared" si="29"/>
        <v/>
      </c>
      <c r="X281" s="22"/>
      <c r="Y281" s="22"/>
      <c r="Z281" s="27">
        <f>IF($D281="",0,IF(COUNTIF($D$5:$D281,$D281)=1,1,0))</f>
        <v>0</v>
      </c>
      <c r="AA281" s="27" t="str">
        <f>IF(Z281=1,SUM($Z$5:$Z281),"")</f>
        <v/>
      </c>
    </row>
    <row r="282" spans="1:27">
      <c r="A282" s="28"/>
      <c r="B282" s="22"/>
      <c r="C282" s="22"/>
      <c r="D282" s="22"/>
      <c r="E282" s="22"/>
      <c r="F282" s="23"/>
      <c r="G282" s="23"/>
      <c r="H282" s="24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6"/>
      <c r="U282" s="23" t="str">
        <f t="shared" si="27"/>
        <v/>
      </c>
      <c r="V282" s="22" t="str">
        <f t="shared" si="28"/>
        <v/>
      </c>
      <c r="W282" s="18" t="str">
        <f t="shared" si="29"/>
        <v/>
      </c>
      <c r="X282" s="22"/>
      <c r="Y282" s="22"/>
      <c r="Z282" s="27">
        <f>IF($D282="",0,IF(COUNTIF($D$5:$D282,$D282)=1,1,0))</f>
        <v>0</v>
      </c>
      <c r="AA282" s="27" t="str">
        <f>IF(Z282=1,SUM($Z$5:$Z282),"")</f>
        <v/>
      </c>
    </row>
    <row r="283" spans="1:27">
      <c r="A283" s="28"/>
      <c r="B283" s="22"/>
      <c r="C283" s="22"/>
      <c r="D283" s="22"/>
      <c r="E283" s="22"/>
      <c r="F283" s="23"/>
      <c r="G283" s="23"/>
      <c r="H283" s="24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6"/>
      <c r="U283" s="23" t="str">
        <f t="shared" si="27"/>
        <v/>
      </c>
      <c r="V283" s="22" t="str">
        <f t="shared" si="28"/>
        <v/>
      </c>
      <c r="W283" s="18" t="str">
        <f t="shared" si="29"/>
        <v/>
      </c>
      <c r="X283" s="22"/>
      <c r="Y283" s="22"/>
      <c r="Z283" s="27">
        <f>IF($D283="",0,IF(COUNTIF($D$5:$D283,$D283)=1,1,0))</f>
        <v>0</v>
      </c>
      <c r="AA283" s="27" t="str">
        <f>IF(Z283=1,SUM($Z$5:$Z283),"")</f>
        <v/>
      </c>
    </row>
    <row r="284" spans="1:27">
      <c r="A284" s="28"/>
      <c r="B284" s="22"/>
      <c r="C284" s="22"/>
      <c r="D284" s="22"/>
      <c r="E284" s="22"/>
      <c r="F284" s="23"/>
      <c r="G284" s="23"/>
      <c r="H284" s="24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6"/>
      <c r="U284" s="23" t="str">
        <f t="shared" si="27"/>
        <v/>
      </c>
      <c r="V284" s="22" t="str">
        <f t="shared" si="28"/>
        <v/>
      </c>
      <c r="W284" s="18" t="str">
        <f t="shared" si="29"/>
        <v/>
      </c>
      <c r="X284" s="22"/>
      <c r="Y284" s="22"/>
      <c r="Z284" s="27">
        <f>IF($D284="",0,IF(COUNTIF($D$5:$D284,$D284)=1,1,0))</f>
        <v>0</v>
      </c>
      <c r="AA284" s="27" t="str">
        <f>IF(Z284=1,SUM($Z$5:$Z284),"")</f>
        <v/>
      </c>
    </row>
    <row r="285" spans="1:27">
      <c r="A285" s="28"/>
      <c r="B285" s="22"/>
      <c r="C285" s="22"/>
      <c r="D285" s="22"/>
      <c r="E285" s="22"/>
      <c r="F285" s="23"/>
      <c r="G285" s="23"/>
      <c r="H285" s="24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6"/>
      <c r="U285" s="23" t="str">
        <f t="shared" si="27"/>
        <v/>
      </c>
      <c r="V285" s="22" t="str">
        <f t="shared" si="28"/>
        <v/>
      </c>
      <c r="W285" s="18" t="str">
        <f t="shared" si="29"/>
        <v/>
      </c>
      <c r="X285" s="22"/>
      <c r="Y285" s="22"/>
      <c r="Z285" s="27">
        <f>IF($D285="",0,IF(COUNTIF($D$5:$D285,$D285)=1,1,0))</f>
        <v>0</v>
      </c>
      <c r="AA285" s="27" t="str">
        <f>IF(Z285=1,SUM($Z$5:$Z285),"")</f>
        <v/>
      </c>
    </row>
    <row r="286" spans="1:27">
      <c r="A286" s="28"/>
      <c r="B286" s="22"/>
      <c r="C286" s="22"/>
      <c r="D286" s="22"/>
      <c r="E286" s="22"/>
      <c r="F286" s="23"/>
      <c r="G286" s="23"/>
      <c r="H286" s="24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6"/>
      <c r="U286" s="23" t="str">
        <f t="shared" si="27"/>
        <v/>
      </c>
      <c r="V286" s="22" t="str">
        <f t="shared" si="28"/>
        <v/>
      </c>
      <c r="W286" s="18" t="str">
        <f t="shared" si="29"/>
        <v/>
      </c>
      <c r="X286" s="22"/>
      <c r="Y286" s="22"/>
      <c r="Z286" s="27">
        <f>IF($D286="",0,IF(COUNTIF($D$5:$D286,$D286)=1,1,0))</f>
        <v>0</v>
      </c>
      <c r="AA286" s="27" t="str">
        <f>IF(Z286=1,SUM($Z$5:$Z286),"")</f>
        <v/>
      </c>
    </row>
    <row r="287" spans="1:27">
      <c r="A287" s="28"/>
      <c r="B287" s="22"/>
      <c r="C287" s="22"/>
      <c r="D287" s="22"/>
      <c r="E287" s="22"/>
      <c r="F287" s="23"/>
      <c r="G287" s="23"/>
      <c r="H287" s="24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6"/>
      <c r="U287" s="23" t="str">
        <f t="shared" si="27"/>
        <v/>
      </c>
      <c r="V287" s="22" t="str">
        <f t="shared" si="28"/>
        <v/>
      </c>
      <c r="W287" s="18" t="str">
        <f t="shared" si="29"/>
        <v/>
      </c>
      <c r="X287" s="22"/>
      <c r="Y287" s="22"/>
      <c r="Z287" s="27">
        <f>IF($D287="",0,IF(COUNTIF($D$5:$D287,$D287)=1,1,0))</f>
        <v>0</v>
      </c>
      <c r="AA287" s="27" t="str">
        <f>IF(Z287=1,SUM($Z$5:$Z287),"")</f>
        <v/>
      </c>
    </row>
    <row r="288" spans="1:27">
      <c r="A288" s="28"/>
      <c r="B288" s="22"/>
      <c r="C288" s="22"/>
      <c r="D288" s="22"/>
      <c r="E288" s="22"/>
      <c r="F288" s="23"/>
      <c r="G288" s="23"/>
      <c r="H288" s="24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6"/>
      <c r="U288" s="23" t="str">
        <f t="shared" si="27"/>
        <v/>
      </c>
      <c r="V288" s="22" t="str">
        <f t="shared" si="28"/>
        <v/>
      </c>
      <c r="W288" s="18" t="str">
        <f t="shared" si="29"/>
        <v/>
      </c>
      <c r="X288" s="22"/>
      <c r="Y288" s="22"/>
      <c r="Z288" s="27">
        <f>IF($D288="",0,IF(COUNTIF($D$5:$D288,$D288)=1,1,0))</f>
        <v>0</v>
      </c>
      <c r="AA288" s="27" t="str">
        <f>IF(Z288=1,SUM($Z$5:$Z288),"")</f>
        <v/>
      </c>
    </row>
    <row r="289" spans="1:27">
      <c r="A289" s="28"/>
      <c r="B289" s="22"/>
      <c r="C289" s="22"/>
      <c r="D289" s="22"/>
      <c r="E289" s="22"/>
      <c r="F289" s="23"/>
      <c r="G289" s="23"/>
      <c r="H289" s="24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6"/>
      <c r="U289" s="23" t="str">
        <f t="shared" si="27"/>
        <v/>
      </c>
      <c r="V289" s="22" t="str">
        <f t="shared" si="28"/>
        <v/>
      </c>
      <c r="W289" s="18" t="str">
        <f t="shared" si="29"/>
        <v/>
      </c>
      <c r="X289" s="22"/>
      <c r="Y289" s="22"/>
      <c r="Z289" s="27">
        <f>IF($D289="",0,IF(COUNTIF($D$5:$D289,$D289)=1,1,0))</f>
        <v>0</v>
      </c>
      <c r="AA289" s="27" t="str">
        <f>IF(Z289=1,SUM($Z$5:$Z289),"")</f>
        <v/>
      </c>
    </row>
    <row r="290" spans="1:27">
      <c r="A290" s="28"/>
      <c r="B290" s="22"/>
      <c r="C290" s="22"/>
      <c r="D290" s="22"/>
      <c r="E290" s="22"/>
      <c r="F290" s="23"/>
      <c r="G290" s="23"/>
      <c r="H290" s="24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6"/>
      <c r="U290" s="23" t="str">
        <f t="shared" si="27"/>
        <v/>
      </c>
      <c r="V290" s="22" t="str">
        <f t="shared" si="28"/>
        <v/>
      </c>
      <c r="W290" s="18" t="str">
        <f t="shared" si="29"/>
        <v/>
      </c>
      <c r="X290" s="22"/>
      <c r="Y290" s="22"/>
      <c r="Z290" s="27">
        <f>IF($D290="",0,IF(COUNTIF($D$5:$D290,$D290)=1,1,0))</f>
        <v>0</v>
      </c>
      <c r="AA290" s="27" t="str">
        <f>IF(Z290=1,SUM($Z$5:$Z290),"")</f>
        <v/>
      </c>
    </row>
    <row r="291" spans="1:27">
      <c r="A291" s="28"/>
      <c r="B291" s="22"/>
      <c r="C291" s="22"/>
      <c r="D291" s="22"/>
      <c r="E291" s="22"/>
      <c r="F291" s="23"/>
      <c r="G291" s="23"/>
      <c r="H291" s="24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6"/>
      <c r="U291" s="23" t="str">
        <f t="shared" si="27"/>
        <v/>
      </c>
      <c r="V291" s="22" t="str">
        <f t="shared" si="28"/>
        <v/>
      </c>
      <c r="W291" s="18" t="str">
        <f t="shared" si="29"/>
        <v/>
      </c>
      <c r="X291" s="22"/>
      <c r="Y291" s="22"/>
      <c r="Z291" s="27">
        <f>IF($D291="",0,IF(COUNTIF($D$5:$D291,$D291)=1,1,0))</f>
        <v>0</v>
      </c>
      <c r="AA291" s="27" t="str">
        <f>IF(Z291=1,SUM($Z$5:$Z291),"")</f>
        <v/>
      </c>
    </row>
    <row r="292" spans="1:27">
      <c r="A292" s="28"/>
      <c r="B292" s="22"/>
      <c r="C292" s="22"/>
      <c r="D292" s="22"/>
      <c r="E292" s="22"/>
      <c r="F292" s="23"/>
      <c r="G292" s="23"/>
      <c r="H292" s="24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6"/>
      <c r="U292" s="23" t="str">
        <f t="shared" si="27"/>
        <v/>
      </c>
      <c r="V292" s="22" t="str">
        <f t="shared" si="28"/>
        <v/>
      </c>
      <c r="W292" s="18" t="str">
        <f t="shared" si="29"/>
        <v/>
      </c>
      <c r="X292" s="22"/>
      <c r="Y292" s="22"/>
      <c r="Z292" s="27">
        <f>IF($D292="",0,IF(COUNTIF($D$5:$D292,$D292)=1,1,0))</f>
        <v>0</v>
      </c>
      <c r="AA292" t="str">
        <f>IF(Z292=1,SUM($Z$5:$Z292),"")</f>
        <v/>
      </c>
    </row>
    <row r="293" spans="1:27">
      <c r="A293" s="28"/>
      <c r="B293" s="22"/>
      <c r="C293" s="22"/>
      <c r="D293" s="22"/>
      <c r="E293" s="22"/>
      <c r="F293" s="23"/>
      <c r="G293" s="23"/>
      <c r="H293" s="24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6"/>
      <c r="U293" s="23" t="str">
        <f t="shared" si="27"/>
        <v/>
      </c>
      <c r="V293" s="22" t="str">
        <f t="shared" si="28"/>
        <v/>
      </c>
      <c r="W293" s="18" t="str">
        <f t="shared" si="29"/>
        <v/>
      </c>
      <c r="X293" s="22"/>
      <c r="Y293" s="22"/>
      <c r="Z293" s="27">
        <f>IF($D293="",0,IF(COUNTIF($D$5:$D293,$D293)=1,1,0))</f>
        <v>0</v>
      </c>
      <c r="AA293" t="str">
        <f>IF(Z293=1,SUM($Z$5:$Z293),"")</f>
        <v/>
      </c>
    </row>
    <row r="294" spans="1:27">
      <c r="A294" s="28"/>
      <c r="B294" s="22"/>
      <c r="C294" s="22"/>
      <c r="D294" s="22"/>
      <c r="E294" s="22"/>
      <c r="F294" s="23"/>
      <c r="G294" s="23"/>
      <c r="H294" s="24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6"/>
      <c r="U294" s="23" t="str">
        <f t="shared" si="27"/>
        <v/>
      </c>
      <c r="V294" s="22" t="str">
        <f t="shared" si="28"/>
        <v/>
      </c>
      <c r="W294" s="18" t="str">
        <f t="shared" si="29"/>
        <v/>
      </c>
      <c r="X294" s="22"/>
      <c r="Y294" s="22"/>
      <c r="Z294" s="27">
        <f>IF($D294="",0,IF(COUNTIF($D$5:$D294,$D294)=1,1,0))</f>
        <v>0</v>
      </c>
      <c r="AA294" t="str">
        <f>IF(Z294=1,SUM($Z$5:$Z294),"")</f>
        <v/>
      </c>
    </row>
    <row r="295" spans="1:27">
      <c r="A295" s="28"/>
      <c r="B295" s="22"/>
      <c r="C295" s="22"/>
      <c r="D295" s="22"/>
      <c r="E295" s="22"/>
      <c r="F295" s="23"/>
      <c r="G295" s="23"/>
      <c r="H295" s="24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6"/>
      <c r="U295" s="23" t="str">
        <f t="shared" si="27"/>
        <v/>
      </c>
      <c r="V295" s="22" t="str">
        <f t="shared" si="28"/>
        <v/>
      </c>
      <c r="W295" s="18" t="str">
        <f t="shared" si="29"/>
        <v/>
      </c>
      <c r="X295" s="22"/>
      <c r="Y295" s="22"/>
      <c r="Z295" s="27">
        <f>IF($D295="",0,IF(COUNTIF($D$5:$D295,$D295)=1,1,0))</f>
        <v>0</v>
      </c>
      <c r="AA295" t="str">
        <f>IF(Z295=1,SUM($Z$5:$Z295),"")</f>
        <v/>
      </c>
    </row>
    <row r="296" spans="1:27">
      <c r="A296" s="28"/>
      <c r="B296" s="22"/>
      <c r="C296" s="22"/>
      <c r="D296" s="22"/>
      <c r="E296" s="22"/>
      <c r="F296" s="23"/>
      <c r="G296" s="23"/>
      <c r="H296" s="24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6"/>
      <c r="U296" s="23" t="str">
        <f t="shared" si="27"/>
        <v/>
      </c>
      <c r="V296" s="22" t="str">
        <f t="shared" si="28"/>
        <v/>
      </c>
      <c r="W296" s="18" t="str">
        <f t="shared" si="29"/>
        <v/>
      </c>
      <c r="X296" s="22"/>
      <c r="Y296" s="22"/>
      <c r="Z296" s="27">
        <f>IF($D296="",0,IF(COUNTIF($D$5:$D296,$D296)=1,1,0))</f>
        <v>0</v>
      </c>
      <c r="AA296" t="str">
        <f>IF(Z296=1,SUM($Z$5:$Z296),"")</f>
        <v/>
      </c>
    </row>
    <row r="297" spans="1:27">
      <c r="A297" s="28"/>
      <c r="B297" s="22"/>
      <c r="C297" s="22"/>
      <c r="D297" s="22"/>
      <c r="E297" s="22"/>
      <c r="F297" s="23"/>
      <c r="G297" s="23"/>
      <c r="H297" s="24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6"/>
      <c r="U297" s="23" t="str">
        <f t="shared" si="27"/>
        <v/>
      </c>
      <c r="V297" s="22" t="str">
        <f t="shared" si="28"/>
        <v/>
      </c>
      <c r="W297" s="18" t="str">
        <f t="shared" si="29"/>
        <v/>
      </c>
      <c r="X297" s="22"/>
      <c r="Y297" s="22"/>
      <c r="Z297" s="27">
        <f>IF($D297="",0,IF(COUNTIF($D$5:$D297,$D297)=1,1,0))</f>
        <v>0</v>
      </c>
      <c r="AA297" t="str">
        <f>IF(Z297=1,SUM($Z$5:$Z297),"")</f>
        <v/>
      </c>
    </row>
    <row r="298" spans="1:27">
      <c r="A298" s="28"/>
      <c r="B298" s="22"/>
      <c r="C298" s="22"/>
      <c r="D298" s="22"/>
      <c r="E298" s="22"/>
      <c r="F298" s="23"/>
      <c r="G298" s="23"/>
      <c r="H298" s="24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6"/>
      <c r="U298" s="23" t="str">
        <f t="shared" si="27"/>
        <v/>
      </c>
      <c r="V298" s="22" t="str">
        <f t="shared" si="28"/>
        <v/>
      </c>
      <c r="W298" s="18" t="str">
        <f t="shared" si="29"/>
        <v/>
      </c>
      <c r="X298" s="22"/>
      <c r="Y298" s="22"/>
      <c r="Z298" s="27">
        <f>IF($D298="",0,IF(COUNTIF($D$5:$D298,$D298)=1,1,0))</f>
        <v>0</v>
      </c>
      <c r="AA298" t="str">
        <f>IF(Z298=1,SUM($Z$5:$Z298),"")</f>
        <v/>
      </c>
    </row>
    <row r="299" spans="1:27">
      <c r="A299" s="28"/>
      <c r="B299" s="22"/>
      <c r="C299" s="22"/>
      <c r="D299" s="22"/>
      <c r="E299" s="22"/>
      <c r="F299" s="23"/>
      <c r="G299" s="23"/>
      <c r="H299" s="24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6"/>
      <c r="U299" s="23" t="str">
        <f t="shared" si="27"/>
        <v/>
      </c>
      <c r="V299" s="22" t="str">
        <f t="shared" si="28"/>
        <v/>
      </c>
      <c r="W299" s="18" t="str">
        <f t="shared" si="29"/>
        <v/>
      </c>
      <c r="X299" s="22"/>
      <c r="Y299" s="22"/>
      <c r="Z299" s="27">
        <f>IF($D299="",0,IF(COUNTIF($D$5:$D299,$D299)=1,1,0))</f>
        <v>0</v>
      </c>
      <c r="AA299" t="str">
        <f>IF(Z299=1,SUM($Z$5:$Z299),"")</f>
        <v/>
      </c>
    </row>
    <row r="300" spans="1:27">
      <c r="A300" s="28"/>
      <c r="B300" s="22"/>
      <c r="C300" s="22"/>
      <c r="D300" s="22"/>
      <c r="E300" s="22"/>
      <c r="F300" s="23"/>
      <c r="G300" s="23"/>
      <c r="H300" s="24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6"/>
      <c r="U300" s="23" t="str">
        <f t="shared" si="27"/>
        <v/>
      </c>
      <c r="V300" s="22" t="str">
        <f t="shared" si="28"/>
        <v/>
      </c>
      <c r="W300" s="18" t="str">
        <f t="shared" si="29"/>
        <v/>
      </c>
      <c r="X300" s="22"/>
      <c r="Y300" s="22"/>
      <c r="Z300" s="27">
        <f>IF($D300="",0,IF(COUNTIF($D$5:$D300,$D300)=1,1,0))</f>
        <v>0</v>
      </c>
      <c r="AA300" t="str">
        <f>IF(Z300=1,SUM($Z$5:$Z300),"")</f>
        <v/>
      </c>
    </row>
    <row r="301" spans="1:27">
      <c r="A301" s="28"/>
      <c r="B301" s="22"/>
      <c r="C301" s="22"/>
      <c r="D301" s="22"/>
      <c r="E301" s="22"/>
      <c r="F301" s="23"/>
      <c r="G301" s="23"/>
      <c r="H301" s="24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6"/>
      <c r="U301" s="23" t="str">
        <f t="shared" si="27"/>
        <v/>
      </c>
      <c r="V301" s="22" t="str">
        <f t="shared" si="28"/>
        <v/>
      </c>
      <c r="W301" s="18" t="str">
        <f t="shared" si="29"/>
        <v/>
      </c>
      <c r="X301" s="22"/>
      <c r="Y301" s="22"/>
      <c r="Z301" s="27">
        <f>IF($D301="",0,IF(COUNTIF($D$5:$D301,$D301)=1,1,0))</f>
        <v>0</v>
      </c>
      <c r="AA301" t="str">
        <f>IF(Z301=1,SUM($Z$5:$Z301),"")</f>
        <v/>
      </c>
    </row>
    <row r="302" spans="1:27">
      <c r="A302" s="28"/>
      <c r="U302" s="23" t="str">
        <f>IF($E302="","",COUNTIF($I302:$S302,"V"))</f>
        <v/>
      </c>
      <c r="V302" s="22" t="str">
        <f>IF($E302="","",IF(AND($T302="V",$U302&gt;0),"⚠ 勾選矛盾",IF($T302="V","○ 免調理",IF($U302=0,"⚠ 資料缺漏",IF($U302=1,"▲ 單一設備依賴","OK")))))</f>
        <v/>
      </c>
      <c r="W302" s="18" t="str">
        <f>IF($E302="","",IF(AND($T302="V",$U302&gt;0),"「無使用調理設備」不可與設備欄同時勾選，請擇一修正",IF($T302="V","免調理半成品（外購/僅切配等），不列入設備風險評估",IF($U302=0,"未勾選任何設備，請補填或勾選「無使用調理設備」",IF($U302=1,"僅依賴1台設備，須確認故障/排修時之備援製程","無異常")))))</f>
        <v/>
      </c>
      <c r="Z302" s="27">
        <f>IF($D302="",0,IF(COUNTIF($D$5:$D302,$D302)=1,1,0))</f>
        <v>0</v>
      </c>
      <c r="AA302" t="str">
        <f>IF(Z302=1,SUM($Z$5:$Z302),"")</f>
        <v/>
      </c>
    </row>
  </sheetData>
  <autoFilter ref="A4:Y302"/>
  <mergeCells count="29">
    <mergeCell ref="X2:Y2"/>
    <mergeCell ref="B3:B4"/>
    <mergeCell ref="C3:C4"/>
    <mergeCell ref="D3:D4"/>
    <mergeCell ref="E3:E4"/>
    <mergeCell ref="F3:G3"/>
    <mergeCell ref="H3:H4"/>
    <mergeCell ref="I3:I4"/>
    <mergeCell ref="J3:J4"/>
    <mergeCell ref="K3:K4"/>
    <mergeCell ref="L3:L4"/>
    <mergeCell ref="M3:M4"/>
    <mergeCell ref="N3:N4"/>
    <mergeCell ref="A3:A4"/>
    <mergeCell ref="A1:Y1"/>
    <mergeCell ref="A2:H2"/>
    <mergeCell ref="Y3:Y4"/>
    <mergeCell ref="R3:R4"/>
    <mergeCell ref="S3:S4"/>
    <mergeCell ref="T3:T4"/>
    <mergeCell ref="U3:U4"/>
    <mergeCell ref="V3:V4"/>
    <mergeCell ref="O3:O4"/>
    <mergeCell ref="P3:P4"/>
    <mergeCell ref="Q3:Q4"/>
    <mergeCell ref="W3:W4"/>
    <mergeCell ref="X3:X4"/>
    <mergeCell ref="I2:T2"/>
    <mergeCell ref="U2:W2"/>
  </mergeCells>
  <phoneticPr fontId="27" type="noConversion"/>
  <conditionalFormatting sqref="V184:V301 V51:V55 V66:V173 V5:V46">
    <cfRule type="expression" dxfId="55" priority="40">
      <formula>ISNUMBER(SEARCH("⚠",$V5))</formula>
    </cfRule>
    <cfRule type="expression" dxfId="54" priority="41">
      <formula>$V5="▲ 單一設備依賴"</formula>
    </cfRule>
    <cfRule type="expression" dxfId="53" priority="42">
      <formula>$V5="○ 免調理"</formula>
    </cfRule>
    <cfRule type="expression" dxfId="52" priority="43">
      <formula>$V5="OK"</formula>
    </cfRule>
  </conditionalFormatting>
  <conditionalFormatting sqref="B184:F184 E185:F186 E187:H192 B185:D194 E193:F194 G193:H202 B195:F202 B203:H301 B51:H55 G184:H186 B66:H173 B5:E46">
    <cfRule type="expression" dxfId="51" priority="44">
      <formula>ISNUMBER(SEARCH("⚠",$V5))</formula>
    </cfRule>
  </conditionalFormatting>
  <conditionalFormatting sqref="F5:H46">
    <cfRule type="expression" dxfId="50" priority="38">
      <formula>ISNUMBER(SEARCH("⚠",$V5))</formula>
    </cfRule>
  </conditionalFormatting>
  <conditionalFormatting sqref="V174:V178">
    <cfRule type="expression" dxfId="49" priority="33">
      <formula>ISNUMBER(SEARCH("⚠",$V174))</formula>
    </cfRule>
    <cfRule type="expression" dxfId="48" priority="34">
      <formula>$V174="▲ 單一設備依賴"</formula>
    </cfRule>
    <cfRule type="expression" dxfId="47" priority="35">
      <formula>$V174="○ 免調理"</formula>
    </cfRule>
    <cfRule type="expression" dxfId="46" priority="36">
      <formula>$V174="OK"</formula>
    </cfRule>
  </conditionalFormatting>
  <conditionalFormatting sqref="B174:E178">
    <cfRule type="expression" dxfId="45" priority="37">
      <formula>ISNUMBER(SEARCH("⚠",$V174))</formula>
    </cfRule>
  </conditionalFormatting>
  <conditionalFormatting sqref="F174:H178">
    <cfRule type="expression" dxfId="44" priority="32">
      <formula>ISNUMBER(SEARCH("⚠",$V174))</formula>
    </cfRule>
  </conditionalFormatting>
  <conditionalFormatting sqref="V179:V183">
    <cfRule type="expression" dxfId="43" priority="27">
      <formula>ISNUMBER(SEARCH("⚠",$V179))</formula>
    </cfRule>
    <cfRule type="expression" dxfId="42" priority="28">
      <formula>$V179="▲ 單一設備依賴"</formula>
    </cfRule>
    <cfRule type="expression" dxfId="41" priority="29">
      <formula>$V179="○ 免調理"</formula>
    </cfRule>
    <cfRule type="expression" dxfId="40" priority="30">
      <formula>$V179="OK"</formula>
    </cfRule>
  </conditionalFormatting>
  <conditionalFormatting sqref="B179:E183">
    <cfRule type="expression" dxfId="39" priority="31">
      <formula>ISNUMBER(SEARCH("⚠",$V179))</formula>
    </cfRule>
  </conditionalFormatting>
  <conditionalFormatting sqref="F179:H183">
    <cfRule type="expression" dxfId="38" priority="26">
      <formula>ISNUMBER(SEARCH("⚠",$V179))</formula>
    </cfRule>
  </conditionalFormatting>
  <conditionalFormatting sqref="V47:V50">
    <cfRule type="expression" dxfId="37" priority="21">
      <formula>ISNUMBER(SEARCH("⚠",$V47))</formula>
    </cfRule>
    <cfRule type="expression" dxfId="36" priority="22">
      <formula>$V47="▲ 單一設備依賴"</formula>
    </cfRule>
    <cfRule type="expression" dxfId="35" priority="23">
      <formula>$V47="○ 免調理"</formula>
    </cfRule>
    <cfRule type="expression" dxfId="34" priority="24">
      <formula>$V47="OK"</formula>
    </cfRule>
  </conditionalFormatting>
  <conditionalFormatting sqref="B47:H50">
    <cfRule type="expression" dxfId="33" priority="25">
      <formula>ISNUMBER(SEARCH("⚠",$V47))</formula>
    </cfRule>
  </conditionalFormatting>
  <conditionalFormatting sqref="V56:V58">
    <cfRule type="expression" dxfId="32" priority="16">
      <formula>ISNUMBER(SEARCH("⚠",$V56))</formula>
    </cfRule>
    <cfRule type="expression" dxfId="31" priority="17">
      <formula>$V56="▲ 單一設備依賴"</formula>
    </cfRule>
    <cfRule type="expression" dxfId="30" priority="18">
      <formula>$V56="○ 免調理"</formula>
    </cfRule>
    <cfRule type="expression" dxfId="29" priority="19">
      <formula>$V56="OK"</formula>
    </cfRule>
  </conditionalFormatting>
  <conditionalFormatting sqref="B56:H58">
    <cfRule type="expression" dxfId="28" priority="20">
      <formula>ISNUMBER(SEARCH("⚠",$V56))</formula>
    </cfRule>
  </conditionalFormatting>
  <conditionalFormatting sqref="V59:V62">
    <cfRule type="expression" dxfId="27" priority="11">
      <formula>ISNUMBER(SEARCH("⚠",$V59))</formula>
    </cfRule>
    <cfRule type="expression" dxfId="26" priority="12">
      <formula>$V59="▲ 單一設備依賴"</formula>
    </cfRule>
    <cfRule type="expression" dxfId="25" priority="13">
      <formula>$V59="○ 免調理"</formula>
    </cfRule>
    <cfRule type="expression" dxfId="24" priority="14">
      <formula>$V59="OK"</formula>
    </cfRule>
  </conditionalFormatting>
  <conditionalFormatting sqref="B59:H62">
    <cfRule type="expression" dxfId="23" priority="15">
      <formula>ISNUMBER(SEARCH("⚠",$V59))</formula>
    </cfRule>
  </conditionalFormatting>
  <conditionalFormatting sqref="V63:V65">
    <cfRule type="expression" dxfId="22" priority="6">
      <formula>ISNUMBER(SEARCH("⚠",$V63))</formula>
    </cfRule>
    <cfRule type="expression" dxfId="21" priority="7">
      <formula>$V63="▲ 單一設備依賴"</formula>
    </cfRule>
    <cfRule type="expression" dxfId="20" priority="8">
      <formula>$V63="○ 免調理"</formula>
    </cfRule>
    <cfRule type="expression" dxfId="19" priority="9">
      <formula>$V63="OK"</formula>
    </cfRule>
  </conditionalFormatting>
  <conditionalFormatting sqref="B63:H65">
    <cfRule type="expression" dxfId="18" priority="10">
      <formula>ISNUMBER(SEARCH("⚠",$V63))</formula>
    </cfRule>
  </conditionalFormatting>
  <conditionalFormatting sqref="A5:A278">
    <cfRule type="expression" dxfId="17" priority="4">
      <formula>$R5="⚠ 資料缺漏"</formula>
    </cfRule>
  </conditionalFormatting>
  <conditionalFormatting sqref="A279:A302">
    <cfRule type="expression" dxfId="16" priority="5">
      <formula>ISNUMBER(SEARCH("⚠",$V279))</formula>
    </cfRule>
  </conditionalFormatting>
  <conditionalFormatting sqref="A5:A302">
    <cfRule type="expression" dxfId="15" priority="1" stopIfTrue="1">
      <formula>AND($D5&lt;&gt;"",OR($A5="",COUNTIFS($D$5:$D$302,$D5,$A$5:$A$302,$A5)&lt;&gt;COUNTIF($D$5:$D$302,$D5)))</formula>
    </cfRule>
  </conditionalFormatting>
  <conditionalFormatting sqref="Y5:Y302">
    <cfRule type="expression" dxfId="14" priority="2" stopIfTrue="1">
      <formula>AND($E5&lt;&gt;"",$Y5="")</formula>
    </cfRule>
  </conditionalFormatting>
  <conditionalFormatting sqref="G5:G302">
    <cfRule type="expression" dxfId="13" priority="3" stopIfTrue="1">
      <formula>AND($E5&lt;&gt;"",$F5&lt;&gt;"",$G5="")</formula>
    </cfRule>
  </conditionalFormatting>
  <dataValidations count="4">
    <dataValidation type="list" allowBlank="1" showErrorMessage="1" errorTitle="請使用下拉選單" error="請選擇選單中的項目，或清除儲存格。" sqref="B5:B302">
      <formula1>"大溪,新豐,長家,晉欣"</formula1>
    </dataValidation>
    <dataValidation type="list" allowBlank="1" showErrorMessage="1" errorTitle="請使用下拉選單" error="請選擇選單中的項目，或清除儲存格。" sqref="G5:G302">
      <formula1>"公克,個"</formula1>
    </dataValidation>
    <dataValidation type="list" allowBlank="1" showErrorMessage="1" errorTitle="請使用下拉選單" error="請選擇選單中的項目，或清除儲存格。" sqref="I5:T302">
      <formula1>"V"</formula1>
    </dataValidation>
    <dataValidation type="list" allowBlank="1" showErrorMessage="1" errorTitle="請使用下拉選單" error="請選擇選單中的項目，或清除儲存格。" sqref="A5:A302">
      <formula1>"架上,下架,待上架"</formula1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A9DB0"/>
  </sheetPr>
  <dimension ref="A1:Z304"/>
  <sheetViews>
    <sheetView showGridLines="0" zoomScaleNormal="100" workbookViewId="0">
      <pane xSplit="4" ySplit="4" topLeftCell="E5" activePane="bottomRight" state="frozen"/>
      <selection pane="topRight"/>
      <selection pane="bottomLeft"/>
      <selection pane="bottomRight" activeCell="E5" sqref="E5"/>
    </sheetView>
  </sheetViews>
  <sheetFormatPr defaultColWidth="8.7265625" defaultRowHeight="14.5"/>
  <cols>
    <col min="1" max="1" width="9" customWidth="1"/>
    <col min="2" max="2" width="12" customWidth="1"/>
    <col min="3" max="3" width="22" customWidth="1"/>
    <col min="4" max="4" width="26" customWidth="1"/>
    <col min="5" max="6" width="8" customWidth="1"/>
    <col min="7" max="7" width="9" customWidth="1"/>
    <col min="8" max="18" width="7" customWidth="1"/>
    <col min="19" max="19" width="9" customWidth="1"/>
    <col min="20" max="20" width="7" customWidth="1"/>
    <col min="21" max="21" width="13" customWidth="1"/>
    <col min="22" max="22" width="30" customWidth="1"/>
    <col min="23" max="23" width="20" customWidth="1"/>
    <col min="24" max="24" width="12" customWidth="1"/>
    <col min="25" max="26" width="13" hidden="1" customWidth="1"/>
  </cols>
  <sheetData>
    <row r="1" spans="1:26" ht="30" customHeight="1">
      <c r="A1" s="49" t="s">
        <v>78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</row>
    <row r="2" spans="1:26" ht="19.5" customHeight="1">
      <c r="A2" s="79" t="s">
        <v>43</v>
      </c>
      <c r="B2" s="79"/>
      <c r="C2" s="79"/>
      <c r="D2" s="79"/>
      <c r="E2" s="79"/>
      <c r="F2" s="79"/>
      <c r="G2" s="79"/>
      <c r="H2" s="79" t="s">
        <v>44</v>
      </c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 t="s">
        <v>45</v>
      </c>
      <c r="U2" s="79"/>
      <c r="V2" s="79"/>
      <c r="W2" s="79" t="s">
        <v>46</v>
      </c>
      <c r="X2" s="79"/>
    </row>
    <row r="3" spans="1:26" ht="24" customHeight="1">
      <c r="A3" s="76" t="s">
        <v>47</v>
      </c>
      <c r="B3" s="76" t="s">
        <v>48</v>
      </c>
      <c r="C3" s="76" t="s">
        <v>49</v>
      </c>
      <c r="D3" s="76" t="s">
        <v>50</v>
      </c>
      <c r="E3" s="80" t="s">
        <v>51</v>
      </c>
      <c r="F3" s="80"/>
      <c r="G3" s="76" t="s">
        <v>52</v>
      </c>
      <c r="H3" s="77" t="s">
        <v>53</v>
      </c>
      <c r="I3" s="77" t="s">
        <v>54</v>
      </c>
      <c r="J3" s="77" t="s">
        <v>55</v>
      </c>
      <c r="K3" s="77" t="s">
        <v>56</v>
      </c>
      <c r="L3" s="77" t="s">
        <v>57</v>
      </c>
      <c r="M3" s="77" t="s">
        <v>58</v>
      </c>
      <c r="N3" s="77" t="s">
        <v>59</v>
      </c>
      <c r="O3" s="77" t="s">
        <v>60</v>
      </c>
      <c r="P3" s="77" t="s">
        <v>61</v>
      </c>
      <c r="Q3" s="77" t="s">
        <v>62</v>
      </c>
      <c r="R3" s="77" t="s">
        <v>63</v>
      </c>
      <c r="S3" s="78" t="s">
        <v>64</v>
      </c>
      <c r="T3" s="76" t="s">
        <v>65</v>
      </c>
      <c r="U3" s="76" t="s">
        <v>66</v>
      </c>
      <c r="V3" s="76" t="s">
        <v>67</v>
      </c>
      <c r="W3" s="76" t="s">
        <v>68</v>
      </c>
      <c r="X3" s="76" t="s">
        <v>69</v>
      </c>
      <c r="Y3" s="20" t="s">
        <v>70</v>
      </c>
      <c r="Z3" s="20" t="s">
        <v>71</v>
      </c>
    </row>
    <row r="4" spans="1:26" ht="18" customHeight="1">
      <c r="A4" s="76"/>
      <c r="B4" s="76"/>
      <c r="C4" s="76"/>
      <c r="D4" s="76"/>
      <c r="E4" s="21" t="s">
        <v>72</v>
      </c>
      <c r="F4" s="21" t="s">
        <v>73</v>
      </c>
      <c r="G4" s="76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8"/>
      <c r="T4" s="76"/>
      <c r="U4" s="76"/>
      <c r="V4" s="76"/>
      <c r="W4" s="76"/>
      <c r="X4" s="76"/>
    </row>
    <row r="5" spans="1:26">
      <c r="A5" s="22"/>
      <c r="B5" s="22"/>
      <c r="C5" s="22"/>
      <c r="D5" s="22"/>
      <c r="E5" s="23"/>
      <c r="F5" s="23"/>
      <c r="G5" s="24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6"/>
      <c r="T5" s="23" t="str">
        <f t="shared" ref="T5:T68" si="0">IF($D5="","",COUNTIF($H5:$R5,"V"))</f>
        <v/>
      </c>
      <c r="U5" s="22" t="str">
        <f t="shared" ref="U5:U68" si="1">IF($D5="","",IF(AND($S5="V",$T5&gt;0),"⚠ 勾選矛盾",IF($S5="V","○ 免調理",IF($T5=0,"⚠ 資料缺漏",IF($T5=1,"▲ 單一設備依賴","OK")))))</f>
        <v/>
      </c>
      <c r="V5" s="18" t="str">
        <f t="shared" ref="V5:V68" si="2">IF($D5="","",IF(AND($S5="V",$T5&gt;0),"「無使用調理設備」不可與設備欄同時勾選，請擇一修正",IF($S5="V","免調理半成品（外購/僅切配等），不列入設備風險評估",IF($T5=0,"未勾選任何設備，請補填或勾選「無使用調理設備」",IF($T5=1,"僅依賴1台設備，須確認故障/排修時之備援製程","無異常")))))</f>
        <v/>
      </c>
      <c r="W5" s="22"/>
      <c r="X5" s="22"/>
      <c r="Y5" s="27">
        <f>IF($C5="",0,IF(COUNTIF($C$5:$C5,$C5)=1,1,0))</f>
        <v>0</v>
      </c>
      <c r="Z5" t="str">
        <f>IF(Y5=1,SUM($Y$5:$Y5),"")</f>
        <v/>
      </c>
    </row>
    <row r="6" spans="1:26">
      <c r="A6" s="22"/>
      <c r="B6" s="22"/>
      <c r="C6" s="22"/>
      <c r="D6" s="22"/>
      <c r="E6" s="23"/>
      <c r="F6" s="23"/>
      <c r="G6" s="24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6"/>
      <c r="T6" s="23" t="str">
        <f t="shared" si="0"/>
        <v/>
      </c>
      <c r="U6" s="22" t="str">
        <f t="shared" si="1"/>
        <v/>
      </c>
      <c r="V6" s="18" t="str">
        <f t="shared" si="2"/>
        <v/>
      </c>
      <c r="W6" s="22"/>
      <c r="X6" s="22"/>
      <c r="Y6" s="27">
        <f>IF($C6="",0,IF(COUNTIF($C$5:$C6,$C6)=1,1,0))</f>
        <v>0</v>
      </c>
      <c r="Z6" t="str">
        <f>IF(Y6=1,SUM($Y$5:$Y6),"")</f>
        <v/>
      </c>
    </row>
    <row r="7" spans="1:26">
      <c r="A7" s="22"/>
      <c r="B7" s="22"/>
      <c r="C7" s="22"/>
      <c r="D7" s="22"/>
      <c r="E7" s="23"/>
      <c r="F7" s="23"/>
      <c r="G7" s="24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6"/>
      <c r="T7" s="23" t="str">
        <f t="shared" si="0"/>
        <v/>
      </c>
      <c r="U7" s="22" t="str">
        <f t="shared" si="1"/>
        <v/>
      </c>
      <c r="V7" s="18" t="str">
        <f t="shared" si="2"/>
        <v/>
      </c>
      <c r="W7" s="22"/>
      <c r="X7" s="22"/>
      <c r="Y7" s="27">
        <f>IF($C7="",0,IF(COUNTIF($C$5:$C7,$C7)=1,1,0))</f>
        <v>0</v>
      </c>
      <c r="Z7" t="str">
        <f>IF(Y7=1,SUM($Y$5:$Y7),"")</f>
        <v/>
      </c>
    </row>
    <row r="8" spans="1:26">
      <c r="A8" s="22"/>
      <c r="B8" s="22"/>
      <c r="C8" s="22"/>
      <c r="D8" s="22"/>
      <c r="E8" s="23"/>
      <c r="F8" s="23"/>
      <c r="G8" s="24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6"/>
      <c r="T8" s="23" t="str">
        <f t="shared" si="0"/>
        <v/>
      </c>
      <c r="U8" s="22" t="str">
        <f t="shared" si="1"/>
        <v/>
      </c>
      <c r="V8" s="18" t="str">
        <f t="shared" si="2"/>
        <v/>
      </c>
      <c r="W8" s="22"/>
      <c r="X8" s="22"/>
      <c r="Y8" s="27">
        <f>IF($C8="",0,IF(COUNTIF($C$5:$C8,$C8)=1,1,0))</f>
        <v>0</v>
      </c>
      <c r="Z8" t="str">
        <f>IF(Y8=1,SUM($Y$5:$Y8),"")</f>
        <v/>
      </c>
    </row>
    <row r="9" spans="1:26">
      <c r="A9" s="22"/>
      <c r="B9" s="22"/>
      <c r="C9" s="22"/>
      <c r="D9" s="22"/>
      <c r="E9" s="23"/>
      <c r="F9" s="23"/>
      <c r="G9" s="24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3" t="str">
        <f t="shared" si="0"/>
        <v/>
      </c>
      <c r="U9" s="22" t="str">
        <f t="shared" si="1"/>
        <v/>
      </c>
      <c r="V9" s="18" t="str">
        <f t="shared" si="2"/>
        <v/>
      </c>
      <c r="W9" s="22"/>
      <c r="X9" s="22"/>
      <c r="Y9" s="27">
        <f>IF($C9="",0,IF(COUNTIF($C$5:$C9,$C9)=1,1,0))</f>
        <v>0</v>
      </c>
      <c r="Z9" t="str">
        <f>IF(Y9=1,SUM($Y$5:$Y9),"")</f>
        <v/>
      </c>
    </row>
    <row r="10" spans="1:26">
      <c r="A10" s="22"/>
      <c r="B10" s="22"/>
      <c r="C10" s="22"/>
      <c r="D10" s="22"/>
      <c r="E10" s="23"/>
      <c r="F10" s="23"/>
      <c r="G10" s="24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6"/>
      <c r="T10" s="23" t="str">
        <f t="shared" si="0"/>
        <v/>
      </c>
      <c r="U10" s="22" t="str">
        <f t="shared" si="1"/>
        <v/>
      </c>
      <c r="V10" s="18" t="str">
        <f t="shared" si="2"/>
        <v/>
      </c>
      <c r="W10" s="22"/>
      <c r="X10" s="22"/>
      <c r="Y10" s="27">
        <f>IF($C10="",0,IF(COUNTIF($C$5:$C10,$C10)=1,1,0))</f>
        <v>0</v>
      </c>
      <c r="Z10" t="str">
        <f>IF(Y10=1,SUM($Y$5:$Y10),"")</f>
        <v/>
      </c>
    </row>
    <row r="11" spans="1:26">
      <c r="A11" s="22"/>
      <c r="B11" s="22"/>
      <c r="C11" s="22"/>
      <c r="D11" s="22"/>
      <c r="E11" s="23"/>
      <c r="F11" s="23"/>
      <c r="G11" s="24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6"/>
      <c r="T11" s="23" t="str">
        <f t="shared" si="0"/>
        <v/>
      </c>
      <c r="U11" s="22" t="str">
        <f t="shared" si="1"/>
        <v/>
      </c>
      <c r="V11" s="18" t="str">
        <f t="shared" si="2"/>
        <v/>
      </c>
      <c r="W11" s="22"/>
      <c r="X11" s="22"/>
      <c r="Y11" s="27">
        <f>IF($C11="",0,IF(COUNTIF($C$5:$C11,$C11)=1,1,0))</f>
        <v>0</v>
      </c>
      <c r="Z11" t="str">
        <f>IF(Y11=1,SUM($Y$5:$Y11),"")</f>
        <v/>
      </c>
    </row>
    <row r="12" spans="1:26">
      <c r="A12" s="22"/>
      <c r="B12" s="22"/>
      <c r="C12" s="22"/>
      <c r="D12" s="22"/>
      <c r="E12" s="23"/>
      <c r="F12" s="23"/>
      <c r="G12" s="24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6"/>
      <c r="T12" s="23" t="str">
        <f t="shared" si="0"/>
        <v/>
      </c>
      <c r="U12" s="22" t="str">
        <f t="shared" si="1"/>
        <v/>
      </c>
      <c r="V12" s="18" t="str">
        <f t="shared" si="2"/>
        <v/>
      </c>
      <c r="W12" s="22"/>
      <c r="X12" s="22"/>
      <c r="Y12" s="27">
        <f>IF($C12="",0,IF(COUNTIF($C$5:$C12,$C12)=1,1,0))</f>
        <v>0</v>
      </c>
      <c r="Z12" t="str">
        <f>IF(Y12=1,SUM($Y$5:$Y12),"")</f>
        <v/>
      </c>
    </row>
    <row r="13" spans="1:26">
      <c r="A13" s="22"/>
      <c r="B13" s="22"/>
      <c r="C13" s="22"/>
      <c r="D13" s="22"/>
      <c r="E13" s="23"/>
      <c r="F13" s="23"/>
      <c r="G13" s="24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6"/>
      <c r="T13" s="23" t="str">
        <f t="shared" si="0"/>
        <v/>
      </c>
      <c r="U13" s="22" t="str">
        <f t="shared" si="1"/>
        <v/>
      </c>
      <c r="V13" s="18" t="str">
        <f t="shared" si="2"/>
        <v/>
      </c>
      <c r="W13" s="22"/>
      <c r="X13" s="22"/>
      <c r="Y13" s="27">
        <f>IF($C13="",0,IF(COUNTIF($C$5:$C13,$C13)=1,1,0))</f>
        <v>0</v>
      </c>
      <c r="Z13" t="str">
        <f>IF(Y13=1,SUM($Y$5:$Y13),"")</f>
        <v/>
      </c>
    </row>
    <row r="14" spans="1:26">
      <c r="A14" s="22"/>
      <c r="B14" s="22"/>
      <c r="C14" s="22"/>
      <c r="D14" s="22"/>
      <c r="E14" s="23"/>
      <c r="F14" s="23"/>
      <c r="G14" s="24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6"/>
      <c r="T14" s="23" t="str">
        <f t="shared" si="0"/>
        <v/>
      </c>
      <c r="U14" s="22" t="str">
        <f t="shared" si="1"/>
        <v/>
      </c>
      <c r="V14" s="18" t="str">
        <f t="shared" si="2"/>
        <v/>
      </c>
      <c r="W14" s="22"/>
      <c r="X14" s="22"/>
      <c r="Y14" s="27">
        <f>IF($C14="",0,IF(COUNTIF($C$5:$C14,$C14)=1,1,0))</f>
        <v>0</v>
      </c>
      <c r="Z14" t="str">
        <f>IF(Y14=1,SUM($Y$5:$Y14),"")</f>
        <v/>
      </c>
    </row>
    <row r="15" spans="1:26">
      <c r="A15" s="22"/>
      <c r="B15" s="22"/>
      <c r="C15" s="22"/>
      <c r="D15" s="22"/>
      <c r="E15" s="23"/>
      <c r="F15" s="23"/>
      <c r="G15" s="24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6"/>
      <c r="T15" s="23" t="str">
        <f t="shared" si="0"/>
        <v/>
      </c>
      <c r="U15" s="22" t="str">
        <f t="shared" si="1"/>
        <v/>
      </c>
      <c r="V15" s="18" t="str">
        <f t="shared" si="2"/>
        <v/>
      </c>
      <c r="W15" s="22"/>
      <c r="X15" s="22"/>
      <c r="Y15" s="27">
        <f>IF($C15="",0,IF(COUNTIF($C$5:$C15,$C15)=1,1,0))</f>
        <v>0</v>
      </c>
      <c r="Z15" t="str">
        <f>IF(Y15=1,SUM($Y$5:$Y15),"")</f>
        <v/>
      </c>
    </row>
    <row r="16" spans="1:26">
      <c r="A16" s="22"/>
      <c r="B16" s="22"/>
      <c r="C16" s="22"/>
      <c r="D16" s="22"/>
      <c r="E16" s="23"/>
      <c r="F16" s="23"/>
      <c r="G16" s="24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6"/>
      <c r="T16" s="23" t="str">
        <f t="shared" si="0"/>
        <v/>
      </c>
      <c r="U16" s="22" t="str">
        <f t="shared" si="1"/>
        <v/>
      </c>
      <c r="V16" s="18" t="str">
        <f t="shared" si="2"/>
        <v/>
      </c>
      <c r="W16" s="22"/>
      <c r="X16" s="22"/>
      <c r="Y16" s="27">
        <f>IF($C16="",0,IF(COUNTIF($C$5:$C16,$C16)=1,1,0))</f>
        <v>0</v>
      </c>
      <c r="Z16" t="str">
        <f>IF(Y16=1,SUM($Y$5:$Y16),"")</f>
        <v/>
      </c>
    </row>
    <row r="17" spans="1:26">
      <c r="A17" s="22"/>
      <c r="B17" s="22"/>
      <c r="C17" s="22"/>
      <c r="D17" s="22"/>
      <c r="E17" s="23"/>
      <c r="F17" s="23"/>
      <c r="G17" s="24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6"/>
      <c r="T17" s="23" t="str">
        <f t="shared" si="0"/>
        <v/>
      </c>
      <c r="U17" s="22" t="str">
        <f t="shared" si="1"/>
        <v/>
      </c>
      <c r="V17" s="18" t="str">
        <f t="shared" si="2"/>
        <v/>
      </c>
      <c r="W17" s="22"/>
      <c r="X17" s="22"/>
      <c r="Y17" s="27">
        <f>IF($C17="",0,IF(COUNTIF($C$5:$C17,$C17)=1,1,0))</f>
        <v>0</v>
      </c>
      <c r="Z17" t="str">
        <f>IF(Y17=1,SUM($Y$5:$Y17),"")</f>
        <v/>
      </c>
    </row>
    <row r="18" spans="1:26">
      <c r="A18" s="22"/>
      <c r="B18" s="22"/>
      <c r="C18" s="22"/>
      <c r="D18" s="22"/>
      <c r="E18" s="23"/>
      <c r="F18" s="23"/>
      <c r="G18" s="24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6"/>
      <c r="T18" s="23" t="str">
        <f t="shared" si="0"/>
        <v/>
      </c>
      <c r="U18" s="22" t="str">
        <f t="shared" si="1"/>
        <v/>
      </c>
      <c r="V18" s="18" t="str">
        <f t="shared" si="2"/>
        <v/>
      </c>
      <c r="W18" s="22"/>
      <c r="X18" s="22"/>
      <c r="Y18" s="27">
        <f>IF($C18="",0,IF(COUNTIF($C$5:$C18,$C18)=1,1,0))</f>
        <v>0</v>
      </c>
      <c r="Z18" t="str">
        <f>IF(Y18=1,SUM($Y$5:$Y18),"")</f>
        <v/>
      </c>
    </row>
    <row r="19" spans="1:26">
      <c r="A19" s="22"/>
      <c r="B19" s="22"/>
      <c r="C19" s="22"/>
      <c r="D19" s="22"/>
      <c r="E19" s="23"/>
      <c r="F19" s="23"/>
      <c r="G19" s="24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6"/>
      <c r="T19" s="23" t="str">
        <f t="shared" si="0"/>
        <v/>
      </c>
      <c r="U19" s="22" t="str">
        <f t="shared" si="1"/>
        <v/>
      </c>
      <c r="V19" s="18" t="str">
        <f t="shared" si="2"/>
        <v/>
      </c>
      <c r="W19" s="22"/>
      <c r="X19" s="22"/>
      <c r="Y19" s="27">
        <f>IF($C19="",0,IF(COUNTIF($C$5:$C19,$C19)=1,1,0))</f>
        <v>0</v>
      </c>
      <c r="Z19" t="str">
        <f>IF(Y19=1,SUM($Y$5:$Y19),"")</f>
        <v/>
      </c>
    </row>
    <row r="20" spans="1:26">
      <c r="A20" s="22"/>
      <c r="B20" s="22"/>
      <c r="C20" s="22"/>
      <c r="D20" s="22"/>
      <c r="E20" s="23"/>
      <c r="F20" s="23"/>
      <c r="G20" s="24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6"/>
      <c r="T20" s="23" t="str">
        <f t="shared" si="0"/>
        <v/>
      </c>
      <c r="U20" s="22" t="str">
        <f t="shared" si="1"/>
        <v/>
      </c>
      <c r="V20" s="18" t="str">
        <f t="shared" si="2"/>
        <v/>
      </c>
      <c r="W20" s="22"/>
      <c r="X20" s="22"/>
      <c r="Y20" s="27">
        <f>IF($C20="",0,IF(COUNTIF($C$5:$C20,$C20)=1,1,0))</f>
        <v>0</v>
      </c>
      <c r="Z20" t="str">
        <f>IF(Y20=1,SUM($Y$5:$Y20),"")</f>
        <v/>
      </c>
    </row>
    <row r="21" spans="1:26">
      <c r="A21" s="22"/>
      <c r="B21" s="22"/>
      <c r="C21" s="22"/>
      <c r="D21" s="22"/>
      <c r="E21" s="23"/>
      <c r="F21" s="23"/>
      <c r="G21" s="24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6"/>
      <c r="T21" s="23" t="str">
        <f t="shared" si="0"/>
        <v/>
      </c>
      <c r="U21" s="22" t="str">
        <f t="shared" si="1"/>
        <v/>
      </c>
      <c r="V21" s="18" t="str">
        <f t="shared" si="2"/>
        <v/>
      </c>
      <c r="W21" s="22"/>
      <c r="X21" s="22"/>
      <c r="Y21" s="27">
        <f>IF($C21="",0,IF(COUNTIF($C$5:$C21,$C21)=1,1,0))</f>
        <v>0</v>
      </c>
      <c r="Z21" t="str">
        <f>IF(Y21=1,SUM($Y$5:$Y21),"")</f>
        <v/>
      </c>
    </row>
    <row r="22" spans="1:26">
      <c r="A22" s="22"/>
      <c r="B22" s="22"/>
      <c r="C22" s="22"/>
      <c r="D22" s="22"/>
      <c r="E22" s="23"/>
      <c r="F22" s="23"/>
      <c r="G22" s="24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6"/>
      <c r="T22" s="23" t="str">
        <f t="shared" si="0"/>
        <v/>
      </c>
      <c r="U22" s="22" t="str">
        <f t="shared" si="1"/>
        <v/>
      </c>
      <c r="V22" s="18" t="str">
        <f t="shared" si="2"/>
        <v/>
      </c>
      <c r="W22" s="22"/>
      <c r="X22" s="22"/>
      <c r="Y22" s="27">
        <f>IF($C22="",0,IF(COUNTIF($C$5:$C22,$C22)=1,1,0))</f>
        <v>0</v>
      </c>
      <c r="Z22" t="str">
        <f>IF(Y22=1,SUM($Y$5:$Y22),"")</f>
        <v/>
      </c>
    </row>
    <row r="23" spans="1:26">
      <c r="A23" s="22"/>
      <c r="B23" s="22"/>
      <c r="C23" s="22"/>
      <c r="D23" s="22"/>
      <c r="E23" s="23"/>
      <c r="F23" s="23"/>
      <c r="G23" s="24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6"/>
      <c r="T23" s="23" t="str">
        <f t="shared" si="0"/>
        <v/>
      </c>
      <c r="U23" s="22" t="str">
        <f t="shared" si="1"/>
        <v/>
      </c>
      <c r="V23" s="18" t="str">
        <f t="shared" si="2"/>
        <v/>
      </c>
      <c r="W23" s="22"/>
      <c r="X23" s="22"/>
      <c r="Y23" s="27">
        <f>IF($C23="",0,IF(COUNTIF($C$5:$C23,$C23)=1,1,0))</f>
        <v>0</v>
      </c>
      <c r="Z23" t="str">
        <f>IF(Y23=1,SUM($Y$5:$Y23),"")</f>
        <v/>
      </c>
    </row>
    <row r="24" spans="1:26">
      <c r="A24" s="22"/>
      <c r="B24" s="22"/>
      <c r="C24" s="22"/>
      <c r="D24" s="22"/>
      <c r="E24" s="23"/>
      <c r="F24" s="23"/>
      <c r="G24" s="24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6"/>
      <c r="T24" s="23" t="str">
        <f t="shared" si="0"/>
        <v/>
      </c>
      <c r="U24" s="22" t="str">
        <f t="shared" si="1"/>
        <v/>
      </c>
      <c r="V24" s="18" t="str">
        <f t="shared" si="2"/>
        <v/>
      </c>
      <c r="W24" s="22"/>
      <c r="X24" s="22"/>
      <c r="Y24" s="27">
        <f>IF($C24="",0,IF(COUNTIF($C$5:$C24,$C24)=1,1,0))</f>
        <v>0</v>
      </c>
      <c r="Z24" t="str">
        <f>IF(Y24=1,SUM($Y$5:$Y24),"")</f>
        <v/>
      </c>
    </row>
    <row r="25" spans="1:26">
      <c r="A25" s="22"/>
      <c r="B25" s="22"/>
      <c r="C25" s="22"/>
      <c r="D25" s="22"/>
      <c r="E25" s="23"/>
      <c r="F25" s="23"/>
      <c r="G25" s="24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6"/>
      <c r="T25" s="23" t="str">
        <f t="shared" si="0"/>
        <v/>
      </c>
      <c r="U25" s="22" t="str">
        <f t="shared" si="1"/>
        <v/>
      </c>
      <c r="V25" s="18" t="str">
        <f t="shared" si="2"/>
        <v/>
      </c>
      <c r="W25" s="22"/>
      <c r="X25" s="22"/>
      <c r="Y25" s="27">
        <f>IF($C25="",0,IF(COUNTIF($C$5:$C25,$C25)=1,1,0))</f>
        <v>0</v>
      </c>
      <c r="Z25" t="str">
        <f>IF(Y25=1,SUM($Y$5:$Y25),"")</f>
        <v/>
      </c>
    </row>
    <row r="26" spans="1:26">
      <c r="A26" s="22"/>
      <c r="B26" s="22"/>
      <c r="C26" s="22"/>
      <c r="D26" s="22"/>
      <c r="E26" s="23"/>
      <c r="F26" s="23"/>
      <c r="G26" s="24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6"/>
      <c r="T26" s="23" t="str">
        <f t="shared" si="0"/>
        <v/>
      </c>
      <c r="U26" s="22" t="str">
        <f t="shared" si="1"/>
        <v/>
      </c>
      <c r="V26" s="18" t="str">
        <f t="shared" si="2"/>
        <v/>
      </c>
      <c r="W26" s="22"/>
      <c r="X26" s="22"/>
      <c r="Y26" s="27">
        <f>IF($C26="",0,IF(COUNTIF($C$5:$C26,$C26)=1,1,0))</f>
        <v>0</v>
      </c>
      <c r="Z26" t="str">
        <f>IF(Y26=1,SUM($Y$5:$Y26),"")</f>
        <v/>
      </c>
    </row>
    <row r="27" spans="1:26">
      <c r="A27" s="22"/>
      <c r="B27" s="22"/>
      <c r="C27" s="22"/>
      <c r="D27" s="22"/>
      <c r="E27" s="23"/>
      <c r="F27" s="23"/>
      <c r="G27" s="24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6"/>
      <c r="T27" s="23" t="str">
        <f t="shared" si="0"/>
        <v/>
      </c>
      <c r="U27" s="22" t="str">
        <f t="shared" si="1"/>
        <v/>
      </c>
      <c r="V27" s="18" t="str">
        <f t="shared" si="2"/>
        <v/>
      </c>
      <c r="W27" s="22"/>
      <c r="X27" s="22"/>
      <c r="Y27" s="27">
        <f>IF($C27="",0,IF(COUNTIF($C$5:$C27,$C27)=1,1,0))</f>
        <v>0</v>
      </c>
      <c r="Z27" t="str">
        <f>IF(Y27=1,SUM($Y$5:$Y27),"")</f>
        <v/>
      </c>
    </row>
    <row r="28" spans="1:26">
      <c r="A28" s="22"/>
      <c r="B28" s="22"/>
      <c r="C28" s="22"/>
      <c r="D28" s="22"/>
      <c r="E28" s="23"/>
      <c r="F28" s="23"/>
      <c r="G28" s="24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6"/>
      <c r="T28" s="23" t="str">
        <f t="shared" si="0"/>
        <v/>
      </c>
      <c r="U28" s="22" t="str">
        <f t="shared" si="1"/>
        <v/>
      </c>
      <c r="V28" s="18" t="str">
        <f t="shared" si="2"/>
        <v/>
      </c>
      <c r="W28" s="22"/>
      <c r="X28" s="22"/>
      <c r="Y28" s="27">
        <f>IF($C28="",0,IF(COUNTIF($C$5:$C28,$C28)=1,1,0))</f>
        <v>0</v>
      </c>
      <c r="Z28" t="str">
        <f>IF(Y28=1,SUM($Y$5:$Y28),"")</f>
        <v/>
      </c>
    </row>
    <row r="29" spans="1:26">
      <c r="A29" s="22"/>
      <c r="B29" s="22"/>
      <c r="C29" s="22"/>
      <c r="D29" s="22"/>
      <c r="E29" s="23"/>
      <c r="F29" s="23"/>
      <c r="G29" s="24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6"/>
      <c r="T29" s="23" t="str">
        <f t="shared" si="0"/>
        <v/>
      </c>
      <c r="U29" s="22" t="str">
        <f t="shared" si="1"/>
        <v/>
      </c>
      <c r="V29" s="18" t="str">
        <f t="shared" si="2"/>
        <v/>
      </c>
      <c r="W29" s="22"/>
      <c r="X29" s="22"/>
      <c r="Y29" s="27">
        <f>IF($C29="",0,IF(COUNTIF($C$5:$C29,$C29)=1,1,0))</f>
        <v>0</v>
      </c>
      <c r="Z29" t="str">
        <f>IF(Y29=1,SUM($Y$5:$Y29),"")</f>
        <v/>
      </c>
    </row>
    <row r="30" spans="1:26">
      <c r="A30" s="22"/>
      <c r="B30" s="22"/>
      <c r="C30" s="22"/>
      <c r="D30" s="22"/>
      <c r="E30" s="23"/>
      <c r="F30" s="23"/>
      <c r="G30" s="24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6"/>
      <c r="T30" s="23" t="str">
        <f t="shared" si="0"/>
        <v/>
      </c>
      <c r="U30" s="22" t="str">
        <f t="shared" si="1"/>
        <v/>
      </c>
      <c r="V30" s="18" t="str">
        <f t="shared" si="2"/>
        <v/>
      </c>
      <c r="W30" s="22"/>
      <c r="X30" s="22"/>
      <c r="Y30" s="27">
        <f>IF($C30="",0,IF(COUNTIF($C$5:$C30,$C30)=1,1,0))</f>
        <v>0</v>
      </c>
      <c r="Z30" t="str">
        <f>IF(Y30=1,SUM($Y$5:$Y30),"")</f>
        <v/>
      </c>
    </row>
    <row r="31" spans="1:26">
      <c r="A31" s="22"/>
      <c r="B31" s="22"/>
      <c r="C31" s="22"/>
      <c r="D31" s="22"/>
      <c r="E31" s="23"/>
      <c r="F31" s="23"/>
      <c r="G31" s="24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6"/>
      <c r="T31" s="23" t="str">
        <f t="shared" si="0"/>
        <v/>
      </c>
      <c r="U31" s="22" t="str">
        <f t="shared" si="1"/>
        <v/>
      </c>
      <c r="V31" s="18" t="str">
        <f t="shared" si="2"/>
        <v/>
      </c>
      <c r="W31" s="22"/>
      <c r="X31" s="22"/>
      <c r="Y31" s="27">
        <f>IF($C31="",0,IF(COUNTIF($C$5:$C31,$C31)=1,1,0))</f>
        <v>0</v>
      </c>
      <c r="Z31" t="str">
        <f>IF(Y31=1,SUM($Y$5:$Y31),"")</f>
        <v/>
      </c>
    </row>
    <row r="32" spans="1:26">
      <c r="A32" s="22"/>
      <c r="B32" s="22"/>
      <c r="C32" s="22"/>
      <c r="D32" s="22"/>
      <c r="E32" s="23"/>
      <c r="F32" s="23"/>
      <c r="G32" s="24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6"/>
      <c r="T32" s="23" t="str">
        <f t="shared" si="0"/>
        <v/>
      </c>
      <c r="U32" s="22" t="str">
        <f t="shared" si="1"/>
        <v/>
      </c>
      <c r="V32" s="18" t="str">
        <f t="shared" si="2"/>
        <v/>
      </c>
      <c r="W32" s="22"/>
      <c r="X32" s="22"/>
      <c r="Y32" s="27">
        <f>IF($C32="",0,IF(COUNTIF($C$5:$C32,$C32)=1,1,0))</f>
        <v>0</v>
      </c>
      <c r="Z32" t="str">
        <f>IF(Y32=1,SUM($Y$5:$Y32),"")</f>
        <v/>
      </c>
    </row>
    <row r="33" spans="1:26">
      <c r="A33" s="22"/>
      <c r="B33" s="22"/>
      <c r="C33" s="22"/>
      <c r="D33" s="22"/>
      <c r="E33" s="23"/>
      <c r="F33" s="23"/>
      <c r="G33" s="24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6"/>
      <c r="T33" s="23" t="str">
        <f t="shared" si="0"/>
        <v/>
      </c>
      <c r="U33" s="22" t="str">
        <f t="shared" si="1"/>
        <v/>
      </c>
      <c r="V33" s="18" t="str">
        <f t="shared" si="2"/>
        <v/>
      </c>
      <c r="W33" s="22"/>
      <c r="X33" s="22"/>
      <c r="Y33" s="27">
        <f>IF($C33="",0,IF(COUNTIF($C$5:$C33,$C33)=1,1,0))</f>
        <v>0</v>
      </c>
      <c r="Z33" t="str">
        <f>IF(Y33=1,SUM($Y$5:$Y33),"")</f>
        <v/>
      </c>
    </row>
    <row r="34" spans="1:26">
      <c r="A34" s="22"/>
      <c r="B34" s="22"/>
      <c r="C34" s="22"/>
      <c r="D34" s="22"/>
      <c r="E34" s="23"/>
      <c r="F34" s="23"/>
      <c r="G34" s="24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6"/>
      <c r="T34" s="23" t="str">
        <f t="shared" si="0"/>
        <v/>
      </c>
      <c r="U34" s="22" t="str">
        <f t="shared" si="1"/>
        <v/>
      </c>
      <c r="V34" s="18" t="str">
        <f t="shared" si="2"/>
        <v/>
      </c>
      <c r="W34" s="22"/>
      <c r="X34" s="22"/>
      <c r="Y34" s="27">
        <f>IF($C34="",0,IF(COUNTIF($C$5:$C34,$C34)=1,1,0))</f>
        <v>0</v>
      </c>
      <c r="Z34" t="str">
        <f>IF(Y34=1,SUM($Y$5:$Y34),"")</f>
        <v/>
      </c>
    </row>
    <row r="35" spans="1:26">
      <c r="A35" s="22"/>
      <c r="B35" s="22"/>
      <c r="C35" s="22"/>
      <c r="D35" s="22"/>
      <c r="E35" s="23"/>
      <c r="F35" s="23"/>
      <c r="G35" s="24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6"/>
      <c r="T35" s="23" t="str">
        <f t="shared" si="0"/>
        <v/>
      </c>
      <c r="U35" s="22" t="str">
        <f t="shared" si="1"/>
        <v/>
      </c>
      <c r="V35" s="18" t="str">
        <f t="shared" si="2"/>
        <v/>
      </c>
      <c r="W35" s="22"/>
      <c r="X35" s="22"/>
      <c r="Y35" s="27">
        <f>IF($C35="",0,IF(COUNTIF($C$5:$C35,$C35)=1,1,0))</f>
        <v>0</v>
      </c>
      <c r="Z35" t="str">
        <f>IF(Y35=1,SUM($Y$5:$Y35),"")</f>
        <v/>
      </c>
    </row>
    <row r="36" spans="1:26">
      <c r="A36" s="22"/>
      <c r="B36" s="22"/>
      <c r="C36" s="22"/>
      <c r="D36" s="22"/>
      <c r="E36" s="23"/>
      <c r="F36" s="23"/>
      <c r="G36" s="24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6"/>
      <c r="T36" s="23" t="str">
        <f t="shared" si="0"/>
        <v/>
      </c>
      <c r="U36" s="22" t="str">
        <f t="shared" si="1"/>
        <v/>
      </c>
      <c r="V36" s="18" t="str">
        <f t="shared" si="2"/>
        <v/>
      </c>
      <c r="W36" s="22"/>
      <c r="X36" s="22"/>
      <c r="Y36" s="27">
        <f>IF($C36="",0,IF(COUNTIF($C$5:$C36,$C36)=1,1,0))</f>
        <v>0</v>
      </c>
      <c r="Z36" t="str">
        <f>IF(Y36=1,SUM($Y$5:$Y36),"")</f>
        <v/>
      </c>
    </row>
    <row r="37" spans="1:26">
      <c r="A37" s="22"/>
      <c r="B37" s="22"/>
      <c r="C37" s="22"/>
      <c r="D37" s="22"/>
      <c r="E37" s="23"/>
      <c r="F37" s="23"/>
      <c r="G37" s="24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6"/>
      <c r="T37" s="23" t="str">
        <f t="shared" si="0"/>
        <v/>
      </c>
      <c r="U37" s="22" t="str">
        <f t="shared" si="1"/>
        <v/>
      </c>
      <c r="V37" s="18" t="str">
        <f t="shared" si="2"/>
        <v/>
      </c>
      <c r="W37" s="22"/>
      <c r="X37" s="22"/>
      <c r="Y37" s="27">
        <f>IF($C37="",0,IF(COUNTIF($C$5:$C37,$C37)=1,1,0))</f>
        <v>0</v>
      </c>
      <c r="Z37" t="str">
        <f>IF(Y37=1,SUM($Y$5:$Y37),"")</f>
        <v/>
      </c>
    </row>
    <row r="38" spans="1:26">
      <c r="A38" s="22"/>
      <c r="B38" s="22"/>
      <c r="C38" s="22"/>
      <c r="D38" s="22"/>
      <c r="E38" s="23"/>
      <c r="F38" s="23"/>
      <c r="G38" s="24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6"/>
      <c r="T38" s="23" t="str">
        <f t="shared" si="0"/>
        <v/>
      </c>
      <c r="U38" s="22" t="str">
        <f t="shared" si="1"/>
        <v/>
      </c>
      <c r="V38" s="18" t="str">
        <f t="shared" si="2"/>
        <v/>
      </c>
      <c r="W38" s="22"/>
      <c r="X38" s="22"/>
      <c r="Y38" s="27">
        <f>IF($C38="",0,IF(COUNTIF($C$5:$C38,$C38)=1,1,0))</f>
        <v>0</v>
      </c>
      <c r="Z38" t="str">
        <f>IF(Y38=1,SUM($Y$5:$Y38),"")</f>
        <v/>
      </c>
    </row>
    <row r="39" spans="1:26">
      <c r="A39" s="22"/>
      <c r="B39" s="22"/>
      <c r="C39" s="22"/>
      <c r="D39" s="22"/>
      <c r="E39" s="23"/>
      <c r="F39" s="23"/>
      <c r="G39" s="24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6"/>
      <c r="T39" s="23" t="str">
        <f t="shared" si="0"/>
        <v/>
      </c>
      <c r="U39" s="22" t="str">
        <f t="shared" si="1"/>
        <v/>
      </c>
      <c r="V39" s="18" t="str">
        <f t="shared" si="2"/>
        <v/>
      </c>
      <c r="W39" s="22"/>
      <c r="X39" s="22"/>
      <c r="Y39" s="27">
        <f>IF($C39="",0,IF(COUNTIF($C$5:$C39,$C39)=1,1,0))</f>
        <v>0</v>
      </c>
      <c r="Z39" t="str">
        <f>IF(Y39=1,SUM($Y$5:$Y39),"")</f>
        <v/>
      </c>
    </row>
    <row r="40" spans="1:26">
      <c r="A40" s="22"/>
      <c r="B40" s="22"/>
      <c r="C40" s="22"/>
      <c r="D40" s="22"/>
      <c r="E40" s="23"/>
      <c r="F40" s="23"/>
      <c r="G40" s="24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6"/>
      <c r="T40" s="23" t="str">
        <f t="shared" si="0"/>
        <v/>
      </c>
      <c r="U40" s="22" t="str">
        <f t="shared" si="1"/>
        <v/>
      </c>
      <c r="V40" s="18" t="str">
        <f t="shared" si="2"/>
        <v/>
      </c>
      <c r="W40" s="22"/>
      <c r="X40" s="22"/>
      <c r="Y40" s="27">
        <f>IF($C40="",0,IF(COUNTIF($C$5:$C40,$C40)=1,1,0))</f>
        <v>0</v>
      </c>
      <c r="Z40" t="str">
        <f>IF(Y40=1,SUM($Y$5:$Y40),"")</f>
        <v/>
      </c>
    </row>
    <row r="41" spans="1:26">
      <c r="A41" s="22"/>
      <c r="B41" s="22"/>
      <c r="C41" s="22"/>
      <c r="D41" s="22"/>
      <c r="E41" s="23"/>
      <c r="F41" s="23"/>
      <c r="G41" s="24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6"/>
      <c r="T41" s="23" t="str">
        <f t="shared" si="0"/>
        <v/>
      </c>
      <c r="U41" s="22" t="str">
        <f t="shared" si="1"/>
        <v/>
      </c>
      <c r="V41" s="18" t="str">
        <f t="shared" si="2"/>
        <v/>
      </c>
      <c r="W41" s="22"/>
      <c r="X41" s="22"/>
      <c r="Y41" s="27">
        <f>IF($C41="",0,IF(COUNTIF($C$5:$C41,$C41)=1,1,0))</f>
        <v>0</v>
      </c>
      <c r="Z41" t="str">
        <f>IF(Y41=1,SUM($Y$5:$Y41),"")</f>
        <v/>
      </c>
    </row>
    <row r="42" spans="1:26">
      <c r="A42" s="22"/>
      <c r="B42" s="22"/>
      <c r="C42" s="22"/>
      <c r="D42" s="22"/>
      <c r="E42" s="23"/>
      <c r="F42" s="23"/>
      <c r="G42" s="24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6"/>
      <c r="T42" s="23" t="str">
        <f t="shared" si="0"/>
        <v/>
      </c>
      <c r="U42" s="22" t="str">
        <f t="shared" si="1"/>
        <v/>
      </c>
      <c r="V42" s="18" t="str">
        <f t="shared" si="2"/>
        <v/>
      </c>
      <c r="W42" s="22"/>
      <c r="X42" s="22"/>
      <c r="Y42" s="27">
        <f>IF($C42="",0,IF(COUNTIF($C$5:$C42,$C42)=1,1,0))</f>
        <v>0</v>
      </c>
      <c r="Z42" t="str">
        <f>IF(Y42=1,SUM($Y$5:$Y42),"")</f>
        <v/>
      </c>
    </row>
    <row r="43" spans="1:26">
      <c r="A43" s="22"/>
      <c r="B43" s="22"/>
      <c r="C43" s="22"/>
      <c r="D43" s="22"/>
      <c r="E43" s="23"/>
      <c r="F43" s="23"/>
      <c r="G43" s="24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6"/>
      <c r="T43" s="23" t="str">
        <f t="shared" si="0"/>
        <v/>
      </c>
      <c r="U43" s="22" t="str">
        <f t="shared" si="1"/>
        <v/>
      </c>
      <c r="V43" s="18" t="str">
        <f t="shared" si="2"/>
        <v/>
      </c>
      <c r="W43" s="22"/>
      <c r="X43" s="22"/>
      <c r="Y43" s="27">
        <f>IF($C43="",0,IF(COUNTIF($C$5:$C43,$C43)=1,1,0))</f>
        <v>0</v>
      </c>
      <c r="Z43" t="str">
        <f>IF(Y43=1,SUM($Y$5:$Y43),"")</f>
        <v/>
      </c>
    </row>
    <row r="44" spans="1:26">
      <c r="A44" s="22"/>
      <c r="B44" s="22"/>
      <c r="C44" s="22"/>
      <c r="D44" s="22"/>
      <c r="E44" s="23"/>
      <c r="F44" s="23"/>
      <c r="G44" s="24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6"/>
      <c r="T44" s="23" t="str">
        <f t="shared" si="0"/>
        <v/>
      </c>
      <c r="U44" s="22" t="str">
        <f t="shared" si="1"/>
        <v/>
      </c>
      <c r="V44" s="18" t="str">
        <f t="shared" si="2"/>
        <v/>
      </c>
      <c r="W44" s="22"/>
      <c r="X44" s="22"/>
      <c r="Y44" s="27">
        <f>IF($C44="",0,IF(COUNTIF($C$5:$C44,$C44)=1,1,0))</f>
        <v>0</v>
      </c>
      <c r="Z44" t="str">
        <f>IF(Y44=1,SUM($Y$5:$Y44),"")</f>
        <v/>
      </c>
    </row>
    <row r="45" spans="1:26">
      <c r="A45" s="22"/>
      <c r="B45" s="22"/>
      <c r="C45" s="22"/>
      <c r="D45" s="22"/>
      <c r="E45" s="23"/>
      <c r="F45" s="23"/>
      <c r="G45" s="24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6"/>
      <c r="T45" s="23" t="str">
        <f t="shared" si="0"/>
        <v/>
      </c>
      <c r="U45" s="22" t="str">
        <f t="shared" si="1"/>
        <v/>
      </c>
      <c r="V45" s="18" t="str">
        <f t="shared" si="2"/>
        <v/>
      </c>
      <c r="W45" s="22"/>
      <c r="X45" s="22"/>
      <c r="Y45" s="27">
        <f>IF($C45="",0,IF(COUNTIF($C$5:$C45,$C45)=1,1,0))</f>
        <v>0</v>
      </c>
      <c r="Z45" t="str">
        <f>IF(Y45=1,SUM($Y$5:$Y45),"")</f>
        <v/>
      </c>
    </row>
    <row r="46" spans="1:26">
      <c r="A46" s="22"/>
      <c r="B46" s="22"/>
      <c r="C46" s="22"/>
      <c r="D46" s="22"/>
      <c r="E46" s="23"/>
      <c r="F46" s="23"/>
      <c r="G46" s="24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6"/>
      <c r="T46" s="23" t="str">
        <f t="shared" si="0"/>
        <v/>
      </c>
      <c r="U46" s="22" t="str">
        <f t="shared" si="1"/>
        <v/>
      </c>
      <c r="V46" s="18" t="str">
        <f t="shared" si="2"/>
        <v/>
      </c>
      <c r="W46" s="22"/>
      <c r="X46" s="22"/>
      <c r="Y46" s="27">
        <f>IF($C46="",0,IF(COUNTIF($C$5:$C46,$C46)=1,1,0))</f>
        <v>0</v>
      </c>
      <c r="Z46" t="str">
        <f>IF(Y46=1,SUM($Y$5:$Y46),"")</f>
        <v/>
      </c>
    </row>
    <row r="47" spans="1:26">
      <c r="A47" s="22"/>
      <c r="B47" s="22"/>
      <c r="C47" s="22"/>
      <c r="D47" s="22"/>
      <c r="E47" s="23"/>
      <c r="F47" s="23"/>
      <c r="G47" s="24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6"/>
      <c r="T47" s="23" t="str">
        <f t="shared" si="0"/>
        <v/>
      </c>
      <c r="U47" s="22" t="str">
        <f t="shared" si="1"/>
        <v/>
      </c>
      <c r="V47" s="18" t="str">
        <f t="shared" si="2"/>
        <v/>
      </c>
      <c r="W47" s="22"/>
      <c r="X47" s="22"/>
      <c r="Y47" s="27">
        <f>IF($C47="",0,IF(COUNTIF($C$5:$C47,$C47)=1,1,0))</f>
        <v>0</v>
      </c>
      <c r="Z47" t="str">
        <f>IF(Y47=1,SUM($Y$5:$Y47),"")</f>
        <v/>
      </c>
    </row>
    <row r="48" spans="1:26">
      <c r="A48" s="22"/>
      <c r="B48" s="22"/>
      <c r="C48" s="22"/>
      <c r="D48" s="22"/>
      <c r="E48" s="23"/>
      <c r="F48" s="23"/>
      <c r="G48" s="24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6"/>
      <c r="T48" s="23" t="str">
        <f t="shared" si="0"/>
        <v/>
      </c>
      <c r="U48" s="22" t="str">
        <f t="shared" si="1"/>
        <v/>
      </c>
      <c r="V48" s="18" t="str">
        <f t="shared" si="2"/>
        <v/>
      </c>
      <c r="W48" s="22"/>
      <c r="X48" s="22"/>
      <c r="Y48" s="27">
        <f>IF($C48="",0,IF(COUNTIF($C$5:$C48,$C48)=1,1,0))</f>
        <v>0</v>
      </c>
      <c r="Z48" t="str">
        <f>IF(Y48=1,SUM($Y$5:$Y48),"")</f>
        <v/>
      </c>
    </row>
    <row r="49" spans="1:26">
      <c r="A49" s="22"/>
      <c r="B49" s="22"/>
      <c r="C49" s="22"/>
      <c r="D49" s="22"/>
      <c r="E49" s="23"/>
      <c r="F49" s="23"/>
      <c r="G49" s="24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6"/>
      <c r="T49" s="23" t="str">
        <f t="shared" si="0"/>
        <v/>
      </c>
      <c r="U49" s="22" t="str">
        <f t="shared" si="1"/>
        <v/>
      </c>
      <c r="V49" s="18" t="str">
        <f t="shared" si="2"/>
        <v/>
      </c>
      <c r="W49" s="22"/>
      <c r="X49" s="22"/>
      <c r="Y49" s="27">
        <f>IF($C49="",0,IF(COUNTIF($C$5:$C49,$C49)=1,1,0))</f>
        <v>0</v>
      </c>
      <c r="Z49" t="str">
        <f>IF(Y49=1,SUM($Y$5:$Y49),"")</f>
        <v/>
      </c>
    </row>
    <row r="50" spans="1:26">
      <c r="A50" s="22"/>
      <c r="B50" s="22"/>
      <c r="C50" s="22"/>
      <c r="D50" s="22"/>
      <c r="E50" s="23"/>
      <c r="F50" s="23"/>
      <c r="G50" s="24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6"/>
      <c r="T50" s="23" t="str">
        <f t="shared" si="0"/>
        <v/>
      </c>
      <c r="U50" s="22" t="str">
        <f t="shared" si="1"/>
        <v/>
      </c>
      <c r="V50" s="18" t="str">
        <f t="shared" si="2"/>
        <v/>
      </c>
      <c r="W50" s="22"/>
      <c r="X50" s="22"/>
      <c r="Y50" s="27">
        <f>IF($C50="",0,IF(COUNTIF($C$5:$C50,$C50)=1,1,0))</f>
        <v>0</v>
      </c>
      <c r="Z50" t="str">
        <f>IF(Y50=1,SUM($Y$5:$Y50),"")</f>
        <v/>
      </c>
    </row>
    <row r="51" spans="1:26">
      <c r="A51" s="22"/>
      <c r="B51" s="22"/>
      <c r="C51" s="22"/>
      <c r="D51" s="22"/>
      <c r="E51" s="23"/>
      <c r="F51" s="23"/>
      <c r="G51" s="24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6"/>
      <c r="T51" s="23" t="str">
        <f t="shared" si="0"/>
        <v/>
      </c>
      <c r="U51" s="22" t="str">
        <f t="shared" si="1"/>
        <v/>
      </c>
      <c r="V51" s="18" t="str">
        <f t="shared" si="2"/>
        <v/>
      </c>
      <c r="W51" s="22"/>
      <c r="X51" s="22"/>
      <c r="Y51" s="27">
        <f>IF($C51="",0,IF(COUNTIF($C$5:$C51,$C51)=1,1,0))</f>
        <v>0</v>
      </c>
      <c r="Z51" t="str">
        <f>IF(Y51=1,SUM($Y$5:$Y51),"")</f>
        <v/>
      </c>
    </row>
    <row r="52" spans="1:26">
      <c r="A52" s="22"/>
      <c r="B52" s="22"/>
      <c r="C52" s="22"/>
      <c r="D52" s="22"/>
      <c r="E52" s="23"/>
      <c r="F52" s="23"/>
      <c r="G52" s="24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6"/>
      <c r="T52" s="23" t="str">
        <f t="shared" si="0"/>
        <v/>
      </c>
      <c r="U52" s="22" t="str">
        <f t="shared" si="1"/>
        <v/>
      </c>
      <c r="V52" s="18" t="str">
        <f t="shared" si="2"/>
        <v/>
      </c>
      <c r="W52" s="22"/>
      <c r="X52" s="22"/>
      <c r="Y52" s="27">
        <f>IF($C52="",0,IF(COUNTIF($C$5:$C52,$C52)=1,1,0))</f>
        <v>0</v>
      </c>
      <c r="Z52" t="str">
        <f>IF(Y52=1,SUM($Y$5:$Y52),"")</f>
        <v/>
      </c>
    </row>
    <row r="53" spans="1:26">
      <c r="A53" s="22"/>
      <c r="B53" s="22"/>
      <c r="C53" s="22"/>
      <c r="D53" s="22"/>
      <c r="E53" s="23"/>
      <c r="F53" s="23"/>
      <c r="G53" s="24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6"/>
      <c r="T53" s="23" t="str">
        <f t="shared" si="0"/>
        <v/>
      </c>
      <c r="U53" s="22" t="str">
        <f t="shared" si="1"/>
        <v/>
      </c>
      <c r="V53" s="18" t="str">
        <f t="shared" si="2"/>
        <v/>
      </c>
      <c r="W53" s="22"/>
      <c r="X53" s="22"/>
      <c r="Y53" s="27">
        <f>IF($C53="",0,IF(COUNTIF($C$5:$C53,$C53)=1,1,0))</f>
        <v>0</v>
      </c>
      <c r="Z53" t="str">
        <f>IF(Y53=1,SUM($Y$5:$Y53),"")</f>
        <v/>
      </c>
    </row>
    <row r="54" spans="1:26">
      <c r="A54" s="22"/>
      <c r="B54" s="22"/>
      <c r="C54" s="22"/>
      <c r="D54" s="22"/>
      <c r="E54" s="23"/>
      <c r="F54" s="23"/>
      <c r="G54" s="24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6"/>
      <c r="T54" s="23" t="str">
        <f t="shared" si="0"/>
        <v/>
      </c>
      <c r="U54" s="22" t="str">
        <f t="shared" si="1"/>
        <v/>
      </c>
      <c r="V54" s="18" t="str">
        <f t="shared" si="2"/>
        <v/>
      </c>
      <c r="W54" s="22"/>
      <c r="X54" s="22"/>
      <c r="Y54" s="27">
        <f>IF($C54="",0,IF(COUNTIF($C$5:$C54,$C54)=1,1,0))</f>
        <v>0</v>
      </c>
      <c r="Z54" t="str">
        <f>IF(Y54=1,SUM($Y$5:$Y54),"")</f>
        <v/>
      </c>
    </row>
    <row r="55" spans="1:26">
      <c r="A55" s="22"/>
      <c r="B55" s="22"/>
      <c r="C55" s="22"/>
      <c r="D55" s="22"/>
      <c r="E55" s="23"/>
      <c r="F55" s="23"/>
      <c r="G55" s="24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6"/>
      <c r="T55" s="23" t="str">
        <f t="shared" si="0"/>
        <v/>
      </c>
      <c r="U55" s="22" t="str">
        <f t="shared" si="1"/>
        <v/>
      </c>
      <c r="V55" s="18" t="str">
        <f t="shared" si="2"/>
        <v/>
      </c>
      <c r="W55" s="22"/>
      <c r="X55" s="22"/>
      <c r="Y55" s="27">
        <f>IF($C55="",0,IF(COUNTIF($C$5:$C55,$C55)=1,1,0))</f>
        <v>0</v>
      </c>
      <c r="Z55" t="str">
        <f>IF(Y55=1,SUM($Y$5:$Y55),"")</f>
        <v/>
      </c>
    </row>
    <row r="56" spans="1:26">
      <c r="A56" s="22"/>
      <c r="B56" s="22"/>
      <c r="C56" s="22"/>
      <c r="D56" s="22"/>
      <c r="E56" s="23"/>
      <c r="F56" s="23"/>
      <c r="G56" s="24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6"/>
      <c r="T56" s="23" t="str">
        <f t="shared" si="0"/>
        <v/>
      </c>
      <c r="U56" s="22" t="str">
        <f t="shared" si="1"/>
        <v/>
      </c>
      <c r="V56" s="18" t="str">
        <f t="shared" si="2"/>
        <v/>
      </c>
      <c r="W56" s="22"/>
      <c r="X56" s="22"/>
      <c r="Y56" s="27">
        <f>IF($C56="",0,IF(COUNTIF($C$5:$C56,$C56)=1,1,0))</f>
        <v>0</v>
      </c>
      <c r="Z56" t="str">
        <f>IF(Y56=1,SUM($Y$5:$Y56),"")</f>
        <v/>
      </c>
    </row>
    <row r="57" spans="1:26">
      <c r="A57" s="22"/>
      <c r="B57" s="22"/>
      <c r="C57" s="22"/>
      <c r="D57" s="22"/>
      <c r="E57" s="23"/>
      <c r="F57" s="23"/>
      <c r="G57" s="24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6"/>
      <c r="T57" s="23" t="str">
        <f t="shared" si="0"/>
        <v/>
      </c>
      <c r="U57" s="22" t="str">
        <f t="shared" si="1"/>
        <v/>
      </c>
      <c r="V57" s="18" t="str">
        <f t="shared" si="2"/>
        <v/>
      </c>
      <c r="W57" s="22"/>
      <c r="X57" s="22"/>
      <c r="Y57" s="27">
        <f>IF($C57="",0,IF(COUNTIF($C$5:$C57,$C57)=1,1,0))</f>
        <v>0</v>
      </c>
      <c r="Z57" t="str">
        <f>IF(Y57=1,SUM($Y$5:$Y57),"")</f>
        <v/>
      </c>
    </row>
    <row r="58" spans="1:26">
      <c r="A58" s="22"/>
      <c r="B58" s="22"/>
      <c r="C58" s="22"/>
      <c r="D58" s="22"/>
      <c r="E58" s="23"/>
      <c r="F58" s="23"/>
      <c r="G58" s="24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6"/>
      <c r="T58" s="23" t="str">
        <f t="shared" si="0"/>
        <v/>
      </c>
      <c r="U58" s="22" t="str">
        <f t="shared" si="1"/>
        <v/>
      </c>
      <c r="V58" s="18" t="str">
        <f t="shared" si="2"/>
        <v/>
      </c>
      <c r="W58" s="22"/>
      <c r="X58" s="22"/>
      <c r="Y58" s="27">
        <f>IF($C58="",0,IF(COUNTIF($C$5:$C58,$C58)=1,1,0))</f>
        <v>0</v>
      </c>
      <c r="Z58" t="str">
        <f>IF(Y58=1,SUM($Y$5:$Y58),"")</f>
        <v/>
      </c>
    </row>
    <row r="59" spans="1:26">
      <c r="A59" s="22"/>
      <c r="B59" s="22"/>
      <c r="C59" s="22"/>
      <c r="D59" s="22"/>
      <c r="E59" s="23"/>
      <c r="F59" s="23"/>
      <c r="G59" s="24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6"/>
      <c r="T59" s="23" t="str">
        <f t="shared" si="0"/>
        <v/>
      </c>
      <c r="U59" s="22" t="str">
        <f t="shared" si="1"/>
        <v/>
      </c>
      <c r="V59" s="18" t="str">
        <f t="shared" si="2"/>
        <v/>
      </c>
      <c r="W59" s="22"/>
      <c r="X59" s="22"/>
      <c r="Y59" s="27">
        <f>IF($C59="",0,IF(COUNTIF($C$5:$C59,$C59)=1,1,0))</f>
        <v>0</v>
      </c>
      <c r="Z59" t="str">
        <f>IF(Y59=1,SUM($Y$5:$Y59),"")</f>
        <v/>
      </c>
    </row>
    <row r="60" spans="1:26">
      <c r="A60" s="22"/>
      <c r="B60" s="22"/>
      <c r="C60" s="22"/>
      <c r="D60" s="22"/>
      <c r="E60" s="23"/>
      <c r="F60" s="23"/>
      <c r="G60" s="24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6"/>
      <c r="T60" s="23" t="str">
        <f t="shared" si="0"/>
        <v/>
      </c>
      <c r="U60" s="22" t="str">
        <f t="shared" si="1"/>
        <v/>
      </c>
      <c r="V60" s="18" t="str">
        <f t="shared" si="2"/>
        <v/>
      </c>
      <c r="W60" s="22"/>
      <c r="X60" s="22"/>
      <c r="Y60" s="27">
        <f>IF($C60="",0,IF(COUNTIF($C$5:$C60,$C60)=1,1,0))</f>
        <v>0</v>
      </c>
      <c r="Z60" t="str">
        <f>IF(Y60=1,SUM($Y$5:$Y60),"")</f>
        <v/>
      </c>
    </row>
    <row r="61" spans="1:26">
      <c r="A61" s="22"/>
      <c r="B61" s="22"/>
      <c r="C61" s="22"/>
      <c r="D61" s="22"/>
      <c r="E61" s="23"/>
      <c r="F61" s="23"/>
      <c r="G61" s="24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6"/>
      <c r="T61" s="23" t="str">
        <f t="shared" si="0"/>
        <v/>
      </c>
      <c r="U61" s="22" t="str">
        <f t="shared" si="1"/>
        <v/>
      </c>
      <c r="V61" s="18" t="str">
        <f t="shared" si="2"/>
        <v/>
      </c>
      <c r="W61" s="22"/>
      <c r="X61" s="22"/>
      <c r="Y61" s="27">
        <f>IF($C61="",0,IF(COUNTIF($C$5:$C61,$C61)=1,1,0))</f>
        <v>0</v>
      </c>
      <c r="Z61" t="str">
        <f>IF(Y61=1,SUM($Y$5:$Y61),"")</f>
        <v/>
      </c>
    </row>
    <row r="62" spans="1:26">
      <c r="A62" s="22"/>
      <c r="B62" s="22"/>
      <c r="C62" s="22"/>
      <c r="D62" s="22"/>
      <c r="E62" s="23"/>
      <c r="F62" s="23"/>
      <c r="G62" s="24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6"/>
      <c r="T62" s="23" t="str">
        <f t="shared" si="0"/>
        <v/>
      </c>
      <c r="U62" s="22" t="str">
        <f t="shared" si="1"/>
        <v/>
      </c>
      <c r="V62" s="18" t="str">
        <f t="shared" si="2"/>
        <v/>
      </c>
      <c r="W62" s="22"/>
      <c r="X62" s="22"/>
      <c r="Y62" s="27">
        <f>IF($C62="",0,IF(COUNTIF($C$5:$C62,$C62)=1,1,0))</f>
        <v>0</v>
      </c>
      <c r="Z62" t="str">
        <f>IF(Y62=1,SUM($Y$5:$Y62),"")</f>
        <v/>
      </c>
    </row>
    <row r="63" spans="1:26">
      <c r="A63" s="22"/>
      <c r="B63" s="22"/>
      <c r="C63" s="22"/>
      <c r="D63" s="22"/>
      <c r="E63" s="23"/>
      <c r="F63" s="23"/>
      <c r="G63" s="24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6"/>
      <c r="T63" s="23" t="str">
        <f t="shared" si="0"/>
        <v/>
      </c>
      <c r="U63" s="22" t="str">
        <f t="shared" si="1"/>
        <v/>
      </c>
      <c r="V63" s="18" t="str">
        <f t="shared" si="2"/>
        <v/>
      </c>
      <c r="W63" s="22"/>
      <c r="X63" s="22"/>
      <c r="Y63" s="27">
        <f>IF($C63="",0,IF(COUNTIF($C$5:$C63,$C63)=1,1,0))</f>
        <v>0</v>
      </c>
      <c r="Z63" t="str">
        <f>IF(Y63=1,SUM($Y$5:$Y63),"")</f>
        <v/>
      </c>
    </row>
    <row r="64" spans="1:26">
      <c r="A64" s="22"/>
      <c r="B64" s="22"/>
      <c r="C64" s="22"/>
      <c r="D64" s="22"/>
      <c r="E64" s="23"/>
      <c r="F64" s="23"/>
      <c r="G64" s="24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6"/>
      <c r="T64" s="23" t="str">
        <f t="shared" si="0"/>
        <v/>
      </c>
      <c r="U64" s="22" t="str">
        <f t="shared" si="1"/>
        <v/>
      </c>
      <c r="V64" s="18" t="str">
        <f t="shared" si="2"/>
        <v/>
      </c>
      <c r="W64" s="22"/>
      <c r="X64" s="22"/>
      <c r="Y64" s="27">
        <f>IF($C64="",0,IF(COUNTIF($C$5:$C64,$C64)=1,1,0))</f>
        <v>0</v>
      </c>
      <c r="Z64" t="str">
        <f>IF(Y64=1,SUM($Y$5:$Y64),"")</f>
        <v/>
      </c>
    </row>
    <row r="65" spans="1:26">
      <c r="A65" s="22"/>
      <c r="B65" s="22"/>
      <c r="C65" s="22"/>
      <c r="D65" s="22"/>
      <c r="E65" s="23"/>
      <c r="F65" s="23"/>
      <c r="G65" s="24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6"/>
      <c r="T65" s="23" t="str">
        <f t="shared" si="0"/>
        <v/>
      </c>
      <c r="U65" s="22" t="str">
        <f t="shared" si="1"/>
        <v/>
      </c>
      <c r="V65" s="18" t="str">
        <f t="shared" si="2"/>
        <v/>
      </c>
      <c r="W65" s="22"/>
      <c r="X65" s="22"/>
      <c r="Y65" s="27">
        <f>IF($C65="",0,IF(COUNTIF($C$5:$C65,$C65)=1,1,0))</f>
        <v>0</v>
      </c>
      <c r="Z65" t="str">
        <f>IF(Y65=1,SUM($Y$5:$Y65),"")</f>
        <v/>
      </c>
    </row>
    <row r="66" spans="1:26">
      <c r="A66" s="22"/>
      <c r="B66" s="22"/>
      <c r="C66" s="22"/>
      <c r="D66" s="22"/>
      <c r="E66" s="23"/>
      <c r="F66" s="23"/>
      <c r="G66" s="24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6"/>
      <c r="T66" s="23" t="str">
        <f t="shared" si="0"/>
        <v/>
      </c>
      <c r="U66" s="22" t="str">
        <f t="shared" si="1"/>
        <v/>
      </c>
      <c r="V66" s="18" t="str">
        <f t="shared" si="2"/>
        <v/>
      </c>
      <c r="W66" s="22"/>
      <c r="X66" s="22"/>
      <c r="Y66" s="27">
        <f>IF($C66="",0,IF(COUNTIF($C$5:$C66,$C66)=1,1,0))</f>
        <v>0</v>
      </c>
      <c r="Z66" t="str">
        <f>IF(Y66=1,SUM($Y$5:$Y66),"")</f>
        <v/>
      </c>
    </row>
    <row r="67" spans="1:26">
      <c r="A67" s="22"/>
      <c r="B67" s="22"/>
      <c r="C67" s="22"/>
      <c r="D67" s="22"/>
      <c r="E67" s="23"/>
      <c r="F67" s="23"/>
      <c r="G67" s="24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6"/>
      <c r="T67" s="23" t="str">
        <f t="shared" si="0"/>
        <v/>
      </c>
      <c r="U67" s="22" t="str">
        <f t="shared" si="1"/>
        <v/>
      </c>
      <c r="V67" s="18" t="str">
        <f t="shared" si="2"/>
        <v/>
      </c>
      <c r="W67" s="22"/>
      <c r="X67" s="22"/>
      <c r="Y67" s="27">
        <f>IF($C67="",0,IF(COUNTIF($C$5:$C67,$C67)=1,1,0))</f>
        <v>0</v>
      </c>
      <c r="Z67" t="str">
        <f>IF(Y67=1,SUM($Y$5:$Y67),"")</f>
        <v/>
      </c>
    </row>
    <row r="68" spans="1:26">
      <c r="A68" s="22"/>
      <c r="B68" s="22"/>
      <c r="C68" s="22"/>
      <c r="D68" s="22"/>
      <c r="E68" s="23"/>
      <c r="F68" s="23"/>
      <c r="G68" s="24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6"/>
      <c r="T68" s="23" t="str">
        <f t="shared" si="0"/>
        <v/>
      </c>
      <c r="U68" s="22" t="str">
        <f t="shared" si="1"/>
        <v/>
      </c>
      <c r="V68" s="18" t="str">
        <f t="shared" si="2"/>
        <v/>
      </c>
      <c r="W68" s="22"/>
      <c r="X68" s="22"/>
      <c r="Y68" s="27">
        <f>IF($C68="",0,IF(COUNTIF($C$5:$C68,$C68)=1,1,0))</f>
        <v>0</v>
      </c>
      <c r="Z68" t="str">
        <f>IF(Y68=1,SUM($Y$5:$Y68),"")</f>
        <v/>
      </c>
    </row>
    <row r="69" spans="1:26">
      <c r="A69" s="22"/>
      <c r="B69" s="22"/>
      <c r="C69" s="22"/>
      <c r="D69" s="22"/>
      <c r="E69" s="23"/>
      <c r="F69" s="23"/>
      <c r="G69" s="24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6"/>
      <c r="T69" s="23" t="str">
        <f t="shared" ref="T69:T132" si="3">IF($D69="","",COUNTIF($H69:$R69,"V"))</f>
        <v/>
      </c>
      <c r="U69" s="22" t="str">
        <f t="shared" ref="U69:U132" si="4">IF($D69="","",IF(AND($S69="V",$T69&gt;0),"⚠ 勾選矛盾",IF($S69="V","○ 免調理",IF($T69=0,"⚠ 資料缺漏",IF($T69=1,"▲ 單一設備依賴","OK")))))</f>
        <v/>
      </c>
      <c r="V69" s="18" t="str">
        <f t="shared" ref="V69:V132" si="5">IF($D69="","",IF(AND($S69="V",$T69&gt;0),"「無使用調理設備」不可與設備欄同時勾選，請擇一修正",IF($S69="V","免調理半成品（外購/僅切配等），不列入設備風險評估",IF($T69=0,"未勾選任何設備，請補填或勾選「無使用調理設備」",IF($T69=1,"僅依賴1台設備，須確認故障/排修時之備援製程","無異常")))))</f>
        <v/>
      </c>
      <c r="W69" s="22"/>
      <c r="X69" s="22"/>
      <c r="Y69" s="27">
        <f>IF($C69="",0,IF(COUNTIF($C$5:$C69,$C69)=1,1,0))</f>
        <v>0</v>
      </c>
      <c r="Z69" t="str">
        <f>IF(Y69=1,SUM($Y$5:$Y69),"")</f>
        <v/>
      </c>
    </row>
    <row r="70" spans="1:26">
      <c r="A70" s="22"/>
      <c r="B70" s="22"/>
      <c r="C70" s="22"/>
      <c r="D70" s="22"/>
      <c r="E70" s="23"/>
      <c r="F70" s="23"/>
      <c r="G70" s="24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6"/>
      <c r="T70" s="23" t="str">
        <f t="shared" si="3"/>
        <v/>
      </c>
      <c r="U70" s="22" t="str">
        <f t="shared" si="4"/>
        <v/>
      </c>
      <c r="V70" s="18" t="str">
        <f t="shared" si="5"/>
        <v/>
      </c>
      <c r="W70" s="22"/>
      <c r="X70" s="22"/>
      <c r="Y70" s="27">
        <f>IF($C70="",0,IF(COUNTIF($C$5:$C70,$C70)=1,1,0))</f>
        <v>0</v>
      </c>
      <c r="Z70" t="str">
        <f>IF(Y70=1,SUM($Y$5:$Y70),"")</f>
        <v/>
      </c>
    </row>
    <row r="71" spans="1:26">
      <c r="A71" s="22"/>
      <c r="B71" s="22"/>
      <c r="C71" s="22"/>
      <c r="D71" s="22"/>
      <c r="E71" s="23"/>
      <c r="F71" s="23"/>
      <c r="G71" s="24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6"/>
      <c r="T71" s="23" t="str">
        <f t="shared" si="3"/>
        <v/>
      </c>
      <c r="U71" s="22" t="str">
        <f t="shared" si="4"/>
        <v/>
      </c>
      <c r="V71" s="18" t="str">
        <f t="shared" si="5"/>
        <v/>
      </c>
      <c r="W71" s="22"/>
      <c r="X71" s="22"/>
      <c r="Y71" s="27">
        <f>IF($C71="",0,IF(COUNTIF($C$5:$C71,$C71)=1,1,0))</f>
        <v>0</v>
      </c>
      <c r="Z71" t="str">
        <f>IF(Y71=1,SUM($Y$5:$Y71),"")</f>
        <v/>
      </c>
    </row>
    <row r="72" spans="1:26">
      <c r="A72" s="22"/>
      <c r="B72" s="22"/>
      <c r="C72" s="22"/>
      <c r="D72" s="22"/>
      <c r="E72" s="23"/>
      <c r="F72" s="23"/>
      <c r="G72" s="24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6"/>
      <c r="T72" s="23" t="str">
        <f t="shared" si="3"/>
        <v/>
      </c>
      <c r="U72" s="22" t="str">
        <f t="shared" si="4"/>
        <v/>
      </c>
      <c r="V72" s="18" t="str">
        <f t="shared" si="5"/>
        <v/>
      </c>
      <c r="W72" s="22"/>
      <c r="X72" s="22"/>
      <c r="Y72" s="27">
        <f>IF($C72="",0,IF(COUNTIF($C$5:$C72,$C72)=1,1,0))</f>
        <v>0</v>
      </c>
      <c r="Z72" t="str">
        <f>IF(Y72=1,SUM($Y$5:$Y72),"")</f>
        <v/>
      </c>
    </row>
    <row r="73" spans="1:26">
      <c r="A73" s="22"/>
      <c r="B73" s="22"/>
      <c r="C73" s="22"/>
      <c r="D73" s="22"/>
      <c r="E73" s="23"/>
      <c r="F73" s="23"/>
      <c r="G73" s="24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6"/>
      <c r="T73" s="23" t="str">
        <f t="shared" si="3"/>
        <v/>
      </c>
      <c r="U73" s="22" t="str">
        <f t="shared" si="4"/>
        <v/>
      </c>
      <c r="V73" s="18" t="str">
        <f t="shared" si="5"/>
        <v/>
      </c>
      <c r="W73" s="22"/>
      <c r="X73" s="22"/>
      <c r="Y73" s="27">
        <f>IF($C73="",0,IF(COUNTIF($C$5:$C73,$C73)=1,1,0))</f>
        <v>0</v>
      </c>
      <c r="Z73" t="str">
        <f>IF(Y73=1,SUM($Y$5:$Y73),"")</f>
        <v/>
      </c>
    </row>
    <row r="74" spans="1:26">
      <c r="A74" s="22"/>
      <c r="B74" s="22"/>
      <c r="C74" s="22"/>
      <c r="D74" s="22"/>
      <c r="E74" s="23"/>
      <c r="F74" s="23"/>
      <c r="G74" s="24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6"/>
      <c r="T74" s="23" t="str">
        <f t="shared" si="3"/>
        <v/>
      </c>
      <c r="U74" s="22" t="str">
        <f t="shared" si="4"/>
        <v/>
      </c>
      <c r="V74" s="18" t="str">
        <f t="shared" si="5"/>
        <v/>
      </c>
      <c r="W74" s="22"/>
      <c r="X74" s="22"/>
      <c r="Y74" s="27">
        <f>IF($C74="",0,IF(COUNTIF($C$5:$C74,$C74)=1,1,0))</f>
        <v>0</v>
      </c>
      <c r="Z74" t="str">
        <f>IF(Y74=1,SUM($Y$5:$Y74),"")</f>
        <v/>
      </c>
    </row>
    <row r="75" spans="1:26">
      <c r="A75" s="22"/>
      <c r="B75" s="22"/>
      <c r="C75" s="22"/>
      <c r="D75" s="22"/>
      <c r="E75" s="23"/>
      <c r="F75" s="23"/>
      <c r="G75" s="24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6"/>
      <c r="T75" s="23" t="str">
        <f t="shared" si="3"/>
        <v/>
      </c>
      <c r="U75" s="22" t="str">
        <f t="shared" si="4"/>
        <v/>
      </c>
      <c r="V75" s="18" t="str">
        <f t="shared" si="5"/>
        <v/>
      </c>
      <c r="W75" s="22"/>
      <c r="X75" s="22"/>
      <c r="Y75" s="27">
        <f>IF($C75="",0,IF(COUNTIF($C$5:$C75,$C75)=1,1,0))</f>
        <v>0</v>
      </c>
      <c r="Z75" t="str">
        <f>IF(Y75=1,SUM($Y$5:$Y75),"")</f>
        <v/>
      </c>
    </row>
    <row r="76" spans="1:26">
      <c r="A76" s="22"/>
      <c r="B76" s="22"/>
      <c r="C76" s="22"/>
      <c r="D76" s="22"/>
      <c r="E76" s="23"/>
      <c r="F76" s="23"/>
      <c r="G76" s="24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6"/>
      <c r="T76" s="23" t="str">
        <f t="shared" si="3"/>
        <v/>
      </c>
      <c r="U76" s="22" t="str">
        <f t="shared" si="4"/>
        <v/>
      </c>
      <c r="V76" s="18" t="str">
        <f t="shared" si="5"/>
        <v/>
      </c>
      <c r="W76" s="22"/>
      <c r="X76" s="22"/>
      <c r="Y76" s="27">
        <f>IF($C76="",0,IF(COUNTIF($C$5:$C76,$C76)=1,1,0))</f>
        <v>0</v>
      </c>
      <c r="Z76" t="str">
        <f>IF(Y76=1,SUM($Y$5:$Y76),"")</f>
        <v/>
      </c>
    </row>
    <row r="77" spans="1:26">
      <c r="A77" s="22"/>
      <c r="B77" s="22"/>
      <c r="C77" s="22"/>
      <c r="D77" s="22"/>
      <c r="E77" s="23"/>
      <c r="F77" s="23"/>
      <c r="G77" s="24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6"/>
      <c r="T77" s="23" t="str">
        <f t="shared" si="3"/>
        <v/>
      </c>
      <c r="U77" s="22" t="str">
        <f t="shared" si="4"/>
        <v/>
      </c>
      <c r="V77" s="18" t="str">
        <f t="shared" si="5"/>
        <v/>
      </c>
      <c r="W77" s="22"/>
      <c r="X77" s="22"/>
      <c r="Y77" s="27">
        <f>IF($C77="",0,IF(COUNTIF($C$5:$C77,$C77)=1,1,0))</f>
        <v>0</v>
      </c>
      <c r="Z77" t="str">
        <f>IF(Y77=1,SUM($Y$5:$Y77),"")</f>
        <v/>
      </c>
    </row>
    <row r="78" spans="1:26">
      <c r="A78" s="22"/>
      <c r="B78" s="22"/>
      <c r="C78" s="22"/>
      <c r="D78" s="22"/>
      <c r="E78" s="23"/>
      <c r="F78" s="23"/>
      <c r="G78" s="24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6"/>
      <c r="T78" s="23" t="str">
        <f t="shared" si="3"/>
        <v/>
      </c>
      <c r="U78" s="22" t="str">
        <f t="shared" si="4"/>
        <v/>
      </c>
      <c r="V78" s="18" t="str">
        <f t="shared" si="5"/>
        <v/>
      </c>
      <c r="W78" s="22"/>
      <c r="X78" s="22"/>
      <c r="Y78" s="27">
        <f>IF($C78="",0,IF(COUNTIF($C$5:$C78,$C78)=1,1,0))</f>
        <v>0</v>
      </c>
      <c r="Z78" t="str">
        <f>IF(Y78=1,SUM($Y$5:$Y78),"")</f>
        <v/>
      </c>
    </row>
    <row r="79" spans="1:26">
      <c r="A79" s="22"/>
      <c r="B79" s="22"/>
      <c r="C79" s="22"/>
      <c r="D79" s="22"/>
      <c r="E79" s="23"/>
      <c r="F79" s="23"/>
      <c r="G79" s="24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6"/>
      <c r="T79" s="23" t="str">
        <f t="shared" si="3"/>
        <v/>
      </c>
      <c r="U79" s="22" t="str">
        <f t="shared" si="4"/>
        <v/>
      </c>
      <c r="V79" s="18" t="str">
        <f t="shared" si="5"/>
        <v/>
      </c>
      <c r="W79" s="22"/>
      <c r="X79" s="22"/>
      <c r="Y79" s="27">
        <f>IF($C79="",0,IF(COUNTIF($C$5:$C79,$C79)=1,1,0))</f>
        <v>0</v>
      </c>
      <c r="Z79" t="str">
        <f>IF(Y79=1,SUM($Y$5:$Y79),"")</f>
        <v/>
      </c>
    </row>
    <row r="80" spans="1:26">
      <c r="A80" s="22"/>
      <c r="B80" s="22"/>
      <c r="C80" s="22"/>
      <c r="D80" s="22"/>
      <c r="E80" s="23"/>
      <c r="F80" s="23"/>
      <c r="G80" s="24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6"/>
      <c r="T80" s="23" t="str">
        <f t="shared" si="3"/>
        <v/>
      </c>
      <c r="U80" s="22" t="str">
        <f t="shared" si="4"/>
        <v/>
      </c>
      <c r="V80" s="18" t="str">
        <f t="shared" si="5"/>
        <v/>
      </c>
      <c r="W80" s="22"/>
      <c r="X80" s="22"/>
      <c r="Y80" s="27">
        <f>IF($C80="",0,IF(COUNTIF($C$5:$C80,$C80)=1,1,0))</f>
        <v>0</v>
      </c>
      <c r="Z80" t="str">
        <f>IF(Y80=1,SUM($Y$5:$Y80),"")</f>
        <v/>
      </c>
    </row>
    <row r="81" spans="1:26">
      <c r="A81" s="22"/>
      <c r="B81" s="22"/>
      <c r="C81" s="22"/>
      <c r="D81" s="22"/>
      <c r="E81" s="23"/>
      <c r="F81" s="23"/>
      <c r="G81" s="24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6"/>
      <c r="T81" s="23" t="str">
        <f t="shared" si="3"/>
        <v/>
      </c>
      <c r="U81" s="22" t="str">
        <f t="shared" si="4"/>
        <v/>
      </c>
      <c r="V81" s="18" t="str">
        <f t="shared" si="5"/>
        <v/>
      </c>
      <c r="W81" s="22"/>
      <c r="X81" s="22"/>
      <c r="Y81" s="27">
        <f>IF($C81="",0,IF(COUNTIF($C$5:$C81,$C81)=1,1,0))</f>
        <v>0</v>
      </c>
      <c r="Z81" t="str">
        <f>IF(Y81=1,SUM($Y$5:$Y81),"")</f>
        <v/>
      </c>
    </row>
    <row r="82" spans="1:26">
      <c r="A82" s="22"/>
      <c r="B82" s="22"/>
      <c r="C82" s="22"/>
      <c r="D82" s="22"/>
      <c r="E82" s="23"/>
      <c r="F82" s="23"/>
      <c r="G82" s="24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6"/>
      <c r="T82" s="23" t="str">
        <f t="shared" si="3"/>
        <v/>
      </c>
      <c r="U82" s="22" t="str">
        <f t="shared" si="4"/>
        <v/>
      </c>
      <c r="V82" s="18" t="str">
        <f t="shared" si="5"/>
        <v/>
      </c>
      <c r="W82" s="22"/>
      <c r="X82" s="22"/>
      <c r="Y82" s="27">
        <f>IF($C82="",0,IF(COUNTIF($C$5:$C82,$C82)=1,1,0))</f>
        <v>0</v>
      </c>
      <c r="Z82" t="str">
        <f>IF(Y82=1,SUM($Y$5:$Y82),"")</f>
        <v/>
      </c>
    </row>
    <row r="83" spans="1:26">
      <c r="A83" s="22"/>
      <c r="B83" s="22"/>
      <c r="C83" s="22"/>
      <c r="D83" s="22"/>
      <c r="E83" s="23"/>
      <c r="F83" s="23"/>
      <c r="G83" s="24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6"/>
      <c r="T83" s="23" t="str">
        <f t="shared" si="3"/>
        <v/>
      </c>
      <c r="U83" s="22" t="str">
        <f t="shared" si="4"/>
        <v/>
      </c>
      <c r="V83" s="18" t="str">
        <f t="shared" si="5"/>
        <v/>
      </c>
      <c r="W83" s="22"/>
      <c r="X83" s="22"/>
      <c r="Y83" s="27">
        <f>IF($C83="",0,IF(COUNTIF($C$5:$C83,$C83)=1,1,0))</f>
        <v>0</v>
      </c>
      <c r="Z83" t="str">
        <f>IF(Y83=1,SUM($Y$5:$Y83),"")</f>
        <v/>
      </c>
    </row>
    <row r="84" spans="1:26">
      <c r="A84" s="22"/>
      <c r="B84" s="22"/>
      <c r="C84" s="22"/>
      <c r="D84" s="22"/>
      <c r="E84" s="23"/>
      <c r="F84" s="23"/>
      <c r="G84" s="24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6"/>
      <c r="T84" s="23" t="str">
        <f t="shared" si="3"/>
        <v/>
      </c>
      <c r="U84" s="22" t="str">
        <f t="shared" si="4"/>
        <v/>
      </c>
      <c r="V84" s="18" t="str">
        <f t="shared" si="5"/>
        <v/>
      </c>
      <c r="W84" s="22"/>
      <c r="X84" s="22"/>
      <c r="Y84" s="27">
        <f>IF($C84="",0,IF(COUNTIF($C$5:$C84,$C84)=1,1,0))</f>
        <v>0</v>
      </c>
      <c r="Z84" t="str">
        <f>IF(Y84=1,SUM($Y$5:$Y84),"")</f>
        <v/>
      </c>
    </row>
    <row r="85" spans="1:26">
      <c r="A85" s="22"/>
      <c r="B85" s="22"/>
      <c r="C85" s="22"/>
      <c r="D85" s="22"/>
      <c r="E85" s="23"/>
      <c r="F85" s="23"/>
      <c r="G85" s="24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6"/>
      <c r="T85" s="23" t="str">
        <f t="shared" si="3"/>
        <v/>
      </c>
      <c r="U85" s="22" t="str">
        <f t="shared" si="4"/>
        <v/>
      </c>
      <c r="V85" s="18" t="str">
        <f t="shared" si="5"/>
        <v/>
      </c>
      <c r="W85" s="22"/>
      <c r="X85" s="22"/>
      <c r="Y85" s="27">
        <f>IF($C85="",0,IF(COUNTIF($C$5:$C85,$C85)=1,1,0))</f>
        <v>0</v>
      </c>
      <c r="Z85" t="str">
        <f>IF(Y85=1,SUM($Y$5:$Y85),"")</f>
        <v/>
      </c>
    </row>
    <row r="86" spans="1:26">
      <c r="A86" s="22"/>
      <c r="B86" s="22"/>
      <c r="C86" s="22"/>
      <c r="D86" s="22"/>
      <c r="E86" s="23"/>
      <c r="F86" s="23"/>
      <c r="G86" s="24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6"/>
      <c r="T86" s="23" t="str">
        <f t="shared" si="3"/>
        <v/>
      </c>
      <c r="U86" s="22" t="str">
        <f t="shared" si="4"/>
        <v/>
      </c>
      <c r="V86" s="18" t="str">
        <f t="shared" si="5"/>
        <v/>
      </c>
      <c r="W86" s="22"/>
      <c r="X86" s="22"/>
      <c r="Y86" s="27">
        <f>IF($C86="",0,IF(COUNTIF($C$5:$C86,$C86)=1,1,0))</f>
        <v>0</v>
      </c>
      <c r="Z86" t="str">
        <f>IF(Y86=1,SUM($Y$5:$Y86),"")</f>
        <v/>
      </c>
    </row>
    <row r="87" spans="1:26">
      <c r="A87" s="22"/>
      <c r="B87" s="22"/>
      <c r="C87" s="22"/>
      <c r="D87" s="22"/>
      <c r="E87" s="23"/>
      <c r="F87" s="23"/>
      <c r="G87" s="24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6"/>
      <c r="T87" s="23" t="str">
        <f t="shared" si="3"/>
        <v/>
      </c>
      <c r="U87" s="22" t="str">
        <f t="shared" si="4"/>
        <v/>
      </c>
      <c r="V87" s="18" t="str">
        <f t="shared" si="5"/>
        <v/>
      </c>
      <c r="W87" s="22"/>
      <c r="X87" s="22"/>
      <c r="Y87" s="27">
        <f>IF($C87="",0,IF(COUNTIF($C$5:$C87,$C87)=1,1,0))</f>
        <v>0</v>
      </c>
      <c r="Z87" t="str">
        <f>IF(Y87=1,SUM($Y$5:$Y87),"")</f>
        <v/>
      </c>
    </row>
    <row r="88" spans="1:26">
      <c r="A88" s="22"/>
      <c r="B88" s="22"/>
      <c r="C88" s="22"/>
      <c r="D88" s="22"/>
      <c r="E88" s="23"/>
      <c r="F88" s="23"/>
      <c r="G88" s="24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6"/>
      <c r="T88" s="23" t="str">
        <f t="shared" si="3"/>
        <v/>
      </c>
      <c r="U88" s="22" t="str">
        <f t="shared" si="4"/>
        <v/>
      </c>
      <c r="V88" s="18" t="str">
        <f t="shared" si="5"/>
        <v/>
      </c>
      <c r="W88" s="22"/>
      <c r="X88" s="22"/>
      <c r="Y88" s="27">
        <f>IF($C88="",0,IF(COUNTIF($C$5:$C88,$C88)=1,1,0))</f>
        <v>0</v>
      </c>
      <c r="Z88" t="str">
        <f>IF(Y88=1,SUM($Y$5:$Y88),"")</f>
        <v/>
      </c>
    </row>
    <row r="89" spans="1:26">
      <c r="A89" s="22"/>
      <c r="B89" s="22"/>
      <c r="C89" s="22"/>
      <c r="D89" s="22"/>
      <c r="E89" s="23"/>
      <c r="F89" s="23"/>
      <c r="G89" s="24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6"/>
      <c r="T89" s="23" t="str">
        <f t="shared" si="3"/>
        <v/>
      </c>
      <c r="U89" s="22" t="str">
        <f t="shared" si="4"/>
        <v/>
      </c>
      <c r="V89" s="18" t="str">
        <f t="shared" si="5"/>
        <v/>
      </c>
      <c r="W89" s="22"/>
      <c r="X89" s="22"/>
      <c r="Y89" s="27">
        <f>IF($C89="",0,IF(COUNTIF($C$5:$C89,$C89)=1,1,0))</f>
        <v>0</v>
      </c>
      <c r="Z89" t="str">
        <f>IF(Y89=1,SUM($Y$5:$Y89),"")</f>
        <v/>
      </c>
    </row>
    <row r="90" spans="1:26">
      <c r="A90" s="22"/>
      <c r="B90" s="22"/>
      <c r="C90" s="22"/>
      <c r="D90" s="22"/>
      <c r="E90" s="23"/>
      <c r="F90" s="23"/>
      <c r="G90" s="24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6"/>
      <c r="T90" s="23" t="str">
        <f t="shared" si="3"/>
        <v/>
      </c>
      <c r="U90" s="22" t="str">
        <f t="shared" si="4"/>
        <v/>
      </c>
      <c r="V90" s="18" t="str">
        <f t="shared" si="5"/>
        <v/>
      </c>
      <c r="W90" s="22"/>
      <c r="X90" s="22"/>
      <c r="Y90" s="27">
        <f>IF($C90="",0,IF(COUNTIF($C$5:$C90,$C90)=1,1,0))</f>
        <v>0</v>
      </c>
      <c r="Z90" t="str">
        <f>IF(Y90=1,SUM($Y$5:$Y90),"")</f>
        <v/>
      </c>
    </row>
    <row r="91" spans="1:26">
      <c r="A91" s="22"/>
      <c r="B91" s="22"/>
      <c r="C91" s="22"/>
      <c r="D91" s="22"/>
      <c r="E91" s="23"/>
      <c r="F91" s="23"/>
      <c r="G91" s="24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6"/>
      <c r="T91" s="23" t="str">
        <f t="shared" si="3"/>
        <v/>
      </c>
      <c r="U91" s="22" t="str">
        <f t="shared" si="4"/>
        <v/>
      </c>
      <c r="V91" s="18" t="str">
        <f t="shared" si="5"/>
        <v/>
      </c>
      <c r="W91" s="22"/>
      <c r="X91" s="22"/>
      <c r="Y91" s="27">
        <f>IF($C91="",0,IF(COUNTIF($C$5:$C91,$C91)=1,1,0))</f>
        <v>0</v>
      </c>
      <c r="Z91" t="str">
        <f>IF(Y91=1,SUM($Y$5:$Y91),"")</f>
        <v/>
      </c>
    </row>
    <row r="92" spans="1:26">
      <c r="A92" s="22"/>
      <c r="B92" s="22"/>
      <c r="C92" s="22"/>
      <c r="D92" s="22"/>
      <c r="E92" s="23"/>
      <c r="F92" s="23"/>
      <c r="G92" s="24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6"/>
      <c r="T92" s="23" t="str">
        <f t="shared" si="3"/>
        <v/>
      </c>
      <c r="U92" s="22" t="str">
        <f t="shared" si="4"/>
        <v/>
      </c>
      <c r="V92" s="18" t="str">
        <f t="shared" si="5"/>
        <v/>
      </c>
      <c r="W92" s="22"/>
      <c r="X92" s="22"/>
      <c r="Y92" s="27">
        <f>IF($C92="",0,IF(COUNTIF($C$5:$C92,$C92)=1,1,0))</f>
        <v>0</v>
      </c>
      <c r="Z92" t="str">
        <f>IF(Y92=1,SUM($Y$5:$Y92),"")</f>
        <v/>
      </c>
    </row>
    <row r="93" spans="1:26">
      <c r="A93" s="22"/>
      <c r="B93" s="22"/>
      <c r="C93" s="22"/>
      <c r="D93" s="22"/>
      <c r="E93" s="23"/>
      <c r="F93" s="23"/>
      <c r="G93" s="24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6"/>
      <c r="T93" s="23" t="str">
        <f t="shared" si="3"/>
        <v/>
      </c>
      <c r="U93" s="22" t="str">
        <f t="shared" si="4"/>
        <v/>
      </c>
      <c r="V93" s="18" t="str">
        <f t="shared" si="5"/>
        <v/>
      </c>
      <c r="W93" s="22"/>
      <c r="X93" s="22"/>
      <c r="Y93" s="27">
        <f>IF($C93="",0,IF(COUNTIF($C$5:$C93,$C93)=1,1,0))</f>
        <v>0</v>
      </c>
      <c r="Z93" t="str">
        <f>IF(Y93=1,SUM($Y$5:$Y93),"")</f>
        <v/>
      </c>
    </row>
    <row r="94" spans="1:26">
      <c r="A94" s="22"/>
      <c r="B94" s="22"/>
      <c r="C94" s="22"/>
      <c r="D94" s="22"/>
      <c r="E94" s="23"/>
      <c r="F94" s="23"/>
      <c r="G94" s="24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6"/>
      <c r="T94" s="23" t="str">
        <f t="shared" si="3"/>
        <v/>
      </c>
      <c r="U94" s="22" t="str">
        <f t="shared" si="4"/>
        <v/>
      </c>
      <c r="V94" s="18" t="str">
        <f t="shared" si="5"/>
        <v/>
      </c>
      <c r="W94" s="22"/>
      <c r="X94" s="22"/>
      <c r="Y94" s="27">
        <f>IF($C94="",0,IF(COUNTIF($C$5:$C94,$C94)=1,1,0))</f>
        <v>0</v>
      </c>
      <c r="Z94" t="str">
        <f>IF(Y94=1,SUM($Y$5:$Y94),"")</f>
        <v/>
      </c>
    </row>
    <row r="95" spans="1:26">
      <c r="A95" s="22"/>
      <c r="B95" s="22"/>
      <c r="C95" s="22"/>
      <c r="D95" s="22"/>
      <c r="E95" s="23"/>
      <c r="F95" s="23"/>
      <c r="G95" s="24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6"/>
      <c r="T95" s="23" t="str">
        <f t="shared" si="3"/>
        <v/>
      </c>
      <c r="U95" s="22" t="str">
        <f t="shared" si="4"/>
        <v/>
      </c>
      <c r="V95" s="18" t="str">
        <f t="shared" si="5"/>
        <v/>
      </c>
      <c r="W95" s="22"/>
      <c r="X95" s="22"/>
      <c r="Y95" s="27">
        <f>IF($C95="",0,IF(COUNTIF($C$5:$C95,$C95)=1,1,0))</f>
        <v>0</v>
      </c>
      <c r="Z95" t="str">
        <f>IF(Y95=1,SUM($Y$5:$Y95),"")</f>
        <v/>
      </c>
    </row>
    <row r="96" spans="1:26">
      <c r="A96" s="22"/>
      <c r="B96" s="22"/>
      <c r="C96" s="22"/>
      <c r="D96" s="22"/>
      <c r="E96" s="23"/>
      <c r="F96" s="23"/>
      <c r="G96" s="24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6"/>
      <c r="T96" s="23" t="str">
        <f t="shared" si="3"/>
        <v/>
      </c>
      <c r="U96" s="22" t="str">
        <f t="shared" si="4"/>
        <v/>
      </c>
      <c r="V96" s="18" t="str">
        <f t="shared" si="5"/>
        <v/>
      </c>
      <c r="W96" s="22"/>
      <c r="X96" s="22"/>
      <c r="Y96" s="27">
        <f>IF($C96="",0,IF(COUNTIF($C$5:$C96,$C96)=1,1,0))</f>
        <v>0</v>
      </c>
      <c r="Z96" t="str">
        <f>IF(Y96=1,SUM($Y$5:$Y96),"")</f>
        <v/>
      </c>
    </row>
    <row r="97" spans="1:26">
      <c r="A97" s="22"/>
      <c r="B97" s="22"/>
      <c r="C97" s="22"/>
      <c r="D97" s="22"/>
      <c r="E97" s="23"/>
      <c r="F97" s="23"/>
      <c r="G97" s="24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6"/>
      <c r="T97" s="23" t="str">
        <f t="shared" si="3"/>
        <v/>
      </c>
      <c r="U97" s="22" t="str">
        <f t="shared" si="4"/>
        <v/>
      </c>
      <c r="V97" s="18" t="str">
        <f t="shared" si="5"/>
        <v/>
      </c>
      <c r="W97" s="22"/>
      <c r="X97" s="22"/>
      <c r="Y97" s="27">
        <f>IF($C97="",0,IF(COUNTIF($C$5:$C97,$C97)=1,1,0))</f>
        <v>0</v>
      </c>
      <c r="Z97" t="str">
        <f>IF(Y97=1,SUM($Y$5:$Y97),"")</f>
        <v/>
      </c>
    </row>
    <row r="98" spans="1:26">
      <c r="A98" s="22"/>
      <c r="B98" s="22"/>
      <c r="C98" s="22"/>
      <c r="D98" s="22"/>
      <c r="E98" s="23"/>
      <c r="F98" s="23"/>
      <c r="G98" s="24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6"/>
      <c r="T98" s="23" t="str">
        <f t="shared" si="3"/>
        <v/>
      </c>
      <c r="U98" s="22" t="str">
        <f t="shared" si="4"/>
        <v/>
      </c>
      <c r="V98" s="18" t="str">
        <f t="shared" si="5"/>
        <v/>
      </c>
      <c r="W98" s="22"/>
      <c r="X98" s="22"/>
      <c r="Y98" s="27">
        <f>IF($C98="",0,IF(COUNTIF($C$5:$C98,$C98)=1,1,0))</f>
        <v>0</v>
      </c>
      <c r="Z98" t="str">
        <f>IF(Y98=1,SUM($Y$5:$Y98),"")</f>
        <v/>
      </c>
    </row>
    <row r="99" spans="1:26">
      <c r="A99" s="22"/>
      <c r="B99" s="22"/>
      <c r="C99" s="22"/>
      <c r="D99" s="22"/>
      <c r="E99" s="23"/>
      <c r="F99" s="23"/>
      <c r="G99" s="24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6"/>
      <c r="T99" s="23" t="str">
        <f t="shared" si="3"/>
        <v/>
      </c>
      <c r="U99" s="22" t="str">
        <f t="shared" si="4"/>
        <v/>
      </c>
      <c r="V99" s="18" t="str">
        <f t="shared" si="5"/>
        <v/>
      </c>
      <c r="W99" s="22"/>
      <c r="X99" s="22"/>
      <c r="Y99" s="27">
        <f>IF($C99="",0,IF(COUNTIF($C$5:$C99,$C99)=1,1,0))</f>
        <v>0</v>
      </c>
      <c r="Z99" t="str">
        <f>IF(Y99=1,SUM($Y$5:$Y99),"")</f>
        <v/>
      </c>
    </row>
    <row r="100" spans="1:26">
      <c r="A100" s="22"/>
      <c r="B100" s="22"/>
      <c r="C100" s="22"/>
      <c r="D100" s="22"/>
      <c r="E100" s="23"/>
      <c r="F100" s="23"/>
      <c r="G100" s="24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6"/>
      <c r="T100" s="23" t="str">
        <f t="shared" si="3"/>
        <v/>
      </c>
      <c r="U100" s="22" t="str">
        <f t="shared" si="4"/>
        <v/>
      </c>
      <c r="V100" s="18" t="str">
        <f t="shared" si="5"/>
        <v/>
      </c>
      <c r="W100" s="22"/>
      <c r="X100" s="22"/>
      <c r="Y100" s="27">
        <f>IF($C100="",0,IF(COUNTIF($C$5:$C100,$C100)=1,1,0))</f>
        <v>0</v>
      </c>
      <c r="Z100" t="str">
        <f>IF(Y100=1,SUM($Y$5:$Y100),"")</f>
        <v/>
      </c>
    </row>
    <row r="101" spans="1:26">
      <c r="A101" s="22"/>
      <c r="B101" s="22"/>
      <c r="C101" s="22"/>
      <c r="D101" s="22"/>
      <c r="E101" s="23"/>
      <c r="F101" s="23"/>
      <c r="G101" s="24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6"/>
      <c r="T101" s="23" t="str">
        <f t="shared" si="3"/>
        <v/>
      </c>
      <c r="U101" s="22" t="str">
        <f t="shared" si="4"/>
        <v/>
      </c>
      <c r="V101" s="18" t="str">
        <f t="shared" si="5"/>
        <v/>
      </c>
      <c r="W101" s="22"/>
      <c r="X101" s="22"/>
      <c r="Y101" s="27">
        <f>IF($C101="",0,IF(COUNTIF($C$5:$C101,$C101)=1,1,0))</f>
        <v>0</v>
      </c>
      <c r="Z101" t="str">
        <f>IF(Y101=1,SUM($Y$5:$Y101),"")</f>
        <v/>
      </c>
    </row>
    <row r="102" spans="1:26">
      <c r="A102" s="22"/>
      <c r="B102" s="22"/>
      <c r="C102" s="22"/>
      <c r="D102" s="22"/>
      <c r="E102" s="23"/>
      <c r="F102" s="23"/>
      <c r="G102" s="24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6"/>
      <c r="T102" s="23" t="str">
        <f t="shared" si="3"/>
        <v/>
      </c>
      <c r="U102" s="22" t="str">
        <f t="shared" si="4"/>
        <v/>
      </c>
      <c r="V102" s="18" t="str">
        <f t="shared" si="5"/>
        <v/>
      </c>
      <c r="W102" s="22"/>
      <c r="X102" s="22"/>
      <c r="Y102" s="27">
        <f>IF($C102="",0,IF(COUNTIF($C$5:$C102,$C102)=1,1,0))</f>
        <v>0</v>
      </c>
      <c r="Z102" t="str">
        <f>IF(Y102=1,SUM($Y$5:$Y102),"")</f>
        <v/>
      </c>
    </row>
    <row r="103" spans="1:26">
      <c r="A103" s="22"/>
      <c r="B103" s="22"/>
      <c r="C103" s="22"/>
      <c r="D103" s="22"/>
      <c r="E103" s="23"/>
      <c r="F103" s="23"/>
      <c r="G103" s="24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6"/>
      <c r="T103" s="23" t="str">
        <f t="shared" si="3"/>
        <v/>
      </c>
      <c r="U103" s="22" t="str">
        <f t="shared" si="4"/>
        <v/>
      </c>
      <c r="V103" s="18" t="str">
        <f t="shared" si="5"/>
        <v/>
      </c>
      <c r="W103" s="22"/>
      <c r="X103" s="22"/>
      <c r="Y103" s="27">
        <f>IF($C103="",0,IF(COUNTIF($C$5:$C103,$C103)=1,1,0))</f>
        <v>0</v>
      </c>
      <c r="Z103" t="str">
        <f>IF(Y103=1,SUM($Y$5:$Y103),"")</f>
        <v/>
      </c>
    </row>
    <row r="104" spans="1:26">
      <c r="A104" s="22"/>
      <c r="B104" s="22"/>
      <c r="C104" s="22"/>
      <c r="D104" s="22"/>
      <c r="E104" s="23"/>
      <c r="F104" s="23"/>
      <c r="G104" s="24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6"/>
      <c r="T104" s="23" t="str">
        <f t="shared" si="3"/>
        <v/>
      </c>
      <c r="U104" s="22" t="str">
        <f t="shared" si="4"/>
        <v/>
      </c>
      <c r="V104" s="18" t="str">
        <f t="shared" si="5"/>
        <v/>
      </c>
      <c r="W104" s="22"/>
      <c r="X104" s="22"/>
      <c r="Y104" s="27">
        <f>IF($C104="",0,IF(COUNTIF($C$5:$C104,$C104)=1,1,0))</f>
        <v>0</v>
      </c>
      <c r="Z104" t="str">
        <f>IF(Y104=1,SUM($Y$5:$Y104),"")</f>
        <v/>
      </c>
    </row>
    <row r="105" spans="1:26">
      <c r="A105" s="22"/>
      <c r="B105" s="22"/>
      <c r="C105" s="22"/>
      <c r="D105" s="22"/>
      <c r="E105" s="23"/>
      <c r="F105" s="23"/>
      <c r="G105" s="24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6"/>
      <c r="T105" s="23" t="str">
        <f t="shared" si="3"/>
        <v/>
      </c>
      <c r="U105" s="22" t="str">
        <f t="shared" si="4"/>
        <v/>
      </c>
      <c r="V105" s="18" t="str">
        <f t="shared" si="5"/>
        <v/>
      </c>
      <c r="W105" s="22"/>
      <c r="X105" s="22"/>
      <c r="Y105" s="27">
        <f>IF($C105="",0,IF(COUNTIF($C$5:$C105,$C105)=1,1,0))</f>
        <v>0</v>
      </c>
      <c r="Z105" t="str">
        <f>IF(Y105=1,SUM($Y$5:$Y105),"")</f>
        <v/>
      </c>
    </row>
    <row r="106" spans="1:26">
      <c r="A106" s="22"/>
      <c r="B106" s="22"/>
      <c r="C106" s="22"/>
      <c r="D106" s="22"/>
      <c r="E106" s="23"/>
      <c r="F106" s="23"/>
      <c r="G106" s="24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6"/>
      <c r="T106" s="23" t="str">
        <f t="shared" si="3"/>
        <v/>
      </c>
      <c r="U106" s="22" t="str">
        <f t="shared" si="4"/>
        <v/>
      </c>
      <c r="V106" s="18" t="str">
        <f t="shared" si="5"/>
        <v/>
      </c>
      <c r="W106" s="22"/>
      <c r="X106" s="22"/>
      <c r="Y106" s="27">
        <f>IF($C106="",0,IF(COUNTIF($C$5:$C106,$C106)=1,1,0))</f>
        <v>0</v>
      </c>
      <c r="Z106" t="str">
        <f>IF(Y106=1,SUM($Y$5:$Y106),"")</f>
        <v/>
      </c>
    </row>
    <row r="107" spans="1:26">
      <c r="A107" s="22"/>
      <c r="B107" s="22"/>
      <c r="C107" s="22"/>
      <c r="D107" s="22"/>
      <c r="E107" s="23"/>
      <c r="F107" s="23"/>
      <c r="G107" s="24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6"/>
      <c r="T107" s="23" t="str">
        <f t="shared" si="3"/>
        <v/>
      </c>
      <c r="U107" s="22" t="str">
        <f t="shared" si="4"/>
        <v/>
      </c>
      <c r="V107" s="18" t="str">
        <f t="shared" si="5"/>
        <v/>
      </c>
      <c r="W107" s="22"/>
      <c r="X107" s="22"/>
      <c r="Y107" s="27">
        <f>IF($C107="",0,IF(COUNTIF($C$5:$C107,$C107)=1,1,0))</f>
        <v>0</v>
      </c>
      <c r="Z107" t="str">
        <f>IF(Y107=1,SUM($Y$5:$Y107),"")</f>
        <v/>
      </c>
    </row>
    <row r="108" spans="1:26">
      <c r="A108" s="22"/>
      <c r="B108" s="22"/>
      <c r="C108" s="22"/>
      <c r="D108" s="22"/>
      <c r="E108" s="23"/>
      <c r="F108" s="23"/>
      <c r="G108" s="24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6"/>
      <c r="T108" s="23" t="str">
        <f t="shared" si="3"/>
        <v/>
      </c>
      <c r="U108" s="22" t="str">
        <f t="shared" si="4"/>
        <v/>
      </c>
      <c r="V108" s="18" t="str">
        <f t="shared" si="5"/>
        <v/>
      </c>
      <c r="W108" s="22"/>
      <c r="X108" s="22"/>
      <c r="Y108" s="27">
        <f>IF($C108="",0,IF(COUNTIF($C$5:$C108,$C108)=1,1,0))</f>
        <v>0</v>
      </c>
      <c r="Z108" t="str">
        <f>IF(Y108=1,SUM($Y$5:$Y108),"")</f>
        <v/>
      </c>
    </row>
    <row r="109" spans="1:26">
      <c r="A109" s="22"/>
      <c r="B109" s="22"/>
      <c r="C109" s="22"/>
      <c r="D109" s="22"/>
      <c r="E109" s="23"/>
      <c r="F109" s="23"/>
      <c r="G109" s="24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6"/>
      <c r="T109" s="23" t="str">
        <f t="shared" si="3"/>
        <v/>
      </c>
      <c r="U109" s="22" t="str">
        <f t="shared" si="4"/>
        <v/>
      </c>
      <c r="V109" s="18" t="str">
        <f t="shared" si="5"/>
        <v/>
      </c>
      <c r="W109" s="22"/>
      <c r="X109" s="22"/>
      <c r="Y109" s="27">
        <f>IF($C109="",0,IF(COUNTIF($C$5:$C109,$C109)=1,1,0))</f>
        <v>0</v>
      </c>
      <c r="Z109" t="str">
        <f>IF(Y109=1,SUM($Y$5:$Y109),"")</f>
        <v/>
      </c>
    </row>
    <row r="110" spans="1:26">
      <c r="A110" s="22"/>
      <c r="B110" s="22"/>
      <c r="C110" s="22"/>
      <c r="D110" s="22"/>
      <c r="E110" s="23"/>
      <c r="F110" s="23"/>
      <c r="G110" s="24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6"/>
      <c r="T110" s="23" t="str">
        <f t="shared" si="3"/>
        <v/>
      </c>
      <c r="U110" s="22" t="str">
        <f t="shared" si="4"/>
        <v/>
      </c>
      <c r="V110" s="18" t="str">
        <f t="shared" si="5"/>
        <v/>
      </c>
      <c r="W110" s="22"/>
      <c r="X110" s="22"/>
      <c r="Y110" s="27">
        <f>IF($C110="",0,IF(COUNTIF($C$5:$C110,$C110)=1,1,0))</f>
        <v>0</v>
      </c>
      <c r="Z110" t="str">
        <f>IF(Y110=1,SUM($Y$5:$Y110),"")</f>
        <v/>
      </c>
    </row>
    <row r="111" spans="1:26">
      <c r="A111" s="22"/>
      <c r="B111" s="22"/>
      <c r="C111" s="22"/>
      <c r="D111" s="22"/>
      <c r="E111" s="23"/>
      <c r="F111" s="23"/>
      <c r="G111" s="24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6"/>
      <c r="T111" s="23" t="str">
        <f t="shared" si="3"/>
        <v/>
      </c>
      <c r="U111" s="22" t="str">
        <f t="shared" si="4"/>
        <v/>
      </c>
      <c r="V111" s="18" t="str">
        <f t="shared" si="5"/>
        <v/>
      </c>
      <c r="W111" s="22"/>
      <c r="X111" s="22"/>
      <c r="Y111" s="27">
        <f>IF($C111="",0,IF(COUNTIF($C$5:$C111,$C111)=1,1,0))</f>
        <v>0</v>
      </c>
      <c r="Z111" t="str">
        <f>IF(Y111=1,SUM($Y$5:$Y111),"")</f>
        <v/>
      </c>
    </row>
    <row r="112" spans="1:26">
      <c r="A112" s="22"/>
      <c r="B112" s="22"/>
      <c r="C112" s="22"/>
      <c r="D112" s="22"/>
      <c r="E112" s="23"/>
      <c r="F112" s="23"/>
      <c r="G112" s="24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6"/>
      <c r="T112" s="23" t="str">
        <f t="shared" si="3"/>
        <v/>
      </c>
      <c r="U112" s="22" t="str">
        <f t="shared" si="4"/>
        <v/>
      </c>
      <c r="V112" s="18" t="str">
        <f t="shared" si="5"/>
        <v/>
      </c>
      <c r="W112" s="22"/>
      <c r="X112" s="22"/>
      <c r="Y112" s="27">
        <f>IF($C112="",0,IF(COUNTIF($C$5:$C112,$C112)=1,1,0))</f>
        <v>0</v>
      </c>
      <c r="Z112" t="str">
        <f>IF(Y112=1,SUM($Y$5:$Y112),"")</f>
        <v/>
      </c>
    </row>
    <row r="113" spans="1:26">
      <c r="A113" s="22"/>
      <c r="B113" s="22"/>
      <c r="C113" s="22"/>
      <c r="D113" s="22"/>
      <c r="E113" s="23"/>
      <c r="F113" s="23"/>
      <c r="G113" s="24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6"/>
      <c r="T113" s="23" t="str">
        <f t="shared" si="3"/>
        <v/>
      </c>
      <c r="U113" s="22" t="str">
        <f t="shared" si="4"/>
        <v/>
      </c>
      <c r="V113" s="18" t="str">
        <f t="shared" si="5"/>
        <v/>
      </c>
      <c r="W113" s="22"/>
      <c r="X113" s="22"/>
      <c r="Y113" s="27">
        <f>IF($C113="",0,IF(COUNTIF($C$5:$C113,$C113)=1,1,0))</f>
        <v>0</v>
      </c>
      <c r="Z113" t="str">
        <f>IF(Y113=1,SUM($Y$5:$Y113),"")</f>
        <v/>
      </c>
    </row>
    <row r="114" spans="1:26">
      <c r="A114" s="22"/>
      <c r="B114" s="22"/>
      <c r="C114" s="22"/>
      <c r="D114" s="22"/>
      <c r="E114" s="23"/>
      <c r="F114" s="23"/>
      <c r="G114" s="24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6"/>
      <c r="T114" s="23" t="str">
        <f t="shared" si="3"/>
        <v/>
      </c>
      <c r="U114" s="22" t="str">
        <f t="shared" si="4"/>
        <v/>
      </c>
      <c r="V114" s="18" t="str">
        <f t="shared" si="5"/>
        <v/>
      </c>
      <c r="W114" s="22"/>
      <c r="X114" s="22"/>
      <c r="Y114" s="27">
        <f>IF($C114="",0,IF(COUNTIF($C$5:$C114,$C114)=1,1,0))</f>
        <v>0</v>
      </c>
      <c r="Z114" t="str">
        <f>IF(Y114=1,SUM($Y$5:$Y114),"")</f>
        <v/>
      </c>
    </row>
    <row r="115" spans="1:26">
      <c r="A115" s="22"/>
      <c r="B115" s="22"/>
      <c r="C115" s="22"/>
      <c r="D115" s="22"/>
      <c r="E115" s="23"/>
      <c r="F115" s="23"/>
      <c r="G115" s="24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6"/>
      <c r="T115" s="23" t="str">
        <f t="shared" si="3"/>
        <v/>
      </c>
      <c r="U115" s="22" t="str">
        <f t="shared" si="4"/>
        <v/>
      </c>
      <c r="V115" s="18" t="str">
        <f t="shared" si="5"/>
        <v/>
      </c>
      <c r="W115" s="22"/>
      <c r="X115" s="22"/>
      <c r="Y115" s="27">
        <f>IF($C115="",0,IF(COUNTIF($C$5:$C115,$C115)=1,1,0))</f>
        <v>0</v>
      </c>
      <c r="Z115" t="str">
        <f>IF(Y115=1,SUM($Y$5:$Y115),"")</f>
        <v/>
      </c>
    </row>
    <row r="116" spans="1:26">
      <c r="A116" s="22"/>
      <c r="B116" s="22"/>
      <c r="C116" s="22"/>
      <c r="D116" s="22"/>
      <c r="E116" s="23"/>
      <c r="F116" s="23"/>
      <c r="G116" s="24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6"/>
      <c r="T116" s="23" t="str">
        <f t="shared" si="3"/>
        <v/>
      </c>
      <c r="U116" s="22" t="str">
        <f t="shared" si="4"/>
        <v/>
      </c>
      <c r="V116" s="18" t="str">
        <f t="shared" si="5"/>
        <v/>
      </c>
      <c r="W116" s="22"/>
      <c r="X116" s="22"/>
      <c r="Y116" s="27">
        <f>IF($C116="",0,IF(COUNTIF($C$5:$C116,$C116)=1,1,0))</f>
        <v>0</v>
      </c>
      <c r="Z116" t="str">
        <f>IF(Y116=1,SUM($Y$5:$Y116),"")</f>
        <v/>
      </c>
    </row>
    <row r="117" spans="1:26">
      <c r="A117" s="22"/>
      <c r="B117" s="22"/>
      <c r="C117" s="22"/>
      <c r="D117" s="22"/>
      <c r="E117" s="23"/>
      <c r="F117" s="23"/>
      <c r="G117" s="24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6"/>
      <c r="T117" s="23" t="str">
        <f t="shared" si="3"/>
        <v/>
      </c>
      <c r="U117" s="22" t="str">
        <f t="shared" si="4"/>
        <v/>
      </c>
      <c r="V117" s="18" t="str">
        <f t="shared" si="5"/>
        <v/>
      </c>
      <c r="W117" s="22"/>
      <c r="X117" s="22"/>
      <c r="Y117" s="27">
        <f>IF($C117="",0,IF(COUNTIF($C$5:$C117,$C117)=1,1,0))</f>
        <v>0</v>
      </c>
      <c r="Z117" t="str">
        <f>IF(Y117=1,SUM($Y$5:$Y117),"")</f>
        <v/>
      </c>
    </row>
    <row r="118" spans="1:26">
      <c r="A118" s="22"/>
      <c r="B118" s="22"/>
      <c r="C118" s="22"/>
      <c r="D118" s="22"/>
      <c r="E118" s="23"/>
      <c r="F118" s="23"/>
      <c r="G118" s="24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6"/>
      <c r="T118" s="23" t="str">
        <f t="shared" si="3"/>
        <v/>
      </c>
      <c r="U118" s="22" t="str">
        <f t="shared" si="4"/>
        <v/>
      </c>
      <c r="V118" s="18" t="str">
        <f t="shared" si="5"/>
        <v/>
      </c>
      <c r="W118" s="22"/>
      <c r="X118" s="22"/>
      <c r="Y118" s="27">
        <f>IF($C118="",0,IF(COUNTIF($C$5:$C118,$C118)=1,1,0))</f>
        <v>0</v>
      </c>
      <c r="Z118" t="str">
        <f>IF(Y118=1,SUM($Y$5:$Y118),"")</f>
        <v/>
      </c>
    </row>
    <row r="119" spans="1:26">
      <c r="A119" s="22"/>
      <c r="B119" s="22"/>
      <c r="C119" s="22"/>
      <c r="D119" s="22"/>
      <c r="E119" s="23"/>
      <c r="F119" s="23"/>
      <c r="G119" s="24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6"/>
      <c r="T119" s="23" t="str">
        <f t="shared" si="3"/>
        <v/>
      </c>
      <c r="U119" s="22" t="str">
        <f t="shared" si="4"/>
        <v/>
      </c>
      <c r="V119" s="18" t="str">
        <f t="shared" si="5"/>
        <v/>
      </c>
      <c r="W119" s="22"/>
      <c r="X119" s="22"/>
      <c r="Y119" s="27">
        <f>IF($C119="",0,IF(COUNTIF($C$5:$C119,$C119)=1,1,0))</f>
        <v>0</v>
      </c>
      <c r="Z119" t="str">
        <f>IF(Y119=1,SUM($Y$5:$Y119),"")</f>
        <v/>
      </c>
    </row>
    <row r="120" spans="1:26">
      <c r="A120" s="22"/>
      <c r="B120" s="22"/>
      <c r="C120" s="22"/>
      <c r="D120" s="22"/>
      <c r="E120" s="23"/>
      <c r="F120" s="23"/>
      <c r="G120" s="24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6"/>
      <c r="T120" s="23" t="str">
        <f t="shared" si="3"/>
        <v/>
      </c>
      <c r="U120" s="22" t="str">
        <f t="shared" si="4"/>
        <v/>
      </c>
      <c r="V120" s="18" t="str">
        <f t="shared" si="5"/>
        <v/>
      </c>
      <c r="W120" s="22"/>
      <c r="X120" s="22"/>
      <c r="Y120" s="27">
        <f>IF($C120="",0,IF(COUNTIF($C$5:$C120,$C120)=1,1,0))</f>
        <v>0</v>
      </c>
      <c r="Z120" t="str">
        <f>IF(Y120=1,SUM($Y$5:$Y120),"")</f>
        <v/>
      </c>
    </row>
    <row r="121" spans="1:26">
      <c r="A121" s="22"/>
      <c r="B121" s="22"/>
      <c r="C121" s="22"/>
      <c r="D121" s="22"/>
      <c r="E121" s="23"/>
      <c r="F121" s="23"/>
      <c r="G121" s="24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6"/>
      <c r="T121" s="23" t="str">
        <f t="shared" si="3"/>
        <v/>
      </c>
      <c r="U121" s="22" t="str">
        <f t="shared" si="4"/>
        <v/>
      </c>
      <c r="V121" s="18" t="str">
        <f t="shared" si="5"/>
        <v/>
      </c>
      <c r="W121" s="22"/>
      <c r="X121" s="22"/>
      <c r="Y121" s="27">
        <f>IF($C121="",0,IF(COUNTIF($C$5:$C121,$C121)=1,1,0))</f>
        <v>0</v>
      </c>
      <c r="Z121" t="str">
        <f>IF(Y121=1,SUM($Y$5:$Y121),"")</f>
        <v/>
      </c>
    </row>
    <row r="122" spans="1:26">
      <c r="A122" s="22"/>
      <c r="B122" s="22"/>
      <c r="C122" s="22"/>
      <c r="D122" s="22"/>
      <c r="E122" s="23"/>
      <c r="F122" s="23"/>
      <c r="G122" s="24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6"/>
      <c r="T122" s="23" t="str">
        <f t="shared" si="3"/>
        <v/>
      </c>
      <c r="U122" s="22" t="str">
        <f t="shared" si="4"/>
        <v/>
      </c>
      <c r="V122" s="18" t="str">
        <f t="shared" si="5"/>
        <v/>
      </c>
      <c r="W122" s="22"/>
      <c r="X122" s="22"/>
      <c r="Y122" s="27">
        <f>IF($C122="",0,IF(COUNTIF($C$5:$C122,$C122)=1,1,0))</f>
        <v>0</v>
      </c>
      <c r="Z122" t="str">
        <f>IF(Y122=1,SUM($Y$5:$Y122),"")</f>
        <v/>
      </c>
    </row>
    <row r="123" spans="1:26">
      <c r="A123" s="22"/>
      <c r="B123" s="22"/>
      <c r="C123" s="22"/>
      <c r="D123" s="22"/>
      <c r="E123" s="23"/>
      <c r="F123" s="23"/>
      <c r="G123" s="24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6"/>
      <c r="T123" s="23" t="str">
        <f t="shared" si="3"/>
        <v/>
      </c>
      <c r="U123" s="22" t="str">
        <f t="shared" si="4"/>
        <v/>
      </c>
      <c r="V123" s="18" t="str">
        <f t="shared" si="5"/>
        <v/>
      </c>
      <c r="W123" s="22"/>
      <c r="X123" s="22"/>
      <c r="Y123" s="27">
        <f>IF($C123="",0,IF(COUNTIF($C$5:$C123,$C123)=1,1,0))</f>
        <v>0</v>
      </c>
      <c r="Z123" t="str">
        <f>IF(Y123=1,SUM($Y$5:$Y123),"")</f>
        <v/>
      </c>
    </row>
    <row r="124" spans="1:26">
      <c r="A124" s="22"/>
      <c r="B124" s="22"/>
      <c r="C124" s="22"/>
      <c r="D124" s="22"/>
      <c r="E124" s="23"/>
      <c r="F124" s="23"/>
      <c r="G124" s="24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6"/>
      <c r="T124" s="23" t="str">
        <f t="shared" si="3"/>
        <v/>
      </c>
      <c r="U124" s="22" t="str">
        <f t="shared" si="4"/>
        <v/>
      </c>
      <c r="V124" s="18" t="str">
        <f t="shared" si="5"/>
        <v/>
      </c>
      <c r="W124" s="22"/>
      <c r="X124" s="22"/>
      <c r="Y124" s="27">
        <f>IF($C124="",0,IF(COUNTIF($C$5:$C124,$C124)=1,1,0))</f>
        <v>0</v>
      </c>
      <c r="Z124" t="str">
        <f>IF(Y124=1,SUM($Y$5:$Y124),"")</f>
        <v/>
      </c>
    </row>
    <row r="125" spans="1:26">
      <c r="A125" s="22"/>
      <c r="B125" s="22"/>
      <c r="C125" s="22"/>
      <c r="D125" s="22"/>
      <c r="E125" s="23"/>
      <c r="F125" s="23"/>
      <c r="G125" s="24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6"/>
      <c r="T125" s="23" t="str">
        <f t="shared" si="3"/>
        <v/>
      </c>
      <c r="U125" s="22" t="str">
        <f t="shared" si="4"/>
        <v/>
      </c>
      <c r="V125" s="18" t="str">
        <f t="shared" si="5"/>
        <v/>
      </c>
      <c r="W125" s="22"/>
      <c r="X125" s="22"/>
      <c r="Y125" s="27">
        <f>IF($C125="",0,IF(COUNTIF($C$5:$C125,$C125)=1,1,0))</f>
        <v>0</v>
      </c>
      <c r="Z125" t="str">
        <f>IF(Y125=1,SUM($Y$5:$Y125),"")</f>
        <v/>
      </c>
    </row>
    <row r="126" spans="1:26">
      <c r="A126" s="22"/>
      <c r="B126" s="22"/>
      <c r="C126" s="22"/>
      <c r="D126" s="22"/>
      <c r="E126" s="23"/>
      <c r="F126" s="23"/>
      <c r="G126" s="24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6"/>
      <c r="T126" s="23" t="str">
        <f t="shared" si="3"/>
        <v/>
      </c>
      <c r="U126" s="22" t="str">
        <f t="shared" si="4"/>
        <v/>
      </c>
      <c r="V126" s="18" t="str">
        <f t="shared" si="5"/>
        <v/>
      </c>
      <c r="W126" s="22"/>
      <c r="X126" s="22"/>
      <c r="Y126" s="27">
        <f>IF($C126="",0,IF(COUNTIF($C$5:$C126,$C126)=1,1,0))</f>
        <v>0</v>
      </c>
      <c r="Z126" t="str">
        <f>IF(Y126=1,SUM($Y$5:$Y126),"")</f>
        <v/>
      </c>
    </row>
    <row r="127" spans="1:26">
      <c r="A127" s="22"/>
      <c r="B127" s="22"/>
      <c r="C127" s="22"/>
      <c r="D127" s="22"/>
      <c r="E127" s="23"/>
      <c r="F127" s="23"/>
      <c r="G127" s="24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6"/>
      <c r="T127" s="23" t="str">
        <f t="shared" si="3"/>
        <v/>
      </c>
      <c r="U127" s="22" t="str">
        <f t="shared" si="4"/>
        <v/>
      </c>
      <c r="V127" s="18" t="str">
        <f t="shared" si="5"/>
        <v/>
      </c>
      <c r="W127" s="22"/>
      <c r="X127" s="22"/>
      <c r="Y127" s="27">
        <f>IF($C127="",0,IF(COUNTIF($C$5:$C127,$C127)=1,1,0))</f>
        <v>0</v>
      </c>
      <c r="Z127" t="str">
        <f>IF(Y127=1,SUM($Y$5:$Y127),"")</f>
        <v/>
      </c>
    </row>
    <row r="128" spans="1:26">
      <c r="A128" s="22"/>
      <c r="B128" s="22"/>
      <c r="C128" s="22"/>
      <c r="D128" s="22"/>
      <c r="E128" s="23"/>
      <c r="F128" s="23"/>
      <c r="G128" s="24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6"/>
      <c r="T128" s="23" t="str">
        <f t="shared" si="3"/>
        <v/>
      </c>
      <c r="U128" s="22" t="str">
        <f t="shared" si="4"/>
        <v/>
      </c>
      <c r="V128" s="18" t="str">
        <f t="shared" si="5"/>
        <v/>
      </c>
      <c r="W128" s="22"/>
      <c r="X128" s="22"/>
      <c r="Y128" s="27">
        <f>IF($C128="",0,IF(COUNTIF($C$5:$C128,$C128)=1,1,0))</f>
        <v>0</v>
      </c>
      <c r="Z128" t="str">
        <f>IF(Y128=1,SUM($Y$5:$Y128),"")</f>
        <v/>
      </c>
    </row>
    <row r="129" spans="1:26">
      <c r="A129" s="22"/>
      <c r="B129" s="22"/>
      <c r="C129" s="22"/>
      <c r="D129" s="22"/>
      <c r="E129" s="23"/>
      <c r="F129" s="23"/>
      <c r="G129" s="24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6"/>
      <c r="T129" s="23" t="str">
        <f t="shared" si="3"/>
        <v/>
      </c>
      <c r="U129" s="22" t="str">
        <f t="shared" si="4"/>
        <v/>
      </c>
      <c r="V129" s="18" t="str">
        <f t="shared" si="5"/>
        <v/>
      </c>
      <c r="W129" s="22"/>
      <c r="X129" s="22"/>
      <c r="Y129" s="27">
        <f>IF($C129="",0,IF(COUNTIF($C$5:$C129,$C129)=1,1,0))</f>
        <v>0</v>
      </c>
      <c r="Z129" t="str">
        <f>IF(Y129=1,SUM($Y$5:$Y129),"")</f>
        <v/>
      </c>
    </row>
    <row r="130" spans="1:26">
      <c r="A130" s="22"/>
      <c r="B130" s="22"/>
      <c r="C130" s="22"/>
      <c r="D130" s="22"/>
      <c r="E130" s="23"/>
      <c r="F130" s="23"/>
      <c r="G130" s="24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6"/>
      <c r="T130" s="23" t="str">
        <f t="shared" si="3"/>
        <v/>
      </c>
      <c r="U130" s="22" t="str">
        <f t="shared" si="4"/>
        <v/>
      </c>
      <c r="V130" s="18" t="str">
        <f t="shared" si="5"/>
        <v/>
      </c>
      <c r="W130" s="22"/>
      <c r="X130" s="22"/>
      <c r="Y130" s="27">
        <f>IF($C130="",0,IF(COUNTIF($C$5:$C130,$C130)=1,1,0))</f>
        <v>0</v>
      </c>
      <c r="Z130" t="str">
        <f>IF(Y130=1,SUM($Y$5:$Y130),"")</f>
        <v/>
      </c>
    </row>
    <row r="131" spans="1:26">
      <c r="A131" s="22"/>
      <c r="B131" s="22"/>
      <c r="C131" s="22"/>
      <c r="D131" s="22"/>
      <c r="E131" s="23"/>
      <c r="F131" s="23"/>
      <c r="G131" s="24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6"/>
      <c r="T131" s="23" t="str">
        <f t="shared" si="3"/>
        <v/>
      </c>
      <c r="U131" s="22" t="str">
        <f t="shared" si="4"/>
        <v/>
      </c>
      <c r="V131" s="18" t="str">
        <f t="shared" si="5"/>
        <v/>
      </c>
      <c r="W131" s="22"/>
      <c r="X131" s="22"/>
      <c r="Y131" s="27">
        <f>IF($C131="",0,IF(COUNTIF($C$5:$C131,$C131)=1,1,0))</f>
        <v>0</v>
      </c>
      <c r="Z131" t="str">
        <f>IF(Y131=1,SUM($Y$5:$Y131),"")</f>
        <v/>
      </c>
    </row>
    <row r="132" spans="1:26">
      <c r="A132" s="22"/>
      <c r="B132" s="22"/>
      <c r="C132" s="22"/>
      <c r="D132" s="22"/>
      <c r="E132" s="23"/>
      <c r="F132" s="23"/>
      <c r="G132" s="24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6"/>
      <c r="T132" s="23" t="str">
        <f t="shared" si="3"/>
        <v/>
      </c>
      <c r="U132" s="22" t="str">
        <f t="shared" si="4"/>
        <v/>
      </c>
      <c r="V132" s="18" t="str">
        <f t="shared" si="5"/>
        <v/>
      </c>
      <c r="W132" s="22"/>
      <c r="X132" s="22"/>
      <c r="Y132" s="27">
        <f>IF($C132="",0,IF(COUNTIF($C$5:$C132,$C132)=1,1,0))</f>
        <v>0</v>
      </c>
      <c r="Z132" t="str">
        <f>IF(Y132=1,SUM($Y$5:$Y132),"")</f>
        <v/>
      </c>
    </row>
    <row r="133" spans="1:26">
      <c r="A133" s="22"/>
      <c r="B133" s="22"/>
      <c r="C133" s="22"/>
      <c r="D133" s="22"/>
      <c r="E133" s="23"/>
      <c r="F133" s="23"/>
      <c r="G133" s="24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6"/>
      <c r="T133" s="23" t="str">
        <f t="shared" ref="T133:T196" si="6">IF($D133="","",COUNTIF($H133:$R133,"V"))</f>
        <v/>
      </c>
      <c r="U133" s="22" t="str">
        <f t="shared" ref="U133:U196" si="7">IF($D133="","",IF(AND($S133="V",$T133&gt;0),"⚠ 勾選矛盾",IF($S133="V","○ 免調理",IF($T133=0,"⚠ 資料缺漏",IF($T133=1,"▲ 單一設備依賴","OK")))))</f>
        <v/>
      </c>
      <c r="V133" s="18" t="str">
        <f t="shared" ref="V133:V196" si="8">IF($D133="","",IF(AND($S133="V",$T133&gt;0),"「無使用調理設備」不可與設備欄同時勾選，請擇一修正",IF($S133="V","免調理半成品（外購/僅切配等），不列入設備風險評估",IF($T133=0,"未勾選任何設備，請補填或勾選「無使用調理設備」",IF($T133=1,"僅依賴1台設備，須確認故障/排修時之備援製程","無異常")))))</f>
        <v/>
      </c>
      <c r="W133" s="22"/>
      <c r="X133" s="22"/>
      <c r="Y133" s="27">
        <f>IF($C133="",0,IF(COUNTIF($C$5:$C133,$C133)=1,1,0))</f>
        <v>0</v>
      </c>
      <c r="Z133" t="str">
        <f>IF(Y133=1,SUM($Y$5:$Y133),"")</f>
        <v/>
      </c>
    </row>
    <row r="134" spans="1:26">
      <c r="A134" s="22"/>
      <c r="B134" s="22"/>
      <c r="C134" s="22"/>
      <c r="D134" s="22"/>
      <c r="E134" s="23"/>
      <c r="F134" s="23"/>
      <c r="G134" s="24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6"/>
      <c r="T134" s="23" t="str">
        <f t="shared" si="6"/>
        <v/>
      </c>
      <c r="U134" s="22" t="str">
        <f t="shared" si="7"/>
        <v/>
      </c>
      <c r="V134" s="18" t="str">
        <f t="shared" si="8"/>
        <v/>
      </c>
      <c r="W134" s="22"/>
      <c r="X134" s="22"/>
      <c r="Y134" s="27">
        <f>IF($C134="",0,IF(COUNTIF($C$5:$C134,$C134)=1,1,0))</f>
        <v>0</v>
      </c>
      <c r="Z134" t="str">
        <f>IF(Y134=1,SUM($Y$5:$Y134),"")</f>
        <v/>
      </c>
    </row>
    <row r="135" spans="1:26">
      <c r="A135" s="22"/>
      <c r="B135" s="22"/>
      <c r="C135" s="22"/>
      <c r="D135" s="22"/>
      <c r="E135" s="23"/>
      <c r="F135" s="23"/>
      <c r="G135" s="24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6"/>
      <c r="T135" s="23" t="str">
        <f t="shared" si="6"/>
        <v/>
      </c>
      <c r="U135" s="22" t="str">
        <f t="shared" si="7"/>
        <v/>
      </c>
      <c r="V135" s="18" t="str">
        <f t="shared" si="8"/>
        <v/>
      </c>
      <c r="W135" s="22"/>
      <c r="X135" s="22"/>
      <c r="Y135" s="27">
        <f>IF($C135="",0,IF(COUNTIF($C$5:$C135,$C135)=1,1,0))</f>
        <v>0</v>
      </c>
      <c r="Z135" t="str">
        <f>IF(Y135=1,SUM($Y$5:$Y135),"")</f>
        <v/>
      </c>
    </row>
    <row r="136" spans="1:26">
      <c r="A136" s="22"/>
      <c r="B136" s="22"/>
      <c r="C136" s="22"/>
      <c r="D136" s="22"/>
      <c r="E136" s="23"/>
      <c r="F136" s="23"/>
      <c r="G136" s="24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6"/>
      <c r="T136" s="23" t="str">
        <f t="shared" si="6"/>
        <v/>
      </c>
      <c r="U136" s="22" t="str">
        <f t="shared" si="7"/>
        <v/>
      </c>
      <c r="V136" s="18" t="str">
        <f t="shared" si="8"/>
        <v/>
      </c>
      <c r="W136" s="22"/>
      <c r="X136" s="22"/>
      <c r="Y136" s="27">
        <f>IF($C136="",0,IF(COUNTIF($C$5:$C136,$C136)=1,1,0))</f>
        <v>0</v>
      </c>
      <c r="Z136" t="str">
        <f>IF(Y136=1,SUM($Y$5:$Y136),"")</f>
        <v/>
      </c>
    </row>
    <row r="137" spans="1:26">
      <c r="A137" s="22"/>
      <c r="B137" s="22"/>
      <c r="C137" s="22"/>
      <c r="D137" s="22"/>
      <c r="E137" s="23"/>
      <c r="F137" s="23"/>
      <c r="G137" s="24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6"/>
      <c r="T137" s="23" t="str">
        <f t="shared" si="6"/>
        <v/>
      </c>
      <c r="U137" s="22" t="str">
        <f t="shared" si="7"/>
        <v/>
      </c>
      <c r="V137" s="18" t="str">
        <f t="shared" si="8"/>
        <v/>
      </c>
      <c r="W137" s="22"/>
      <c r="X137" s="22"/>
      <c r="Y137" s="27">
        <f>IF($C137="",0,IF(COUNTIF($C$5:$C137,$C137)=1,1,0))</f>
        <v>0</v>
      </c>
      <c r="Z137" t="str">
        <f>IF(Y137=1,SUM($Y$5:$Y137),"")</f>
        <v/>
      </c>
    </row>
    <row r="138" spans="1:26">
      <c r="A138" s="22"/>
      <c r="B138" s="22"/>
      <c r="C138" s="22"/>
      <c r="D138" s="22"/>
      <c r="E138" s="23"/>
      <c r="F138" s="23"/>
      <c r="G138" s="24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6"/>
      <c r="T138" s="23" t="str">
        <f t="shared" si="6"/>
        <v/>
      </c>
      <c r="U138" s="22" t="str">
        <f t="shared" si="7"/>
        <v/>
      </c>
      <c r="V138" s="18" t="str">
        <f t="shared" si="8"/>
        <v/>
      </c>
      <c r="W138" s="22"/>
      <c r="X138" s="22"/>
      <c r="Y138" s="27">
        <f>IF($C138="",0,IF(COUNTIF($C$5:$C138,$C138)=1,1,0))</f>
        <v>0</v>
      </c>
      <c r="Z138" t="str">
        <f>IF(Y138=1,SUM($Y$5:$Y138),"")</f>
        <v/>
      </c>
    </row>
    <row r="139" spans="1:26">
      <c r="A139" s="22"/>
      <c r="B139" s="22"/>
      <c r="C139" s="22"/>
      <c r="D139" s="22"/>
      <c r="E139" s="23"/>
      <c r="F139" s="23"/>
      <c r="G139" s="24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6"/>
      <c r="T139" s="23" t="str">
        <f t="shared" si="6"/>
        <v/>
      </c>
      <c r="U139" s="22" t="str">
        <f t="shared" si="7"/>
        <v/>
      </c>
      <c r="V139" s="18" t="str">
        <f t="shared" si="8"/>
        <v/>
      </c>
      <c r="W139" s="22"/>
      <c r="X139" s="22"/>
      <c r="Y139" s="27">
        <f>IF($C139="",0,IF(COUNTIF($C$5:$C139,$C139)=1,1,0))</f>
        <v>0</v>
      </c>
      <c r="Z139" t="str">
        <f>IF(Y139=1,SUM($Y$5:$Y139),"")</f>
        <v/>
      </c>
    </row>
    <row r="140" spans="1:26">
      <c r="A140" s="22"/>
      <c r="B140" s="22"/>
      <c r="C140" s="22"/>
      <c r="D140" s="22"/>
      <c r="E140" s="23"/>
      <c r="F140" s="23"/>
      <c r="G140" s="24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6"/>
      <c r="T140" s="23" t="str">
        <f t="shared" si="6"/>
        <v/>
      </c>
      <c r="U140" s="22" t="str">
        <f t="shared" si="7"/>
        <v/>
      </c>
      <c r="V140" s="18" t="str">
        <f t="shared" si="8"/>
        <v/>
      </c>
      <c r="W140" s="22"/>
      <c r="X140" s="22"/>
      <c r="Y140" s="27">
        <f>IF($C140="",0,IF(COUNTIF($C$5:$C140,$C140)=1,1,0))</f>
        <v>0</v>
      </c>
      <c r="Z140" t="str">
        <f>IF(Y140=1,SUM($Y$5:$Y140),"")</f>
        <v/>
      </c>
    </row>
    <row r="141" spans="1:26">
      <c r="A141" s="22"/>
      <c r="B141" s="22"/>
      <c r="C141" s="22"/>
      <c r="D141" s="22"/>
      <c r="E141" s="23"/>
      <c r="F141" s="23"/>
      <c r="G141" s="24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6"/>
      <c r="T141" s="23" t="str">
        <f t="shared" si="6"/>
        <v/>
      </c>
      <c r="U141" s="22" t="str">
        <f t="shared" si="7"/>
        <v/>
      </c>
      <c r="V141" s="18" t="str">
        <f t="shared" si="8"/>
        <v/>
      </c>
      <c r="W141" s="22"/>
      <c r="X141" s="22"/>
      <c r="Y141" s="27">
        <f>IF($C141="",0,IF(COUNTIF($C$5:$C141,$C141)=1,1,0))</f>
        <v>0</v>
      </c>
      <c r="Z141" t="str">
        <f>IF(Y141=1,SUM($Y$5:$Y141),"")</f>
        <v/>
      </c>
    </row>
    <row r="142" spans="1:26">
      <c r="A142" s="22"/>
      <c r="B142" s="22"/>
      <c r="C142" s="22"/>
      <c r="D142" s="22"/>
      <c r="E142" s="23"/>
      <c r="F142" s="23"/>
      <c r="G142" s="24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6"/>
      <c r="T142" s="23" t="str">
        <f t="shared" si="6"/>
        <v/>
      </c>
      <c r="U142" s="22" t="str">
        <f t="shared" si="7"/>
        <v/>
      </c>
      <c r="V142" s="18" t="str">
        <f t="shared" si="8"/>
        <v/>
      </c>
      <c r="W142" s="22"/>
      <c r="X142" s="22"/>
      <c r="Y142" s="27">
        <f>IF($C142="",0,IF(COUNTIF($C$5:$C142,$C142)=1,1,0))</f>
        <v>0</v>
      </c>
      <c r="Z142" t="str">
        <f>IF(Y142=1,SUM($Y$5:$Y142),"")</f>
        <v/>
      </c>
    </row>
    <row r="143" spans="1:26">
      <c r="A143" s="22"/>
      <c r="B143" s="22"/>
      <c r="C143" s="22"/>
      <c r="D143" s="22"/>
      <c r="E143" s="23"/>
      <c r="F143" s="23"/>
      <c r="G143" s="24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6"/>
      <c r="T143" s="23" t="str">
        <f t="shared" si="6"/>
        <v/>
      </c>
      <c r="U143" s="22" t="str">
        <f t="shared" si="7"/>
        <v/>
      </c>
      <c r="V143" s="18" t="str">
        <f t="shared" si="8"/>
        <v/>
      </c>
      <c r="W143" s="22"/>
      <c r="X143" s="22"/>
      <c r="Y143" s="27">
        <f>IF($C143="",0,IF(COUNTIF($C$5:$C143,$C143)=1,1,0))</f>
        <v>0</v>
      </c>
      <c r="Z143" t="str">
        <f>IF(Y143=1,SUM($Y$5:$Y143),"")</f>
        <v/>
      </c>
    </row>
    <row r="144" spans="1:26">
      <c r="A144" s="22"/>
      <c r="B144" s="22"/>
      <c r="C144" s="22"/>
      <c r="D144" s="22"/>
      <c r="E144" s="23"/>
      <c r="F144" s="23"/>
      <c r="G144" s="24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6"/>
      <c r="T144" s="23" t="str">
        <f t="shared" si="6"/>
        <v/>
      </c>
      <c r="U144" s="22" t="str">
        <f t="shared" si="7"/>
        <v/>
      </c>
      <c r="V144" s="18" t="str">
        <f t="shared" si="8"/>
        <v/>
      </c>
      <c r="W144" s="22"/>
      <c r="X144" s="22"/>
      <c r="Y144" s="27">
        <f>IF($C144="",0,IF(COUNTIF($C$5:$C144,$C144)=1,1,0))</f>
        <v>0</v>
      </c>
      <c r="Z144" t="str">
        <f>IF(Y144=1,SUM($Y$5:$Y144),"")</f>
        <v/>
      </c>
    </row>
    <row r="145" spans="1:26">
      <c r="A145" s="22"/>
      <c r="B145" s="22"/>
      <c r="C145" s="22"/>
      <c r="D145" s="22"/>
      <c r="E145" s="23"/>
      <c r="F145" s="23"/>
      <c r="G145" s="24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6"/>
      <c r="T145" s="23" t="str">
        <f t="shared" si="6"/>
        <v/>
      </c>
      <c r="U145" s="22" t="str">
        <f t="shared" si="7"/>
        <v/>
      </c>
      <c r="V145" s="18" t="str">
        <f t="shared" si="8"/>
        <v/>
      </c>
      <c r="W145" s="22"/>
      <c r="X145" s="22"/>
      <c r="Y145" s="27">
        <f>IF($C145="",0,IF(COUNTIF($C$5:$C145,$C145)=1,1,0))</f>
        <v>0</v>
      </c>
      <c r="Z145" t="str">
        <f>IF(Y145=1,SUM($Y$5:$Y145),"")</f>
        <v/>
      </c>
    </row>
    <row r="146" spans="1:26">
      <c r="A146" s="22"/>
      <c r="B146" s="22"/>
      <c r="C146" s="22"/>
      <c r="D146" s="22"/>
      <c r="E146" s="23"/>
      <c r="F146" s="23"/>
      <c r="G146" s="24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6"/>
      <c r="T146" s="23" t="str">
        <f t="shared" si="6"/>
        <v/>
      </c>
      <c r="U146" s="22" t="str">
        <f t="shared" si="7"/>
        <v/>
      </c>
      <c r="V146" s="18" t="str">
        <f t="shared" si="8"/>
        <v/>
      </c>
      <c r="W146" s="22"/>
      <c r="X146" s="22"/>
      <c r="Y146" s="27">
        <f>IF($C146="",0,IF(COUNTIF($C$5:$C146,$C146)=1,1,0))</f>
        <v>0</v>
      </c>
      <c r="Z146" t="str">
        <f>IF(Y146=1,SUM($Y$5:$Y146),"")</f>
        <v/>
      </c>
    </row>
    <row r="147" spans="1:26">
      <c r="A147" s="22"/>
      <c r="B147" s="22"/>
      <c r="C147" s="22"/>
      <c r="D147" s="22"/>
      <c r="E147" s="23"/>
      <c r="F147" s="23"/>
      <c r="G147" s="24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6"/>
      <c r="T147" s="23" t="str">
        <f t="shared" si="6"/>
        <v/>
      </c>
      <c r="U147" s="22" t="str">
        <f t="shared" si="7"/>
        <v/>
      </c>
      <c r="V147" s="18" t="str">
        <f t="shared" si="8"/>
        <v/>
      </c>
      <c r="W147" s="22"/>
      <c r="X147" s="22"/>
      <c r="Y147" s="27">
        <f>IF($C147="",0,IF(COUNTIF($C$5:$C147,$C147)=1,1,0))</f>
        <v>0</v>
      </c>
      <c r="Z147" t="str">
        <f>IF(Y147=1,SUM($Y$5:$Y147),"")</f>
        <v/>
      </c>
    </row>
    <row r="148" spans="1:26">
      <c r="A148" s="22"/>
      <c r="B148" s="22"/>
      <c r="C148" s="22"/>
      <c r="D148" s="22"/>
      <c r="E148" s="23"/>
      <c r="F148" s="23"/>
      <c r="G148" s="24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6"/>
      <c r="T148" s="23" t="str">
        <f t="shared" si="6"/>
        <v/>
      </c>
      <c r="U148" s="22" t="str">
        <f t="shared" si="7"/>
        <v/>
      </c>
      <c r="V148" s="18" t="str">
        <f t="shared" si="8"/>
        <v/>
      </c>
      <c r="W148" s="22"/>
      <c r="X148" s="22"/>
      <c r="Y148" s="27">
        <f>IF($C148="",0,IF(COUNTIF($C$5:$C148,$C148)=1,1,0))</f>
        <v>0</v>
      </c>
      <c r="Z148" t="str">
        <f>IF(Y148=1,SUM($Y$5:$Y148),"")</f>
        <v/>
      </c>
    </row>
    <row r="149" spans="1:26">
      <c r="A149" s="22"/>
      <c r="B149" s="22"/>
      <c r="C149" s="22"/>
      <c r="D149" s="22"/>
      <c r="E149" s="23"/>
      <c r="F149" s="23"/>
      <c r="G149" s="24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6"/>
      <c r="T149" s="23" t="str">
        <f t="shared" si="6"/>
        <v/>
      </c>
      <c r="U149" s="22" t="str">
        <f t="shared" si="7"/>
        <v/>
      </c>
      <c r="V149" s="18" t="str">
        <f t="shared" si="8"/>
        <v/>
      </c>
      <c r="W149" s="22"/>
      <c r="X149" s="22"/>
      <c r="Y149" s="27">
        <f>IF($C149="",0,IF(COUNTIF($C$5:$C149,$C149)=1,1,0))</f>
        <v>0</v>
      </c>
      <c r="Z149" t="str">
        <f>IF(Y149=1,SUM($Y$5:$Y149),"")</f>
        <v/>
      </c>
    </row>
    <row r="150" spans="1:26">
      <c r="A150" s="22"/>
      <c r="B150" s="22"/>
      <c r="C150" s="22"/>
      <c r="D150" s="22"/>
      <c r="E150" s="23"/>
      <c r="F150" s="23"/>
      <c r="G150" s="24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6"/>
      <c r="T150" s="23" t="str">
        <f t="shared" si="6"/>
        <v/>
      </c>
      <c r="U150" s="22" t="str">
        <f t="shared" si="7"/>
        <v/>
      </c>
      <c r="V150" s="18" t="str">
        <f t="shared" si="8"/>
        <v/>
      </c>
      <c r="W150" s="22"/>
      <c r="X150" s="22"/>
      <c r="Y150" s="27">
        <f>IF($C150="",0,IF(COUNTIF($C$5:$C150,$C150)=1,1,0))</f>
        <v>0</v>
      </c>
      <c r="Z150" t="str">
        <f>IF(Y150=1,SUM($Y$5:$Y150),"")</f>
        <v/>
      </c>
    </row>
    <row r="151" spans="1:26">
      <c r="A151" s="22"/>
      <c r="B151" s="22"/>
      <c r="C151" s="22"/>
      <c r="D151" s="22"/>
      <c r="E151" s="23"/>
      <c r="F151" s="23"/>
      <c r="G151" s="24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6"/>
      <c r="T151" s="23" t="str">
        <f t="shared" si="6"/>
        <v/>
      </c>
      <c r="U151" s="22" t="str">
        <f t="shared" si="7"/>
        <v/>
      </c>
      <c r="V151" s="18" t="str">
        <f t="shared" si="8"/>
        <v/>
      </c>
      <c r="W151" s="22"/>
      <c r="X151" s="22"/>
      <c r="Y151" s="27">
        <f>IF($C151="",0,IF(COUNTIF($C$5:$C151,$C151)=1,1,0))</f>
        <v>0</v>
      </c>
      <c r="Z151" t="str">
        <f>IF(Y151=1,SUM($Y$5:$Y151),"")</f>
        <v/>
      </c>
    </row>
    <row r="152" spans="1:26">
      <c r="A152" s="22"/>
      <c r="B152" s="22"/>
      <c r="C152" s="22"/>
      <c r="D152" s="22"/>
      <c r="E152" s="23"/>
      <c r="F152" s="23"/>
      <c r="G152" s="24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6"/>
      <c r="T152" s="23" t="str">
        <f t="shared" si="6"/>
        <v/>
      </c>
      <c r="U152" s="22" t="str">
        <f t="shared" si="7"/>
        <v/>
      </c>
      <c r="V152" s="18" t="str">
        <f t="shared" si="8"/>
        <v/>
      </c>
      <c r="W152" s="22"/>
      <c r="X152" s="22"/>
      <c r="Y152" s="27">
        <f>IF($C152="",0,IF(COUNTIF($C$5:$C152,$C152)=1,1,0))</f>
        <v>0</v>
      </c>
      <c r="Z152" t="str">
        <f>IF(Y152=1,SUM($Y$5:$Y152),"")</f>
        <v/>
      </c>
    </row>
    <row r="153" spans="1:26">
      <c r="A153" s="22"/>
      <c r="B153" s="22"/>
      <c r="C153" s="22"/>
      <c r="D153" s="22"/>
      <c r="E153" s="23"/>
      <c r="F153" s="23"/>
      <c r="G153" s="24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6"/>
      <c r="T153" s="23" t="str">
        <f t="shared" si="6"/>
        <v/>
      </c>
      <c r="U153" s="22" t="str">
        <f t="shared" si="7"/>
        <v/>
      </c>
      <c r="V153" s="18" t="str">
        <f t="shared" si="8"/>
        <v/>
      </c>
      <c r="W153" s="22"/>
      <c r="X153" s="22"/>
      <c r="Y153" s="27">
        <f>IF($C153="",0,IF(COUNTIF($C$5:$C153,$C153)=1,1,0))</f>
        <v>0</v>
      </c>
      <c r="Z153" t="str">
        <f>IF(Y153=1,SUM($Y$5:$Y153),"")</f>
        <v/>
      </c>
    </row>
    <row r="154" spans="1:26">
      <c r="A154" s="22"/>
      <c r="B154" s="22"/>
      <c r="C154" s="22"/>
      <c r="D154" s="22"/>
      <c r="E154" s="23"/>
      <c r="F154" s="23"/>
      <c r="G154" s="24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6"/>
      <c r="T154" s="23" t="str">
        <f t="shared" si="6"/>
        <v/>
      </c>
      <c r="U154" s="22" t="str">
        <f t="shared" si="7"/>
        <v/>
      </c>
      <c r="V154" s="18" t="str">
        <f t="shared" si="8"/>
        <v/>
      </c>
      <c r="W154" s="22"/>
      <c r="X154" s="22"/>
      <c r="Y154" s="27">
        <f>IF($C154="",0,IF(COUNTIF($C$5:$C154,$C154)=1,1,0))</f>
        <v>0</v>
      </c>
      <c r="Z154" t="str">
        <f>IF(Y154=1,SUM($Y$5:$Y154),"")</f>
        <v/>
      </c>
    </row>
    <row r="155" spans="1:26">
      <c r="A155" s="22"/>
      <c r="B155" s="22"/>
      <c r="C155" s="22"/>
      <c r="D155" s="22"/>
      <c r="E155" s="23"/>
      <c r="F155" s="23"/>
      <c r="G155" s="24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6"/>
      <c r="T155" s="23" t="str">
        <f t="shared" si="6"/>
        <v/>
      </c>
      <c r="U155" s="22" t="str">
        <f t="shared" si="7"/>
        <v/>
      </c>
      <c r="V155" s="18" t="str">
        <f t="shared" si="8"/>
        <v/>
      </c>
      <c r="W155" s="22"/>
      <c r="X155" s="22"/>
      <c r="Y155" s="27">
        <f>IF($C155="",0,IF(COUNTIF($C$5:$C155,$C155)=1,1,0))</f>
        <v>0</v>
      </c>
      <c r="Z155" t="str">
        <f>IF(Y155=1,SUM($Y$5:$Y155),"")</f>
        <v/>
      </c>
    </row>
    <row r="156" spans="1:26">
      <c r="A156" s="22"/>
      <c r="B156" s="22"/>
      <c r="C156" s="22"/>
      <c r="D156" s="22"/>
      <c r="E156" s="23"/>
      <c r="F156" s="23"/>
      <c r="G156" s="24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6"/>
      <c r="T156" s="23" t="str">
        <f t="shared" si="6"/>
        <v/>
      </c>
      <c r="U156" s="22" t="str">
        <f t="shared" si="7"/>
        <v/>
      </c>
      <c r="V156" s="18" t="str">
        <f t="shared" si="8"/>
        <v/>
      </c>
      <c r="W156" s="22"/>
      <c r="X156" s="22"/>
      <c r="Y156" s="27">
        <f>IF($C156="",0,IF(COUNTIF($C$5:$C156,$C156)=1,1,0))</f>
        <v>0</v>
      </c>
      <c r="Z156" t="str">
        <f>IF(Y156=1,SUM($Y$5:$Y156),"")</f>
        <v/>
      </c>
    </row>
    <row r="157" spans="1:26">
      <c r="A157" s="22"/>
      <c r="B157" s="22"/>
      <c r="C157" s="22"/>
      <c r="D157" s="22"/>
      <c r="E157" s="23"/>
      <c r="F157" s="23"/>
      <c r="G157" s="24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6"/>
      <c r="T157" s="23" t="str">
        <f t="shared" si="6"/>
        <v/>
      </c>
      <c r="U157" s="22" t="str">
        <f t="shared" si="7"/>
        <v/>
      </c>
      <c r="V157" s="18" t="str">
        <f t="shared" si="8"/>
        <v/>
      </c>
      <c r="W157" s="22"/>
      <c r="X157" s="22"/>
      <c r="Y157" s="27">
        <f>IF($C157="",0,IF(COUNTIF($C$5:$C157,$C157)=1,1,0))</f>
        <v>0</v>
      </c>
      <c r="Z157" t="str">
        <f>IF(Y157=1,SUM($Y$5:$Y157),"")</f>
        <v/>
      </c>
    </row>
    <row r="158" spans="1:26">
      <c r="A158" s="22"/>
      <c r="B158" s="22"/>
      <c r="C158" s="22"/>
      <c r="D158" s="22"/>
      <c r="E158" s="23"/>
      <c r="F158" s="23"/>
      <c r="G158" s="24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6"/>
      <c r="T158" s="23" t="str">
        <f t="shared" si="6"/>
        <v/>
      </c>
      <c r="U158" s="22" t="str">
        <f t="shared" si="7"/>
        <v/>
      </c>
      <c r="V158" s="18" t="str">
        <f t="shared" si="8"/>
        <v/>
      </c>
      <c r="W158" s="22"/>
      <c r="X158" s="22"/>
      <c r="Y158" s="27">
        <f>IF($C158="",0,IF(COUNTIF($C$5:$C158,$C158)=1,1,0))</f>
        <v>0</v>
      </c>
      <c r="Z158" t="str">
        <f>IF(Y158=1,SUM($Y$5:$Y158),"")</f>
        <v/>
      </c>
    </row>
    <row r="159" spans="1:26">
      <c r="A159" s="22"/>
      <c r="B159" s="22"/>
      <c r="C159" s="22"/>
      <c r="D159" s="22"/>
      <c r="E159" s="23"/>
      <c r="F159" s="23"/>
      <c r="G159" s="24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6"/>
      <c r="T159" s="23" t="str">
        <f t="shared" si="6"/>
        <v/>
      </c>
      <c r="U159" s="22" t="str">
        <f t="shared" si="7"/>
        <v/>
      </c>
      <c r="V159" s="18" t="str">
        <f t="shared" si="8"/>
        <v/>
      </c>
      <c r="W159" s="22"/>
      <c r="X159" s="22"/>
      <c r="Y159" s="27">
        <f>IF($C159="",0,IF(COUNTIF($C$5:$C159,$C159)=1,1,0))</f>
        <v>0</v>
      </c>
      <c r="Z159" t="str">
        <f>IF(Y159=1,SUM($Y$5:$Y159),"")</f>
        <v/>
      </c>
    </row>
    <row r="160" spans="1:26">
      <c r="A160" s="22"/>
      <c r="B160" s="22"/>
      <c r="C160" s="22"/>
      <c r="D160" s="22"/>
      <c r="E160" s="23"/>
      <c r="F160" s="23"/>
      <c r="G160" s="24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6"/>
      <c r="T160" s="23" t="str">
        <f t="shared" si="6"/>
        <v/>
      </c>
      <c r="U160" s="22" t="str">
        <f t="shared" si="7"/>
        <v/>
      </c>
      <c r="V160" s="18" t="str">
        <f t="shared" si="8"/>
        <v/>
      </c>
      <c r="W160" s="22"/>
      <c r="X160" s="22"/>
      <c r="Y160" s="27">
        <f>IF($C160="",0,IF(COUNTIF($C$5:$C160,$C160)=1,1,0))</f>
        <v>0</v>
      </c>
      <c r="Z160" t="str">
        <f>IF(Y160=1,SUM($Y$5:$Y160),"")</f>
        <v/>
      </c>
    </row>
    <row r="161" spans="1:26">
      <c r="A161" s="22"/>
      <c r="B161" s="22"/>
      <c r="C161" s="22"/>
      <c r="D161" s="22"/>
      <c r="E161" s="23"/>
      <c r="F161" s="23"/>
      <c r="G161" s="24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6"/>
      <c r="T161" s="23" t="str">
        <f t="shared" si="6"/>
        <v/>
      </c>
      <c r="U161" s="22" t="str">
        <f t="shared" si="7"/>
        <v/>
      </c>
      <c r="V161" s="18" t="str">
        <f t="shared" si="8"/>
        <v/>
      </c>
      <c r="W161" s="22"/>
      <c r="X161" s="22"/>
      <c r="Y161" s="27">
        <f>IF($C161="",0,IF(COUNTIF($C$5:$C161,$C161)=1,1,0))</f>
        <v>0</v>
      </c>
      <c r="Z161" t="str">
        <f>IF(Y161=1,SUM($Y$5:$Y161),"")</f>
        <v/>
      </c>
    </row>
    <row r="162" spans="1:26">
      <c r="A162" s="22"/>
      <c r="B162" s="22"/>
      <c r="C162" s="22"/>
      <c r="D162" s="22"/>
      <c r="E162" s="23"/>
      <c r="F162" s="23"/>
      <c r="G162" s="24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6"/>
      <c r="T162" s="23" t="str">
        <f t="shared" si="6"/>
        <v/>
      </c>
      <c r="U162" s="22" t="str">
        <f t="shared" si="7"/>
        <v/>
      </c>
      <c r="V162" s="18" t="str">
        <f t="shared" si="8"/>
        <v/>
      </c>
      <c r="W162" s="22"/>
      <c r="X162" s="22"/>
      <c r="Y162" s="27">
        <f>IF($C162="",0,IF(COUNTIF($C$5:$C162,$C162)=1,1,0))</f>
        <v>0</v>
      </c>
      <c r="Z162" t="str">
        <f>IF(Y162=1,SUM($Y$5:$Y162),"")</f>
        <v/>
      </c>
    </row>
    <row r="163" spans="1:26">
      <c r="A163" s="22"/>
      <c r="B163" s="22"/>
      <c r="C163" s="22"/>
      <c r="D163" s="22"/>
      <c r="E163" s="23"/>
      <c r="F163" s="23"/>
      <c r="G163" s="24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6"/>
      <c r="T163" s="23" t="str">
        <f t="shared" si="6"/>
        <v/>
      </c>
      <c r="U163" s="22" t="str">
        <f t="shared" si="7"/>
        <v/>
      </c>
      <c r="V163" s="18" t="str">
        <f t="shared" si="8"/>
        <v/>
      </c>
      <c r="W163" s="22"/>
      <c r="X163" s="22"/>
      <c r="Y163" s="27">
        <f>IF($C163="",0,IF(COUNTIF($C$5:$C163,$C163)=1,1,0))</f>
        <v>0</v>
      </c>
      <c r="Z163" t="str">
        <f>IF(Y163=1,SUM($Y$5:$Y163),"")</f>
        <v/>
      </c>
    </row>
    <row r="164" spans="1:26">
      <c r="A164" s="22"/>
      <c r="B164" s="22"/>
      <c r="C164" s="22"/>
      <c r="D164" s="22"/>
      <c r="E164" s="23"/>
      <c r="F164" s="23"/>
      <c r="G164" s="24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6"/>
      <c r="T164" s="23" t="str">
        <f t="shared" si="6"/>
        <v/>
      </c>
      <c r="U164" s="22" t="str">
        <f t="shared" si="7"/>
        <v/>
      </c>
      <c r="V164" s="18" t="str">
        <f t="shared" si="8"/>
        <v/>
      </c>
      <c r="W164" s="22"/>
      <c r="X164" s="22"/>
      <c r="Y164" s="27">
        <f>IF($C164="",0,IF(COUNTIF($C$5:$C164,$C164)=1,1,0))</f>
        <v>0</v>
      </c>
      <c r="Z164" t="str">
        <f>IF(Y164=1,SUM($Y$5:$Y164),"")</f>
        <v/>
      </c>
    </row>
    <row r="165" spans="1:26">
      <c r="A165" s="22"/>
      <c r="B165" s="22"/>
      <c r="C165" s="22"/>
      <c r="D165" s="22"/>
      <c r="E165" s="23"/>
      <c r="F165" s="23"/>
      <c r="G165" s="24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6"/>
      <c r="T165" s="23" t="str">
        <f t="shared" si="6"/>
        <v/>
      </c>
      <c r="U165" s="22" t="str">
        <f t="shared" si="7"/>
        <v/>
      </c>
      <c r="V165" s="18" t="str">
        <f t="shared" si="8"/>
        <v/>
      </c>
      <c r="W165" s="22"/>
      <c r="X165" s="22"/>
      <c r="Y165" s="27">
        <f>IF($C165="",0,IF(COUNTIF($C$5:$C165,$C165)=1,1,0))</f>
        <v>0</v>
      </c>
      <c r="Z165" t="str">
        <f>IF(Y165=1,SUM($Y$5:$Y165),"")</f>
        <v/>
      </c>
    </row>
    <row r="166" spans="1:26">
      <c r="A166" s="22"/>
      <c r="B166" s="22"/>
      <c r="C166" s="22"/>
      <c r="D166" s="22"/>
      <c r="E166" s="23"/>
      <c r="F166" s="23"/>
      <c r="G166" s="24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6"/>
      <c r="T166" s="23" t="str">
        <f t="shared" si="6"/>
        <v/>
      </c>
      <c r="U166" s="22" t="str">
        <f t="shared" si="7"/>
        <v/>
      </c>
      <c r="V166" s="18" t="str">
        <f t="shared" si="8"/>
        <v/>
      </c>
      <c r="W166" s="22"/>
      <c r="X166" s="22"/>
      <c r="Y166" s="27">
        <f>IF($C166="",0,IF(COUNTIF($C$5:$C166,$C166)=1,1,0))</f>
        <v>0</v>
      </c>
      <c r="Z166" t="str">
        <f>IF(Y166=1,SUM($Y$5:$Y166),"")</f>
        <v/>
      </c>
    </row>
    <row r="167" spans="1:26">
      <c r="A167" s="22"/>
      <c r="B167" s="22"/>
      <c r="C167" s="22"/>
      <c r="D167" s="22"/>
      <c r="E167" s="23"/>
      <c r="F167" s="23"/>
      <c r="G167" s="24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6"/>
      <c r="T167" s="23" t="str">
        <f t="shared" si="6"/>
        <v/>
      </c>
      <c r="U167" s="22" t="str">
        <f t="shared" si="7"/>
        <v/>
      </c>
      <c r="V167" s="18" t="str">
        <f t="shared" si="8"/>
        <v/>
      </c>
      <c r="W167" s="22"/>
      <c r="X167" s="22"/>
      <c r="Y167" s="27">
        <f>IF($C167="",0,IF(COUNTIF($C$5:$C167,$C167)=1,1,0))</f>
        <v>0</v>
      </c>
      <c r="Z167" t="str">
        <f>IF(Y167=1,SUM($Y$5:$Y167),"")</f>
        <v/>
      </c>
    </row>
    <row r="168" spans="1:26">
      <c r="A168" s="22"/>
      <c r="B168" s="22"/>
      <c r="C168" s="22"/>
      <c r="D168" s="22"/>
      <c r="E168" s="23"/>
      <c r="F168" s="23"/>
      <c r="G168" s="24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6"/>
      <c r="T168" s="23" t="str">
        <f t="shared" si="6"/>
        <v/>
      </c>
      <c r="U168" s="22" t="str">
        <f t="shared" si="7"/>
        <v/>
      </c>
      <c r="V168" s="18" t="str">
        <f t="shared" si="8"/>
        <v/>
      </c>
      <c r="W168" s="22"/>
      <c r="X168" s="22"/>
      <c r="Y168" s="27">
        <f>IF($C168="",0,IF(COUNTIF($C$5:$C168,$C168)=1,1,0))</f>
        <v>0</v>
      </c>
      <c r="Z168" t="str">
        <f>IF(Y168=1,SUM($Y$5:$Y168),"")</f>
        <v/>
      </c>
    </row>
    <row r="169" spans="1:26">
      <c r="A169" s="22"/>
      <c r="B169" s="22"/>
      <c r="C169" s="22"/>
      <c r="D169" s="22"/>
      <c r="E169" s="23"/>
      <c r="F169" s="23"/>
      <c r="G169" s="24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6"/>
      <c r="T169" s="23" t="str">
        <f t="shared" si="6"/>
        <v/>
      </c>
      <c r="U169" s="22" t="str">
        <f t="shared" si="7"/>
        <v/>
      </c>
      <c r="V169" s="18" t="str">
        <f t="shared" si="8"/>
        <v/>
      </c>
      <c r="W169" s="22"/>
      <c r="X169" s="22"/>
      <c r="Y169" s="27">
        <f>IF($C169="",0,IF(COUNTIF($C$5:$C169,$C169)=1,1,0))</f>
        <v>0</v>
      </c>
      <c r="Z169" t="str">
        <f>IF(Y169=1,SUM($Y$5:$Y169),"")</f>
        <v/>
      </c>
    </row>
    <row r="170" spans="1:26">
      <c r="A170" s="22"/>
      <c r="B170" s="22"/>
      <c r="C170" s="22"/>
      <c r="D170" s="22"/>
      <c r="E170" s="23"/>
      <c r="F170" s="23"/>
      <c r="G170" s="24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6"/>
      <c r="T170" s="23" t="str">
        <f t="shared" si="6"/>
        <v/>
      </c>
      <c r="U170" s="22" t="str">
        <f t="shared" si="7"/>
        <v/>
      </c>
      <c r="V170" s="18" t="str">
        <f t="shared" si="8"/>
        <v/>
      </c>
      <c r="W170" s="22"/>
      <c r="X170" s="22"/>
      <c r="Y170" s="27">
        <f>IF($C170="",0,IF(COUNTIF($C$5:$C170,$C170)=1,1,0))</f>
        <v>0</v>
      </c>
      <c r="Z170" t="str">
        <f>IF(Y170=1,SUM($Y$5:$Y170),"")</f>
        <v/>
      </c>
    </row>
    <row r="171" spans="1:26">
      <c r="A171" s="22"/>
      <c r="B171" s="22"/>
      <c r="C171" s="22"/>
      <c r="D171" s="22"/>
      <c r="E171" s="23"/>
      <c r="F171" s="23"/>
      <c r="G171" s="24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6"/>
      <c r="T171" s="23" t="str">
        <f t="shared" si="6"/>
        <v/>
      </c>
      <c r="U171" s="22" t="str">
        <f t="shared" si="7"/>
        <v/>
      </c>
      <c r="V171" s="18" t="str">
        <f t="shared" si="8"/>
        <v/>
      </c>
      <c r="W171" s="22"/>
      <c r="X171" s="22"/>
      <c r="Y171" s="27">
        <f>IF($C171="",0,IF(COUNTIF($C$5:$C171,$C171)=1,1,0))</f>
        <v>0</v>
      </c>
      <c r="Z171" t="str">
        <f>IF(Y171=1,SUM($Y$5:$Y171),"")</f>
        <v/>
      </c>
    </row>
    <row r="172" spans="1:26">
      <c r="A172" s="22"/>
      <c r="B172" s="22"/>
      <c r="C172" s="22"/>
      <c r="D172" s="22"/>
      <c r="E172" s="23"/>
      <c r="F172" s="23"/>
      <c r="G172" s="24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6"/>
      <c r="T172" s="23" t="str">
        <f t="shared" si="6"/>
        <v/>
      </c>
      <c r="U172" s="22" t="str">
        <f t="shared" si="7"/>
        <v/>
      </c>
      <c r="V172" s="18" t="str">
        <f t="shared" si="8"/>
        <v/>
      </c>
      <c r="W172" s="22"/>
      <c r="X172" s="22"/>
      <c r="Y172" s="27">
        <f>IF($C172="",0,IF(COUNTIF($C$5:$C172,$C172)=1,1,0))</f>
        <v>0</v>
      </c>
      <c r="Z172" t="str">
        <f>IF(Y172=1,SUM($Y$5:$Y172),"")</f>
        <v/>
      </c>
    </row>
    <row r="173" spans="1:26">
      <c r="A173" s="22"/>
      <c r="B173" s="22"/>
      <c r="C173" s="22"/>
      <c r="D173" s="22"/>
      <c r="E173" s="23"/>
      <c r="F173" s="23"/>
      <c r="G173" s="24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6"/>
      <c r="T173" s="23" t="str">
        <f t="shared" si="6"/>
        <v/>
      </c>
      <c r="U173" s="22" t="str">
        <f t="shared" si="7"/>
        <v/>
      </c>
      <c r="V173" s="18" t="str">
        <f t="shared" si="8"/>
        <v/>
      </c>
      <c r="W173" s="22"/>
      <c r="X173" s="22"/>
      <c r="Y173" s="27">
        <f>IF($C173="",0,IF(COUNTIF($C$5:$C173,$C173)=1,1,0))</f>
        <v>0</v>
      </c>
      <c r="Z173" t="str">
        <f>IF(Y173=1,SUM($Y$5:$Y173),"")</f>
        <v/>
      </c>
    </row>
    <row r="174" spans="1:26">
      <c r="A174" s="22"/>
      <c r="B174" s="22"/>
      <c r="C174" s="22"/>
      <c r="D174" s="22"/>
      <c r="E174" s="23"/>
      <c r="F174" s="23"/>
      <c r="G174" s="24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6"/>
      <c r="T174" s="23" t="str">
        <f t="shared" si="6"/>
        <v/>
      </c>
      <c r="U174" s="22" t="str">
        <f t="shared" si="7"/>
        <v/>
      </c>
      <c r="V174" s="18" t="str">
        <f t="shared" si="8"/>
        <v/>
      </c>
      <c r="W174" s="22"/>
      <c r="X174" s="22"/>
      <c r="Y174" s="27">
        <f>IF($C174="",0,IF(COUNTIF($C$5:$C174,$C174)=1,1,0))</f>
        <v>0</v>
      </c>
      <c r="Z174" t="str">
        <f>IF(Y174=1,SUM($Y$5:$Y174),"")</f>
        <v/>
      </c>
    </row>
    <row r="175" spans="1:26">
      <c r="A175" s="22"/>
      <c r="B175" s="22"/>
      <c r="C175" s="22"/>
      <c r="D175" s="22"/>
      <c r="E175" s="23"/>
      <c r="F175" s="23"/>
      <c r="G175" s="24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6"/>
      <c r="T175" s="23" t="str">
        <f t="shared" si="6"/>
        <v/>
      </c>
      <c r="U175" s="22" t="str">
        <f t="shared" si="7"/>
        <v/>
      </c>
      <c r="V175" s="18" t="str">
        <f t="shared" si="8"/>
        <v/>
      </c>
      <c r="W175" s="22"/>
      <c r="X175" s="22"/>
      <c r="Y175" s="27">
        <f>IF($C175="",0,IF(COUNTIF($C$5:$C175,$C175)=1,1,0))</f>
        <v>0</v>
      </c>
      <c r="Z175" t="str">
        <f>IF(Y175=1,SUM($Y$5:$Y175),"")</f>
        <v/>
      </c>
    </row>
    <row r="176" spans="1:26">
      <c r="A176" s="22"/>
      <c r="B176" s="22"/>
      <c r="C176" s="22"/>
      <c r="D176" s="22"/>
      <c r="E176" s="23"/>
      <c r="F176" s="23"/>
      <c r="G176" s="24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6"/>
      <c r="T176" s="23" t="str">
        <f t="shared" si="6"/>
        <v/>
      </c>
      <c r="U176" s="22" t="str">
        <f t="shared" si="7"/>
        <v/>
      </c>
      <c r="V176" s="18" t="str">
        <f t="shared" si="8"/>
        <v/>
      </c>
      <c r="W176" s="22"/>
      <c r="X176" s="22"/>
      <c r="Y176" s="27">
        <f>IF($C176="",0,IF(COUNTIF($C$5:$C176,$C176)=1,1,0))</f>
        <v>0</v>
      </c>
      <c r="Z176" t="str">
        <f>IF(Y176=1,SUM($Y$5:$Y176),"")</f>
        <v/>
      </c>
    </row>
    <row r="177" spans="1:26">
      <c r="A177" s="22"/>
      <c r="B177" s="22"/>
      <c r="C177" s="22"/>
      <c r="D177" s="22"/>
      <c r="E177" s="23"/>
      <c r="F177" s="23"/>
      <c r="G177" s="24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6"/>
      <c r="T177" s="23" t="str">
        <f t="shared" si="6"/>
        <v/>
      </c>
      <c r="U177" s="22" t="str">
        <f t="shared" si="7"/>
        <v/>
      </c>
      <c r="V177" s="18" t="str">
        <f t="shared" si="8"/>
        <v/>
      </c>
      <c r="W177" s="22"/>
      <c r="X177" s="22"/>
      <c r="Y177" s="27">
        <f>IF($C177="",0,IF(COUNTIF($C$5:$C177,$C177)=1,1,0))</f>
        <v>0</v>
      </c>
      <c r="Z177" t="str">
        <f>IF(Y177=1,SUM($Y$5:$Y177),"")</f>
        <v/>
      </c>
    </row>
    <row r="178" spans="1:26">
      <c r="A178" s="22"/>
      <c r="B178" s="22"/>
      <c r="C178" s="22"/>
      <c r="D178" s="22"/>
      <c r="E178" s="23"/>
      <c r="F178" s="23"/>
      <c r="G178" s="24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6"/>
      <c r="T178" s="23" t="str">
        <f t="shared" si="6"/>
        <v/>
      </c>
      <c r="U178" s="22" t="str">
        <f t="shared" si="7"/>
        <v/>
      </c>
      <c r="V178" s="18" t="str">
        <f t="shared" si="8"/>
        <v/>
      </c>
      <c r="W178" s="22"/>
      <c r="X178" s="22"/>
      <c r="Y178" s="27">
        <f>IF($C178="",0,IF(COUNTIF($C$5:$C178,$C178)=1,1,0))</f>
        <v>0</v>
      </c>
      <c r="Z178" t="str">
        <f>IF(Y178=1,SUM($Y$5:$Y178),"")</f>
        <v/>
      </c>
    </row>
    <row r="179" spans="1:26">
      <c r="A179" s="22"/>
      <c r="B179" s="22"/>
      <c r="C179" s="22"/>
      <c r="D179" s="22"/>
      <c r="E179" s="23"/>
      <c r="F179" s="23"/>
      <c r="G179" s="24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6"/>
      <c r="T179" s="23" t="str">
        <f t="shared" si="6"/>
        <v/>
      </c>
      <c r="U179" s="22" t="str">
        <f t="shared" si="7"/>
        <v/>
      </c>
      <c r="V179" s="18" t="str">
        <f t="shared" si="8"/>
        <v/>
      </c>
      <c r="W179" s="22"/>
      <c r="X179" s="22"/>
      <c r="Y179" s="27">
        <f>IF($C179="",0,IF(COUNTIF($C$5:$C179,$C179)=1,1,0))</f>
        <v>0</v>
      </c>
      <c r="Z179" t="str">
        <f>IF(Y179=1,SUM($Y$5:$Y179),"")</f>
        <v/>
      </c>
    </row>
    <row r="180" spans="1:26">
      <c r="A180" s="22"/>
      <c r="B180" s="22"/>
      <c r="C180" s="22"/>
      <c r="D180" s="22"/>
      <c r="E180" s="23"/>
      <c r="F180" s="23"/>
      <c r="G180" s="24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6"/>
      <c r="T180" s="23" t="str">
        <f t="shared" si="6"/>
        <v/>
      </c>
      <c r="U180" s="22" t="str">
        <f t="shared" si="7"/>
        <v/>
      </c>
      <c r="V180" s="18" t="str">
        <f t="shared" si="8"/>
        <v/>
      </c>
      <c r="W180" s="22"/>
      <c r="X180" s="22"/>
      <c r="Y180" s="27">
        <f>IF($C180="",0,IF(COUNTIF($C$5:$C180,$C180)=1,1,0))</f>
        <v>0</v>
      </c>
      <c r="Z180" t="str">
        <f>IF(Y180=1,SUM($Y$5:$Y180),"")</f>
        <v/>
      </c>
    </row>
    <row r="181" spans="1:26">
      <c r="A181" s="22"/>
      <c r="B181" s="22"/>
      <c r="C181" s="22"/>
      <c r="D181" s="22"/>
      <c r="E181" s="23"/>
      <c r="F181" s="23"/>
      <c r="G181" s="24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6"/>
      <c r="T181" s="23" t="str">
        <f t="shared" si="6"/>
        <v/>
      </c>
      <c r="U181" s="22" t="str">
        <f t="shared" si="7"/>
        <v/>
      </c>
      <c r="V181" s="18" t="str">
        <f t="shared" si="8"/>
        <v/>
      </c>
      <c r="W181" s="22"/>
      <c r="X181" s="22"/>
      <c r="Y181" s="27">
        <f>IF($C181="",0,IF(COUNTIF($C$5:$C181,$C181)=1,1,0))</f>
        <v>0</v>
      </c>
      <c r="Z181" t="str">
        <f>IF(Y181=1,SUM($Y$5:$Y181),"")</f>
        <v/>
      </c>
    </row>
    <row r="182" spans="1:26">
      <c r="A182" s="22"/>
      <c r="B182" s="22"/>
      <c r="C182" s="22"/>
      <c r="D182" s="22"/>
      <c r="E182" s="23"/>
      <c r="F182" s="23"/>
      <c r="G182" s="24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6"/>
      <c r="T182" s="23" t="str">
        <f t="shared" si="6"/>
        <v/>
      </c>
      <c r="U182" s="22" t="str">
        <f t="shared" si="7"/>
        <v/>
      </c>
      <c r="V182" s="18" t="str">
        <f t="shared" si="8"/>
        <v/>
      </c>
      <c r="W182" s="22"/>
      <c r="X182" s="22"/>
      <c r="Y182" s="27">
        <f>IF($C182="",0,IF(COUNTIF($C$5:$C182,$C182)=1,1,0))</f>
        <v>0</v>
      </c>
      <c r="Z182" t="str">
        <f>IF(Y182=1,SUM($Y$5:$Y182),"")</f>
        <v/>
      </c>
    </row>
    <row r="183" spans="1:26">
      <c r="A183" s="22"/>
      <c r="B183" s="22"/>
      <c r="C183" s="22"/>
      <c r="D183" s="22"/>
      <c r="E183" s="23"/>
      <c r="F183" s="23"/>
      <c r="G183" s="24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6"/>
      <c r="T183" s="23" t="str">
        <f t="shared" si="6"/>
        <v/>
      </c>
      <c r="U183" s="22" t="str">
        <f t="shared" si="7"/>
        <v/>
      </c>
      <c r="V183" s="18" t="str">
        <f t="shared" si="8"/>
        <v/>
      </c>
      <c r="W183" s="22"/>
      <c r="X183" s="22"/>
      <c r="Y183" s="27">
        <f>IF($C183="",0,IF(COUNTIF($C$5:$C183,$C183)=1,1,0))</f>
        <v>0</v>
      </c>
      <c r="Z183" t="str">
        <f>IF(Y183=1,SUM($Y$5:$Y183),"")</f>
        <v/>
      </c>
    </row>
    <row r="184" spans="1:26">
      <c r="A184" s="22"/>
      <c r="B184" s="22"/>
      <c r="C184" s="22"/>
      <c r="D184" s="22"/>
      <c r="E184" s="23"/>
      <c r="F184" s="23"/>
      <c r="G184" s="24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6"/>
      <c r="T184" s="23" t="str">
        <f t="shared" si="6"/>
        <v/>
      </c>
      <c r="U184" s="22" t="str">
        <f t="shared" si="7"/>
        <v/>
      </c>
      <c r="V184" s="18" t="str">
        <f t="shared" si="8"/>
        <v/>
      </c>
      <c r="W184" s="22"/>
      <c r="X184" s="22"/>
      <c r="Y184" s="27">
        <f>IF($C184="",0,IF(COUNTIF($C$5:$C184,$C184)=1,1,0))</f>
        <v>0</v>
      </c>
      <c r="Z184" t="str">
        <f>IF(Y184=1,SUM($Y$5:$Y184),"")</f>
        <v/>
      </c>
    </row>
    <row r="185" spans="1:26">
      <c r="A185" s="22"/>
      <c r="B185" s="22"/>
      <c r="C185" s="22"/>
      <c r="D185" s="22"/>
      <c r="E185" s="23"/>
      <c r="F185" s="23"/>
      <c r="G185" s="24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6"/>
      <c r="T185" s="23" t="str">
        <f t="shared" si="6"/>
        <v/>
      </c>
      <c r="U185" s="22" t="str">
        <f t="shared" si="7"/>
        <v/>
      </c>
      <c r="V185" s="18" t="str">
        <f t="shared" si="8"/>
        <v/>
      </c>
      <c r="W185" s="22"/>
      <c r="X185" s="22"/>
      <c r="Y185" s="27">
        <f>IF($C185="",0,IF(COUNTIF($C$5:$C185,$C185)=1,1,0))</f>
        <v>0</v>
      </c>
      <c r="Z185" t="str">
        <f>IF(Y185=1,SUM($Y$5:$Y185),"")</f>
        <v/>
      </c>
    </row>
    <row r="186" spans="1:26">
      <c r="A186" s="22"/>
      <c r="B186" s="22"/>
      <c r="C186" s="22"/>
      <c r="D186" s="22"/>
      <c r="E186" s="23"/>
      <c r="F186" s="23"/>
      <c r="G186" s="24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6"/>
      <c r="T186" s="23" t="str">
        <f t="shared" si="6"/>
        <v/>
      </c>
      <c r="U186" s="22" t="str">
        <f t="shared" si="7"/>
        <v/>
      </c>
      <c r="V186" s="18" t="str">
        <f t="shared" si="8"/>
        <v/>
      </c>
      <c r="W186" s="22"/>
      <c r="X186" s="22"/>
      <c r="Y186" s="27">
        <f>IF($C186="",0,IF(COUNTIF($C$5:$C186,$C186)=1,1,0))</f>
        <v>0</v>
      </c>
      <c r="Z186" t="str">
        <f>IF(Y186=1,SUM($Y$5:$Y186),"")</f>
        <v/>
      </c>
    </row>
    <row r="187" spans="1:26">
      <c r="A187" s="22"/>
      <c r="B187" s="22"/>
      <c r="C187" s="22"/>
      <c r="D187" s="22"/>
      <c r="E187" s="23"/>
      <c r="F187" s="23"/>
      <c r="G187" s="24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6"/>
      <c r="T187" s="23" t="str">
        <f t="shared" si="6"/>
        <v/>
      </c>
      <c r="U187" s="22" t="str">
        <f t="shared" si="7"/>
        <v/>
      </c>
      <c r="V187" s="18" t="str">
        <f t="shared" si="8"/>
        <v/>
      </c>
      <c r="W187" s="22"/>
      <c r="X187" s="22"/>
      <c r="Y187" s="27">
        <f>IF($C187="",0,IF(COUNTIF($C$5:$C187,$C187)=1,1,0))</f>
        <v>0</v>
      </c>
      <c r="Z187" t="str">
        <f>IF(Y187=1,SUM($Y$5:$Y187),"")</f>
        <v/>
      </c>
    </row>
    <row r="188" spans="1:26">
      <c r="A188" s="22"/>
      <c r="B188" s="22"/>
      <c r="C188" s="22"/>
      <c r="D188" s="22"/>
      <c r="E188" s="23"/>
      <c r="F188" s="23"/>
      <c r="G188" s="24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6"/>
      <c r="T188" s="23" t="str">
        <f t="shared" si="6"/>
        <v/>
      </c>
      <c r="U188" s="22" t="str">
        <f t="shared" si="7"/>
        <v/>
      </c>
      <c r="V188" s="18" t="str">
        <f t="shared" si="8"/>
        <v/>
      </c>
      <c r="W188" s="22"/>
      <c r="X188" s="22"/>
      <c r="Y188" s="27">
        <f>IF($C188="",0,IF(COUNTIF($C$5:$C188,$C188)=1,1,0))</f>
        <v>0</v>
      </c>
      <c r="Z188" t="str">
        <f>IF(Y188=1,SUM($Y$5:$Y188),"")</f>
        <v/>
      </c>
    </row>
    <row r="189" spans="1:26">
      <c r="A189" s="22"/>
      <c r="B189" s="22"/>
      <c r="C189" s="22"/>
      <c r="D189" s="22"/>
      <c r="E189" s="23"/>
      <c r="F189" s="23"/>
      <c r="G189" s="24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6"/>
      <c r="T189" s="23" t="str">
        <f t="shared" si="6"/>
        <v/>
      </c>
      <c r="U189" s="22" t="str">
        <f t="shared" si="7"/>
        <v/>
      </c>
      <c r="V189" s="18" t="str">
        <f t="shared" si="8"/>
        <v/>
      </c>
      <c r="W189" s="22"/>
      <c r="X189" s="22"/>
      <c r="Y189" s="27">
        <f>IF($C189="",0,IF(COUNTIF($C$5:$C189,$C189)=1,1,0))</f>
        <v>0</v>
      </c>
      <c r="Z189" t="str">
        <f>IF(Y189=1,SUM($Y$5:$Y189),"")</f>
        <v/>
      </c>
    </row>
    <row r="190" spans="1:26">
      <c r="A190" s="22"/>
      <c r="B190" s="22"/>
      <c r="C190" s="22"/>
      <c r="D190" s="22"/>
      <c r="E190" s="23"/>
      <c r="F190" s="23"/>
      <c r="G190" s="24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6"/>
      <c r="T190" s="23" t="str">
        <f t="shared" si="6"/>
        <v/>
      </c>
      <c r="U190" s="22" t="str">
        <f t="shared" si="7"/>
        <v/>
      </c>
      <c r="V190" s="18" t="str">
        <f t="shared" si="8"/>
        <v/>
      </c>
      <c r="W190" s="22"/>
      <c r="X190" s="22"/>
      <c r="Y190" s="27">
        <f>IF($C190="",0,IF(COUNTIF($C$5:$C190,$C190)=1,1,0))</f>
        <v>0</v>
      </c>
      <c r="Z190" t="str">
        <f>IF(Y190=1,SUM($Y$5:$Y190),"")</f>
        <v/>
      </c>
    </row>
    <row r="191" spans="1:26">
      <c r="A191" s="22"/>
      <c r="B191" s="22"/>
      <c r="C191" s="22"/>
      <c r="D191" s="22"/>
      <c r="E191" s="23"/>
      <c r="F191" s="23"/>
      <c r="G191" s="24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6"/>
      <c r="T191" s="23" t="str">
        <f t="shared" si="6"/>
        <v/>
      </c>
      <c r="U191" s="22" t="str">
        <f t="shared" si="7"/>
        <v/>
      </c>
      <c r="V191" s="18" t="str">
        <f t="shared" si="8"/>
        <v/>
      </c>
      <c r="W191" s="22"/>
      <c r="X191" s="22"/>
      <c r="Y191" s="27">
        <f>IF($C191="",0,IF(COUNTIF($C$5:$C191,$C191)=1,1,0))</f>
        <v>0</v>
      </c>
      <c r="Z191" t="str">
        <f>IF(Y191=1,SUM($Y$5:$Y191),"")</f>
        <v/>
      </c>
    </row>
    <row r="192" spans="1:26">
      <c r="A192" s="22"/>
      <c r="B192" s="22"/>
      <c r="C192" s="22"/>
      <c r="D192" s="22"/>
      <c r="E192" s="23"/>
      <c r="F192" s="23"/>
      <c r="G192" s="24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6"/>
      <c r="T192" s="23" t="str">
        <f t="shared" si="6"/>
        <v/>
      </c>
      <c r="U192" s="22" t="str">
        <f t="shared" si="7"/>
        <v/>
      </c>
      <c r="V192" s="18" t="str">
        <f t="shared" si="8"/>
        <v/>
      </c>
      <c r="W192" s="22"/>
      <c r="X192" s="22"/>
      <c r="Y192" s="27">
        <f>IF($C192="",0,IF(COUNTIF($C$5:$C192,$C192)=1,1,0))</f>
        <v>0</v>
      </c>
      <c r="Z192" t="str">
        <f>IF(Y192=1,SUM($Y$5:$Y192),"")</f>
        <v/>
      </c>
    </row>
    <row r="193" spans="1:26">
      <c r="A193" s="22"/>
      <c r="B193" s="22"/>
      <c r="C193" s="22"/>
      <c r="D193" s="22"/>
      <c r="E193" s="23"/>
      <c r="F193" s="23"/>
      <c r="G193" s="24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6"/>
      <c r="T193" s="23" t="str">
        <f t="shared" si="6"/>
        <v/>
      </c>
      <c r="U193" s="22" t="str">
        <f t="shared" si="7"/>
        <v/>
      </c>
      <c r="V193" s="18" t="str">
        <f t="shared" si="8"/>
        <v/>
      </c>
      <c r="W193" s="22"/>
      <c r="X193" s="22"/>
      <c r="Y193" s="27">
        <f>IF($C193="",0,IF(COUNTIF($C$5:$C193,$C193)=1,1,0))</f>
        <v>0</v>
      </c>
      <c r="Z193" t="str">
        <f>IF(Y193=1,SUM($Y$5:$Y193),"")</f>
        <v/>
      </c>
    </row>
    <row r="194" spans="1:26">
      <c r="A194" s="22"/>
      <c r="B194" s="22"/>
      <c r="C194" s="22"/>
      <c r="D194" s="22"/>
      <c r="E194" s="23"/>
      <c r="F194" s="23"/>
      <c r="G194" s="24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6"/>
      <c r="T194" s="23" t="str">
        <f t="shared" si="6"/>
        <v/>
      </c>
      <c r="U194" s="22" t="str">
        <f t="shared" si="7"/>
        <v/>
      </c>
      <c r="V194" s="18" t="str">
        <f t="shared" si="8"/>
        <v/>
      </c>
      <c r="W194" s="22"/>
      <c r="X194" s="22"/>
      <c r="Y194" s="27">
        <f>IF($C194="",0,IF(COUNTIF($C$5:$C194,$C194)=1,1,0))</f>
        <v>0</v>
      </c>
      <c r="Z194" t="str">
        <f>IF(Y194=1,SUM($Y$5:$Y194),"")</f>
        <v/>
      </c>
    </row>
    <row r="195" spans="1:26">
      <c r="A195" s="22"/>
      <c r="B195" s="22"/>
      <c r="C195" s="22"/>
      <c r="D195" s="22"/>
      <c r="E195" s="23"/>
      <c r="F195" s="23"/>
      <c r="G195" s="24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6"/>
      <c r="T195" s="23" t="str">
        <f t="shared" si="6"/>
        <v/>
      </c>
      <c r="U195" s="22" t="str">
        <f t="shared" si="7"/>
        <v/>
      </c>
      <c r="V195" s="18" t="str">
        <f t="shared" si="8"/>
        <v/>
      </c>
      <c r="W195" s="22"/>
      <c r="X195" s="22"/>
      <c r="Y195" s="27">
        <f>IF($C195="",0,IF(COUNTIF($C$5:$C195,$C195)=1,1,0))</f>
        <v>0</v>
      </c>
      <c r="Z195" t="str">
        <f>IF(Y195=1,SUM($Y$5:$Y195),"")</f>
        <v/>
      </c>
    </row>
    <row r="196" spans="1:26">
      <c r="A196" s="22"/>
      <c r="B196" s="22"/>
      <c r="C196" s="22"/>
      <c r="D196" s="22"/>
      <c r="E196" s="23"/>
      <c r="F196" s="23"/>
      <c r="G196" s="24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6"/>
      <c r="T196" s="23" t="str">
        <f t="shared" si="6"/>
        <v/>
      </c>
      <c r="U196" s="22" t="str">
        <f t="shared" si="7"/>
        <v/>
      </c>
      <c r="V196" s="18" t="str">
        <f t="shared" si="8"/>
        <v/>
      </c>
      <c r="W196" s="22"/>
      <c r="X196" s="22"/>
      <c r="Y196" s="27">
        <f>IF($C196="",0,IF(COUNTIF($C$5:$C196,$C196)=1,1,0))</f>
        <v>0</v>
      </c>
      <c r="Z196" t="str">
        <f>IF(Y196=1,SUM($Y$5:$Y196),"")</f>
        <v/>
      </c>
    </row>
    <row r="197" spans="1:26">
      <c r="A197" s="22"/>
      <c r="B197" s="22"/>
      <c r="C197" s="22"/>
      <c r="D197" s="22"/>
      <c r="E197" s="23"/>
      <c r="F197" s="23"/>
      <c r="G197" s="24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6"/>
      <c r="T197" s="23" t="str">
        <f t="shared" ref="T197:T260" si="9">IF($D197="","",COUNTIF($H197:$R197,"V"))</f>
        <v/>
      </c>
      <c r="U197" s="22" t="str">
        <f t="shared" ref="U197:U260" si="10">IF($D197="","",IF(AND($S197="V",$T197&gt;0),"⚠ 勾選矛盾",IF($S197="V","○ 免調理",IF($T197=0,"⚠ 資料缺漏",IF($T197=1,"▲ 單一設備依賴","OK")))))</f>
        <v/>
      </c>
      <c r="V197" s="18" t="str">
        <f t="shared" ref="V197:V260" si="11">IF($D197="","",IF(AND($S197="V",$T197&gt;0),"「無使用調理設備」不可與設備欄同時勾選，請擇一修正",IF($S197="V","免調理半成品（外購/僅切配等），不列入設備風險評估",IF($T197=0,"未勾選任何設備，請補填或勾選「無使用調理設備」",IF($T197=1,"僅依賴1台設備，須確認故障/排修時之備援製程","無異常")))))</f>
        <v/>
      </c>
      <c r="W197" s="22"/>
      <c r="X197" s="22"/>
      <c r="Y197" s="27">
        <f>IF($C197="",0,IF(COUNTIF($C$5:$C197,$C197)=1,1,0))</f>
        <v>0</v>
      </c>
      <c r="Z197" t="str">
        <f>IF(Y197=1,SUM($Y$5:$Y197),"")</f>
        <v/>
      </c>
    </row>
    <row r="198" spans="1:26">
      <c r="A198" s="22"/>
      <c r="B198" s="22"/>
      <c r="C198" s="22"/>
      <c r="D198" s="22"/>
      <c r="E198" s="23"/>
      <c r="F198" s="23"/>
      <c r="G198" s="24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6"/>
      <c r="T198" s="23" t="str">
        <f t="shared" si="9"/>
        <v/>
      </c>
      <c r="U198" s="22" t="str">
        <f t="shared" si="10"/>
        <v/>
      </c>
      <c r="V198" s="18" t="str">
        <f t="shared" si="11"/>
        <v/>
      </c>
      <c r="W198" s="22"/>
      <c r="X198" s="22"/>
      <c r="Y198" s="27">
        <f>IF($C198="",0,IF(COUNTIF($C$5:$C198,$C198)=1,1,0))</f>
        <v>0</v>
      </c>
      <c r="Z198" t="str">
        <f>IF(Y198=1,SUM($Y$5:$Y198),"")</f>
        <v/>
      </c>
    </row>
    <row r="199" spans="1:26">
      <c r="A199" s="22"/>
      <c r="B199" s="22"/>
      <c r="C199" s="22"/>
      <c r="D199" s="22"/>
      <c r="E199" s="23"/>
      <c r="F199" s="23"/>
      <c r="G199" s="24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6"/>
      <c r="T199" s="23" t="str">
        <f t="shared" si="9"/>
        <v/>
      </c>
      <c r="U199" s="22" t="str">
        <f t="shared" si="10"/>
        <v/>
      </c>
      <c r="V199" s="18" t="str">
        <f t="shared" si="11"/>
        <v/>
      </c>
      <c r="W199" s="22"/>
      <c r="X199" s="22"/>
      <c r="Y199" s="27">
        <f>IF($C199="",0,IF(COUNTIF($C$5:$C199,$C199)=1,1,0))</f>
        <v>0</v>
      </c>
      <c r="Z199" t="str">
        <f>IF(Y199=1,SUM($Y$5:$Y199),"")</f>
        <v/>
      </c>
    </row>
    <row r="200" spans="1:26">
      <c r="A200" s="22"/>
      <c r="B200" s="22"/>
      <c r="C200" s="22"/>
      <c r="D200" s="22"/>
      <c r="E200" s="23"/>
      <c r="F200" s="23"/>
      <c r="G200" s="24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6"/>
      <c r="T200" s="23" t="str">
        <f t="shared" si="9"/>
        <v/>
      </c>
      <c r="U200" s="22" t="str">
        <f t="shared" si="10"/>
        <v/>
      </c>
      <c r="V200" s="18" t="str">
        <f t="shared" si="11"/>
        <v/>
      </c>
      <c r="W200" s="22"/>
      <c r="X200" s="22"/>
      <c r="Y200" s="27">
        <f>IF($C200="",0,IF(COUNTIF($C$5:$C200,$C200)=1,1,0))</f>
        <v>0</v>
      </c>
      <c r="Z200" t="str">
        <f>IF(Y200=1,SUM($Y$5:$Y200),"")</f>
        <v/>
      </c>
    </row>
    <row r="201" spans="1:26">
      <c r="A201" s="22"/>
      <c r="B201" s="22"/>
      <c r="C201" s="22"/>
      <c r="D201" s="22"/>
      <c r="E201" s="23"/>
      <c r="F201" s="23"/>
      <c r="G201" s="24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6"/>
      <c r="T201" s="23" t="str">
        <f t="shared" si="9"/>
        <v/>
      </c>
      <c r="U201" s="22" t="str">
        <f t="shared" si="10"/>
        <v/>
      </c>
      <c r="V201" s="18" t="str">
        <f t="shared" si="11"/>
        <v/>
      </c>
      <c r="W201" s="22"/>
      <c r="X201" s="22"/>
      <c r="Y201" s="27">
        <f>IF($C201="",0,IF(COUNTIF($C$5:$C201,$C201)=1,1,0))</f>
        <v>0</v>
      </c>
      <c r="Z201" t="str">
        <f>IF(Y201=1,SUM($Y$5:$Y201),"")</f>
        <v/>
      </c>
    </row>
    <row r="202" spans="1:26">
      <c r="A202" s="22"/>
      <c r="B202" s="22"/>
      <c r="C202" s="22"/>
      <c r="D202" s="22"/>
      <c r="E202" s="23"/>
      <c r="F202" s="23"/>
      <c r="G202" s="24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6"/>
      <c r="T202" s="23" t="str">
        <f t="shared" si="9"/>
        <v/>
      </c>
      <c r="U202" s="22" t="str">
        <f t="shared" si="10"/>
        <v/>
      </c>
      <c r="V202" s="18" t="str">
        <f t="shared" si="11"/>
        <v/>
      </c>
      <c r="W202" s="22"/>
      <c r="X202" s="22"/>
      <c r="Y202" s="27">
        <f>IF($C202="",0,IF(COUNTIF($C$5:$C202,$C202)=1,1,0))</f>
        <v>0</v>
      </c>
      <c r="Z202" t="str">
        <f>IF(Y202=1,SUM($Y$5:$Y202),"")</f>
        <v/>
      </c>
    </row>
    <row r="203" spans="1:26">
      <c r="A203" s="22"/>
      <c r="B203" s="22"/>
      <c r="C203" s="22"/>
      <c r="D203" s="22"/>
      <c r="E203" s="23"/>
      <c r="F203" s="23"/>
      <c r="G203" s="24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6"/>
      <c r="T203" s="23" t="str">
        <f t="shared" si="9"/>
        <v/>
      </c>
      <c r="U203" s="22" t="str">
        <f t="shared" si="10"/>
        <v/>
      </c>
      <c r="V203" s="18" t="str">
        <f t="shared" si="11"/>
        <v/>
      </c>
      <c r="W203" s="22"/>
      <c r="X203" s="22"/>
      <c r="Y203" s="27">
        <f>IF($C203="",0,IF(COUNTIF($C$5:$C203,$C203)=1,1,0))</f>
        <v>0</v>
      </c>
      <c r="Z203" t="str">
        <f>IF(Y203=1,SUM($Y$5:$Y203),"")</f>
        <v/>
      </c>
    </row>
    <row r="204" spans="1:26">
      <c r="A204" s="22"/>
      <c r="B204" s="22"/>
      <c r="C204" s="22"/>
      <c r="D204" s="22"/>
      <c r="E204" s="23"/>
      <c r="F204" s="23"/>
      <c r="G204" s="24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6"/>
      <c r="T204" s="23" t="str">
        <f t="shared" si="9"/>
        <v/>
      </c>
      <c r="U204" s="22" t="str">
        <f t="shared" si="10"/>
        <v/>
      </c>
      <c r="V204" s="18" t="str">
        <f t="shared" si="11"/>
        <v/>
      </c>
      <c r="W204" s="22"/>
      <c r="X204" s="22"/>
      <c r="Y204" s="27">
        <f>IF($C204="",0,IF(COUNTIF($C$5:$C204,$C204)=1,1,0))</f>
        <v>0</v>
      </c>
      <c r="Z204" t="str">
        <f>IF(Y204=1,SUM($Y$5:$Y204),"")</f>
        <v/>
      </c>
    </row>
    <row r="205" spans="1:26">
      <c r="A205" s="22"/>
      <c r="B205" s="22"/>
      <c r="C205" s="22"/>
      <c r="D205" s="22"/>
      <c r="E205" s="23"/>
      <c r="F205" s="23"/>
      <c r="G205" s="24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6"/>
      <c r="T205" s="23" t="str">
        <f t="shared" si="9"/>
        <v/>
      </c>
      <c r="U205" s="22" t="str">
        <f t="shared" si="10"/>
        <v/>
      </c>
      <c r="V205" s="18" t="str">
        <f t="shared" si="11"/>
        <v/>
      </c>
      <c r="W205" s="22"/>
      <c r="X205" s="22"/>
      <c r="Y205" s="27">
        <f>IF($C205="",0,IF(COUNTIF($C$5:$C205,$C205)=1,1,0))</f>
        <v>0</v>
      </c>
      <c r="Z205" t="str">
        <f>IF(Y205=1,SUM($Y$5:$Y205),"")</f>
        <v/>
      </c>
    </row>
    <row r="206" spans="1:26">
      <c r="A206" s="22"/>
      <c r="B206" s="22"/>
      <c r="C206" s="22"/>
      <c r="D206" s="22"/>
      <c r="E206" s="23"/>
      <c r="F206" s="23"/>
      <c r="G206" s="24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6"/>
      <c r="T206" s="23" t="str">
        <f t="shared" si="9"/>
        <v/>
      </c>
      <c r="U206" s="22" t="str">
        <f t="shared" si="10"/>
        <v/>
      </c>
      <c r="V206" s="18" t="str">
        <f t="shared" si="11"/>
        <v/>
      </c>
      <c r="W206" s="22"/>
      <c r="X206" s="22"/>
      <c r="Y206" s="27">
        <f>IF($C206="",0,IF(COUNTIF($C$5:$C206,$C206)=1,1,0))</f>
        <v>0</v>
      </c>
      <c r="Z206" t="str">
        <f>IF(Y206=1,SUM($Y$5:$Y206),"")</f>
        <v/>
      </c>
    </row>
    <row r="207" spans="1:26">
      <c r="A207" s="22"/>
      <c r="B207" s="22"/>
      <c r="C207" s="22"/>
      <c r="D207" s="22"/>
      <c r="E207" s="23"/>
      <c r="F207" s="23"/>
      <c r="G207" s="24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6"/>
      <c r="T207" s="23" t="str">
        <f t="shared" si="9"/>
        <v/>
      </c>
      <c r="U207" s="22" t="str">
        <f t="shared" si="10"/>
        <v/>
      </c>
      <c r="V207" s="18" t="str">
        <f t="shared" si="11"/>
        <v/>
      </c>
      <c r="W207" s="22"/>
      <c r="X207" s="22"/>
      <c r="Y207" s="27">
        <f>IF($C207="",0,IF(COUNTIF($C$5:$C207,$C207)=1,1,0))</f>
        <v>0</v>
      </c>
      <c r="Z207" t="str">
        <f>IF(Y207=1,SUM($Y$5:$Y207),"")</f>
        <v/>
      </c>
    </row>
    <row r="208" spans="1:26">
      <c r="A208" s="22"/>
      <c r="B208" s="22"/>
      <c r="C208" s="22"/>
      <c r="D208" s="22"/>
      <c r="E208" s="23"/>
      <c r="F208" s="23"/>
      <c r="G208" s="24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6"/>
      <c r="T208" s="23" t="str">
        <f t="shared" si="9"/>
        <v/>
      </c>
      <c r="U208" s="22" t="str">
        <f t="shared" si="10"/>
        <v/>
      </c>
      <c r="V208" s="18" t="str">
        <f t="shared" si="11"/>
        <v/>
      </c>
      <c r="W208" s="22"/>
      <c r="X208" s="22"/>
      <c r="Y208" s="27">
        <f>IF($C208="",0,IF(COUNTIF($C$5:$C208,$C208)=1,1,0))</f>
        <v>0</v>
      </c>
      <c r="Z208" t="str">
        <f>IF(Y208=1,SUM($Y$5:$Y208),"")</f>
        <v/>
      </c>
    </row>
    <row r="209" spans="1:26">
      <c r="A209" s="22"/>
      <c r="B209" s="22"/>
      <c r="C209" s="22"/>
      <c r="D209" s="22"/>
      <c r="E209" s="23"/>
      <c r="F209" s="23"/>
      <c r="G209" s="24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6"/>
      <c r="T209" s="23" t="str">
        <f t="shared" si="9"/>
        <v/>
      </c>
      <c r="U209" s="22" t="str">
        <f t="shared" si="10"/>
        <v/>
      </c>
      <c r="V209" s="18" t="str">
        <f t="shared" si="11"/>
        <v/>
      </c>
      <c r="W209" s="22"/>
      <c r="X209" s="22"/>
      <c r="Y209" s="27">
        <f>IF($C209="",0,IF(COUNTIF($C$5:$C209,$C209)=1,1,0))</f>
        <v>0</v>
      </c>
      <c r="Z209" t="str">
        <f>IF(Y209=1,SUM($Y$5:$Y209),"")</f>
        <v/>
      </c>
    </row>
    <row r="210" spans="1:26">
      <c r="A210" s="22"/>
      <c r="B210" s="22"/>
      <c r="C210" s="22"/>
      <c r="D210" s="22"/>
      <c r="E210" s="23"/>
      <c r="F210" s="23"/>
      <c r="G210" s="24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6"/>
      <c r="T210" s="23" t="str">
        <f t="shared" si="9"/>
        <v/>
      </c>
      <c r="U210" s="22" t="str">
        <f t="shared" si="10"/>
        <v/>
      </c>
      <c r="V210" s="18" t="str">
        <f t="shared" si="11"/>
        <v/>
      </c>
      <c r="W210" s="22"/>
      <c r="X210" s="22"/>
      <c r="Y210" s="27">
        <f>IF($C210="",0,IF(COUNTIF($C$5:$C210,$C210)=1,1,0))</f>
        <v>0</v>
      </c>
      <c r="Z210" t="str">
        <f>IF(Y210=1,SUM($Y$5:$Y210),"")</f>
        <v/>
      </c>
    </row>
    <row r="211" spans="1:26">
      <c r="A211" s="22"/>
      <c r="B211" s="22"/>
      <c r="C211" s="22"/>
      <c r="D211" s="22"/>
      <c r="E211" s="23"/>
      <c r="F211" s="23"/>
      <c r="G211" s="24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6"/>
      <c r="T211" s="23" t="str">
        <f t="shared" si="9"/>
        <v/>
      </c>
      <c r="U211" s="22" t="str">
        <f t="shared" si="10"/>
        <v/>
      </c>
      <c r="V211" s="18" t="str">
        <f t="shared" si="11"/>
        <v/>
      </c>
      <c r="W211" s="22"/>
      <c r="X211" s="22"/>
      <c r="Y211" s="27">
        <f>IF($C211="",0,IF(COUNTIF($C$5:$C211,$C211)=1,1,0))</f>
        <v>0</v>
      </c>
      <c r="Z211" t="str">
        <f>IF(Y211=1,SUM($Y$5:$Y211),"")</f>
        <v/>
      </c>
    </row>
    <row r="212" spans="1:26">
      <c r="A212" s="22"/>
      <c r="B212" s="22"/>
      <c r="C212" s="22"/>
      <c r="D212" s="22"/>
      <c r="E212" s="23"/>
      <c r="F212" s="23"/>
      <c r="G212" s="24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6"/>
      <c r="T212" s="23" t="str">
        <f t="shared" si="9"/>
        <v/>
      </c>
      <c r="U212" s="22" t="str">
        <f t="shared" si="10"/>
        <v/>
      </c>
      <c r="V212" s="18" t="str">
        <f t="shared" si="11"/>
        <v/>
      </c>
      <c r="W212" s="22"/>
      <c r="X212" s="22"/>
      <c r="Y212" s="27">
        <f>IF($C212="",0,IF(COUNTIF($C$5:$C212,$C212)=1,1,0))</f>
        <v>0</v>
      </c>
      <c r="Z212" t="str">
        <f>IF(Y212=1,SUM($Y$5:$Y212),"")</f>
        <v/>
      </c>
    </row>
    <row r="213" spans="1:26">
      <c r="A213" s="22"/>
      <c r="B213" s="22"/>
      <c r="C213" s="22"/>
      <c r="D213" s="22"/>
      <c r="E213" s="23"/>
      <c r="F213" s="23"/>
      <c r="G213" s="24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6"/>
      <c r="T213" s="23" t="str">
        <f t="shared" si="9"/>
        <v/>
      </c>
      <c r="U213" s="22" t="str">
        <f t="shared" si="10"/>
        <v/>
      </c>
      <c r="V213" s="18" t="str">
        <f t="shared" si="11"/>
        <v/>
      </c>
      <c r="W213" s="22"/>
      <c r="X213" s="22"/>
      <c r="Y213" s="27">
        <f>IF($C213="",0,IF(COUNTIF($C$5:$C213,$C213)=1,1,0))</f>
        <v>0</v>
      </c>
      <c r="Z213" t="str">
        <f>IF(Y213=1,SUM($Y$5:$Y213),"")</f>
        <v/>
      </c>
    </row>
    <row r="214" spans="1:26">
      <c r="A214" s="22"/>
      <c r="B214" s="22"/>
      <c r="C214" s="22"/>
      <c r="D214" s="22"/>
      <c r="E214" s="23"/>
      <c r="F214" s="23"/>
      <c r="G214" s="24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6"/>
      <c r="T214" s="23" t="str">
        <f t="shared" si="9"/>
        <v/>
      </c>
      <c r="U214" s="22" t="str">
        <f t="shared" si="10"/>
        <v/>
      </c>
      <c r="V214" s="18" t="str">
        <f t="shared" si="11"/>
        <v/>
      </c>
      <c r="W214" s="22"/>
      <c r="X214" s="22"/>
      <c r="Y214" s="27">
        <f>IF($C214="",0,IF(COUNTIF($C$5:$C214,$C214)=1,1,0))</f>
        <v>0</v>
      </c>
      <c r="Z214" t="str">
        <f>IF(Y214=1,SUM($Y$5:$Y214),"")</f>
        <v/>
      </c>
    </row>
    <row r="215" spans="1:26">
      <c r="A215" s="22"/>
      <c r="B215" s="22"/>
      <c r="C215" s="22"/>
      <c r="D215" s="22"/>
      <c r="E215" s="23"/>
      <c r="F215" s="23"/>
      <c r="G215" s="24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6"/>
      <c r="T215" s="23" t="str">
        <f t="shared" si="9"/>
        <v/>
      </c>
      <c r="U215" s="22" t="str">
        <f t="shared" si="10"/>
        <v/>
      </c>
      <c r="V215" s="18" t="str">
        <f t="shared" si="11"/>
        <v/>
      </c>
      <c r="W215" s="22"/>
      <c r="X215" s="22"/>
      <c r="Y215" s="27">
        <f>IF($C215="",0,IF(COUNTIF($C$5:$C215,$C215)=1,1,0))</f>
        <v>0</v>
      </c>
      <c r="Z215" t="str">
        <f>IF(Y215=1,SUM($Y$5:$Y215),"")</f>
        <v/>
      </c>
    </row>
    <row r="216" spans="1:26">
      <c r="A216" s="22"/>
      <c r="B216" s="22"/>
      <c r="C216" s="22"/>
      <c r="D216" s="22"/>
      <c r="E216" s="23"/>
      <c r="F216" s="23"/>
      <c r="G216" s="24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6"/>
      <c r="T216" s="23" t="str">
        <f t="shared" si="9"/>
        <v/>
      </c>
      <c r="U216" s="22" t="str">
        <f t="shared" si="10"/>
        <v/>
      </c>
      <c r="V216" s="18" t="str">
        <f t="shared" si="11"/>
        <v/>
      </c>
      <c r="W216" s="22"/>
      <c r="X216" s="22"/>
      <c r="Y216" s="27">
        <f>IF($C216="",0,IF(COUNTIF($C$5:$C216,$C216)=1,1,0))</f>
        <v>0</v>
      </c>
      <c r="Z216" t="str">
        <f>IF(Y216=1,SUM($Y$5:$Y216),"")</f>
        <v/>
      </c>
    </row>
    <row r="217" spans="1:26">
      <c r="A217" s="22"/>
      <c r="B217" s="22"/>
      <c r="C217" s="22"/>
      <c r="D217" s="22"/>
      <c r="E217" s="23"/>
      <c r="F217" s="23"/>
      <c r="G217" s="24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6"/>
      <c r="T217" s="23" t="str">
        <f t="shared" si="9"/>
        <v/>
      </c>
      <c r="U217" s="22" t="str">
        <f t="shared" si="10"/>
        <v/>
      </c>
      <c r="V217" s="18" t="str">
        <f t="shared" si="11"/>
        <v/>
      </c>
      <c r="W217" s="22"/>
      <c r="X217" s="22"/>
      <c r="Y217" s="27">
        <f>IF($C217="",0,IF(COUNTIF($C$5:$C217,$C217)=1,1,0))</f>
        <v>0</v>
      </c>
      <c r="Z217" t="str">
        <f>IF(Y217=1,SUM($Y$5:$Y217),"")</f>
        <v/>
      </c>
    </row>
    <row r="218" spans="1:26">
      <c r="A218" s="22"/>
      <c r="B218" s="22"/>
      <c r="C218" s="22"/>
      <c r="D218" s="22"/>
      <c r="E218" s="23"/>
      <c r="F218" s="23"/>
      <c r="G218" s="24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6"/>
      <c r="T218" s="23" t="str">
        <f t="shared" si="9"/>
        <v/>
      </c>
      <c r="U218" s="22" t="str">
        <f t="shared" si="10"/>
        <v/>
      </c>
      <c r="V218" s="18" t="str">
        <f t="shared" si="11"/>
        <v/>
      </c>
      <c r="W218" s="22"/>
      <c r="X218" s="22"/>
      <c r="Y218" s="27">
        <f>IF($C218="",0,IF(COUNTIF($C$5:$C218,$C218)=1,1,0))</f>
        <v>0</v>
      </c>
      <c r="Z218" t="str">
        <f>IF(Y218=1,SUM($Y$5:$Y218),"")</f>
        <v/>
      </c>
    </row>
    <row r="219" spans="1:26">
      <c r="A219" s="22"/>
      <c r="B219" s="22"/>
      <c r="C219" s="22"/>
      <c r="D219" s="22"/>
      <c r="E219" s="23"/>
      <c r="F219" s="23"/>
      <c r="G219" s="24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6"/>
      <c r="T219" s="23" t="str">
        <f t="shared" si="9"/>
        <v/>
      </c>
      <c r="U219" s="22" t="str">
        <f t="shared" si="10"/>
        <v/>
      </c>
      <c r="V219" s="18" t="str">
        <f t="shared" si="11"/>
        <v/>
      </c>
      <c r="W219" s="22"/>
      <c r="X219" s="22"/>
      <c r="Y219" s="27">
        <f>IF($C219="",0,IF(COUNTIF($C$5:$C219,$C219)=1,1,0))</f>
        <v>0</v>
      </c>
      <c r="Z219" t="str">
        <f>IF(Y219=1,SUM($Y$5:$Y219),"")</f>
        <v/>
      </c>
    </row>
    <row r="220" spans="1:26">
      <c r="A220" s="22"/>
      <c r="B220" s="22"/>
      <c r="C220" s="22"/>
      <c r="D220" s="22"/>
      <c r="E220" s="23"/>
      <c r="F220" s="23"/>
      <c r="G220" s="24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6"/>
      <c r="T220" s="23" t="str">
        <f t="shared" si="9"/>
        <v/>
      </c>
      <c r="U220" s="22" t="str">
        <f t="shared" si="10"/>
        <v/>
      </c>
      <c r="V220" s="18" t="str">
        <f t="shared" si="11"/>
        <v/>
      </c>
      <c r="W220" s="22"/>
      <c r="X220" s="22"/>
      <c r="Y220" s="27">
        <f>IF($C220="",0,IF(COUNTIF($C$5:$C220,$C220)=1,1,0))</f>
        <v>0</v>
      </c>
      <c r="Z220" t="str">
        <f>IF(Y220=1,SUM($Y$5:$Y220),"")</f>
        <v/>
      </c>
    </row>
    <row r="221" spans="1:26">
      <c r="A221" s="22"/>
      <c r="B221" s="22"/>
      <c r="C221" s="22"/>
      <c r="D221" s="22"/>
      <c r="E221" s="23"/>
      <c r="F221" s="23"/>
      <c r="G221" s="24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6"/>
      <c r="T221" s="23" t="str">
        <f t="shared" si="9"/>
        <v/>
      </c>
      <c r="U221" s="22" t="str">
        <f t="shared" si="10"/>
        <v/>
      </c>
      <c r="V221" s="18" t="str">
        <f t="shared" si="11"/>
        <v/>
      </c>
      <c r="W221" s="22"/>
      <c r="X221" s="22"/>
      <c r="Y221" s="27">
        <f>IF($C221="",0,IF(COUNTIF($C$5:$C221,$C221)=1,1,0))</f>
        <v>0</v>
      </c>
      <c r="Z221" t="str">
        <f>IF(Y221=1,SUM($Y$5:$Y221),"")</f>
        <v/>
      </c>
    </row>
    <row r="222" spans="1:26">
      <c r="A222" s="22"/>
      <c r="B222" s="22"/>
      <c r="C222" s="22"/>
      <c r="D222" s="22"/>
      <c r="E222" s="23"/>
      <c r="F222" s="23"/>
      <c r="G222" s="24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6"/>
      <c r="T222" s="23" t="str">
        <f t="shared" si="9"/>
        <v/>
      </c>
      <c r="U222" s="22" t="str">
        <f t="shared" si="10"/>
        <v/>
      </c>
      <c r="V222" s="18" t="str">
        <f t="shared" si="11"/>
        <v/>
      </c>
      <c r="W222" s="22"/>
      <c r="X222" s="22"/>
      <c r="Y222" s="27">
        <f>IF($C222="",0,IF(COUNTIF($C$5:$C222,$C222)=1,1,0))</f>
        <v>0</v>
      </c>
      <c r="Z222" t="str">
        <f>IF(Y222=1,SUM($Y$5:$Y222),"")</f>
        <v/>
      </c>
    </row>
    <row r="223" spans="1:26">
      <c r="A223" s="22"/>
      <c r="B223" s="22"/>
      <c r="C223" s="22"/>
      <c r="D223" s="22"/>
      <c r="E223" s="23"/>
      <c r="F223" s="23"/>
      <c r="G223" s="24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6"/>
      <c r="T223" s="23" t="str">
        <f t="shared" si="9"/>
        <v/>
      </c>
      <c r="U223" s="22" t="str">
        <f t="shared" si="10"/>
        <v/>
      </c>
      <c r="V223" s="18" t="str">
        <f t="shared" si="11"/>
        <v/>
      </c>
      <c r="W223" s="22"/>
      <c r="X223" s="22"/>
      <c r="Y223" s="27">
        <f>IF($C223="",0,IF(COUNTIF($C$5:$C223,$C223)=1,1,0))</f>
        <v>0</v>
      </c>
      <c r="Z223" t="str">
        <f>IF(Y223=1,SUM($Y$5:$Y223),"")</f>
        <v/>
      </c>
    </row>
    <row r="224" spans="1:26">
      <c r="A224" s="22"/>
      <c r="B224" s="22"/>
      <c r="C224" s="22"/>
      <c r="D224" s="22"/>
      <c r="E224" s="23"/>
      <c r="F224" s="23"/>
      <c r="G224" s="24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6"/>
      <c r="T224" s="23" t="str">
        <f t="shared" si="9"/>
        <v/>
      </c>
      <c r="U224" s="22" t="str">
        <f t="shared" si="10"/>
        <v/>
      </c>
      <c r="V224" s="18" t="str">
        <f t="shared" si="11"/>
        <v/>
      </c>
      <c r="W224" s="22"/>
      <c r="X224" s="22"/>
      <c r="Y224" s="27">
        <f>IF($C224="",0,IF(COUNTIF($C$5:$C224,$C224)=1,1,0))</f>
        <v>0</v>
      </c>
      <c r="Z224" t="str">
        <f>IF(Y224=1,SUM($Y$5:$Y224),"")</f>
        <v/>
      </c>
    </row>
    <row r="225" spans="1:26">
      <c r="A225" s="22"/>
      <c r="B225" s="22"/>
      <c r="C225" s="22"/>
      <c r="D225" s="22"/>
      <c r="E225" s="23"/>
      <c r="F225" s="23"/>
      <c r="G225" s="24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6"/>
      <c r="T225" s="23" t="str">
        <f t="shared" si="9"/>
        <v/>
      </c>
      <c r="U225" s="22" t="str">
        <f t="shared" si="10"/>
        <v/>
      </c>
      <c r="V225" s="18" t="str">
        <f t="shared" si="11"/>
        <v/>
      </c>
      <c r="W225" s="22"/>
      <c r="X225" s="22"/>
      <c r="Y225" s="27">
        <f>IF($C225="",0,IF(COUNTIF($C$5:$C225,$C225)=1,1,0))</f>
        <v>0</v>
      </c>
      <c r="Z225" t="str">
        <f>IF(Y225=1,SUM($Y$5:$Y225),"")</f>
        <v/>
      </c>
    </row>
    <row r="226" spans="1:26">
      <c r="A226" s="22"/>
      <c r="B226" s="22"/>
      <c r="C226" s="22"/>
      <c r="D226" s="22"/>
      <c r="E226" s="23"/>
      <c r="F226" s="23"/>
      <c r="G226" s="24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6"/>
      <c r="T226" s="23" t="str">
        <f t="shared" si="9"/>
        <v/>
      </c>
      <c r="U226" s="22" t="str">
        <f t="shared" si="10"/>
        <v/>
      </c>
      <c r="V226" s="18" t="str">
        <f t="shared" si="11"/>
        <v/>
      </c>
      <c r="W226" s="22"/>
      <c r="X226" s="22"/>
      <c r="Y226" s="27">
        <f>IF($C226="",0,IF(COUNTIF($C$5:$C226,$C226)=1,1,0))</f>
        <v>0</v>
      </c>
      <c r="Z226" t="str">
        <f>IF(Y226=1,SUM($Y$5:$Y226),"")</f>
        <v/>
      </c>
    </row>
    <row r="227" spans="1:26">
      <c r="A227" s="22"/>
      <c r="B227" s="22"/>
      <c r="C227" s="22"/>
      <c r="D227" s="22"/>
      <c r="E227" s="23"/>
      <c r="F227" s="23"/>
      <c r="G227" s="24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6"/>
      <c r="T227" s="23" t="str">
        <f t="shared" si="9"/>
        <v/>
      </c>
      <c r="U227" s="22" t="str">
        <f t="shared" si="10"/>
        <v/>
      </c>
      <c r="V227" s="18" t="str">
        <f t="shared" si="11"/>
        <v/>
      </c>
      <c r="W227" s="22"/>
      <c r="X227" s="22"/>
      <c r="Y227" s="27">
        <f>IF($C227="",0,IF(COUNTIF($C$5:$C227,$C227)=1,1,0))</f>
        <v>0</v>
      </c>
      <c r="Z227" t="str">
        <f>IF(Y227=1,SUM($Y$5:$Y227),"")</f>
        <v/>
      </c>
    </row>
    <row r="228" spans="1:26">
      <c r="A228" s="22"/>
      <c r="B228" s="22"/>
      <c r="C228" s="22"/>
      <c r="D228" s="22"/>
      <c r="E228" s="23"/>
      <c r="F228" s="23"/>
      <c r="G228" s="24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6"/>
      <c r="T228" s="23" t="str">
        <f t="shared" si="9"/>
        <v/>
      </c>
      <c r="U228" s="22" t="str">
        <f t="shared" si="10"/>
        <v/>
      </c>
      <c r="V228" s="18" t="str">
        <f t="shared" si="11"/>
        <v/>
      </c>
      <c r="W228" s="22"/>
      <c r="X228" s="22"/>
      <c r="Y228" s="27">
        <f>IF($C228="",0,IF(COUNTIF($C$5:$C228,$C228)=1,1,0))</f>
        <v>0</v>
      </c>
      <c r="Z228" t="str">
        <f>IF(Y228=1,SUM($Y$5:$Y228),"")</f>
        <v/>
      </c>
    </row>
    <row r="229" spans="1:26">
      <c r="A229" s="22"/>
      <c r="B229" s="22"/>
      <c r="C229" s="22"/>
      <c r="D229" s="22"/>
      <c r="E229" s="23"/>
      <c r="F229" s="23"/>
      <c r="G229" s="24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6"/>
      <c r="T229" s="23" t="str">
        <f t="shared" si="9"/>
        <v/>
      </c>
      <c r="U229" s="22" t="str">
        <f t="shared" si="10"/>
        <v/>
      </c>
      <c r="V229" s="18" t="str">
        <f t="shared" si="11"/>
        <v/>
      </c>
      <c r="W229" s="22"/>
      <c r="X229" s="22"/>
      <c r="Y229" s="27">
        <f>IF($C229="",0,IF(COUNTIF($C$5:$C229,$C229)=1,1,0))</f>
        <v>0</v>
      </c>
      <c r="Z229" t="str">
        <f>IF(Y229=1,SUM($Y$5:$Y229),"")</f>
        <v/>
      </c>
    </row>
    <row r="230" spans="1:26">
      <c r="A230" s="22"/>
      <c r="B230" s="22"/>
      <c r="C230" s="22"/>
      <c r="D230" s="22"/>
      <c r="E230" s="23"/>
      <c r="F230" s="23"/>
      <c r="G230" s="24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6"/>
      <c r="T230" s="23" t="str">
        <f t="shared" si="9"/>
        <v/>
      </c>
      <c r="U230" s="22" t="str">
        <f t="shared" si="10"/>
        <v/>
      </c>
      <c r="V230" s="18" t="str">
        <f t="shared" si="11"/>
        <v/>
      </c>
      <c r="W230" s="22"/>
      <c r="X230" s="22"/>
      <c r="Y230" s="27">
        <f>IF($C230="",0,IF(COUNTIF($C$5:$C230,$C230)=1,1,0))</f>
        <v>0</v>
      </c>
      <c r="Z230" t="str">
        <f>IF(Y230=1,SUM($Y$5:$Y230),"")</f>
        <v/>
      </c>
    </row>
    <row r="231" spans="1:26">
      <c r="A231" s="22"/>
      <c r="B231" s="22"/>
      <c r="C231" s="22"/>
      <c r="D231" s="22"/>
      <c r="E231" s="23"/>
      <c r="F231" s="23"/>
      <c r="G231" s="24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6"/>
      <c r="T231" s="23" t="str">
        <f t="shared" si="9"/>
        <v/>
      </c>
      <c r="U231" s="22" t="str">
        <f t="shared" si="10"/>
        <v/>
      </c>
      <c r="V231" s="18" t="str">
        <f t="shared" si="11"/>
        <v/>
      </c>
      <c r="W231" s="22"/>
      <c r="X231" s="22"/>
      <c r="Y231" s="27">
        <f>IF($C231="",0,IF(COUNTIF($C$5:$C231,$C231)=1,1,0))</f>
        <v>0</v>
      </c>
      <c r="Z231" t="str">
        <f>IF(Y231=1,SUM($Y$5:$Y231),"")</f>
        <v/>
      </c>
    </row>
    <row r="232" spans="1:26">
      <c r="A232" s="22"/>
      <c r="B232" s="22"/>
      <c r="C232" s="22"/>
      <c r="D232" s="22"/>
      <c r="E232" s="23"/>
      <c r="F232" s="23"/>
      <c r="G232" s="24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6"/>
      <c r="T232" s="23" t="str">
        <f t="shared" si="9"/>
        <v/>
      </c>
      <c r="U232" s="22" t="str">
        <f t="shared" si="10"/>
        <v/>
      </c>
      <c r="V232" s="18" t="str">
        <f t="shared" si="11"/>
        <v/>
      </c>
      <c r="W232" s="22"/>
      <c r="X232" s="22"/>
      <c r="Y232" s="27">
        <f>IF($C232="",0,IF(COUNTIF($C$5:$C232,$C232)=1,1,0))</f>
        <v>0</v>
      </c>
      <c r="Z232" t="str">
        <f>IF(Y232=1,SUM($Y$5:$Y232),"")</f>
        <v/>
      </c>
    </row>
    <row r="233" spans="1:26">
      <c r="A233" s="22"/>
      <c r="B233" s="22"/>
      <c r="C233" s="22"/>
      <c r="D233" s="22"/>
      <c r="E233" s="23"/>
      <c r="F233" s="23"/>
      <c r="G233" s="24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6"/>
      <c r="T233" s="23" t="str">
        <f t="shared" si="9"/>
        <v/>
      </c>
      <c r="U233" s="22" t="str">
        <f t="shared" si="10"/>
        <v/>
      </c>
      <c r="V233" s="18" t="str">
        <f t="shared" si="11"/>
        <v/>
      </c>
      <c r="W233" s="22"/>
      <c r="X233" s="22"/>
      <c r="Y233" s="27">
        <f>IF($C233="",0,IF(COUNTIF($C$5:$C233,$C233)=1,1,0))</f>
        <v>0</v>
      </c>
      <c r="Z233" t="str">
        <f>IF(Y233=1,SUM($Y$5:$Y233),"")</f>
        <v/>
      </c>
    </row>
    <row r="234" spans="1:26">
      <c r="A234" s="22"/>
      <c r="B234" s="22"/>
      <c r="C234" s="22"/>
      <c r="D234" s="22"/>
      <c r="E234" s="23"/>
      <c r="F234" s="23"/>
      <c r="G234" s="24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6"/>
      <c r="T234" s="23" t="str">
        <f t="shared" si="9"/>
        <v/>
      </c>
      <c r="U234" s="22" t="str">
        <f t="shared" si="10"/>
        <v/>
      </c>
      <c r="V234" s="18" t="str">
        <f t="shared" si="11"/>
        <v/>
      </c>
      <c r="W234" s="22"/>
      <c r="X234" s="22"/>
      <c r="Y234" s="27">
        <f>IF($C234="",0,IF(COUNTIF($C$5:$C234,$C234)=1,1,0))</f>
        <v>0</v>
      </c>
      <c r="Z234" t="str">
        <f>IF(Y234=1,SUM($Y$5:$Y234),"")</f>
        <v/>
      </c>
    </row>
    <row r="235" spans="1:26">
      <c r="A235" s="22"/>
      <c r="B235" s="22"/>
      <c r="C235" s="22"/>
      <c r="D235" s="22"/>
      <c r="E235" s="23"/>
      <c r="F235" s="23"/>
      <c r="G235" s="24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6"/>
      <c r="T235" s="23" t="str">
        <f t="shared" si="9"/>
        <v/>
      </c>
      <c r="U235" s="22" t="str">
        <f t="shared" si="10"/>
        <v/>
      </c>
      <c r="V235" s="18" t="str">
        <f t="shared" si="11"/>
        <v/>
      </c>
      <c r="W235" s="22"/>
      <c r="X235" s="22"/>
      <c r="Y235" s="27">
        <f>IF($C235="",0,IF(COUNTIF($C$5:$C235,$C235)=1,1,0))</f>
        <v>0</v>
      </c>
      <c r="Z235" t="str">
        <f>IF(Y235=1,SUM($Y$5:$Y235),"")</f>
        <v/>
      </c>
    </row>
    <row r="236" spans="1:26">
      <c r="A236" s="22"/>
      <c r="B236" s="22"/>
      <c r="C236" s="22"/>
      <c r="D236" s="22"/>
      <c r="E236" s="23"/>
      <c r="F236" s="23"/>
      <c r="G236" s="24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6"/>
      <c r="T236" s="23" t="str">
        <f t="shared" si="9"/>
        <v/>
      </c>
      <c r="U236" s="22" t="str">
        <f t="shared" si="10"/>
        <v/>
      </c>
      <c r="V236" s="18" t="str">
        <f t="shared" si="11"/>
        <v/>
      </c>
      <c r="W236" s="22"/>
      <c r="X236" s="22"/>
      <c r="Y236" s="27">
        <f>IF($C236="",0,IF(COUNTIF($C$5:$C236,$C236)=1,1,0))</f>
        <v>0</v>
      </c>
      <c r="Z236" t="str">
        <f>IF(Y236=1,SUM($Y$5:$Y236),"")</f>
        <v/>
      </c>
    </row>
    <row r="237" spans="1:26">
      <c r="A237" s="22"/>
      <c r="B237" s="22"/>
      <c r="C237" s="22"/>
      <c r="D237" s="22"/>
      <c r="E237" s="23"/>
      <c r="F237" s="23"/>
      <c r="G237" s="24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6"/>
      <c r="T237" s="23" t="str">
        <f t="shared" si="9"/>
        <v/>
      </c>
      <c r="U237" s="22" t="str">
        <f t="shared" si="10"/>
        <v/>
      </c>
      <c r="V237" s="18" t="str">
        <f t="shared" si="11"/>
        <v/>
      </c>
      <c r="W237" s="22"/>
      <c r="X237" s="22"/>
      <c r="Y237" s="27">
        <f>IF($C237="",0,IF(COUNTIF($C$5:$C237,$C237)=1,1,0))</f>
        <v>0</v>
      </c>
      <c r="Z237" t="str">
        <f>IF(Y237=1,SUM($Y$5:$Y237),"")</f>
        <v/>
      </c>
    </row>
    <row r="238" spans="1:26">
      <c r="A238" s="22"/>
      <c r="B238" s="22"/>
      <c r="C238" s="22"/>
      <c r="D238" s="22"/>
      <c r="E238" s="23"/>
      <c r="F238" s="23"/>
      <c r="G238" s="24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6"/>
      <c r="T238" s="23" t="str">
        <f t="shared" si="9"/>
        <v/>
      </c>
      <c r="U238" s="22" t="str">
        <f t="shared" si="10"/>
        <v/>
      </c>
      <c r="V238" s="18" t="str">
        <f t="shared" si="11"/>
        <v/>
      </c>
      <c r="W238" s="22"/>
      <c r="X238" s="22"/>
      <c r="Y238" s="27">
        <f>IF($C238="",0,IF(COUNTIF($C$5:$C238,$C238)=1,1,0))</f>
        <v>0</v>
      </c>
      <c r="Z238" t="str">
        <f>IF(Y238=1,SUM($Y$5:$Y238),"")</f>
        <v/>
      </c>
    </row>
    <row r="239" spans="1:26">
      <c r="A239" s="22"/>
      <c r="B239" s="22"/>
      <c r="C239" s="22"/>
      <c r="D239" s="22"/>
      <c r="E239" s="23"/>
      <c r="F239" s="23"/>
      <c r="G239" s="24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6"/>
      <c r="T239" s="23" t="str">
        <f t="shared" si="9"/>
        <v/>
      </c>
      <c r="U239" s="22" t="str">
        <f t="shared" si="10"/>
        <v/>
      </c>
      <c r="V239" s="18" t="str">
        <f t="shared" si="11"/>
        <v/>
      </c>
      <c r="W239" s="22"/>
      <c r="X239" s="22"/>
      <c r="Y239" s="27">
        <f>IF($C239="",0,IF(COUNTIF($C$5:$C239,$C239)=1,1,0))</f>
        <v>0</v>
      </c>
      <c r="Z239" t="str">
        <f>IF(Y239=1,SUM($Y$5:$Y239),"")</f>
        <v/>
      </c>
    </row>
    <row r="240" spans="1:26">
      <c r="A240" s="22"/>
      <c r="B240" s="22"/>
      <c r="C240" s="22"/>
      <c r="D240" s="22"/>
      <c r="E240" s="23"/>
      <c r="F240" s="23"/>
      <c r="G240" s="24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6"/>
      <c r="T240" s="23" t="str">
        <f t="shared" si="9"/>
        <v/>
      </c>
      <c r="U240" s="22" t="str">
        <f t="shared" si="10"/>
        <v/>
      </c>
      <c r="V240" s="18" t="str">
        <f t="shared" si="11"/>
        <v/>
      </c>
      <c r="W240" s="22"/>
      <c r="X240" s="22"/>
      <c r="Y240" s="27">
        <f>IF($C240="",0,IF(COUNTIF($C$5:$C240,$C240)=1,1,0))</f>
        <v>0</v>
      </c>
      <c r="Z240" t="str">
        <f>IF(Y240=1,SUM($Y$5:$Y240),"")</f>
        <v/>
      </c>
    </row>
    <row r="241" spans="1:26">
      <c r="A241" s="22"/>
      <c r="B241" s="22"/>
      <c r="C241" s="22"/>
      <c r="D241" s="22"/>
      <c r="E241" s="23"/>
      <c r="F241" s="23"/>
      <c r="G241" s="24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6"/>
      <c r="T241" s="23" t="str">
        <f t="shared" si="9"/>
        <v/>
      </c>
      <c r="U241" s="22" t="str">
        <f t="shared" si="10"/>
        <v/>
      </c>
      <c r="V241" s="18" t="str">
        <f t="shared" si="11"/>
        <v/>
      </c>
      <c r="W241" s="22"/>
      <c r="X241" s="22"/>
      <c r="Y241" s="27">
        <f>IF($C241="",0,IF(COUNTIF($C$5:$C241,$C241)=1,1,0))</f>
        <v>0</v>
      </c>
      <c r="Z241" t="str">
        <f>IF(Y241=1,SUM($Y$5:$Y241),"")</f>
        <v/>
      </c>
    </row>
    <row r="242" spans="1:26">
      <c r="A242" s="22"/>
      <c r="B242" s="22"/>
      <c r="C242" s="22"/>
      <c r="D242" s="22"/>
      <c r="E242" s="23"/>
      <c r="F242" s="23"/>
      <c r="G242" s="24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6"/>
      <c r="T242" s="23" t="str">
        <f t="shared" si="9"/>
        <v/>
      </c>
      <c r="U242" s="22" t="str">
        <f t="shared" si="10"/>
        <v/>
      </c>
      <c r="V242" s="18" t="str">
        <f t="shared" si="11"/>
        <v/>
      </c>
      <c r="W242" s="22"/>
      <c r="X242" s="22"/>
      <c r="Y242" s="27">
        <f>IF($C242="",0,IF(COUNTIF($C$5:$C242,$C242)=1,1,0))</f>
        <v>0</v>
      </c>
      <c r="Z242" t="str">
        <f>IF(Y242=1,SUM($Y$5:$Y242),"")</f>
        <v/>
      </c>
    </row>
    <row r="243" spans="1:26">
      <c r="A243" s="22"/>
      <c r="B243" s="22"/>
      <c r="C243" s="22"/>
      <c r="D243" s="22"/>
      <c r="E243" s="23"/>
      <c r="F243" s="23"/>
      <c r="G243" s="24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6"/>
      <c r="T243" s="23" t="str">
        <f t="shared" si="9"/>
        <v/>
      </c>
      <c r="U243" s="22" t="str">
        <f t="shared" si="10"/>
        <v/>
      </c>
      <c r="V243" s="18" t="str">
        <f t="shared" si="11"/>
        <v/>
      </c>
      <c r="W243" s="22"/>
      <c r="X243" s="22"/>
      <c r="Y243" s="27">
        <f>IF($C243="",0,IF(COUNTIF($C$5:$C243,$C243)=1,1,0))</f>
        <v>0</v>
      </c>
      <c r="Z243" t="str">
        <f>IF(Y243=1,SUM($Y$5:$Y243),"")</f>
        <v/>
      </c>
    </row>
    <row r="244" spans="1:26">
      <c r="A244" s="22"/>
      <c r="B244" s="22"/>
      <c r="C244" s="22"/>
      <c r="D244" s="22"/>
      <c r="E244" s="23"/>
      <c r="F244" s="23"/>
      <c r="G244" s="24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6"/>
      <c r="T244" s="23" t="str">
        <f t="shared" si="9"/>
        <v/>
      </c>
      <c r="U244" s="22" t="str">
        <f t="shared" si="10"/>
        <v/>
      </c>
      <c r="V244" s="18" t="str">
        <f t="shared" si="11"/>
        <v/>
      </c>
      <c r="W244" s="22"/>
      <c r="X244" s="22"/>
      <c r="Y244" s="27">
        <f>IF($C244="",0,IF(COUNTIF($C$5:$C244,$C244)=1,1,0))</f>
        <v>0</v>
      </c>
      <c r="Z244" t="str">
        <f>IF(Y244=1,SUM($Y$5:$Y244),"")</f>
        <v/>
      </c>
    </row>
    <row r="245" spans="1:26">
      <c r="A245" s="22"/>
      <c r="B245" s="22"/>
      <c r="C245" s="22"/>
      <c r="D245" s="22"/>
      <c r="E245" s="23"/>
      <c r="F245" s="23"/>
      <c r="G245" s="24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6"/>
      <c r="T245" s="23" t="str">
        <f t="shared" si="9"/>
        <v/>
      </c>
      <c r="U245" s="22" t="str">
        <f t="shared" si="10"/>
        <v/>
      </c>
      <c r="V245" s="18" t="str">
        <f t="shared" si="11"/>
        <v/>
      </c>
      <c r="W245" s="22"/>
      <c r="X245" s="22"/>
      <c r="Y245" s="27">
        <f>IF($C245="",0,IF(COUNTIF($C$5:$C245,$C245)=1,1,0))</f>
        <v>0</v>
      </c>
      <c r="Z245" t="str">
        <f>IF(Y245=1,SUM($Y$5:$Y245),"")</f>
        <v/>
      </c>
    </row>
    <row r="246" spans="1:26">
      <c r="A246" s="22"/>
      <c r="B246" s="22"/>
      <c r="C246" s="22"/>
      <c r="D246" s="22"/>
      <c r="E246" s="23"/>
      <c r="F246" s="23"/>
      <c r="G246" s="24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6"/>
      <c r="T246" s="23" t="str">
        <f t="shared" si="9"/>
        <v/>
      </c>
      <c r="U246" s="22" t="str">
        <f t="shared" si="10"/>
        <v/>
      </c>
      <c r="V246" s="18" t="str">
        <f t="shared" si="11"/>
        <v/>
      </c>
      <c r="W246" s="22"/>
      <c r="X246" s="22"/>
      <c r="Y246" s="27">
        <f>IF($C246="",0,IF(COUNTIF($C$5:$C246,$C246)=1,1,0))</f>
        <v>0</v>
      </c>
      <c r="Z246" t="str">
        <f>IF(Y246=1,SUM($Y$5:$Y246),"")</f>
        <v/>
      </c>
    </row>
    <row r="247" spans="1:26">
      <c r="A247" s="22"/>
      <c r="B247" s="22"/>
      <c r="C247" s="22"/>
      <c r="D247" s="22"/>
      <c r="E247" s="23"/>
      <c r="F247" s="23"/>
      <c r="G247" s="24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6"/>
      <c r="T247" s="23" t="str">
        <f t="shared" si="9"/>
        <v/>
      </c>
      <c r="U247" s="22" t="str">
        <f t="shared" si="10"/>
        <v/>
      </c>
      <c r="V247" s="18" t="str">
        <f t="shared" si="11"/>
        <v/>
      </c>
      <c r="W247" s="22"/>
      <c r="X247" s="22"/>
      <c r="Y247" s="27">
        <f>IF($C247="",0,IF(COUNTIF($C$5:$C247,$C247)=1,1,0))</f>
        <v>0</v>
      </c>
      <c r="Z247" t="str">
        <f>IF(Y247=1,SUM($Y$5:$Y247),"")</f>
        <v/>
      </c>
    </row>
    <row r="248" spans="1:26">
      <c r="A248" s="22"/>
      <c r="B248" s="22"/>
      <c r="C248" s="22"/>
      <c r="D248" s="22"/>
      <c r="E248" s="23"/>
      <c r="F248" s="23"/>
      <c r="G248" s="24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6"/>
      <c r="T248" s="23" t="str">
        <f t="shared" si="9"/>
        <v/>
      </c>
      <c r="U248" s="22" t="str">
        <f t="shared" si="10"/>
        <v/>
      </c>
      <c r="V248" s="18" t="str">
        <f t="shared" si="11"/>
        <v/>
      </c>
      <c r="W248" s="22"/>
      <c r="X248" s="22"/>
      <c r="Y248" s="27">
        <f>IF($C248="",0,IF(COUNTIF($C$5:$C248,$C248)=1,1,0))</f>
        <v>0</v>
      </c>
      <c r="Z248" t="str">
        <f>IF(Y248=1,SUM($Y$5:$Y248),"")</f>
        <v/>
      </c>
    </row>
    <row r="249" spans="1:26">
      <c r="A249" s="22"/>
      <c r="B249" s="22"/>
      <c r="C249" s="22"/>
      <c r="D249" s="22"/>
      <c r="E249" s="23"/>
      <c r="F249" s="23"/>
      <c r="G249" s="24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6"/>
      <c r="T249" s="23" t="str">
        <f t="shared" si="9"/>
        <v/>
      </c>
      <c r="U249" s="22" t="str">
        <f t="shared" si="10"/>
        <v/>
      </c>
      <c r="V249" s="18" t="str">
        <f t="shared" si="11"/>
        <v/>
      </c>
      <c r="W249" s="22"/>
      <c r="X249" s="22"/>
      <c r="Y249" s="27">
        <f>IF($C249="",0,IF(COUNTIF($C$5:$C249,$C249)=1,1,0))</f>
        <v>0</v>
      </c>
      <c r="Z249" t="str">
        <f>IF(Y249=1,SUM($Y$5:$Y249),"")</f>
        <v/>
      </c>
    </row>
    <row r="250" spans="1:26">
      <c r="A250" s="22"/>
      <c r="B250" s="22"/>
      <c r="C250" s="22"/>
      <c r="D250" s="22"/>
      <c r="E250" s="23"/>
      <c r="F250" s="23"/>
      <c r="G250" s="24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6"/>
      <c r="T250" s="23" t="str">
        <f t="shared" si="9"/>
        <v/>
      </c>
      <c r="U250" s="22" t="str">
        <f t="shared" si="10"/>
        <v/>
      </c>
      <c r="V250" s="18" t="str">
        <f t="shared" si="11"/>
        <v/>
      </c>
      <c r="W250" s="22"/>
      <c r="X250" s="22"/>
      <c r="Y250" s="27">
        <f>IF($C250="",0,IF(COUNTIF($C$5:$C250,$C250)=1,1,0))</f>
        <v>0</v>
      </c>
      <c r="Z250" t="str">
        <f>IF(Y250=1,SUM($Y$5:$Y250),"")</f>
        <v/>
      </c>
    </row>
    <row r="251" spans="1:26">
      <c r="A251" s="22"/>
      <c r="B251" s="22"/>
      <c r="C251" s="22"/>
      <c r="D251" s="22"/>
      <c r="E251" s="23"/>
      <c r="F251" s="23"/>
      <c r="G251" s="24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6"/>
      <c r="T251" s="23" t="str">
        <f t="shared" si="9"/>
        <v/>
      </c>
      <c r="U251" s="22" t="str">
        <f t="shared" si="10"/>
        <v/>
      </c>
      <c r="V251" s="18" t="str">
        <f t="shared" si="11"/>
        <v/>
      </c>
      <c r="W251" s="22"/>
      <c r="X251" s="22"/>
      <c r="Y251" s="27">
        <f>IF($C251="",0,IF(COUNTIF($C$5:$C251,$C251)=1,1,0))</f>
        <v>0</v>
      </c>
      <c r="Z251" t="str">
        <f>IF(Y251=1,SUM($Y$5:$Y251),"")</f>
        <v/>
      </c>
    </row>
    <row r="252" spans="1:26">
      <c r="A252" s="22"/>
      <c r="B252" s="22"/>
      <c r="C252" s="22"/>
      <c r="D252" s="22"/>
      <c r="E252" s="23"/>
      <c r="F252" s="23"/>
      <c r="G252" s="24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6"/>
      <c r="T252" s="23" t="str">
        <f t="shared" si="9"/>
        <v/>
      </c>
      <c r="U252" s="22" t="str">
        <f t="shared" si="10"/>
        <v/>
      </c>
      <c r="V252" s="18" t="str">
        <f t="shared" si="11"/>
        <v/>
      </c>
      <c r="W252" s="22"/>
      <c r="X252" s="22"/>
      <c r="Y252" s="27">
        <f>IF($C252="",0,IF(COUNTIF($C$5:$C252,$C252)=1,1,0))</f>
        <v>0</v>
      </c>
      <c r="Z252" t="str">
        <f>IF(Y252=1,SUM($Y$5:$Y252),"")</f>
        <v/>
      </c>
    </row>
    <row r="253" spans="1:26">
      <c r="A253" s="22"/>
      <c r="B253" s="22"/>
      <c r="C253" s="22"/>
      <c r="D253" s="22"/>
      <c r="E253" s="23"/>
      <c r="F253" s="23"/>
      <c r="G253" s="24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6"/>
      <c r="T253" s="23" t="str">
        <f t="shared" si="9"/>
        <v/>
      </c>
      <c r="U253" s="22" t="str">
        <f t="shared" si="10"/>
        <v/>
      </c>
      <c r="V253" s="18" t="str">
        <f t="shared" si="11"/>
        <v/>
      </c>
      <c r="W253" s="22"/>
      <c r="X253" s="22"/>
      <c r="Y253" s="27">
        <f>IF($C253="",0,IF(COUNTIF($C$5:$C253,$C253)=1,1,0))</f>
        <v>0</v>
      </c>
      <c r="Z253" t="str">
        <f>IF(Y253=1,SUM($Y$5:$Y253),"")</f>
        <v/>
      </c>
    </row>
    <row r="254" spans="1:26">
      <c r="A254" s="22"/>
      <c r="B254" s="22"/>
      <c r="C254" s="22"/>
      <c r="D254" s="22"/>
      <c r="E254" s="23"/>
      <c r="F254" s="23"/>
      <c r="G254" s="24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6"/>
      <c r="T254" s="23" t="str">
        <f t="shared" si="9"/>
        <v/>
      </c>
      <c r="U254" s="22" t="str">
        <f t="shared" si="10"/>
        <v/>
      </c>
      <c r="V254" s="18" t="str">
        <f t="shared" si="11"/>
        <v/>
      </c>
      <c r="W254" s="22"/>
      <c r="X254" s="22"/>
      <c r="Y254" s="27">
        <f>IF($C254="",0,IF(COUNTIF($C$5:$C254,$C254)=1,1,0))</f>
        <v>0</v>
      </c>
      <c r="Z254" t="str">
        <f>IF(Y254=1,SUM($Y$5:$Y254),"")</f>
        <v/>
      </c>
    </row>
    <row r="255" spans="1:26">
      <c r="A255" s="22"/>
      <c r="B255" s="22"/>
      <c r="C255" s="22"/>
      <c r="D255" s="22"/>
      <c r="E255" s="23"/>
      <c r="F255" s="23"/>
      <c r="G255" s="24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6"/>
      <c r="T255" s="23" t="str">
        <f t="shared" si="9"/>
        <v/>
      </c>
      <c r="U255" s="22" t="str">
        <f t="shared" si="10"/>
        <v/>
      </c>
      <c r="V255" s="18" t="str">
        <f t="shared" si="11"/>
        <v/>
      </c>
      <c r="W255" s="22"/>
      <c r="X255" s="22"/>
      <c r="Y255" s="27">
        <f>IF($C255="",0,IF(COUNTIF($C$5:$C255,$C255)=1,1,0))</f>
        <v>0</v>
      </c>
      <c r="Z255" t="str">
        <f>IF(Y255=1,SUM($Y$5:$Y255),"")</f>
        <v/>
      </c>
    </row>
    <row r="256" spans="1:26">
      <c r="A256" s="22"/>
      <c r="B256" s="22"/>
      <c r="C256" s="22"/>
      <c r="D256" s="22"/>
      <c r="E256" s="23"/>
      <c r="F256" s="23"/>
      <c r="G256" s="24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6"/>
      <c r="T256" s="23" t="str">
        <f t="shared" si="9"/>
        <v/>
      </c>
      <c r="U256" s="22" t="str">
        <f t="shared" si="10"/>
        <v/>
      </c>
      <c r="V256" s="18" t="str">
        <f t="shared" si="11"/>
        <v/>
      </c>
      <c r="W256" s="22"/>
      <c r="X256" s="22"/>
      <c r="Y256" s="27">
        <f>IF($C256="",0,IF(COUNTIF($C$5:$C256,$C256)=1,1,0))</f>
        <v>0</v>
      </c>
      <c r="Z256" t="str">
        <f>IF(Y256=1,SUM($Y$5:$Y256),"")</f>
        <v/>
      </c>
    </row>
    <row r="257" spans="1:26">
      <c r="A257" s="22"/>
      <c r="B257" s="22"/>
      <c r="C257" s="22"/>
      <c r="D257" s="22"/>
      <c r="E257" s="23"/>
      <c r="F257" s="23"/>
      <c r="G257" s="24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6"/>
      <c r="T257" s="23" t="str">
        <f t="shared" si="9"/>
        <v/>
      </c>
      <c r="U257" s="22" t="str">
        <f t="shared" si="10"/>
        <v/>
      </c>
      <c r="V257" s="18" t="str">
        <f t="shared" si="11"/>
        <v/>
      </c>
      <c r="W257" s="22"/>
      <c r="X257" s="22"/>
      <c r="Y257" s="27">
        <f>IF($C257="",0,IF(COUNTIF($C$5:$C257,$C257)=1,1,0))</f>
        <v>0</v>
      </c>
      <c r="Z257" t="str">
        <f>IF(Y257=1,SUM($Y$5:$Y257),"")</f>
        <v/>
      </c>
    </row>
    <row r="258" spans="1:26">
      <c r="A258" s="22"/>
      <c r="B258" s="22"/>
      <c r="C258" s="22"/>
      <c r="D258" s="22"/>
      <c r="E258" s="23"/>
      <c r="F258" s="23"/>
      <c r="G258" s="24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6"/>
      <c r="T258" s="23" t="str">
        <f t="shared" si="9"/>
        <v/>
      </c>
      <c r="U258" s="22" t="str">
        <f t="shared" si="10"/>
        <v/>
      </c>
      <c r="V258" s="18" t="str">
        <f t="shared" si="11"/>
        <v/>
      </c>
      <c r="W258" s="22"/>
      <c r="X258" s="22"/>
      <c r="Y258" s="27">
        <f>IF($C258="",0,IF(COUNTIF($C$5:$C258,$C258)=1,1,0))</f>
        <v>0</v>
      </c>
      <c r="Z258" t="str">
        <f>IF(Y258=1,SUM($Y$5:$Y258),"")</f>
        <v/>
      </c>
    </row>
    <row r="259" spans="1:26">
      <c r="A259" s="22"/>
      <c r="B259" s="22"/>
      <c r="C259" s="22"/>
      <c r="D259" s="22"/>
      <c r="E259" s="23"/>
      <c r="F259" s="23"/>
      <c r="G259" s="24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6"/>
      <c r="T259" s="23" t="str">
        <f t="shared" si="9"/>
        <v/>
      </c>
      <c r="U259" s="22" t="str">
        <f t="shared" si="10"/>
        <v/>
      </c>
      <c r="V259" s="18" t="str">
        <f t="shared" si="11"/>
        <v/>
      </c>
      <c r="W259" s="22"/>
      <c r="X259" s="22"/>
      <c r="Y259" s="27">
        <f>IF($C259="",0,IF(COUNTIF($C$5:$C259,$C259)=1,1,0))</f>
        <v>0</v>
      </c>
      <c r="Z259" t="str">
        <f>IF(Y259=1,SUM($Y$5:$Y259),"")</f>
        <v/>
      </c>
    </row>
    <row r="260" spans="1:26">
      <c r="A260" s="22"/>
      <c r="B260" s="22"/>
      <c r="C260" s="22"/>
      <c r="D260" s="22"/>
      <c r="E260" s="23"/>
      <c r="F260" s="23"/>
      <c r="G260" s="24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6"/>
      <c r="T260" s="23" t="str">
        <f t="shared" si="9"/>
        <v/>
      </c>
      <c r="U260" s="22" t="str">
        <f t="shared" si="10"/>
        <v/>
      </c>
      <c r="V260" s="18" t="str">
        <f t="shared" si="11"/>
        <v/>
      </c>
      <c r="W260" s="22"/>
      <c r="X260" s="22"/>
      <c r="Y260" s="27">
        <f>IF($C260="",0,IF(COUNTIF($C$5:$C260,$C260)=1,1,0))</f>
        <v>0</v>
      </c>
      <c r="Z260" t="str">
        <f>IF(Y260=1,SUM($Y$5:$Y260),"")</f>
        <v/>
      </c>
    </row>
    <row r="261" spans="1:26">
      <c r="A261" s="22"/>
      <c r="B261" s="22"/>
      <c r="C261" s="22"/>
      <c r="D261" s="22"/>
      <c r="E261" s="23"/>
      <c r="F261" s="23"/>
      <c r="G261" s="24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6"/>
      <c r="T261" s="23" t="str">
        <f t="shared" ref="T261:T304" si="12">IF($D261="","",COUNTIF($H261:$R261,"V"))</f>
        <v/>
      </c>
      <c r="U261" s="22" t="str">
        <f t="shared" ref="U261:U304" si="13">IF($D261="","",IF(AND($S261="V",$T261&gt;0),"⚠ 勾選矛盾",IF($S261="V","○ 免調理",IF($T261=0,"⚠ 資料缺漏",IF($T261=1,"▲ 單一設備依賴","OK")))))</f>
        <v/>
      </c>
      <c r="V261" s="18" t="str">
        <f t="shared" ref="V261:V304" si="14">IF($D261="","",IF(AND($S261="V",$T261&gt;0),"「無使用調理設備」不可與設備欄同時勾選，請擇一修正",IF($S261="V","免調理半成品（外購/僅切配等），不列入設備風險評估",IF($T261=0,"未勾選任何設備，請補填或勾選「無使用調理設備」",IF($T261=1,"僅依賴1台設備，須確認故障/排修時之備援製程","無異常")))))</f>
        <v/>
      </c>
      <c r="W261" s="22"/>
      <c r="X261" s="22"/>
      <c r="Y261" s="27">
        <f>IF($C261="",0,IF(COUNTIF($C$5:$C261,$C261)=1,1,0))</f>
        <v>0</v>
      </c>
      <c r="Z261" t="str">
        <f>IF(Y261=1,SUM($Y$5:$Y261),"")</f>
        <v/>
      </c>
    </row>
    <row r="262" spans="1:26">
      <c r="A262" s="22"/>
      <c r="B262" s="22"/>
      <c r="C262" s="22"/>
      <c r="D262" s="22"/>
      <c r="E262" s="23"/>
      <c r="F262" s="23"/>
      <c r="G262" s="24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6"/>
      <c r="T262" s="23" t="str">
        <f t="shared" si="12"/>
        <v/>
      </c>
      <c r="U262" s="22" t="str">
        <f t="shared" si="13"/>
        <v/>
      </c>
      <c r="V262" s="18" t="str">
        <f t="shared" si="14"/>
        <v/>
      </c>
      <c r="W262" s="22"/>
      <c r="X262" s="22"/>
      <c r="Y262" s="27">
        <f>IF($C262="",0,IF(COUNTIF($C$5:$C262,$C262)=1,1,0))</f>
        <v>0</v>
      </c>
      <c r="Z262" t="str">
        <f>IF(Y262=1,SUM($Y$5:$Y262),"")</f>
        <v/>
      </c>
    </row>
    <row r="263" spans="1:26">
      <c r="A263" s="22"/>
      <c r="B263" s="22"/>
      <c r="C263" s="22"/>
      <c r="D263" s="22"/>
      <c r="E263" s="23"/>
      <c r="F263" s="23"/>
      <c r="G263" s="24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6"/>
      <c r="T263" s="23" t="str">
        <f t="shared" si="12"/>
        <v/>
      </c>
      <c r="U263" s="22" t="str">
        <f t="shared" si="13"/>
        <v/>
      </c>
      <c r="V263" s="18" t="str">
        <f t="shared" si="14"/>
        <v/>
      </c>
      <c r="W263" s="22"/>
      <c r="X263" s="22"/>
      <c r="Y263" s="27">
        <f>IF($C263="",0,IF(COUNTIF($C$5:$C263,$C263)=1,1,0))</f>
        <v>0</v>
      </c>
      <c r="Z263" t="str">
        <f>IF(Y263=1,SUM($Y$5:$Y263),"")</f>
        <v/>
      </c>
    </row>
    <row r="264" spans="1:26">
      <c r="A264" s="22"/>
      <c r="B264" s="22"/>
      <c r="C264" s="22"/>
      <c r="D264" s="22"/>
      <c r="E264" s="23"/>
      <c r="F264" s="23"/>
      <c r="G264" s="24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6"/>
      <c r="T264" s="23" t="str">
        <f t="shared" si="12"/>
        <v/>
      </c>
      <c r="U264" s="22" t="str">
        <f t="shared" si="13"/>
        <v/>
      </c>
      <c r="V264" s="18" t="str">
        <f t="shared" si="14"/>
        <v/>
      </c>
      <c r="W264" s="22"/>
      <c r="X264" s="22"/>
      <c r="Y264" s="27">
        <f>IF($C264="",0,IF(COUNTIF($C$5:$C264,$C264)=1,1,0))</f>
        <v>0</v>
      </c>
      <c r="Z264" t="str">
        <f>IF(Y264=1,SUM($Y$5:$Y264),"")</f>
        <v/>
      </c>
    </row>
    <row r="265" spans="1:26">
      <c r="A265" s="22"/>
      <c r="B265" s="22"/>
      <c r="C265" s="22"/>
      <c r="D265" s="22"/>
      <c r="E265" s="23"/>
      <c r="F265" s="23"/>
      <c r="G265" s="24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6"/>
      <c r="T265" s="23" t="str">
        <f t="shared" si="12"/>
        <v/>
      </c>
      <c r="U265" s="22" t="str">
        <f t="shared" si="13"/>
        <v/>
      </c>
      <c r="V265" s="18" t="str">
        <f t="shared" si="14"/>
        <v/>
      </c>
      <c r="W265" s="22"/>
      <c r="X265" s="22"/>
      <c r="Y265" s="27">
        <f>IF($C265="",0,IF(COUNTIF($C$5:$C265,$C265)=1,1,0))</f>
        <v>0</v>
      </c>
      <c r="Z265" t="str">
        <f>IF(Y265=1,SUM($Y$5:$Y265),"")</f>
        <v/>
      </c>
    </row>
    <row r="266" spans="1:26">
      <c r="A266" s="22"/>
      <c r="B266" s="22"/>
      <c r="C266" s="22"/>
      <c r="D266" s="22"/>
      <c r="E266" s="23"/>
      <c r="F266" s="23"/>
      <c r="G266" s="24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6"/>
      <c r="T266" s="23" t="str">
        <f t="shared" si="12"/>
        <v/>
      </c>
      <c r="U266" s="22" t="str">
        <f t="shared" si="13"/>
        <v/>
      </c>
      <c r="V266" s="18" t="str">
        <f t="shared" si="14"/>
        <v/>
      </c>
      <c r="W266" s="22"/>
      <c r="X266" s="22"/>
      <c r="Y266" s="27">
        <f>IF($C266="",0,IF(COUNTIF($C$5:$C266,$C266)=1,1,0))</f>
        <v>0</v>
      </c>
      <c r="Z266" t="str">
        <f>IF(Y266=1,SUM($Y$5:$Y266),"")</f>
        <v/>
      </c>
    </row>
    <row r="267" spans="1:26">
      <c r="A267" s="22"/>
      <c r="B267" s="22"/>
      <c r="C267" s="22"/>
      <c r="D267" s="22"/>
      <c r="E267" s="23"/>
      <c r="F267" s="23"/>
      <c r="G267" s="24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6"/>
      <c r="T267" s="23" t="str">
        <f t="shared" si="12"/>
        <v/>
      </c>
      <c r="U267" s="22" t="str">
        <f t="shared" si="13"/>
        <v/>
      </c>
      <c r="V267" s="18" t="str">
        <f t="shared" si="14"/>
        <v/>
      </c>
      <c r="W267" s="22"/>
      <c r="X267" s="22"/>
      <c r="Y267" s="27">
        <f>IF($C267="",0,IF(COUNTIF($C$5:$C267,$C267)=1,1,0))</f>
        <v>0</v>
      </c>
      <c r="Z267" t="str">
        <f>IF(Y267=1,SUM($Y$5:$Y267),"")</f>
        <v/>
      </c>
    </row>
    <row r="268" spans="1:26">
      <c r="A268" s="22"/>
      <c r="B268" s="22"/>
      <c r="C268" s="22"/>
      <c r="D268" s="22"/>
      <c r="E268" s="23"/>
      <c r="F268" s="23"/>
      <c r="G268" s="24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6"/>
      <c r="T268" s="23" t="str">
        <f t="shared" si="12"/>
        <v/>
      </c>
      <c r="U268" s="22" t="str">
        <f t="shared" si="13"/>
        <v/>
      </c>
      <c r="V268" s="18" t="str">
        <f t="shared" si="14"/>
        <v/>
      </c>
      <c r="W268" s="22"/>
      <c r="X268" s="22"/>
      <c r="Y268" s="27">
        <f>IF($C268="",0,IF(COUNTIF($C$5:$C268,$C268)=1,1,0))</f>
        <v>0</v>
      </c>
      <c r="Z268" t="str">
        <f>IF(Y268=1,SUM($Y$5:$Y268),"")</f>
        <v/>
      </c>
    </row>
    <row r="269" spans="1:26">
      <c r="A269" s="22"/>
      <c r="B269" s="22"/>
      <c r="C269" s="22"/>
      <c r="D269" s="22"/>
      <c r="E269" s="23"/>
      <c r="F269" s="23"/>
      <c r="G269" s="24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6"/>
      <c r="T269" s="23" t="str">
        <f t="shared" si="12"/>
        <v/>
      </c>
      <c r="U269" s="22" t="str">
        <f t="shared" si="13"/>
        <v/>
      </c>
      <c r="V269" s="18" t="str">
        <f t="shared" si="14"/>
        <v/>
      </c>
      <c r="W269" s="22"/>
      <c r="X269" s="22"/>
      <c r="Y269" s="27">
        <f>IF($C269="",0,IF(COUNTIF($C$5:$C269,$C269)=1,1,0))</f>
        <v>0</v>
      </c>
      <c r="Z269" t="str">
        <f>IF(Y269=1,SUM($Y$5:$Y269),"")</f>
        <v/>
      </c>
    </row>
    <row r="270" spans="1:26">
      <c r="A270" s="22"/>
      <c r="B270" s="22"/>
      <c r="C270" s="22"/>
      <c r="D270" s="22"/>
      <c r="E270" s="23"/>
      <c r="F270" s="23"/>
      <c r="G270" s="24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6"/>
      <c r="T270" s="23" t="str">
        <f t="shared" si="12"/>
        <v/>
      </c>
      <c r="U270" s="22" t="str">
        <f t="shared" si="13"/>
        <v/>
      </c>
      <c r="V270" s="18" t="str">
        <f t="shared" si="14"/>
        <v/>
      </c>
      <c r="W270" s="22"/>
      <c r="X270" s="22"/>
      <c r="Y270" s="27">
        <f>IF($C270="",0,IF(COUNTIF($C$5:$C270,$C270)=1,1,0))</f>
        <v>0</v>
      </c>
      <c r="Z270" t="str">
        <f>IF(Y270=1,SUM($Y$5:$Y270),"")</f>
        <v/>
      </c>
    </row>
    <row r="271" spans="1:26">
      <c r="A271" s="22"/>
      <c r="B271" s="22"/>
      <c r="C271" s="22"/>
      <c r="D271" s="22"/>
      <c r="E271" s="23"/>
      <c r="F271" s="23"/>
      <c r="G271" s="24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6"/>
      <c r="T271" s="23" t="str">
        <f t="shared" si="12"/>
        <v/>
      </c>
      <c r="U271" s="22" t="str">
        <f t="shared" si="13"/>
        <v/>
      </c>
      <c r="V271" s="18" t="str">
        <f t="shared" si="14"/>
        <v/>
      </c>
      <c r="W271" s="22"/>
      <c r="X271" s="22"/>
      <c r="Y271" s="27">
        <f>IF($C271="",0,IF(COUNTIF($C$5:$C271,$C271)=1,1,0))</f>
        <v>0</v>
      </c>
      <c r="Z271" t="str">
        <f>IF(Y271=1,SUM($Y$5:$Y271),"")</f>
        <v/>
      </c>
    </row>
    <row r="272" spans="1:26">
      <c r="A272" s="22"/>
      <c r="B272" s="22"/>
      <c r="C272" s="22"/>
      <c r="D272" s="22"/>
      <c r="E272" s="23"/>
      <c r="F272" s="23"/>
      <c r="G272" s="24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6"/>
      <c r="T272" s="23" t="str">
        <f t="shared" si="12"/>
        <v/>
      </c>
      <c r="U272" s="22" t="str">
        <f t="shared" si="13"/>
        <v/>
      </c>
      <c r="V272" s="18" t="str">
        <f t="shared" si="14"/>
        <v/>
      </c>
      <c r="W272" s="22"/>
      <c r="X272" s="22"/>
      <c r="Y272" s="27">
        <f>IF($C272="",0,IF(COUNTIF($C$5:$C272,$C272)=1,1,0))</f>
        <v>0</v>
      </c>
      <c r="Z272" t="str">
        <f>IF(Y272=1,SUM($Y$5:$Y272),"")</f>
        <v/>
      </c>
    </row>
    <row r="273" spans="1:26">
      <c r="A273" s="22"/>
      <c r="B273" s="22"/>
      <c r="C273" s="22"/>
      <c r="D273" s="22"/>
      <c r="E273" s="23"/>
      <c r="F273" s="23"/>
      <c r="G273" s="24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6"/>
      <c r="T273" s="23" t="str">
        <f t="shared" si="12"/>
        <v/>
      </c>
      <c r="U273" s="22" t="str">
        <f t="shared" si="13"/>
        <v/>
      </c>
      <c r="V273" s="18" t="str">
        <f t="shared" si="14"/>
        <v/>
      </c>
      <c r="W273" s="22"/>
      <c r="X273" s="22"/>
      <c r="Y273" s="27">
        <f>IF($C273="",0,IF(COUNTIF($C$5:$C273,$C273)=1,1,0))</f>
        <v>0</v>
      </c>
      <c r="Z273" t="str">
        <f>IF(Y273=1,SUM($Y$5:$Y273),"")</f>
        <v/>
      </c>
    </row>
    <row r="274" spans="1:26">
      <c r="A274" s="22"/>
      <c r="B274" s="22"/>
      <c r="C274" s="22"/>
      <c r="D274" s="22"/>
      <c r="E274" s="23"/>
      <c r="F274" s="23"/>
      <c r="G274" s="24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6"/>
      <c r="T274" s="23" t="str">
        <f t="shared" si="12"/>
        <v/>
      </c>
      <c r="U274" s="22" t="str">
        <f t="shared" si="13"/>
        <v/>
      </c>
      <c r="V274" s="18" t="str">
        <f t="shared" si="14"/>
        <v/>
      </c>
      <c r="W274" s="22"/>
      <c r="X274" s="22"/>
      <c r="Y274" s="27">
        <f>IF($C274="",0,IF(COUNTIF($C$5:$C274,$C274)=1,1,0))</f>
        <v>0</v>
      </c>
      <c r="Z274" t="str">
        <f>IF(Y274=1,SUM($Y$5:$Y274),"")</f>
        <v/>
      </c>
    </row>
    <row r="275" spans="1:26">
      <c r="A275" s="22"/>
      <c r="B275" s="22"/>
      <c r="C275" s="22"/>
      <c r="D275" s="22"/>
      <c r="E275" s="23"/>
      <c r="F275" s="23"/>
      <c r="G275" s="24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6"/>
      <c r="T275" s="23" t="str">
        <f t="shared" si="12"/>
        <v/>
      </c>
      <c r="U275" s="22" t="str">
        <f t="shared" si="13"/>
        <v/>
      </c>
      <c r="V275" s="18" t="str">
        <f t="shared" si="14"/>
        <v/>
      </c>
      <c r="W275" s="22"/>
      <c r="X275" s="22"/>
      <c r="Y275" s="27">
        <f>IF($C275="",0,IF(COUNTIF($C$5:$C275,$C275)=1,1,0))</f>
        <v>0</v>
      </c>
      <c r="Z275" t="str">
        <f>IF(Y275=1,SUM($Y$5:$Y275),"")</f>
        <v/>
      </c>
    </row>
    <row r="276" spans="1:26">
      <c r="A276" s="22"/>
      <c r="B276" s="22"/>
      <c r="C276" s="22"/>
      <c r="D276" s="22"/>
      <c r="E276" s="23"/>
      <c r="F276" s="23"/>
      <c r="G276" s="24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6"/>
      <c r="T276" s="23" t="str">
        <f t="shared" si="12"/>
        <v/>
      </c>
      <c r="U276" s="22" t="str">
        <f t="shared" si="13"/>
        <v/>
      </c>
      <c r="V276" s="18" t="str">
        <f t="shared" si="14"/>
        <v/>
      </c>
      <c r="W276" s="22"/>
      <c r="X276" s="22"/>
      <c r="Y276" s="27">
        <f>IF($C276="",0,IF(COUNTIF($C$5:$C276,$C276)=1,1,0))</f>
        <v>0</v>
      </c>
      <c r="Z276" t="str">
        <f>IF(Y276=1,SUM($Y$5:$Y276),"")</f>
        <v/>
      </c>
    </row>
    <row r="277" spans="1:26">
      <c r="A277" s="22"/>
      <c r="B277" s="22"/>
      <c r="C277" s="22"/>
      <c r="D277" s="22"/>
      <c r="E277" s="23"/>
      <c r="F277" s="23"/>
      <c r="G277" s="24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6"/>
      <c r="T277" s="23" t="str">
        <f t="shared" si="12"/>
        <v/>
      </c>
      <c r="U277" s="22" t="str">
        <f t="shared" si="13"/>
        <v/>
      </c>
      <c r="V277" s="18" t="str">
        <f t="shared" si="14"/>
        <v/>
      </c>
      <c r="W277" s="22"/>
      <c r="X277" s="22"/>
      <c r="Y277" s="27">
        <f>IF($C277="",0,IF(COUNTIF($C$5:$C277,$C277)=1,1,0))</f>
        <v>0</v>
      </c>
      <c r="Z277" t="str">
        <f>IF(Y277=1,SUM($Y$5:$Y277),"")</f>
        <v/>
      </c>
    </row>
    <row r="278" spans="1:26">
      <c r="A278" s="22"/>
      <c r="B278" s="22"/>
      <c r="C278" s="22"/>
      <c r="D278" s="22"/>
      <c r="E278" s="23"/>
      <c r="F278" s="23"/>
      <c r="G278" s="24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6"/>
      <c r="T278" s="23" t="str">
        <f t="shared" si="12"/>
        <v/>
      </c>
      <c r="U278" s="22" t="str">
        <f t="shared" si="13"/>
        <v/>
      </c>
      <c r="V278" s="18" t="str">
        <f t="shared" si="14"/>
        <v/>
      </c>
      <c r="W278" s="22"/>
      <c r="X278" s="22"/>
      <c r="Y278" s="27">
        <f>IF($C278="",0,IF(COUNTIF($C$5:$C278,$C278)=1,1,0))</f>
        <v>0</v>
      </c>
      <c r="Z278" t="str">
        <f>IF(Y278=1,SUM($Y$5:$Y278),"")</f>
        <v/>
      </c>
    </row>
    <row r="279" spans="1:26">
      <c r="A279" s="22"/>
      <c r="B279" s="22"/>
      <c r="C279" s="22"/>
      <c r="D279" s="22"/>
      <c r="E279" s="23"/>
      <c r="F279" s="23"/>
      <c r="G279" s="24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6"/>
      <c r="T279" s="23" t="str">
        <f t="shared" si="12"/>
        <v/>
      </c>
      <c r="U279" s="22" t="str">
        <f t="shared" si="13"/>
        <v/>
      </c>
      <c r="V279" s="18" t="str">
        <f t="shared" si="14"/>
        <v/>
      </c>
      <c r="W279" s="22"/>
      <c r="X279" s="22"/>
      <c r="Y279" s="27">
        <f>IF($C279="",0,IF(COUNTIF($C$5:$C279,$C279)=1,1,0))</f>
        <v>0</v>
      </c>
      <c r="Z279" t="str">
        <f>IF(Y279=1,SUM($Y$5:$Y279),"")</f>
        <v/>
      </c>
    </row>
    <row r="280" spans="1:26">
      <c r="A280" s="22"/>
      <c r="B280" s="22"/>
      <c r="C280" s="22"/>
      <c r="D280" s="22"/>
      <c r="E280" s="23"/>
      <c r="F280" s="23"/>
      <c r="G280" s="24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6"/>
      <c r="T280" s="23" t="str">
        <f t="shared" si="12"/>
        <v/>
      </c>
      <c r="U280" s="22" t="str">
        <f t="shared" si="13"/>
        <v/>
      </c>
      <c r="V280" s="18" t="str">
        <f t="shared" si="14"/>
        <v/>
      </c>
      <c r="W280" s="22"/>
      <c r="X280" s="22"/>
      <c r="Y280" s="27">
        <f>IF($C280="",0,IF(COUNTIF($C$5:$C280,$C280)=1,1,0))</f>
        <v>0</v>
      </c>
      <c r="Z280" t="str">
        <f>IF(Y280=1,SUM($Y$5:$Y280),"")</f>
        <v/>
      </c>
    </row>
    <row r="281" spans="1:26">
      <c r="A281" s="22"/>
      <c r="B281" s="22"/>
      <c r="C281" s="22"/>
      <c r="D281" s="22"/>
      <c r="E281" s="23"/>
      <c r="F281" s="23"/>
      <c r="G281" s="24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6"/>
      <c r="T281" s="23" t="str">
        <f t="shared" si="12"/>
        <v/>
      </c>
      <c r="U281" s="22" t="str">
        <f t="shared" si="13"/>
        <v/>
      </c>
      <c r="V281" s="18" t="str">
        <f t="shared" si="14"/>
        <v/>
      </c>
      <c r="W281" s="22"/>
      <c r="X281" s="22"/>
      <c r="Y281" s="27">
        <f>IF($C281="",0,IF(COUNTIF($C$5:$C281,$C281)=1,1,0))</f>
        <v>0</v>
      </c>
      <c r="Z281" t="str">
        <f>IF(Y281=1,SUM($Y$5:$Y281),"")</f>
        <v/>
      </c>
    </row>
    <row r="282" spans="1:26">
      <c r="A282" s="22"/>
      <c r="B282" s="22"/>
      <c r="C282" s="22"/>
      <c r="D282" s="22"/>
      <c r="E282" s="23"/>
      <c r="F282" s="23"/>
      <c r="G282" s="24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6"/>
      <c r="T282" s="23" t="str">
        <f t="shared" si="12"/>
        <v/>
      </c>
      <c r="U282" s="22" t="str">
        <f t="shared" si="13"/>
        <v/>
      </c>
      <c r="V282" s="18" t="str">
        <f t="shared" si="14"/>
        <v/>
      </c>
      <c r="W282" s="22"/>
      <c r="X282" s="22"/>
      <c r="Y282" s="27">
        <f>IF($C282="",0,IF(COUNTIF($C$5:$C282,$C282)=1,1,0))</f>
        <v>0</v>
      </c>
      <c r="Z282" t="str">
        <f>IF(Y282=1,SUM($Y$5:$Y282),"")</f>
        <v/>
      </c>
    </row>
    <row r="283" spans="1:26">
      <c r="A283" s="22"/>
      <c r="B283" s="22"/>
      <c r="C283" s="22"/>
      <c r="D283" s="22"/>
      <c r="E283" s="23"/>
      <c r="F283" s="23"/>
      <c r="G283" s="24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6"/>
      <c r="T283" s="23" t="str">
        <f t="shared" si="12"/>
        <v/>
      </c>
      <c r="U283" s="22" t="str">
        <f t="shared" si="13"/>
        <v/>
      </c>
      <c r="V283" s="18" t="str">
        <f t="shared" si="14"/>
        <v/>
      </c>
      <c r="W283" s="22"/>
      <c r="X283" s="22"/>
      <c r="Y283" s="27">
        <f>IF($C283="",0,IF(COUNTIF($C$5:$C283,$C283)=1,1,0))</f>
        <v>0</v>
      </c>
      <c r="Z283" t="str">
        <f>IF(Y283=1,SUM($Y$5:$Y283),"")</f>
        <v/>
      </c>
    </row>
    <row r="284" spans="1:26">
      <c r="A284" s="22"/>
      <c r="B284" s="22"/>
      <c r="C284" s="22"/>
      <c r="D284" s="22"/>
      <c r="E284" s="23"/>
      <c r="F284" s="23"/>
      <c r="G284" s="24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6"/>
      <c r="T284" s="23" t="str">
        <f t="shared" si="12"/>
        <v/>
      </c>
      <c r="U284" s="22" t="str">
        <f t="shared" si="13"/>
        <v/>
      </c>
      <c r="V284" s="18" t="str">
        <f t="shared" si="14"/>
        <v/>
      </c>
      <c r="W284" s="22"/>
      <c r="X284" s="22"/>
      <c r="Y284" s="27">
        <f>IF($C284="",0,IF(COUNTIF($C$5:$C284,$C284)=1,1,0))</f>
        <v>0</v>
      </c>
      <c r="Z284" t="str">
        <f>IF(Y284=1,SUM($Y$5:$Y284),"")</f>
        <v/>
      </c>
    </row>
    <row r="285" spans="1:26">
      <c r="A285" s="22"/>
      <c r="B285" s="22"/>
      <c r="C285" s="22"/>
      <c r="D285" s="22"/>
      <c r="E285" s="23"/>
      <c r="F285" s="23"/>
      <c r="G285" s="24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6"/>
      <c r="T285" s="23" t="str">
        <f t="shared" si="12"/>
        <v/>
      </c>
      <c r="U285" s="22" t="str">
        <f t="shared" si="13"/>
        <v/>
      </c>
      <c r="V285" s="18" t="str">
        <f t="shared" si="14"/>
        <v/>
      </c>
      <c r="W285" s="22"/>
      <c r="X285" s="22"/>
      <c r="Y285" s="27">
        <f>IF($C285="",0,IF(COUNTIF($C$5:$C285,$C285)=1,1,0))</f>
        <v>0</v>
      </c>
      <c r="Z285" t="str">
        <f>IF(Y285=1,SUM($Y$5:$Y285),"")</f>
        <v/>
      </c>
    </row>
    <row r="286" spans="1:26">
      <c r="A286" s="22"/>
      <c r="B286" s="22"/>
      <c r="C286" s="22"/>
      <c r="D286" s="22"/>
      <c r="E286" s="23"/>
      <c r="F286" s="23"/>
      <c r="G286" s="24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6"/>
      <c r="T286" s="23" t="str">
        <f t="shared" si="12"/>
        <v/>
      </c>
      <c r="U286" s="22" t="str">
        <f t="shared" si="13"/>
        <v/>
      </c>
      <c r="V286" s="18" t="str">
        <f t="shared" si="14"/>
        <v/>
      </c>
      <c r="W286" s="22"/>
      <c r="X286" s="22"/>
      <c r="Y286" s="27">
        <f>IF($C286="",0,IF(COUNTIF($C$5:$C286,$C286)=1,1,0))</f>
        <v>0</v>
      </c>
      <c r="Z286" t="str">
        <f>IF(Y286=1,SUM($Y$5:$Y286),"")</f>
        <v/>
      </c>
    </row>
    <row r="287" spans="1:26">
      <c r="A287" s="22"/>
      <c r="B287" s="22"/>
      <c r="C287" s="22"/>
      <c r="D287" s="22"/>
      <c r="E287" s="23"/>
      <c r="F287" s="23"/>
      <c r="G287" s="24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6"/>
      <c r="T287" s="23" t="str">
        <f t="shared" si="12"/>
        <v/>
      </c>
      <c r="U287" s="22" t="str">
        <f t="shared" si="13"/>
        <v/>
      </c>
      <c r="V287" s="18" t="str">
        <f t="shared" si="14"/>
        <v/>
      </c>
      <c r="W287" s="22"/>
      <c r="X287" s="22"/>
      <c r="Y287" s="27">
        <f>IF($C287="",0,IF(COUNTIF($C$5:$C287,$C287)=1,1,0))</f>
        <v>0</v>
      </c>
      <c r="Z287" t="str">
        <f>IF(Y287=1,SUM($Y$5:$Y287),"")</f>
        <v/>
      </c>
    </row>
    <row r="288" spans="1:26">
      <c r="A288" s="22"/>
      <c r="B288" s="22"/>
      <c r="C288" s="22"/>
      <c r="D288" s="22"/>
      <c r="E288" s="23"/>
      <c r="F288" s="23"/>
      <c r="G288" s="24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6"/>
      <c r="T288" s="23" t="str">
        <f t="shared" si="12"/>
        <v/>
      </c>
      <c r="U288" s="22" t="str">
        <f t="shared" si="13"/>
        <v/>
      </c>
      <c r="V288" s="18" t="str">
        <f t="shared" si="14"/>
        <v/>
      </c>
      <c r="W288" s="22"/>
      <c r="X288" s="22"/>
      <c r="Y288" s="27">
        <f>IF($C288="",0,IF(COUNTIF($C$5:$C288,$C288)=1,1,0))</f>
        <v>0</v>
      </c>
      <c r="Z288" t="str">
        <f>IF(Y288=1,SUM($Y$5:$Y288),"")</f>
        <v/>
      </c>
    </row>
    <row r="289" spans="1:26">
      <c r="A289" s="22"/>
      <c r="B289" s="22"/>
      <c r="C289" s="22"/>
      <c r="D289" s="22"/>
      <c r="E289" s="23"/>
      <c r="F289" s="23"/>
      <c r="G289" s="24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6"/>
      <c r="T289" s="23" t="str">
        <f t="shared" si="12"/>
        <v/>
      </c>
      <c r="U289" s="22" t="str">
        <f t="shared" si="13"/>
        <v/>
      </c>
      <c r="V289" s="18" t="str">
        <f t="shared" si="14"/>
        <v/>
      </c>
      <c r="W289" s="22"/>
      <c r="X289" s="22"/>
      <c r="Y289" s="27">
        <f>IF($C289="",0,IF(COUNTIF($C$5:$C289,$C289)=1,1,0))</f>
        <v>0</v>
      </c>
      <c r="Z289" t="str">
        <f>IF(Y289=1,SUM($Y$5:$Y289),"")</f>
        <v/>
      </c>
    </row>
    <row r="290" spans="1:26">
      <c r="A290" s="22"/>
      <c r="B290" s="22"/>
      <c r="C290" s="22"/>
      <c r="D290" s="22"/>
      <c r="E290" s="23"/>
      <c r="F290" s="23"/>
      <c r="G290" s="24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6"/>
      <c r="T290" s="23" t="str">
        <f t="shared" si="12"/>
        <v/>
      </c>
      <c r="U290" s="22" t="str">
        <f t="shared" si="13"/>
        <v/>
      </c>
      <c r="V290" s="18" t="str">
        <f t="shared" si="14"/>
        <v/>
      </c>
      <c r="W290" s="22"/>
      <c r="X290" s="22"/>
      <c r="Y290" s="27">
        <f>IF($C290="",0,IF(COUNTIF($C$5:$C290,$C290)=1,1,0))</f>
        <v>0</v>
      </c>
      <c r="Z290" t="str">
        <f>IF(Y290=1,SUM($Y$5:$Y290),"")</f>
        <v/>
      </c>
    </row>
    <row r="291" spans="1:26">
      <c r="A291" s="22"/>
      <c r="B291" s="22"/>
      <c r="C291" s="22"/>
      <c r="D291" s="22"/>
      <c r="E291" s="23"/>
      <c r="F291" s="23"/>
      <c r="G291" s="24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6"/>
      <c r="T291" s="23" t="str">
        <f t="shared" si="12"/>
        <v/>
      </c>
      <c r="U291" s="22" t="str">
        <f t="shared" si="13"/>
        <v/>
      </c>
      <c r="V291" s="18" t="str">
        <f t="shared" si="14"/>
        <v/>
      </c>
      <c r="W291" s="22"/>
      <c r="X291" s="22"/>
      <c r="Y291" s="27">
        <f>IF($C291="",0,IF(COUNTIF($C$5:$C291,$C291)=1,1,0))</f>
        <v>0</v>
      </c>
      <c r="Z291" t="str">
        <f>IF(Y291=1,SUM($Y$5:$Y291),"")</f>
        <v/>
      </c>
    </row>
    <row r="292" spans="1:26">
      <c r="A292" s="22"/>
      <c r="B292" s="22"/>
      <c r="C292" s="22"/>
      <c r="D292" s="22"/>
      <c r="E292" s="23"/>
      <c r="F292" s="23"/>
      <c r="G292" s="24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6"/>
      <c r="T292" s="23" t="str">
        <f t="shared" si="12"/>
        <v/>
      </c>
      <c r="U292" s="22" t="str">
        <f t="shared" si="13"/>
        <v/>
      </c>
      <c r="V292" s="18" t="str">
        <f t="shared" si="14"/>
        <v/>
      </c>
      <c r="W292" s="22"/>
      <c r="X292" s="22"/>
      <c r="Y292" s="27">
        <f>IF($C292="",0,IF(COUNTIF($C$5:$C292,$C292)=1,1,0))</f>
        <v>0</v>
      </c>
      <c r="Z292" t="str">
        <f>IF(Y292=1,SUM($Y$5:$Y292),"")</f>
        <v/>
      </c>
    </row>
    <row r="293" spans="1:26">
      <c r="A293" s="22"/>
      <c r="B293" s="22"/>
      <c r="C293" s="22"/>
      <c r="D293" s="22"/>
      <c r="E293" s="23"/>
      <c r="F293" s="23"/>
      <c r="G293" s="24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6"/>
      <c r="T293" s="23" t="str">
        <f t="shared" si="12"/>
        <v/>
      </c>
      <c r="U293" s="22" t="str">
        <f t="shared" si="13"/>
        <v/>
      </c>
      <c r="V293" s="18" t="str">
        <f t="shared" si="14"/>
        <v/>
      </c>
      <c r="W293" s="22"/>
      <c r="X293" s="22"/>
      <c r="Y293" s="27">
        <f>IF($C293="",0,IF(COUNTIF($C$5:$C293,$C293)=1,1,0))</f>
        <v>0</v>
      </c>
      <c r="Z293" t="str">
        <f>IF(Y293=1,SUM($Y$5:$Y293),"")</f>
        <v/>
      </c>
    </row>
    <row r="294" spans="1:26">
      <c r="A294" s="22"/>
      <c r="B294" s="22"/>
      <c r="C294" s="22"/>
      <c r="D294" s="22"/>
      <c r="E294" s="23"/>
      <c r="F294" s="23"/>
      <c r="G294" s="24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6"/>
      <c r="T294" s="23" t="str">
        <f t="shared" si="12"/>
        <v/>
      </c>
      <c r="U294" s="22" t="str">
        <f t="shared" si="13"/>
        <v/>
      </c>
      <c r="V294" s="18" t="str">
        <f t="shared" si="14"/>
        <v/>
      </c>
      <c r="W294" s="22"/>
      <c r="X294" s="22"/>
      <c r="Y294" s="27">
        <f>IF($C294="",0,IF(COUNTIF($C$5:$C294,$C294)=1,1,0))</f>
        <v>0</v>
      </c>
      <c r="Z294" t="str">
        <f>IF(Y294=1,SUM($Y$5:$Y294),"")</f>
        <v/>
      </c>
    </row>
    <row r="295" spans="1:26">
      <c r="A295" s="22"/>
      <c r="B295" s="22"/>
      <c r="C295" s="22"/>
      <c r="D295" s="22"/>
      <c r="E295" s="23"/>
      <c r="F295" s="23"/>
      <c r="G295" s="24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6"/>
      <c r="T295" s="23" t="str">
        <f t="shared" si="12"/>
        <v/>
      </c>
      <c r="U295" s="22" t="str">
        <f t="shared" si="13"/>
        <v/>
      </c>
      <c r="V295" s="18" t="str">
        <f t="shared" si="14"/>
        <v/>
      </c>
      <c r="W295" s="22"/>
      <c r="X295" s="22"/>
      <c r="Y295" s="27">
        <f>IF($C295="",0,IF(COUNTIF($C$5:$C295,$C295)=1,1,0))</f>
        <v>0</v>
      </c>
      <c r="Z295" t="str">
        <f>IF(Y295=1,SUM($Y$5:$Y295),"")</f>
        <v/>
      </c>
    </row>
    <row r="296" spans="1:26">
      <c r="A296" s="22"/>
      <c r="B296" s="22"/>
      <c r="C296" s="22"/>
      <c r="D296" s="22"/>
      <c r="E296" s="23"/>
      <c r="F296" s="23"/>
      <c r="G296" s="24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6"/>
      <c r="T296" s="23" t="str">
        <f t="shared" si="12"/>
        <v/>
      </c>
      <c r="U296" s="22" t="str">
        <f t="shared" si="13"/>
        <v/>
      </c>
      <c r="V296" s="18" t="str">
        <f t="shared" si="14"/>
        <v/>
      </c>
      <c r="W296" s="22"/>
      <c r="X296" s="22"/>
      <c r="Y296" s="27">
        <f>IF($C296="",0,IF(COUNTIF($C$5:$C296,$C296)=1,1,0))</f>
        <v>0</v>
      </c>
      <c r="Z296" t="str">
        <f>IF(Y296=1,SUM($Y$5:$Y296),"")</f>
        <v/>
      </c>
    </row>
    <row r="297" spans="1:26">
      <c r="A297" s="22"/>
      <c r="B297" s="22"/>
      <c r="C297" s="22"/>
      <c r="D297" s="22"/>
      <c r="E297" s="23"/>
      <c r="F297" s="23"/>
      <c r="G297" s="24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6"/>
      <c r="T297" s="23" t="str">
        <f t="shared" si="12"/>
        <v/>
      </c>
      <c r="U297" s="22" t="str">
        <f t="shared" si="13"/>
        <v/>
      </c>
      <c r="V297" s="18" t="str">
        <f t="shared" si="14"/>
        <v/>
      </c>
      <c r="W297" s="22"/>
      <c r="X297" s="22"/>
      <c r="Y297" s="27">
        <f>IF($C297="",0,IF(COUNTIF($C$5:$C297,$C297)=1,1,0))</f>
        <v>0</v>
      </c>
      <c r="Z297" t="str">
        <f>IF(Y297=1,SUM($Y$5:$Y297),"")</f>
        <v/>
      </c>
    </row>
    <row r="298" spans="1:26">
      <c r="A298" s="22"/>
      <c r="B298" s="22"/>
      <c r="C298" s="22"/>
      <c r="D298" s="22"/>
      <c r="E298" s="23"/>
      <c r="F298" s="23"/>
      <c r="G298" s="24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6"/>
      <c r="T298" s="23" t="str">
        <f t="shared" si="12"/>
        <v/>
      </c>
      <c r="U298" s="22" t="str">
        <f t="shared" si="13"/>
        <v/>
      </c>
      <c r="V298" s="18" t="str">
        <f t="shared" si="14"/>
        <v/>
      </c>
      <c r="W298" s="22"/>
      <c r="X298" s="22"/>
      <c r="Y298" s="27">
        <f>IF($C298="",0,IF(COUNTIF($C$5:$C298,$C298)=1,1,0))</f>
        <v>0</v>
      </c>
      <c r="Z298" t="str">
        <f>IF(Y298=1,SUM($Y$5:$Y298),"")</f>
        <v/>
      </c>
    </row>
    <row r="299" spans="1:26">
      <c r="A299" s="22"/>
      <c r="B299" s="22"/>
      <c r="C299" s="22"/>
      <c r="D299" s="22"/>
      <c r="E299" s="23"/>
      <c r="F299" s="23"/>
      <c r="G299" s="24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6"/>
      <c r="T299" s="23" t="str">
        <f t="shared" si="12"/>
        <v/>
      </c>
      <c r="U299" s="22" t="str">
        <f t="shared" si="13"/>
        <v/>
      </c>
      <c r="V299" s="18" t="str">
        <f t="shared" si="14"/>
        <v/>
      </c>
      <c r="W299" s="22"/>
      <c r="X299" s="22"/>
      <c r="Y299" s="27">
        <f>IF($C299="",0,IF(COUNTIF($C$5:$C299,$C299)=1,1,0))</f>
        <v>0</v>
      </c>
      <c r="Z299" t="str">
        <f>IF(Y299=1,SUM($Y$5:$Y299),"")</f>
        <v/>
      </c>
    </row>
    <row r="300" spans="1:26">
      <c r="A300" s="22"/>
      <c r="B300" s="22"/>
      <c r="C300" s="22"/>
      <c r="D300" s="22"/>
      <c r="E300" s="23"/>
      <c r="F300" s="23"/>
      <c r="G300" s="24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6"/>
      <c r="T300" s="23" t="str">
        <f t="shared" si="12"/>
        <v/>
      </c>
      <c r="U300" s="22" t="str">
        <f t="shared" si="13"/>
        <v/>
      </c>
      <c r="V300" s="18" t="str">
        <f t="shared" si="14"/>
        <v/>
      </c>
      <c r="W300" s="22"/>
      <c r="X300" s="22"/>
      <c r="Y300" s="27">
        <f>IF($C300="",0,IF(COUNTIF($C$5:$C300,$C300)=1,1,0))</f>
        <v>0</v>
      </c>
      <c r="Z300" t="str">
        <f>IF(Y300=1,SUM($Y$5:$Y300),"")</f>
        <v/>
      </c>
    </row>
    <row r="301" spans="1:26">
      <c r="A301" s="22"/>
      <c r="B301" s="22"/>
      <c r="C301" s="22"/>
      <c r="D301" s="22"/>
      <c r="E301" s="23"/>
      <c r="F301" s="23"/>
      <c r="G301" s="24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6"/>
      <c r="T301" s="23" t="str">
        <f t="shared" si="12"/>
        <v/>
      </c>
      <c r="U301" s="22" t="str">
        <f t="shared" si="13"/>
        <v/>
      </c>
      <c r="V301" s="18" t="str">
        <f t="shared" si="14"/>
        <v/>
      </c>
      <c r="W301" s="22"/>
      <c r="X301" s="22"/>
      <c r="Y301" s="27">
        <f>IF($C301="",0,IF(COUNTIF($C$5:$C301,$C301)=1,1,0))</f>
        <v>0</v>
      </c>
      <c r="Z301" t="str">
        <f>IF(Y301=1,SUM($Y$5:$Y301),"")</f>
        <v/>
      </c>
    </row>
    <row r="302" spans="1:26">
      <c r="A302" s="22"/>
      <c r="B302" s="22"/>
      <c r="C302" s="22"/>
      <c r="D302" s="22"/>
      <c r="E302" s="23"/>
      <c r="F302" s="23"/>
      <c r="G302" s="24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6"/>
      <c r="T302" s="23" t="str">
        <f t="shared" si="12"/>
        <v/>
      </c>
      <c r="U302" s="22" t="str">
        <f t="shared" si="13"/>
        <v/>
      </c>
      <c r="V302" s="18" t="str">
        <f t="shared" si="14"/>
        <v/>
      </c>
      <c r="W302" s="22"/>
      <c r="X302" s="22"/>
      <c r="Y302" s="27">
        <f>IF($C302="",0,IF(COUNTIF($C$5:$C302,$C302)=1,1,0))</f>
        <v>0</v>
      </c>
      <c r="Z302" t="str">
        <f>IF(Y302=1,SUM($Y$5:$Y302),"")</f>
        <v/>
      </c>
    </row>
    <row r="303" spans="1:26">
      <c r="A303" s="22"/>
      <c r="B303" s="22"/>
      <c r="C303" s="22"/>
      <c r="D303" s="22"/>
      <c r="E303" s="23"/>
      <c r="F303" s="23"/>
      <c r="G303" s="24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6"/>
      <c r="T303" s="23" t="str">
        <f t="shared" si="12"/>
        <v/>
      </c>
      <c r="U303" s="22" t="str">
        <f t="shared" si="13"/>
        <v/>
      </c>
      <c r="V303" s="18" t="str">
        <f t="shared" si="14"/>
        <v/>
      </c>
      <c r="W303" s="22"/>
      <c r="X303" s="22"/>
      <c r="Y303" s="27">
        <f>IF($C303="",0,IF(COUNTIF($C$5:$C303,$C303)=1,1,0))</f>
        <v>0</v>
      </c>
      <c r="Z303" t="str">
        <f>IF(Y303=1,SUM($Y$5:$Y303),"")</f>
        <v/>
      </c>
    </row>
    <row r="304" spans="1:26">
      <c r="A304" s="22"/>
      <c r="B304" s="22"/>
      <c r="C304" s="22"/>
      <c r="D304" s="22"/>
      <c r="E304" s="23"/>
      <c r="F304" s="23"/>
      <c r="G304" s="24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6"/>
      <c r="T304" s="23" t="str">
        <f t="shared" si="12"/>
        <v/>
      </c>
      <c r="U304" s="22" t="str">
        <f t="shared" si="13"/>
        <v/>
      </c>
      <c r="V304" s="18" t="str">
        <f t="shared" si="14"/>
        <v/>
      </c>
      <c r="W304" s="22"/>
      <c r="X304" s="22"/>
      <c r="Y304" s="27">
        <f>IF($C304="",0,IF(COUNTIF($C$5:$C304,$C304)=1,1,0))</f>
        <v>0</v>
      </c>
      <c r="Z304" t="str">
        <f>IF(Y304=1,SUM($Y$5:$Y304),"")</f>
        <v/>
      </c>
    </row>
  </sheetData>
  <autoFilter ref="A4:X304"/>
  <mergeCells count="27">
    <mergeCell ref="A2:G2"/>
    <mergeCell ref="H2:S2"/>
    <mergeCell ref="T2:V2"/>
    <mergeCell ref="W2:X2"/>
    <mergeCell ref="A3:A4"/>
    <mergeCell ref="B3:B4"/>
    <mergeCell ref="C3:C4"/>
    <mergeCell ref="D3:D4"/>
    <mergeCell ref="E3:F3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V3:V4"/>
    <mergeCell ref="W3:W4"/>
    <mergeCell ref="X3:X4"/>
    <mergeCell ref="Q3:Q4"/>
    <mergeCell ref="R3:R4"/>
    <mergeCell ref="S3:S4"/>
    <mergeCell ref="T3:T4"/>
    <mergeCell ref="U3:U4"/>
  </mergeCells>
  <phoneticPr fontId="27" type="noConversion"/>
  <conditionalFormatting sqref="U5:U304">
    <cfRule type="expression" dxfId="12" priority="6">
      <formula>ISNUMBER(SEARCH("⚠",$U5))</formula>
    </cfRule>
    <cfRule type="expression" dxfId="11" priority="7">
      <formula>$U5="▲ 單一設備依賴"</formula>
    </cfRule>
    <cfRule type="expression" dxfId="10" priority="8">
      <formula>$U5="○ 免調理"</formula>
    </cfRule>
    <cfRule type="expression" dxfId="9" priority="9">
      <formula>$U5="OK"</formula>
    </cfRule>
  </conditionalFormatting>
  <conditionalFormatting sqref="A10:G304 B5:G9">
    <cfRule type="expression" dxfId="8" priority="10">
      <formula>ISNUMBER(SEARCH("⚠",$U5))</formula>
    </cfRule>
  </conditionalFormatting>
  <conditionalFormatting sqref="A5">
    <cfRule type="expression" dxfId="7" priority="4">
      <formula>$Q5="⚠ 資料缺漏"</formula>
    </cfRule>
  </conditionalFormatting>
  <conditionalFormatting sqref="A6:A9">
    <cfRule type="expression" dxfId="6" priority="3">
      <formula>$Q6="⚠ 資料缺漏"</formula>
    </cfRule>
  </conditionalFormatting>
  <conditionalFormatting sqref="X5:X304">
    <cfRule type="expression" dxfId="5" priority="1" stopIfTrue="1">
      <formula>AND($D5&lt;&gt;"",$X5="")</formula>
    </cfRule>
  </conditionalFormatting>
  <conditionalFormatting sqref="F5:F304">
    <cfRule type="expression" dxfId="4" priority="2" stopIfTrue="1">
      <formula>AND($D5&lt;&gt;"",$E5&lt;&gt;"",$F5="")</formula>
    </cfRule>
  </conditionalFormatting>
  <dataValidations count="3">
    <dataValidation type="list" allowBlank="1" showErrorMessage="1" errorTitle="請使用下拉選單" error="請選擇選單中的項目，或清除儲存格。" sqref="A5:A304">
      <formula1>"大溪,新豐,長家,晉欣"</formula1>
    </dataValidation>
    <dataValidation type="list" allowBlank="1" showErrorMessage="1" errorTitle="請使用下拉選單" error="請選擇選單中的項目，或清除儲存格。" sqref="F5:F304">
      <formula1>"公克,個"</formula1>
    </dataValidation>
    <dataValidation type="list" allowBlank="1" showErrorMessage="1" errorTitle="請使用下拉選單" error="請選擇選單中的項目，或清除儲存格。" sqref="H5:S304">
      <formula1>"V"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1:K28"/>
  <sheetViews>
    <sheetView showGridLines="0" zoomScaleNormal="100" workbookViewId="0">
      <selection activeCell="K10" sqref="K10"/>
    </sheetView>
  </sheetViews>
  <sheetFormatPr defaultColWidth="8.7265625" defaultRowHeight="14.5"/>
  <cols>
    <col min="1" max="1" width="3" customWidth="1"/>
    <col min="2" max="2" width="14" customWidth="1"/>
    <col min="3" max="8" width="13" customWidth="1"/>
    <col min="9" max="9" width="16" customWidth="1"/>
    <col min="10" max="10" width="14" customWidth="1"/>
    <col min="11" max="11" width="42" customWidth="1"/>
  </cols>
  <sheetData>
    <row r="1" spans="2:11" ht="18">
      <c r="B1" s="30" t="s">
        <v>79</v>
      </c>
    </row>
    <row r="2" spans="2:11">
      <c r="B2" s="19" t="s">
        <v>80</v>
      </c>
    </row>
    <row r="3" spans="2:11">
      <c r="B3" s="31" t="s">
        <v>81</v>
      </c>
      <c r="C3" s="32">
        <v>0.3</v>
      </c>
      <c r="D3" s="33" t="s">
        <v>82</v>
      </c>
    </row>
    <row r="4" spans="2:11">
      <c r="B4" s="31" t="s">
        <v>83</v>
      </c>
      <c r="C4" s="32">
        <v>0.15</v>
      </c>
      <c r="D4" s="33" t="s">
        <v>84</v>
      </c>
    </row>
    <row r="5" spans="2:11">
      <c r="B5" s="31" t="s">
        <v>85</v>
      </c>
      <c r="C5" s="34">
        <v>0</v>
      </c>
      <c r="D5" s="33" t="s">
        <v>86</v>
      </c>
    </row>
    <row r="7" spans="2:11">
      <c r="B7" s="35" t="s">
        <v>87</v>
      </c>
    </row>
    <row r="8" spans="2:11">
      <c r="B8" s="6" t="s">
        <v>12</v>
      </c>
      <c r="C8" s="36" t="s">
        <v>17</v>
      </c>
      <c r="D8" s="36" t="s">
        <v>88</v>
      </c>
      <c r="E8" s="36" t="s">
        <v>89</v>
      </c>
      <c r="F8" s="36" t="s">
        <v>90</v>
      </c>
      <c r="G8" s="6" t="s">
        <v>21</v>
      </c>
      <c r="H8" s="6" t="s">
        <v>22</v>
      </c>
    </row>
    <row r="9" spans="2:11">
      <c r="B9" s="37" t="s">
        <v>15</v>
      </c>
      <c r="C9" s="7">
        <f>COUNTA('18℃'!$D$5:$D$304)</f>
        <v>0</v>
      </c>
      <c r="D9" s="7">
        <f>COUNTA('4℃飯'!$E$5:$E$302)</f>
        <v>164</v>
      </c>
      <c r="E9" s="7">
        <f>COUNTA('4℃麵'!$E$5:$E$305)</f>
        <v>23</v>
      </c>
      <c r="F9" s="7">
        <f>COUNTA('4℃其他'!$E$5:$E$302)</f>
        <v>235</v>
      </c>
      <c r="G9" s="7">
        <f>COUNTA(冷凍品!$D$5:$D$304)</f>
        <v>0</v>
      </c>
      <c r="H9" s="10">
        <f>SUM(C9:G9)</f>
        <v>422</v>
      </c>
    </row>
    <row r="10" spans="2:11">
      <c r="B10" s="37" t="s">
        <v>91</v>
      </c>
      <c r="C10" s="7">
        <f>COUNTIF('18℃'!$U$5:$U$304,"⚠ 資料缺漏")</f>
        <v>0</v>
      </c>
      <c r="D10" s="7">
        <f>COUNTIF('4℃飯'!$V$5:$V$302,"⚠ 資料缺漏")</f>
        <v>0</v>
      </c>
      <c r="E10" s="7">
        <f>COUNTIF('4℃麵'!$V$5:$V$305,"⚠ 資料缺漏")</f>
        <v>0</v>
      </c>
      <c r="F10" s="7">
        <f>COUNTIF('4℃其他'!$V$5:$V$302,"⚠ 資料缺漏")</f>
        <v>0</v>
      </c>
      <c r="G10" s="7">
        <f>COUNTIF(冷凍品!$U$5:$U$304,"⚠ 資料缺漏")</f>
        <v>0</v>
      </c>
      <c r="H10" s="10">
        <f>SUM(C10:G10)</f>
        <v>0</v>
      </c>
    </row>
    <row r="11" spans="2:11">
      <c r="B11" s="37" t="s">
        <v>92</v>
      </c>
      <c r="C11" s="7">
        <f>COUNTIF('18℃'!$U$5:$U$304,"⚠ 勾選矛盾")</f>
        <v>0</v>
      </c>
      <c r="D11" s="7">
        <f>COUNTIF('4℃飯'!$V$5:$V$302,"⚠ 勾選矛盾")</f>
        <v>0</v>
      </c>
      <c r="E11" s="7">
        <f>COUNTIF('4℃麵'!$V$5:$V$305,"⚠ 勾選矛盾")</f>
        <v>0</v>
      </c>
      <c r="F11" s="7">
        <f>COUNTIF('4℃其他'!$V$5:$V$302,"⚠ 勾選矛盾")</f>
        <v>0</v>
      </c>
      <c r="G11" s="7">
        <f>COUNTIF(冷凍品!$U$5:$U$304,"⚠ 勾選矛盾")</f>
        <v>0</v>
      </c>
      <c r="H11" s="10">
        <f>SUM(C11:G11)</f>
        <v>0</v>
      </c>
    </row>
    <row r="12" spans="2:11">
      <c r="B12" s="37" t="s">
        <v>9</v>
      </c>
      <c r="C12" s="7">
        <f>COUNTIF('18℃'!$U$5:$U$304,"▲ 單一設備依賴")</f>
        <v>0</v>
      </c>
      <c r="D12" s="7">
        <f>COUNTIF('4℃飯'!$V$5:$V$302,"▲ 單一設備依賴")</f>
        <v>122</v>
      </c>
      <c r="E12" s="7">
        <f>COUNTIF('4℃麵'!$V$5:$V$305,"▲ 單一設備依賴")</f>
        <v>13</v>
      </c>
      <c r="F12" s="7">
        <f>COUNTIF('4℃其他'!$V$5:$V$302,"▲ 單一設備依賴")</f>
        <v>63</v>
      </c>
      <c r="G12" s="7">
        <f>COUNTIF(冷凍品!$U$5:$U$304,"▲ 單一設備依賴")</f>
        <v>0</v>
      </c>
      <c r="H12" s="10">
        <f>SUM(C12:G12)</f>
        <v>198</v>
      </c>
    </row>
    <row r="13" spans="2:11">
      <c r="B13" s="37" t="s">
        <v>93</v>
      </c>
      <c r="C13" s="7">
        <f>COUNTIF('18℃'!$U$5:$U$304,"○ 免調理")</f>
        <v>0</v>
      </c>
      <c r="D13" s="7">
        <f>COUNTIF('4℃飯'!$V$5:$V$302,"○ 免調理")</f>
        <v>31</v>
      </c>
      <c r="E13" s="7">
        <f>COUNTIF('4℃麵'!$V$5:$V$305,"○ 免調理")</f>
        <v>9</v>
      </c>
      <c r="F13" s="7">
        <f>COUNTIF('4℃其他'!$V$5:$V$302,"○ 免調理")</f>
        <v>169</v>
      </c>
      <c r="G13" s="7">
        <f>COUNTIF(冷凍品!$U$5:$U$304,"○ 免調理")</f>
        <v>0</v>
      </c>
      <c r="H13" s="10">
        <f>SUM(C13:G13)</f>
        <v>209</v>
      </c>
    </row>
    <row r="15" spans="2:11">
      <c r="B15" s="35" t="s">
        <v>94</v>
      </c>
    </row>
    <row r="16" spans="2:11" ht="24" customHeight="1">
      <c r="B16" s="38" t="s">
        <v>95</v>
      </c>
      <c r="C16" s="39" t="s">
        <v>17</v>
      </c>
      <c r="D16" s="39" t="s">
        <v>88</v>
      </c>
      <c r="E16" s="39" t="s">
        <v>89</v>
      </c>
      <c r="F16" s="39" t="s">
        <v>90</v>
      </c>
      <c r="G16" s="38" t="s">
        <v>21</v>
      </c>
      <c r="H16" s="38" t="s">
        <v>22</v>
      </c>
      <c r="I16" s="38" t="s">
        <v>96</v>
      </c>
      <c r="J16" s="38" t="s">
        <v>97</v>
      </c>
      <c r="K16" s="38" t="s">
        <v>98</v>
      </c>
    </row>
    <row r="17" spans="2:11" ht="25.5" customHeight="1">
      <c r="B17" s="28" t="s">
        <v>53</v>
      </c>
      <c r="C17" s="23">
        <f>COUNTIF('18℃'!$H$5:$H$304,"V")</f>
        <v>0</v>
      </c>
      <c r="D17" s="23">
        <f>COUNTIF('4℃飯'!$I$5:$I$302,"V")</f>
        <v>28</v>
      </c>
      <c r="E17" s="23">
        <f>COUNTIF('4℃麵'!$I$5:$I$305,"V")</f>
        <v>0</v>
      </c>
      <c r="F17" s="23">
        <f>COUNTIF('4℃其他'!$I$5:$I$302,"V")</f>
        <v>0</v>
      </c>
      <c r="G17" s="23">
        <f>COUNTIF(冷凍品!$H$5:$H$304,"V")</f>
        <v>0</v>
      </c>
      <c r="H17" s="40">
        <f t="shared" ref="H17:H28" si="0">SUM(C17:G17)</f>
        <v>28</v>
      </c>
      <c r="I17" s="41">
        <f t="shared" ref="I17:I28" si="1">IF($H$9=0,0,H17/$H$9)</f>
        <v>6.6350710900473939E-2</v>
      </c>
      <c r="J17" s="29" t="str">
        <f t="shared" ref="J17:J26" si="2">IF(H17&lt;=$C$5,"⬜ 閒置確認",IF(I17&gt;=$C$3,"🔴 高依賴",IF(I17&gt;=$C$4,"🟡 中度關注","🟢 正常")))</f>
        <v>🟢 正常</v>
      </c>
      <c r="K17" s="42" t="str">
        <f t="shared" ref="K17:K27" si="3">IF(H17&lt;=$C$5,"目前無半成品應用，確認設備是否閒置或盤點未涵蓋",IF(I17&gt;=$C$3,"多數半成品集中依賴此設備，故障影響面大，建議盤點備援製程與保養頻率",IF(I17&gt;=$C$4,"依賴度偏高，建議列入產能與排修監控","無異常")))</f>
        <v>無異常</v>
      </c>
    </row>
    <row r="18" spans="2:11" ht="25.5" customHeight="1">
      <c r="B18" s="28" t="s">
        <v>54</v>
      </c>
      <c r="C18" s="23">
        <f>COUNTIF('18℃'!$I$5:$I$304,"V")</f>
        <v>0</v>
      </c>
      <c r="D18" s="23">
        <f>COUNTIF('4℃飯'!$J$5:$J$302,"V")</f>
        <v>0</v>
      </c>
      <c r="E18" s="23">
        <f>COUNTIF('4℃麵'!$J$5:$J$305,"V")</f>
        <v>4</v>
      </c>
      <c r="F18" s="23">
        <f>COUNTIF('4℃其他'!$J$5:$J$302,"V")</f>
        <v>3</v>
      </c>
      <c r="G18" s="23">
        <f>COUNTIF(冷凍品!$I$5:$I$304,"V")</f>
        <v>0</v>
      </c>
      <c r="H18" s="40">
        <f t="shared" si="0"/>
        <v>7</v>
      </c>
      <c r="I18" s="41">
        <f t="shared" si="1"/>
        <v>1.6587677725118485E-2</v>
      </c>
      <c r="J18" s="29" t="str">
        <f t="shared" si="2"/>
        <v>🟢 正常</v>
      </c>
      <c r="K18" s="42" t="str">
        <f t="shared" si="3"/>
        <v>無異常</v>
      </c>
    </row>
    <row r="19" spans="2:11" ht="25.5" customHeight="1">
      <c r="B19" s="28" t="s">
        <v>55</v>
      </c>
      <c r="C19" s="23">
        <f>COUNTIF('18℃'!$J$5:$J$304,"V")</f>
        <v>0</v>
      </c>
      <c r="D19" s="23">
        <f>COUNTIF('4℃飯'!$K$5:$K$302,"V")</f>
        <v>19</v>
      </c>
      <c r="E19" s="23">
        <f>COUNTIF('4℃麵'!$K$5:$K$305,"V")</f>
        <v>2</v>
      </c>
      <c r="F19" s="23">
        <f>COUNTIF('4℃其他'!$K$5:$K$302,"V")</f>
        <v>26</v>
      </c>
      <c r="G19" s="23">
        <f>COUNTIF(冷凍品!$J$5:$J$304,"V")</f>
        <v>0</v>
      </c>
      <c r="H19" s="40">
        <f t="shared" si="0"/>
        <v>47</v>
      </c>
      <c r="I19" s="41">
        <f t="shared" si="1"/>
        <v>0.11137440758293839</v>
      </c>
      <c r="J19" s="29" t="str">
        <f t="shared" si="2"/>
        <v>🟢 正常</v>
      </c>
      <c r="K19" s="42" t="str">
        <f t="shared" si="3"/>
        <v>無異常</v>
      </c>
    </row>
    <row r="20" spans="2:11" ht="25.5" customHeight="1">
      <c r="B20" s="28" t="s">
        <v>56</v>
      </c>
      <c r="C20" s="23">
        <f>COUNTIF('18℃'!$K$5:$K$304,"V")</f>
        <v>0</v>
      </c>
      <c r="D20" s="23">
        <f>COUNTIF('4℃飯'!$L$5:$L$302,"V")</f>
        <v>3</v>
      </c>
      <c r="E20" s="23">
        <f>COUNTIF('4℃麵'!$L$5:$L$305,"V")</f>
        <v>0</v>
      </c>
      <c r="F20" s="23">
        <f>COUNTIF('4℃其他'!$L$5:$L$302,"V")</f>
        <v>0</v>
      </c>
      <c r="G20" s="23">
        <f>COUNTIF(冷凍品!$K$5:$K$304,"V")</f>
        <v>0</v>
      </c>
      <c r="H20" s="40">
        <f t="shared" si="0"/>
        <v>3</v>
      </c>
      <c r="I20" s="41">
        <f t="shared" si="1"/>
        <v>7.1090047393364926E-3</v>
      </c>
      <c r="J20" s="29" t="str">
        <f t="shared" si="2"/>
        <v>🟢 正常</v>
      </c>
      <c r="K20" s="42" t="str">
        <f t="shared" si="3"/>
        <v>無異常</v>
      </c>
    </row>
    <row r="21" spans="2:11" ht="25.5" customHeight="1">
      <c r="B21" s="28" t="s">
        <v>57</v>
      </c>
      <c r="C21" s="23">
        <f>COUNTIF('18℃'!$L$5:$L$304,"V")</f>
        <v>0</v>
      </c>
      <c r="D21" s="23">
        <f>COUNTIF('4℃飯'!$M$5:$M$302,"V")</f>
        <v>9</v>
      </c>
      <c r="E21" s="23">
        <f>COUNTIF('4℃麵'!$M$5:$M$305,"V")</f>
        <v>0</v>
      </c>
      <c r="F21" s="23">
        <f>COUNTIF('4℃其他'!$M$5:$M$302,"V")</f>
        <v>8</v>
      </c>
      <c r="G21" s="23">
        <f>COUNTIF(冷凍品!$L$5:$L$304,"V")</f>
        <v>0</v>
      </c>
      <c r="H21" s="40">
        <f t="shared" si="0"/>
        <v>17</v>
      </c>
      <c r="I21" s="41">
        <f t="shared" si="1"/>
        <v>4.0284360189573459E-2</v>
      </c>
      <c r="J21" s="29" t="str">
        <f t="shared" si="2"/>
        <v>🟢 正常</v>
      </c>
      <c r="K21" s="42" t="str">
        <f t="shared" si="3"/>
        <v>無異常</v>
      </c>
    </row>
    <row r="22" spans="2:11" ht="25.5" customHeight="1">
      <c r="B22" s="28" t="s">
        <v>58</v>
      </c>
      <c r="C22" s="23">
        <f>COUNTIF('18℃'!$M$5:$M$304,"V")</f>
        <v>0</v>
      </c>
      <c r="D22" s="23">
        <f>COUNTIF('4℃飯'!$N$5:$N$302,"V")</f>
        <v>4</v>
      </c>
      <c r="E22" s="23">
        <f>COUNTIF('4℃麵'!$N$5:$N$305,"V")</f>
        <v>0</v>
      </c>
      <c r="F22" s="23">
        <f>COUNTIF('4℃其他'!$N$5:$N$302,"V")</f>
        <v>4</v>
      </c>
      <c r="G22" s="23">
        <f>COUNTIF(冷凍品!$M$5:$M$304,"V")</f>
        <v>0</v>
      </c>
      <c r="H22" s="40">
        <f t="shared" si="0"/>
        <v>8</v>
      </c>
      <c r="I22" s="41">
        <f t="shared" si="1"/>
        <v>1.8957345971563982E-2</v>
      </c>
      <c r="J22" s="29" t="str">
        <f t="shared" si="2"/>
        <v>🟢 正常</v>
      </c>
      <c r="K22" s="42" t="str">
        <f t="shared" si="3"/>
        <v>無異常</v>
      </c>
    </row>
    <row r="23" spans="2:11" ht="25.5" customHeight="1">
      <c r="B23" s="28" t="s">
        <v>59</v>
      </c>
      <c r="C23" s="23">
        <f>COUNTIF('18℃'!$N$5:$N$304,"V")</f>
        <v>0</v>
      </c>
      <c r="D23" s="23">
        <f>COUNTIF('4℃飯'!$O$5:$O$302,"V")</f>
        <v>74</v>
      </c>
      <c r="E23" s="23">
        <f>COUNTIF('4℃麵'!$O$5:$O$305,"V")</f>
        <v>8</v>
      </c>
      <c r="F23" s="23">
        <f>COUNTIF('4℃其他'!$O$5:$O$302,"V")</f>
        <v>28</v>
      </c>
      <c r="G23" s="23">
        <f>COUNTIF(冷凍品!$N$5:$N$304,"V")</f>
        <v>0</v>
      </c>
      <c r="H23" s="40">
        <f t="shared" si="0"/>
        <v>110</v>
      </c>
      <c r="I23" s="41">
        <f t="shared" si="1"/>
        <v>0.26066350710900477</v>
      </c>
      <c r="J23" s="29" t="str">
        <f t="shared" si="2"/>
        <v>🟡 中度關注</v>
      </c>
      <c r="K23" s="42" t="str">
        <f t="shared" si="3"/>
        <v>依賴度偏高，建議列入產能與排修監控</v>
      </c>
    </row>
    <row r="24" spans="2:11" ht="25.5" customHeight="1">
      <c r="B24" s="28" t="s">
        <v>99</v>
      </c>
      <c r="C24" s="23">
        <f>COUNTIF('18℃'!$O$5:$O$304,"V")</f>
        <v>0</v>
      </c>
      <c r="D24" s="23">
        <f>COUNTIF('4℃飯'!$P$5:$P$302,"V")</f>
        <v>7</v>
      </c>
      <c r="E24" s="23">
        <f>COUNTIF('4℃麵'!$P$5:$P$305,"V")</f>
        <v>1</v>
      </c>
      <c r="F24" s="23">
        <f>COUNTIF('4℃其他'!$P$5:$P$302,"V")</f>
        <v>0</v>
      </c>
      <c r="G24" s="23">
        <f>COUNTIF(冷凍品!$O$5:$O$304,"V")</f>
        <v>0</v>
      </c>
      <c r="H24" s="40">
        <f t="shared" si="0"/>
        <v>8</v>
      </c>
      <c r="I24" s="41">
        <f t="shared" si="1"/>
        <v>1.8957345971563982E-2</v>
      </c>
      <c r="J24" s="29" t="str">
        <f t="shared" si="2"/>
        <v>🟢 正常</v>
      </c>
      <c r="K24" s="42" t="str">
        <f t="shared" si="3"/>
        <v>無異常</v>
      </c>
    </row>
    <row r="25" spans="2:11" ht="25.5" customHeight="1">
      <c r="B25" s="28" t="s">
        <v>100</v>
      </c>
      <c r="C25" s="23">
        <f>COUNTIF('18℃'!$P$5:$P$304,"V")</f>
        <v>0</v>
      </c>
      <c r="D25" s="23">
        <f>COUNTIF('4℃飯'!$Q$5:$Q$302,"V")</f>
        <v>0</v>
      </c>
      <c r="E25" s="23">
        <f>COUNTIF('4℃麵'!$Q$5:$Q$305,"V")</f>
        <v>0</v>
      </c>
      <c r="F25" s="23">
        <f>COUNTIF('4℃其他'!$Q$5:$Q$302,"V")</f>
        <v>0</v>
      </c>
      <c r="G25" s="23">
        <f>COUNTIF(冷凍品!$P$5:$P$304,"V")</f>
        <v>0</v>
      </c>
      <c r="H25" s="40">
        <f t="shared" si="0"/>
        <v>0</v>
      </c>
      <c r="I25" s="41">
        <f t="shared" si="1"/>
        <v>0</v>
      </c>
      <c r="J25" s="29" t="str">
        <f t="shared" si="2"/>
        <v>⬜ 閒置確認</v>
      </c>
      <c r="K25" s="42" t="str">
        <f t="shared" si="3"/>
        <v>目前無半成品應用，確認設備是否閒置或盤點未涵蓋</v>
      </c>
    </row>
    <row r="26" spans="2:11" ht="25.5" customHeight="1">
      <c r="B26" s="28" t="s">
        <v>62</v>
      </c>
      <c r="C26" s="23">
        <f>COUNTIF('18℃'!$Q$5:$Q$304,"V")</f>
        <v>0</v>
      </c>
      <c r="D26" s="23">
        <f>COUNTIF('4℃飯'!$R$5:$R$302,"V")</f>
        <v>0</v>
      </c>
      <c r="E26" s="23">
        <f>COUNTIF('4℃麵'!$R$5:$R$305,"V")</f>
        <v>0</v>
      </c>
      <c r="F26" s="23">
        <f>COUNTIF('4℃其他'!$R$5:$R$302,"V")</f>
        <v>0</v>
      </c>
      <c r="G26" s="23">
        <f>COUNTIF(冷凍品!$Q$5:$Q$304,"V")</f>
        <v>0</v>
      </c>
      <c r="H26" s="40">
        <f t="shared" si="0"/>
        <v>0</v>
      </c>
      <c r="I26" s="41">
        <f t="shared" si="1"/>
        <v>0</v>
      </c>
      <c r="J26" s="29" t="str">
        <f t="shared" si="2"/>
        <v>⬜ 閒置確認</v>
      </c>
      <c r="K26" s="42" t="str">
        <f t="shared" si="3"/>
        <v>目前無半成品應用，確認設備是否閒置或盤點未涵蓋</v>
      </c>
    </row>
    <row r="27" spans="2:11" ht="25.5" customHeight="1">
      <c r="B27" s="28" t="s">
        <v>63</v>
      </c>
      <c r="C27" s="23">
        <f>COUNTIF('18℃'!$R$5:$R$304,"V")</f>
        <v>0</v>
      </c>
      <c r="D27" s="23">
        <f>COUNTIF('4℃飯'!$S$5:$S$302,"V")</f>
        <v>0</v>
      </c>
      <c r="E27" s="23">
        <f>COUNTIF('4℃麵'!$S$5:$S$305,"V")</f>
        <v>0</v>
      </c>
      <c r="F27" s="23">
        <f>COUNTIF('4℃其他'!$S$5:$S$302,"V")</f>
        <v>0</v>
      </c>
      <c r="G27" s="23">
        <f>COUNTIF(冷凍品!$R$5:$R$304,"V")</f>
        <v>0</v>
      </c>
      <c r="H27" s="40">
        <f t="shared" si="0"/>
        <v>0</v>
      </c>
      <c r="I27" s="41">
        <f t="shared" si="1"/>
        <v>0</v>
      </c>
      <c r="J27" s="29" t="str">
        <f>IF(H27&lt;=$C$5,"⬜ 閒置確認",IF(I27&gt;=$C$3,"🔴 高依賴",IF(I27&gt;=$C$4,"🟡 中度關注","🟢 正常")))</f>
        <v>⬜ 閒置確認</v>
      </c>
      <c r="K27" s="42" t="str">
        <f t="shared" si="3"/>
        <v>目前無半成品應用，確認設備是否閒置或盤點未涵蓋</v>
      </c>
    </row>
    <row r="28" spans="2:11" ht="25.5" customHeight="1">
      <c r="B28" s="28" t="s">
        <v>101</v>
      </c>
      <c r="C28" s="23">
        <f>COUNTIF('18℃'!$S$5:$S$304,"V")</f>
        <v>0</v>
      </c>
      <c r="D28" s="23">
        <f>COUNTIF('4℃飯'!$T$5:$T$302,"V")</f>
        <v>31</v>
      </c>
      <c r="E28" s="23">
        <f>COUNTIF('4℃麵'!$T$5:$T$305,"V")</f>
        <v>9</v>
      </c>
      <c r="F28" s="23">
        <f>COUNTIF('4℃其他'!$T$5:$T$302,"V")</f>
        <v>169</v>
      </c>
      <c r="G28" s="23">
        <f>COUNTIF(冷凍品!$S$5:$S$304,"V")</f>
        <v>0</v>
      </c>
      <c r="H28" s="40">
        <f t="shared" si="0"/>
        <v>209</v>
      </c>
      <c r="I28" s="41">
        <f t="shared" si="1"/>
        <v>0.49526066350710901</v>
      </c>
      <c r="J28" s="23" t="s">
        <v>102</v>
      </c>
      <c r="K28" s="42" t="s">
        <v>103</v>
      </c>
    </row>
  </sheetData>
  <phoneticPr fontId="27" type="noConversion"/>
  <conditionalFormatting sqref="J17:J27">
    <cfRule type="expression" dxfId="3" priority="2">
      <formula>ISNUMBER(SEARCH("高依賴",$J17))</formula>
    </cfRule>
    <cfRule type="expression" dxfId="2" priority="3">
      <formula>ISNUMBER(SEARCH("中度關注",$J17))</formula>
    </cfRule>
    <cfRule type="expression" dxfId="1" priority="4">
      <formula>ISNUMBER(SEARCH("閒置",$J17))</formula>
    </cfRule>
    <cfRule type="expression" dxfId="0" priority="5">
      <formula>ISNUMBER(SEARCH("正常",$J17))</formula>
    </cfRule>
  </conditionalFormatting>
  <pageMargins left="0.75" right="0.75" top="1" bottom="1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總覽</vt:lpstr>
      <vt:lpstr>填寫說明</vt:lpstr>
      <vt:lpstr>18℃</vt:lpstr>
      <vt:lpstr>4℃飯</vt:lpstr>
      <vt:lpstr>4℃麵</vt:lpstr>
      <vt:lpstr>4℃其他</vt:lpstr>
      <vt:lpstr>冷凍品</vt:lpstr>
      <vt:lpstr>設備應用統計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莊子儀-食品研究所</cp:lastModifiedBy>
  <cp:revision>1</cp:revision>
  <dcterms:created xsi:type="dcterms:W3CDTF">2026-07-08T06:12:33Z</dcterms:created>
  <dcterms:modified xsi:type="dcterms:W3CDTF">2026-10-21T00:44:27Z</dcterms:modified>
  <dc:language>en-US</dc:language>
</cp:coreProperties>
</file>